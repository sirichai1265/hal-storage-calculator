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 firstSheet="0" activeTab="3"/>
  </bookViews>
  <sheets>
    <sheet sheetId="1" name="1.Loading" state="visible" r:id="rId4"/>
    <sheet sheetId="2" name="2.Bookinglist" state="visible" r:id="rId5"/>
    <sheet sheetId="3" name="3.GateMove" state="visible" r:id="rId6"/>
    <sheet sheetId="4" name="CS" state="visible" r:id="rId7"/>
    <sheet sheetId="5" name="BKK" state="visible" r:id="rId8"/>
    <sheet sheetId="6" name="LCH" state="visible" r:id="rId9"/>
    <sheet sheetId="7" name="Charge" state="visible" r:id="rId10"/>
  </sheets>
  <definedNames>
    <definedName name="_xlnm._FilterDatabase">CS!$A$2:$AO$2</definedName>
    <definedName name="_xlnm.Print_Titles" localSheetId="3">'CS'!$1:$2</definedName>
  </definedNames>
  <calcPr calcId="171027" fullCalcOnLoad="1"/>
</workbook>
</file>

<file path=xl/sharedStrings.xml><?xml version="1.0" encoding="utf-8"?>
<sst xmlns="http://schemas.openxmlformats.org/spreadsheetml/2006/main" count="3490" uniqueCount="616">
  <si>
    <t>Container No.</t>
  </si>
  <si>
    <t>EQ Date</t>
  </si>
  <si>
    <t>Vessel</t>
  </si>
  <si>
    <t>Voyage</t>
  </si>
  <si>
    <t>Type Size</t>
  </si>
  <si>
    <t>CD</t>
  </si>
  <si>
    <t>R.C.V</t>
  </si>
  <si>
    <t>P.O.L</t>
  </si>
  <si>
    <t>P.O.D</t>
  </si>
  <si>
    <t>D.L.V</t>
  </si>
  <si>
    <t>F/E</t>
  </si>
  <si>
    <t>LEASE_TYPE</t>
  </si>
  <si>
    <t>Move Code</t>
  </si>
  <si>
    <t>Location</t>
  </si>
  <si>
    <t>Area</t>
  </si>
  <si>
    <t>Nation</t>
  </si>
  <si>
    <t>Booking No.</t>
  </si>
  <si>
    <t>T/S</t>
  </si>
  <si>
    <t>S.O.C</t>
  </si>
  <si>
    <t>Service</t>
  </si>
  <si>
    <t>Remark</t>
  </si>
  <si>
    <t>Auth. No.</t>
  </si>
  <si>
    <t>Shipper</t>
  </si>
  <si>
    <t>PreVSLMove</t>
  </si>
  <si>
    <t>Consignee</t>
  </si>
  <si>
    <t>Notify</t>
  </si>
  <si>
    <t>CNTR WGT.</t>
  </si>
  <si>
    <t>L-Wharf(B/L)</t>
  </si>
  <si>
    <t>D-Wharf(B/L)</t>
  </si>
  <si>
    <t>BMOU6093785</t>
  </si>
  <si>
    <t>2026-10-15</t>
  </si>
  <si>
    <t>PGPO</t>
  </si>
  <si>
    <t>2612N</t>
  </si>
  <si>
    <t>45GP</t>
  </si>
  <si>
    <t>SD</t>
  </si>
  <si>
    <t>THBKK</t>
  </si>
  <si>
    <t>VNSGN</t>
  </si>
  <si>
    <t>F</t>
  </si>
  <si>
    <t>L/T</t>
  </si>
  <si>
    <t>VFL</t>
  </si>
  <si>
    <t>BKK02</t>
  </si>
  <si>
    <t>BKK</t>
  </si>
  <si>
    <t>TH</t>
  </si>
  <si>
    <t>HASLS22260902194</t>
  </si>
  <si>
    <t>N</t>
  </si>
  <si>
    <t>NGB15L03</t>
  </si>
  <si>
    <t>METRO PARTICLE CO., LTD.</t>
  </si>
  <si>
    <t>VFD</t>
  </si>
  <si>
    <t>WU YI INTERNATIONAL WOOD INDUSTRY</t>
  </si>
  <si>
    <t>SGN03</t>
  </si>
  <si>
    <t>FSCU5912263</t>
  </si>
  <si>
    <t>45RE</t>
  </si>
  <si>
    <t>KRPUS</t>
  </si>
  <si>
    <t>JPISS</t>
  </si>
  <si>
    <t>HASLS22260902176</t>
  </si>
  <si>
    <t>Y</t>
  </si>
  <si>
    <t>C0321002</t>
  </si>
  <si>
    <t>KODAI (THAILAND) CO., LTD.</t>
  </si>
  <si>
    <t>KODAI COMPANY LTD.</t>
  </si>
  <si>
    <t>ISS02</t>
  </si>
  <si>
    <t>FSCU8926804</t>
  </si>
  <si>
    <t>ONE</t>
  </si>
  <si>
    <t>K0120023</t>
  </si>
  <si>
    <t>GCXU5081271</t>
  </si>
  <si>
    <t>GCXU6008125</t>
  </si>
  <si>
    <t>GCXU6306618</t>
  </si>
  <si>
    <t>HALU2084017</t>
  </si>
  <si>
    <t>22GP</t>
  </si>
  <si>
    <t>KRINC</t>
  </si>
  <si>
    <t>OWN</t>
  </si>
  <si>
    <t>HASLS22260801064</t>
  </si>
  <si>
    <t>TXG15006</t>
  </si>
  <si>
    <t>KORCHINA FREIGHT(THAILAND)CO.,LTD.</t>
  </si>
  <si>
    <t>PARKS WAY CO.,LTD.</t>
  </si>
  <si>
    <t>INC07</t>
  </si>
  <si>
    <t>HALU2511799</t>
  </si>
  <si>
    <t>JPTMK</t>
  </si>
  <si>
    <t>HASLS22260900914</t>
  </si>
  <si>
    <t>C0125002</t>
  </si>
  <si>
    <t>ASIA MODIFIED STARCH CO., LTD.</t>
  </si>
  <si>
    <t>NIHON SHOKUHIN KAKO CO., LTD.</t>
  </si>
  <si>
    <t>TMK03</t>
  </si>
  <si>
    <t>HALU2518052</t>
  </si>
  <si>
    <t>HASLS22261000302</t>
  </si>
  <si>
    <t>SMATHAI GLOBAL LOGISTICS (THAILAND)</t>
  </si>
  <si>
    <t>TRUONG HAI INTERNATIONAL LOGISTICS</t>
  </si>
  <si>
    <t>HALU2542613</t>
  </si>
  <si>
    <t>HALU2569086</t>
  </si>
  <si>
    <t>C0325006</t>
  </si>
  <si>
    <t>HLHU8303550</t>
  </si>
  <si>
    <t>C0123003</t>
  </si>
  <si>
    <t>HLHU8311880</t>
  </si>
  <si>
    <t>C5623001</t>
  </si>
  <si>
    <t>HLHU8322123</t>
  </si>
  <si>
    <t>C0723001</t>
  </si>
  <si>
    <t>HLHU8326474</t>
  </si>
  <si>
    <t>HLHU8329128</t>
  </si>
  <si>
    <t>C0623001</t>
  </si>
  <si>
    <t>HLHU8354352</t>
  </si>
  <si>
    <t>C0123007</t>
  </si>
  <si>
    <t>HLHU8428537</t>
  </si>
  <si>
    <t>C0124001</t>
  </si>
  <si>
    <t>HLHU8449308</t>
  </si>
  <si>
    <t>HASLS22260901659</t>
  </si>
  <si>
    <t>CONAIR INTERTRAFFIC CO.,LTD.</t>
  </si>
  <si>
    <t>0310502384#HABA LOGISTICS CO.,LTD.</t>
  </si>
  <si>
    <t>HLHU8493553</t>
  </si>
  <si>
    <t>C0524001</t>
  </si>
  <si>
    <t>HLHU8512015</t>
  </si>
  <si>
    <t>C0125003</t>
  </si>
  <si>
    <t>HLHU8515950</t>
  </si>
  <si>
    <t>HLHU8537100</t>
  </si>
  <si>
    <t>HLHU8554134</t>
  </si>
  <si>
    <t>C5625001</t>
  </si>
  <si>
    <t>HLHU8598770</t>
  </si>
  <si>
    <t>HASLS22260802219</t>
  </si>
  <si>
    <t>C0725001</t>
  </si>
  <si>
    <t>A.S. LOGISTICS CO., LTD.</t>
  </si>
  <si>
    <t>GLOBAL LOGISTICS SERVICE CO., LTD</t>
  </si>
  <si>
    <t>SEGU5415776</t>
  </si>
  <si>
    <t>SHA15L15</t>
  </si>
  <si>
    <t>SEGU5480597</t>
  </si>
  <si>
    <t>NGB15L02</t>
  </si>
  <si>
    <t>SEKU4970275</t>
  </si>
  <si>
    <t>C0721002</t>
  </si>
  <si>
    <t>SEKU4975451</t>
  </si>
  <si>
    <t>HASLS22261000292</t>
  </si>
  <si>
    <t>CHOCKDEE SEA PRODUCTS CO.,LTD</t>
  </si>
  <si>
    <t>WOO JIN TRADING CO.</t>
  </si>
  <si>
    <t>SKHU6316788</t>
  </si>
  <si>
    <t>SKHU6323196</t>
  </si>
  <si>
    <t>SKHU6444623</t>
  </si>
  <si>
    <t>SKHU6475748</t>
  </si>
  <si>
    <t>SKHU6541114</t>
  </si>
  <si>
    <t>HASLS22260802364</t>
  </si>
  <si>
    <t>WORLD NET LOGISTICS (THAILAND)</t>
  </si>
  <si>
    <t>WORLD NET LOGISTICS(KOREA) CO.,LTD.</t>
  </si>
  <si>
    <t>SKHU6545125</t>
  </si>
  <si>
    <t>SKHU6582427</t>
  </si>
  <si>
    <t>SKHU6583188</t>
  </si>
  <si>
    <t>SKHU6583763</t>
  </si>
  <si>
    <t>HASLS22260900365</t>
  </si>
  <si>
    <t>ASIA-PACIFIC LOGISTICS CO., LTD.</t>
  </si>
  <si>
    <t>SPEED LOGS CO., LTD</t>
  </si>
  <si>
    <t>SKHU8115864</t>
  </si>
  <si>
    <t>SKLU0553564</t>
  </si>
  <si>
    <t>K0120021</t>
  </si>
  <si>
    <t>SKLU1527786</t>
  </si>
  <si>
    <t>SKLU1665872</t>
  </si>
  <si>
    <t>SKLU1801829</t>
  </si>
  <si>
    <t>TCNU5470300</t>
  </si>
  <si>
    <t>TRHU5289169</t>
  </si>
  <si>
    <t>B/K No</t>
  </si>
  <si>
    <t>Cntr Type &amp; Size</t>
  </si>
  <si>
    <t>Pickup</t>
  </si>
  <si>
    <t>CY Return</t>
  </si>
  <si>
    <t>RCVCD</t>
  </si>
  <si>
    <t>C10</t>
  </si>
  <si>
    <t>C20</t>
  </si>
  <si>
    <t>C40</t>
  </si>
  <si>
    <t>C45</t>
  </si>
  <si>
    <t>TEU</t>
  </si>
  <si>
    <t>SOC</t>
  </si>
  <si>
    <t>SVC</t>
  </si>
  <si>
    <t>VSL</t>
  </si>
  <si>
    <t>VOY</t>
  </si>
  <si>
    <t>POL</t>
  </si>
  <si>
    <t>LWharf</t>
  </si>
  <si>
    <t>LAREA</t>
  </si>
  <si>
    <t>ETD</t>
  </si>
  <si>
    <t>POD</t>
  </si>
  <si>
    <t>DWharf</t>
  </si>
  <si>
    <t>Delivery</t>
  </si>
  <si>
    <t>ETA</t>
  </si>
  <si>
    <t>DAREA</t>
  </si>
  <si>
    <t>Inland</t>
  </si>
  <si>
    <t>T/S WHARF</t>
  </si>
  <si>
    <t>TS PORT</t>
  </si>
  <si>
    <t>Org Shipper</t>
  </si>
  <si>
    <t>BKG WGT</t>
  </si>
  <si>
    <t>BK Tot Weight</t>
  </si>
  <si>
    <t>Cntr Compare</t>
  </si>
  <si>
    <t>SR</t>
  </si>
  <si>
    <t>PKG</t>
  </si>
  <si>
    <t>EL</t>
  </si>
  <si>
    <t>CHK</t>
  </si>
  <si>
    <t>TRAFFIC</t>
  </si>
  <si>
    <t>DocumentID</t>
  </si>
  <si>
    <t>Document</t>
  </si>
  <si>
    <t>SALESCD</t>
  </si>
  <si>
    <t>SALESNM</t>
  </si>
  <si>
    <t>Main Item</t>
  </si>
  <si>
    <t>B/K Type</t>
  </si>
  <si>
    <t>DG</t>
  </si>
  <si>
    <t>DGCNT</t>
  </si>
  <si>
    <t>RF</t>
  </si>
  <si>
    <t>RFCNT</t>
  </si>
  <si>
    <t>AWK</t>
  </si>
  <si>
    <t>AWKCNT</t>
  </si>
  <si>
    <t>AWKVOID</t>
  </si>
  <si>
    <t>FLEXIBAG</t>
  </si>
  <si>
    <t>BLISSUE</t>
  </si>
  <si>
    <t>OFFICERMK</t>
  </si>
  <si>
    <t>PAY TERM</t>
  </si>
  <si>
    <t>Input Date</t>
  </si>
  <si>
    <t>Update Date</t>
  </si>
  <si>
    <t>Status</t>
  </si>
  <si>
    <t>Commodity</t>
  </si>
  <si>
    <t>Self Trans</t>
  </si>
  <si>
    <t>Booking Loc</t>
  </si>
  <si>
    <t>Trans Code</t>
  </si>
  <si>
    <t>Trans Name</t>
  </si>
  <si>
    <t>Pickup Date</t>
  </si>
  <si>
    <t>12GP</t>
  </si>
  <si>
    <t>42GP</t>
  </si>
  <si>
    <t>22RE</t>
  </si>
  <si>
    <t>22UT</t>
  </si>
  <si>
    <t>42UT</t>
  </si>
  <si>
    <t>22PC</t>
  </si>
  <si>
    <t>42PC</t>
  </si>
  <si>
    <t>22TN</t>
  </si>
  <si>
    <t>42TN</t>
  </si>
  <si>
    <t>FE</t>
  </si>
  <si>
    <t>STAY</t>
  </si>
  <si>
    <t>WEB</t>
  </si>
  <si>
    <t>Special Remark</t>
  </si>
  <si>
    <t>Return</t>
  </si>
  <si>
    <t>Over WGT</t>
  </si>
  <si>
    <t>VGM ERR MSG</t>
  </si>
  <si>
    <t>CLASS(DG) TEU</t>
  </si>
  <si>
    <t>CGO TERM</t>
  </si>
  <si>
    <t>T/S Info</t>
  </si>
  <si>
    <t>Email</t>
  </si>
  <si>
    <t>B/L Close</t>
  </si>
  <si>
    <t>DOC_CLOSE</t>
  </si>
  <si>
    <t>CNTR_CLOSE</t>
  </si>
  <si>
    <t>Special Info.</t>
  </si>
  <si>
    <t>TARIFF REF</t>
  </si>
  <si>
    <t>TARIFF CUSTOMER</t>
  </si>
  <si>
    <t>TARIFF CUSTOMER NAME</t>
  </si>
  <si>
    <t>Split</t>
  </si>
  <si>
    <t>DG App Mail</t>
  </si>
  <si>
    <t>Cas No.</t>
  </si>
  <si>
    <t>CUST ETD</t>
  </si>
  <si>
    <t>HSCODE</t>
  </si>
  <si>
    <t>Roll Over Remark</t>
  </si>
  <si>
    <t>20'x1</t>
  </si>
  <si>
    <t>NTX</t>
  </si>
  <si>
    <t>IA</t>
  </si>
  <si>
    <t>2026-10-17</t>
  </si>
  <si>
    <t>SMATHAI GLOBAL LOGISTICS (THAILAND) CO., LTD.</t>
  </si>
  <si>
    <t>SIAM ULTIMATE FOOD CO., LTD.</t>
  </si>
  <si>
    <t>OK</t>
  </si>
  <si>
    <t>TBKK97</t>
  </si>
  <si>
    <t>Arunphat W. (Aiw)</t>
  </si>
  <si>
    <t>PRINZE SHRIMP HEADS SNACK</t>
  </si>
  <si>
    <t>Normal</t>
  </si>
  <si>
    <t>OBL</t>
  </si>
  <si>
    <t>Pickup : 2026-10-10, Return : 2026-10-11</t>
  </si>
  <si>
    <t xml:space="preserve">p'kung cfm 05/10
FM SHPR : SIAM ULTRA INTERTRADE CO., LTD</t>
  </si>
  <si>
    <t>P</t>
  </si>
  <si>
    <t>2026-10-05</t>
  </si>
  <si>
    <t>2026-10-12</t>
  </si>
  <si>
    <t>SNACK</t>
  </si>
  <si>
    <t>Line</t>
  </si>
  <si>
    <t>S22</t>
  </si>
  <si>
    <t>BKK27</t>
  </si>
  <si>
    <t>2026-10-10</t>
  </si>
  <si>
    <t>FULL</t>
  </si>
  <si>
    <t>0 Teu</t>
  </si>
  <si>
    <t>CY/CY</t>
  </si>
  <si>
    <t>operations@smathai.co.th</t>
  </si>
  <si>
    <t>CLOSED</t>
  </si>
  <si>
    <t>202610121700</t>
  </si>
  <si>
    <t>202610131700</t>
  </si>
  <si>
    <t>S22-2311006</t>
  </si>
  <si>
    <t>THTNP7</t>
  </si>
  <si>
    <t>160529</t>
  </si>
  <si>
    <t>20'x3</t>
  </si>
  <si>
    <t>2026-11-22</t>
  </si>
  <si>
    <t>JP</t>
  </si>
  <si>
    <t>PUS05</t>
  </si>
  <si>
    <t>JTYO18</t>
  </si>
  <si>
    <t>AYA YAMANAKA</t>
  </si>
  <si>
    <t>THAILAND TAPIOCA MODIFIED STARCH</t>
  </si>
  <si>
    <t>Pickup : 2026-10-10, Return : 2026-10-13</t>
  </si>
  <si>
    <t>C</t>
  </si>
  <si>
    <t>2026-09-10</t>
  </si>
  <si>
    <t>STARCH</t>
  </si>
  <si>
    <t>BKK25</t>
  </si>
  <si>
    <t>POL: THBKK [PGPO/2612N]; T/S(1st): KRPUS [TYTR/2642E]; POD: JPTMK [/]</t>
  </si>
  <si>
    <t>kasamaporn@amsco.co.th</t>
  </si>
  <si>
    <t>J01-2109109</t>
  </si>
  <si>
    <t>BB1497</t>
  </si>
  <si>
    <t>350510</t>
  </si>
  <si>
    <t>20'x5</t>
  </si>
  <si>
    <t>2026-10-23</t>
  </si>
  <si>
    <t>KR</t>
  </si>
  <si>
    <t>KORCHINA FREIGHT (THAILAND) CO., LTD.</t>
  </si>
  <si>
    <t>RIVER KWAI INTERNATIONAL FOOD INDUSTRY CO., LTD.</t>
  </si>
  <si>
    <t>TH0031</t>
  </si>
  <si>
    <t>Pattarapong Saengthong</t>
  </si>
  <si>
    <t>CANNED WHOLE KERNEL SWEET CORN IN BRINE</t>
  </si>
  <si>
    <t>SUR</t>
  </si>
  <si>
    <t>Pickup : 2026-10-08, Return : 2026-10-10 /FIRST DATE CAN RETURN CNTR DD.10/10 WITHOUT RENT</t>
  </si>
  <si>
    <t xml:space="preserve">RQST CHANGE VSL NAME FROM KUS 2616N BY HA DD.7/10
RQST CHANGE VSL NAME FROM DJC 0152N BY HA DD.28/09</t>
  </si>
  <si>
    <t>2026-08-14</t>
  </si>
  <si>
    <t>2026-10-14</t>
  </si>
  <si>
    <t>CANNED KERNEL CORN</t>
  </si>
  <si>
    <t>2026-10-08</t>
  </si>
  <si>
    <t>seaexport4@korchina.co.th;seaexport2@korchina.co.th;seaexport@korchina.co.th;toeybaiibaiii@gmail.com</t>
  </si>
  <si>
    <t>S22-2308041</t>
  </si>
  <si>
    <t>THTKT0</t>
  </si>
  <si>
    <t>40Hx1</t>
  </si>
  <si>
    <t>VESTA DISTRIBUTION</t>
  </si>
  <si>
    <t>TBKK19</t>
  </si>
  <si>
    <t>Kanokporn</t>
  </si>
  <si>
    <t>BISCUITS</t>
  </si>
  <si>
    <t xml:space="preserve">Pickup : 2026-10-06, Return : 2026-10-07  </t>
  </si>
  <si>
    <t xml:space="preserve">ROLL OVER FROM PREVIOUS VSL DJCF 0152N BY ALLOCATION TEAM MS.TARN APPROVED COST IS UNDER HAL DD.09/10
FM SWAL 2608N DD 15/09 
</t>
  </si>
  <si>
    <t>2026-09-03</t>
  </si>
  <si>
    <t>2026-10-09</t>
  </si>
  <si>
    <t>2026-10-06</t>
  </si>
  <si>
    <t>anand@asiapacificlogistics.co.th;wanthanee.asiapacific@gmail.com</t>
  </si>
  <si>
    <t>S19-2006004</t>
  </si>
  <si>
    <t>TH00PC</t>
  </si>
  <si>
    <t>190531</t>
  </si>
  <si>
    <t>ROLL OVER FROM PREVIOUS VSL DJCF 0152N BY ALLOCATION TEAM MS.TARN APPROVED COST IS UNDER HAL DD.09/10</t>
  </si>
  <si>
    <t>WORLD NET LOGISTICS (THAILAND) CO.,LTD.</t>
  </si>
  <si>
    <t>SAMWON LAMLUKA (THAI LAND) CO., LTD.</t>
  </si>
  <si>
    <t>CON</t>
  </si>
  <si>
    <t>LATEX MATTRESS &amp; PILLOW</t>
  </si>
  <si>
    <t>Pickup : 2026-10-08, Return : 2026-10-09</t>
  </si>
  <si>
    <t xml:space="preserve">ROLL OVER FORM PREVIOUS VSL SWBT 2616N BY ALLOCATION TEAM MS.TARN DD.14/10
MAINTAIN SWBT 2616N DD 08/10 
FM SWBT 2615N 09/09REQ : GOOD AND CLEAN CONTAINER GRADE A NO SMELL, NO RUST, NO HOLE, NO OIL</t>
  </si>
  <si>
    <t>2026-08-27</t>
  </si>
  <si>
    <t>CS_EXPORT@WORLDNET2004.COM</t>
  </si>
  <si>
    <t>S19-2309013</t>
  </si>
  <si>
    <t>TH03QL</t>
  </si>
  <si>
    <t>ROLL OVER FORM PREVIOUS VSL SWBT 2616N BY ALLOCATION TEAM MS.TARN DD.14/10</t>
  </si>
  <si>
    <t>INVE (THAILAND) LTD</t>
  </si>
  <si>
    <t>TBKK55</t>
  </si>
  <si>
    <t>Vilaiporn</t>
  </si>
  <si>
    <t xml:space="preserve">ANIMAL FEED </t>
  </si>
  <si>
    <t xml:space="preserve">Pickup : 2026-10-06, Return : 2026-10-07 </t>
  </si>
  <si>
    <t xml:space="preserve">ROLL OVER FROM PREVIOUS VSL DJCF 0152N BY ALLOCATION TEAM MS.TARN APPROVED COST IS UNDER HAL DD.09/10
FM SWSP 2609N 22/09*SURVEY AT SMART BKK 1 ON 06/10/2026*</t>
  </si>
  <si>
    <t>2026-08-26</t>
  </si>
  <si>
    <t>sea@aslogistic.com</t>
  </si>
  <si>
    <t>BKK15A0901-1</t>
  </si>
  <si>
    <t>THTKPW</t>
  </si>
  <si>
    <t>230990</t>
  </si>
  <si>
    <t xml:space="preserve">ROLL OVER FROM PREVIOUS VSL DJCF 0152N BY ALLOCATION TEAM MS.TARN APPROVED COST IS UNDER HAL DD.09/10
</t>
  </si>
  <si>
    <t>CONAIR INTERTRAFFIC CO., LTD.</t>
  </si>
  <si>
    <t>VET SUPERIOR CONSULTANT CO., LTD.</t>
  </si>
  <si>
    <t>TH0042</t>
  </si>
  <si>
    <t>Sukunpoj Damrongying</t>
  </si>
  <si>
    <t>WATER TREATMENT &amp; FEED SUPPLEMENT (MINO-PLUS+,SELEPLUS,KIDVO)</t>
  </si>
  <si>
    <t>Pickup : 2026-10-06, Return : 2026-10-07</t>
  </si>
  <si>
    <t xml:space="preserve">ROLL OVER FROM PREVIOUS VSL DJCF 0152N BY ALLOCATION TEAM MS.TARN APPROVED COST IS UNDER HAL DD.09/10
GOOD CONTAINER</t>
  </si>
  <si>
    <t>2026-09-18</t>
  </si>
  <si>
    <t>WATER TREATMENT &amp; FEED SUPPLEMENT</t>
  </si>
  <si>
    <t>supunsa@conair.co.th</t>
  </si>
  <si>
    <t>S19-2607001</t>
  </si>
  <si>
    <t>BB0012</t>
  </si>
  <si>
    <t>SAI GLOBAL EXPRESS CO., LTD.</t>
  </si>
  <si>
    <t>CHOCKDEE SEA PRODUCTS CO., LTD.</t>
  </si>
  <si>
    <t>TH0011</t>
  </si>
  <si>
    <t>Nannaapust Sukporntaweewat</t>
  </si>
  <si>
    <t>SALTED JELLY FISH</t>
  </si>
  <si>
    <t>Pickup : 2026-10-12, Return : 2026-10-12</t>
  </si>
  <si>
    <t>RELEASE BOOKING PGPO 2612N RQST GOOD AND CLEAN CNTR NO RUST NO HOLE</t>
  </si>
  <si>
    <t>operation@saiglobalex.co.th</t>
  </si>
  <si>
    <t>S22-2406011</t>
  </si>
  <si>
    <t>THTIPP</t>
  </si>
  <si>
    <t>40Hx30</t>
  </si>
  <si>
    <t>TBKK28</t>
  </si>
  <si>
    <t>Nustsireerach</t>
  </si>
  <si>
    <t>PARTICLE BOARD EN312</t>
  </si>
  <si>
    <t xml:space="preserve">CY -RTN DD.07/10 -09/10/2026 = 20x40'hq   RQST CNTR UPGRADE 32.50 TONS
CY -RTN DD.09/ 10 -09/10/2026 =10X40'HQ 
RTN CNTR DD.09/10 WITHOUT RENT</t>
  </si>
  <si>
    <t xml:space="preserve">SKHU6583188 / OLD 281658 / NEW HAL407883
NEW SEAL FEE 1QTY 350THB</t>
  </si>
  <si>
    <t>2026-09-23</t>
  </si>
  <si>
    <t>PARTICLE BOARD</t>
  </si>
  <si>
    <t>2026-10-07</t>
  </si>
  <si>
    <t>sirikarn.s@metroply.com;planner.s@metroply.com;pornnipa.s@metroply.com;shiptrans@metroply.com</t>
  </si>
  <si>
    <t>S19-1909006</t>
  </si>
  <si>
    <t>TH01GA</t>
  </si>
  <si>
    <t>2026-10-13</t>
  </si>
  <si>
    <t>441011</t>
  </si>
  <si>
    <t>R40Hx1</t>
  </si>
  <si>
    <t>2026-11-02</t>
  </si>
  <si>
    <t xml:space="preserve">MCKEY FOOD SERVICES   </t>
  </si>
  <si>
    <t>JTYO08</t>
  </si>
  <si>
    <t>Takatsugu Nakagome(Mr.)</t>
  </si>
  <si>
    <t>FROZEN CHICKEN (MCCHICKEN PATTY)</t>
  </si>
  <si>
    <t>RF// MIN:-25.0 MAX:-25.0 [COVER:CLOSE]</t>
  </si>
  <si>
    <t xml:space="preserve">45REx1 </t>
  </si>
  <si>
    <t xml:space="preserve">PGPO/2612N/10/26[FIX]/RF  Pickup : 2026-10-07, Return : 2026-10-08 RF45REx1 (Temp -25.0 / Vent Close) 
CLS TIME : 14/10/2026 @ 08.00 [1ST RTN 08/10/2026 W/O ELECTRIC]</t>
  </si>
  <si>
    <t xml:space="preserve">POL : DEM 7 (Included PLUG) DET 7 
FM SWIC 2611N BY HAL DD.08/10/2026</t>
  </si>
  <si>
    <t>FROZEN CHICKEN</t>
  </si>
  <si>
    <t>POL: THBKK [PGPO/2612N]; T/S(1st): KRPUS [HAKT/2637E]; POD: JPISS [/]</t>
  </si>
  <si>
    <t>support@kodai-thailand.co.th</t>
  </si>
  <si>
    <t>45RE x1: RF(Temp:-25.0' / Cover:CLOSE)</t>
  </si>
  <si>
    <t>TYO16A0065-1</t>
  </si>
  <si>
    <t>THTJMC</t>
  </si>
  <si>
    <t>160232</t>
  </si>
  <si>
    <t xml:space="preserve">TOTAL </t>
  </si>
  <si>
    <t xml:space="preserve">COC </t>
  </si>
  <si>
    <t xml:space="preserve">SOC </t>
  </si>
  <si>
    <t>Container No</t>
  </si>
  <si>
    <t>Move</t>
  </si>
  <si>
    <t>GateDate</t>
  </si>
  <si>
    <t>GateTime</t>
  </si>
  <si>
    <t>BL No</t>
  </si>
  <si>
    <t>TPSZ</t>
  </si>
  <si>
    <t>EmpName</t>
  </si>
  <si>
    <t>CND</t>
  </si>
  <si>
    <t>BK No</t>
  </si>
  <si>
    <t>BK QTY</t>
  </si>
  <si>
    <t>Built Year</t>
  </si>
  <si>
    <t>RF Brand</t>
  </si>
  <si>
    <t>RF Model</t>
  </si>
  <si>
    <t>LWHARF</t>
  </si>
  <si>
    <t>POL Date</t>
  </si>
  <si>
    <t>POD Date</t>
  </si>
  <si>
    <t>Seal No</t>
  </si>
  <si>
    <t>Truck No</t>
  </si>
  <si>
    <t>Haulier</t>
  </si>
  <si>
    <t>Driver Tel</t>
  </si>
  <si>
    <t>InpDate</t>
  </si>
  <si>
    <t>InpTime</t>
  </si>
  <si>
    <t>EmpNo</t>
  </si>
  <si>
    <t>SendId</t>
  </si>
  <si>
    <t>SendDate</t>
  </si>
  <si>
    <t>Cnee Code</t>
  </si>
  <si>
    <t>Cnee Name</t>
  </si>
  <si>
    <t>Weight</t>
  </si>
  <si>
    <t>IFE</t>
  </si>
  <si>
    <t>2026-10-11</t>
  </si>
  <si>
    <t>0430</t>
  </si>
  <si>
    <t>EMAIL</t>
  </si>
  <si>
    <t>EDI2</t>
  </si>
  <si>
    <t>Full</t>
  </si>
  <si>
    <t xml:space="preserve">40Hx30 </t>
  </si>
  <si>
    <t>2015</t>
  </si>
  <si>
    <t>0701</t>
  </si>
  <si>
    <t>0041</t>
  </si>
  <si>
    <t xml:space="preserve">R40Hx1 </t>
  </si>
  <si>
    <t>2021</t>
  </si>
  <si>
    <t>CARRIER</t>
  </si>
  <si>
    <t>Primeline</t>
  </si>
  <si>
    <t>2026-10-25</t>
  </si>
  <si>
    <t>0301</t>
  </si>
  <si>
    <t>0130</t>
  </si>
  <si>
    <t>2014</t>
  </si>
  <si>
    <t>0401</t>
  </si>
  <si>
    <t>0027</t>
  </si>
  <si>
    <t>2018</t>
  </si>
  <si>
    <t>0449</t>
  </si>
  <si>
    <t>2024</t>
  </si>
  <si>
    <t>0053</t>
  </si>
  <si>
    <t>2319</t>
  </si>
  <si>
    <t xml:space="preserve">20'x5 </t>
  </si>
  <si>
    <t>0201</t>
  </si>
  <si>
    <t>1043</t>
  </si>
  <si>
    <t xml:space="preserve">20'x3 </t>
  </si>
  <si>
    <t>2025</t>
  </si>
  <si>
    <t>1301</t>
  </si>
  <si>
    <t>1349</t>
  </si>
  <si>
    <t xml:space="preserve">20'x1 </t>
  </si>
  <si>
    <t>1601</t>
  </si>
  <si>
    <t>0955</t>
  </si>
  <si>
    <t>1201</t>
  </si>
  <si>
    <t>1048</t>
  </si>
  <si>
    <t>0033</t>
  </si>
  <si>
    <t>2023</t>
  </si>
  <si>
    <t>0426</t>
  </si>
  <si>
    <t>0348</t>
  </si>
  <si>
    <t>0600</t>
  </si>
  <si>
    <t>1214</t>
  </si>
  <si>
    <t>1501</t>
  </si>
  <si>
    <t>0022</t>
  </si>
  <si>
    <t>0208</t>
  </si>
  <si>
    <t>0500</t>
  </si>
  <si>
    <t>1044</t>
  </si>
  <si>
    <t xml:space="preserve">40Hx1 </t>
  </si>
  <si>
    <t>DJCF</t>
  </si>
  <si>
    <t>0152N</t>
  </si>
  <si>
    <t>0335</t>
  </si>
  <si>
    <t>0601</t>
  </si>
  <si>
    <t>0129</t>
  </si>
  <si>
    <t>0355</t>
  </si>
  <si>
    <t>0123</t>
  </si>
  <si>
    <t>0400</t>
  </si>
  <si>
    <t>0207</t>
  </si>
  <si>
    <t>0439</t>
  </si>
  <si>
    <t>2016</t>
  </si>
  <si>
    <t>2301</t>
  </si>
  <si>
    <t>0356</t>
  </si>
  <si>
    <t>1257</t>
  </si>
  <si>
    <t>0141</t>
  </si>
  <si>
    <t>0250</t>
  </si>
  <si>
    <t>1230</t>
  </si>
  <si>
    <t>SWBT</t>
  </si>
  <si>
    <t>2616N</t>
  </si>
  <si>
    <t>1005</t>
  </si>
  <si>
    <t>1300</t>
  </si>
  <si>
    <t>2259</t>
  </si>
  <si>
    <t>0102</t>
  </si>
  <si>
    <t>1004</t>
  </si>
  <si>
    <t>1536</t>
  </si>
  <si>
    <t>2229</t>
  </si>
  <si>
    <t>0101</t>
  </si>
  <si>
    <t>VAVDZ5</t>
  </si>
  <si>
    <t>0535</t>
  </si>
  <si>
    <t>0801</t>
  </si>
  <si>
    <t>1132</t>
  </si>
  <si>
    <t>1401</t>
  </si>
  <si>
    <t>0200</t>
  </si>
  <si>
    <t>0501</t>
  </si>
  <si>
    <t>0403</t>
  </si>
  <si>
    <t>2013</t>
  </si>
  <si>
    <t>0122</t>
  </si>
  <si>
    <t>copyเบอร์ตู้มาวาง</t>
  </si>
  <si>
    <t>เปลี่ยนวันที่ตามปฎิทิน</t>
  </si>
  <si>
    <t>เช็ควันคืนตู้</t>
  </si>
  <si>
    <t>Group</t>
  </si>
  <si>
    <t>Size</t>
  </si>
  <si>
    <t>Original Schedule</t>
  </si>
  <si>
    <t>Vssl Delay</t>
  </si>
  <si>
    <t>1st Date allow to return</t>
  </si>
  <si>
    <t>Date In</t>
  </si>
  <si>
    <t>Total Stay</t>
  </si>
  <si>
    <t>Normal F/T Terminal</t>
  </si>
  <si>
    <t>Total Storage Days</t>
  </si>
  <si>
    <t>Total Storage Charge</t>
  </si>
  <si>
    <t xml:space="preserve">Special F/T </t>
  </si>
  <si>
    <t>HQ Ref No. / TML / APP BY</t>
  </si>
  <si>
    <t>Free Time Customer</t>
  </si>
  <si>
    <t>คืนก่อนเรือออก</t>
  </si>
  <si>
    <t>Over F/T Customer</t>
  </si>
  <si>
    <t>Amount due to Customer</t>
  </si>
  <si>
    <t>Collection</t>
  </si>
  <si>
    <t>Amount due to HAL</t>
  </si>
  <si>
    <t>PICK UP</t>
  </si>
  <si>
    <t xml:space="preserve">COMMOM
REMAKRS</t>
  </si>
  <si>
    <t>ROLL</t>
  </si>
  <si>
    <t>=</t>
  </si>
  <si>
    <t>ATD</t>
  </si>
  <si>
    <t>Date Out</t>
  </si>
  <si>
    <t xml:space="preserve">CONTRACT F/T </t>
  </si>
  <si>
    <t>Over Days</t>
  </si>
  <si>
    <t>TTL Storage</t>
  </si>
  <si>
    <t>CUSTOMER PAY</t>
  </si>
  <si>
    <t>HAL PAY</t>
  </si>
  <si>
    <t>HAL / Terminal</t>
  </si>
  <si>
    <t>GP/RF</t>
  </si>
  <si>
    <t>G1</t>
  </si>
  <si>
    <t xml:space="preserve">Terminal </t>
  </si>
  <si>
    <t>LCH04</t>
  </si>
  <si>
    <t>20'</t>
  </si>
  <si>
    <t>40'</t>
  </si>
  <si>
    <t>Terminal</t>
  </si>
  <si>
    <t>Port</t>
  </si>
  <si>
    <t>Code</t>
  </si>
  <si>
    <t>FreeTime</t>
  </si>
  <si>
    <t>Days</t>
  </si>
  <si>
    <t>Day</t>
  </si>
  <si>
    <t>สะสม 20'</t>
  </si>
  <si>
    <t>สะสม 40'</t>
  </si>
  <si>
    <t>LCMT</t>
  </si>
  <si>
    <t>A0 / B1</t>
  </si>
  <si>
    <t>1-3</t>
  </si>
  <si>
    <t>4-10</t>
  </si>
  <si>
    <t>11 ขึ้นไป</t>
  </si>
  <si>
    <t>G2</t>
  </si>
  <si>
    <t>LCH01</t>
  </si>
  <si>
    <t>LCH03</t>
  </si>
  <si>
    <t>LCH05</t>
  </si>
  <si>
    <t>LCH10</t>
  </si>
  <si>
    <t>LCH02</t>
  </si>
  <si>
    <t>LCH09</t>
  </si>
  <si>
    <t>ESCO</t>
  </si>
  <si>
    <t>B3</t>
  </si>
  <si>
    <t>1-7</t>
  </si>
  <si>
    <t>TIPS</t>
  </si>
  <si>
    <t>B4</t>
  </si>
  <si>
    <t>8-14</t>
  </si>
  <si>
    <t>15 -ขึ้นไป</t>
  </si>
  <si>
    <t>LCIT</t>
  </si>
  <si>
    <t>C3 / B5</t>
  </si>
  <si>
    <t>Hutchison</t>
  </si>
  <si>
    <t>A2 / A3</t>
  </si>
  <si>
    <t>C1 / C2 / D1</t>
  </si>
  <si>
    <t>LCH06</t>
  </si>
  <si>
    <t>G3</t>
  </si>
  <si>
    <t>BKK01</t>
  </si>
  <si>
    <t>BKK04</t>
  </si>
  <si>
    <t>PAT</t>
  </si>
  <si>
    <t>G4</t>
  </si>
  <si>
    <t>Unithai</t>
  </si>
  <si>
    <t>Flat Rate</t>
  </si>
  <si>
    <t>Note</t>
  </si>
  <si>
    <t>BKK / RF / KTS + Freetime 1 วัน</t>
  </si>
  <si>
    <t>Customer</t>
  </si>
  <si>
    <t>BKK &amp; LCH / KHS + Freetime 1 วัน</t>
  </si>
  <si>
    <t>IF(A37="20'",VLOOKUP(B37,$K$2:$M$5,2,TRUE)+(B37-VLOOKUP(B37,$K$2:$M$5,1,TRUE))*VLOOKUP(B37,$K$2:$M$5,3,TRUE),VLOOKUP(B37,$N$2:$P$5,2,TRUE)+(B37-VLOOKUP(B37,$N$2:$P$5,1,TRUE))*VLOOKUP(B37,$N$2:$P$5,3,TRUE))</t>
  </si>
  <si>
    <t>IF(A37="20'",VLOOKUP(B37,$R$2:$T$5,2,TRUE)+(B37-VLOOKUP(B37,$R$2:$T$5,1,TRUE))*VLOOKUP(B37,$R$2:$T$5,3,TRUE),VLOOKUP(B37,$U$2:$W$5,2,TRUE)+(B37-VLOOKUP(B37,$U$2:$W$5,1,TRUE))*VLOOKUP(B37,$U$2:$W$5,3,TRUE))</t>
  </si>
  <si>
    <t>BKK01/ BKK04</t>
  </si>
  <si>
    <t>IF(A37="20'",VLOOKUP(B37,$K$18:$M$21,2,TRUE)+(B37-VLOOKUP(B37,$K$18:$M$21,1,TRUE))*VLOOKUP(B37,$K$18:$M$21,3,TRUE),VLOOKUP(B37,$N$18:$P$21,2,TRUE)+(B37-VLOOKUP(B37,$N$18:$P$21,1,TRUE))*VLOOKUP(B37,$N$18:$P$21,3,TRUE))</t>
  </si>
  <si>
    <t>IF(A37="20'",VLOOKUP(B37,$R$18:$T$21,2,TRUE)+(B37-VLOOKUP(B37,$R$18:$T$21,1,TRUE))*VLOOKUP(B37,$R$18:$T$21,3,TRUE),VLOOKUP(B37,$U$18:$W$21,2,TRUE)+(B37-VLOOKUP(B37,$U$18:$W$21,1,TRUE))*VLOOKUP(B37,$U$18:$W$21,3,TRUE))</t>
  </si>
  <si>
    <t>IF(A40="20'",B40*$M$25,B40*$P$25)</t>
  </si>
  <si>
    <t>IF(A40="20'",B40*$T$25,B40*$W$25)</t>
  </si>
  <si>
    <t>Other</t>
  </si>
  <si>
    <t>IF(A41="20'",VLOOKUP(B41,$K$9:$M$12,2,TRUE)+(B41-VLOOKUP(B41,$K$9:$M$12,1,TRUE))*VLOOKUP(B41,$K$9:$M$12,3,TRUE),VLOOKUP(B41,$N$9:$P$12,2,TRUE)+(B41-VLOOKUP(B41,$N$9:$P$12,1,TRUE))*VLOOKUP(B41,$N$9:$P$12,3,TRUE))</t>
  </si>
  <si>
    <t>IF(A41="20'",VLOOKUP(B41,$R$9:$T$12,2,TRUE)+(B41-VLOOKUP(B41,$R$9:$T$12,1,TRUE))*VLOOKUP(B41,$R$9:$T$12,3,TRUE),VLOOKUP(B41,$U$9:$W$12,2,TRUE)+(B41-VLOOKUP(B41,$U$9:$W$12,1,TRUE))*VLOOKUP(B41,$U$9:$W$12,3,TRUE))</t>
  </si>
  <si>
    <t>size</t>
  </si>
  <si>
    <t xml:space="preserve">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</si>
</sst>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&quot;9999&quot;-&quot;99&quot;-&quot;99&quot;"/>
    <numFmt numFmtId="165" formatCode="#,##0.000"/>
    <numFmt numFmtId="166" formatCode="&quot;TOTAL &quot;"/>
    <numFmt numFmtId="167" formatCode="&quot;DG(Cntr)  : &quot;@"/>
    <numFmt numFmtId="168" formatCode="&quot;COC &quot;"/>
    <numFmt numFmtId="169" formatCode="&quot;RF(Plug) : &quot;@"/>
    <numFmt numFmtId="170" formatCode="&quot;SOC &quot;"/>
    <numFmt numFmtId="171" formatCode="&quot;AWK(Cntr) : &quot;@"/>
    <numFmt numFmtId="172" formatCode="&quot;Total(BK)     : &quot;@"/>
    <numFmt numFmtId="173" formatCode="&quot;Total(Cntr) : &quot;@"/>
    <numFmt numFmtId="174" formatCode="&quot;99:99&quot;"/>
    <numFmt numFmtId="175" formatCode="_-* #,##0_-;-* #,##0_-;_-* &quot;-&quot;??_-;_-@_-"/>
    <numFmt numFmtId="176" formatCode="yyyy-mm-dd"/>
    <numFmt numFmtId="177" formatCode="0;-0;;"/>
  </numFmts>
  <fonts count="24" x14ac:knownFonts="1">
    <font>
      <color theme="1"/>
      <family val="2"/>
      <scheme val="minor"/>
      <sz val="11"/>
      <name val="Calibri"/>
    </font>
    <font>
      <charset val="222"/>
      <color theme="1"/>
      <family val="2"/>
      <scheme val="minor"/>
      <sz val="11"/>
      <name val="Tahoma"/>
    </font>
    <font>
      <color rgb="FF000000"/>
      <family val="2"/>
      <sz val="8"/>
      <name val="Tahoma"/>
    </font>
    <font>
      <color rgb="FFFF0000"/>
      <family val="2"/>
      <scheme val="minor"/>
      <sz val="11"/>
      <name val="Tahoma"/>
    </font>
    <font>
      <color rgb="FFFF0000"/>
      <family val="2"/>
      <sz val="8"/>
      <name val="Tahoma"/>
    </font>
    <font>
      <color rgb="FF0000FF"/>
      <family val="2"/>
      <sz val="8"/>
      <name val="Tahoma"/>
    </font>
    <font>
      <color theme="1"/>
      <family val="2"/>
      <sz val="8"/>
      <name val="Tahoma"/>
    </font>
    <font>
      <b/>
      <color theme="1"/>
      <family val="2"/>
      <sz val="8"/>
      <name val="Tahoma"/>
    </font>
    <font>
      <b/>
      <color rgb="FF0000FF"/>
      <family val="2"/>
      <sz val="13"/>
      <name val="Tahoma"/>
    </font>
    <font>
      <b/>
      <color rgb="FFFF0000"/>
      <family val="2"/>
      <sz val="11"/>
      <name val="Tahoma"/>
    </font>
    <font>
      <b/>
      <color theme="1"/>
      <family val="2"/>
      <sz val="13"/>
      <name val="Tahoma"/>
    </font>
    <font>
      <b/>
      <color rgb="FFFF0000"/>
      <family val="2"/>
      <sz val="13"/>
      <name val="Tahoma"/>
    </font>
    <font>
      <b/>
      <color theme="1"/>
      <family val="2"/>
      <sz val="10"/>
      <name val="Tahoma"/>
    </font>
    <font>
      <b/>
      <color rgb="FFFF0000"/>
      <family val="2"/>
      <sz val="10"/>
      <name val="Tahoma"/>
    </font>
    <font>
      <b/>
      <color rgb="FFFF0000"/>
      <family val="2"/>
      <sz val="8"/>
      <name val="Tahoma"/>
    </font>
    <font>
      <family val="2"/>
      <sz val="8"/>
      <name val="Tahoma"/>
    </font>
    <font>
      <family val="2"/>
      <sz val="10"/>
      <name val="Tahoma"/>
    </font>
    <font>
      <color rgb="FF000000"/>
      <family val="2"/>
      <sz val="10"/>
      <name val="Tahoma"/>
    </font>
    <font>
      <color theme="1"/>
      <family val="2"/>
      <sz val="10"/>
      <name val="Tahoma"/>
    </font>
    <font>
      <color rgb="FFFF0000"/>
      <family val="2"/>
      <sz val="10"/>
      <name val="Tahoma"/>
    </font>
    <font>
      <color rgb="FF0000FF"/>
      <family val="2"/>
      <sz val="10"/>
      <name val="Tahoma"/>
    </font>
    <font>
      <color theme="7" tint="-0.249977111117893"/>
      <family val="2"/>
      <sz val="10"/>
      <name val="Tahoma"/>
    </font>
    <font>
      <color rgb="FFCC00CC"/>
      <family val="2"/>
      <sz val="10"/>
      <name val="Tahoma"/>
    </font>
    <font>
      <color theme="1"/>
      <family val="2"/>
      <sz val="9"/>
      <name val="Tahoma"/>
    </font>
  </fonts>
  <fills count="13">
    <fill>
      <patternFill patternType="none"/>
    </fill>
    <fill>
      <patternFill patternType="gray125"/>
    </fill>
    <fill>
      <patternFill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19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 vertical="center" readingOrder="1"/>
    </xf>
    <xf numFmtId="49" fontId="2" fillId="4" borderId="1" xfId="0" applyNumberFormat="1" applyFont="1" applyFill="1" applyBorder="1" applyAlignment="1">
      <alignment horizontal="left" vertical="center" readingOrder="1"/>
    </xf>
    <xf numFmtId="164" fontId="2" fillId="4" borderId="1" xfId="0" applyNumberFormat="1" applyFont="1" applyFill="1" applyBorder="1" applyAlignment="1">
      <alignment horizontal="left" vertical="center" readingOrder="1"/>
    </xf>
    <xf numFmtId="0" fontId="2" fillId="4" borderId="1" xfId="0" applyFont="1" applyFill="1" applyBorder="1" applyAlignment="1">
      <alignment horizontal="left" vertical="center" readingOrder="1"/>
    </xf>
    <xf numFmtId="0" fontId="2" fillId="5" borderId="2" xfId="0" applyFont="1" applyFill="1" applyBorder="1" applyAlignment="1">
      <alignment horizontal="left" vertical="center" readingOrder="1"/>
    </xf>
    <xf numFmtId="165" fontId="2" fillId="5" borderId="3" xfId="0" applyNumberFormat="1" applyFont="1" applyFill="1" applyBorder="1" applyAlignment="1">
      <alignment horizontal="left" vertical="center" readingOrder="1"/>
    </xf>
    <xf numFmtId="0" fontId="2" fillId="5" borderId="4" xfId="0" applyFont="1" applyFill="1" applyBorder="1" applyAlignment="1">
      <alignment horizontal="left" vertical="center" readingOrder="1"/>
    </xf>
    <xf numFmtId="0" fontId="3" fillId="2" borderId="0" xfId="0" applyFont="1" applyFill="1" applyAlignment="1">
      <alignment horizontal="left"/>
    </xf>
    <xf numFmtId="49" fontId="4" fillId="3" borderId="1" xfId="0" applyNumberFormat="1" applyFont="1" applyFill="1" applyBorder="1" applyAlignment="1">
      <alignment horizontal="left" vertical="center" readingOrder="1"/>
    </xf>
    <xf numFmtId="49" fontId="5" fillId="4" borderId="1" xfId="0" applyNumberFormat="1" applyFont="1" applyFill="1" applyBorder="1" applyAlignment="1">
      <alignment horizontal="left" vertical="center" readingOrder="1"/>
    </xf>
    <xf numFmtId="165" fontId="2" fillId="4" borderId="1" xfId="0" applyNumberFormat="1" applyFont="1" applyFill="1" applyBorder="1" applyAlignment="1">
      <alignment horizontal="left" vertical="center" readingOrder="1"/>
    </xf>
    <xf numFmtId="1" fontId="2" fillId="4" borderId="1" xfId="0" applyNumberFormat="1" applyFont="1" applyFill="1" applyBorder="1" applyAlignment="1">
      <alignment horizontal="left" vertical="center" readingOrder="1"/>
    </xf>
    <xf numFmtId="0" fontId="4" fillId="4" borderId="1" xfId="0" applyFont="1" applyFill="1" applyBorder="1" applyAlignment="1">
      <alignment horizontal="left" vertical="center" readingOrder="1"/>
    </xf>
    <xf numFmtId="166" fontId="2" fillId="5" borderId="3" xfId="0" applyNumberFormat="1" applyFont="1" applyFill="1" applyBorder="1" applyAlignment="1">
      <alignment horizontal="left" vertical="center" readingOrder="1"/>
    </xf>
    <xf numFmtId="167" fontId="2" fillId="5" borderId="3" xfId="0" applyNumberFormat="1" applyFont="1" applyFill="1" applyBorder="1" applyAlignment="1">
      <alignment horizontal="left" vertical="center" readingOrder="1"/>
    </xf>
    <xf numFmtId="0" fontId="2" fillId="5" borderId="5" xfId="0" applyFont="1" applyFill="1" applyBorder="1" applyAlignment="1">
      <alignment horizontal="left" vertical="center" readingOrder="1"/>
    </xf>
    <xf numFmtId="0" fontId="2" fillId="5" borderId="3" xfId="0" applyFont="1" applyFill="1" applyBorder="1" applyAlignment="1">
      <alignment horizontal="left" vertical="center" readingOrder="1"/>
    </xf>
    <xf numFmtId="0" fontId="2" fillId="5" borderId="6" xfId="0" applyFont="1" applyFill="1" applyBorder="1" applyAlignment="1">
      <alignment horizontal="left" vertical="center" readingOrder="1"/>
    </xf>
    <xf numFmtId="0" fontId="2" fillId="5" borderId="7" xfId="0" applyFont="1" applyFill="1" applyBorder="1" applyAlignment="1">
      <alignment horizontal="left" vertical="center" readingOrder="1"/>
    </xf>
    <xf numFmtId="0" fontId="4" fillId="5" borderId="6" xfId="0" applyFont="1" applyFill="1" applyBorder="1" applyAlignment="1">
      <alignment horizontal="left" vertical="center" readingOrder="1"/>
    </xf>
    <xf numFmtId="168" fontId="2" fillId="5" borderId="3" xfId="0" applyNumberFormat="1" applyFont="1" applyFill="1" applyBorder="1" applyAlignment="1">
      <alignment horizontal="left" vertical="center" readingOrder="1"/>
    </xf>
    <xf numFmtId="169" fontId="2" fillId="5" borderId="3" xfId="0" applyNumberFormat="1" applyFont="1" applyFill="1" applyBorder="1" applyAlignment="1">
      <alignment horizontal="left" vertical="center" readingOrder="1"/>
    </xf>
    <xf numFmtId="0" fontId="2" fillId="5" borderId="8" xfId="0" applyFont="1" applyFill="1" applyBorder="1" applyAlignment="1">
      <alignment horizontal="left" vertical="center" readingOrder="1"/>
    </xf>
    <xf numFmtId="0" fontId="2" fillId="5" borderId="0" xfId="0" applyFont="1" applyFill="1" applyAlignment="1">
      <alignment horizontal="left" vertical="center" readingOrder="1"/>
    </xf>
    <xf numFmtId="49" fontId="2" fillId="5" borderId="3" xfId="0" applyNumberFormat="1" applyFont="1" applyFill="1" applyBorder="1" applyAlignment="1">
      <alignment horizontal="left" vertical="center" readingOrder="1"/>
    </xf>
    <xf numFmtId="0" fontId="2" fillId="5" borderId="9" xfId="0" applyFont="1" applyFill="1" applyBorder="1" applyAlignment="1">
      <alignment horizontal="left" vertical="center" readingOrder="1"/>
    </xf>
    <xf numFmtId="0" fontId="4" fillId="5" borderId="0" xfId="0" applyFont="1" applyFill="1" applyAlignment="1">
      <alignment horizontal="left" vertical="center" readingOrder="1"/>
    </xf>
    <xf numFmtId="170" fontId="2" fillId="5" borderId="3" xfId="0" applyNumberFormat="1" applyFont="1" applyFill="1" applyBorder="1" applyAlignment="1">
      <alignment horizontal="left" vertical="center" readingOrder="1"/>
    </xf>
    <xf numFmtId="171" fontId="2" fillId="5" borderId="3" xfId="0" applyNumberFormat="1" applyFont="1" applyFill="1" applyBorder="1" applyAlignment="1">
      <alignment horizontal="left" vertical="center" readingOrder="1"/>
    </xf>
    <xf numFmtId="172" fontId="2" fillId="5" borderId="3" xfId="0" applyNumberFormat="1" applyFont="1" applyFill="1" applyBorder="1" applyAlignment="1">
      <alignment horizontal="left" vertical="center" readingOrder="1"/>
    </xf>
    <xf numFmtId="173" fontId="2" fillId="5" borderId="3" xfId="0" applyNumberFormat="1" applyFont="1" applyFill="1" applyBorder="1" applyAlignment="1">
      <alignment horizontal="left" vertical="center" readingOrder="1"/>
    </xf>
    <xf numFmtId="0" fontId="2" fillId="5" borderId="10" xfId="0" applyFont="1" applyFill="1" applyBorder="1" applyAlignment="1">
      <alignment horizontal="left" vertical="center" readingOrder="1"/>
    </xf>
    <xf numFmtId="0" fontId="2" fillId="5" borderId="11" xfId="0" applyFont="1" applyFill="1" applyBorder="1" applyAlignment="1">
      <alignment horizontal="left" vertical="center" readingOrder="1"/>
    </xf>
    <xf numFmtId="0" fontId="2" fillId="5" borderId="12" xfId="0" applyFont="1" applyFill="1" applyBorder="1" applyAlignment="1">
      <alignment horizontal="left" vertical="center" readingOrder="1"/>
    </xf>
    <xf numFmtId="0" fontId="4" fillId="5" borderId="11" xfId="0" applyFont="1" applyFill="1" applyBorder="1" applyAlignment="1">
      <alignment horizontal="left" vertical="center" readingOrder="1"/>
    </xf>
    <xf numFmtId="49" fontId="2" fillId="3" borderId="1" xfId="0" applyNumberFormat="1" applyFont="1" applyFill="1" applyBorder="1" applyAlignment="1">
      <alignment horizontal="center" vertical="center" readingOrder="1"/>
    </xf>
    <xf numFmtId="49" fontId="2" fillId="6" borderId="1" xfId="0" applyNumberFormat="1" applyFont="1" applyFill="1" applyBorder="1" applyAlignment="1">
      <alignment horizontal="left" vertical="center" readingOrder="1"/>
    </xf>
    <xf numFmtId="164" fontId="2" fillId="6" borderId="1" xfId="0" applyNumberFormat="1" applyFont="1" applyFill="1" applyBorder="1" applyAlignment="1">
      <alignment horizontal="left" vertical="center" readingOrder="1"/>
    </xf>
    <xf numFmtId="174" fontId="2" fillId="6" borderId="1" xfId="0" applyNumberFormat="1" applyFont="1" applyFill="1" applyBorder="1" applyAlignment="1">
      <alignment horizontal="left" vertical="center" readingOrder="1"/>
    </xf>
    <xf numFmtId="49" fontId="2" fillId="7" borderId="1" xfId="0" applyNumberFormat="1" applyFont="1" applyFill="1" applyBorder="1" applyAlignment="1">
      <alignment horizontal="left" vertical="center" readingOrder="1"/>
    </xf>
    <xf numFmtId="174" fontId="2" fillId="4" borderId="1" xfId="0" applyNumberFormat="1" applyFont="1" applyFill="1" applyBorder="1" applyAlignment="1">
      <alignment horizontal="left" vertical="center" readingOrder="1"/>
    </xf>
    <xf numFmtId="4" fontId="2" fillId="4" borderId="1" xfId="0" applyNumberFormat="1" applyFont="1" applyFill="1" applyBorder="1" applyAlignment="1">
      <alignment horizontal="right" vertical="center" readingOrder="1"/>
    </xf>
    <xf numFmtId="0" fontId="6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8" fillId="2" borderId="13" xfId="0" applyFont="1" applyFill="1" applyBorder="1" applyAlignment="1">
      <alignment vertical="center" wrapText="1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13" xfId="0" applyFont="1" applyFill="1" applyBorder="1" applyAlignment="1">
      <alignment horizontal="center" vertical="center" wrapText="1"/>
    </xf>
    <xf numFmtId="0" fontId="1" fillId="2" borderId="13" xfId="0" applyFont="1" applyFill="1" applyBorder="1"/>
    <xf numFmtId="0" fontId="10" fillId="2" borderId="0" xfId="0" applyFont="1" applyFill="1" applyAlignment="1">
      <alignment vertical="center"/>
    </xf>
    <xf numFmtId="0" fontId="11" fillId="2" borderId="13" xfId="0" applyFont="1" applyFill="1" applyBorder="1" applyAlignment="1">
      <alignment vertical="center" wrapText="1"/>
    </xf>
    <xf numFmtId="175" fontId="12" fillId="2" borderId="0" xfId="0" applyNumberFormat="1" applyFont="1" applyFill="1" applyAlignment="1">
      <alignment vertical="center"/>
    </xf>
    <xf numFmtId="175" fontId="13" fillId="2" borderId="0" xfId="0" applyNumberFormat="1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1" fillId="2" borderId="0" xfId="0" applyFont="1" applyFill="1"/>
    <xf numFmtId="49" fontId="15" fillId="8" borderId="14" xfId="0" applyNumberFormat="1" applyFont="1" applyFill="1" applyBorder="1" applyAlignment="1">
      <alignment horizontal="center" vertical="center"/>
    </xf>
    <xf numFmtId="49" fontId="4" fillId="2" borderId="15" xfId="0" applyNumberFormat="1" applyFont="1" applyFill="1" applyBorder="1" applyAlignment="1">
      <alignment horizontal="center" vertical="center"/>
    </xf>
    <xf numFmtId="49" fontId="15" fillId="9" borderId="15" xfId="0" applyNumberFormat="1" applyFont="1" applyFill="1" applyBorder="1" applyAlignment="1">
      <alignment horizontal="center" vertical="center"/>
    </xf>
    <xf numFmtId="49" fontId="15" fillId="3" borderId="15" xfId="0" applyNumberFormat="1" applyFont="1" applyFill="1" applyBorder="1" applyAlignment="1">
      <alignment horizontal="center" vertical="center"/>
    </xf>
    <xf numFmtId="49" fontId="2" fillId="3" borderId="15" xfId="0" applyNumberFormat="1" applyFont="1" applyFill="1" applyBorder="1" applyAlignment="1">
      <alignment horizontal="center" vertical="center" readingOrder="1"/>
    </xf>
    <xf numFmtId="49" fontId="16" fillId="3" borderId="15" xfId="0" applyNumberFormat="1" applyFont="1" applyFill="1" applyBorder="1" applyAlignment="1">
      <alignment horizontal="center" vertical="center"/>
    </xf>
    <xf numFmtId="49" fontId="15" fillId="3" borderId="15" xfId="0" applyNumberFormat="1" applyFont="1" applyFill="1" applyBorder="1" applyAlignment="1">
      <alignment horizontal="center" vertical="center" wrapText="1"/>
    </xf>
    <xf numFmtId="0" fontId="6" fillId="9" borderId="15" xfId="0" applyFont="1" applyFill="1" applyBorder="1" applyAlignment="1">
      <alignment horizontal="center" vertical="center" wrapText="1"/>
    </xf>
    <xf numFmtId="0" fontId="4" fillId="9" borderId="15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49" fontId="4" fillId="10" borderId="15" xfId="0" applyNumberFormat="1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15" fillId="10" borderId="15" xfId="0" applyFont="1" applyFill="1" applyBorder="1" applyAlignment="1">
      <alignment horizontal="center" vertical="center" wrapText="1"/>
    </xf>
    <xf numFmtId="49" fontId="15" fillId="10" borderId="15" xfId="0" applyNumberFormat="1" applyFont="1" applyFill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center" readingOrder="1"/>
    </xf>
    <xf numFmtId="49" fontId="17" fillId="3" borderId="1" xfId="0" applyNumberFormat="1" applyFont="1" applyFill="1" applyBorder="1" applyAlignment="1">
      <alignment horizontal="left" vertical="center" wrapText="1" readingOrder="1"/>
    </xf>
    <xf numFmtId="0" fontId="4" fillId="2" borderId="15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left" vertical="center"/>
    </xf>
    <xf numFmtId="0" fontId="6" fillId="2" borderId="15" xfId="0" applyFont="1" applyFill="1" applyBorder="1" applyAlignment="1">
      <alignment horizontal="center" vertical="center"/>
    </xf>
    <xf numFmtId="1" fontId="6" fillId="2" borderId="15" xfId="0" applyNumberFormat="1" applyFont="1" applyFill="1" applyBorder="1" applyAlignment="1">
      <alignment horizontal="center" vertical="center"/>
    </xf>
    <xf numFmtId="176" fontId="4" fillId="2" borderId="15" xfId="0" applyNumberFormat="1" applyFont="1" applyFill="1" applyBorder="1" applyAlignment="1">
      <alignment horizontal="center" vertical="center"/>
    </xf>
    <xf numFmtId="0" fontId="6" fillId="11" borderId="15" xfId="0" applyFont="1" applyFill="1" applyBorder="1" applyAlignment="1">
      <alignment horizontal="center" vertical="center"/>
    </xf>
    <xf numFmtId="1" fontId="4" fillId="2" borderId="15" xfId="0" applyNumberFormat="1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vertical="center"/>
    </xf>
    <xf numFmtId="49" fontId="6" fillId="9" borderId="15" xfId="0" applyNumberFormat="1" applyFont="1" applyFill="1" applyBorder="1" applyAlignment="1">
      <alignment horizontal="center" vertical="center"/>
    </xf>
    <xf numFmtId="49" fontId="6" fillId="2" borderId="15" xfId="0" applyNumberFormat="1" applyFont="1" applyFill="1" applyBorder="1" applyAlignment="1">
      <alignment horizontal="center" vertical="center"/>
    </xf>
    <xf numFmtId="0" fontId="6" fillId="10" borderId="15" xfId="0" applyFont="1" applyFill="1" applyBorder="1" applyAlignment="1">
      <alignment horizontal="center" vertical="center" wrapText="1"/>
    </xf>
    <xf numFmtId="49" fontId="15" fillId="2" borderId="15" xfId="0" applyNumberFormat="1" applyFont="1" applyFill="1" applyBorder="1" applyAlignment="1">
      <alignment horizontal="center" vertical="center"/>
    </xf>
    <xf numFmtId="49" fontId="15" fillId="2" borderId="16" xfId="0" applyNumberFormat="1" applyFont="1" applyFill="1" applyBorder="1" applyAlignment="1">
      <alignment horizontal="center" vertical="center"/>
    </xf>
    <xf numFmtId="49" fontId="15" fillId="4" borderId="1" xfId="0" applyNumberFormat="1" applyFont="1" applyFill="1" applyBorder="1" applyAlignment="1">
      <alignment horizontal="left" vertical="center" readingOrder="1"/>
    </xf>
    <xf numFmtId="177" fontId="15" fillId="2" borderId="17" xfId="0" applyNumberFormat="1" applyFont="1" applyFill="1" applyBorder="1" applyAlignment="1">
      <alignment horizontal="center" vertical="center"/>
    </xf>
    <xf numFmtId="49" fontId="15" fillId="2" borderId="17" xfId="0" applyNumberFormat="1" applyFont="1" applyFill="1" applyBorder="1" applyAlignment="1">
      <alignment horizontal="center" vertical="center"/>
    </xf>
    <xf numFmtId="177" fontId="14" fillId="2" borderId="15" xfId="0" applyNumberFormat="1" applyFont="1" applyFill="1" applyBorder="1" applyAlignment="1">
      <alignment horizontal="center" vertical="center"/>
    </xf>
    <xf numFmtId="177" fontId="6" fillId="2" borderId="15" xfId="0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left" vertical="center"/>
    </xf>
    <xf numFmtId="0" fontId="18" fillId="2" borderId="18" xfId="0" applyFont="1" applyFill="1" applyBorder="1" applyAlignment="1">
      <alignment horizontal="center" vertical="center"/>
    </xf>
    <xf numFmtId="0" fontId="1" fillId="2" borderId="18" xfId="0" applyFont="1" applyFill="1" applyBorder="1"/>
    <xf numFmtId="0" fontId="18" fillId="10" borderId="0" xfId="0" applyFont="1" applyFill="1" applyAlignment="1">
      <alignment horizontal="center" vertical="center"/>
    </xf>
    <xf numFmtId="0" fontId="19" fillId="2" borderId="18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8" xfId="0" applyFont="1" applyFill="1" applyBorder="1" applyAlignment="1">
      <alignment vertical="center"/>
    </xf>
    <xf numFmtId="0" fontId="20" fillId="2" borderId="18" xfId="0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0" fillId="2" borderId="0" xfId="0" applyFont="1" applyFill="1"/>
    <xf numFmtId="1" fontId="18" fillId="2" borderId="0" xfId="0" applyNumberFormat="1" applyFont="1" applyFill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49" fontId="18" fillId="2" borderId="0" xfId="0" applyNumberFormat="1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1" fontId="22" fillId="2" borderId="0" xfId="0" applyNumberFormat="1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8" fillId="12" borderId="0" xfId="0" applyFont="1" applyFill="1" applyAlignment="1">
      <alignment horizontal="center" vertical="center"/>
    </xf>
    <xf numFmtId="0" fontId="18" fillId="11" borderId="0" xfId="0" applyFont="1" applyFill="1" applyAlignment="1">
      <alignment horizontal="center" vertical="center"/>
    </xf>
    <xf numFmtId="0" fontId="18" fillId="2" borderId="13" xfId="0" applyFont="1" applyFill="1" applyBorder="1" applyAlignment="1">
      <alignment horizontal="center" vertical="center"/>
    </xf>
    <xf numFmtId="0" fontId="18" fillId="2" borderId="13" xfId="0" applyFont="1" applyFill="1" applyBorder="1" applyAlignment="1">
      <alignment horizontal="left" vertical="center"/>
    </xf>
    <xf numFmtId="49" fontId="18" fillId="2" borderId="13" xfId="0" applyNumberFormat="1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/>
    </xf>
    <xf numFmtId="0" fontId="18" fillId="12" borderId="13" xfId="0" applyFont="1" applyFill="1" applyBorder="1" applyAlignment="1">
      <alignment horizontal="center" vertical="center"/>
    </xf>
    <xf numFmtId="1" fontId="22" fillId="2" borderId="13" xfId="0" applyNumberFormat="1" applyFont="1" applyFill="1" applyBorder="1" applyAlignment="1">
      <alignment horizontal="center" vertical="center"/>
    </xf>
    <xf numFmtId="0" fontId="22" fillId="2" borderId="13" xfId="0" applyFont="1" applyFill="1" applyBorder="1" applyAlignment="1">
      <alignment horizontal="center" vertical="center"/>
    </xf>
    <xf numFmtId="0" fontId="18" fillId="11" borderId="13" xfId="0" applyFont="1" applyFill="1" applyBorder="1" applyAlignment="1">
      <alignment horizontal="center" vertical="center"/>
    </xf>
    <xf numFmtId="1" fontId="18" fillId="12" borderId="0" xfId="0" applyNumberFormat="1" applyFont="1" applyFill="1"/>
    <xf numFmtId="1" fontId="18" fillId="11" borderId="0" xfId="0" applyNumberFormat="1" applyFont="1" applyFill="1"/>
    <xf numFmtId="1" fontId="18" fillId="2" borderId="0" xfId="0" applyNumberFormat="1" applyFont="1" applyFill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20" fillId="2" borderId="0" xfId="0" applyFont="1" applyFill="1" applyAlignment="1">
      <alignment vertical="center"/>
    </xf>
    <xf numFmtId="0" fontId="23" fillId="2" borderId="0" xfId="0" applyFont="1" applyFill="1" applyAlignment="1">
      <alignment horizontal="center"/>
    </xf>
    <xf numFmtId="0" fontId="23" fillId="2" borderId="0" xfId="0" applyFont="1" applyFill="1"/>
    <xf numFmtId="1" fontId="23" fillId="2" borderId="0" xfId="0" applyNumberFormat="1" applyFont="1" applyFill="1"/>
    <xf numFmtId="0" fontId="19" fillId="10" borderId="13" xfId="0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1" fontId="22" fillId="10" borderId="0" xfId="0" applyNumberFormat="1" applyFont="1" applyFill="1" applyAlignment="1">
      <alignment horizontal="center" vertical="center"/>
    </xf>
    <xf numFmtId="0" fontId="22" fillId="10" borderId="0" xfId="0" applyFont="1" applyFill="1" applyAlignment="1">
      <alignment horizontal="center" vertical="center"/>
    </xf>
    <xf numFmtId="1" fontId="22" fillId="10" borderId="13" xfId="0" applyNumberFormat="1" applyFont="1" applyFill="1" applyBorder="1" applyAlignment="1">
      <alignment horizontal="center" vertical="center"/>
    </xf>
    <xf numFmtId="0" fontId="22" fillId="10" borderId="13" xfId="0" applyFont="1" applyFill="1" applyBorder="1" applyAlignment="1">
      <alignment horizontal="center" vertical="center"/>
    </xf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C198"/>
  <sheetViews>
    <sheetView workbookViewId="0" zoomScale="100" zoomScaleNormal="100">
      <selection activeCell="A2" sqref="A2"/>
    </sheetView>
  </sheetViews>
  <sheetFormatPr defaultRowHeight="12.95" outlineLevelRow="0" outlineLevelCol="0" x14ac:dyDescent="0" customHeight="1"/>
  <cols>
    <col min="1" max="1" width="9.5" style="1" customWidth="1"/>
    <col min="2" max="2" width="7.875" style="1" customWidth="1"/>
    <col min="3" max="3" width="4.625" style="1" customWidth="1"/>
    <col min="4" max="4" width="5.375" style="1" customWidth="1"/>
    <col min="5" max="5" width="6.625" style="1" customWidth="1"/>
    <col min="6" max="6" width="2.625" style="1" customWidth="1"/>
    <col min="7" max="8" width="4.75" style="1" customWidth="1"/>
    <col min="9" max="9" width="5" style="1" customWidth="1"/>
    <col min="10" max="10" width="5.125" style="1" customWidth="1"/>
    <col min="11" max="11" width="2.875" style="1" customWidth="1"/>
    <col min="12" max="12" width="8.375" style="1" customWidth="1"/>
    <col min="13" max="13" width="7.625" style="1" customWidth="1"/>
    <col min="14" max="14" width="5.875" style="1" customWidth="1"/>
    <col min="15" max="15" width="3.75" style="1" customWidth="1"/>
    <col min="16" max="16" width="4.75" style="1" customWidth="1"/>
    <col min="17" max="17" width="13.125" style="1" customWidth="1"/>
    <col min="18" max="18" width="2.875" style="1" customWidth="1"/>
    <col min="19" max="19" width="4.5" style="1" customWidth="1"/>
    <col min="20" max="20" width="5.25" style="1" customWidth="1"/>
    <col min="21" max="21" width="5.375" style="1" customWidth="1"/>
    <col min="22" max="22" width="7.25" style="1" customWidth="1"/>
    <col min="23" max="23" width="26.625" style="1" customWidth="1"/>
    <col min="24" max="24" width="8.25" style="1" customWidth="1"/>
    <col min="25" max="26" width="26.75" style="1" customWidth="1"/>
    <col min="27" max="27" width="9.875" style="1" customWidth="1"/>
    <col min="28" max="28" width="8.625" style="1" customWidth="1"/>
    <col min="29" max="29" width="8.875" style="1" customWidth="1"/>
    <col min="30" max="256" width="9" style="1" customWidth="1"/>
    <col min="257" max="257" width="9.5" style="1" customWidth="1"/>
    <col min="258" max="258" width="7.875" style="1" customWidth="1"/>
    <col min="259" max="259" width="4.625" style="1" customWidth="1"/>
    <col min="260" max="260" width="5.375" style="1" customWidth="1"/>
    <col min="261" max="261" width="6.625" style="1" customWidth="1"/>
    <col min="262" max="262" width="2.625" style="1" customWidth="1"/>
    <col min="263" max="264" width="4.75" style="1" customWidth="1"/>
    <col min="265" max="265" width="5" style="1" customWidth="1"/>
    <col min="266" max="266" width="5.125" style="1" customWidth="1"/>
    <col min="267" max="267" width="2.875" style="1" customWidth="1"/>
    <col min="268" max="268" width="8.375" style="1" customWidth="1"/>
    <col min="269" max="269" width="7.625" style="1" customWidth="1"/>
    <col min="270" max="270" width="5.875" style="1" customWidth="1"/>
    <col min="271" max="271" width="3.75" style="1" customWidth="1"/>
    <col min="272" max="272" width="4.75" style="1" customWidth="1"/>
    <col min="273" max="273" width="13.125" style="1" customWidth="1"/>
    <col min="274" max="274" width="2.875" style="1" customWidth="1"/>
    <col min="275" max="275" width="4.5" style="1" customWidth="1"/>
    <col min="276" max="276" width="5.25" style="1" customWidth="1"/>
    <col min="277" max="277" width="5.375" style="1" customWidth="1"/>
    <col min="278" max="278" width="7.25" style="1" customWidth="1"/>
    <col min="279" max="279" width="26.625" style="1" customWidth="1"/>
    <col min="280" max="280" width="8.25" style="1" customWidth="1"/>
    <col min="281" max="282" width="26.75" style="1" customWidth="1"/>
    <col min="283" max="283" width="9.875" style="1" customWidth="1"/>
    <col min="284" max="284" width="8.625" style="1" customWidth="1"/>
    <col min="285" max="285" width="8.875" style="1" customWidth="1"/>
    <col min="286" max="512" width="9" style="1" customWidth="1"/>
    <col min="513" max="513" width="9.5" style="1" customWidth="1"/>
    <col min="514" max="514" width="7.875" style="1" customWidth="1"/>
    <col min="515" max="515" width="4.625" style="1" customWidth="1"/>
    <col min="516" max="516" width="5.375" style="1" customWidth="1"/>
    <col min="517" max="517" width="6.625" style="1" customWidth="1"/>
    <col min="518" max="518" width="2.625" style="1" customWidth="1"/>
    <col min="519" max="520" width="4.75" style="1" customWidth="1"/>
    <col min="521" max="521" width="5" style="1" customWidth="1"/>
    <col min="522" max="522" width="5.125" style="1" customWidth="1"/>
    <col min="523" max="523" width="2.875" style="1" customWidth="1"/>
    <col min="524" max="524" width="8.375" style="1" customWidth="1"/>
    <col min="525" max="525" width="7.625" style="1" customWidth="1"/>
    <col min="526" max="526" width="5.875" style="1" customWidth="1"/>
    <col min="527" max="527" width="3.75" style="1" customWidth="1"/>
    <col min="528" max="528" width="4.75" style="1" customWidth="1"/>
    <col min="529" max="529" width="13.125" style="1" customWidth="1"/>
    <col min="530" max="530" width="2.875" style="1" customWidth="1"/>
    <col min="531" max="531" width="4.5" style="1" customWidth="1"/>
    <col min="532" max="532" width="5.25" style="1" customWidth="1"/>
    <col min="533" max="533" width="5.375" style="1" customWidth="1"/>
    <col min="534" max="534" width="7.25" style="1" customWidth="1"/>
    <col min="535" max="535" width="26.625" style="1" customWidth="1"/>
    <col min="536" max="536" width="8.25" style="1" customWidth="1"/>
    <col min="537" max="538" width="26.75" style="1" customWidth="1"/>
    <col min="539" max="539" width="9.875" style="1" customWidth="1"/>
    <col min="540" max="540" width="8.625" style="1" customWidth="1"/>
    <col min="541" max="541" width="8.875" style="1" customWidth="1"/>
    <col min="542" max="768" width="9" style="1" customWidth="1"/>
    <col min="769" max="769" width="9.5" style="1" customWidth="1"/>
    <col min="770" max="770" width="7.875" style="1" customWidth="1"/>
    <col min="771" max="771" width="4.625" style="1" customWidth="1"/>
    <col min="772" max="772" width="5.375" style="1" customWidth="1"/>
    <col min="773" max="773" width="6.625" style="1" customWidth="1"/>
    <col min="774" max="774" width="2.625" style="1" customWidth="1"/>
    <col min="775" max="776" width="4.75" style="1" customWidth="1"/>
    <col min="777" max="777" width="5" style="1" customWidth="1"/>
    <col min="778" max="778" width="5.125" style="1" customWidth="1"/>
    <col min="779" max="779" width="2.875" style="1" customWidth="1"/>
    <col min="780" max="780" width="8.375" style="1" customWidth="1"/>
    <col min="781" max="781" width="7.625" style="1" customWidth="1"/>
    <col min="782" max="782" width="5.875" style="1" customWidth="1"/>
    <col min="783" max="783" width="3.75" style="1" customWidth="1"/>
    <col min="784" max="784" width="4.75" style="1" customWidth="1"/>
    <col min="785" max="785" width="13.125" style="1" customWidth="1"/>
    <col min="786" max="786" width="2.875" style="1" customWidth="1"/>
    <col min="787" max="787" width="4.5" style="1" customWidth="1"/>
    <col min="788" max="788" width="5.25" style="1" customWidth="1"/>
    <col min="789" max="789" width="5.375" style="1" customWidth="1"/>
    <col min="790" max="790" width="7.25" style="1" customWidth="1"/>
    <col min="791" max="791" width="26.625" style="1" customWidth="1"/>
    <col min="792" max="792" width="8.25" style="1" customWidth="1"/>
    <col min="793" max="794" width="26.75" style="1" customWidth="1"/>
    <col min="795" max="795" width="9.875" style="1" customWidth="1"/>
    <col min="796" max="796" width="8.625" style="1" customWidth="1"/>
    <col min="797" max="797" width="8.875" style="1" customWidth="1"/>
    <col min="798" max="1024" width="9" style="1" customWidth="1"/>
    <col min="1025" max="1025" width="9.5" style="1" customWidth="1"/>
    <col min="1026" max="1026" width="7.875" style="1" customWidth="1"/>
    <col min="1027" max="1027" width="4.625" style="1" customWidth="1"/>
    <col min="1028" max="1028" width="5.375" style="1" customWidth="1"/>
    <col min="1029" max="1029" width="6.625" style="1" customWidth="1"/>
    <col min="1030" max="1030" width="2.625" style="1" customWidth="1"/>
    <col min="1031" max="1032" width="4.75" style="1" customWidth="1"/>
    <col min="1033" max="1033" width="5" style="1" customWidth="1"/>
    <col min="1034" max="1034" width="5.125" style="1" customWidth="1"/>
    <col min="1035" max="1035" width="2.875" style="1" customWidth="1"/>
    <col min="1036" max="1036" width="8.375" style="1" customWidth="1"/>
    <col min="1037" max="1037" width="7.625" style="1" customWidth="1"/>
    <col min="1038" max="1038" width="5.875" style="1" customWidth="1"/>
    <col min="1039" max="1039" width="3.75" style="1" customWidth="1"/>
    <col min="1040" max="1040" width="4.75" style="1" customWidth="1"/>
    <col min="1041" max="1041" width="13.125" style="1" customWidth="1"/>
    <col min="1042" max="1042" width="2.875" style="1" customWidth="1"/>
    <col min="1043" max="1043" width="4.5" style="1" customWidth="1"/>
    <col min="1044" max="1044" width="5.25" style="1" customWidth="1"/>
    <col min="1045" max="1045" width="5.375" style="1" customWidth="1"/>
    <col min="1046" max="1046" width="7.25" style="1" customWidth="1"/>
    <col min="1047" max="1047" width="26.625" style="1" customWidth="1"/>
    <col min="1048" max="1048" width="8.25" style="1" customWidth="1"/>
    <col min="1049" max="1050" width="26.75" style="1" customWidth="1"/>
    <col min="1051" max="1051" width="9.875" style="1" customWidth="1"/>
    <col min="1052" max="1052" width="8.625" style="1" customWidth="1"/>
    <col min="1053" max="1053" width="8.875" style="1" customWidth="1"/>
    <col min="1054" max="1280" width="9" style="1" customWidth="1"/>
    <col min="1281" max="1281" width="9.5" style="1" customWidth="1"/>
    <col min="1282" max="1282" width="7.875" style="1" customWidth="1"/>
    <col min="1283" max="1283" width="4.625" style="1" customWidth="1"/>
    <col min="1284" max="1284" width="5.375" style="1" customWidth="1"/>
    <col min="1285" max="1285" width="6.625" style="1" customWidth="1"/>
    <col min="1286" max="1286" width="2.625" style="1" customWidth="1"/>
    <col min="1287" max="1288" width="4.75" style="1" customWidth="1"/>
    <col min="1289" max="1289" width="5" style="1" customWidth="1"/>
    <col min="1290" max="1290" width="5.125" style="1" customWidth="1"/>
    <col min="1291" max="1291" width="2.875" style="1" customWidth="1"/>
    <col min="1292" max="1292" width="8.375" style="1" customWidth="1"/>
    <col min="1293" max="1293" width="7.625" style="1" customWidth="1"/>
    <col min="1294" max="1294" width="5.875" style="1" customWidth="1"/>
    <col min="1295" max="1295" width="3.75" style="1" customWidth="1"/>
    <col min="1296" max="1296" width="4.75" style="1" customWidth="1"/>
    <col min="1297" max="1297" width="13.125" style="1" customWidth="1"/>
    <col min="1298" max="1298" width="2.875" style="1" customWidth="1"/>
    <col min="1299" max="1299" width="4.5" style="1" customWidth="1"/>
    <col min="1300" max="1300" width="5.25" style="1" customWidth="1"/>
    <col min="1301" max="1301" width="5.375" style="1" customWidth="1"/>
    <col min="1302" max="1302" width="7.25" style="1" customWidth="1"/>
    <col min="1303" max="1303" width="26.625" style="1" customWidth="1"/>
    <col min="1304" max="1304" width="8.25" style="1" customWidth="1"/>
    <col min="1305" max="1306" width="26.75" style="1" customWidth="1"/>
    <col min="1307" max="1307" width="9.875" style="1" customWidth="1"/>
    <col min="1308" max="1308" width="8.625" style="1" customWidth="1"/>
    <col min="1309" max="1309" width="8.875" style="1" customWidth="1"/>
    <col min="1310" max="1536" width="9" style="1" customWidth="1"/>
    <col min="1537" max="1537" width="9.5" style="1" customWidth="1"/>
    <col min="1538" max="1538" width="7.875" style="1" customWidth="1"/>
    <col min="1539" max="1539" width="4.625" style="1" customWidth="1"/>
    <col min="1540" max="1540" width="5.375" style="1" customWidth="1"/>
    <col min="1541" max="1541" width="6.625" style="1" customWidth="1"/>
    <col min="1542" max="1542" width="2.625" style="1" customWidth="1"/>
    <col min="1543" max="1544" width="4.75" style="1" customWidth="1"/>
    <col min="1545" max="1545" width="5" style="1" customWidth="1"/>
    <col min="1546" max="1546" width="5.125" style="1" customWidth="1"/>
    <col min="1547" max="1547" width="2.875" style="1" customWidth="1"/>
    <col min="1548" max="1548" width="8.375" style="1" customWidth="1"/>
    <col min="1549" max="1549" width="7.625" style="1" customWidth="1"/>
    <col min="1550" max="1550" width="5.875" style="1" customWidth="1"/>
    <col min="1551" max="1551" width="3.75" style="1" customWidth="1"/>
    <col min="1552" max="1552" width="4.75" style="1" customWidth="1"/>
    <col min="1553" max="1553" width="13.125" style="1" customWidth="1"/>
    <col min="1554" max="1554" width="2.875" style="1" customWidth="1"/>
    <col min="1555" max="1555" width="4.5" style="1" customWidth="1"/>
    <col min="1556" max="1556" width="5.25" style="1" customWidth="1"/>
    <col min="1557" max="1557" width="5.375" style="1" customWidth="1"/>
    <col min="1558" max="1558" width="7.25" style="1" customWidth="1"/>
    <col min="1559" max="1559" width="26.625" style="1" customWidth="1"/>
    <col min="1560" max="1560" width="8.25" style="1" customWidth="1"/>
    <col min="1561" max="1562" width="26.75" style="1" customWidth="1"/>
    <col min="1563" max="1563" width="9.875" style="1" customWidth="1"/>
    <col min="1564" max="1564" width="8.625" style="1" customWidth="1"/>
    <col min="1565" max="1565" width="8.875" style="1" customWidth="1"/>
    <col min="1566" max="1792" width="9" style="1" customWidth="1"/>
    <col min="1793" max="1793" width="9.5" style="1" customWidth="1"/>
    <col min="1794" max="1794" width="7.875" style="1" customWidth="1"/>
    <col min="1795" max="1795" width="4.625" style="1" customWidth="1"/>
    <col min="1796" max="1796" width="5.375" style="1" customWidth="1"/>
    <col min="1797" max="1797" width="6.625" style="1" customWidth="1"/>
    <col min="1798" max="1798" width="2.625" style="1" customWidth="1"/>
    <col min="1799" max="1800" width="4.75" style="1" customWidth="1"/>
    <col min="1801" max="1801" width="5" style="1" customWidth="1"/>
    <col min="1802" max="1802" width="5.125" style="1" customWidth="1"/>
    <col min="1803" max="1803" width="2.875" style="1" customWidth="1"/>
    <col min="1804" max="1804" width="8.375" style="1" customWidth="1"/>
    <col min="1805" max="1805" width="7.625" style="1" customWidth="1"/>
    <col min="1806" max="1806" width="5.875" style="1" customWidth="1"/>
    <col min="1807" max="1807" width="3.75" style="1" customWidth="1"/>
    <col min="1808" max="1808" width="4.75" style="1" customWidth="1"/>
    <col min="1809" max="1809" width="13.125" style="1" customWidth="1"/>
    <col min="1810" max="1810" width="2.875" style="1" customWidth="1"/>
    <col min="1811" max="1811" width="4.5" style="1" customWidth="1"/>
    <col min="1812" max="1812" width="5.25" style="1" customWidth="1"/>
    <col min="1813" max="1813" width="5.375" style="1" customWidth="1"/>
    <col min="1814" max="1814" width="7.25" style="1" customWidth="1"/>
    <col min="1815" max="1815" width="26.625" style="1" customWidth="1"/>
    <col min="1816" max="1816" width="8.25" style="1" customWidth="1"/>
    <col min="1817" max="1818" width="26.75" style="1" customWidth="1"/>
    <col min="1819" max="1819" width="9.875" style="1" customWidth="1"/>
    <col min="1820" max="1820" width="8.625" style="1" customWidth="1"/>
    <col min="1821" max="1821" width="8.875" style="1" customWidth="1"/>
    <col min="1822" max="2048" width="9" style="1" customWidth="1"/>
    <col min="2049" max="2049" width="9.5" style="1" customWidth="1"/>
    <col min="2050" max="2050" width="7.875" style="1" customWidth="1"/>
    <col min="2051" max="2051" width="4.625" style="1" customWidth="1"/>
    <col min="2052" max="2052" width="5.375" style="1" customWidth="1"/>
    <col min="2053" max="2053" width="6.625" style="1" customWidth="1"/>
    <col min="2054" max="2054" width="2.625" style="1" customWidth="1"/>
    <col min="2055" max="2056" width="4.75" style="1" customWidth="1"/>
    <col min="2057" max="2057" width="5" style="1" customWidth="1"/>
    <col min="2058" max="2058" width="5.125" style="1" customWidth="1"/>
    <col min="2059" max="2059" width="2.875" style="1" customWidth="1"/>
    <col min="2060" max="2060" width="8.375" style="1" customWidth="1"/>
    <col min="2061" max="2061" width="7.625" style="1" customWidth="1"/>
    <col min="2062" max="2062" width="5.875" style="1" customWidth="1"/>
    <col min="2063" max="2063" width="3.75" style="1" customWidth="1"/>
    <col min="2064" max="2064" width="4.75" style="1" customWidth="1"/>
    <col min="2065" max="2065" width="13.125" style="1" customWidth="1"/>
    <col min="2066" max="2066" width="2.875" style="1" customWidth="1"/>
    <col min="2067" max="2067" width="4.5" style="1" customWidth="1"/>
    <col min="2068" max="2068" width="5.25" style="1" customWidth="1"/>
    <col min="2069" max="2069" width="5.375" style="1" customWidth="1"/>
    <col min="2070" max="2070" width="7.25" style="1" customWidth="1"/>
    <col min="2071" max="2071" width="26.625" style="1" customWidth="1"/>
    <col min="2072" max="2072" width="8.25" style="1" customWidth="1"/>
    <col min="2073" max="2074" width="26.75" style="1" customWidth="1"/>
    <col min="2075" max="2075" width="9.875" style="1" customWidth="1"/>
    <col min="2076" max="2076" width="8.625" style="1" customWidth="1"/>
    <col min="2077" max="2077" width="8.875" style="1" customWidth="1"/>
    <col min="2078" max="2304" width="9" style="1" customWidth="1"/>
    <col min="2305" max="2305" width="9.5" style="1" customWidth="1"/>
    <col min="2306" max="2306" width="7.875" style="1" customWidth="1"/>
    <col min="2307" max="2307" width="4.625" style="1" customWidth="1"/>
    <col min="2308" max="2308" width="5.375" style="1" customWidth="1"/>
    <col min="2309" max="2309" width="6.625" style="1" customWidth="1"/>
    <col min="2310" max="2310" width="2.625" style="1" customWidth="1"/>
    <col min="2311" max="2312" width="4.75" style="1" customWidth="1"/>
    <col min="2313" max="2313" width="5" style="1" customWidth="1"/>
    <col min="2314" max="2314" width="5.125" style="1" customWidth="1"/>
    <col min="2315" max="2315" width="2.875" style="1" customWidth="1"/>
    <col min="2316" max="2316" width="8.375" style="1" customWidth="1"/>
    <col min="2317" max="2317" width="7.625" style="1" customWidth="1"/>
    <col min="2318" max="2318" width="5.875" style="1" customWidth="1"/>
    <col min="2319" max="2319" width="3.75" style="1" customWidth="1"/>
    <col min="2320" max="2320" width="4.75" style="1" customWidth="1"/>
    <col min="2321" max="2321" width="13.125" style="1" customWidth="1"/>
    <col min="2322" max="2322" width="2.875" style="1" customWidth="1"/>
    <col min="2323" max="2323" width="4.5" style="1" customWidth="1"/>
    <col min="2324" max="2324" width="5.25" style="1" customWidth="1"/>
    <col min="2325" max="2325" width="5.375" style="1" customWidth="1"/>
    <col min="2326" max="2326" width="7.25" style="1" customWidth="1"/>
    <col min="2327" max="2327" width="26.625" style="1" customWidth="1"/>
    <col min="2328" max="2328" width="8.25" style="1" customWidth="1"/>
    <col min="2329" max="2330" width="26.75" style="1" customWidth="1"/>
    <col min="2331" max="2331" width="9.875" style="1" customWidth="1"/>
    <col min="2332" max="2332" width="8.625" style="1" customWidth="1"/>
    <col min="2333" max="2333" width="8.875" style="1" customWidth="1"/>
    <col min="2334" max="2560" width="9" style="1" customWidth="1"/>
    <col min="2561" max="2561" width="9.5" style="1" customWidth="1"/>
    <col min="2562" max="2562" width="7.875" style="1" customWidth="1"/>
    <col min="2563" max="2563" width="4.625" style="1" customWidth="1"/>
    <col min="2564" max="2564" width="5.375" style="1" customWidth="1"/>
    <col min="2565" max="2565" width="6.625" style="1" customWidth="1"/>
    <col min="2566" max="2566" width="2.625" style="1" customWidth="1"/>
    <col min="2567" max="2568" width="4.75" style="1" customWidth="1"/>
    <col min="2569" max="2569" width="5" style="1" customWidth="1"/>
    <col min="2570" max="2570" width="5.125" style="1" customWidth="1"/>
    <col min="2571" max="2571" width="2.875" style="1" customWidth="1"/>
    <col min="2572" max="2572" width="8.375" style="1" customWidth="1"/>
    <col min="2573" max="2573" width="7.625" style="1" customWidth="1"/>
    <col min="2574" max="2574" width="5.875" style="1" customWidth="1"/>
    <col min="2575" max="2575" width="3.75" style="1" customWidth="1"/>
    <col min="2576" max="2576" width="4.75" style="1" customWidth="1"/>
    <col min="2577" max="2577" width="13.125" style="1" customWidth="1"/>
    <col min="2578" max="2578" width="2.875" style="1" customWidth="1"/>
    <col min="2579" max="2579" width="4.5" style="1" customWidth="1"/>
    <col min="2580" max="2580" width="5.25" style="1" customWidth="1"/>
    <col min="2581" max="2581" width="5.375" style="1" customWidth="1"/>
    <col min="2582" max="2582" width="7.25" style="1" customWidth="1"/>
    <col min="2583" max="2583" width="26.625" style="1" customWidth="1"/>
    <col min="2584" max="2584" width="8.25" style="1" customWidth="1"/>
    <col min="2585" max="2586" width="26.75" style="1" customWidth="1"/>
    <col min="2587" max="2587" width="9.875" style="1" customWidth="1"/>
    <col min="2588" max="2588" width="8.625" style="1" customWidth="1"/>
    <col min="2589" max="2589" width="8.875" style="1" customWidth="1"/>
    <col min="2590" max="2816" width="9" style="1" customWidth="1"/>
    <col min="2817" max="2817" width="9.5" style="1" customWidth="1"/>
    <col min="2818" max="2818" width="7.875" style="1" customWidth="1"/>
    <col min="2819" max="2819" width="4.625" style="1" customWidth="1"/>
    <col min="2820" max="2820" width="5.375" style="1" customWidth="1"/>
    <col min="2821" max="2821" width="6.625" style="1" customWidth="1"/>
    <col min="2822" max="2822" width="2.625" style="1" customWidth="1"/>
    <col min="2823" max="2824" width="4.75" style="1" customWidth="1"/>
    <col min="2825" max="2825" width="5" style="1" customWidth="1"/>
    <col min="2826" max="2826" width="5.125" style="1" customWidth="1"/>
    <col min="2827" max="2827" width="2.875" style="1" customWidth="1"/>
    <col min="2828" max="2828" width="8.375" style="1" customWidth="1"/>
    <col min="2829" max="2829" width="7.625" style="1" customWidth="1"/>
    <col min="2830" max="2830" width="5.875" style="1" customWidth="1"/>
    <col min="2831" max="2831" width="3.75" style="1" customWidth="1"/>
    <col min="2832" max="2832" width="4.75" style="1" customWidth="1"/>
    <col min="2833" max="2833" width="13.125" style="1" customWidth="1"/>
    <col min="2834" max="2834" width="2.875" style="1" customWidth="1"/>
    <col min="2835" max="2835" width="4.5" style="1" customWidth="1"/>
    <col min="2836" max="2836" width="5.25" style="1" customWidth="1"/>
    <col min="2837" max="2837" width="5.375" style="1" customWidth="1"/>
    <col min="2838" max="2838" width="7.25" style="1" customWidth="1"/>
    <col min="2839" max="2839" width="26.625" style="1" customWidth="1"/>
    <col min="2840" max="2840" width="8.25" style="1" customWidth="1"/>
    <col min="2841" max="2842" width="26.75" style="1" customWidth="1"/>
    <col min="2843" max="2843" width="9.875" style="1" customWidth="1"/>
    <col min="2844" max="2844" width="8.625" style="1" customWidth="1"/>
    <col min="2845" max="2845" width="8.875" style="1" customWidth="1"/>
    <col min="2846" max="3072" width="9" style="1" customWidth="1"/>
    <col min="3073" max="3073" width="9.5" style="1" customWidth="1"/>
    <col min="3074" max="3074" width="7.875" style="1" customWidth="1"/>
    <col min="3075" max="3075" width="4.625" style="1" customWidth="1"/>
    <col min="3076" max="3076" width="5.375" style="1" customWidth="1"/>
    <col min="3077" max="3077" width="6.625" style="1" customWidth="1"/>
    <col min="3078" max="3078" width="2.625" style="1" customWidth="1"/>
    <col min="3079" max="3080" width="4.75" style="1" customWidth="1"/>
    <col min="3081" max="3081" width="5" style="1" customWidth="1"/>
    <col min="3082" max="3082" width="5.125" style="1" customWidth="1"/>
    <col min="3083" max="3083" width="2.875" style="1" customWidth="1"/>
    <col min="3084" max="3084" width="8.375" style="1" customWidth="1"/>
    <col min="3085" max="3085" width="7.625" style="1" customWidth="1"/>
    <col min="3086" max="3086" width="5.875" style="1" customWidth="1"/>
    <col min="3087" max="3087" width="3.75" style="1" customWidth="1"/>
    <col min="3088" max="3088" width="4.75" style="1" customWidth="1"/>
    <col min="3089" max="3089" width="13.125" style="1" customWidth="1"/>
    <col min="3090" max="3090" width="2.875" style="1" customWidth="1"/>
    <col min="3091" max="3091" width="4.5" style="1" customWidth="1"/>
    <col min="3092" max="3092" width="5.25" style="1" customWidth="1"/>
    <col min="3093" max="3093" width="5.375" style="1" customWidth="1"/>
    <col min="3094" max="3094" width="7.25" style="1" customWidth="1"/>
    <col min="3095" max="3095" width="26.625" style="1" customWidth="1"/>
    <col min="3096" max="3096" width="8.25" style="1" customWidth="1"/>
    <col min="3097" max="3098" width="26.75" style="1" customWidth="1"/>
    <col min="3099" max="3099" width="9.875" style="1" customWidth="1"/>
    <col min="3100" max="3100" width="8.625" style="1" customWidth="1"/>
    <col min="3101" max="3101" width="8.875" style="1" customWidth="1"/>
    <col min="3102" max="3328" width="9" style="1" customWidth="1"/>
    <col min="3329" max="3329" width="9.5" style="1" customWidth="1"/>
    <col min="3330" max="3330" width="7.875" style="1" customWidth="1"/>
    <col min="3331" max="3331" width="4.625" style="1" customWidth="1"/>
    <col min="3332" max="3332" width="5.375" style="1" customWidth="1"/>
    <col min="3333" max="3333" width="6.625" style="1" customWidth="1"/>
    <col min="3334" max="3334" width="2.625" style="1" customWidth="1"/>
    <col min="3335" max="3336" width="4.75" style="1" customWidth="1"/>
    <col min="3337" max="3337" width="5" style="1" customWidth="1"/>
    <col min="3338" max="3338" width="5.125" style="1" customWidth="1"/>
    <col min="3339" max="3339" width="2.875" style="1" customWidth="1"/>
    <col min="3340" max="3340" width="8.375" style="1" customWidth="1"/>
    <col min="3341" max="3341" width="7.625" style="1" customWidth="1"/>
    <col min="3342" max="3342" width="5.875" style="1" customWidth="1"/>
    <col min="3343" max="3343" width="3.75" style="1" customWidth="1"/>
    <col min="3344" max="3344" width="4.75" style="1" customWidth="1"/>
    <col min="3345" max="3345" width="13.125" style="1" customWidth="1"/>
    <col min="3346" max="3346" width="2.875" style="1" customWidth="1"/>
    <col min="3347" max="3347" width="4.5" style="1" customWidth="1"/>
    <col min="3348" max="3348" width="5.25" style="1" customWidth="1"/>
    <col min="3349" max="3349" width="5.375" style="1" customWidth="1"/>
    <col min="3350" max="3350" width="7.25" style="1" customWidth="1"/>
    <col min="3351" max="3351" width="26.625" style="1" customWidth="1"/>
    <col min="3352" max="3352" width="8.25" style="1" customWidth="1"/>
    <col min="3353" max="3354" width="26.75" style="1" customWidth="1"/>
    <col min="3355" max="3355" width="9.875" style="1" customWidth="1"/>
    <col min="3356" max="3356" width="8.625" style="1" customWidth="1"/>
    <col min="3357" max="3357" width="8.875" style="1" customWidth="1"/>
    <col min="3358" max="3584" width="9" style="1" customWidth="1"/>
    <col min="3585" max="3585" width="9.5" style="1" customWidth="1"/>
    <col min="3586" max="3586" width="7.875" style="1" customWidth="1"/>
    <col min="3587" max="3587" width="4.625" style="1" customWidth="1"/>
    <col min="3588" max="3588" width="5.375" style="1" customWidth="1"/>
    <col min="3589" max="3589" width="6.625" style="1" customWidth="1"/>
    <col min="3590" max="3590" width="2.625" style="1" customWidth="1"/>
    <col min="3591" max="3592" width="4.75" style="1" customWidth="1"/>
    <col min="3593" max="3593" width="5" style="1" customWidth="1"/>
    <col min="3594" max="3594" width="5.125" style="1" customWidth="1"/>
    <col min="3595" max="3595" width="2.875" style="1" customWidth="1"/>
    <col min="3596" max="3596" width="8.375" style="1" customWidth="1"/>
    <col min="3597" max="3597" width="7.625" style="1" customWidth="1"/>
    <col min="3598" max="3598" width="5.875" style="1" customWidth="1"/>
    <col min="3599" max="3599" width="3.75" style="1" customWidth="1"/>
    <col min="3600" max="3600" width="4.75" style="1" customWidth="1"/>
    <col min="3601" max="3601" width="13.125" style="1" customWidth="1"/>
    <col min="3602" max="3602" width="2.875" style="1" customWidth="1"/>
    <col min="3603" max="3603" width="4.5" style="1" customWidth="1"/>
    <col min="3604" max="3604" width="5.25" style="1" customWidth="1"/>
    <col min="3605" max="3605" width="5.375" style="1" customWidth="1"/>
    <col min="3606" max="3606" width="7.25" style="1" customWidth="1"/>
    <col min="3607" max="3607" width="26.625" style="1" customWidth="1"/>
    <col min="3608" max="3608" width="8.25" style="1" customWidth="1"/>
    <col min="3609" max="3610" width="26.75" style="1" customWidth="1"/>
    <col min="3611" max="3611" width="9.875" style="1" customWidth="1"/>
    <col min="3612" max="3612" width="8.625" style="1" customWidth="1"/>
    <col min="3613" max="3613" width="8.875" style="1" customWidth="1"/>
    <col min="3614" max="3840" width="9" style="1" customWidth="1"/>
    <col min="3841" max="3841" width="9.5" style="1" customWidth="1"/>
    <col min="3842" max="3842" width="7.875" style="1" customWidth="1"/>
    <col min="3843" max="3843" width="4.625" style="1" customWidth="1"/>
    <col min="3844" max="3844" width="5.375" style="1" customWidth="1"/>
    <col min="3845" max="3845" width="6.625" style="1" customWidth="1"/>
    <col min="3846" max="3846" width="2.625" style="1" customWidth="1"/>
    <col min="3847" max="3848" width="4.75" style="1" customWidth="1"/>
    <col min="3849" max="3849" width="5" style="1" customWidth="1"/>
    <col min="3850" max="3850" width="5.125" style="1" customWidth="1"/>
    <col min="3851" max="3851" width="2.875" style="1" customWidth="1"/>
    <col min="3852" max="3852" width="8.375" style="1" customWidth="1"/>
    <col min="3853" max="3853" width="7.625" style="1" customWidth="1"/>
    <col min="3854" max="3854" width="5.875" style="1" customWidth="1"/>
    <col min="3855" max="3855" width="3.75" style="1" customWidth="1"/>
    <col min="3856" max="3856" width="4.75" style="1" customWidth="1"/>
    <col min="3857" max="3857" width="13.125" style="1" customWidth="1"/>
    <col min="3858" max="3858" width="2.875" style="1" customWidth="1"/>
    <col min="3859" max="3859" width="4.5" style="1" customWidth="1"/>
    <col min="3860" max="3860" width="5.25" style="1" customWidth="1"/>
    <col min="3861" max="3861" width="5.375" style="1" customWidth="1"/>
    <col min="3862" max="3862" width="7.25" style="1" customWidth="1"/>
    <col min="3863" max="3863" width="26.625" style="1" customWidth="1"/>
    <col min="3864" max="3864" width="8.25" style="1" customWidth="1"/>
    <col min="3865" max="3866" width="26.75" style="1" customWidth="1"/>
    <col min="3867" max="3867" width="9.875" style="1" customWidth="1"/>
    <col min="3868" max="3868" width="8.625" style="1" customWidth="1"/>
    <col min="3869" max="3869" width="8.875" style="1" customWidth="1"/>
    <col min="3870" max="4096" width="9" style="1" customWidth="1"/>
    <col min="4097" max="4097" width="9.5" style="1" customWidth="1"/>
    <col min="4098" max="4098" width="7.875" style="1" customWidth="1"/>
    <col min="4099" max="4099" width="4.625" style="1" customWidth="1"/>
    <col min="4100" max="4100" width="5.375" style="1" customWidth="1"/>
    <col min="4101" max="4101" width="6.625" style="1" customWidth="1"/>
    <col min="4102" max="4102" width="2.625" style="1" customWidth="1"/>
    <col min="4103" max="4104" width="4.75" style="1" customWidth="1"/>
    <col min="4105" max="4105" width="5" style="1" customWidth="1"/>
    <col min="4106" max="4106" width="5.125" style="1" customWidth="1"/>
    <col min="4107" max="4107" width="2.875" style="1" customWidth="1"/>
    <col min="4108" max="4108" width="8.375" style="1" customWidth="1"/>
    <col min="4109" max="4109" width="7.625" style="1" customWidth="1"/>
    <col min="4110" max="4110" width="5.875" style="1" customWidth="1"/>
    <col min="4111" max="4111" width="3.75" style="1" customWidth="1"/>
    <col min="4112" max="4112" width="4.75" style="1" customWidth="1"/>
    <col min="4113" max="4113" width="13.125" style="1" customWidth="1"/>
    <col min="4114" max="4114" width="2.875" style="1" customWidth="1"/>
    <col min="4115" max="4115" width="4.5" style="1" customWidth="1"/>
    <col min="4116" max="4116" width="5.25" style="1" customWidth="1"/>
    <col min="4117" max="4117" width="5.375" style="1" customWidth="1"/>
    <col min="4118" max="4118" width="7.25" style="1" customWidth="1"/>
    <col min="4119" max="4119" width="26.625" style="1" customWidth="1"/>
    <col min="4120" max="4120" width="8.25" style="1" customWidth="1"/>
    <col min="4121" max="4122" width="26.75" style="1" customWidth="1"/>
    <col min="4123" max="4123" width="9.875" style="1" customWidth="1"/>
    <col min="4124" max="4124" width="8.625" style="1" customWidth="1"/>
    <col min="4125" max="4125" width="8.875" style="1" customWidth="1"/>
    <col min="4126" max="4352" width="9" style="1" customWidth="1"/>
    <col min="4353" max="4353" width="9.5" style="1" customWidth="1"/>
    <col min="4354" max="4354" width="7.875" style="1" customWidth="1"/>
    <col min="4355" max="4355" width="4.625" style="1" customWidth="1"/>
    <col min="4356" max="4356" width="5.375" style="1" customWidth="1"/>
    <col min="4357" max="4357" width="6.625" style="1" customWidth="1"/>
    <col min="4358" max="4358" width="2.625" style="1" customWidth="1"/>
    <col min="4359" max="4360" width="4.75" style="1" customWidth="1"/>
    <col min="4361" max="4361" width="5" style="1" customWidth="1"/>
    <col min="4362" max="4362" width="5.125" style="1" customWidth="1"/>
    <col min="4363" max="4363" width="2.875" style="1" customWidth="1"/>
    <col min="4364" max="4364" width="8.375" style="1" customWidth="1"/>
    <col min="4365" max="4365" width="7.625" style="1" customWidth="1"/>
    <col min="4366" max="4366" width="5.875" style="1" customWidth="1"/>
    <col min="4367" max="4367" width="3.75" style="1" customWidth="1"/>
    <col min="4368" max="4368" width="4.75" style="1" customWidth="1"/>
    <col min="4369" max="4369" width="13.125" style="1" customWidth="1"/>
    <col min="4370" max="4370" width="2.875" style="1" customWidth="1"/>
    <col min="4371" max="4371" width="4.5" style="1" customWidth="1"/>
    <col min="4372" max="4372" width="5.25" style="1" customWidth="1"/>
    <col min="4373" max="4373" width="5.375" style="1" customWidth="1"/>
    <col min="4374" max="4374" width="7.25" style="1" customWidth="1"/>
    <col min="4375" max="4375" width="26.625" style="1" customWidth="1"/>
    <col min="4376" max="4376" width="8.25" style="1" customWidth="1"/>
    <col min="4377" max="4378" width="26.75" style="1" customWidth="1"/>
    <col min="4379" max="4379" width="9.875" style="1" customWidth="1"/>
    <col min="4380" max="4380" width="8.625" style="1" customWidth="1"/>
    <col min="4381" max="4381" width="8.875" style="1" customWidth="1"/>
    <col min="4382" max="4608" width="9" style="1" customWidth="1"/>
    <col min="4609" max="4609" width="9.5" style="1" customWidth="1"/>
    <col min="4610" max="4610" width="7.875" style="1" customWidth="1"/>
    <col min="4611" max="4611" width="4.625" style="1" customWidth="1"/>
    <col min="4612" max="4612" width="5.375" style="1" customWidth="1"/>
    <col min="4613" max="4613" width="6.625" style="1" customWidth="1"/>
    <col min="4614" max="4614" width="2.625" style="1" customWidth="1"/>
    <col min="4615" max="4616" width="4.75" style="1" customWidth="1"/>
    <col min="4617" max="4617" width="5" style="1" customWidth="1"/>
    <col min="4618" max="4618" width="5.125" style="1" customWidth="1"/>
    <col min="4619" max="4619" width="2.875" style="1" customWidth="1"/>
    <col min="4620" max="4620" width="8.375" style="1" customWidth="1"/>
    <col min="4621" max="4621" width="7.625" style="1" customWidth="1"/>
    <col min="4622" max="4622" width="5.875" style="1" customWidth="1"/>
    <col min="4623" max="4623" width="3.75" style="1" customWidth="1"/>
    <col min="4624" max="4624" width="4.75" style="1" customWidth="1"/>
    <col min="4625" max="4625" width="13.125" style="1" customWidth="1"/>
    <col min="4626" max="4626" width="2.875" style="1" customWidth="1"/>
    <col min="4627" max="4627" width="4.5" style="1" customWidth="1"/>
    <col min="4628" max="4628" width="5.25" style="1" customWidth="1"/>
    <col min="4629" max="4629" width="5.375" style="1" customWidth="1"/>
    <col min="4630" max="4630" width="7.25" style="1" customWidth="1"/>
    <col min="4631" max="4631" width="26.625" style="1" customWidth="1"/>
    <col min="4632" max="4632" width="8.25" style="1" customWidth="1"/>
    <col min="4633" max="4634" width="26.75" style="1" customWidth="1"/>
    <col min="4635" max="4635" width="9.875" style="1" customWidth="1"/>
    <col min="4636" max="4636" width="8.625" style="1" customWidth="1"/>
    <col min="4637" max="4637" width="8.875" style="1" customWidth="1"/>
    <col min="4638" max="4864" width="9" style="1" customWidth="1"/>
    <col min="4865" max="4865" width="9.5" style="1" customWidth="1"/>
    <col min="4866" max="4866" width="7.875" style="1" customWidth="1"/>
    <col min="4867" max="4867" width="4.625" style="1" customWidth="1"/>
    <col min="4868" max="4868" width="5.375" style="1" customWidth="1"/>
    <col min="4869" max="4869" width="6.625" style="1" customWidth="1"/>
    <col min="4870" max="4870" width="2.625" style="1" customWidth="1"/>
    <col min="4871" max="4872" width="4.75" style="1" customWidth="1"/>
    <col min="4873" max="4873" width="5" style="1" customWidth="1"/>
    <col min="4874" max="4874" width="5.125" style="1" customWidth="1"/>
    <col min="4875" max="4875" width="2.875" style="1" customWidth="1"/>
    <col min="4876" max="4876" width="8.375" style="1" customWidth="1"/>
    <col min="4877" max="4877" width="7.625" style="1" customWidth="1"/>
    <col min="4878" max="4878" width="5.875" style="1" customWidth="1"/>
    <col min="4879" max="4879" width="3.75" style="1" customWidth="1"/>
    <col min="4880" max="4880" width="4.75" style="1" customWidth="1"/>
    <col min="4881" max="4881" width="13.125" style="1" customWidth="1"/>
    <col min="4882" max="4882" width="2.875" style="1" customWidth="1"/>
    <col min="4883" max="4883" width="4.5" style="1" customWidth="1"/>
    <col min="4884" max="4884" width="5.25" style="1" customWidth="1"/>
    <col min="4885" max="4885" width="5.375" style="1" customWidth="1"/>
    <col min="4886" max="4886" width="7.25" style="1" customWidth="1"/>
    <col min="4887" max="4887" width="26.625" style="1" customWidth="1"/>
    <col min="4888" max="4888" width="8.25" style="1" customWidth="1"/>
    <col min="4889" max="4890" width="26.75" style="1" customWidth="1"/>
    <col min="4891" max="4891" width="9.875" style="1" customWidth="1"/>
    <col min="4892" max="4892" width="8.625" style="1" customWidth="1"/>
    <col min="4893" max="4893" width="8.875" style="1" customWidth="1"/>
    <col min="4894" max="5120" width="9" style="1" customWidth="1"/>
    <col min="5121" max="5121" width="9.5" style="1" customWidth="1"/>
    <col min="5122" max="5122" width="7.875" style="1" customWidth="1"/>
    <col min="5123" max="5123" width="4.625" style="1" customWidth="1"/>
    <col min="5124" max="5124" width="5.375" style="1" customWidth="1"/>
    <col min="5125" max="5125" width="6.625" style="1" customWidth="1"/>
    <col min="5126" max="5126" width="2.625" style="1" customWidth="1"/>
    <col min="5127" max="5128" width="4.75" style="1" customWidth="1"/>
    <col min="5129" max="5129" width="5" style="1" customWidth="1"/>
    <col min="5130" max="5130" width="5.125" style="1" customWidth="1"/>
    <col min="5131" max="5131" width="2.875" style="1" customWidth="1"/>
    <col min="5132" max="5132" width="8.375" style="1" customWidth="1"/>
    <col min="5133" max="5133" width="7.625" style="1" customWidth="1"/>
    <col min="5134" max="5134" width="5.875" style="1" customWidth="1"/>
    <col min="5135" max="5135" width="3.75" style="1" customWidth="1"/>
    <col min="5136" max="5136" width="4.75" style="1" customWidth="1"/>
    <col min="5137" max="5137" width="13.125" style="1" customWidth="1"/>
    <col min="5138" max="5138" width="2.875" style="1" customWidth="1"/>
    <col min="5139" max="5139" width="4.5" style="1" customWidth="1"/>
    <col min="5140" max="5140" width="5.25" style="1" customWidth="1"/>
    <col min="5141" max="5141" width="5.375" style="1" customWidth="1"/>
    <col min="5142" max="5142" width="7.25" style="1" customWidth="1"/>
    <col min="5143" max="5143" width="26.625" style="1" customWidth="1"/>
    <col min="5144" max="5144" width="8.25" style="1" customWidth="1"/>
    <col min="5145" max="5146" width="26.75" style="1" customWidth="1"/>
    <col min="5147" max="5147" width="9.875" style="1" customWidth="1"/>
    <col min="5148" max="5148" width="8.625" style="1" customWidth="1"/>
    <col min="5149" max="5149" width="8.875" style="1" customWidth="1"/>
    <col min="5150" max="5376" width="9" style="1" customWidth="1"/>
    <col min="5377" max="5377" width="9.5" style="1" customWidth="1"/>
    <col min="5378" max="5378" width="7.875" style="1" customWidth="1"/>
    <col min="5379" max="5379" width="4.625" style="1" customWidth="1"/>
    <col min="5380" max="5380" width="5.375" style="1" customWidth="1"/>
    <col min="5381" max="5381" width="6.625" style="1" customWidth="1"/>
    <col min="5382" max="5382" width="2.625" style="1" customWidth="1"/>
    <col min="5383" max="5384" width="4.75" style="1" customWidth="1"/>
    <col min="5385" max="5385" width="5" style="1" customWidth="1"/>
    <col min="5386" max="5386" width="5.125" style="1" customWidth="1"/>
    <col min="5387" max="5387" width="2.875" style="1" customWidth="1"/>
    <col min="5388" max="5388" width="8.375" style="1" customWidth="1"/>
    <col min="5389" max="5389" width="7.625" style="1" customWidth="1"/>
    <col min="5390" max="5390" width="5.875" style="1" customWidth="1"/>
    <col min="5391" max="5391" width="3.75" style="1" customWidth="1"/>
    <col min="5392" max="5392" width="4.75" style="1" customWidth="1"/>
    <col min="5393" max="5393" width="13.125" style="1" customWidth="1"/>
    <col min="5394" max="5394" width="2.875" style="1" customWidth="1"/>
    <col min="5395" max="5395" width="4.5" style="1" customWidth="1"/>
    <col min="5396" max="5396" width="5.25" style="1" customWidth="1"/>
    <col min="5397" max="5397" width="5.375" style="1" customWidth="1"/>
    <col min="5398" max="5398" width="7.25" style="1" customWidth="1"/>
    <col min="5399" max="5399" width="26.625" style="1" customWidth="1"/>
    <col min="5400" max="5400" width="8.25" style="1" customWidth="1"/>
    <col min="5401" max="5402" width="26.75" style="1" customWidth="1"/>
    <col min="5403" max="5403" width="9.875" style="1" customWidth="1"/>
    <col min="5404" max="5404" width="8.625" style="1" customWidth="1"/>
    <col min="5405" max="5405" width="8.875" style="1" customWidth="1"/>
    <col min="5406" max="5632" width="9" style="1" customWidth="1"/>
    <col min="5633" max="5633" width="9.5" style="1" customWidth="1"/>
    <col min="5634" max="5634" width="7.875" style="1" customWidth="1"/>
    <col min="5635" max="5635" width="4.625" style="1" customWidth="1"/>
    <col min="5636" max="5636" width="5.375" style="1" customWidth="1"/>
    <col min="5637" max="5637" width="6.625" style="1" customWidth="1"/>
    <col min="5638" max="5638" width="2.625" style="1" customWidth="1"/>
    <col min="5639" max="5640" width="4.75" style="1" customWidth="1"/>
    <col min="5641" max="5641" width="5" style="1" customWidth="1"/>
    <col min="5642" max="5642" width="5.125" style="1" customWidth="1"/>
    <col min="5643" max="5643" width="2.875" style="1" customWidth="1"/>
    <col min="5644" max="5644" width="8.375" style="1" customWidth="1"/>
    <col min="5645" max="5645" width="7.625" style="1" customWidth="1"/>
    <col min="5646" max="5646" width="5.875" style="1" customWidth="1"/>
    <col min="5647" max="5647" width="3.75" style="1" customWidth="1"/>
    <col min="5648" max="5648" width="4.75" style="1" customWidth="1"/>
    <col min="5649" max="5649" width="13.125" style="1" customWidth="1"/>
    <col min="5650" max="5650" width="2.875" style="1" customWidth="1"/>
    <col min="5651" max="5651" width="4.5" style="1" customWidth="1"/>
    <col min="5652" max="5652" width="5.25" style="1" customWidth="1"/>
    <col min="5653" max="5653" width="5.375" style="1" customWidth="1"/>
    <col min="5654" max="5654" width="7.25" style="1" customWidth="1"/>
    <col min="5655" max="5655" width="26.625" style="1" customWidth="1"/>
    <col min="5656" max="5656" width="8.25" style="1" customWidth="1"/>
    <col min="5657" max="5658" width="26.75" style="1" customWidth="1"/>
    <col min="5659" max="5659" width="9.875" style="1" customWidth="1"/>
    <col min="5660" max="5660" width="8.625" style="1" customWidth="1"/>
    <col min="5661" max="5661" width="8.875" style="1" customWidth="1"/>
    <col min="5662" max="5888" width="9" style="1" customWidth="1"/>
    <col min="5889" max="5889" width="9.5" style="1" customWidth="1"/>
    <col min="5890" max="5890" width="7.875" style="1" customWidth="1"/>
    <col min="5891" max="5891" width="4.625" style="1" customWidth="1"/>
    <col min="5892" max="5892" width="5.375" style="1" customWidth="1"/>
    <col min="5893" max="5893" width="6.625" style="1" customWidth="1"/>
    <col min="5894" max="5894" width="2.625" style="1" customWidth="1"/>
    <col min="5895" max="5896" width="4.75" style="1" customWidth="1"/>
    <col min="5897" max="5897" width="5" style="1" customWidth="1"/>
    <col min="5898" max="5898" width="5.125" style="1" customWidth="1"/>
    <col min="5899" max="5899" width="2.875" style="1" customWidth="1"/>
    <col min="5900" max="5900" width="8.375" style="1" customWidth="1"/>
    <col min="5901" max="5901" width="7.625" style="1" customWidth="1"/>
    <col min="5902" max="5902" width="5.875" style="1" customWidth="1"/>
    <col min="5903" max="5903" width="3.75" style="1" customWidth="1"/>
    <col min="5904" max="5904" width="4.75" style="1" customWidth="1"/>
    <col min="5905" max="5905" width="13.125" style="1" customWidth="1"/>
    <col min="5906" max="5906" width="2.875" style="1" customWidth="1"/>
    <col min="5907" max="5907" width="4.5" style="1" customWidth="1"/>
    <col min="5908" max="5908" width="5.25" style="1" customWidth="1"/>
    <col min="5909" max="5909" width="5.375" style="1" customWidth="1"/>
    <col min="5910" max="5910" width="7.25" style="1" customWidth="1"/>
    <col min="5911" max="5911" width="26.625" style="1" customWidth="1"/>
    <col min="5912" max="5912" width="8.25" style="1" customWidth="1"/>
    <col min="5913" max="5914" width="26.75" style="1" customWidth="1"/>
    <col min="5915" max="5915" width="9.875" style="1" customWidth="1"/>
    <col min="5916" max="5916" width="8.625" style="1" customWidth="1"/>
    <col min="5917" max="5917" width="8.875" style="1" customWidth="1"/>
    <col min="5918" max="6144" width="9" style="1" customWidth="1"/>
    <col min="6145" max="6145" width="9.5" style="1" customWidth="1"/>
    <col min="6146" max="6146" width="7.875" style="1" customWidth="1"/>
    <col min="6147" max="6147" width="4.625" style="1" customWidth="1"/>
    <col min="6148" max="6148" width="5.375" style="1" customWidth="1"/>
    <col min="6149" max="6149" width="6.625" style="1" customWidth="1"/>
    <col min="6150" max="6150" width="2.625" style="1" customWidth="1"/>
    <col min="6151" max="6152" width="4.75" style="1" customWidth="1"/>
    <col min="6153" max="6153" width="5" style="1" customWidth="1"/>
    <col min="6154" max="6154" width="5.125" style="1" customWidth="1"/>
    <col min="6155" max="6155" width="2.875" style="1" customWidth="1"/>
    <col min="6156" max="6156" width="8.375" style="1" customWidth="1"/>
    <col min="6157" max="6157" width="7.625" style="1" customWidth="1"/>
    <col min="6158" max="6158" width="5.875" style="1" customWidth="1"/>
    <col min="6159" max="6159" width="3.75" style="1" customWidth="1"/>
    <col min="6160" max="6160" width="4.75" style="1" customWidth="1"/>
    <col min="6161" max="6161" width="13.125" style="1" customWidth="1"/>
    <col min="6162" max="6162" width="2.875" style="1" customWidth="1"/>
    <col min="6163" max="6163" width="4.5" style="1" customWidth="1"/>
    <col min="6164" max="6164" width="5.25" style="1" customWidth="1"/>
    <col min="6165" max="6165" width="5.375" style="1" customWidth="1"/>
    <col min="6166" max="6166" width="7.25" style="1" customWidth="1"/>
    <col min="6167" max="6167" width="26.625" style="1" customWidth="1"/>
    <col min="6168" max="6168" width="8.25" style="1" customWidth="1"/>
    <col min="6169" max="6170" width="26.75" style="1" customWidth="1"/>
    <col min="6171" max="6171" width="9.875" style="1" customWidth="1"/>
    <col min="6172" max="6172" width="8.625" style="1" customWidth="1"/>
    <col min="6173" max="6173" width="8.875" style="1" customWidth="1"/>
    <col min="6174" max="6400" width="9" style="1" customWidth="1"/>
    <col min="6401" max="6401" width="9.5" style="1" customWidth="1"/>
    <col min="6402" max="6402" width="7.875" style="1" customWidth="1"/>
    <col min="6403" max="6403" width="4.625" style="1" customWidth="1"/>
    <col min="6404" max="6404" width="5.375" style="1" customWidth="1"/>
    <col min="6405" max="6405" width="6.625" style="1" customWidth="1"/>
    <col min="6406" max="6406" width="2.625" style="1" customWidth="1"/>
    <col min="6407" max="6408" width="4.75" style="1" customWidth="1"/>
    <col min="6409" max="6409" width="5" style="1" customWidth="1"/>
    <col min="6410" max="6410" width="5.125" style="1" customWidth="1"/>
    <col min="6411" max="6411" width="2.875" style="1" customWidth="1"/>
    <col min="6412" max="6412" width="8.375" style="1" customWidth="1"/>
    <col min="6413" max="6413" width="7.625" style="1" customWidth="1"/>
    <col min="6414" max="6414" width="5.875" style="1" customWidth="1"/>
    <col min="6415" max="6415" width="3.75" style="1" customWidth="1"/>
    <col min="6416" max="6416" width="4.75" style="1" customWidth="1"/>
    <col min="6417" max="6417" width="13.125" style="1" customWidth="1"/>
    <col min="6418" max="6418" width="2.875" style="1" customWidth="1"/>
    <col min="6419" max="6419" width="4.5" style="1" customWidth="1"/>
    <col min="6420" max="6420" width="5.25" style="1" customWidth="1"/>
    <col min="6421" max="6421" width="5.375" style="1" customWidth="1"/>
    <col min="6422" max="6422" width="7.25" style="1" customWidth="1"/>
    <col min="6423" max="6423" width="26.625" style="1" customWidth="1"/>
    <col min="6424" max="6424" width="8.25" style="1" customWidth="1"/>
    <col min="6425" max="6426" width="26.75" style="1" customWidth="1"/>
    <col min="6427" max="6427" width="9.875" style="1" customWidth="1"/>
    <col min="6428" max="6428" width="8.625" style="1" customWidth="1"/>
    <col min="6429" max="6429" width="8.875" style="1" customWidth="1"/>
    <col min="6430" max="6656" width="9" style="1" customWidth="1"/>
    <col min="6657" max="6657" width="9.5" style="1" customWidth="1"/>
    <col min="6658" max="6658" width="7.875" style="1" customWidth="1"/>
    <col min="6659" max="6659" width="4.625" style="1" customWidth="1"/>
    <col min="6660" max="6660" width="5.375" style="1" customWidth="1"/>
    <col min="6661" max="6661" width="6.625" style="1" customWidth="1"/>
    <col min="6662" max="6662" width="2.625" style="1" customWidth="1"/>
    <col min="6663" max="6664" width="4.75" style="1" customWidth="1"/>
    <col min="6665" max="6665" width="5" style="1" customWidth="1"/>
    <col min="6666" max="6666" width="5.125" style="1" customWidth="1"/>
    <col min="6667" max="6667" width="2.875" style="1" customWidth="1"/>
    <col min="6668" max="6668" width="8.375" style="1" customWidth="1"/>
    <col min="6669" max="6669" width="7.625" style="1" customWidth="1"/>
    <col min="6670" max="6670" width="5.875" style="1" customWidth="1"/>
    <col min="6671" max="6671" width="3.75" style="1" customWidth="1"/>
    <col min="6672" max="6672" width="4.75" style="1" customWidth="1"/>
    <col min="6673" max="6673" width="13.125" style="1" customWidth="1"/>
    <col min="6674" max="6674" width="2.875" style="1" customWidth="1"/>
    <col min="6675" max="6675" width="4.5" style="1" customWidth="1"/>
    <col min="6676" max="6676" width="5.25" style="1" customWidth="1"/>
    <col min="6677" max="6677" width="5.375" style="1" customWidth="1"/>
    <col min="6678" max="6678" width="7.25" style="1" customWidth="1"/>
    <col min="6679" max="6679" width="26.625" style="1" customWidth="1"/>
    <col min="6680" max="6680" width="8.25" style="1" customWidth="1"/>
    <col min="6681" max="6682" width="26.75" style="1" customWidth="1"/>
    <col min="6683" max="6683" width="9.875" style="1" customWidth="1"/>
    <col min="6684" max="6684" width="8.625" style="1" customWidth="1"/>
    <col min="6685" max="6685" width="8.875" style="1" customWidth="1"/>
    <col min="6686" max="6912" width="9" style="1" customWidth="1"/>
    <col min="6913" max="6913" width="9.5" style="1" customWidth="1"/>
    <col min="6914" max="6914" width="7.875" style="1" customWidth="1"/>
    <col min="6915" max="6915" width="4.625" style="1" customWidth="1"/>
    <col min="6916" max="6916" width="5.375" style="1" customWidth="1"/>
    <col min="6917" max="6917" width="6.625" style="1" customWidth="1"/>
    <col min="6918" max="6918" width="2.625" style="1" customWidth="1"/>
    <col min="6919" max="6920" width="4.75" style="1" customWidth="1"/>
    <col min="6921" max="6921" width="5" style="1" customWidth="1"/>
    <col min="6922" max="6922" width="5.125" style="1" customWidth="1"/>
    <col min="6923" max="6923" width="2.875" style="1" customWidth="1"/>
    <col min="6924" max="6924" width="8.375" style="1" customWidth="1"/>
    <col min="6925" max="6925" width="7.625" style="1" customWidth="1"/>
    <col min="6926" max="6926" width="5.875" style="1" customWidth="1"/>
    <col min="6927" max="6927" width="3.75" style="1" customWidth="1"/>
    <col min="6928" max="6928" width="4.75" style="1" customWidth="1"/>
    <col min="6929" max="6929" width="13.125" style="1" customWidth="1"/>
    <col min="6930" max="6930" width="2.875" style="1" customWidth="1"/>
    <col min="6931" max="6931" width="4.5" style="1" customWidth="1"/>
    <col min="6932" max="6932" width="5.25" style="1" customWidth="1"/>
    <col min="6933" max="6933" width="5.375" style="1" customWidth="1"/>
    <col min="6934" max="6934" width="7.25" style="1" customWidth="1"/>
    <col min="6935" max="6935" width="26.625" style="1" customWidth="1"/>
    <col min="6936" max="6936" width="8.25" style="1" customWidth="1"/>
    <col min="6937" max="6938" width="26.75" style="1" customWidth="1"/>
    <col min="6939" max="6939" width="9.875" style="1" customWidth="1"/>
    <col min="6940" max="6940" width="8.625" style="1" customWidth="1"/>
    <col min="6941" max="6941" width="8.875" style="1" customWidth="1"/>
    <col min="6942" max="7168" width="9" style="1" customWidth="1"/>
    <col min="7169" max="7169" width="9.5" style="1" customWidth="1"/>
    <col min="7170" max="7170" width="7.875" style="1" customWidth="1"/>
    <col min="7171" max="7171" width="4.625" style="1" customWidth="1"/>
    <col min="7172" max="7172" width="5.375" style="1" customWidth="1"/>
    <col min="7173" max="7173" width="6.625" style="1" customWidth="1"/>
    <col min="7174" max="7174" width="2.625" style="1" customWidth="1"/>
    <col min="7175" max="7176" width="4.75" style="1" customWidth="1"/>
    <col min="7177" max="7177" width="5" style="1" customWidth="1"/>
    <col min="7178" max="7178" width="5.125" style="1" customWidth="1"/>
    <col min="7179" max="7179" width="2.875" style="1" customWidth="1"/>
    <col min="7180" max="7180" width="8.375" style="1" customWidth="1"/>
    <col min="7181" max="7181" width="7.625" style="1" customWidth="1"/>
    <col min="7182" max="7182" width="5.875" style="1" customWidth="1"/>
    <col min="7183" max="7183" width="3.75" style="1" customWidth="1"/>
    <col min="7184" max="7184" width="4.75" style="1" customWidth="1"/>
    <col min="7185" max="7185" width="13.125" style="1" customWidth="1"/>
    <col min="7186" max="7186" width="2.875" style="1" customWidth="1"/>
    <col min="7187" max="7187" width="4.5" style="1" customWidth="1"/>
    <col min="7188" max="7188" width="5.25" style="1" customWidth="1"/>
    <col min="7189" max="7189" width="5.375" style="1" customWidth="1"/>
    <col min="7190" max="7190" width="7.25" style="1" customWidth="1"/>
    <col min="7191" max="7191" width="26.625" style="1" customWidth="1"/>
    <col min="7192" max="7192" width="8.25" style="1" customWidth="1"/>
    <col min="7193" max="7194" width="26.75" style="1" customWidth="1"/>
    <col min="7195" max="7195" width="9.875" style="1" customWidth="1"/>
    <col min="7196" max="7196" width="8.625" style="1" customWidth="1"/>
    <col min="7197" max="7197" width="8.875" style="1" customWidth="1"/>
    <col min="7198" max="7424" width="9" style="1" customWidth="1"/>
    <col min="7425" max="7425" width="9.5" style="1" customWidth="1"/>
    <col min="7426" max="7426" width="7.875" style="1" customWidth="1"/>
    <col min="7427" max="7427" width="4.625" style="1" customWidth="1"/>
    <col min="7428" max="7428" width="5.375" style="1" customWidth="1"/>
    <col min="7429" max="7429" width="6.625" style="1" customWidth="1"/>
    <col min="7430" max="7430" width="2.625" style="1" customWidth="1"/>
    <col min="7431" max="7432" width="4.75" style="1" customWidth="1"/>
    <col min="7433" max="7433" width="5" style="1" customWidth="1"/>
    <col min="7434" max="7434" width="5.125" style="1" customWidth="1"/>
    <col min="7435" max="7435" width="2.875" style="1" customWidth="1"/>
    <col min="7436" max="7436" width="8.375" style="1" customWidth="1"/>
    <col min="7437" max="7437" width="7.625" style="1" customWidth="1"/>
    <col min="7438" max="7438" width="5.875" style="1" customWidth="1"/>
    <col min="7439" max="7439" width="3.75" style="1" customWidth="1"/>
    <col min="7440" max="7440" width="4.75" style="1" customWidth="1"/>
    <col min="7441" max="7441" width="13.125" style="1" customWidth="1"/>
    <col min="7442" max="7442" width="2.875" style="1" customWidth="1"/>
    <col min="7443" max="7443" width="4.5" style="1" customWidth="1"/>
    <col min="7444" max="7444" width="5.25" style="1" customWidth="1"/>
    <col min="7445" max="7445" width="5.375" style="1" customWidth="1"/>
    <col min="7446" max="7446" width="7.25" style="1" customWidth="1"/>
    <col min="7447" max="7447" width="26.625" style="1" customWidth="1"/>
    <col min="7448" max="7448" width="8.25" style="1" customWidth="1"/>
    <col min="7449" max="7450" width="26.75" style="1" customWidth="1"/>
    <col min="7451" max="7451" width="9.875" style="1" customWidth="1"/>
    <col min="7452" max="7452" width="8.625" style="1" customWidth="1"/>
    <col min="7453" max="7453" width="8.875" style="1" customWidth="1"/>
    <col min="7454" max="7680" width="9" style="1" customWidth="1"/>
    <col min="7681" max="7681" width="9.5" style="1" customWidth="1"/>
    <col min="7682" max="7682" width="7.875" style="1" customWidth="1"/>
    <col min="7683" max="7683" width="4.625" style="1" customWidth="1"/>
    <col min="7684" max="7684" width="5.375" style="1" customWidth="1"/>
    <col min="7685" max="7685" width="6.625" style="1" customWidth="1"/>
    <col min="7686" max="7686" width="2.625" style="1" customWidth="1"/>
    <col min="7687" max="7688" width="4.75" style="1" customWidth="1"/>
    <col min="7689" max="7689" width="5" style="1" customWidth="1"/>
    <col min="7690" max="7690" width="5.125" style="1" customWidth="1"/>
    <col min="7691" max="7691" width="2.875" style="1" customWidth="1"/>
    <col min="7692" max="7692" width="8.375" style="1" customWidth="1"/>
    <col min="7693" max="7693" width="7.625" style="1" customWidth="1"/>
    <col min="7694" max="7694" width="5.875" style="1" customWidth="1"/>
    <col min="7695" max="7695" width="3.75" style="1" customWidth="1"/>
    <col min="7696" max="7696" width="4.75" style="1" customWidth="1"/>
    <col min="7697" max="7697" width="13.125" style="1" customWidth="1"/>
    <col min="7698" max="7698" width="2.875" style="1" customWidth="1"/>
    <col min="7699" max="7699" width="4.5" style="1" customWidth="1"/>
    <col min="7700" max="7700" width="5.25" style="1" customWidth="1"/>
    <col min="7701" max="7701" width="5.375" style="1" customWidth="1"/>
    <col min="7702" max="7702" width="7.25" style="1" customWidth="1"/>
    <col min="7703" max="7703" width="26.625" style="1" customWidth="1"/>
    <col min="7704" max="7704" width="8.25" style="1" customWidth="1"/>
    <col min="7705" max="7706" width="26.75" style="1" customWidth="1"/>
    <col min="7707" max="7707" width="9.875" style="1" customWidth="1"/>
    <col min="7708" max="7708" width="8.625" style="1" customWidth="1"/>
    <col min="7709" max="7709" width="8.875" style="1" customWidth="1"/>
    <col min="7710" max="7936" width="9" style="1" customWidth="1"/>
    <col min="7937" max="7937" width="9.5" style="1" customWidth="1"/>
    <col min="7938" max="7938" width="7.875" style="1" customWidth="1"/>
    <col min="7939" max="7939" width="4.625" style="1" customWidth="1"/>
    <col min="7940" max="7940" width="5.375" style="1" customWidth="1"/>
    <col min="7941" max="7941" width="6.625" style="1" customWidth="1"/>
    <col min="7942" max="7942" width="2.625" style="1" customWidth="1"/>
    <col min="7943" max="7944" width="4.75" style="1" customWidth="1"/>
    <col min="7945" max="7945" width="5" style="1" customWidth="1"/>
    <col min="7946" max="7946" width="5.125" style="1" customWidth="1"/>
    <col min="7947" max="7947" width="2.875" style="1" customWidth="1"/>
    <col min="7948" max="7948" width="8.375" style="1" customWidth="1"/>
    <col min="7949" max="7949" width="7.625" style="1" customWidth="1"/>
    <col min="7950" max="7950" width="5.875" style="1" customWidth="1"/>
    <col min="7951" max="7951" width="3.75" style="1" customWidth="1"/>
    <col min="7952" max="7952" width="4.75" style="1" customWidth="1"/>
    <col min="7953" max="7953" width="13.125" style="1" customWidth="1"/>
    <col min="7954" max="7954" width="2.875" style="1" customWidth="1"/>
    <col min="7955" max="7955" width="4.5" style="1" customWidth="1"/>
    <col min="7956" max="7956" width="5.25" style="1" customWidth="1"/>
    <col min="7957" max="7957" width="5.375" style="1" customWidth="1"/>
    <col min="7958" max="7958" width="7.25" style="1" customWidth="1"/>
    <col min="7959" max="7959" width="26.625" style="1" customWidth="1"/>
    <col min="7960" max="7960" width="8.25" style="1" customWidth="1"/>
    <col min="7961" max="7962" width="26.75" style="1" customWidth="1"/>
    <col min="7963" max="7963" width="9.875" style="1" customWidth="1"/>
    <col min="7964" max="7964" width="8.625" style="1" customWidth="1"/>
    <col min="7965" max="7965" width="8.875" style="1" customWidth="1"/>
    <col min="7966" max="8192" width="9" style="1" customWidth="1"/>
    <col min="8193" max="8193" width="9.5" style="1" customWidth="1"/>
    <col min="8194" max="8194" width="7.875" style="1" customWidth="1"/>
    <col min="8195" max="8195" width="4.625" style="1" customWidth="1"/>
    <col min="8196" max="8196" width="5.375" style="1" customWidth="1"/>
    <col min="8197" max="8197" width="6.625" style="1" customWidth="1"/>
    <col min="8198" max="8198" width="2.625" style="1" customWidth="1"/>
    <col min="8199" max="8200" width="4.75" style="1" customWidth="1"/>
    <col min="8201" max="8201" width="5" style="1" customWidth="1"/>
    <col min="8202" max="8202" width="5.125" style="1" customWidth="1"/>
    <col min="8203" max="8203" width="2.875" style="1" customWidth="1"/>
    <col min="8204" max="8204" width="8.375" style="1" customWidth="1"/>
    <col min="8205" max="8205" width="7.625" style="1" customWidth="1"/>
    <col min="8206" max="8206" width="5.875" style="1" customWidth="1"/>
    <col min="8207" max="8207" width="3.75" style="1" customWidth="1"/>
    <col min="8208" max="8208" width="4.75" style="1" customWidth="1"/>
    <col min="8209" max="8209" width="13.125" style="1" customWidth="1"/>
    <col min="8210" max="8210" width="2.875" style="1" customWidth="1"/>
    <col min="8211" max="8211" width="4.5" style="1" customWidth="1"/>
    <col min="8212" max="8212" width="5.25" style="1" customWidth="1"/>
    <col min="8213" max="8213" width="5.375" style="1" customWidth="1"/>
    <col min="8214" max="8214" width="7.25" style="1" customWidth="1"/>
    <col min="8215" max="8215" width="26.625" style="1" customWidth="1"/>
    <col min="8216" max="8216" width="8.25" style="1" customWidth="1"/>
    <col min="8217" max="8218" width="26.75" style="1" customWidth="1"/>
    <col min="8219" max="8219" width="9.875" style="1" customWidth="1"/>
    <col min="8220" max="8220" width="8.625" style="1" customWidth="1"/>
    <col min="8221" max="8221" width="8.875" style="1" customWidth="1"/>
    <col min="8222" max="8448" width="9" style="1" customWidth="1"/>
    <col min="8449" max="8449" width="9.5" style="1" customWidth="1"/>
    <col min="8450" max="8450" width="7.875" style="1" customWidth="1"/>
    <col min="8451" max="8451" width="4.625" style="1" customWidth="1"/>
    <col min="8452" max="8452" width="5.375" style="1" customWidth="1"/>
    <col min="8453" max="8453" width="6.625" style="1" customWidth="1"/>
    <col min="8454" max="8454" width="2.625" style="1" customWidth="1"/>
    <col min="8455" max="8456" width="4.75" style="1" customWidth="1"/>
    <col min="8457" max="8457" width="5" style="1" customWidth="1"/>
    <col min="8458" max="8458" width="5.125" style="1" customWidth="1"/>
    <col min="8459" max="8459" width="2.875" style="1" customWidth="1"/>
    <col min="8460" max="8460" width="8.375" style="1" customWidth="1"/>
    <col min="8461" max="8461" width="7.625" style="1" customWidth="1"/>
    <col min="8462" max="8462" width="5.875" style="1" customWidth="1"/>
    <col min="8463" max="8463" width="3.75" style="1" customWidth="1"/>
    <col min="8464" max="8464" width="4.75" style="1" customWidth="1"/>
    <col min="8465" max="8465" width="13.125" style="1" customWidth="1"/>
    <col min="8466" max="8466" width="2.875" style="1" customWidth="1"/>
    <col min="8467" max="8467" width="4.5" style="1" customWidth="1"/>
    <col min="8468" max="8468" width="5.25" style="1" customWidth="1"/>
    <col min="8469" max="8469" width="5.375" style="1" customWidth="1"/>
    <col min="8470" max="8470" width="7.25" style="1" customWidth="1"/>
    <col min="8471" max="8471" width="26.625" style="1" customWidth="1"/>
    <col min="8472" max="8472" width="8.25" style="1" customWidth="1"/>
    <col min="8473" max="8474" width="26.75" style="1" customWidth="1"/>
    <col min="8475" max="8475" width="9.875" style="1" customWidth="1"/>
    <col min="8476" max="8476" width="8.625" style="1" customWidth="1"/>
    <col min="8477" max="8477" width="8.875" style="1" customWidth="1"/>
    <col min="8478" max="8704" width="9" style="1" customWidth="1"/>
    <col min="8705" max="8705" width="9.5" style="1" customWidth="1"/>
    <col min="8706" max="8706" width="7.875" style="1" customWidth="1"/>
    <col min="8707" max="8707" width="4.625" style="1" customWidth="1"/>
    <col min="8708" max="8708" width="5.375" style="1" customWidth="1"/>
    <col min="8709" max="8709" width="6.625" style="1" customWidth="1"/>
    <col min="8710" max="8710" width="2.625" style="1" customWidth="1"/>
    <col min="8711" max="8712" width="4.75" style="1" customWidth="1"/>
    <col min="8713" max="8713" width="5" style="1" customWidth="1"/>
    <col min="8714" max="8714" width="5.125" style="1" customWidth="1"/>
    <col min="8715" max="8715" width="2.875" style="1" customWidth="1"/>
    <col min="8716" max="8716" width="8.375" style="1" customWidth="1"/>
    <col min="8717" max="8717" width="7.625" style="1" customWidth="1"/>
    <col min="8718" max="8718" width="5.875" style="1" customWidth="1"/>
    <col min="8719" max="8719" width="3.75" style="1" customWidth="1"/>
    <col min="8720" max="8720" width="4.75" style="1" customWidth="1"/>
    <col min="8721" max="8721" width="13.125" style="1" customWidth="1"/>
    <col min="8722" max="8722" width="2.875" style="1" customWidth="1"/>
    <col min="8723" max="8723" width="4.5" style="1" customWidth="1"/>
    <col min="8724" max="8724" width="5.25" style="1" customWidth="1"/>
    <col min="8725" max="8725" width="5.375" style="1" customWidth="1"/>
    <col min="8726" max="8726" width="7.25" style="1" customWidth="1"/>
    <col min="8727" max="8727" width="26.625" style="1" customWidth="1"/>
    <col min="8728" max="8728" width="8.25" style="1" customWidth="1"/>
    <col min="8729" max="8730" width="26.75" style="1" customWidth="1"/>
    <col min="8731" max="8731" width="9.875" style="1" customWidth="1"/>
    <col min="8732" max="8732" width="8.625" style="1" customWidth="1"/>
    <col min="8733" max="8733" width="8.875" style="1" customWidth="1"/>
    <col min="8734" max="8960" width="9" style="1" customWidth="1"/>
    <col min="8961" max="8961" width="9.5" style="1" customWidth="1"/>
    <col min="8962" max="8962" width="7.875" style="1" customWidth="1"/>
    <col min="8963" max="8963" width="4.625" style="1" customWidth="1"/>
    <col min="8964" max="8964" width="5.375" style="1" customWidth="1"/>
    <col min="8965" max="8965" width="6.625" style="1" customWidth="1"/>
    <col min="8966" max="8966" width="2.625" style="1" customWidth="1"/>
    <col min="8967" max="8968" width="4.75" style="1" customWidth="1"/>
    <col min="8969" max="8969" width="5" style="1" customWidth="1"/>
    <col min="8970" max="8970" width="5.125" style="1" customWidth="1"/>
    <col min="8971" max="8971" width="2.875" style="1" customWidth="1"/>
    <col min="8972" max="8972" width="8.375" style="1" customWidth="1"/>
    <col min="8973" max="8973" width="7.625" style="1" customWidth="1"/>
    <col min="8974" max="8974" width="5.875" style="1" customWidth="1"/>
    <col min="8975" max="8975" width="3.75" style="1" customWidth="1"/>
    <col min="8976" max="8976" width="4.75" style="1" customWidth="1"/>
    <col min="8977" max="8977" width="13.125" style="1" customWidth="1"/>
    <col min="8978" max="8978" width="2.875" style="1" customWidth="1"/>
    <col min="8979" max="8979" width="4.5" style="1" customWidth="1"/>
    <col min="8980" max="8980" width="5.25" style="1" customWidth="1"/>
    <col min="8981" max="8981" width="5.375" style="1" customWidth="1"/>
    <col min="8982" max="8982" width="7.25" style="1" customWidth="1"/>
    <col min="8983" max="8983" width="26.625" style="1" customWidth="1"/>
    <col min="8984" max="8984" width="8.25" style="1" customWidth="1"/>
    <col min="8985" max="8986" width="26.75" style="1" customWidth="1"/>
    <col min="8987" max="8987" width="9.875" style="1" customWidth="1"/>
    <col min="8988" max="8988" width="8.625" style="1" customWidth="1"/>
    <col min="8989" max="8989" width="8.875" style="1" customWidth="1"/>
    <col min="8990" max="9216" width="9" style="1" customWidth="1"/>
    <col min="9217" max="9217" width="9.5" style="1" customWidth="1"/>
    <col min="9218" max="9218" width="7.875" style="1" customWidth="1"/>
    <col min="9219" max="9219" width="4.625" style="1" customWidth="1"/>
    <col min="9220" max="9220" width="5.375" style="1" customWidth="1"/>
    <col min="9221" max="9221" width="6.625" style="1" customWidth="1"/>
    <col min="9222" max="9222" width="2.625" style="1" customWidth="1"/>
    <col min="9223" max="9224" width="4.75" style="1" customWidth="1"/>
    <col min="9225" max="9225" width="5" style="1" customWidth="1"/>
    <col min="9226" max="9226" width="5.125" style="1" customWidth="1"/>
    <col min="9227" max="9227" width="2.875" style="1" customWidth="1"/>
    <col min="9228" max="9228" width="8.375" style="1" customWidth="1"/>
    <col min="9229" max="9229" width="7.625" style="1" customWidth="1"/>
    <col min="9230" max="9230" width="5.875" style="1" customWidth="1"/>
    <col min="9231" max="9231" width="3.75" style="1" customWidth="1"/>
    <col min="9232" max="9232" width="4.75" style="1" customWidth="1"/>
    <col min="9233" max="9233" width="13.125" style="1" customWidth="1"/>
    <col min="9234" max="9234" width="2.875" style="1" customWidth="1"/>
    <col min="9235" max="9235" width="4.5" style="1" customWidth="1"/>
    <col min="9236" max="9236" width="5.25" style="1" customWidth="1"/>
    <col min="9237" max="9237" width="5.375" style="1" customWidth="1"/>
    <col min="9238" max="9238" width="7.25" style="1" customWidth="1"/>
    <col min="9239" max="9239" width="26.625" style="1" customWidth="1"/>
    <col min="9240" max="9240" width="8.25" style="1" customWidth="1"/>
    <col min="9241" max="9242" width="26.75" style="1" customWidth="1"/>
    <col min="9243" max="9243" width="9.875" style="1" customWidth="1"/>
    <col min="9244" max="9244" width="8.625" style="1" customWidth="1"/>
    <col min="9245" max="9245" width="8.875" style="1" customWidth="1"/>
    <col min="9246" max="9472" width="9" style="1" customWidth="1"/>
    <col min="9473" max="9473" width="9.5" style="1" customWidth="1"/>
    <col min="9474" max="9474" width="7.875" style="1" customWidth="1"/>
    <col min="9475" max="9475" width="4.625" style="1" customWidth="1"/>
    <col min="9476" max="9476" width="5.375" style="1" customWidth="1"/>
    <col min="9477" max="9477" width="6.625" style="1" customWidth="1"/>
    <col min="9478" max="9478" width="2.625" style="1" customWidth="1"/>
    <col min="9479" max="9480" width="4.75" style="1" customWidth="1"/>
    <col min="9481" max="9481" width="5" style="1" customWidth="1"/>
    <col min="9482" max="9482" width="5.125" style="1" customWidth="1"/>
    <col min="9483" max="9483" width="2.875" style="1" customWidth="1"/>
    <col min="9484" max="9484" width="8.375" style="1" customWidth="1"/>
    <col min="9485" max="9485" width="7.625" style="1" customWidth="1"/>
    <col min="9486" max="9486" width="5.875" style="1" customWidth="1"/>
    <col min="9487" max="9487" width="3.75" style="1" customWidth="1"/>
    <col min="9488" max="9488" width="4.75" style="1" customWidth="1"/>
    <col min="9489" max="9489" width="13.125" style="1" customWidth="1"/>
    <col min="9490" max="9490" width="2.875" style="1" customWidth="1"/>
    <col min="9491" max="9491" width="4.5" style="1" customWidth="1"/>
    <col min="9492" max="9492" width="5.25" style="1" customWidth="1"/>
    <col min="9493" max="9493" width="5.375" style="1" customWidth="1"/>
    <col min="9494" max="9494" width="7.25" style="1" customWidth="1"/>
    <col min="9495" max="9495" width="26.625" style="1" customWidth="1"/>
    <col min="9496" max="9496" width="8.25" style="1" customWidth="1"/>
    <col min="9497" max="9498" width="26.75" style="1" customWidth="1"/>
    <col min="9499" max="9499" width="9.875" style="1" customWidth="1"/>
    <col min="9500" max="9500" width="8.625" style="1" customWidth="1"/>
    <col min="9501" max="9501" width="8.875" style="1" customWidth="1"/>
    <col min="9502" max="9728" width="9" style="1" customWidth="1"/>
    <col min="9729" max="9729" width="9.5" style="1" customWidth="1"/>
    <col min="9730" max="9730" width="7.875" style="1" customWidth="1"/>
    <col min="9731" max="9731" width="4.625" style="1" customWidth="1"/>
    <col min="9732" max="9732" width="5.375" style="1" customWidth="1"/>
    <col min="9733" max="9733" width="6.625" style="1" customWidth="1"/>
    <col min="9734" max="9734" width="2.625" style="1" customWidth="1"/>
    <col min="9735" max="9736" width="4.75" style="1" customWidth="1"/>
    <col min="9737" max="9737" width="5" style="1" customWidth="1"/>
    <col min="9738" max="9738" width="5.125" style="1" customWidth="1"/>
    <col min="9739" max="9739" width="2.875" style="1" customWidth="1"/>
    <col min="9740" max="9740" width="8.375" style="1" customWidth="1"/>
    <col min="9741" max="9741" width="7.625" style="1" customWidth="1"/>
    <col min="9742" max="9742" width="5.875" style="1" customWidth="1"/>
    <col min="9743" max="9743" width="3.75" style="1" customWidth="1"/>
    <col min="9744" max="9744" width="4.75" style="1" customWidth="1"/>
    <col min="9745" max="9745" width="13.125" style="1" customWidth="1"/>
    <col min="9746" max="9746" width="2.875" style="1" customWidth="1"/>
    <col min="9747" max="9747" width="4.5" style="1" customWidth="1"/>
    <col min="9748" max="9748" width="5.25" style="1" customWidth="1"/>
    <col min="9749" max="9749" width="5.375" style="1" customWidth="1"/>
    <col min="9750" max="9750" width="7.25" style="1" customWidth="1"/>
    <col min="9751" max="9751" width="26.625" style="1" customWidth="1"/>
    <col min="9752" max="9752" width="8.25" style="1" customWidth="1"/>
    <col min="9753" max="9754" width="26.75" style="1" customWidth="1"/>
    <col min="9755" max="9755" width="9.875" style="1" customWidth="1"/>
    <col min="9756" max="9756" width="8.625" style="1" customWidth="1"/>
    <col min="9757" max="9757" width="8.875" style="1" customWidth="1"/>
    <col min="9758" max="9984" width="9" style="1" customWidth="1"/>
    <col min="9985" max="9985" width="9.5" style="1" customWidth="1"/>
    <col min="9986" max="9986" width="7.875" style="1" customWidth="1"/>
    <col min="9987" max="9987" width="4.625" style="1" customWidth="1"/>
    <col min="9988" max="9988" width="5.375" style="1" customWidth="1"/>
    <col min="9989" max="9989" width="6.625" style="1" customWidth="1"/>
    <col min="9990" max="9990" width="2.625" style="1" customWidth="1"/>
    <col min="9991" max="9992" width="4.75" style="1" customWidth="1"/>
    <col min="9993" max="9993" width="5" style="1" customWidth="1"/>
    <col min="9994" max="9994" width="5.125" style="1" customWidth="1"/>
    <col min="9995" max="9995" width="2.875" style="1" customWidth="1"/>
    <col min="9996" max="9996" width="8.375" style="1" customWidth="1"/>
    <col min="9997" max="9997" width="7.625" style="1" customWidth="1"/>
    <col min="9998" max="9998" width="5.875" style="1" customWidth="1"/>
    <col min="9999" max="9999" width="3.75" style="1" customWidth="1"/>
    <col min="10000" max="10000" width="4.75" style="1" customWidth="1"/>
    <col min="10001" max="10001" width="13.125" style="1" customWidth="1"/>
    <col min="10002" max="10002" width="2.875" style="1" customWidth="1"/>
    <col min="10003" max="10003" width="4.5" style="1" customWidth="1"/>
    <col min="10004" max="10004" width="5.25" style="1" customWidth="1"/>
    <col min="10005" max="10005" width="5.375" style="1" customWidth="1"/>
    <col min="10006" max="10006" width="7.25" style="1" customWidth="1"/>
    <col min="10007" max="10007" width="26.625" style="1" customWidth="1"/>
    <col min="10008" max="10008" width="8.25" style="1" customWidth="1"/>
    <col min="10009" max="10010" width="26.75" style="1" customWidth="1"/>
    <col min="10011" max="10011" width="9.875" style="1" customWidth="1"/>
    <col min="10012" max="10012" width="8.625" style="1" customWidth="1"/>
    <col min="10013" max="10013" width="8.875" style="1" customWidth="1"/>
    <col min="10014" max="10240" width="9" style="1" customWidth="1"/>
    <col min="10241" max="10241" width="9.5" style="1" customWidth="1"/>
    <col min="10242" max="10242" width="7.875" style="1" customWidth="1"/>
    <col min="10243" max="10243" width="4.625" style="1" customWidth="1"/>
    <col min="10244" max="10244" width="5.375" style="1" customWidth="1"/>
    <col min="10245" max="10245" width="6.625" style="1" customWidth="1"/>
    <col min="10246" max="10246" width="2.625" style="1" customWidth="1"/>
    <col min="10247" max="10248" width="4.75" style="1" customWidth="1"/>
    <col min="10249" max="10249" width="5" style="1" customWidth="1"/>
    <col min="10250" max="10250" width="5.125" style="1" customWidth="1"/>
    <col min="10251" max="10251" width="2.875" style="1" customWidth="1"/>
    <col min="10252" max="10252" width="8.375" style="1" customWidth="1"/>
    <col min="10253" max="10253" width="7.625" style="1" customWidth="1"/>
    <col min="10254" max="10254" width="5.875" style="1" customWidth="1"/>
    <col min="10255" max="10255" width="3.75" style="1" customWidth="1"/>
    <col min="10256" max="10256" width="4.75" style="1" customWidth="1"/>
    <col min="10257" max="10257" width="13.125" style="1" customWidth="1"/>
    <col min="10258" max="10258" width="2.875" style="1" customWidth="1"/>
    <col min="10259" max="10259" width="4.5" style="1" customWidth="1"/>
    <col min="10260" max="10260" width="5.25" style="1" customWidth="1"/>
    <col min="10261" max="10261" width="5.375" style="1" customWidth="1"/>
    <col min="10262" max="10262" width="7.25" style="1" customWidth="1"/>
    <col min="10263" max="10263" width="26.625" style="1" customWidth="1"/>
    <col min="10264" max="10264" width="8.25" style="1" customWidth="1"/>
    <col min="10265" max="10266" width="26.75" style="1" customWidth="1"/>
    <col min="10267" max="10267" width="9.875" style="1" customWidth="1"/>
    <col min="10268" max="10268" width="8.625" style="1" customWidth="1"/>
    <col min="10269" max="10269" width="8.875" style="1" customWidth="1"/>
    <col min="10270" max="10496" width="9" style="1" customWidth="1"/>
    <col min="10497" max="10497" width="9.5" style="1" customWidth="1"/>
    <col min="10498" max="10498" width="7.875" style="1" customWidth="1"/>
    <col min="10499" max="10499" width="4.625" style="1" customWidth="1"/>
    <col min="10500" max="10500" width="5.375" style="1" customWidth="1"/>
    <col min="10501" max="10501" width="6.625" style="1" customWidth="1"/>
    <col min="10502" max="10502" width="2.625" style="1" customWidth="1"/>
    <col min="10503" max="10504" width="4.75" style="1" customWidth="1"/>
    <col min="10505" max="10505" width="5" style="1" customWidth="1"/>
    <col min="10506" max="10506" width="5.125" style="1" customWidth="1"/>
    <col min="10507" max="10507" width="2.875" style="1" customWidth="1"/>
    <col min="10508" max="10508" width="8.375" style="1" customWidth="1"/>
    <col min="10509" max="10509" width="7.625" style="1" customWidth="1"/>
    <col min="10510" max="10510" width="5.875" style="1" customWidth="1"/>
    <col min="10511" max="10511" width="3.75" style="1" customWidth="1"/>
    <col min="10512" max="10512" width="4.75" style="1" customWidth="1"/>
    <col min="10513" max="10513" width="13.125" style="1" customWidth="1"/>
    <col min="10514" max="10514" width="2.875" style="1" customWidth="1"/>
    <col min="10515" max="10515" width="4.5" style="1" customWidth="1"/>
    <col min="10516" max="10516" width="5.25" style="1" customWidth="1"/>
    <col min="10517" max="10517" width="5.375" style="1" customWidth="1"/>
    <col min="10518" max="10518" width="7.25" style="1" customWidth="1"/>
    <col min="10519" max="10519" width="26.625" style="1" customWidth="1"/>
    <col min="10520" max="10520" width="8.25" style="1" customWidth="1"/>
    <col min="10521" max="10522" width="26.75" style="1" customWidth="1"/>
    <col min="10523" max="10523" width="9.875" style="1" customWidth="1"/>
    <col min="10524" max="10524" width="8.625" style="1" customWidth="1"/>
    <col min="10525" max="10525" width="8.875" style="1" customWidth="1"/>
    <col min="10526" max="10752" width="9" style="1" customWidth="1"/>
    <col min="10753" max="10753" width="9.5" style="1" customWidth="1"/>
    <col min="10754" max="10754" width="7.875" style="1" customWidth="1"/>
    <col min="10755" max="10755" width="4.625" style="1" customWidth="1"/>
    <col min="10756" max="10756" width="5.375" style="1" customWidth="1"/>
    <col min="10757" max="10757" width="6.625" style="1" customWidth="1"/>
    <col min="10758" max="10758" width="2.625" style="1" customWidth="1"/>
    <col min="10759" max="10760" width="4.75" style="1" customWidth="1"/>
    <col min="10761" max="10761" width="5" style="1" customWidth="1"/>
    <col min="10762" max="10762" width="5.125" style="1" customWidth="1"/>
    <col min="10763" max="10763" width="2.875" style="1" customWidth="1"/>
    <col min="10764" max="10764" width="8.375" style="1" customWidth="1"/>
    <col min="10765" max="10765" width="7.625" style="1" customWidth="1"/>
    <col min="10766" max="10766" width="5.875" style="1" customWidth="1"/>
    <col min="10767" max="10767" width="3.75" style="1" customWidth="1"/>
    <col min="10768" max="10768" width="4.75" style="1" customWidth="1"/>
    <col min="10769" max="10769" width="13.125" style="1" customWidth="1"/>
    <col min="10770" max="10770" width="2.875" style="1" customWidth="1"/>
    <col min="10771" max="10771" width="4.5" style="1" customWidth="1"/>
    <col min="10772" max="10772" width="5.25" style="1" customWidth="1"/>
    <col min="10773" max="10773" width="5.375" style="1" customWidth="1"/>
    <col min="10774" max="10774" width="7.25" style="1" customWidth="1"/>
    <col min="10775" max="10775" width="26.625" style="1" customWidth="1"/>
    <col min="10776" max="10776" width="8.25" style="1" customWidth="1"/>
    <col min="10777" max="10778" width="26.75" style="1" customWidth="1"/>
    <col min="10779" max="10779" width="9.875" style="1" customWidth="1"/>
    <col min="10780" max="10780" width="8.625" style="1" customWidth="1"/>
    <col min="10781" max="10781" width="8.875" style="1" customWidth="1"/>
    <col min="10782" max="11008" width="9" style="1" customWidth="1"/>
    <col min="11009" max="11009" width="9.5" style="1" customWidth="1"/>
    <col min="11010" max="11010" width="7.875" style="1" customWidth="1"/>
    <col min="11011" max="11011" width="4.625" style="1" customWidth="1"/>
    <col min="11012" max="11012" width="5.375" style="1" customWidth="1"/>
    <col min="11013" max="11013" width="6.625" style="1" customWidth="1"/>
    <col min="11014" max="11014" width="2.625" style="1" customWidth="1"/>
    <col min="11015" max="11016" width="4.75" style="1" customWidth="1"/>
    <col min="11017" max="11017" width="5" style="1" customWidth="1"/>
    <col min="11018" max="11018" width="5.125" style="1" customWidth="1"/>
    <col min="11019" max="11019" width="2.875" style="1" customWidth="1"/>
    <col min="11020" max="11020" width="8.375" style="1" customWidth="1"/>
    <col min="11021" max="11021" width="7.625" style="1" customWidth="1"/>
    <col min="11022" max="11022" width="5.875" style="1" customWidth="1"/>
    <col min="11023" max="11023" width="3.75" style="1" customWidth="1"/>
    <col min="11024" max="11024" width="4.75" style="1" customWidth="1"/>
    <col min="11025" max="11025" width="13.125" style="1" customWidth="1"/>
    <col min="11026" max="11026" width="2.875" style="1" customWidth="1"/>
    <col min="11027" max="11027" width="4.5" style="1" customWidth="1"/>
    <col min="11028" max="11028" width="5.25" style="1" customWidth="1"/>
    <col min="11029" max="11029" width="5.375" style="1" customWidth="1"/>
    <col min="11030" max="11030" width="7.25" style="1" customWidth="1"/>
    <col min="11031" max="11031" width="26.625" style="1" customWidth="1"/>
    <col min="11032" max="11032" width="8.25" style="1" customWidth="1"/>
    <col min="11033" max="11034" width="26.75" style="1" customWidth="1"/>
    <col min="11035" max="11035" width="9.875" style="1" customWidth="1"/>
    <col min="11036" max="11036" width="8.625" style="1" customWidth="1"/>
    <col min="11037" max="11037" width="8.875" style="1" customWidth="1"/>
    <col min="11038" max="11264" width="9" style="1" customWidth="1"/>
    <col min="11265" max="11265" width="9.5" style="1" customWidth="1"/>
    <col min="11266" max="11266" width="7.875" style="1" customWidth="1"/>
    <col min="11267" max="11267" width="4.625" style="1" customWidth="1"/>
    <col min="11268" max="11268" width="5.375" style="1" customWidth="1"/>
    <col min="11269" max="11269" width="6.625" style="1" customWidth="1"/>
    <col min="11270" max="11270" width="2.625" style="1" customWidth="1"/>
    <col min="11271" max="11272" width="4.75" style="1" customWidth="1"/>
    <col min="11273" max="11273" width="5" style="1" customWidth="1"/>
    <col min="11274" max="11274" width="5.125" style="1" customWidth="1"/>
    <col min="11275" max="11275" width="2.875" style="1" customWidth="1"/>
    <col min="11276" max="11276" width="8.375" style="1" customWidth="1"/>
    <col min="11277" max="11277" width="7.625" style="1" customWidth="1"/>
    <col min="11278" max="11278" width="5.875" style="1" customWidth="1"/>
    <col min="11279" max="11279" width="3.75" style="1" customWidth="1"/>
    <col min="11280" max="11280" width="4.75" style="1" customWidth="1"/>
    <col min="11281" max="11281" width="13.125" style="1" customWidth="1"/>
    <col min="11282" max="11282" width="2.875" style="1" customWidth="1"/>
    <col min="11283" max="11283" width="4.5" style="1" customWidth="1"/>
    <col min="11284" max="11284" width="5.25" style="1" customWidth="1"/>
    <col min="11285" max="11285" width="5.375" style="1" customWidth="1"/>
    <col min="11286" max="11286" width="7.25" style="1" customWidth="1"/>
    <col min="11287" max="11287" width="26.625" style="1" customWidth="1"/>
    <col min="11288" max="11288" width="8.25" style="1" customWidth="1"/>
    <col min="11289" max="11290" width="26.75" style="1" customWidth="1"/>
    <col min="11291" max="11291" width="9.875" style="1" customWidth="1"/>
    <col min="11292" max="11292" width="8.625" style="1" customWidth="1"/>
    <col min="11293" max="11293" width="8.875" style="1" customWidth="1"/>
    <col min="11294" max="11520" width="9" style="1" customWidth="1"/>
    <col min="11521" max="11521" width="9.5" style="1" customWidth="1"/>
    <col min="11522" max="11522" width="7.875" style="1" customWidth="1"/>
    <col min="11523" max="11523" width="4.625" style="1" customWidth="1"/>
    <col min="11524" max="11524" width="5.375" style="1" customWidth="1"/>
    <col min="11525" max="11525" width="6.625" style="1" customWidth="1"/>
    <col min="11526" max="11526" width="2.625" style="1" customWidth="1"/>
    <col min="11527" max="11528" width="4.75" style="1" customWidth="1"/>
    <col min="11529" max="11529" width="5" style="1" customWidth="1"/>
    <col min="11530" max="11530" width="5.125" style="1" customWidth="1"/>
    <col min="11531" max="11531" width="2.875" style="1" customWidth="1"/>
    <col min="11532" max="11532" width="8.375" style="1" customWidth="1"/>
    <col min="11533" max="11533" width="7.625" style="1" customWidth="1"/>
    <col min="11534" max="11534" width="5.875" style="1" customWidth="1"/>
    <col min="11535" max="11535" width="3.75" style="1" customWidth="1"/>
    <col min="11536" max="11536" width="4.75" style="1" customWidth="1"/>
    <col min="11537" max="11537" width="13.125" style="1" customWidth="1"/>
    <col min="11538" max="11538" width="2.875" style="1" customWidth="1"/>
    <col min="11539" max="11539" width="4.5" style="1" customWidth="1"/>
    <col min="11540" max="11540" width="5.25" style="1" customWidth="1"/>
    <col min="11541" max="11541" width="5.375" style="1" customWidth="1"/>
    <col min="11542" max="11542" width="7.25" style="1" customWidth="1"/>
    <col min="11543" max="11543" width="26.625" style="1" customWidth="1"/>
    <col min="11544" max="11544" width="8.25" style="1" customWidth="1"/>
    <col min="11545" max="11546" width="26.75" style="1" customWidth="1"/>
    <col min="11547" max="11547" width="9.875" style="1" customWidth="1"/>
    <col min="11548" max="11548" width="8.625" style="1" customWidth="1"/>
    <col min="11549" max="11549" width="8.875" style="1" customWidth="1"/>
    <col min="11550" max="11776" width="9" style="1" customWidth="1"/>
    <col min="11777" max="11777" width="9.5" style="1" customWidth="1"/>
    <col min="11778" max="11778" width="7.875" style="1" customWidth="1"/>
    <col min="11779" max="11779" width="4.625" style="1" customWidth="1"/>
    <col min="11780" max="11780" width="5.375" style="1" customWidth="1"/>
    <col min="11781" max="11781" width="6.625" style="1" customWidth="1"/>
    <col min="11782" max="11782" width="2.625" style="1" customWidth="1"/>
    <col min="11783" max="11784" width="4.75" style="1" customWidth="1"/>
    <col min="11785" max="11785" width="5" style="1" customWidth="1"/>
    <col min="11786" max="11786" width="5.125" style="1" customWidth="1"/>
    <col min="11787" max="11787" width="2.875" style="1" customWidth="1"/>
    <col min="11788" max="11788" width="8.375" style="1" customWidth="1"/>
    <col min="11789" max="11789" width="7.625" style="1" customWidth="1"/>
    <col min="11790" max="11790" width="5.875" style="1" customWidth="1"/>
    <col min="11791" max="11791" width="3.75" style="1" customWidth="1"/>
    <col min="11792" max="11792" width="4.75" style="1" customWidth="1"/>
    <col min="11793" max="11793" width="13.125" style="1" customWidth="1"/>
    <col min="11794" max="11794" width="2.875" style="1" customWidth="1"/>
    <col min="11795" max="11795" width="4.5" style="1" customWidth="1"/>
    <col min="11796" max="11796" width="5.25" style="1" customWidth="1"/>
    <col min="11797" max="11797" width="5.375" style="1" customWidth="1"/>
    <col min="11798" max="11798" width="7.25" style="1" customWidth="1"/>
    <col min="11799" max="11799" width="26.625" style="1" customWidth="1"/>
    <col min="11800" max="11800" width="8.25" style="1" customWidth="1"/>
    <col min="11801" max="11802" width="26.75" style="1" customWidth="1"/>
    <col min="11803" max="11803" width="9.875" style="1" customWidth="1"/>
    <col min="11804" max="11804" width="8.625" style="1" customWidth="1"/>
    <col min="11805" max="11805" width="8.875" style="1" customWidth="1"/>
    <col min="11806" max="12032" width="9" style="1" customWidth="1"/>
    <col min="12033" max="12033" width="9.5" style="1" customWidth="1"/>
    <col min="12034" max="12034" width="7.875" style="1" customWidth="1"/>
    <col min="12035" max="12035" width="4.625" style="1" customWidth="1"/>
    <col min="12036" max="12036" width="5.375" style="1" customWidth="1"/>
    <col min="12037" max="12037" width="6.625" style="1" customWidth="1"/>
    <col min="12038" max="12038" width="2.625" style="1" customWidth="1"/>
    <col min="12039" max="12040" width="4.75" style="1" customWidth="1"/>
    <col min="12041" max="12041" width="5" style="1" customWidth="1"/>
    <col min="12042" max="12042" width="5.125" style="1" customWidth="1"/>
    <col min="12043" max="12043" width="2.875" style="1" customWidth="1"/>
    <col min="12044" max="12044" width="8.375" style="1" customWidth="1"/>
    <col min="12045" max="12045" width="7.625" style="1" customWidth="1"/>
    <col min="12046" max="12046" width="5.875" style="1" customWidth="1"/>
    <col min="12047" max="12047" width="3.75" style="1" customWidth="1"/>
    <col min="12048" max="12048" width="4.75" style="1" customWidth="1"/>
    <col min="12049" max="12049" width="13.125" style="1" customWidth="1"/>
    <col min="12050" max="12050" width="2.875" style="1" customWidth="1"/>
    <col min="12051" max="12051" width="4.5" style="1" customWidth="1"/>
    <col min="12052" max="12052" width="5.25" style="1" customWidth="1"/>
    <col min="12053" max="12053" width="5.375" style="1" customWidth="1"/>
    <col min="12054" max="12054" width="7.25" style="1" customWidth="1"/>
    <col min="12055" max="12055" width="26.625" style="1" customWidth="1"/>
    <col min="12056" max="12056" width="8.25" style="1" customWidth="1"/>
    <col min="12057" max="12058" width="26.75" style="1" customWidth="1"/>
    <col min="12059" max="12059" width="9.875" style="1" customWidth="1"/>
    <col min="12060" max="12060" width="8.625" style="1" customWidth="1"/>
    <col min="12061" max="12061" width="8.875" style="1" customWidth="1"/>
    <col min="12062" max="12288" width="9" style="1" customWidth="1"/>
    <col min="12289" max="12289" width="9.5" style="1" customWidth="1"/>
    <col min="12290" max="12290" width="7.875" style="1" customWidth="1"/>
    <col min="12291" max="12291" width="4.625" style="1" customWidth="1"/>
    <col min="12292" max="12292" width="5.375" style="1" customWidth="1"/>
    <col min="12293" max="12293" width="6.625" style="1" customWidth="1"/>
    <col min="12294" max="12294" width="2.625" style="1" customWidth="1"/>
    <col min="12295" max="12296" width="4.75" style="1" customWidth="1"/>
    <col min="12297" max="12297" width="5" style="1" customWidth="1"/>
    <col min="12298" max="12298" width="5.125" style="1" customWidth="1"/>
    <col min="12299" max="12299" width="2.875" style="1" customWidth="1"/>
    <col min="12300" max="12300" width="8.375" style="1" customWidth="1"/>
    <col min="12301" max="12301" width="7.625" style="1" customWidth="1"/>
    <col min="12302" max="12302" width="5.875" style="1" customWidth="1"/>
    <col min="12303" max="12303" width="3.75" style="1" customWidth="1"/>
    <col min="12304" max="12304" width="4.75" style="1" customWidth="1"/>
    <col min="12305" max="12305" width="13.125" style="1" customWidth="1"/>
    <col min="12306" max="12306" width="2.875" style="1" customWidth="1"/>
    <col min="12307" max="12307" width="4.5" style="1" customWidth="1"/>
    <col min="12308" max="12308" width="5.25" style="1" customWidth="1"/>
    <col min="12309" max="12309" width="5.375" style="1" customWidth="1"/>
    <col min="12310" max="12310" width="7.25" style="1" customWidth="1"/>
    <col min="12311" max="12311" width="26.625" style="1" customWidth="1"/>
    <col min="12312" max="12312" width="8.25" style="1" customWidth="1"/>
    <col min="12313" max="12314" width="26.75" style="1" customWidth="1"/>
    <col min="12315" max="12315" width="9.875" style="1" customWidth="1"/>
    <col min="12316" max="12316" width="8.625" style="1" customWidth="1"/>
    <col min="12317" max="12317" width="8.875" style="1" customWidth="1"/>
    <col min="12318" max="12544" width="9" style="1" customWidth="1"/>
    <col min="12545" max="12545" width="9.5" style="1" customWidth="1"/>
    <col min="12546" max="12546" width="7.875" style="1" customWidth="1"/>
    <col min="12547" max="12547" width="4.625" style="1" customWidth="1"/>
    <col min="12548" max="12548" width="5.375" style="1" customWidth="1"/>
    <col min="12549" max="12549" width="6.625" style="1" customWidth="1"/>
    <col min="12550" max="12550" width="2.625" style="1" customWidth="1"/>
    <col min="12551" max="12552" width="4.75" style="1" customWidth="1"/>
    <col min="12553" max="12553" width="5" style="1" customWidth="1"/>
    <col min="12554" max="12554" width="5.125" style="1" customWidth="1"/>
    <col min="12555" max="12555" width="2.875" style="1" customWidth="1"/>
    <col min="12556" max="12556" width="8.375" style="1" customWidth="1"/>
    <col min="12557" max="12557" width="7.625" style="1" customWidth="1"/>
    <col min="12558" max="12558" width="5.875" style="1" customWidth="1"/>
    <col min="12559" max="12559" width="3.75" style="1" customWidth="1"/>
    <col min="12560" max="12560" width="4.75" style="1" customWidth="1"/>
    <col min="12561" max="12561" width="13.125" style="1" customWidth="1"/>
    <col min="12562" max="12562" width="2.875" style="1" customWidth="1"/>
    <col min="12563" max="12563" width="4.5" style="1" customWidth="1"/>
    <col min="12564" max="12564" width="5.25" style="1" customWidth="1"/>
    <col min="12565" max="12565" width="5.375" style="1" customWidth="1"/>
    <col min="12566" max="12566" width="7.25" style="1" customWidth="1"/>
    <col min="12567" max="12567" width="26.625" style="1" customWidth="1"/>
    <col min="12568" max="12568" width="8.25" style="1" customWidth="1"/>
    <col min="12569" max="12570" width="26.75" style="1" customWidth="1"/>
    <col min="12571" max="12571" width="9.875" style="1" customWidth="1"/>
    <col min="12572" max="12572" width="8.625" style="1" customWidth="1"/>
    <col min="12573" max="12573" width="8.875" style="1" customWidth="1"/>
    <col min="12574" max="12800" width="9" style="1" customWidth="1"/>
    <col min="12801" max="12801" width="9.5" style="1" customWidth="1"/>
    <col min="12802" max="12802" width="7.875" style="1" customWidth="1"/>
    <col min="12803" max="12803" width="4.625" style="1" customWidth="1"/>
    <col min="12804" max="12804" width="5.375" style="1" customWidth="1"/>
    <col min="12805" max="12805" width="6.625" style="1" customWidth="1"/>
    <col min="12806" max="12806" width="2.625" style="1" customWidth="1"/>
    <col min="12807" max="12808" width="4.75" style="1" customWidth="1"/>
    <col min="12809" max="12809" width="5" style="1" customWidth="1"/>
    <col min="12810" max="12810" width="5.125" style="1" customWidth="1"/>
    <col min="12811" max="12811" width="2.875" style="1" customWidth="1"/>
    <col min="12812" max="12812" width="8.375" style="1" customWidth="1"/>
    <col min="12813" max="12813" width="7.625" style="1" customWidth="1"/>
    <col min="12814" max="12814" width="5.875" style="1" customWidth="1"/>
    <col min="12815" max="12815" width="3.75" style="1" customWidth="1"/>
    <col min="12816" max="12816" width="4.75" style="1" customWidth="1"/>
    <col min="12817" max="12817" width="13.125" style="1" customWidth="1"/>
    <col min="12818" max="12818" width="2.875" style="1" customWidth="1"/>
    <col min="12819" max="12819" width="4.5" style="1" customWidth="1"/>
    <col min="12820" max="12820" width="5.25" style="1" customWidth="1"/>
    <col min="12821" max="12821" width="5.375" style="1" customWidth="1"/>
    <col min="12822" max="12822" width="7.25" style="1" customWidth="1"/>
    <col min="12823" max="12823" width="26.625" style="1" customWidth="1"/>
    <col min="12824" max="12824" width="8.25" style="1" customWidth="1"/>
    <col min="12825" max="12826" width="26.75" style="1" customWidth="1"/>
    <col min="12827" max="12827" width="9.875" style="1" customWidth="1"/>
    <col min="12828" max="12828" width="8.625" style="1" customWidth="1"/>
    <col min="12829" max="12829" width="8.875" style="1" customWidth="1"/>
    <col min="12830" max="13056" width="9" style="1" customWidth="1"/>
    <col min="13057" max="13057" width="9.5" style="1" customWidth="1"/>
    <col min="13058" max="13058" width="7.875" style="1" customWidth="1"/>
    <col min="13059" max="13059" width="4.625" style="1" customWidth="1"/>
    <col min="13060" max="13060" width="5.375" style="1" customWidth="1"/>
    <col min="13061" max="13061" width="6.625" style="1" customWidth="1"/>
    <col min="13062" max="13062" width="2.625" style="1" customWidth="1"/>
    <col min="13063" max="13064" width="4.75" style="1" customWidth="1"/>
    <col min="13065" max="13065" width="5" style="1" customWidth="1"/>
    <col min="13066" max="13066" width="5.125" style="1" customWidth="1"/>
    <col min="13067" max="13067" width="2.875" style="1" customWidth="1"/>
    <col min="13068" max="13068" width="8.375" style="1" customWidth="1"/>
    <col min="13069" max="13069" width="7.625" style="1" customWidth="1"/>
    <col min="13070" max="13070" width="5.875" style="1" customWidth="1"/>
    <col min="13071" max="13071" width="3.75" style="1" customWidth="1"/>
    <col min="13072" max="13072" width="4.75" style="1" customWidth="1"/>
    <col min="13073" max="13073" width="13.125" style="1" customWidth="1"/>
    <col min="13074" max="13074" width="2.875" style="1" customWidth="1"/>
    <col min="13075" max="13075" width="4.5" style="1" customWidth="1"/>
    <col min="13076" max="13076" width="5.25" style="1" customWidth="1"/>
    <col min="13077" max="13077" width="5.375" style="1" customWidth="1"/>
    <col min="13078" max="13078" width="7.25" style="1" customWidth="1"/>
    <col min="13079" max="13079" width="26.625" style="1" customWidth="1"/>
    <col min="13080" max="13080" width="8.25" style="1" customWidth="1"/>
    <col min="13081" max="13082" width="26.75" style="1" customWidth="1"/>
    <col min="13083" max="13083" width="9.875" style="1" customWidth="1"/>
    <col min="13084" max="13084" width="8.625" style="1" customWidth="1"/>
    <col min="13085" max="13085" width="8.875" style="1" customWidth="1"/>
    <col min="13086" max="13312" width="9" style="1" customWidth="1"/>
    <col min="13313" max="13313" width="9.5" style="1" customWidth="1"/>
    <col min="13314" max="13314" width="7.875" style="1" customWidth="1"/>
    <col min="13315" max="13315" width="4.625" style="1" customWidth="1"/>
    <col min="13316" max="13316" width="5.375" style="1" customWidth="1"/>
    <col min="13317" max="13317" width="6.625" style="1" customWidth="1"/>
    <col min="13318" max="13318" width="2.625" style="1" customWidth="1"/>
    <col min="13319" max="13320" width="4.75" style="1" customWidth="1"/>
    <col min="13321" max="13321" width="5" style="1" customWidth="1"/>
    <col min="13322" max="13322" width="5.125" style="1" customWidth="1"/>
    <col min="13323" max="13323" width="2.875" style="1" customWidth="1"/>
    <col min="13324" max="13324" width="8.375" style="1" customWidth="1"/>
    <col min="13325" max="13325" width="7.625" style="1" customWidth="1"/>
    <col min="13326" max="13326" width="5.875" style="1" customWidth="1"/>
    <col min="13327" max="13327" width="3.75" style="1" customWidth="1"/>
    <col min="13328" max="13328" width="4.75" style="1" customWidth="1"/>
    <col min="13329" max="13329" width="13.125" style="1" customWidth="1"/>
    <col min="13330" max="13330" width="2.875" style="1" customWidth="1"/>
    <col min="13331" max="13331" width="4.5" style="1" customWidth="1"/>
    <col min="13332" max="13332" width="5.25" style="1" customWidth="1"/>
    <col min="13333" max="13333" width="5.375" style="1" customWidth="1"/>
    <col min="13334" max="13334" width="7.25" style="1" customWidth="1"/>
    <col min="13335" max="13335" width="26.625" style="1" customWidth="1"/>
    <col min="13336" max="13336" width="8.25" style="1" customWidth="1"/>
    <col min="13337" max="13338" width="26.75" style="1" customWidth="1"/>
    <col min="13339" max="13339" width="9.875" style="1" customWidth="1"/>
    <col min="13340" max="13340" width="8.625" style="1" customWidth="1"/>
    <col min="13341" max="13341" width="8.875" style="1" customWidth="1"/>
    <col min="13342" max="13568" width="9" style="1" customWidth="1"/>
    <col min="13569" max="13569" width="9.5" style="1" customWidth="1"/>
    <col min="13570" max="13570" width="7.875" style="1" customWidth="1"/>
    <col min="13571" max="13571" width="4.625" style="1" customWidth="1"/>
    <col min="13572" max="13572" width="5.375" style="1" customWidth="1"/>
    <col min="13573" max="13573" width="6.625" style="1" customWidth="1"/>
    <col min="13574" max="13574" width="2.625" style="1" customWidth="1"/>
    <col min="13575" max="13576" width="4.75" style="1" customWidth="1"/>
    <col min="13577" max="13577" width="5" style="1" customWidth="1"/>
    <col min="13578" max="13578" width="5.125" style="1" customWidth="1"/>
    <col min="13579" max="13579" width="2.875" style="1" customWidth="1"/>
    <col min="13580" max="13580" width="8.375" style="1" customWidth="1"/>
    <col min="13581" max="13581" width="7.625" style="1" customWidth="1"/>
    <col min="13582" max="13582" width="5.875" style="1" customWidth="1"/>
    <col min="13583" max="13583" width="3.75" style="1" customWidth="1"/>
    <col min="13584" max="13584" width="4.75" style="1" customWidth="1"/>
    <col min="13585" max="13585" width="13.125" style="1" customWidth="1"/>
    <col min="13586" max="13586" width="2.875" style="1" customWidth="1"/>
    <col min="13587" max="13587" width="4.5" style="1" customWidth="1"/>
    <col min="13588" max="13588" width="5.25" style="1" customWidth="1"/>
    <col min="13589" max="13589" width="5.375" style="1" customWidth="1"/>
    <col min="13590" max="13590" width="7.25" style="1" customWidth="1"/>
    <col min="13591" max="13591" width="26.625" style="1" customWidth="1"/>
    <col min="13592" max="13592" width="8.25" style="1" customWidth="1"/>
    <col min="13593" max="13594" width="26.75" style="1" customWidth="1"/>
    <col min="13595" max="13595" width="9.875" style="1" customWidth="1"/>
    <col min="13596" max="13596" width="8.625" style="1" customWidth="1"/>
    <col min="13597" max="13597" width="8.875" style="1" customWidth="1"/>
    <col min="13598" max="13824" width="9" style="1" customWidth="1"/>
    <col min="13825" max="13825" width="9.5" style="1" customWidth="1"/>
    <col min="13826" max="13826" width="7.875" style="1" customWidth="1"/>
    <col min="13827" max="13827" width="4.625" style="1" customWidth="1"/>
    <col min="13828" max="13828" width="5.375" style="1" customWidth="1"/>
    <col min="13829" max="13829" width="6.625" style="1" customWidth="1"/>
    <col min="13830" max="13830" width="2.625" style="1" customWidth="1"/>
    <col min="13831" max="13832" width="4.75" style="1" customWidth="1"/>
    <col min="13833" max="13833" width="5" style="1" customWidth="1"/>
    <col min="13834" max="13834" width="5.125" style="1" customWidth="1"/>
    <col min="13835" max="13835" width="2.875" style="1" customWidth="1"/>
    <col min="13836" max="13836" width="8.375" style="1" customWidth="1"/>
    <col min="13837" max="13837" width="7.625" style="1" customWidth="1"/>
    <col min="13838" max="13838" width="5.875" style="1" customWidth="1"/>
    <col min="13839" max="13839" width="3.75" style="1" customWidth="1"/>
    <col min="13840" max="13840" width="4.75" style="1" customWidth="1"/>
    <col min="13841" max="13841" width="13.125" style="1" customWidth="1"/>
    <col min="13842" max="13842" width="2.875" style="1" customWidth="1"/>
    <col min="13843" max="13843" width="4.5" style="1" customWidth="1"/>
    <col min="13844" max="13844" width="5.25" style="1" customWidth="1"/>
    <col min="13845" max="13845" width="5.375" style="1" customWidth="1"/>
    <col min="13846" max="13846" width="7.25" style="1" customWidth="1"/>
    <col min="13847" max="13847" width="26.625" style="1" customWidth="1"/>
    <col min="13848" max="13848" width="8.25" style="1" customWidth="1"/>
    <col min="13849" max="13850" width="26.75" style="1" customWidth="1"/>
    <col min="13851" max="13851" width="9.875" style="1" customWidth="1"/>
    <col min="13852" max="13852" width="8.625" style="1" customWidth="1"/>
    <col min="13853" max="13853" width="8.875" style="1" customWidth="1"/>
    <col min="13854" max="14080" width="9" style="1" customWidth="1"/>
    <col min="14081" max="14081" width="9.5" style="1" customWidth="1"/>
    <col min="14082" max="14082" width="7.875" style="1" customWidth="1"/>
    <col min="14083" max="14083" width="4.625" style="1" customWidth="1"/>
    <col min="14084" max="14084" width="5.375" style="1" customWidth="1"/>
    <col min="14085" max="14085" width="6.625" style="1" customWidth="1"/>
    <col min="14086" max="14086" width="2.625" style="1" customWidth="1"/>
    <col min="14087" max="14088" width="4.75" style="1" customWidth="1"/>
    <col min="14089" max="14089" width="5" style="1" customWidth="1"/>
    <col min="14090" max="14090" width="5.125" style="1" customWidth="1"/>
    <col min="14091" max="14091" width="2.875" style="1" customWidth="1"/>
    <col min="14092" max="14092" width="8.375" style="1" customWidth="1"/>
    <col min="14093" max="14093" width="7.625" style="1" customWidth="1"/>
    <col min="14094" max="14094" width="5.875" style="1" customWidth="1"/>
    <col min="14095" max="14095" width="3.75" style="1" customWidth="1"/>
    <col min="14096" max="14096" width="4.75" style="1" customWidth="1"/>
    <col min="14097" max="14097" width="13.125" style="1" customWidth="1"/>
    <col min="14098" max="14098" width="2.875" style="1" customWidth="1"/>
    <col min="14099" max="14099" width="4.5" style="1" customWidth="1"/>
    <col min="14100" max="14100" width="5.25" style="1" customWidth="1"/>
    <col min="14101" max="14101" width="5.375" style="1" customWidth="1"/>
    <col min="14102" max="14102" width="7.25" style="1" customWidth="1"/>
    <col min="14103" max="14103" width="26.625" style="1" customWidth="1"/>
    <col min="14104" max="14104" width="8.25" style="1" customWidth="1"/>
    <col min="14105" max="14106" width="26.75" style="1" customWidth="1"/>
    <col min="14107" max="14107" width="9.875" style="1" customWidth="1"/>
    <col min="14108" max="14108" width="8.625" style="1" customWidth="1"/>
    <col min="14109" max="14109" width="8.875" style="1" customWidth="1"/>
    <col min="14110" max="14336" width="9" style="1" customWidth="1"/>
    <col min="14337" max="14337" width="9.5" style="1" customWidth="1"/>
    <col min="14338" max="14338" width="7.875" style="1" customWidth="1"/>
    <col min="14339" max="14339" width="4.625" style="1" customWidth="1"/>
    <col min="14340" max="14340" width="5.375" style="1" customWidth="1"/>
    <col min="14341" max="14341" width="6.625" style="1" customWidth="1"/>
    <col min="14342" max="14342" width="2.625" style="1" customWidth="1"/>
    <col min="14343" max="14344" width="4.75" style="1" customWidth="1"/>
    <col min="14345" max="14345" width="5" style="1" customWidth="1"/>
    <col min="14346" max="14346" width="5.125" style="1" customWidth="1"/>
    <col min="14347" max="14347" width="2.875" style="1" customWidth="1"/>
    <col min="14348" max="14348" width="8.375" style="1" customWidth="1"/>
    <col min="14349" max="14349" width="7.625" style="1" customWidth="1"/>
    <col min="14350" max="14350" width="5.875" style="1" customWidth="1"/>
    <col min="14351" max="14351" width="3.75" style="1" customWidth="1"/>
    <col min="14352" max="14352" width="4.75" style="1" customWidth="1"/>
    <col min="14353" max="14353" width="13.125" style="1" customWidth="1"/>
    <col min="14354" max="14354" width="2.875" style="1" customWidth="1"/>
    <col min="14355" max="14355" width="4.5" style="1" customWidth="1"/>
    <col min="14356" max="14356" width="5.25" style="1" customWidth="1"/>
    <col min="14357" max="14357" width="5.375" style="1" customWidth="1"/>
    <col min="14358" max="14358" width="7.25" style="1" customWidth="1"/>
    <col min="14359" max="14359" width="26.625" style="1" customWidth="1"/>
    <col min="14360" max="14360" width="8.25" style="1" customWidth="1"/>
    <col min="14361" max="14362" width="26.75" style="1" customWidth="1"/>
    <col min="14363" max="14363" width="9.875" style="1" customWidth="1"/>
    <col min="14364" max="14364" width="8.625" style="1" customWidth="1"/>
    <col min="14365" max="14365" width="8.875" style="1" customWidth="1"/>
    <col min="14366" max="14592" width="9" style="1" customWidth="1"/>
    <col min="14593" max="14593" width="9.5" style="1" customWidth="1"/>
    <col min="14594" max="14594" width="7.875" style="1" customWidth="1"/>
    <col min="14595" max="14595" width="4.625" style="1" customWidth="1"/>
    <col min="14596" max="14596" width="5.375" style="1" customWidth="1"/>
    <col min="14597" max="14597" width="6.625" style="1" customWidth="1"/>
    <col min="14598" max="14598" width="2.625" style="1" customWidth="1"/>
    <col min="14599" max="14600" width="4.75" style="1" customWidth="1"/>
    <col min="14601" max="14601" width="5" style="1" customWidth="1"/>
    <col min="14602" max="14602" width="5.125" style="1" customWidth="1"/>
    <col min="14603" max="14603" width="2.875" style="1" customWidth="1"/>
    <col min="14604" max="14604" width="8.375" style="1" customWidth="1"/>
    <col min="14605" max="14605" width="7.625" style="1" customWidth="1"/>
    <col min="14606" max="14606" width="5.875" style="1" customWidth="1"/>
    <col min="14607" max="14607" width="3.75" style="1" customWidth="1"/>
    <col min="14608" max="14608" width="4.75" style="1" customWidth="1"/>
    <col min="14609" max="14609" width="13.125" style="1" customWidth="1"/>
    <col min="14610" max="14610" width="2.875" style="1" customWidth="1"/>
    <col min="14611" max="14611" width="4.5" style="1" customWidth="1"/>
    <col min="14612" max="14612" width="5.25" style="1" customWidth="1"/>
    <col min="14613" max="14613" width="5.375" style="1" customWidth="1"/>
    <col min="14614" max="14614" width="7.25" style="1" customWidth="1"/>
    <col min="14615" max="14615" width="26.625" style="1" customWidth="1"/>
    <col min="14616" max="14616" width="8.25" style="1" customWidth="1"/>
    <col min="14617" max="14618" width="26.75" style="1" customWidth="1"/>
    <col min="14619" max="14619" width="9.875" style="1" customWidth="1"/>
    <col min="14620" max="14620" width="8.625" style="1" customWidth="1"/>
    <col min="14621" max="14621" width="8.875" style="1" customWidth="1"/>
    <col min="14622" max="14848" width="9" style="1" customWidth="1"/>
    <col min="14849" max="14849" width="9.5" style="1" customWidth="1"/>
    <col min="14850" max="14850" width="7.875" style="1" customWidth="1"/>
    <col min="14851" max="14851" width="4.625" style="1" customWidth="1"/>
    <col min="14852" max="14852" width="5.375" style="1" customWidth="1"/>
    <col min="14853" max="14853" width="6.625" style="1" customWidth="1"/>
    <col min="14854" max="14854" width="2.625" style="1" customWidth="1"/>
    <col min="14855" max="14856" width="4.75" style="1" customWidth="1"/>
    <col min="14857" max="14857" width="5" style="1" customWidth="1"/>
    <col min="14858" max="14858" width="5.125" style="1" customWidth="1"/>
    <col min="14859" max="14859" width="2.875" style="1" customWidth="1"/>
    <col min="14860" max="14860" width="8.375" style="1" customWidth="1"/>
    <col min="14861" max="14861" width="7.625" style="1" customWidth="1"/>
    <col min="14862" max="14862" width="5.875" style="1" customWidth="1"/>
    <col min="14863" max="14863" width="3.75" style="1" customWidth="1"/>
    <col min="14864" max="14864" width="4.75" style="1" customWidth="1"/>
    <col min="14865" max="14865" width="13.125" style="1" customWidth="1"/>
    <col min="14866" max="14866" width="2.875" style="1" customWidth="1"/>
    <col min="14867" max="14867" width="4.5" style="1" customWidth="1"/>
    <col min="14868" max="14868" width="5.25" style="1" customWidth="1"/>
    <col min="14869" max="14869" width="5.375" style="1" customWidth="1"/>
    <col min="14870" max="14870" width="7.25" style="1" customWidth="1"/>
    <col min="14871" max="14871" width="26.625" style="1" customWidth="1"/>
    <col min="14872" max="14872" width="8.25" style="1" customWidth="1"/>
    <col min="14873" max="14874" width="26.75" style="1" customWidth="1"/>
    <col min="14875" max="14875" width="9.875" style="1" customWidth="1"/>
    <col min="14876" max="14876" width="8.625" style="1" customWidth="1"/>
    <col min="14877" max="14877" width="8.875" style="1" customWidth="1"/>
    <col min="14878" max="15104" width="9" style="1" customWidth="1"/>
    <col min="15105" max="15105" width="9.5" style="1" customWidth="1"/>
    <col min="15106" max="15106" width="7.875" style="1" customWidth="1"/>
    <col min="15107" max="15107" width="4.625" style="1" customWidth="1"/>
    <col min="15108" max="15108" width="5.375" style="1" customWidth="1"/>
    <col min="15109" max="15109" width="6.625" style="1" customWidth="1"/>
    <col min="15110" max="15110" width="2.625" style="1" customWidth="1"/>
    <col min="15111" max="15112" width="4.75" style="1" customWidth="1"/>
    <col min="15113" max="15113" width="5" style="1" customWidth="1"/>
    <col min="15114" max="15114" width="5.125" style="1" customWidth="1"/>
    <col min="15115" max="15115" width="2.875" style="1" customWidth="1"/>
    <col min="15116" max="15116" width="8.375" style="1" customWidth="1"/>
    <col min="15117" max="15117" width="7.625" style="1" customWidth="1"/>
    <col min="15118" max="15118" width="5.875" style="1" customWidth="1"/>
    <col min="15119" max="15119" width="3.75" style="1" customWidth="1"/>
    <col min="15120" max="15120" width="4.75" style="1" customWidth="1"/>
    <col min="15121" max="15121" width="13.125" style="1" customWidth="1"/>
    <col min="15122" max="15122" width="2.875" style="1" customWidth="1"/>
    <col min="15123" max="15123" width="4.5" style="1" customWidth="1"/>
    <col min="15124" max="15124" width="5.25" style="1" customWidth="1"/>
    <col min="15125" max="15125" width="5.375" style="1" customWidth="1"/>
    <col min="15126" max="15126" width="7.25" style="1" customWidth="1"/>
    <col min="15127" max="15127" width="26.625" style="1" customWidth="1"/>
    <col min="15128" max="15128" width="8.25" style="1" customWidth="1"/>
    <col min="15129" max="15130" width="26.75" style="1" customWidth="1"/>
    <col min="15131" max="15131" width="9.875" style="1" customWidth="1"/>
    <col min="15132" max="15132" width="8.625" style="1" customWidth="1"/>
    <col min="15133" max="15133" width="8.875" style="1" customWidth="1"/>
    <col min="15134" max="15360" width="9" style="1" customWidth="1"/>
    <col min="15361" max="15361" width="9.5" style="1" customWidth="1"/>
    <col min="15362" max="15362" width="7.875" style="1" customWidth="1"/>
    <col min="15363" max="15363" width="4.625" style="1" customWidth="1"/>
    <col min="15364" max="15364" width="5.375" style="1" customWidth="1"/>
    <col min="15365" max="15365" width="6.625" style="1" customWidth="1"/>
    <col min="15366" max="15366" width="2.625" style="1" customWidth="1"/>
    <col min="15367" max="15368" width="4.75" style="1" customWidth="1"/>
    <col min="15369" max="15369" width="5" style="1" customWidth="1"/>
    <col min="15370" max="15370" width="5.125" style="1" customWidth="1"/>
    <col min="15371" max="15371" width="2.875" style="1" customWidth="1"/>
    <col min="15372" max="15372" width="8.375" style="1" customWidth="1"/>
    <col min="15373" max="15373" width="7.625" style="1" customWidth="1"/>
    <col min="15374" max="15374" width="5.875" style="1" customWidth="1"/>
    <col min="15375" max="15375" width="3.75" style="1" customWidth="1"/>
    <col min="15376" max="15376" width="4.75" style="1" customWidth="1"/>
    <col min="15377" max="15377" width="13.125" style="1" customWidth="1"/>
    <col min="15378" max="15378" width="2.875" style="1" customWidth="1"/>
    <col min="15379" max="15379" width="4.5" style="1" customWidth="1"/>
    <col min="15380" max="15380" width="5.25" style="1" customWidth="1"/>
    <col min="15381" max="15381" width="5.375" style="1" customWidth="1"/>
    <col min="15382" max="15382" width="7.25" style="1" customWidth="1"/>
    <col min="15383" max="15383" width="26.625" style="1" customWidth="1"/>
    <col min="15384" max="15384" width="8.25" style="1" customWidth="1"/>
    <col min="15385" max="15386" width="26.75" style="1" customWidth="1"/>
    <col min="15387" max="15387" width="9.875" style="1" customWidth="1"/>
    <col min="15388" max="15388" width="8.625" style="1" customWidth="1"/>
    <col min="15389" max="15389" width="8.875" style="1" customWidth="1"/>
    <col min="15390" max="15616" width="9" style="1" customWidth="1"/>
    <col min="15617" max="15617" width="9.5" style="1" customWidth="1"/>
    <col min="15618" max="15618" width="7.875" style="1" customWidth="1"/>
    <col min="15619" max="15619" width="4.625" style="1" customWidth="1"/>
    <col min="15620" max="15620" width="5.375" style="1" customWidth="1"/>
    <col min="15621" max="15621" width="6.625" style="1" customWidth="1"/>
    <col min="15622" max="15622" width="2.625" style="1" customWidth="1"/>
    <col min="15623" max="15624" width="4.75" style="1" customWidth="1"/>
    <col min="15625" max="15625" width="5" style="1" customWidth="1"/>
    <col min="15626" max="15626" width="5.125" style="1" customWidth="1"/>
    <col min="15627" max="15627" width="2.875" style="1" customWidth="1"/>
    <col min="15628" max="15628" width="8.375" style="1" customWidth="1"/>
    <col min="15629" max="15629" width="7.625" style="1" customWidth="1"/>
    <col min="15630" max="15630" width="5.875" style="1" customWidth="1"/>
    <col min="15631" max="15631" width="3.75" style="1" customWidth="1"/>
    <col min="15632" max="15632" width="4.75" style="1" customWidth="1"/>
    <col min="15633" max="15633" width="13.125" style="1" customWidth="1"/>
    <col min="15634" max="15634" width="2.875" style="1" customWidth="1"/>
    <col min="15635" max="15635" width="4.5" style="1" customWidth="1"/>
    <col min="15636" max="15636" width="5.25" style="1" customWidth="1"/>
    <col min="15637" max="15637" width="5.375" style="1" customWidth="1"/>
    <col min="15638" max="15638" width="7.25" style="1" customWidth="1"/>
    <col min="15639" max="15639" width="26.625" style="1" customWidth="1"/>
    <col min="15640" max="15640" width="8.25" style="1" customWidth="1"/>
    <col min="15641" max="15642" width="26.75" style="1" customWidth="1"/>
    <col min="15643" max="15643" width="9.875" style="1" customWidth="1"/>
    <col min="15644" max="15644" width="8.625" style="1" customWidth="1"/>
    <col min="15645" max="15645" width="8.875" style="1" customWidth="1"/>
    <col min="15646" max="15872" width="9" style="1" customWidth="1"/>
    <col min="15873" max="15873" width="9.5" style="1" customWidth="1"/>
    <col min="15874" max="15874" width="7.875" style="1" customWidth="1"/>
    <col min="15875" max="15875" width="4.625" style="1" customWidth="1"/>
    <col min="15876" max="15876" width="5.375" style="1" customWidth="1"/>
    <col min="15877" max="15877" width="6.625" style="1" customWidth="1"/>
    <col min="15878" max="15878" width="2.625" style="1" customWidth="1"/>
    <col min="15879" max="15880" width="4.75" style="1" customWidth="1"/>
    <col min="15881" max="15881" width="5" style="1" customWidth="1"/>
    <col min="15882" max="15882" width="5.125" style="1" customWidth="1"/>
    <col min="15883" max="15883" width="2.875" style="1" customWidth="1"/>
    <col min="15884" max="15884" width="8.375" style="1" customWidth="1"/>
    <col min="15885" max="15885" width="7.625" style="1" customWidth="1"/>
    <col min="15886" max="15886" width="5.875" style="1" customWidth="1"/>
    <col min="15887" max="15887" width="3.75" style="1" customWidth="1"/>
    <col min="15888" max="15888" width="4.75" style="1" customWidth="1"/>
    <col min="15889" max="15889" width="13.125" style="1" customWidth="1"/>
    <col min="15890" max="15890" width="2.875" style="1" customWidth="1"/>
    <col min="15891" max="15891" width="4.5" style="1" customWidth="1"/>
    <col min="15892" max="15892" width="5.25" style="1" customWidth="1"/>
    <col min="15893" max="15893" width="5.375" style="1" customWidth="1"/>
    <col min="15894" max="15894" width="7.25" style="1" customWidth="1"/>
    <col min="15895" max="15895" width="26.625" style="1" customWidth="1"/>
    <col min="15896" max="15896" width="8.25" style="1" customWidth="1"/>
    <col min="15897" max="15898" width="26.75" style="1" customWidth="1"/>
    <col min="15899" max="15899" width="9.875" style="1" customWidth="1"/>
    <col min="15900" max="15900" width="8.625" style="1" customWidth="1"/>
    <col min="15901" max="15901" width="8.875" style="1" customWidth="1"/>
    <col min="15902" max="16128" width="9" style="1" customWidth="1"/>
    <col min="16129" max="16129" width="9.5" style="1" customWidth="1"/>
    <col min="16130" max="16130" width="7.875" style="1" customWidth="1"/>
    <col min="16131" max="16131" width="4.625" style="1" customWidth="1"/>
    <col min="16132" max="16132" width="5.375" style="1" customWidth="1"/>
    <col min="16133" max="16133" width="6.625" style="1" customWidth="1"/>
    <col min="16134" max="16134" width="2.625" style="1" customWidth="1"/>
    <col min="16135" max="16136" width="4.75" style="1" customWidth="1"/>
    <col min="16137" max="16137" width="5" style="1" customWidth="1"/>
    <col min="16138" max="16138" width="5.125" style="1" customWidth="1"/>
    <col min="16139" max="16139" width="2.875" style="1" customWidth="1"/>
    <col min="16140" max="16140" width="8.375" style="1" customWidth="1"/>
    <col min="16141" max="16141" width="7.625" style="1" customWidth="1"/>
    <col min="16142" max="16142" width="5.875" style="1" customWidth="1"/>
    <col min="16143" max="16143" width="3.75" style="1" customWidth="1"/>
    <col min="16144" max="16144" width="4.75" style="1" customWidth="1"/>
    <col min="16145" max="16145" width="13.125" style="1" customWidth="1"/>
    <col min="16146" max="16146" width="2.875" style="1" customWidth="1"/>
    <col min="16147" max="16147" width="4.5" style="1" customWidth="1"/>
    <col min="16148" max="16148" width="5.25" style="1" customWidth="1"/>
    <col min="16149" max="16149" width="5.375" style="1" customWidth="1"/>
    <col min="16150" max="16150" width="7.25" style="1" customWidth="1"/>
    <col min="16151" max="16151" width="26.625" style="1" customWidth="1"/>
    <col min="16152" max="16152" width="8.25" style="1" customWidth="1"/>
    <col min="16153" max="16154" width="26.75" style="1" customWidth="1"/>
    <col min="16155" max="16155" width="9.875" style="1" customWidth="1"/>
    <col min="16156" max="16156" width="8.625" style="1" customWidth="1"/>
    <col min="16157" max="16157" width="8.875" style="1" customWidth="1"/>
    <col min="16158" max="16384" width="9" style="1" customWidth="1"/>
  </cols>
  <sheetData>
    <row r="1" ht="12" customHeight="1" spans="1:2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ht="12" customHeight="1" spans="1:29" x14ac:dyDescent="0.25">
      <c r="A2" s="3" t="s">
        <v>29</v>
      </c>
      <c r="B2" s="4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35</v>
      </c>
      <c r="I2" s="3" t="s">
        <v>36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P2" s="3" t="s">
        <v>42</v>
      </c>
      <c r="Q2" s="3" t="s">
        <v>43</v>
      </c>
      <c r="R2" s="3" t="s">
        <v>44</v>
      </c>
      <c r="S2" s="3" t="s">
        <v>44</v>
      </c>
      <c r="T2" s="3"/>
      <c r="U2" s="5"/>
      <c r="V2" s="3" t="s">
        <v>45</v>
      </c>
      <c r="W2" s="3" t="s">
        <v>46</v>
      </c>
      <c r="X2" s="3" t="s">
        <v>47</v>
      </c>
      <c r="Y2" s="3" t="s">
        <v>48</v>
      </c>
      <c r="Z2" s="3" t="s">
        <v>48</v>
      </c>
      <c r="AA2" s="5">
        <v>27416.1</v>
      </c>
      <c r="AB2" s="3" t="s">
        <v>40</v>
      </c>
      <c r="AC2" s="3" t="s">
        <v>49</v>
      </c>
    </row>
    <row r="3" ht="12" customHeight="1" spans="1:29" x14ac:dyDescent="0.25">
      <c r="A3" s="3" t="s">
        <v>50</v>
      </c>
      <c r="B3" s="4" t="s">
        <v>30</v>
      </c>
      <c r="C3" s="3" t="s">
        <v>31</v>
      </c>
      <c r="D3" s="3" t="s">
        <v>32</v>
      </c>
      <c r="E3" s="3" t="s">
        <v>51</v>
      </c>
      <c r="F3" s="3" t="s">
        <v>34</v>
      </c>
      <c r="G3" s="3" t="s">
        <v>35</v>
      </c>
      <c r="H3" s="3" t="s">
        <v>35</v>
      </c>
      <c r="I3" s="3" t="s">
        <v>52</v>
      </c>
      <c r="J3" s="3" t="s">
        <v>53</v>
      </c>
      <c r="K3" s="3" t="s">
        <v>37</v>
      </c>
      <c r="L3" s="3" t="s">
        <v>38</v>
      </c>
      <c r="M3" s="3" t="s">
        <v>39</v>
      </c>
      <c r="N3" s="3" t="s">
        <v>40</v>
      </c>
      <c r="O3" s="3" t="s">
        <v>41</v>
      </c>
      <c r="P3" s="3" t="s">
        <v>42</v>
      </c>
      <c r="Q3" s="3" t="s">
        <v>54</v>
      </c>
      <c r="R3" s="3" t="s">
        <v>55</v>
      </c>
      <c r="S3" s="3" t="s">
        <v>44</v>
      </c>
      <c r="T3" s="3"/>
      <c r="U3" s="5"/>
      <c r="V3" s="3" t="s">
        <v>56</v>
      </c>
      <c r="W3" s="3" t="s">
        <v>57</v>
      </c>
      <c r="X3" s="3" t="s">
        <v>47</v>
      </c>
      <c r="Y3" s="3" t="s">
        <v>58</v>
      </c>
      <c r="Z3" s="3" t="s">
        <v>58</v>
      </c>
      <c r="AA3" s="5">
        <v>21614.04</v>
      </c>
      <c r="AB3" s="3" t="s">
        <v>40</v>
      </c>
      <c r="AC3" s="3" t="s">
        <v>59</v>
      </c>
    </row>
    <row r="4" ht="12" customHeight="1" spans="1:29" x14ac:dyDescent="0.25">
      <c r="A4" s="3" t="s">
        <v>60</v>
      </c>
      <c r="B4" s="4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35</v>
      </c>
      <c r="I4" s="3" t="s">
        <v>36</v>
      </c>
      <c r="J4" s="3" t="s">
        <v>36</v>
      </c>
      <c r="K4" s="3" t="s">
        <v>37</v>
      </c>
      <c r="L4" s="3" t="s">
        <v>61</v>
      </c>
      <c r="M4" s="3" t="s">
        <v>39</v>
      </c>
      <c r="N4" s="3" t="s">
        <v>40</v>
      </c>
      <c r="O4" s="3" t="s">
        <v>41</v>
      </c>
      <c r="P4" s="3" t="s">
        <v>42</v>
      </c>
      <c r="Q4" s="3" t="s">
        <v>43</v>
      </c>
      <c r="R4" s="3" t="s">
        <v>44</v>
      </c>
      <c r="S4" s="3" t="s">
        <v>44</v>
      </c>
      <c r="T4" s="3"/>
      <c r="U4" s="5"/>
      <c r="V4" s="3" t="s">
        <v>62</v>
      </c>
      <c r="W4" s="3" t="s">
        <v>46</v>
      </c>
      <c r="X4" s="3" t="s">
        <v>47</v>
      </c>
      <c r="Y4" s="3" t="s">
        <v>48</v>
      </c>
      <c r="Z4" s="3" t="s">
        <v>48</v>
      </c>
      <c r="AA4" s="5">
        <v>27416.1</v>
      </c>
      <c r="AB4" s="3" t="s">
        <v>40</v>
      </c>
      <c r="AC4" s="3" t="s">
        <v>49</v>
      </c>
    </row>
    <row r="5" ht="12" customHeight="1" spans="1:29" x14ac:dyDescent="0.25">
      <c r="A5" s="3" t="s">
        <v>63</v>
      </c>
      <c r="B5" s="4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35</v>
      </c>
      <c r="H5" s="3" t="s">
        <v>35</v>
      </c>
      <c r="I5" s="3" t="s">
        <v>36</v>
      </c>
      <c r="J5" s="3" t="s">
        <v>36</v>
      </c>
      <c r="K5" s="3" t="s">
        <v>37</v>
      </c>
      <c r="L5" s="3" t="s">
        <v>61</v>
      </c>
      <c r="M5" s="3" t="s">
        <v>39</v>
      </c>
      <c r="N5" s="3" t="s">
        <v>40</v>
      </c>
      <c r="O5" s="3" t="s">
        <v>41</v>
      </c>
      <c r="P5" s="3" t="s">
        <v>42</v>
      </c>
      <c r="Q5" s="3" t="s">
        <v>43</v>
      </c>
      <c r="R5" s="3" t="s">
        <v>44</v>
      </c>
      <c r="S5" s="3" t="s">
        <v>44</v>
      </c>
      <c r="T5" s="3"/>
      <c r="U5" s="5"/>
      <c r="V5" s="3" t="s">
        <v>62</v>
      </c>
      <c r="W5" s="3" t="s">
        <v>46</v>
      </c>
      <c r="X5" s="3" t="s">
        <v>47</v>
      </c>
      <c r="Y5" s="3" t="s">
        <v>48</v>
      </c>
      <c r="Z5" s="3" t="s">
        <v>48</v>
      </c>
      <c r="AA5" s="5">
        <v>27416.1</v>
      </c>
      <c r="AB5" s="3" t="s">
        <v>40</v>
      </c>
      <c r="AC5" s="3" t="s">
        <v>49</v>
      </c>
    </row>
    <row r="6" ht="12" customHeight="1" spans="1:29" x14ac:dyDescent="0.25">
      <c r="A6" s="3" t="s">
        <v>64</v>
      </c>
      <c r="B6" s="4" t="s">
        <v>30</v>
      </c>
      <c r="C6" s="3" t="s">
        <v>31</v>
      </c>
      <c r="D6" s="3" t="s">
        <v>32</v>
      </c>
      <c r="E6" s="3" t="s">
        <v>33</v>
      </c>
      <c r="F6" s="3" t="s">
        <v>34</v>
      </c>
      <c r="G6" s="3" t="s">
        <v>35</v>
      </c>
      <c r="H6" s="3" t="s">
        <v>35</v>
      </c>
      <c r="I6" s="3" t="s">
        <v>36</v>
      </c>
      <c r="J6" s="3" t="s">
        <v>36</v>
      </c>
      <c r="K6" s="3" t="s">
        <v>37</v>
      </c>
      <c r="L6" s="3" t="s">
        <v>61</v>
      </c>
      <c r="M6" s="3" t="s">
        <v>39</v>
      </c>
      <c r="N6" s="3" t="s">
        <v>40</v>
      </c>
      <c r="O6" s="3" t="s">
        <v>41</v>
      </c>
      <c r="P6" s="3" t="s">
        <v>42</v>
      </c>
      <c r="Q6" s="3" t="s">
        <v>43</v>
      </c>
      <c r="R6" s="3" t="s">
        <v>44</v>
      </c>
      <c r="S6" s="3" t="s">
        <v>44</v>
      </c>
      <c r="T6" s="3"/>
      <c r="U6" s="5"/>
      <c r="V6" s="3" t="s">
        <v>62</v>
      </c>
      <c r="W6" s="3" t="s">
        <v>46</v>
      </c>
      <c r="X6" s="3" t="s">
        <v>47</v>
      </c>
      <c r="Y6" s="3" t="s">
        <v>48</v>
      </c>
      <c r="Z6" s="3" t="s">
        <v>48</v>
      </c>
      <c r="AA6" s="5">
        <v>27416.1</v>
      </c>
      <c r="AB6" s="3" t="s">
        <v>40</v>
      </c>
      <c r="AC6" s="3" t="s">
        <v>49</v>
      </c>
    </row>
    <row r="7" ht="12" customHeight="1" spans="1:29" x14ac:dyDescent="0.25">
      <c r="A7" s="3" t="s">
        <v>65</v>
      </c>
      <c r="B7" s="4" t="s">
        <v>30</v>
      </c>
      <c r="C7" s="3" t="s">
        <v>31</v>
      </c>
      <c r="D7" s="3" t="s">
        <v>32</v>
      </c>
      <c r="E7" s="3" t="s">
        <v>33</v>
      </c>
      <c r="F7" s="3" t="s">
        <v>34</v>
      </c>
      <c r="G7" s="3" t="s">
        <v>35</v>
      </c>
      <c r="H7" s="3" t="s">
        <v>35</v>
      </c>
      <c r="I7" s="3" t="s">
        <v>36</v>
      </c>
      <c r="J7" s="3" t="s">
        <v>36</v>
      </c>
      <c r="K7" s="3" t="s">
        <v>37</v>
      </c>
      <c r="L7" s="3" t="s">
        <v>61</v>
      </c>
      <c r="M7" s="3" t="s">
        <v>39</v>
      </c>
      <c r="N7" s="3" t="s">
        <v>40</v>
      </c>
      <c r="O7" s="3" t="s">
        <v>41</v>
      </c>
      <c r="P7" s="3" t="s">
        <v>42</v>
      </c>
      <c r="Q7" s="3" t="s">
        <v>43</v>
      </c>
      <c r="R7" s="3" t="s">
        <v>44</v>
      </c>
      <c r="S7" s="3" t="s">
        <v>44</v>
      </c>
      <c r="T7" s="3"/>
      <c r="U7" s="5"/>
      <c r="V7" s="3" t="s">
        <v>62</v>
      </c>
      <c r="W7" s="3" t="s">
        <v>46</v>
      </c>
      <c r="X7" s="3" t="s">
        <v>47</v>
      </c>
      <c r="Y7" s="3" t="s">
        <v>48</v>
      </c>
      <c r="Z7" s="3" t="s">
        <v>48</v>
      </c>
      <c r="AA7" s="5">
        <v>27416.1</v>
      </c>
      <c r="AB7" s="3" t="s">
        <v>40</v>
      </c>
      <c r="AC7" s="3" t="s">
        <v>49</v>
      </c>
    </row>
    <row r="8" ht="12" customHeight="1" spans="1:29" x14ac:dyDescent="0.25">
      <c r="A8" s="3" t="s">
        <v>66</v>
      </c>
      <c r="B8" s="4" t="s">
        <v>30</v>
      </c>
      <c r="C8" s="3" t="s">
        <v>31</v>
      </c>
      <c r="D8" s="3" t="s">
        <v>32</v>
      </c>
      <c r="E8" s="3" t="s">
        <v>67</v>
      </c>
      <c r="F8" s="3" t="s">
        <v>34</v>
      </c>
      <c r="G8" s="3" t="s">
        <v>35</v>
      </c>
      <c r="H8" s="3" t="s">
        <v>35</v>
      </c>
      <c r="I8" s="3" t="s">
        <v>68</v>
      </c>
      <c r="J8" s="3" t="s">
        <v>68</v>
      </c>
      <c r="K8" s="3" t="s">
        <v>37</v>
      </c>
      <c r="L8" s="3" t="s">
        <v>69</v>
      </c>
      <c r="M8" s="3" t="s">
        <v>39</v>
      </c>
      <c r="N8" s="3" t="s">
        <v>40</v>
      </c>
      <c r="O8" s="3" t="s">
        <v>41</v>
      </c>
      <c r="P8" s="3" t="s">
        <v>42</v>
      </c>
      <c r="Q8" s="3" t="s">
        <v>70</v>
      </c>
      <c r="R8" s="3" t="s">
        <v>44</v>
      </c>
      <c r="S8" s="3" t="s">
        <v>44</v>
      </c>
      <c r="T8" s="3"/>
      <c r="U8" s="5"/>
      <c r="V8" s="3" t="s">
        <v>71</v>
      </c>
      <c r="W8" s="3" t="s">
        <v>72</v>
      </c>
      <c r="X8" s="3" t="s">
        <v>47</v>
      </c>
      <c r="Y8" s="3" t="s">
        <v>73</v>
      </c>
      <c r="Z8" s="3" t="s">
        <v>73</v>
      </c>
      <c r="AA8" s="5">
        <v>20664</v>
      </c>
      <c r="AB8" s="3" t="s">
        <v>40</v>
      </c>
      <c r="AC8" s="3" t="s">
        <v>74</v>
      </c>
    </row>
    <row r="9" ht="12" customHeight="1" spans="1:29" x14ac:dyDescent="0.25">
      <c r="A9" s="3" t="s">
        <v>75</v>
      </c>
      <c r="B9" s="4" t="s">
        <v>30</v>
      </c>
      <c r="C9" s="3" t="s">
        <v>31</v>
      </c>
      <c r="D9" s="3" t="s">
        <v>32</v>
      </c>
      <c r="E9" s="3" t="s">
        <v>67</v>
      </c>
      <c r="F9" s="3" t="s">
        <v>34</v>
      </c>
      <c r="G9" s="3" t="s">
        <v>35</v>
      </c>
      <c r="H9" s="3" t="s">
        <v>35</v>
      </c>
      <c r="I9" s="3" t="s">
        <v>52</v>
      </c>
      <c r="J9" s="3" t="s">
        <v>76</v>
      </c>
      <c r="K9" s="3" t="s">
        <v>37</v>
      </c>
      <c r="L9" s="3" t="s">
        <v>69</v>
      </c>
      <c r="M9" s="3" t="s">
        <v>39</v>
      </c>
      <c r="N9" s="3" t="s">
        <v>40</v>
      </c>
      <c r="O9" s="3" t="s">
        <v>41</v>
      </c>
      <c r="P9" s="3" t="s">
        <v>42</v>
      </c>
      <c r="Q9" s="3" t="s">
        <v>77</v>
      </c>
      <c r="R9" s="3" t="s">
        <v>55</v>
      </c>
      <c r="S9" s="3" t="s">
        <v>44</v>
      </c>
      <c r="T9" s="3"/>
      <c r="U9" s="5"/>
      <c r="V9" s="3" t="s">
        <v>78</v>
      </c>
      <c r="W9" s="3" t="s">
        <v>79</v>
      </c>
      <c r="X9" s="3" t="s">
        <v>47</v>
      </c>
      <c r="Y9" s="3" t="s">
        <v>80</v>
      </c>
      <c r="Z9" s="3" t="s">
        <v>80</v>
      </c>
      <c r="AA9" s="5">
        <v>17780</v>
      </c>
      <c r="AB9" s="3" t="s">
        <v>40</v>
      </c>
      <c r="AC9" s="3" t="s">
        <v>81</v>
      </c>
    </row>
    <row r="10" ht="12" customHeight="1" spans="1:29" x14ac:dyDescent="0.25">
      <c r="A10" s="3" t="s">
        <v>82</v>
      </c>
      <c r="B10" s="4" t="s">
        <v>30</v>
      </c>
      <c r="C10" s="3" t="s">
        <v>31</v>
      </c>
      <c r="D10" s="3" t="s">
        <v>32</v>
      </c>
      <c r="E10" s="3" t="s">
        <v>67</v>
      </c>
      <c r="F10" s="3" t="s">
        <v>34</v>
      </c>
      <c r="G10" s="3" t="s">
        <v>35</v>
      </c>
      <c r="H10" s="3" t="s">
        <v>35</v>
      </c>
      <c r="I10" s="3" t="s">
        <v>36</v>
      </c>
      <c r="J10" s="3" t="s">
        <v>36</v>
      </c>
      <c r="K10" s="3" t="s">
        <v>37</v>
      </c>
      <c r="L10" s="3" t="s">
        <v>69</v>
      </c>
      <c r="M10" s="3" t="s">
        <v>39</v>
      </c>
      <c r="N10" s="3" t="s">
        <v>40</v>
      </c>
      <c r="O10" s="3" t="s">
        <v>41</v>
      </c>
      <c r="P10" s="3" t="s">
        <v>42</v>
      </c>
      <c r="Q10" s="3" t="s">
        <v>83</v>
      </c>
      <c r="R10" s="3" t="s">
        <v>44</v>
      </c>
      <c r="S10" s="3" t="s">
        <v>44</v>
      </c>
      <c r="T10" s="3"/>
      <c r="U10" s="5"/>
      <c r="V10" s="3" t="s">
        <v>78</v>
      </c>
      <c r="W10" s="3" t="s">
        <v>84</v>
      </c>
      <c r="X10" s="3" t="s">
        <v>47</v>
      </c>
      <c r="Y10" s="3" t="s">
        <v>85</v>
      </c>
      <c r="Z10" s="3" t="s">
        <v>85</v>
      </c>
      <c r="AA10" s="5">
        <v>1566.4</v>
      </c>
      <c r="AB10" s="3" t="s">
        <v>40</v>
      </c>
      <c r="AC10" s="3" t="s">
        <v>49</v>
      </c>
    </row>
    <row r="11" ht="12" customHeight="1" spans="1:29" x14ac:dyDescent="0.25">
      <c r="A11" s="3" t="s">
        <v>86</v>
      </c>
      <c r="B11" s="4" t="s">
        <v>30</v>
      </c>
      <c r="C11" s="3" t="s">
        <v>31</v>
      </c>
      <c r="D11" s="3" t="s">
        <v>32</v>
      </c>
      <c r="E11" s="3" t="s">
        <v>67</v>
      </c>
      <c r="F11" s="3" t="s">
        <v>34</v>
      </c>
      <c r="G11" s="3" t="s">
        <v>35</v>
      </c>
      <c r="H11" s="3" t="s">
        <v>35</v>
      </c>
      <c r="I11" s="3" t="s">
        <v>68</v>
      </c>
      <c r="J11" s="3" t="s">
        <v>68</v>
      </c>
      <c r="K11" s="3" t="s">
        <v>37</v>
      </c>
      <c r="L11" s="3" t="s">
        <v>69</v>
      </c>
      <c r="M11" s="3" t="s">
        <v>39</v>
      </c>
      <c r="N11" s="3" t="s">
        <v>40</v>
      </c>
      <c r="O11" s="3" t="s">
        <v>41</v>
      </c>
      <c r="P11" s="3" t="s">
        <v>42</v>
      </c>
      <c r="Q11" s="3" t="s">
        <v>70</v>
      </c>
      <c r="R11" s="3" t="s">
        <v>44</v>
      </c>
      <c r="S11" s="3" t="s">
        <v>44</v>
      </c>
      <c r="T11" s="3"/>
      <c r="U11" s="5"/>
      <c r="V11" s="3" t="s">
        <v>78</v>
      </c>
      <c r="W11" s="3" t="s">
        <v>72</v>
      </c>
      <c r="X11" s="3" t="s">
        <v>47</v>
      </c>
      <c r="Y11" s="3" t="s">
        <v>73</v>
      </c>
      <c r="Z11" s="3" t="s">
        <v>73</v>
      </c>
      <c r="AA11" s="5">
        <v>20664</v>
      </c>
      <c r="AB11" s="3" t="s">
        <v>40</v>
      </c>
      <c r="AC11" s="3" t="s">
        <v>74</v>
      </c>
    </row>
    <row r="12" ht="12" customHeight="1" spans="1:29" x14ac:dyDescent="0.25">
      <c r="A12" s="3" t="s">
        <v>87</v>
      </c>
      <c r="B12" s="4" t="s">
        <v>30</v>
      </c>
      <c r="C12" s="3" t="s">
        <v>31</v>
      </c>
      <c r="D12" s="3" t="s">
        <v>32</v>
      </c>
      <c r="E12" s="3" t="s">
        <v>67</v>
      </c>
      <c r="F12" s="3" t="s">
        <v>34</v>
      </c>
      <c r="G12" s="3" t="s">
        <v>35</v>
      </c>
      <c r="H12" s="3" t="s">
        <v>35</v>
      </c>
      <c r="I12" s="3" t="s">
        <v>52</v>
      </c>
      <c r="J12" s="3" t="s">
        <v>76</v>
      </c>
      <c r="K12" s="3" t="s">
        <v>37</v>
      </c>
      <c r="L12" s="3" t="s">
        <v>69</v>
      </c>
      <c r="M12" s="3" t="s">
        <v>39</v>
      </c>
      <c r="N12" s="3" t="s">
        <v>40</v>
      </c>
      <c r="O12" s="3" t="s">
        <v>41</v>
      </c>
      <c r="P12" s="3" t="s">
        <v>42</v>
      </c>
      <c r="Q12" s="3" t="s">
        <v>77</v>
      </c>
      <c r="R12" s="3" t="s">
        <v>55</v>
      </c>
      <c r="S12" s="3" t="s">
        <v>44</v>
      </c>
      <c r="T12" s="3"/>
      <c r="U12" s="5"/>
      <c r="V12" s="3" t="s">
        <v>88</v>
      </c>
      <c r="W12" s="3" t="s">
        <v>79</v>
      </c>
      <c r="X12" s="3" t="s">
        <v>47</v>
      </c>
      <c r="Y12" s="3" t="s">
        <v>80</v>
      </c>
      <c r="Z12" s="3" t="s">
        <v>80</v>
      </c>
      <c r="AA12" s="5">
        <v>17120</v>
      </c>
      <c r="AB12" s="3" t="s">
        <v>40</v>
      </c>
      <c r="AC12" s="3" t="s">
        <v>81</v>
      </c>
    </row>
    <row r="13" ht="12" customHeight="1" spans="1:29" x14ac:dyDescent="0.25">
      <c r="A13" s="3" t="s">
        <v>89</v>
      </c>
      <c r="B13" s="4" t="s">
        <v>30</v>
      </c>
      <c r="C13" s="3" t="s">
        <v>31</v>
      </c>
      <c r="D13" s="3" t="s">
        <v>32</v>
      </c>
      <c r="E13" s="3" t="s">
        <v>33</v>
      </c>
      <c r="F13" s="3" t="s">
        <v>34</v>
      </c>
      <c r="G13" s="3" t="s">
        <v>35</v>
      </c>
      <c r="H13" s="3" t="s">
        <v>35</v>
      </c>
      <c r="I13" s="3" t="s">
        <v>36</v>
      </c>
      <c r="J13" s="3" t="s">
        <v>36</v>
      </c>
      <c r="K13" s="3" t="s">
        <v>37</v>
      </c>
      <c r="L13" s="3" t="s">
        <v>69</v>
      </c>
      <c r="M13" s="3" t="s">
        <v>39</v>
      </c>
      <c r="N13" s="3" t="s">
        <v>40</v>
      </c>
      <c r="O13" s="3" t="s">
        <v>41</v>
      </c>
      <c r="P13" s="3" t="s">
        <v>42</v>
      </c>
      <c r="Q13" s="3" t="s">
        <v>43</v>
      </c>
      <c r="R13" s="3" t="s">
        <v>44</v>
      </c>
      <c r="S13" s="3" t="s">
        <v>44</v>
      </c>
      <c r="T13" s="3"/>
      <c r="U13" s="5"/>
      <c r="V13" s="3" t="s">
        <v>90</v>
      </c>
      <c r="W13" s="3" t="s">
        <v>46</v>
      </c>
      <c r="X13" s="3" t="s">
        <v>47</v>
      </c>
      <c r="Y13" s="3" t="s">
        <v>48</v>
      </c>
      <c r="Z13" s="3" t="s">
        <v>48</v>
      </c>
      <c r="AA13" s="5">
        <v>27416.1</v>
      </c>
      <c r="AB13" s="3" t="s">
        <v>40</v>
      </c>
      <c r="AC13" s="3" t="s">
        <v>49</v>
      </c>
    </row>
    <row r="14" ht="12" customHeight="1" spans="1:29" x14ac:dyDescent="0.25">
      <c r="A14" s="3" t="s">
        <v>91</v>
      </c>
      <c r="B14" s="4" t="s">
        <v>30</v>
      </c>
      <c r="C14" s="3" t="s">
        <v>31</v>
      </c>
      <c r="D14" s="3" t="s">
        <v>32</v>
      </c>
      <c r="E14" s="3" t="s">
        <v>33</v>
      </c>
      <c r="F14" s="3" t="s">
        <v>34</v>
      </c>
      <c r="G14" s="3" t="s">
        <v>35</v>
      </c>
      <c r="H14" s="3" t="s">
        <v>35</v>
      </c>
      <c r="I14" s="3" t="s">
        <v>36</v>
      </c>
      <c r="J14" s="3" t="s">
        <v>36</v>
      </c>
      <c r="K14" s="3" t="s">
        <v>37</v>
      </c>
      <c r="L14" s="3" t="s">
        <v>69</v>
      </c>
      <c r="M14" s="3" t="s">
        <v>39</v>
      </c>
      <c r="N14" s="3" t="s">
        <v>40</v>
      </c>
      <c r="O14" s="3" t="s">
        <v>41</v>
      </c>
      <c r="P14" s="3" t="s">
        <v>42</v>
      </c>
      <c r="Q14" s="3" t="s">
        <v>43</v>
      </c>
      <c r="R14" s="3" t="s">
        <v>44</v>
      </c>
      <c r="S14" s="3" t="s">
        <v>44</v>
      </c>
      <c r="T14" s="3"/>
      <c r="U14" s="5"/>
      <c r="V14" s="3" t="s">
        <v>92</v>
      </c>
      <c r="W14" s="3" t="s">
        <v>46</v>
      </c>
      <c r="X14" s="3" t="s">
        <v>47</v>
      </c>
      <c r="Y14" s="3" t="s">
        <v>48</v>
      </c>
      <c r="Z14" s="3" t="s">
        <v>48</v>
      </c>
      <c r="AA14" s="5">
        <v>27416.1</v>
      </c>
      <c r="AB14" s="3" t="s">
        <v>40</v>
      </c>
      <c r="AC14" s="3" t="s">
        <v>49</v>
      </c>
    </row>
    <row r="15" ht="12" customHeight="1" spans="1:29" x14ac:dyDescent="0.25">
      <c r="A15" s="3" t="s">
        <v>93</v>
      </c>
      <c r="B15" s="4" t="s">
        <v>30</v>
      </c>
      <c r="C15" s="3" t="s">
        <v>31</v>
      </c>
      <c r="D15" s="3" t="s">
        <v>32</v>
      </c>
      <c r="E15" s="3" t="s">
        <v>33</v>
      </c>
      <c r="F15" s="3" t="s">
        <v>34</v>
      </c>
      <c r="G15" s="3" t="s">
        <v>35</v>
      </c>
      <c r="H15" s="3" t="s">
        <v>35</v>
      </c>
      <c r="I15" s="3" t="s">
        <v>36</v>
      </c>
      <c r="J15" s="3" t="s">
        <v>36</v>
      </c>
      <c r="K15" s="3" t="s">
        <v>37</v>
      </c>
      <c r="L15" s="3" t="s">
        <v>69</v>
      </c>
      <c r="M15" s="3" t="s">
        <v>39</v>
      </c>
      <c r="N15" s="3" t="s">
        <v>40</v>
      </c>
      <c r="O15" s="3" t="s">
        <v>41</v>
      </c>
      <c r="P15" s="3" t="s">
        <v>42</v>
      </c>
      <c r="Q15" s="3" t="s">
        <v>43</v>
      </c>
      <c r="R15" s="3" t="s">
        <v>44</v>
      </c>
      <c r="S15" s="3" t="s">
        <v>44</v>
      </c>
      <c r="T15" s="3"/>
      <c r="U15" s="5"/>
      <c r="V15" s="3" t="s">
        <v>94</v>
      </c>
      <c r="W15" s="3" t="s">
        <v>46</v>
      </c>
      <c r="X15" s="3" t="s">
        <v>47</v>
      </c>
      <c r="Y15" s="3" t="s">
        <v>48</v>
      </c>
      <c r="Z15" s="3" t="s">
        <v>48</v>
      </c>
      <c r="AA15" s="5">
        <v>27416.1</v>
      </c>
      <c r="AB15" s="3" t="s">
        <v>40</v>
      </c>
      <c r="AC15" s="3" t="s">
        <v>49</v>
      </c>
    </row>
    <row r="16" ht="12" customHeight="1" spans="1:29" x14ac:dyDescent="0.25">
      <c r="A16" s="3" t="s">
        <v>95</v>
      </c>
      <c r="B16" s="4" t="s">
        <v>30</v>
      </c>
      <c r="C16" s="3" t="s">
        <v>31</v>
      </c>
      <c r="D16" s="3" t="s">
        <v>32</v>
      </c>
      <c r="E16" s="3" t="s">
        <v>33</v>
      </c>
      <c r="F16" s="3" t="s">
        <v>34</v>
      </c>
      <c r="G16" s="3" t="s">
        <v>35</v>
      </c>
      <c r="H16" s="3" t="s">
        <v>35</v>
      </c>
      <c r="I16" s="3" t="s">
        <v>36</v>
      </c>
      <c r="J16" s="3" t="s">
        <v>36</v>
      </c>
      <c r="K16" s="3" t="s">
        <v>37</v>
      </c>
      <c r="L16" s="3" t="s">
        <v>69</v>
      </c>
      <c r="M16" s="3" t="s">
        <v>39</v>
      </c>
      <c r="N16" s="3" t="s">
        <v>40</v>
      </c>
      <c r="O16" s="3" t="s">
        <v>41</v>
      </c>
      <c r="P16" s="3" t="s">
        <v>42</v>
      </c>
      <c r="Q16" s="3" t="s">
        <v>43</v>
      </c>
      <c r="R16" s="3" t="s">
        <v>44</v>
      </c>
      <c r="S16" s="3" t="s">
        <v>44</v>
      </c>
      <c r="T16" s="3"/>
      <c r="U16" s="5"/>
      <c r="V16" s="3" t="s">
        <v>94</v>
      </c>
      <c r="W16" s="3" t="s">
        <v>46</v>
      </c>
      <c r="X16" s="3" t="s">
        <v>47</v>
      </c>
      <c r="Y16" s="3" t="s">
        <v>48</v>
      </c>
      <c r="Z16" s="3" t="s">
        <v>48</v>
      </c>
      <c r="AA16" s="5">
        <v>27416.1</v>
      </c>
      <c r="AB16" s="3" t="s">
        <v>40</v>
      </c>
      <c r="AC16" s="3" t="s">
        <v>49</v>
      </c>
    </row>
    <row r="17" ht="12" customHeight="1" spans="1:29" x14ac:dyDescent="0.25">
      <c r="A17" s="3" t="s">
        <v>96</v>
      </c>
      <c r="B17" s="4" t="s">
        <v>30</v>
      </c>
      <c r="C17" s="3" t="s">
        <v>31</v>
      </c>
      <c r="D17" s="3" t="s">
        <v>32</v>
      </c>
      <c r="E17" s="3" t="s">
        <v>33</v>
      </c>
      <c r="F17" s="3" t="s">
        <v>34</v>
      </c>
      <c r="G17" s="3" t="s">
        <v>35</v>
      </c>
      <c r="H17" s="3" t="s">
        <v>35</v>
      </c>
      <c r="I17" s="3" t="s">
        <v>36</v>
      </c>
      <c r="J17" s="3" t="s">
        <v>36</v>
      </c>
      <c r="K17" s="3" t="s">
        <v>37</v>
      </c>
      <c r="L17" s="3" t="s">
        <v>69</v>
      </c>
      <c r="M17" s="3" t="s">
        <v>39</v>
      </c>
      <c r="N17" s="3" t="s">
        <v>40</v>
      </c>
      <c r="O17" s="3" t="s">
        <v>41</v>
      </c>
      <c r="P17" s="3" t="s">
        <v>42</v>
      </c>
      <c r="Q17" s="3" t="s">
        <v>43</v>
      </c>
      <c r="R17" s="3" t="s">
        <v>44</v>
      </c>
      <c r="S17" s="3" t="s">
        <v>44</v>
      </c>
      <c r="T17" s="3"/>
      <c r="U17" s="5"/>
      <c r="V17" s="3" t="s">
        <v>97</v>
      </c>
      <c r="W17" s="3" t="s">
        <v>46</v>
      </c>
      <c r="X17" s="3" t="s">
        <v>47</v>
      </c>
      <c r="Y17" s="3" t="s">
        <v>48</v>
      </c>
      <c r="Z17" s="3" t="s">
        <v>48</v>
      </c>
      <c r="AA17" s="5">
        <v>27416.1</v>
      </c>
      <c r="AB17" s="3" t="s">
        <v>40</v>
      </c>
      <c r="AC17" s="3" t="s">
        <v>49</v>
      </c>
    </row>
    <row r="18" ht="12" customHeight="1" spans="1:29" x14ac:dyDescent="0.25">
      <c r="A18" s="3" t="s">
        <v>98</v>
      </c>
      <c r="B18" s="4" t="s">
        <v>30</v>
      </c>
      <c r="C18" s="3" t="s">
        <v>31</v>
      </c>
      <c r="D18" s="3" t="s">
        <v>32</v>
      </c>
      <c r="E18" s="3" t="s">
        <v>33</v>
      </c>
      <c r="F18" s="3" t="s">
        <v>34</v>
      </c>
      <c r="G18" s="3" t="s">
        <v>35</v>
      </c>
      <c r="H18" s="3" t="s">
        <v>35</v>
      </c>
      <c r="I18" s="3" t="s">
        <v>36</v>
      </c>
      <c r="J18" s="3" t="s">
        <v>36</v>
      </c>
      <c r="K18" s="3" t="s">
        <v>37</v>
      </c>
      <c r="L18" s="3" t="s">
        <v>69</v>
      </c>
      <c r="M18" s="3" t="s">
        <v>39</v>
      </c>
      <c r="N18" s="3" t="s">
        <v>40</v>
      </c>
      <c r="O18" s="3" t="s">
        <v>41</v>
      </c>
      <c r="P18" s="3" t="s">
        <v>42</v>
      </c>
      <c r="Q18" s="3" t="s">
        <v>43</v>
      </c>
      <c r="R18" s="3" t="s">
        <v>44</v>
      </c>
      <c r="S18" s="3" t="s">
        <v>44</v>
      </c>
      <c r="T18" s="3"/>
      <c r="U18" s="5"/>
      <c r="V18" s="3" t="s">
        <v>99</v>
      </c>
      <c r="W18" s="3" t="s">
        <v>46</v>
      </c>
      <c r="X18" s="3" t="s">
        <v>47</v>
      </c>
      <c r="Y18" s="3" t="s">
        <v>48</v>
      </c>
      <c r="Z18" s="3" t="s">
        <v>48</v>
      </c>
      <c r="AA18" s="5">
        <v>27416.1</v>
      </c>
      <c r="AB18" s="3" t="s">
        <v>40</v>
      </c>
      <c r="AC18" s="3" t="s">
        <v>49</v>
      </c>
    </row>
    <row r="19" ht="12" customHeight="1" spans="1:29" x14ac:dyDescent="0.25">
      <c r="A19" s="3" t="s">
        <v>100</v>
      </c>
      <c r="B19" s="4" t="s">
        <v>30</v>
      </c>
      <c r="C19" s="3" t="s">
        <v>31</v>
      </c>
      <c r="D19" s="3" t="s">
        <v>32</v>
      </c>
      <c r="E19" s="3" t="s">
        <v>33</v>
      </c>
      <c r="F19" s="3" t="s">
        <v>34</v>
      </c>
      <c r="G19" s="3" t="s">
        <v>35</v>
      </c>
      <c r="H19" s="3" t="s">
        <v>35</v>
      </c>
      <c r="I19" s="3" t="s">
        <v>36</v>
      </c>
      <c r="J19" s="3" t="s">
        <v>36</v>
      </c>
      <c r="K19" s="3" t="s">
        <v>37</v>
      </c>
      <c r="L19" s="3" t="s">
        <v>69</v>
      </c>
      <c r="M19" s="3" t="s">
        <v>39</v>
      </c>
      <c r="N19" s="3" t="s">
        <v>40</v>
      </c>
      <c r="O19" s="3" t="s">
        <v>41</v>
      </c>
      <c r="P19" s="3" t="s">
        <v>42</v>
      </c>
      <c r="Q19" s="3" t="s">
        <v>43</v>
      </c>
      <c r="R19" s="3" t="s">
        <v>44</v>
      </c>
      <c r="S19" s="3" t="s">
        <v>44</v>
      </c>
      <c r="T19" s="3"/>
      <c r="U19" s="5"/>
      <c r="V19" s="3" t="s">
        <v>101</v>
      </c>
      <c r="W19" s="3" t="s">
        <v>46</v>
      </c>
      <c r="X19" s="3" t="s">
        <v>47</v>
      </c>
      <c r="Y19" s="3" t="s">
        <v>48</v>
      </c>
      <c r="Z19" s="3" t="s">
        <v>48</v>
      </c>
      <c r="AA19" s="5">
        <v>27416.1</v>
      </c>
      <c r="AB19" s="3" t="s">
        <v>40</v>
      </c>
      <c r="AC19" s="3" t="s">
        <v>49</v>
      </c>
    </row>
    <row r="20" ht="12" customHeight="1" spans="1:29" x14ac:dyDescent="0.25">
      <c r="A20" s="3" t="s">
        <v>102</v>
      </c>
      <c r="B20" s="4" t="s">
        <v>30</v>
      </c>
      <c r="C20" s="3" t="s">
        <v>31</v>
      </c>
      <c r="D20" s="3" t="s">
        <v>32</v>
      </c>
      <c r="E20" s="3" t="s">
        <v>33</v>
      </c>
      <c r="F20" s="3" t="s">
        <v>34</v>
      </c>
      <c r="G20" s="3" t="s">
        <v>35</v>
      </c>
      <c r="H20" s="3" t="s">
        <v>35</v>
      </c>
      <c r="I20" s="3" t="s">
        <v>36</v>
      </c>
      <c r="J20" s="3" t="s">
        <v>36</v>
      </c>
      <c r="K20" s="3" t="s">
        <v>37</v>
      </c>
      <c r="L20" s="3" t="s">
        <v>69</v>
      </c>
      <c r="M20" s="3" t="s">
        <v>39</v>
      </c>
      <c r="N20" s="3" t="s">
        <v>40</v>
      </c>
      <c r="O20" s="3" t="s">
        <v>41</v>
      </c>
      <c r="P20" s="3" t="s">
        <v>42</v>
      </c>
      <c r="Q20" s="3" t="s">
        <v>103</v>
      </c>
      <c r="R20" s="3" t="s">
        <v>44</v>
      </c>
      <c r="S20" s="3" t="s">
        <v>44</v>
      </c>
      <c r="T20" s="3"/>
      <c r="U20" s="5"/>
      <c r="V20" s="3" t="s">
        <v>101</v>
      </c>
      <c r="W20" s="3" t="s">
        <v>104</v>
      </c>
      <c r="X20" s="3" t="s">
        <v>47</v>
      </c>
      <c r="Y20" s="3" t="s">
        <v>105</v>
      </c>
      <c r="Z20" s="3" t="s">
        <v>105</v>
      </c>
      <c r="AA20" s="5">
        <v>23181</v>
      </c>
      <c r="AB20" s="3" t="s">
        <v>40</v>
      </c>
      <c r="AC20" s="3" t="s">
        <v>49</v>
      </c>
    </row>
    <row r="21" ht="12" customHeight="1" spans="1:29" x14ac:dyDescent="0.25">
      <c r="A21" s="3" t="s">
        <v>106</v>
      </c>
      <c r="B21" s="4" t="s">
        <v>30</v>
      </c>
      <c r="C21" s="3" t="s">
        <v>31</v>
      </c>
      <c r="D21" s="3" t="s">
        <v>32</v>
      </c>
      <c r="E21" s="3" t="s">
        <v>33</v>
      </c>
      <c r="F21" s="3" t="s">
        <v>34</v>
      </c>
      <c r="G21" s="3" t="s">
        <v>35</v>
      </c>
      <c r="H21" s="3" t="s">
        <v>35</v>
      </c>
      <c r="I21" s="3" t="s">
        <v>36</v>
      </c>
      <c r="J21" s="3" t="s">
        <v>36</v>
      </c>
      <c r="K21" s="3" t="s">
        <v>37</v>
      </c>
      <c r="L21" s="3" t="s">
        <v>69</v>
      </c>
      <c r="M21" s="3" t="s">
        <v>39</v>
      </c>
      <c r="N21" s="3" t="s">
        <v>40</v>
      </c>
      <c r="O21" s="3" t="s">
        <v>41</v>
      </c>
      <c r="P21" s="3" t="s">
        <v>42</v>
      </c>
      <c r="Q21" s="3" t="s">
        <v>43</v>
      </c>
      <c r="R21" s="3" t="s">
        <v>44</v>
      </c>
      <c r="S21" s="3" t="s">
        <v>44</v>
      </c>
      <c r="T21" s="3"/>
      <c r="U21" s="5"/>
      <c r="V21" s="3" t="s">
        <v>107</v>
      </c>
      <c r="W21" s="3" t="s">
        <v>46</v>
      </c>
      <c r="X21" s="3" t="s">
        <v>47</v>
      </c>
      <c r="Y21" s="3" t="s">
        <v>48</v>
      </c>
      <c r="Z21" s="3" t="s">
        <v>48</v>
      </c>
      <c r="AA21" s="5">
        <v>27416.1</v>
      </c>
      <c r="AB21" s="3" t="s">
        <v>40</v>
      </c>
      <c r="AC21" s="3" t="s">
        <v>49</v>
      </c>
    </row>
    <row r="22" ht="12" customHeight="1" spans="1:29" x14ac:dyDescent="0.25">
      <c r="A22" s="3" t="s">
        <v>108</v>
      </c>
      <c r="B22" s="4" t="s">
        <v>30</v>
      </c>
      <c r="C22" s="3" t="s">
        <v>31</v>
      </c>
      <c r="D22" s="3" t="s">
        <v>32</v>
      </c>
      <c r="E22" s="3" t="s">
        <v>33</v>
      </c>
      <c r="F22" s="3" t="s">
        <v>34</v>
      </c>
      <c r="G22" s="3" t="s">
        <v>35</v>
      </c>
      <c r="H22" s="3" t="s">
        <v>35</v>
      </c>
      <c r="I22" s="3" t="s">
        <v>36</v>
      </c>
      <c r="J22" s="3" t="s">
        <v>36</v>
      </c>
      <c r="K22" s="3" t="s">
        <v>37</v>
      </c>
      <c r="L22" s="3" t="s">
        <v>69</v>
      </c>
      <c r="M22" s="3" t="s">
        <v>39</v>
      </c>
      <c r="N22" s="3" t="s">
        <v>40</v>
      </c>
      <c r="O22" s="3" t="s">
        <v>41</v>
      </c>
      <c r="P22" s="3" t="s">
        <v>42</v>
      </c>
      <c r="Q22" s="3" t="s">
        <v>43</v>
      </c>
      <c r="R22" s="3" t="s">
        <v>44</v>
      </c>
      <c r="S22" s="3" t="s">
        <v>44</v>
      </c>
      <c r="T22" s="3"/>
      <c r="U22" s="5"/>
      <c r="V22" s="3" t="s">
        <v>109</v>
      </c>
      <c r="W22" s="3" t="s">
        <v>46</v>
      </c>
      <c r="X22" s="3" t="s">
        <v>47</v>
      </c>
      <c r="Y22" s="3" t="s">
        <v>48</v>
      </c>
      <c r="Z22" s="3" t="s">
        <v>48</v>
      </c>
      <c r="AA22" s="5">
        <v>27416.1</v>
      </c>
      <c r="AB22" s="3" t="s">
        <v>40</v>
      </c>
      <c r="AC22" s="3" t="s">
        <v>49</v>
      </c>
    </row>
    <row r="23" ht="12" customHeight="1" spans="1:29" x14ac:dyDescent="0.25">
      <c r="A23" s="3" t="s">
        <v>110</v>
      </c>
      <c r="B23" s="4" t="s">
        <v>30</v>
      </c>
      <c r="C23" s="3" t="s">
        <v>31</v>
      </c>
      <c r="D23" s="3" t="s">
        <v>32</v>
      </c>
      <c r="E23" s="3" t="s">
        <v>33</v>
      </c>
      <c r="F23" s="3" t="s">
        <v>34</v>
      </c>
      <c r="G23" s="3" t="s">
        <v>35</v>
      </c>
      <c r="H23" s="3" t="s">
        <v>35</v>
      </c>
      <c r="I23" s="3" t="s">
        <v>36</v>
      </c>
      <c r="J23" s="3" t="s">
        <v>36</v>
      </c>
      <c r="K23" s="3" t="s">
        <v>37</v>
      </c>
      <c r="L23" s="3" t="s">
        <v>69</v>
      </c>
      <c r="M23" s="3" t="s">
        <v>39</v>
      </c>
      <c r="N23" s="3" t="s">
        <v>40</v>
      </c>
      <c r="O23" s="3" t="s">
        <v>41</v>
      </c>
      <c r="P23" s="3" t="s">
        <v>42</v>
      </c>
      <c r="Q23" s="3" t="s">
        <v>43</v>
      </c>
      <c r="R23" s="3" t="s">
        <v>44</v>
      </c>
      <c r="S23" s="3" t="s">
        <v>44</v>
      </c>
      <c r="T23" s="3"/>
      <c r="U23" s="5"/>
      <c r="V23" s="3" t="s">
        <v>109</v>
      </c>
      <c r="W23" s="3" t="s">
        <v>46</v>
      </c>
      <c r="X23" s="3" t="s">
        <v>47</v>
      </c>
      <c r="Y23" s="3" t="s">
        <v>48</v>
      </c>
      <c r="Z23" s="3" t="s">
        <v>48</v>
      </c>
      <c r="AA23" s="5">
        <v>27416.1</v>
      </c>
      <c r="AB23" s="3" t="s">
        <v>40</v>
      </c>
      <c r="AC23" s="3" t="s">
        <v>49</v>
      </c>
    </row>
    <row r="24" ht="12" customHeight="1" spans="1:29" x14ac:dyDescent="0.25">
      <c r="A24" s="3" t="s">
        <v>111</v>
      </c>
      <c r="B24" s="4" t="s">
        <v>30</v>
      </c>
      <c r="C24" s="3" t="s">
        <v>31</v>
      </c>
      <c r="D24" s="3" t="s">
        <v>32</v>
      </c>
      <c r="E24" s="3" t="s">
        <v>33</v>
      </c>
      <c r="F24" s="3" t="s">
        <v>34</v>
      </c>
      <c r="G24" s="3" t="s">
        <v>35</v>
      </c>
      <c r="H24" s="3" t="s">
        <v>35</v>
      </c>
      <c r="I24" s="3" t="s">
        <v>36</v>
      </c>
      <c r="J24" s="3" t="s">
        <v>36</v>
      </c>
      <c r="K24" s="3" t="s">
        <v>37</v>
      </c>
      <c r="L24" s="3" t="s">
        <v>69</v>
      </c>
      <c r="M24" s="3" t="s">
        <v>39</v>
      </c>
      <c r="N24" s="3" t="s">
        <v>40</v>
      </c>
      <c r="O24" s="3" t="s">
        <v>41</v>
      </c>
      <c r="P24" s="3" t="s">
        <v>42</v>
      </c>
      <c r="Q24" s="3" t="s">
        <v>43</v>
      </c>
      <c r="R24" s="3" t="s">
        <v>44</v>
      </c>
      <c r="S24" s="3" t="s">
        <v>44</v>
      </c>
      <c r="T24" s="3"/>
      <c r="U24" s="5"/>
      <c r="V24" s="3" t="s">
        <v>109</v>
      </c>
      <c r="W24" s="3" t="s">
        <v>46</v>
      </c>
      <c r="X24" s="3" t="s">
        <v>47</v>
      </c>
      <c r="Y24" s="3" t="s">
        <v>48</v>
      </c>
      <c r="Z24" s="3" t="s">
        <v>48</v>
      </c>
      <c r="AA24" s="5">
        <v>27416.1</v>
      </c>
      <c r="AB24" s="3" t="s">
        <v>40</v>
      </c>
      <c r="AC24" s="3" t="s">
        <v>49</v>
      </c>
    </row>
    <row r="25" ht="12" customHeight="1" spans="1:29" x14ac:dyDescent="0.25">
      <c r="A25" s="3" t="s">
        <v>112</v>
      </c>
      <c r="B25" s="4" t="s">
        <v>30</v>
      </c>
      <c r="C25" s="3" t="s">
        <v>31</v>
      </c>
      <c r="D25" s="3" t="s">
        <v>32</v>
      </c>
      <c r="E25" s="3" t="s">
        <v>33</v>
      </c>
      <c r="F25" s="3" t="s">
        <v>34</v>
      </c>
      <c r="G25" s="3" t="s">
        <v>35</v>
      </c>
      <c r="H25" s="3" t="s">
        <v>35</v>
      </c>
      <c r="I25" s="3" t="s">
        <v>36</v>
      </c>
      <c r="J25" s="3" t="s">
        <v>36</v>
      </c>
      <c r="K25" s="3" t="s">
        <v>37</v>
      </c>
      <c r="L25" s="3" t="s">
        <v>69</v>
      </c>
      <c r="M25" s="3" t="s">
        <v>39</v>
      </c>
      <c r="N25" s="3" t="s">
        <v>40</v>
      </c>
      <c r="O25" s="3" t="s">
        <v>41</v>
      </c>
      <c r="P25" s="3" t="s">
        <v>42</v>
      </c>
      <c r="Q25" s="3" t="s">
        <v>43</v>
      </c>
      <c r="R25" s="3" t="s">
        <v>44</v>
      </c>
      <c r="S25" s="3" t="s">
        <v>44</v>
      </c>
      <c r="T25" s="3"/>
      <c r="U25" s="5"/>
      <c r="V25" s="3" t="s">
        <v>113</v>
      </c>
      <c r="W25" s="3" t="s">
        <v>46</v>
      </c>
      <c r="X25" s="3" t="s">
        <v>47</v>
      </c>
      <c r="Y25" s="3" t="s">
        <v>48</v>
      </c>
      <c r="Z25" s="3" t="s">
        <v>48</v>
      </c>
      <c r="AA25" s="5">
        <v>27416.1</v>
      </c>
      <c r="AB25" s="3" t="s">
        <v>40</v>
      </c>
      <c r="AC25" s="3" t="s">
        <v>49</v>
      </c>
    </row>
    <row r="26" ht="12" customHeight="1" spans="1:29" x14ac:dyDescent="0.25">
      <c r="A26" s="3" t="s">
        <v>114</v>
      </c>
      <c r="B26" s="4" t="s">
        <v>30</v>
      </c>
      <c r="C26" s="3" t="s">
        <v>31</v>
      </c>
      <c r="D26" s="3" t="s">
        <v>32</v>
      </c>
      <c r="E26" s="3" t="s">
        <v>33</v>
      </c>
      <c r="F26" s="3" t="s">
        <v>34</v>
      </c>
      <c r="G26" s="3" t="s">
        <v>35</v>
      </c>
      <c r="H26" s="3" t="s">
        <v>35</v>
      </c>
      <c r="I26" s="3" t="s">
        <v>36</v>
      </c>
      <c r="J26" s="3" t="s">
        <v>36</v>
      </c>
      <c r="K26" s="3" t="s">
        <v>37</v>
      </c>
      <c r="L26" s="3" t="s">
        <v>69</v>
      </c>
      <c r="M26" s="3" t="s">
        <v>39</v>
      </c>
      <c r="N26" s="3" t="s">
        <v>40</v>
      </c>
      <c r="O26" s="3" t="s">
        <v>41</v>
      </c>
      <c r="P26" s="3" t="s">
        <v>42</v>
      </c>
      <c r="Q26" s="3" t="s">
        <v>115</v>
      </c>
      <c r="R26" s="3" t="s">
        <v>44</v>
      </c>
      <c r="S26" s="3" t="s">
        <v>44</v>
      </c>
      <c r="T26" s="3"/>
      <c r="U26" s="5"/>
      <c r="V26" s="3" t="s">
        <v>116</v>
      </c>
      <c r="W26" s="3" t="s">
        <v>117</v>
      </c>
      <c r="X26" s="3" t="s">
        <v>47</v>
      </c>
      <c r="Y26" s="3" t="s">
        <v>118</v>
      </c>
      <c r="Z26" s="3" t="s">
        <v>118</v>
      </c>
      <c r="AA26" s="5">
        <v>25940</v>
      </c>
      <c r="AB26" s="3" t="s">
        <v>40</v>
      </c>
      <c r="AC26" s="3" t="s">
        <v>49</v>
      </c>
    </row>
    <row r="27" ht="12" customHeight="1" spans="1:29" x14ac:dyDescent="0.25">
      <c r="A27" s="3" t="s">
        <v>119</v>
      </c>
      <c r="B27" s="4" t="s">
        <v>30</v>
      </c>
      <c r="C27" s="3" t="s">
        <v>31</v>
      </c>
      <c r="D27" s="3" t="s">
        <v>32</v>
      </c>
      <c r="E27" s="3" t="s">
        <v>33</v>
      </c>
      <c r="F27" s="3" t="s">
        <v>34</v>
      </c>
      <c r="G27" s="3" t="s">
        <v>35</v>
      </c>
      <c r="H27" s="3" t="s">
        <v>35</v>
      </c>
      <c r="I27" s="3" t="s">
        <v>36</v>
      </c>
      <c r="J27" s="3" t="s">
        <v>36</v>
      </c>
      <c r="K27" s="3" t="s">
        <v>37</v>
      </c>
      <c r="L27" s="3" t="s">
        <v>38</v>
      </c>
      <c r="M27" s="3" t="s">
        <v>39</v>
      </c>
      <c r="N27" s="3" t="s">
        <v>40</v>
      </c>
      <c r="O27" s="3" t="s">
        <v>41</v>
      </c>
      <c r="P27" s="3" t="s">
        <v>42</v>
      </c>
      <c r="Q27" s="3" t="s">
        <v>43</v>
      </c>
      <c r="R27" s="3" t="s">
        <v>44</v>
      </c>
      <c r="S27" s="3" t="s">
        <v>44</v>
      </c>
      <c r="T27" s="3"/>
      <c r="U27" s="5"/>
      <c r="V27" s="3" t="s">
        <v>120</v>
      </c>
      <c r="W27" s="3" t="s">
        <v>46</v>
      </c>
      <c r="X27" s="3" t="s">
        <v>47</v>
      </c>
      <c r="Y27" s="3" t="s">
        <v>48</v>
      </c>
      <c r="Z27" s="3" t="s">
        <v>48</v>
      </c>
      <c r="AA27" s="5">
        <v>27416.1</v>
      </c>
      <c r="AB27" s="3" t="s">
        <v>40</v>
      </c>
      <c r="AC27" s="3" t="s">
        <v>49</v>
      </c>
    </row>
    <row r="28" ht="12" customHeight="1" spans="1:29" x14ac:dyDescent="0.25">
      <c r="A28" s="3" t="s">
        <v>121</v>
      </c>
      <c r="B28" s="4" t="s">
        <v>30</v>
      </c>
      <c r="C28" s="3" t="s">
        <v>31</v>
      </c>
      <c r="D28" s="3" t="s">
        <v>32</v>
      </c>
      <c r="E28" s="3" t="s">
        <v>33</v>
      </c>
      <c r="F28" s="3" t="s">
        <v>34</v>
      </c>
      <c r="G28" s="3" t="s">
        <v>35</v>
      </c>
      <c r="H28" s="3" t="s">
        <v>35</v>
      </c>
      <c r="I28" s="3" t="s">
        <v>36</v>
      </c>
      <c r="J28" s="3" t="s">
        <v>36</v>
      </c>
      <c r="K28" s="3" t="s">
        <v>37</v>
      </c>
      <c r="L28" s="3" t="s">
        <v>38</v>
      </c>
      <c r="M28" s="3" t="s">
        <v>39</v>
      </c>
      <c r="N28" s="3" t="s">
        <v>40</v>
      </c>
      <c r="O28" s="3" t="s">
        <v>41</v>
      </c>
      <c r="P28" s="3" t="s">
        <v>42</v>
      </c>
      <c r="Q28" s="3" t="s">
        <v>43</v>
      </c>
      <c r="R28" s="3" t="s">
        <v>44</v>
      </c>
      <c r="S28" s="3" t="s">
        <v>44</v>
      </c>
      <c r="T28" s="3"/>
      <c r="U28" s="5"/>
      <c r="V28" s="3" t="s">
        <v>122</v>
      </c>
      <c r="W28" s="3" t="s">
        <v>46</v>
      </c>
      <c r="X28" s="3" t="s">
        <v>47</v>
      </c>
      <c r="Y28" s="3" t="s">
        <v>48</v>
      </c>
      <c r="Z28" s="3" t="s">
        <v>48</v>
      </c>
      <c r="AA28" s="5">
        <v>27416.1</v>
      </c>
      <c r="AB28" s="3" t="s">
        <v>40</v>
      </c>
      <c r="AC28" s="3" t="s">
        <v>49</v>
      </c>
    </row>
    <row r="29" ht="12" customHeight="1" spans="1:29" x14ac:dyDescent="0.25">
      <c r="A29" s="3" t="s">
        <v>123</v>
      </c>
      <c r="B29" s="4" t="s">
        <v>30</v>
      </c>
      <c r="C29" s="3" t="s">
        <v>31</v>
      </c>
      <c r="D29" s="3" t="s">
        <v>32</v>
      </c>
      <c r="E29" s="3" t="s">
        <v>33</v>
      </c>
      <c r="F29" s="3" t="s">
        <v>34</v>
      </c>
      <c r="G29" s="3" t="s">
        <v>35</v>
      </c>
      <c r="H29" s="3" t="s">
        <v>35</v>
      </c>
      <c r="I29" s="3" t="s">
        <v>36</v>
      </c>
      <c r="J29" s="3" t="s">
        <v>36</v>
      </c>
      <c r="K29" s="3" t="s">
        <v>37</v>
      </c>
      <c r="L29" s="3" t="s">
        <v>38</v>
      </c>
      <c r="M29" s="3" t="s">
        <v>39</v>
      </c>
      <c r="N29" s="3" t="s">
        <v>40</v>
      </c>
      <c r="O29" s="3" t="s">
        <v>41</v>
      </c>
      <c r="P29" s="3" t="s">
        <v>42</v>
      </c>
      <c r="Q29" s="3" t="s">
        <v>43</v>
      </c>
      <c r="R29" s="3" t="s">
        <v>44</v>
      </c>
      <c r="S29" s="3" t="s">
        <v>44</v>
      </c>
      <c r="T29" s="3"/>
      <c r="U29" s="5"/>
      <c r="V29" s="3" t="s">
        <v>124</v>
      </c>
      <c r="W29" s="3" t="s">
        <v>46</v>
      </c>
      <c r="X29" s="3" t="s">
        <v>47</v>
      </c>
      <c r="Y29" s="3" t="s">
        <v>48</v>
      </c>
      <c r="Z29" s="3" t="s">
        <v>48</v>
      </c>
      <c r="AA29" s="5">
        <v>27416.1</v>
      </c>
      <c r="AB29" s="3" t="s">
        <v>40</v>
      </c>
      <c r="AC29" s="3" t="s">
        <v>49</v>
      </c>
    </row>
    <row r="30" ht="12" customHeight="1" spans="1:29" x14ac:dyDescent="0.25">
      <c r="A30" s="3" t="s">
        <v>125</v>
      </c>
      <c r="B30" s="4" t="s">
        <v>30</v>
      </c>
      <c r="C30" s="3" t="s">
        <v>31</v>
      </c>
      <c r="D30" s="3" t="s">
        <v>32</v>
      </c>
      <c r="E30" s="3" t="s">
        <v>33</v>
      </c>
      <c r="F30" s="3" t="s">
        <v>34</v>
      </c>
      <c r="G30" s="3" t="s">
        <v>35</v>
      </c>
      <c r="H30" s="3" t="s">
        <v>35</v>
      </c>
      <c r="I30" s="3" t="s">
        <v>68</v>
      </c>
      <c r="J30" s="3" t="s">
        <v>68</v>
      </c>
      <c r="K30" s="3" t="s">
        <v>37</v>
      </c>
      <c r="L30" s="3" t="s">
        <v>38</v>
      </c>
      <c r="M30" s="3" t="s">
        <v>39</v>
      </c>
      <c r="N30" s="3" t="s">
        <v>40</v>
      </c>
      <c r="O30" s="3" t="s">
        <v>41</v>
      </c>
      <c r="P30" s="3" t="s">
        <v>42</v>
      </c>
      <c r="Q30" s="3" t="s">
        <v>126</v>
      </c>
      <c r="R30" s="3" t="s">
        <v>44</v>
      </c>
      <c r="S30" s="3" t="s">
        <v>44</v>
      </c>
      <c r="T30" s="3"/>
      <c r="U30" s="5"/>
      <c r="V30" s="3" t="s">
        <v>124</v>
      </c>
      <c r="W30" s="3" t="s">
        <v>127</v>
      </c>
      <c r="X30" s="3" t="s">
        <v>47</v>
      </c>
      <c r="Y30" s="3" t="s">
        <v>128</v>
      </c>
      <c r="Z30" s="3" t="s">
        <v>128</v>
      </c>
      <c r="AA30" s="5">
        <v>24900</v>
      </c>
      <c r="AB30" s="3" t="s">
        <v>40</v>
      </c>
      <c r="AC30" s="3" t="s">
        <v>74</v>
      </c>
    </row>
    <row r="31" ht="12" customHeight="1" spans="1:29" x14ac:dyDescent="0.25">
      <c r="A31" s="3" t="s">
        <v>129</v>
      </c>
      <c r="B31" s="4" t="s">
        <v>30</v>
      </c>
      <c r="C31" s="3" t="s">
        <v>31</v>
      </c>
      <c r="D31" s="3" t="s">
        <v>32</v>
      </c>
      <c r="E31" s="3" t="s">
        <v>33</v>
      </c>
      <c r="F31" s="3" t="s">
        <v>34</v>
      </c>
      <c r="G31" s="3" t="s">
        <v>35</v>
      </c>
      <c r="H31" s="3" t="s">
        <v>35</v>
      </c>
      <c r="I31" s="3" t="s">
        <v>36</v>
      </c>
      <c r="J31" s="3" t="s">
        <v>36</v>
      </c>
      <c r="K31" s="3" t="s">
        <v>37</v>
      </c>
      <c r="L31" s="3" t="s">
        <v>61</v>
      </c>
      <c r="M31" s="3" t="s">
        <v>39</v>
      </c>
      <c r="N31" s="3" t="s">
        <v>40</v>
      </c>
      <c r="O31" s="3" t="s">
        <v>41</v>
      </c>
      <c r="P31" s="3" t="s">
        <v>42</v>
      </c>
      <c r="Q31" s="3" t="s">
        <v>43</v>
      </c>
      <c r="R31" s="3" t="s">
        <v>44</v>
      </c>
      <c r="S31" s="3" t="s">
        <v>44</v>
      </c>
      <c r="T31" s="3"/>
      <c r="U31" s="5"/>
      <c r="V31" s="3" t="s">
        <v>62</v>
      </c>
      <c r="W31" s="3" t="s">
        <v>46</v>
      </c>
      <c r="X31" s="3" t="s">
        <v>47</v>
      </c>
      <c r="Y31" s="3" t="s">
        <v>48</v>
      </c>
      <c r="Z31" s="3" t="s">
        <v>48</v>
      </c>
      <c r="AA31" s="5">
        <v>27416.1</v>
      </c>
      <c r="AB31" s="3" t="s">
        <v>40</v>
      </c>
      <c r="AC31" s="3" t="s">
        <v>49</v>
      </c>
    </row>
    <row r="32" ht="12" customHeight="1" spans="1:29" x14ac:dyDescent="0.25">
      <c r="A32" s="3" t="s">
        <v>130</v>
      </c>
      <c r="B32" s="4" t="s">
        <v>30</v>
      </c>
      <c r="C32" s="3" t="s">
        <v>31</v>
      </c>
      <c r="D32" s="3" t="s">
        <v>32</v>
      </c>
      <c r="E32" s="3" t="s">
        <v>33</v>
      </c>
      <c r="F32" s="3" t="s">
        <v>34</v>
      </c>
      <c r="G32" s="3" t="s">
        <v>35</v>
      </c>
      <c r="H32" s="3" t="s">
        <v>35</v>
      </c>
      <c r="I32" s="3" t="s">
        <v>36</v>
      </c>
      <c r="J32" s="3" t="s">
        <v>36</v>
      </c>
      <c r="K32" s="3" t="s">
        <v>37</v>
      </c>
      <c r="L32" s="3" t="s">
        <v>61</v>
      </c>
      <c r="M32" s="3" t="s">
        <v>39</v>
      </c>
      <c r="N32" s="3" t="s">
        <v>40</v>
      </c>
      <c r="O32" s="3" t="s">
        <v>41</v>
      </c>
      <c r="P32" s="3" t="s">
        <v>42</v>
      </c>
      <c r="Q32" s="3" t="s">
        <v>43</v>
      </c>
      <c r="R32" s="3" t="s">
        <v>44</v>
      </c>
      <c r="S32" s="3" t="s">
        <v>44</v>
      </c>
      <c r="T32" s="3"/>
      <c r="U32" s="5"/>
      <c r="V32" s="3" t="s">
        <v>62</v>
      </c>
      <c r="W32" s="3" t="s">
        <v>46</v>
      </c>
      <c r="X32" s="3" t="s">
        <v>47</v>
      </c>
      <c r="Y32" s="3" t="s">
        <v>48</v>
      </c>
      <c r="Z32" s="3" t="s">
        <v>48</v>
      </c>
      <c r="AA32" s="5">
        <v>27416.1</v>
      </c>
      <c r="AB32" s="3" t="s">
        <v>40</v>
      </c>
      <c r="AC32" s="3" t="s">
        <v>49</v>
      </c>
    </row>
    <row r="33" ht="12" customHeight="1" spans="1:29" x14ac:dyDescent="0.25">
      <c r="A33" s="3" t="s">
        <v>131</v>
      </c>
      <c r="B33" s="4" t="s">
        <v>30</v>
      </c>
      <c r="C33" s="3" t="s">
        <v>31</v>
      </c>
      <c r="D33" s="3" t="s">
        <v>32</v>
      </c>
      <c r="E33" s="3" t="s">
        <v>33</v>
      </c>
      <c r="F33" s="3" t="s">
        <v>34</v>
      </c>
      <c r="G33" s="3" t="s">
        <v>35</v>
      </c>
      <c r="H33" s="3" t="s">
        <v>35</v>
      </c>
      <c r="I33" s="3" t="s">
        <v>36</v>
      </c>
      <c r="J33" s="3" t="s">
        <v>36</v>
      </c>
      <c r="K33" s="3" t="s">
        <v>37</v>
      </c>
      <c r="L33" s="3" t="s">
        <v>61</v>
      </c>
      <c r="M33" s="3" t="s">
        <v>39</v>
      </c>
      <c r="N33" s="3" t="s">
        <v>40</v>
      </c>
      <c r="O33" s="3" t="s">
        <v>41</v>
      </c>
      <c r="P33" s="3" t="s">
        <v>42</v>
      </c>
      <c r="Q33" s="3" t="s">
        <v>43</v>
      </c>
      <c r="R33" s="3" t="s">
        <v>44</v>
      </c>
      <c r="S33" s="3" t="s">
        <v>44</v>
      </c>
      <c r="T33" s="3"/>
      <c r="U33" s="5"/>
      <c r="V33" s="3" t="s">
        <v>62</v>
      </c>
      <c r="W33" s="3" t="s">
        <v>46</v>
      </c>
      <c r="X33" s="3" t="s">
        <v>47</v>
      </c>
      <c r="Y33" s="3" t="s">
        <v>48</v>
      </c>
      <c r="Z33" s="3" t="s">
        <v>48</v>
      </c>
      <c r="AA33" s="5">
        <v>27416.1</v>
      </c>
      <c r="AB33" s="3" t="s">
        <v>40</v>
      </c>
      <c r="AC33" s="3" t="s">
        <v>49</v>
      </c>
    </row>
    <row r="34" ht="12" customHeight="1" spans="1:29" x14ac:dyDescent="0.25">
      <c r="A34" s="3" t="s">
        <v>132</v>
      </c>
      <c r="B34" s="4" t="s">
        <v>30</v>
      </c>
      <c r="C34" s="3" t="s">
        <v>31</v>
      </c>
      <c r="D34" s="3" t="s">
        <v>32</v>
      </c>
      <c r="E34" s="3" t="s">
        <v>33</v>
      </c>
      <c r="F34" s="3" t="s">
        <v>34</v>
      </c>
      <c r="G34" s="3" t="s">
        <v>35</v>
      </c>
      <c r="H34" s="3" t="s">
        <v>35</v>
      </c>
      <c r="I34" s="3" t="s">
        <v>36</v>
      </c>
      <c r="J34" s="3" t="s">
        <v>36</v>
      </c>
      <c r="K34" s="3" t="s">
        <v>37</v>
      </c>
      <c r="L34" s="3" t="s">
        <v>61</v>
      </c>
      <c r="M34" s="3" t="s">
        <v>39</v>
      </c>
      <c r="N34" s="3" t="s">
        <v>40</v>
      </c>
      <c r="O34" s="3" t="s">
        <v>41</v>
      </c>
      <c r="P34" s="3" t="s">
        <v>42</v>
      </c>
      <c r="Q34" s="3" t="s">
        <v>43</v>
      </c>
      <c r="R34" s="3" t="s">
        <v>44</v>
      </c>
      <c r="S34" s="3" t="s">
        <v>44</v>
      </c>
      <c r="T34" s="3"/>
      <c r="U34" s="5"/>
      <c r="V34" s="3" t="s">
        <v>62</v>
      </c>
      <c r="W34" s="3" t="s">
        <v>46</v>
      </c>
      <c r="X34" s="3" t="s">
        <v>47</v>
      </c>
      <c r="Y34" s="3" t="s">
        <v>48</v>
      </c>
      <c r="Z34" s="3" t="s">
        <v>48</v>
      </c>
      <c r="AA34" s="5">
        <v>27416.1</v>
      </c>
      <c r="AB34" s="3" t="s">
        <v>40</v>
      </c>
      <c r="AC34" s="3" t="s">
        <v>49</v>
      </c>
    </row>
    <row r="35" ht="12" customHeight="1" spans="1:29" x14ac:dyDescent="0.25">
      <c r="A35" s="3" t="s">
        <v>133</v>
      </c>
      <c r="B35" s="4" t="s">
        <v>30</v>
      </c>
      <c r="C35" s="3" t="s">
        <v>31</v>
      </c>
      <c r="D35" s="3" t="s">
        <v>32</v>
      </c>
      <c r="E35" s="3" t="s">
        <v>33</v>
      </c>
      <c r="F35" s="3" t="s">
        <v>34</v>
      </c>
      <c r="G35" s="3" t="s">
        <v>35</v>
      </c>
      <c r="H35" s="3" t="s">
        <v>35</v>
      </c>
      <c r="I35" s="3" t="s">
        <v>68</v>
      </c>
      <c r="J35" s="3" t="s">
        <v>68</v>
      </c>
      <c r="K35" s="3" t="s">
        <v>37</v>
      </c>
      <c r="L35" s="3" t="s">
        <v>61</v>
      </c>
      <c r="M35" s="3" t="s">
        <v>39</v>
      </c>
      <c r="N35" s="3" t="s">
        <v>40</v>
      </c>
      <c r="O35" s="3" t="s">
        <v>41</v>
      </c>
      <c r="P35" s="3" t="s">
        <v>42</v>
      </c>
      <c r="Q35" s="3" t="s">
        <v>134</v>
      </c>
      <c r="R35" s="3" t="s">
        <v>44</v>
      </c>
      <c r="S35" s="3" t="s">
        <v>44</v>
      </c>
      <c r="T35" s="3"/>
      <c r="U35" s="5"/>
      <c r="V35" s="3" t="s">
        <v>62</v>
      </c>
      <c r="W35" s="3" t="s">
        <v>135</v>
      </c>
      <c r="X35" s="3" t="s">
        <v>47</v>
      </c>
      <c r="Y35" s="3" t="s">
        <v>136</v>
      </c>
      <c r="Z35" s="3" t="s">
        <v>136</v>
      </c>
      <c r="AA35" s="5">
        <v>6913.5</v>
      </c>
      <c r="AB35" s="3" t="s">
        <v>40</v>
      </c>
      <c r="AC35" s="3" t="s">
        <v>74</v>
      </c>
    </row>
    <row r="36" ht="12" customHeight="1" spans="1:29" x14ac:dyDescent="0.25">
      <c r="A36" s="3" t="s">
        <v>137</v>
      </c>
      <c r="B36" s="4" t="s">
        <v>30</v>
      </c>
      <c r="C36" s="3" t="s">
        <v>31</v>
      </c>
      <c r="D36" s="3" t="s">
        <v>32</v>
      </c>
      <c r="E36" s="3" t="s">
        <v>33</v>
      </c>
      <c r="F36" s="3" t="s">
        <v>34</v>
      </c>
      <c r="G36" s="3" t="s">
        <v>35</v>
      </c>
      <c r="H36" s="3" t="s">
        <v>35</v>
      </c>
      <c r="I36" s="3" t="s">
        <v>36</v>
      </c>
      <c r="J36" s="3" t="s">
        <v>36</v>
      </c>
      <c r="K36" s="3" t="s">
        <v>37</v>
      </c>
      <c r="L36" s="3" t="s">
        <v>61</v>
      </c>
      <c r="M36" s="3" t="s">
        <v>39</v>
      </c>
      <c r="N36" s="3" t="s">
        <v>40</v>
      </c>
      <c r="O36" s="3" t="s">
        <v>41</v>
      </c>
      <c r="P36" s="3" t="s">
        <v>42</v>
      </c>
      <c r="Q36" s="3" t="s">
        <v>43</v>
      </c>
      <c r="R36" s="3" t="s">
        <v>44</v>
      </c>
      <c r="S36" s="3" t="s">
        <v>44</v>
      </c>
      <c r="T36" s="3"/>
      <c r="U36" s="5"/>
      <c r="V36" s="3" t="s">
        <v>62</v>
      </c>
      <c r="W36" s="3" t="s">
        <v>46</v>
      </c>
      <c r="X36" s="3" t="s">
        <v>47</v>
      </c>
      <c r="Y36" s="3" t="s">
        <v>48</v>
      </c>
      <c r="Z36" s="3" t="s">
        <v>48</v>
      </c>
      <c r="AA36" s="5">
        <v>27416.1</v>
      </c>
      <c r="AB36" s="3" t="s">
        <v>40</v>
      </c>
      <c r="AC36" s="3" t="s">
        <v>49</v>
      </c>
    </row>
    <row r="37" ht="12" customHeight="1" spans="1:29" x14ac:dyDescent="0.25">
      <c r="A37" s="3" t="s">
        <v>138</v>
      </c>
      <c r="B37" s="4" t="s">
        <v>30</v>
      </c>
      <c r="C37" s="3" t="s">
        <v>31</v>
      </c>
      <c r="D37" s="3" t="s">
        <v>32</v>
      </c>
      <c r="E37" s="3" t="s">
        <v>33</v>
      </c>
      <c r="F37" s="3" t="s">
        <v>34</v>
      </c>
      <c r="G37" s="3" t="s">
        <v>35</v>
      </c>
      <c r="H37" s="3" t="s">
        <v>35</v>
      </c>
      <c r="I37" s="3" t="s">
        <v>36</v>
      </c>
      <c r="J37" s="3" t="s">
        <v>36</v>
      </c>
      <c r="K37" s="3" t="s">
        <v>37</v>
      </c>
      <c r="L37" s="3" t="s">
        <v>61</v>
      </c>
      <c r="M37" s="3" t="s">
        <v>39</v>
      </c>
      <c r="N37" s="3" t="s">
        <v>40</v>
      </c>
      <c r="O37" s="3" t="s">
        <v>41</v>
      </c>
      <c r="P37" s="3" t="s">
        <v>42</v>
      </c>
      <c r="Q37" s="3" t="s">
        <v>43</v>
      </c>
      <c r="R37" s="3" t="s">
        <v>44</v>
      </c>
      <c r="S37" s="3" t="s">
        <v>44</v>
      </c>
      <c r="T37" s="3"/>
      <c r="U37" s="5"/>
      <c r="V37" s="3" t="s">
        <v>62</v>
      </c>
      <c r="W37" s="3" t="s">
        <v>46</v>
      </c>
      <c r="X37" s="3" t="s">
        <v>47</v>
      </c>
      <c r="Y37" s="3" t="s">
        <v>48</v>
      </c>
      <c r="Z37" s="3" t="s">
        <v>48</v>
      </c>
      <c r="AA37" s="5">
        <v>27416.1</v>
      </c>
      <c r="AB37" s="3" t="s">
        <v>40</v>
      </c>
      <c r="AC37" s="3" t="s">
        <v>49</v>
      </c>
    </row>
    <row r="38" ht="12" customHeight="1" spans="1:29" x14ac:dyDescent="0.25">
      <c r="A38" s="3" t="s">
        <v>139</v>
      </c>
      <c r="B38" s="4" t="s">
        <v>30</v>
      </c>
      <c r="C38" s="3" t="s">
        <v>31</v>
      </c>
      <c r="D38" s="3" t="s">
        <v>32</v>
      </c>
      <c r="E38" s="3" t="s">
        <v>33</v>
      </c>
      <c r="F38" s="3" t="s">
        <v>34</v>
      </c>
      <c r="G38" s="3" t="s">
        <v>35</v>
      </c>
      <c r="H38" s="3" t="s">
        <v>35</v>
      </c>
      <c r="I38" s="3" t="s">
        <v>36</v>
      </c>
      <c r="J38" s="3" t="s">
        <v>36</v>
      </c>
      <c r="K38" s="3" t="s">
        <v>37</v>
      </c>
      <c r="L38" s="3" t="s">
        <v>61</v>
      </c>
      <c r="M38" s="3" t="s">
        <v>39</v>
      </c>
      <c r="N38" s="3" t="s">
        <v>40</v>
      </c>
      <c r="O38" s="3" t="s">
        <v>41</v>
      </c>
      <c r="P38" s="3" t="s">
        <v>42</v>
      </c>
      <c r="Q38" s="3" t="s">
        <v>43</v>
      </c>
      <c r="R38" s="3" t="s">
        <v>44</v>
      </c>
      <c r="S38" s="3" t="s">
        <v>44</v>
      </c>
      <c r="T38" s="3"/>
      <c r="U38" s="5"/>
      <c r="V38" s="3" t="s">
        <v>62</v>
      </c>
      <c r="W38" s="3" t="s">
        <v>46</v>
      </c>
      <c r="X38" s="3" t="s">
        <v>47</v>
      </c>
      <c r="Y38" s="3" t="s">
        <v>48</v>
      </c>
      <c r="Z38" s="3" t="s">
        <v>48</v>
      </c>
      <c r="AA38" s="5">
        <v>27416.1</v>
      </c>
      <c r="AB38" s="3" t="s">
        <v>40</v>
      </c>
      <c r="AC38" s="3" t="s">
        <v>49</v>
      </c>
    </row>
    <row r="39" ht="12" customHeight="1" spans="1:29" x14ac:dyDescent="0.25">
      <c r="A39" s="3" t="s">
        <v>140</v>
      </c>
      <c r="B39" s="4" t="s">
        <v>30</v>
      </c>
      <c r="C39" s="3" t="s">
        <v>31</v>
      </c>
      <c r="D39" s="3" t="s">
        <v>32</v>
      </c>
      <c r="E39" s="3" t="s">
        <v>33</v>
      </c>
      <c r="F39" s="3" t="s">
        <v>34</v>
      </c>
      <c r="G39" s="3" t="s">
        <v>35</v>
      </c>
      <c r="H39" s="3" t="s">
        <v>35</v>
      </c>
      <c r="I39" s="3" t="s">
        <v>36</v>
      </c>
      <c r="J39" s="3" t="s">
        <v>36</v>
      </c>
      <c r="K39" s="3" t="s">
        <v>37</v>
      </c>
      <c r="L39" s="3" t="s">
        <v>61</v>
      </c>
      <c r="M39" s="3" t="s">
        <v>39</v>
      </c>
      <c r="N39" s="3" t="s">
        <v>40</v>
      </c>
      <c r="O39" s="3" t="s">
        <v>41</v>
      </c>
      <c r="P39" s="3" t="s">
        <v>42</v>
      </c>
      <c r="Q39" s="3" t="s">
        <v>141</v>
      </c>
      <c r="R39" s="3" t="s">
        <v>44</v>
      </c>
      <c r="S39" s="3" t="s">
        <v>44</v>
      </c>
      <c r="T39" s="3"/>
      <c r="U39" s="5"/>
      <c r="V39" s="3" t="s">
        <v>62</v>
      </c>
      <c r="W39" s="3" t="s">
        <v>142</v>
      </c>
      <c r="X39" s="3" t="s">
        <v>47</v>
      </c>
      <c r="Y39" s="3" t="s">
        <v>143</v>
      </c>
      <c r="Z39" s="3" t="s">
        <v>143</v>
      </c>
      <c r="AA39" s="5">
        <v>12861.4</v>
      </c>
      <c r="AB39" s="3" t="s">
        <v>40</v>
      </c>
      <c r="AC39" s="3" t="s">
        <v>49</v>
      </c>
    </row>
    <row r="40" ht="12" customHeight="1" spans="1:29" x14ac:dyDescent="0.25">
      <c r="A40" s="3" t="s">
        <v>144</v>
      </c>
      <c r="B40" s="4" t="s">
        <v>30</v>
      </c>
      <c r="C40" s="3" t="s">
        <v>31</v>
      </c>
      <c r="D40" s="3" t="s">
        <v>32</v>
      </c>
      <c r="E40" s="3" t="s">
        <v>33</v>
      </c>
      <c r="F40" s="3" t="s">
        <v>34</v>
      </c>
      <c r="G40" s="3" t="s">
        <v>35</v>
      </c>
      <c r="H40" s="3" t="s">
        <v>35</v>
      </c>
      <c r="I40" s="3" t="s">
        <v>36</v>
      </c>
      <c r="J40" s="3" t="s">
        <v>36</v>
      </c>
      <c r="K40" s="3" t="s">
        <v>37</v>
      </c>
      <c r="L40" s="3" t="s">
        <v>61</v>
      </c>
      <c r="M40" s="3" t="s">
        <v>39</v>
      </c>
      <c r="N40" s="3" t="s">
        <v>40</v>
      </c>
      <c r="O40" s="3" t="s">
        <v>41</v>
      </c>
      <c r="P40" s="3" t="s">
        <v>42</v>
      </c>
      <c r="Q40" s="3" t="s">
        <v>43</v>
      </c>
      <c r="R40" s="3" t="s">
        <v>44</v>
      </c>
      <c r="S40" s="3" t="s">
        <v>44</v>
      </c>
      <c r="T40" s="3"/>
      <c r="U40" s="5"/>
      <c r="V40" s="3" t="s">
        <v>62</v>
      </c>
      <c r="W40" s="3" t="s">
        <v>46</v>
      </c>
      <c r="X40" s="3" t="s">
        <v>47</v>
      </c>
      <c r="Y40" s="3" t="s">
        <v>48</v>
      </c>
      <c r="Z40" s="3" t="s">
        <v>48</v>
      </c>
      <c r="AA40" s="5">
        <v>27416.1</v>
      </c>
      <c r="AB40" s="3" t="s">
        <v>40</v>
      </c>
      <c r="AC40" s="3" t="s">
        <v>49</v>
      </c>
    </row>
    <row r="41" ht="12" customHeight="1" spans="1:29" x14ac:dyDescent="0.25">
      <c r="A41" s="3" t="s">
        <v>145</v>
      </c>
      <c r="B41" s="4" t="s">
        <v>30</v>
      </c>
      <c r="C41" s="3" t="s">
        <v>31</v>
      </c>
      <c r="D41" s="3" t="s">
        <v>32</v>
      </c>
      <c r="E41" s="3" t="s">
        <v>67</v>
      </c>
      <c r="F41" s="3" t="s">
        <v>34</v>
      </c>
      <c r="G41" s="3" t="s">
        <v>35</v>
      </c>
      <c r="H41" s="3" t="s">
        <v>35</v>
      </c>
      <c r="I41" s="3" t="s">
        <v>52</v>
      </c>
      <c r="J41" s="3" t="s">
        <v>76</v>
      </c>
      <c r="K41" s="3" t="s">
        <v>37</v>
      </c>
      <c r="L41" s="3" t="s">
        <v>61</v>
      </c>
      <c r="M41" s="3" t="s">
        <v>39</v>
      </c>
      <c r="N41" s="3" t="s">
        <v>40</v>
      </c>
      <c r="O41" s="3" t="s">
        <v>41</v>
      </c>
      <c r="P41" s="3" t="s">
        <v>42</v>
      </c>
      <c r="Q41" s="3" t="s">
        <v>77</v>
      </c>
      <c r="R41" s="3" t="s">
        <v>55</v>
      </c>
      <c r="S41" s="3" t="s">
        <v>44</v>
      </c>
      <c r="T41" s="3"/>
      <c r="U41" s="5"/>
      <c r="V41" s="3" t="s">
        <v>146</v>
      </c>
      <c r="W41" s="3" t="s">
        <v>79</v>
      </c>
      <c r="X41" s="3" t="s">
        <v>47</v>
      </c>
      <c r="Y41" s="3" t="s">
        <v>80</v>
      </c>
      <c r="Z41" s="3" t="s">
        <v>80</v>
      </c>
      <c r="AA41" s="5">
        <v>17748</v>
      </c>
      <c r="AB41" s="3" t="s">
        <v>40</v>
      </c>
      <c r="AC41" s="3" t="s">
        <v>81</v>
      </c>
    </row>
    <row r="42" ht="12" customHeight="1" spans="1:29" x14ac:dyDescent="0.25">
      <c r="A42" s="3" t="s">
        <v>147</v>
      </c>
      <c r="B42" s="4" t="s">
        <v>30</v>
      </c>
      <c r="C42" s="3" t="s">
        <v>31</v>
      </c>
      <c r="D42" s="3" t="s">
        <v>32</v>
      </c>
      <c r="E42" s="3" t="s">
        <v>67</v>
      </c>
      <c r="F42" s="3" t="s">
        <v>34</v>
      </c>
      <c r="G42" s="3" t="s">
        <v>35</v>
      </c>
      <c r="H42" s="3" t="s">
        <v>35</v>
      </c>
      <c r="I42" s="3" t="s">
        <v>68</v>
      </c>
      <c r="J42" s="3" t="s">
        <v>68</v>
      </c>
      <c r="K42" s="3" t="s">
        <v>37</v>
      </c>
      <c r="L42" s="3" t="s">
        <v>61</v>
      </c>
      <c r="M42" s="3" t="s">
        <v>39</v>
      </c>
      <c r="N42" s="3" t="s">
        <v>40</v>
      </c>
      <c r="O42" s="3" t="s">
        <v>41</v>
      </c>
      <c r="P42" s="3" t="s">
        <v>42</v>
      </c>
      <c r="Q42" s="3" t="s">
        <v>70</v>
      </c>
      <c r="R42" s="3" t="s">
        <v>44</v>
      </c>
      <c r="S42" s="3" t="s">
        <v>44</v>
      </c>
      <c r="T42" s="3"/>
      <c r="U42" s="5"/>
      <c r="V42" s="3" t="s">
        <v>146</v>
      </c>
      <c r="W42" s="3" t="s">
        <v>72</v>
      </c>
      <c r="X42" s="3" t="s">
        <v>47</v>
      </c>
      <c r="Y42" s="3" t="s">
        <v>73</v>
      </c>
      <c r="Z42" s="3" t="s">
        <v>73</v>
      </c>
      <c r="AA42" s="5">
        <v>20664</v>
      </c>
      <c r="AB42" s="3" t="s">
        <v>40</v>
      </c>
      <c r="AC42" s="3" t="s">
        <v>74</v>
      </c>
    </row>
    <row r="43" ht="12" customHeight="1" spans="1:29" x14ac:dyDescent="0.25">
      <c r="A43" s="3" t="s">
        <v>148</v>
      </c>
      <c r="B43" s="4" t="s">
        <v>30</v>
      </c>
      <c r="C43" s="3" t="s">
        <v>31</v>
      </c>
      <c r="D43" s="3" t="s">
        <v>32</v>
      </c>
      <c r="E43" s="3" t="s">
        <v>67</v>
      </c>
      <c r="F43" s="3" t="s">
        <v>34</v>
      </c>
      <c r="G43" s="3" t="s">
        <v>35</v>
      </c>
      <c r="H43" s="3" t="s">
        <v>35</v>
      </c>
      <c r="I43" s="3" t="s">
        <v>68</v>
      </c>
      <c r="J43" s="3" t="s">
        <v>68</v>
      </c>
      <c r="K43" s="3" t="s">
        <v>37</v>
      </c>
      <c r="L43" s="3" t="s">
        <v>61</v>
      </c>
      <c r="M43" s="3" t="s">
        <v>39</v>
      </c>
      <c r="N43" s="3" t="s">
        <v>40</v>
      </c>
      <c r="O43" s="3" t="s">
        <v>41</v>
      </c>
      <c r="P43" s="3" t="s">
        <v>42</v>
      </c>
      <c r="Q43" s="3" t="s">
        <v>70</v>
      </c>
      <c r="R43" s="3" t="s">
        <v>44</v>
      </c>
      <c r="S43" s="3" t="s">
        <v>44</v>
      </c>
      <c r="T43" s="3"/>
      <c r="U43" s="5"/>
      <c r="V43" s="3" t="s">
        <v>146</v>
      </c>
      <c r="W43" s="3" t="s">
        <v>72</v>
      </c>
      <c r="X43" s="3" t="s">
        <v>47</v>
      </c>
      <c r="Y43" s="3" t="s">
        <v>73</v>
      </c>
      <c r="Z43" s="3" t="s">
        <v>73</v>
      </c>
      <c r="AA43" s="5">
        <v>20664</v>
      </c>
      <c r="AB43" s="3" t="s">
        <v>40</v>
      </c>
      <c r="AC43" s="3" t="s">
        <v>74</v>
      </c>
    </row>
    <row r="44" ht="12" customHeight="1" spans="1:29" x14ac:dyDescent="0.25">
      <c r="A44" s="3" t="s">
        <v>149</v>
      </c>
      <c r="B44" s="4" t="s">
        <v>30</v>
      </c>
      <c r="C44" s="3" t="s">
        <v>31</v>
      </c>
      <c r="D44" s="3" t="s">
        <v>32</v>
      </c>
      <c r="E44" s="3" t="s">
        <v>67</v>
      </c>
      <c r="F44" s="3" t="s">
        <v>34</v>
      </c>
      <c r="G44" s="3" t="s">
        <v>35</v>
      </c>
      <c r="H44" s="3" t="s">
        <v>35</v>
      </c>
      <c r="I44" s="3" t="s">
        <v>68</v>
      </c>
      <c r="J44" s="3" t="s">
        <v>68</v>
      </c>
      <c r="K44" s="3" t="s">
        <v>37</v>
      </c>
      <c r="L44" s="3" t="s">
        <v>61</v>
      </c>
      <c r="M44" s="3" t="s">
        <v>39</v>
      </c>
      <c r="N44" s="3" t="s">
        <v>40</v>
      </c>
      <c r="O44" s="3" t="s">
        <v>41</v>
      </c>
      <c r="P44" s="3" t="s">
        <v>42</v>
      </c>
      <c r="Q44" s="3" t="s">
        <v>70</v>
      </c>
      <c r="R44" s="3" t="s">
        <v>44</v>
      </c>
      <c r="S44" s="3" t="s">
        <v>44</v>
      </c>
      <c r="T44" s="3"/>
      <c r="U44" s="5"/>
      <c r="V44" s="3" t="s">
        <v>146</v>
      </c>
      <c r="W44" s="3" t="s">
        <v>72</v>
      </c>
      <c r="X44" s="3" t="s">
        <v>47</v>
      </c>
      <c r="Y44" s="3" t="s">
        <v>73</v>
      </c>
      <c r="Z44" s="3" t="s">
        <v>73</v>
      </c>
      <c r="AA44" s="5">
        <v>20664</v>
      </c>
      <c r="AB44" s="3" t="s">
        <v>40</v>
      </c>
      <c r="AC44" s="3" t="s">
        <v>74</v>
      </c>
    </row>
    <row r="45" ht="12" customHeight="1" spans="1:29" x14ac:dyDescent="0.25">
      <c r="A45" s="3" t="s">
        <v>150</v>
      </c>
      <c r="B45" s="4" t="s">
        <v>30</v>
      </c>
      <c r="C45" s="3" t="s">
        <v>31</v>
      </c>
      <c r="D45" s="3" t="s">
        <v>32</v>
      </c>
      <c r="E45" s="3" t="s">
        <v>33</v>
      </c>
      <c r="F45" s="3" t="s">
        <v>34</v>
      </c>
      <c r="G45" s="3" t="s">
        <v>35</v>
      </c>
      <c r="H45" s="3" t="s">
        <v>35</v>
      </c>
      <c r="I45" s="3" t="s">
        <v>36</v>
      </c>
      <c r="J45" s="3" t="s">
        <v>36</v>
      </c>
      <c r="K45" s="3" t="s">
        <v>37</v>
      </c>
      <c r="L45" s="3" t="s">
        <v>61</v>
      </c>
      <c r="M45" s="3" t="s">
        <v>39</v>
      </c>
      <c r="N45" s="3" t="s">
        <v>40</v>
      </c>
      <c r="O45" s="3" t="s">
        <v>41</v>
      </c>
      <c r="P45" s="3" t="s">
        <v>42</v>
      </c>
      <c r="Q45" s="3" t="s">
        <v>43</v>
      </c>
      <c r="R45" s="3" t="s">
        <v>44</v>
      </c>
      <c r="S45" s="3" t="s">
        <v>44</v>
      </c>
      <c r="T45" s="3"/>
      <c r="U45" s="5"/>
      <c r="V45" s="3" t="s">
        <v>62</v>
      </c>
      <c r="W45" s="3" t="s">
        <v>46</v>
      </c>
      <c r="X45" s="3" t="s">
        <v>47</v>
      </c>
      <c r="Y45" s="3" t="s">
        <v>48</v>
      </c>
      <c r="Z45" s="3" t="s">
        <v>48</v>
      </c>
      <c r="AA45" s="5">
        <v>27416.1</v>
      </c>
      <c r="AB45" s="3" t="s">
        <v>40</v>
      </c>
      <c r="AC45" s="3" t="s">
        <v>49</v>
      </c>
    </row>
    <row r="46" ht="12" customHeight="1" spans="1:29" x14ac:dyDescent="0.25">
      <c r="A46" s="3" t="s">
        <v>151</v>
      </c>
      <c r="B46" s="4" t="s">
        <v>30</v>
      </c>
      <c r="C46" s="3" t="s">
        <v>31</v>
      </c>
      <c r="D46" s="3" t="s">
        <v>32</v>
      </c>
      <c r="E46" s="3" t="s">
        <v>33</v>
      </c>
      <c r="F46" s="3" t="s">
        <v>34</v>
      </c>
      <c r="G46" s="3" t="s">
        <v>35</v>
      </c>
      <c r="H46" s="3" t="s">
        <v>35</v>
      </c>
      <c r="I46" s="3" t="s">
        <v>36</v>
      </c>
      <c r="J46" s="3" t="s">
        <v>36</v>
      </c>
      <c r="K46" s="3" t="s">
        <v>37</v>
      </c>
      <c r="L46" s="3" t="s">
        <v>61</v>
      </c>
      <c r="M46" s="3" t="s">
        <v>39</v>
      </c>
      <c r="N46" s="3" t="s">
        <v>40</v>
      </c>
      <c r="O46" s="3" t="s">
        <v>41</v>
      </c>
      <c r="P46" s="3" t="s">
        <v>42</v>
      </c>
      <c r="Q46" s="3" t="s">
        <v>43</v>
      </c>
      <c r="R46" s="3" t="s">
        <v>44</v>
      </c>
      <c r="S46" s="3" t="s">
        <v>44</v>
      </c>
      <c r="T46" s="3"/>
      <c r="U46" s="5"/>
      <c r="V46" s="3" t="s">
        <v>62</v>
      </c>
      <c r="W46" s="3" t="s">
        <v>46</v>
      </c>
      <c r="X46" s="3" t="s">
        <v>47</v>
      </c>
      <c r="Y46" s="3" t="s">
        <v>48</v>
      </c>
      <c r="Z46" s="3" t="s">
        <v>48</v>
      </c>
      <c r="AA46" s="5">
        <v>27416.1</v>
      </c>
      <c r="AB46" s="3" t="s">
        <v>40</v>
      </c>
      <c r="AC46" s="3" t="s">
        <v>49</v>
      </c>
    </row>
    <row r="47" ht="12" customHeight="1" spans="1:29" x14ac:dyDescent="0.25">
      <c r="A47" s="3"/>
      <c r="B47" s="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5"/>
      <c r="V47" s="3"/>
      <c r="W47" s="3"/>
      <c r="X47" s="3"/>
      <c r="Y47" s="3"/>
      <c r="Z47" s="3"/>
      <c r="AA47" s="5">
        <v>1095427.34</v>
      </c>
      <c r="AB47" s="3"/>
      <c r="AC47" s="3"/>
    </row>
    <row r="48" ht="12" customHeight="1" spans="1:29" x14ac:dyDescent="0.25">
      <c r="A48" s="3"/>
      <c r="B48" s="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5"/>
      <c r="V48" s="3"/>
      <c r="W48" s="3"/>
      <c r="X48" s="3"/>
      <c r="Y48" s="3"/>
      <c r="Z48" s="3"/>
      <c r="AA48" s="5"/>
      <c r="AB48" s="3"/>
      <c r="AC48" s="3"/>
    </row>
    <row r="49" ht="12" customHeight="1" spans="1:29" x14ac:dyDescent="0.25">
      <c r="A49" s="3"/>
      <c r="B49" s="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5"/>
      <c r="V49" s="3"/>
      <c r="W49" s="3"/>
      <c r="X49" s="3"/>
      <c r="Y49" s="3"/>
      <c r="Z49" s="3"/>
      <c r="AA49" s="5"/>
      <c r="AB49" s="3"/>
      <c r="AC49" s="3"/>
    </row>
    <row r="50" ht="12" customHeight="1" spans="1:29" x14ac:dyDescent="0.25">
      <c r="A50" s="3"/>
      <c r="B50" s="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5"/>
      <c r="V50" s="3"/>
      <c r="W50" s="3"/>
      <c r="X50" s="3"/>
      <c r="Y50" s="3"/>
      <c r="Z50" s="3"/>
      <c r="AA50" s="5"/>
      <c r="AB50" s="3"/>
      <c r="AC50" s="3"/>
    </row>
    <row r="51" ht="12" customHeight="1" spans="1:29" x14ac:dyDescent="0.25">
      <c r="A51" s="3"/>
      <c r="B51" s="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5"/>
      <c r="V51" s="3"/>
      <c r="W51" s="3"/>
      <c r="X51" s="3"/>
      <c r="Y51" s="3"/>
      <c r="Z51" s="3"/>
      <c r="AA51" s="5"/>
      <c r="AB51" s="3"/>
      <c r="AC51" s="3"/>
    </row>
    <row r="52" ht="12" customHeight="1" spans="1:29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7"/>
      <c r="AB52" s="8"/>
      <c r="AC52" s="8"/>
    </row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</sheetData>
  <autoFilter ref="A1:Z1663"/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Y65"/>
  <sheetViews>
    <sheetView workbookViewId="0" zoomScale="100" zoomScaleNormal="100">
      <selection activeCell="A1" sqref="A1"/>
    </sheetView>
  </sheetViews>
  <sheetFormatPr defaultRowHeight="12.95" outlineLevelRow="0" outlineLevelCol="0" x14ac:dyDescent="0" customHeight="1"/>
  <cols>
    <col min="1" max="1" width="13.125" style="1" customWidth="1"/>
    <col min="2" max="2" width="10.875" style="1" customWidth="1"/>
    <col min="3" max="3" width="4.625" style="1" customWidth="1"/>
    <col min="4" max="4" width="7" style="1" customWidth="1"/>
    <col min="5" max="5" width="5.125" style="1" customWidth="1"/>
    <col min="6" max="10" width="3.25" style="1" customWidth="1"/>
    <col min="11" max="11" width="3.5" style="1" customWidth="1"/>
    <col min="12" max="13" width="3.25" style="1" customWidth="1"/>
    <col min="14" max="15" width="4.75" style="1" customWidth="1"/>
    <col min="16" max="16" width="5.25" style="1" customWidth="1"/>
    <col min="17" max="17" width="4.875" style="1" customWidth="1"/>
    <col min="18" max="18" width="7.875" style="1" customWidth="1"/>
    <col min="19" max="19" width="5.125" style="1" customWidth="1"/>
    <col min="20" max="20" width="5.5" style="1" customWidth="1"/>
    <col min="21" max="21" width="5.75" style="1" customWidth="1"/>
    <col min="22" max="22" width="7.875" style="1" customWidth="1"/>
    <col min="23" max="23" width="5.125" style="1" customWidth="1"/>
    <col min="24" max="24" width="4.625" style="1" customWidth="1"/>
    <col min="25" max="25" width="7.875" style="1" customWidth="1"/>
    <col min="26" max="26" width="6.125" style="1" customWidth="1"/>
    <col min="27" max="27" width="36.5" style="1" customWidth="1"/>
    <col min="28" max="28" width="29.25" style="1" customWidth="1"/>
    <col min="29" max="30" width="9.875" style="1" customWidth="1"/>
    <col min="31" max="31" width="9.25" style="1" customWidth="1"/>
    <col min="32" max="32" width="2.5" style="1" customWidth="1"/>
    <col min="33" max="33" width="3.25" style="1" customWidth="1"/>
    <col min="34" max="34" width="3.625" style="1" customWidth="1"/>
    <col min="35" max="35" width="3.375" style="1" customWidth="1"/>
    <col min="36" max="36" width="23.625" style="1" customWidth="1"/>
    <col min="37" max="37" width="8.25" style="1" customWidth="1"/>
    <col min="38" max="38" width="6.875" style="1" customWidth="1"/>
    <col min="39" max="39" width="6.375" style="1" customWidth="1"/>
    <col min="40" max="40" width="19.625" style="1" customWidth="1"/>
    <col min="41" max="41" width="51.375" style="1" customWidth="1"/>
    <col min="42" max="42" width="6.25" style="1" customWidth="1"/>
    <col min="43" max="43" width="2.625" style="1" customWidth="1"/>
    <col min="44" max="44" width="5.125" style="1" customWidth="1"/>
    <col min="45" max="45" width="27.375" style="1" customWidth="1"/>
    <col min="46" max="46" width="5.875" style="1" customWidth="1"/>
    <col min="47" max="47" width="3.75" style="1" customWidth="1"/>
    <col min="48" max="48" width="6.25" style="1" customWidth="1"/>
    <col min="49" max="49" width="6.875" style="1" customWidth="1"/>
    <col min="50" max="50" width="6.75" style="1" customWidth="1"/>
    <col min="51" max="51" width="5.875" style="1" customWidth="1"/>
    <col min="52" max="52" width="91.875" style="1" customWidth="1"/>
    <col min="53" max="53" width="131.25" style="1" customWidth="1"/>
    <col min="54" max="54" width="7" style="1" customWidth="1"/>
    <col min="55" max="55" width="7.875" style="1" customWidth="1"/>
    <col min="56" max="56" width="8.5" style="1" customWidth="1"/>
    <col min="57" max="57" width="4.75" style="1" customWidth="1"/>
    <col min="58" max="58" width="23.25" style="1" customWidth="1"/>
    <col min="59" max="59" width="6.875" style="1" customWidth="1"/>
    <col min="60" max="60" width="7.875" style="1" customWidth="1"/>
    <col min="61" max="61" width="7.75" style="1" customWidth="1"/>
    <col min="62" max="62" width="8" style="1" customWidth="1"/>
    <col min="63" max="63" width="4.625" style="1" customWidth="1"/>
    <col min="64" max="64" width="7.875" style="1" customWidth="1"/>
    <col min="65" max="65" width="4" style="1" customWidth="1"/>
    <col min="66" max="66" width="4.625" style="1" customWidth="1"/>
    <col min="67" max="76" width="4" style="1" customWidth="1"/>
    <col min="77" max="77" width="3.75" style="1" customWidth="1"/>
    <col min="78" max="78" width="4" style="1" customWidth="1"/>
    <col min="79" max="79" width="3.625" style="1" customWidth="1"/>
    <col min="80" max="80" width="9.875" style="1" customWidth="1"/>
    <col min="81" max="81" width="5" style="1" customWidth="1"/>
    <col min="82" max="82" width="7.125" style="1" customWidth="1"/>
    <col min="83" max="83" width="9.375" style="1" customWidth="1"/>
    <col min="84" max="84" width="10.25" style="1" customWidth="1"/>
    <col min="85" max="85" width="7.375" style="1" customWidth="1"/>
    <col min="86" max="86" width="47.375" style="1" customWidth="1"/>
    <col min="87" max="87" width="73.25" style="1" customWidth="1"/>
    <col min="88" max="88" width="26.625" style="1" customWidth="1"/>
    <col min="89" max="90" width="26.75" style="1" customWidth="1"/>
    <col min="91" max="91" width="6.375" style="1" customWidth="1"/>
    <col min="92" max="93" width="9.875" style="1" customWidth="1"/>
    <col min="94" max="94" width="26.5" style="1" customWidth="1"/>
    <col min="95" max="95" width="9.125" style="1" customWidth="1"/>
    <col min="96" max="96" width="12.625" style="1" customWidth="1"/>
    <col min="97" max="97" width="36.5" style="1" customWidth="1"/>
    <col min="98" max="98" width="3.375" style="1" customWidth="1"/>
    <col min="99" max="99" width="8" style="1" customWidth="1"/>
    <col min="100" max="100" width="5.625" style="1" customWidth="1"/>
    <col min="101" max="101" width="7.875" style="1" customWidth="1"/>
    <col min="102" max="102" width="6" style="1" customWidth="1"/>
    <col min="103" max="103" width="11.25" style="9" customWidth="1"/>
    <col min="104" max="256" width="9" style="1" customWidth="1"/>
    <col min="257" max="257" width="13.125" style="1" customWidth="1"/>
    <col min="258" max="258" width="10.875" style="1" customWidth="1"/>
    <col min="259" max="259" width="4.625" style="1" customWidth="1"/>
    <col min="260" max="260" width="7" style="1" customWidth="1"/>
    <col min="261" max="261" width="5.125" style="1" customWidth="1"/>
    <col min="262" max="266" width="3.25" style="1" customWidth="1"/>
    <col min="267" max="267" width="3.5" style="1" customWidth="1"/>
    <col min="268" max="269" width="3.25" style="1" customWidth="1"/>
    <col min="270" max="271" width="4.75" style="1" customWidth="1"/>
    <col min="272" max="272" width="5.25" style="1" customWidth="1"/>
    <col min="273" max="273" width="4.875" style="1" customWidth="1"/>
    <col min="274" max="274" width="7.875" style="1" customWidth="1"/>
    <col min="275" max="275" width="5.125" style="1" customWidth="1"/>
    <col min="276" max="276" width="5.5" style="1" customWidth="1"/>
    <col min="277" max="277" width="5.75" style="1" customWidth="1"/>
    <col min="278" max="278" width="7.875" style="1" customWidth="1"/>
    <col min="279" max="279" width="5.125" style="1" customWidth="1"/>
    <col min="280" max="280" width="4.625" style="1" customWidth="1"/>
    <col min="281" max="281" width="7.875" style="1" customWidth="1"/>
    <col min="282" max="282" width="6.125" style="1" customWidth="1"/>
    <col min="283" max="283" width="36.5" style="1" customWidth="1"/>
    <col min="284" max="284" width="29.25" style="1" customWidth="1"/>
    <col min="285" max="286" width="9.875" style="1" customWidth="1"/>
    <col min="287" max="287" width="9.25" style="1" customWidth="1"/>
    <col min="288" max="288" width="2.5" style="1" customWidth="1"/>
    <col min="289" max="289" width="3.25" style="1" customWidth="1"/>
    <col min="290" max="290" width="3.625" style="1" customWidth="1"/>
    <col min="291" max="291" width="3.375" style="1" customWidth="1"/>
    <col min="292" max="292" width="23.625" style="1" customWidth="1"/>
    <col min="293" max="293" width="8.25" style="1" customWidth="1"/>
    <col min="294" max="294" width="6.875" style="1" customWidth="1"/>
    <col min="295" max="295" width="6.375" style="1" customWidth="1"/>
    <col min="296" max="296" width="19.625" style="1" customWidth="1"/>
    <col min="297" max="297" width="51.375" style="1" customWidth="1"/>
    <col min="298" max="298" width="6.25" style="1" customWidth="1"/>
    <col min="299" max="299" width="2.625" style="1" customWidth="1"/>
    <col min="300" max="300" width="5.125" style="1" customWidth="1"/>
    <col min="301" max="301" width="27.375" style="1" customWidth="1"/>
    <col min="302" max="302" width="5.875" style="1" customWidth="1"/>
    <col min="303" max="303" width="3.75" style="1" customWidth="1"/>
    <col min="304" max="304" width="6.25" style="1" customWidth="1"/>
    <col min="305" max="305" width="6.875" style="1" customWidth="1"/>
    <col min="306" max="306" width="6.75" style="1" customWidth="1"/>
    <col min="307" max="307" width="5.875" style="1" customWidth="1"/>
    <col min="308" max="308" width="91.875" style="1" customWidth="1"/>
    <col min="309" max="309" width="131.25" style="1" customWidth="1"/>
    <col min="310" max="310" width="7" style="1" customWidth="1"/>
    <col min="311" max="311" width="7.875" style="1" customWidth="1"/>
    <col min="312" max="312" width="8.5" style="1" customWidth="1"/>
    <col min="313" max="313" width="4.75" style="1" customWidth="1"/>
    <col min="314" max="314" width="23.25" style="1" customWidth="1"/>
    <col min="315" max="315" width="6.875" style="1" customWidth="1"/>
    <col min="316" max="316" width="7.875" style="1" customWidth="1"/>
    <col min="317" max="317" width="7.75" style="1" customWidth="1"/>
    <col min="318" max="318" width="8" style="1" customWidth="1"/>
    <col min="319" max="319" width="4.625" style="1" customWidth="1"/>
    <col min="320" max="320" width="7.875" style="1" customWidth="1"/>
    <col min="321" max="321" width="4" style="1" customWidth="1"/>
    <col min="322" max="322" width="4.625" style="1" customWidth="1"/>
    <col min="323" max="332" width="4" style="1" customWidth="1"/>
    <col min="333" max="333" width="3.75" style="1" customWidth="1"/>
    <col min="334" max="334" width="4" style="1" customWidth="1"/>
    <col min="335" max="335" width="3.625" style="1" customWidth="1"/>
    <col min="336" max="336" width="9.875" style="1" customWidth="1"/>
    <col min="337" max="337" width="5" style="1" customWidth="1"/>
    <col min="338" max="338" width="7.125" style="1" customWidth="1"/>
    <col min="339" max="339" width="9.375" style="1" customWidth="1"/>
    <col min="340" max="340" width="10.25" style="1" customWidth="1"/>
    <col min="341" max="341" width="7.375" style="1" customWidth="1"/>
    <col min="342" max="342" width="47.375" style="1" customWidth="1"/>
    <col min="343" max="343" width="73.25" style="1" customWidth="1"/>
    <col min="344" max="344" width="26.625" style="1" customWidth="1"/>
    <col min="345" max="346" width="26.75" style="1" customWidth="1"/>
    <col min="347" max="347" width="6.375" style="1" customWidth="1"/>
    <col min="348" max="349" width="9.875" style="1" customWidth="1"/>
    <col min="350" max="350" width="26.5" style="1" customWidth="1"/>
    <col min="351" max="351" width="9.125" style="1" customWidth="1"/>
    <col min="352" max="352" width="12.625" style="1" customWidth="1"/>
    <col min="353" max="353" width="36.5" style="1" customWidth="1"/>
    <col min="354" max="354" width="3.375" style="1" customWidth="1"/>
    <col min="355" max="355" width="8" style="1" customWidth="1"/>
    <col min="356" max="356" width="5.625" style="1" customWidth="1"/>
    <col min="357" max="357" width="7.875" style="1" customWidth="1"/>
    <col min="358" max="358" width="6" style="1" customWidth="1"/>
    <col min="359" max="359" width="11.25" style="1" customWidth="1"/>
    <col min="360" max="512" width="9" style="1" customWidth="1"/>
    <col min="513" max="513" width="13.125" style="1" customWidth="1"/>
    <col min="514" max="514" width="10.875" style="1" customWidth="1"/>
    <col min="515" max="515" width="4.625" style="1" customWidth="1"/>
    <col min="516" max="516" width="7" style="1" customWidth="1"/>
    <col min="517" max="517" width="5.125" style="1" customWidth="1"/>
    <col min="518" max="522" width="3.25" style="1" customWidth="1"/>
    <col min="523" max="523" width="3.5" style="1" customWidth="1"/>
    <col min="524" max="525" width="3.25" style="1" customWidth="1"/>
    <col min="526" max="527" width="4.75" style="1" customWidth="1"/>
    <col min="528" max="528" width="5.25" style="1" customWidth="1"/>
    <col min="529" max="529" width="4.875" style="1" customWidth="1"/>
    <col min="530" max="530" width="7.875" style="1" customWidth="1"/>
    <col min="531" max="531" width="5.125" style="1" customWidth="1"/>
    <col min="532" max="532" width="5.5" style="1" customWidth="1"/>
    <col min="533" max="533" width="5.75" style="1" customWidth="1"/>
    <col min="534" max="534" width="7.875" style="1" customWidth="1"/>
    <col min="535" max="535" width="5.125" style="1" customWidth="1"/>
    <col min="536" max="536" width="4.625" style="1" customWidth="1"/>
    <col min="537" max="537" width="7.875" style="1" customWidth="1"/>
    <col min="538" max="538" width="6.125" style="1" customWidth="1"/>
    <col min="539" max="539" width="36.5" style="1" customWidth="1"/>
    <col min="540" max="540" width="29.25" style="1" customWidth="1"/>
    <col min="541" max="542" width="9.875" style="1" customWidth="1"/>
    <col min="543" max="543" width="9.25" style="1" customWidth="1"/>
    <col min="544" max="544" width="2.5" style="1" customWidth="1"/>
    <col min="545" max="545" width="3.25" style="1" customWidth="1"/>
    <col min="546" max="546" width="3.625" style="1" customWidth="1"/>
    <col min="547" max="547" width="3.375" style="1" customWidth="1"/>
    <col min="548" max="548" width="23.625" style="1" customWidth="1"/>
    <col min="549" max="549" width="8.25" style="1" customWidth="1"/>
    <col min="550" max="550" width="6.875" style="1" customWidth="1"/>
    <col min="551" max="551" width="6.375" style="1" customWidth="1"/>
    <col min="552" max="552" width="19.625" style="1" customWidth="1"/>
    <col min="553" max="553" width="51.375" style="1" customWidth="1"/>
    <col min="554" max="554" width="6.25" style="1" customWidth="1"/>
    <col min="555" max="555" width="2.625" style="1" customWidth="1"/>
    <col min="556" max="556" width="5.125" style="1" customWidth="1"/>
    <col min="557" max="557" width="27.375" style="1" customWidth="1"/>
    <col min="558" max="558" width="5.875" style="1" customWidth="1"/>
    <col min="559" max="559" width="3.75" style="1" customWidth="1"/>
    <col min="560" max="560" width="6.25" style="1" customWidth="1"/>
    <col min="561" max="561" width="6.875" style="1" customWidth="1"/>
    <col min="562" max="562" width="6.75" style="1" customWidth="1"/>
    <col min="563" max="563" width="5.875" style="1" customWidth="1"/>
    <col min="564" max="564" width="91.875" style="1" customWidth="1"/>
    <col min="565" max="565" width="131.25" style="1" customWidth="1"/>
    <col min="566" max="566" width="7" style="1" customWidth="1"/>
    <col min="567" max="567" width="7.875" style="1" customWidth="1"/>
    <col min="568" max="568" width="8.5" style="1" customWidth="1"/>
    <col min="569" max="569" width="4.75" style="1" customWidth="1"/>
    <col min="570" max="570" width="23.25" style="1" customWidth="1"/>
    <col min="571" max="571" width="6.875" style="1" customWidth="1"/>
    <col min="572" max="572" width="7.875" style="1" customWidth="1"/>
    <col min="573" max="573" width="7.75" style="1" customWidth="1"/>
    <col min="574" max="574" width="8" style="1" customWidth="1"/>
    <col min="575" max="575" width="4.625" style="1" customWidth="1"/>
    <col min="576" max="576" width="7.875" style="1" customWidth="1"/>
    <col min="577" max="577" width="4" style="1" customWidth="1"/>
    <col min="578" max="578" width="4.625" style="1" customWidth="1"/>
    <col min="579" max="588" width="4" style="1" customWidth="1"/>
    <col min="589" max="589" width="3.75" style="1" customWidth="1"/>
    <col min="590" max="590" width="4" style="1" customWidth="1"/>
    <col min="591" max="591" width="3.625" style="1" customWidth="1"/>
    <col min="592" max="592" width="9.875" style="1" customWidth="1"/>
    <col min="593" max="593" width="5" style="1" customWidth="1"/>
    <col min="594" max="594" width="7.125" style="1" customWidth="1"/>
    <col min="595" max="595" width="9.375" style="1" customWidth="1"/>
    <col min="596" max="596" width="10.25" style="1" customWidth="1"/>
    <col min="597" max="597" width="7.375" style="1" customWidth="1"/>
    <col min="598" max="598" width="47.375" style="1" customWidth="1"/>
    <col min="599" max="599" width="73.25" style="1" customWidth="1"/>
    <col min="600" max="600" width="26.625" style="1" customWidth="1"/>
    <col min="601" max="602" width="26.75" style="1" customWidth="1"/>
    <col min="603" max="603" width="6.375" style="1" customWidth="1"/>
    <col min="604" max="605" width="9.875" style="1" customWidth="1"/>
    <col min="606" max="606" width="26.5" style="1" customWidth="1"/>
    <col min="607" max="607" width="9.125" style="1" customWidth="1"/>
    <col min="608" max="608" width="12.625" style="1" customWidth="1"/>
    <col min="609" max="609" width="36.5" style="1" customWidth="1"/>
    <col min="610" max="610" width="3.375" style="1" customWidth="1"/>
    <col min="611" max="611" width="8" style="1" customWidth="1"/>
    <col min="612" max="612" width="5.625" style="1" customWidth="1"/>
    <col min="613" max="613" width="7.875" style="1" customWidth="1"/>
    <col min="614" max="614" width="6" style="1" customWidth="1"/>
    <col min="615" max="615" width="11.25" style="1" customWidth="1"/>
    <col min="616" max="768" width="9" style="1" customWidth="1"/>
    <col min="769" max="769" width="13.125" style="1" customWidth="1"/>
    <col min="770" max="770" width="10.875" style="1" customWidth="1"/>
    <col min="771" max="771" width="4.625" style="1" customWidth="1"/>
    <col min="772" max="772" width="7" style="1" customWidth="1"/>
    <col min="773" max="773" width="5.125" style="1" customWidth="1"/>
    <col min="774" max="778" width="3.25" style="1" customWidth="1"/>
    <col min="779" max="779" width="3.5" style="1" customWidth="1"/>
    <col min="780" max="781" width="3.25" style="1" customWidth="1"/>
    <col min="782" max="783" width="4.75" style="1" customWidth="1"/>
    <col min="784" max="784" width="5.25" style="1" customWidth="1"/>
    <col min="785" max="785" width="4.875" style="1" customWidth="1"/>
    <col min="786" max="786" width="7.875" style="1" customWidth="1"/>
    <col min="787" max="787" width="5.125" style="1" customWidth="1"/>
    <col min="788" max="788" width="5.5" style="1" customWidth="1"/>
    <col min="789" max="789" width="5.75" style="1" customWidth="1"/>
    <col min="790" max="790" width="7.875" style="1" customWidth="1"/>
    <col min="791" max="791" width="5.125" style="1" customWidth="1"/>
    <col min="792" max="792" width="4.625" style="1" customWidth="1"/>
    <col min="793" max="793" width="7.875" style="1" customWidth="1"/>
    <col min="794" max="794" width="6.125" style="1" customWidth="1"/>
    <col min="795" max="795" width="36.5" style="1" customWidth="1"/>
    <col min="796" max="796" width="29.25" style="1" customWidth="1"/>
    <col min="797" max="798" width="9.875" style="1" customWidth="1"/>
    <col min="799" max="799" width="9.25" style="1" customWidth="1"/>
    <col min="800" max="800" width="2.5" style="1" customWidth="1"/>
    <col min="801" max="801" width="3.25" style="1" customWidth="1"/>
    <col min="802" max="802" width="3.625" style="1" customWidth="1"/>
    <col min="803" max="803" width="3.375" style="1" customWidth="1"/>
    <col min="804" max="804" width="23.625" style="1" customWidth="1"/>
    <col min="805" max="805" width="8.25" style="1" customWidth="1"/>
    <col min="806" max="806" width="6.875" style="1" customWidth="1"/>
    <col min="807" max="807" width="6.375" style="1" customWidth="1"/>
    <col min="808" max="808" width="19.625" style="1" customWidth="1"/>
    <col min="809" max="809" width="51.375" style="1" customWidth="1"/>
    <col min="810" max="810" width="6.25" style="1" customWidth="1"/>
    <col min="811" max="811" width="2.625" style="1" customWidth="1"/>
    <col min="812" max="812" width="5.125" style="1" customWidth="1"/>
    <col min="813" max="813" width="27.375" style="1" customWidth="1"/>
    <col min="814" max="814" width="5.875" style="1" customWidth="1"/>
    <col min="815" max="815" width="3.75" style="1" customWidth="1"/>
    <col min="816" max="816" width="6.25" style="1" customWidth="1"/>
    <col min="817" max="817" width="6.875" style="1" customWidth="1"/>
    <col min="818" max="818" width="6.75" style="1" customWidth="1"/>
    <col min="819" max="819" width="5.875" style="1" customWidth="1"/>
    <col min="820" max="820" width="91.875" style="1" customWidth="1"/>
    <col min="821" max="821" width="131.25" style="1" customWidth="1"/>
    <col min="822" max="822" width="7" style="1" customWidth="1"/>
    <col min="823" max="823" width="7.875" style="1" customWidth="1"/>
    <col min="824" max="824" width="8.5" style="1" customWidth="1"/>
    <col min="825" max="825" width="4.75" style="1" customWidth="1"/>
    <col min="826" max="826" width="23.25" style="1" customWidth="1"/>
    <col min="827" max="827" width="6.875" style="1" customWidth="1"/>
    <col min="828" max="828" width="7.875" style="1" customWidth="1"/>
    <col min="829" max="829" width="7.75" style="1" customWidth="1"/>
    <col min="830" max="830" width="8" style="1" customWidth="1"/>
    <col min="831" max="831" width="4.625" style="1" customWidth="1"/>
    <col min="832" max="832" width="7.875" style="1" customWidth="1"/>
    <col min="833" max="833" width="4" style="1" customWidth="1"/>
    <col min="834" max="834" width="4.625" style="1" customWidth="1"/>
    <col min="835" max="844" width="4" style="1" customWidth="1"/>
    <col min="845" max="845" width="3.75" style="1" customWidth="1"/>
    <col min="846" max="846" width="4" style="1" customWidth="1"/>
    <col min="847" max="847" width="3.625" style="1" customWidth="1"/>
    <col min="848" max="848" width="9.875" style="1" customWidth="1"/>
    <col min="849" max="849" width="5" style="1" customWidth="1"/>
    <col min="850" max="850" width="7.125" style="1" customWidth="1"/>
    <col min="851" max="851" width="9.375" style="1" customWidth="1"/>
    <col min="852" max="852" width="10.25" style="1" customWidth="1"/>
    <col min="853" max="853" width="7.375" style="1" customWidth="1"/>
    <col min="854" max="854" width="47.375" style="1" customWidth="1"/>
    <col min="855" max="855" width="73.25" style="1" customWidth="1"/>
    <col min="856" max="856" width="26.625" style="1" customWidth="1"/>
    <col min="857" max="858" width="26.75" style="1" customWidth="1"/>
    <col min="859" max="859" width="6.375" style="1" customWidth="1"/>
    <col min="860" max="861" width="9.875" style="1" customWidth="1"/>
    <col min="862" max="862" width="26.5" style="1" customWidth="1"/>
    <col min="863" max="863" width="9.125" style="1" customWidth="1"/>
    <col min="864" max="864" width="12.625" style="1" customWidth="1"/>
    <col min="865" max="865" width="36.5" style="1" customWidth="1"/>
    <col min="866" max="866" width="3.375" style="1" customWidth="1"/>
    <col min="867" max="867" width="8" style="1" customWidth="1"/>
    <col min="868" max="868" width="5.625" style="1" customWidth="1"/>
    <col min="869" max="869" width="7.875" style="1" customWidth="1"/>
    <col min="870" max="870" width="6" style="1" customWidth="1"/>
    <col min="871" max="871" width="11.25" style="1" customWidth="1"/>
    <col min="872" max="1024" width="9" style="1" customWidth="1"/>
    <col min="1025" max="1025" width="13.125" style="1" customWidth="1"/>
    <col min="1026" max="1026" width="10.875" style="1" customWidth="1"/>
    <col min="1027" max="1027" width="4.625" style="1" customWidth="1"/>
    <col min="1028" max="1028" width="7" style="1" customWidth="1"/>
    <col min="1029" max="1029" width="5.125" style="1" customWidth="1"/>
    <col min="1030" max="1034" width="3.25" style="1" customWidth="1"/>
    <col min="1035" max="1035" width="3.5" style="1" customWidth="1"/>
    <col min="1036" max="1037" width="3.25" style="1" customWidth="1"/>
    <col min="1038" max="1039" width="4.75" style="1" customWidth="1"/>
    <col min="1040" max="1040" width="5.25" style="1" customWidth="1"/>
    <col min="1041" max="1041" width="4.875" style="1" customWidth="1"/>
    <col min="1042" max="1042" width="7.875" style="1" customWidth="1"/>
    <col min="1043" max="1043" width="5.125" style="1" customWidth="1"/>
    <col min="1044" max="1044" width="5.5" style="1" customWidth="1"/>
    <col min="1045" max="1045" width="5.75" style="1" customWidth="1"/>
    <col min="1046" max="1046" width="7.875" style="1" customWidth="1"/>
    <col min="1047" max="1047" width="5.125" style="1" customWidth="1"/>
    <col min="1048" max="1048" width="4.625" style="1" customWidth="1"/>
    <col min="1049" max="1049" width="7.875" style="1" customWidth="1"/>
    <col min="1050" max="1050" width="6.125" style="1" customWidth="1"/>
    <col min="1051" max="1051" width="36.5" style="1" customWidth="1"/>
    <col min="1052" max="1052" width="29.25" style="1" customWidth="1"/>
    <col min="1053" max="1054" width="9.875" style="1" customWidth="1"/>
    <col min="1055" max="1055" width="9.25" style="1" customWidth="1"/>
    <col min="1056" max="1056" width="2.5" style="1" customWidth="1"/>
    <col min="1057" max="1057" width="3.25" style="1" customWidth="1"/>
    <col min="1058" max="1058" width="3.625" style="1" customWidth="1"/>
    <col min="1059" max="1059" width="3.375" style="1" customWidth="1"/>
    <col min="1060" max="1060" width="23.625" style="1" customWidth="1"/>
    <col min="1061" max="1061" width="8.25" style="1" customWidth="1"/>
    <col min="1062" max="1062" width="6.875" style="1" customWidth="1"/>
    <col min="1063" max="1063" width="6.375" style="1" customWidth="1"/>
    <col min="1064" max="1064" width="19.625" style="1" customWidth="1"/>
    <col min="1065" max="1065" width="51.375" style="1" customWidth="1"/>
    <col min="1066" max="1066" width="6.25" style="1" customWidth="1"/>
    <col min="1067" max="1067" width="2.625" style="1" customWidth="1"/>
    <col min="1068" max="1068" width="5.125" style="1" customWidth="1"/>
    <col min="1069" max="1069" width="27.375" style="1" customWidth="1"/>
    <col min="1070" max="1070" width="5.875" style="1" customWidth="1"/>
    <col min="1071" max="1071" width="3.75" style="1" customWidth="1"/>
    <col min="1072" max="1072" width="6.25" style="1" customWidth="1"/>
    <col min="1073" max="1073" width="6.875" style="1" customWidth="1"/>
    <col min="1074" max="1074" width="6.75" style="1" customWidth="1"/>
    <col min="1075" max="1075" width="5.875" style="1" customWidth="1"/>
    <col min="1076" max="1076" width="91.875" style="1" customWidth="1"/>
    <col min="1077" max="1077" width="131.25" style="1" customWidth="1"/>
    <col min="1078" max="1078" width="7" style="1" customWidth="1"/>
    <col min="1079" max="1079" width="7.875" style="1" customWidth="1"/>
    <col min="1080" max="1080" width="8.5" style="1" customWidth="1"/>
    <col min="1081" max="1081" width="4.75" style="1" customWidth="1"/>
    <col min="1082" max="1082" width="23.25" style="1" customWidth="1"/>
    <col min="1083" max="1083" width="6.875" style="1" customWidth="1"/>
    <col min="1084" max="1084" width="7.875" style="1" customWidth="1"/>
    <col min="1085" max="1085" width="7.75" style="1" customWidth="1"/>
    <col min="1086" max="1086" width="8" style="1" customWidth="1"/>
    <col min="1087" max="1087" width="4.625" style="1" customWidth="1"/>
    <col min="1088" max="1088" width="7.875" style="1" customWidth="1"/>
    <col min="1089" max="1089" width="4" style="1" customWidth="1"/>
    <col min="1090" max="1090" width="4.625" style="1" customWidth="1"/>
    <col min="1091" max="1100" width="4" style="1" customWidth="1"/>
    <col min="1101" max="1101" width="3.75" style="1" customWidth="1"/>
    <col min="1102" max="1102" width="4" style="1" customWidth="1"/>
    <col min="1103" max="1103" width="3.625" style="1" customWidth="1"/>
    <col min="1104" max="1104" width="9.875" style="1" customWidth="1"/>
    <col min="1105" max="1105" width="5" style="1" customWidth="1"/>
    <col min="1106" max="1106" width="7.125" style="1" customWidth="1"/>
    <col min="1107" max="1107" width="9.375" style="1" customWidth="1"/>
    <col min="1108" max="1108" width="10.25" style="1" customWidth="1"/>
    <col min="1109" max="1109" width="7.375" style="1" customWidth="1"/>
    <col min="1110" max="1110" width="47.375" style="1" customWidth="1"/>
    <col min="1111" max="1111" width="73.25" style="1" customWidth="1"/>
    <col min="1112" max="1112" width="26.625" style="1" customWidth="1"/>
    <col min="1113" max="1114" width="26.75" style="1" customWidth="1"/>
    <col min="1115" max="1115" width="6.375" style="1" customWidth="1"/>
    <col min="1116" max="1117" width="9.875" style="1" customWidth="1"/>
    <col min="1118" max="1118" width="26.5" style="1" customWidth="1"/>
    <col min="1119" max="1119" width="9.125" style="1" customWidth="1"/>
    <col min="1120" max="1120" width="12.625" style="1" customWidth="1"/>
    <col min="1121" max="1121" width="36.5" style="1" customWidth="1"/>
    <col min="1122" max="1122" width="3.375" style="1" customWidth="1"/>
    <col min="1123" max="1123" width="8" style="1" customWidth="1"/>
    <col min="1124" max="1124" width="5.625" style="1" customWidth="1"/>
    <col min="1125" max="1125" width="7.875" style="1" customWidth="1"/>
    <col min="1126" max="1126" width="6" style="1" customWidth="1"/>
    <col min="1127" max="1127" width="11.25" style="1" customWidth="1"/>
    <col min="1128" max="1280" width="9" style="1" customWidth="1"/>
    <col min="1281" max="1281" width="13.125" style="1" customWidth="1"/>
    <col min="1282" max="1282" width="10.875" style="1" customWidth="1"/>
    <col min="1283" max="1283" width="4.625" style="1" customWidth="1"/>
    <col min="1284" max="1284" width="7" style="1" customWidth="1"/>
    <col min="1285" max="1285" width="5.125" style="1" customWidth="1"/>
    <col min="1286" max="1290" width="3.25" style="1" customWidth="1"/>
    <col min="1291" max="1291" width="3.5" style="1" customWidth="1"/>
    <col min="1292" max="1293" width="3.25" style="1" customWidth="1"/>
    <col min="1294" max="1295" width="4.75" style="1" customWidth="1"/>
    <col min="1296" max="1296" width="5.25" style="1" customWidth="1"/>
    <col min="1297" max="1297" width="4.875" style="1" customWidth="1"/>
    <col min="1298" max="1298" width="7.875" style="1" customWidth="1"/>
    <col min="1299" max="1299" width="5.125" style="1" customWidth="1"/>
    <col min="1300" max="1300" width="5.5" style="1" customWidth="1"/>
    <col min="1301" max="1301" width="5.75" style="1" customWidth="1"/>
    <col min="1302" max="1302" width="7.875" style="1" customWidth="1"/>
    <col min="1303" max="1303" width="5.125" style="1" customWidth="1"/>
    <col min="1304" max="1304" width="4.625" style="1" customWidth="1"/>
    <col min="1305" max="1305" width="7.875" style="1" customWidth="1"/>
    <col min="1306" max="1306" width="6.125" style="1" customWidth="1"/>
    <col min="1307" max="1307" width="36.5" style="1" customWidth="1"/>
    <col min="1308" max="1308" width="29.25" style="1" customWidth="1"/>
    <col min="1309" max="1310" width="9.875" style="1" customWidth="1"/>
    <col min="1311" max="1311" width="9.25" style="1" customWidth="1"/>
    <col min="1312" max="1312" width="2.5" style="1" customWidth="1"/>
    <col min="1313" max="1313" width="3.25" style="1" customWidth="1"/>
    <col min="1314" max="1314" width="3.625" style="1" customWidth="1"/>
    <col min="1315" max="1315" width="3.375" style="1" customWidth="1"/>
    <col min="1316" max="1316" width="23.625" style="1" customWidth="1"/>
    <col min="1317" max="1317" width="8.25" style="1" customWidth="1"/>
    <col min="1318" max="1318" width="6.875" style="1" customWidth="1"/>
    <col min="1319" max="1319" width="6.375" style="1" customWidth="1"/>
    <col min="1320" max="1320" width="19.625" style="1" customWidth="1"/>
    <col min="1321" max="1321" width="51.375" style="1" customWidth="1"/>
    <col min="1322" max="1322" width="6.25" style="1" customWidth="1"/>
    <col min="1323" max="1323" width="2.625" style="1" customWidth="1"/>
    <col min="1324" max="1324" width="5.125" style="1" customWidth="1"/>
    <col min="1325" max="1325" width="27.375" style="1" customWidth="1"/>
    <col min="1326" max="1326" width="5.875" style="1" customWidth="1"/>
    <col min="1327" max="1327" width="3.75" style="1" customWidth="1"/>
    <col min="1328" max="1328" width="6.25" style="1" customWidth="1"/>
    <col min="1329" max="1329" width="6.875" style="1" customWidth="1"/>
    <col min="1330" max="1330" width="6.75" style="1" customWidth="1"/>
    <col min="1331" max="1331" width="5.875" style="1" customWidth="1"/>
    <col min="1332" max="1332" width="91.875" style="1" customWidth="1"/>
    <col min="1333" max="1333" width="131.25" style="1" customWidth="1"/>
    <col min="1334" max="1334" width="7" style="1" customWidth="1"/>
    <col min="1335" max="1335" width="7.875" style="1" customWidth="1"/>
    <col min="1336" max="1336" width="8.5" style="1" customWidth="1"/>
    <col min="1337" max="1337" width="4.75" style="1" customWidth="1"/>
    <col min="1338" max="1338" width="23.25" style="1" customWidth="1"/>
    <col min="1339" max="1339" width="6.875" style="1" customWidth="1"/>
    <col min="1340" max="1340" width="7.875" style="1" customWidth="1"/>
    <col min="1341" max="1341" width="7.75" style="1" customWidth="1"/>
    <col min="1342" max="1342" width="8" style="1" customWidth="1"/>
    <col min="1343" max="1343" width="4.625" style="1" customWidth="1"/>
    <col min="1344" max="1344" width="7.875" style="1" customWidth="1"/>
    <col min="1345" max="1345" width="4" style="1" customWidth="1"/>
    <col min="1346" max="1346" width="4.625" style="1" customWidth="1"/>
    <col min="1347" max="1356" width="4" style="1" customWidth="1"/>
    <col min="1357" max="1357" width="3.75" style="1" customWidth="1"/>
    <col min="1358" max="1358" width="4" style="1" customWidth="1"/>
    <col min="1359" max="1359" width="3.625" style="1" customWidth="1"/>
    <col min="1360" max="1360" width="9.875" style="1" customWidth="1"/>
    <col min="1361" max="1361" width="5" style="1" customWidth="1"/>
    <col min="1362" max="1362" width="7.125" style="1" customWidth="1"/>
    <col min="1363" max="1363" width="9.375" style="1" customWidth="1"/>
    <col min="1364" max="1364" width="10.25" style="1" customWidth="1"/>
    <col min="1365" max="1365" width="7.375" style="1" customWidth="1"/>
    <col min="1366" max="1366" width="47.375" style="1" customWidth="1"/>
    <col min="1367" max="1367" width="73.25" style="1" customWidth="1"/>
    <col min="1368" max="1368" width="26.625" style="1" customWidth="1"/>
    <col min="1369" max="1370" width="26.75" style="1" customWidth="1"/>
    <col min="1371" max="1371" width="6.375" style="1" customWidth="1"/>
    <col min="1372" max="1373" width="9.875" style="1" customWidth="1"/>
    <col min="1374" max="1374" width="26.5" style="1" customWidth="1"/>
    <col min="1375" max="1375" width="9.125" style="1" customWidth="1"/>
    <col min="1376" max="1376" width="12.625" style="1" customWidth="1"/>
    <col min="1377" max="1377" width="36.5" style="1" customWidth="1"/>
    <col min="1378" max="1378" width="3.375" style="1" customWidth="1"/>
    <col min="1379" max="1379" width="8" style="1" customWidth="1"/>
    <col min="1380" max="1380" width="5.625" style="1" customWidth="1"/>
    <col min="1381" max="1381" width="7.875" style="1" customWidth="1"/>
    <col min="1382" max="1382" width="6" style="1" customWidth="1"/>
    <col min="1383" max="1383" width="11.25" style="1" customWidth="1"/>
    <col min="1384" max="1536" width="9" style="1" customWidth="1"/>
    <col min="1537" max="1537" width="13.125" style="1" customWidth="1"/>
    <col min="1538" max="1538" width="10.875" style="1" customWidth="1"/>
    <col min="1539" max="1539" width="4.625" style="1" customWidth="1"/>
    <col min="1540" max="1540" width="7" style="1" customWidth="1"/>
    <col min="1541" max="1541" width="5.125" style="1" customWidth="1"/>
    <col min="1542" max="1546" width="3.25" style="1" customWidth="1"/>
    <col min="1547" max="1547" width="3.5" style="1" customWidth="1"/>
    <col min="1548" max="1549" width="3.25" style="1" customWidth="1"/>
    <col min="1550" max="1551" width="4.75" style="1" customWidth="1"/>
    <col min="1552" max="1552" width="5.25" style="1" customWidth="1"/>
    <col min="1553" max="1553" width="4.875" style="1" customWidth="1"/>
    <col min="1554" max="1554" width="7.875" style="1" customWidth="1"/>
    <col min="1555" max="1555" width="5.125" style="1" customWidth="1"/>
    <col min="1556" max="1556" width="5.5" style="1" customWidth="1"/>
    <col min="1557" max="1557" width="5.75" style="1" customWidth="1"/>
    <col min="1558" max="1558" width="7.875" style="1" customWidth="1"/>
    <col min="1559" max="1559" width="5.125" style="1" customWidth="1"/>
    <col min="1560" max="1560" width="4.625" style="1" customWidth="1"/>
    <col min="1561" max="1561" width="7.875" style="1" customWidth="1"/>
    <col min="1562" max="1562" width="6.125" style="1" customWidth="1"/>
    <col min="1563" max="1563" width="36.5" style="1" customWidth="1"/>
    <col min="1564" max="1564" width="29.25" style="1" customWidth="1"/>
    <col min="1565" max="1566" width="9.875" style="1" customWidth="1"/>
    <col min="1567" max="1567" width="9.25" style="1" customWidth="1"/>
    <col min="1568" max="1568" width="2.5" style="1" customWidth="1"/>
    <col min="1569" max="1569" width="3.25" style="1" customWidth="1"/>
    <col min="1570" max="1570" width="3.625" style="1" customWidth="1"/>
    <col min="1571" max="1571" width="3.375" style="1" customWidth="1"/>
    <col min="1572" max="1572" width="23.625" style="1" customWidth="1"/>
    <col min="1573" max="1573" width="8.25" style="1" customWidth="1"/>
    <col min="1574" max="1574" width="6.875" style="1" customWidth="1"/>
    <col min="1575" max="1575" width="6.375" style="1" customWidth="1"/>
    <col min="1576" max="1576" width="19.625" style="1" customWidth="1"/>
    <col min="1577" max="1577" width="51.375" style="1" customWidth="1"/>
    <col min="1578" max="1578" width="6.25" style="1" customWidth="1"/>
    <col min="1579" max="1579" width="2.625" style="1" customWidth="1"/>
    <col min="1580" max="1580" width="5.125" style="1" customWidth="1"/>
    <col min="1581" max="1581" width="27.375" style="1" customWidth="1"/>
    <col min="1582" max="1582" width="5.875" style="1" customWidth="1"/>
    <col min="1583" max="1583" width="3.75" style="1" customWidth="1"/>
    <col min="1584" max="1584" width="6.25" style="1" customWidth="1"/>
    <col min="1585" max="1585" width="6.875" style="1" customWidth="1"/>
    <col min="1586" max="1586" width="6.75" style="1" customWidth="1"/>
    <col min="1587" max="1587" width="5.875" style="1" customWidth="1"/>
    <col min="1588" max="1588" width="91.875" style="1" customWidth="1"/>
    <col min="1589" max="1589" width="131.25" style="1" customWidth="1"/>
    <col min="1590" max="1590" width="7" style="1" customWidth="1"/>
    <col min="1591" max="1591" width="7.875" style="1" customWidth="1"/>
    <col min="1592" max="1592" width="8.5" style="1" customWidth="1"/>
    <col min="1593" max="1593" width="4.75" style="1" customWidth="1"/>
    <col min="1594" max="1594" width="23.25" style="1" customWidth="1"/>
    <col min="1595" max="1595" width="6.875" style="1" customWidth="1"/>
    <col min="1596" max="1596" width="7.875" style="1" customWidth="1"/>
    <col min="1597" max="1597" width="7.75" style="1" customWidth="1"/>
    <col min="1598" max="1598" width="8" style="1" customWidth="1"/>
    <col min="1599" max="1599" width="4.625" style="1" customWidth="1"/>
    <col min="1600" max="1600" width="7.875" style="1" customWidth="1"/>
    <col min="1601" max="1601" width="4" style="1" customWidth="1"/>
    <col min="1602" max="1602" width="4.625" style="1" customWidth="1"/>
    <col min="1603" max="1612" width="4" style="1" customWidth="1"/>
    <col min="1613" max="1613" width="3.75" style="1" customWidth="1"/>
    <col min="1614" max="1614" width="4" style="1" customWidth="1"/>
    <col min="1615" max="1615" width="3.625" style="1" customWidth="1"/>
    <col min="1616" max="1616" width="9.875" style="1" customWidth="1"/>
    <col min="1617" max="1617" width="5" style="1" customWidth="1"/>
    <col min="1618" max="1618" width="7.125" style="1" customWidth="1"/>
    <col min="1619" max="1619" width="9.375" style="1" customWidth="1"/>
    <col min="1620" max="1620" width="10.25" style="1" customWidth="1"/>
    <col min="1621" max="1621" width="7.375" style="1" customWidth="1"/>
    <col min="1622" max="1622" width="47.375" style="1" customWidth="1"/>
    <col min="1623" max="1623" width="73.25" style="1" customWidth="1"/>
    <col min="1624" max="1624" width="26.625" style="1" customWidth="1"/>
    <col min="1625" max="1626" width="26.75" style="1" customWidth="1"/>
    <col min="1627" max="1627" width="6.375" style="1" customWidth="1"/>
    <col min="1628" max="1629" width="9.875" style="1" customWidth="1"/>
    <col min="1630" max="1630" width="26.5" style="1" customWidth="1"/>
    <col min="1631" max="1631" width="9.125" style="1" customWidth="1"/>
    <col min="1632" max="1632" width="12.625" style="1" customWidth="1"/>
    <col min="1633" max="1633" width="36.5" style="1" customWidth="1"/>
    <col min="1634" max="1634" width="3.375" style="1" customWidth="1"/>
    <col min="1635" max="1635" width="8" style="1" customWidth="1"/>
    <col min="1636" max="1636" width="5.625" style="1" customWidth="1"/>
    <col min="1637" max="1637" width="7.875" style="1" customWidth="1"/>
    <col min="1638" max="1638" width="6" style="1" customWidth="1"/>
    <col min="1639" max="1639" width="11.25" style="1" customWidth="1"/>
    <col min="1640" max="1792" width="9" style="1" customWidth="1"/>
    <col min="1793" max="1793" width="13.125" style="1" customWidth="1"/>
    <col min="1794" max="1794" width="10.875" style="1" customWidth="1"/>
    <col min="1795" max="1795" width="4.625" style="1" customWidth="1"/>
    <col min="1796" max="1796" width="7" style="1" customWidth="1"/>
    <col min="1797" max="1797" width="5.125" style="1" customWidth="1"/>
    <col min="1798" max="1802" width="3.25" style="1" customWidth="1"/>
    <col min="1803" max="1803" width="3.5" style="1" customWidth="1"/>
    <col min="1804" max="1805" width="3.25" style="1" customWidth="1"/>
    <col min="1806" max="1807" width="4.75" style="1" customWidth="1"/>
    <col min="1808" max="1808" width="5.25" style="1" customWidth="1"/>
    <col min="1809" max="1809" width="4.875" style="1" customWidth="1"/>
    <col min="1810" max="1810" width="7.875" style="1" customWidth="1"/>
    <col min="1811" max="1811" width="5.125" style="1" customWidth="1"/>
    <col min="1812" max="1812" width="5.5" style="1" customWidth="1"/>
    <col min="1813" max="1813" width="5.75" style="1" customWidth="1"/>
    <col min="1814" max="1814" width="7.875" style="1" customWidth="1"/>
    <col min="1815" max="1815" width="5.125" style="1" customWidth="1"/>
    <col min="1816" max="1816" width="4.625" style="1" customWidth="1"/>
    <col min="1817" max="1817" width="7.875" style="1" customWidth="1"/>
    <col min="1818" max="1818" width="6.125" style="1" customWidth="1"/>
    <col min="1819" max="1819" width="36.5" style="1" customWidth="1"/>
    <col min="1820" max="1820" width="29.25" style="1" customWidth="1"/>
    <col min="1821" max="1822" width="9.875" style="1" customWidth="1"/>
    <col min="1823" max="1823" width="9.25" style="1" customWidth="1"/>
    <col min="1824" max="1824" width="2.5" style="1" customWidth="1"/>
    <col min="1825" max="1825" width="3.25" style="1" customWidth="1"/>
    <col min="1826" max="1826" width="3.625" style="1" customWidth="1"/>
    <col min="1827" max="1827" width="3.375" style="1" customWidth="1"/>
    <col min="1828" max="1828" width="23.625" style="1" customWidth="1"/>
    <col min="1829" max="1829" width="8.25" style="1" customWidth="1"/>
    <col min="1830" max="1830" width="6.875" style="1" customWidth="1"/>
    <col min="1831" max="1831" width="6.375" style="1" customWidth="1"/>
    <col min="1832" max="1832" width="19.625" style="1" customWidth="1"/>
    <col min="1833" max="1833" width="51.375" style="1" customWidth="1"/>
    <col min="1834" max="1834" width="6.25" style="1" customWidth="1"/>
    <col min="1835" max="1835" width="2.625" style="1" customWidth="1"/>
    <col min="1836" max="1836" width="5.125" style="1" customWidth="1"/>
    <col min="1837" max="1837" width="27.375" style="1" customWidth="1"/>
    <col min="1838" max="1838" width="5.875" style="1" customWidth="1"/>
    <col min="1839" max="1839" width="3.75" style="1" customWidth="1"/>
    <col min="1840" max="1840" width="6.25" style="1" customWidth="1"/>
    <col min="1841" max="1841" width="6.875" style="1" customWidth="1"/>
    <col min="1842" max="1842" width="6.75" style="1" customWidth="1"/>
    <col min="1843" max="1843" width="5.875" style="1" customWidth="1"/>
    <col min="1844" max="1844" width="91.875" style="1" customWidth="1"/>
    <col min="1845" max="1845" width="131.25" style="1" customWidth="1"/>
    <col min="1846" max="1846" width="7" style="1" customWidth="1"/>
    <col min="1847" max="1847" width="7.875" style="1" customWidth="1"/>
    <col min="1848" max="1848" width="8.5" style="1" customWidth="1"/>
    <col min="1849" max="1849" width="4.75" style="1" customWidth="1"/>
    <col min="1850" max="1850" width="23.25" style="1" customWidth="1"/>
    <col min="1851" max="1851" width="6.875" style="1" customWidth="1"/>
    <col min="1852" max="1852" width="7.875" style="1" customWidth="1"/>
    <col min="1853" max="1853" width="7.75" style="1" customWidth="1"/>
    <col min="1854" max="1854" width="8" style="1" customWidth="1"/>
    <col min="1855" max="1855" width="4.625" style="1" customWidth="1"/>
    <col min="1856" max="1856" width="7.875" style="1" customWidth="1"/>
    <col min="1857" max="1857" width="4" style="1" customWidth="1"/>
    <col min="1858" max="1858" width="4.625" style="1" customWidth="1"/>
    <col min="1859" max="1868" width="4" style="1" customWidth="1"/>
    <col min="1869" max="1869" width="3.75" style="1" customWidth="1"/>
    <col min="1870" max="1870" width="4" style="1" customWidth="1"/>
    <col min="1871" max="1871" width="3.625" style="1" customWidth="1"/>
    <col min="1872" max="1872" width="9.875" style="1" customWidth="1"/>
    <col min="1873" max="1873" width="5" style="1" customWidth="1"/>
    <col min="1874" max="1874" width="7.125" style="1" customWidth="1"/>
    <col min="1875" max="1875" width="9.375" style="1" customWidth="1"/>
    <col min="1876" max="1876" width="10.25" style="1" customWidth="1"/>
    <col min="1877" max="1877" width="7.375" style="1" customWidth="1"/>
    <col min="1878" max="1878" width="47.375" style="1" customWidth="1"/>
    <col min="1879" max="1879" width="73.25" style="1" customWidth="1"/>
    <col min="1880" max="1880" width="26.625" style="1" customWidth="1"/>
    <col min="1881" max="1882" width="26.75" style="1" customWidth="1"/>
    <col min="1883" max="1883" width="6.375" style="1" customWidth="1"/>
    <col min="1884" max="1885" width="9.875" style="1" customWidth="1"/>
    <col min="1886" max="1886" width="26.5" style="1" customWidth="1"/>
    <col min="1887" max="1887" width="9.125" style="1" customWidth="1"/>
    <col min="1888" max="1888" width="12.625" style="1" customWidth="1"/>
    <col min="1889" max="1889" width="36.5" style="1" customWidth="1"/>
    <col min="1890" max="1890" width="3.375" style="1" customWidth="1"/>
    <col min="1891" max="1891" width="8" style="1" customWidth="1"/>
    <col min="1892" max="1892" width="5.625" style="1" customWidth="1"/>
    <col min="1893" max="1893" width="7.875" style="1" customWidth="1"/>
    <col min="1894" max="1894" width="6" style="1" customWidth="1"/>
    <col min="1895" max="1895" width="11.25" style="1" customWidth="1"/>
    <col min="1896" max="2048" width="9" style="1" customWidth="1"/>
    <col min="2049" max="2049" width="13.125" style="1" customWidth="1"/>
    <col min="2050" max="2050" width="10.875" style="1" customWidth="1"/>
    <col min="2051" max="2051" width="4.625" style="1" customWidth="1"/>
    <col min="2052" max="2052" width="7" style="1" customWidth="1"/>
    <col min="2053" max="2053" width="5.125" style="1" customWidth="1"/>
    <col min="2054" max="2058" width="3.25" style="1" customWidth="1"/>
    <col min="2059" max="2059" width="3.5" style="1" customWidth="1"/>
    <col min="2060" max="2061" width="3.25" style="1" customWidth="1"/>
    <col min="2062" max="2063" width="4.75" style="1" customWidth="1"/>
    <col min="2064" max="2064" width="5.25" style="1" customWidth="1"/>
    <col min="2065" max="2065" width="4.875" style="1" customWidth="1"/>
    <col min="2066" max="2066" width="7.875" style="1" customWidth="1"/>
    <col min="2067" max="2067" width="5.125" style="1" customWidth="1"/>
    <col min="2068" max="2068" width="5.5" style="1" customWidth="1"/>
    <col min="2069" max="2069" width="5.75" style="1" customWidth="1"/>
    <col min="2070" max="2070" width="7.875" style="1" customWidth="1"/>
    <col min="2071" max="2071" width="5.125" style="1" customWidth="1"/>
    <col min="2072" max="2072" width="4.625" style="1" customWidth="1"/>
    <col min="2073" max="2073" width="7.875" style="1" customWidth="1"/>
    <col min="2074" max="2074" width="6.125" style="1" customWidth="1"/>
    <col min="2075" max="2075" width="36.5" style="1" customWidth="1"/>
    <col min="2076" max="2076" width="29.25" style="1" customWidth="1"/>
    <col min="2077" max="2078" width="9.875" style="1" customWidth="1"/>
    <col min="2079" max="2079" width="9.25" style="1" customWidth="1"/>
    <col min="2080" max="2080" width="2.5" style="1" customWidth="1"/>
    <col min="2081" max="2081" width="3.25" style="1" customWidth="1"/>
    <col min="2082" max="2082" width="3.625" style="1" customWidth="1"/>
    <col min="2083" max="2083" width="3.375" style="1" customWidth="1"/>
    <col min="2084" max="2084" width="23.625" style="1" customWidth="1"/>
    <col min="2085" max="2085" width="8.25" style="1" customWidth="1"/>
    <col min="2086" max="2086" width="6.875" style="1" customWidth="1"/>
    <col min="2087" max="2087" width="6.375" style="1" customWidth="1"/>
    <col min="2088" max="2088" width="19.625" style="1" customWidth="1"/>
    <col min="2089" max="2089" width="51.375" style="1" customWidth="1"/>
    <col min="2090" max="2090" width="6.25" style="1" customWidth="1"/>
    <col min="2091" max="2091" width="2.625" style="1" customWidth="1"/>
    <col min="2092" max="2092" width="5.125" style="1" customWidth="1"/>
    <col min="2093" max="2093" width="27.375" style="1" customWidth="1"/>
    <col min="2094" max="2094" width="5.875" style="1" customWidth="1"/>
    <col min="2095" max="2095" width="3.75" style="1" customWidth="1"/>
    <col min="2096" max="2096" width="6.25" style="1" customWidth="1"/>
    <col min="2097" max="2097" width="6.875" style="1" customWidth="1"/>
    <col min="2098" max="2098" width="6.75" style="1" customWidth="1"/>
    <col min="2099" max="2099" width="5.875" style="1" customWidth="1"/>
    <col min="2100" max="2100" width="91.875" style="1" customWidth="1"/>
    <col min="2101" max="2101" width="131.25" style="1" customWidth="1"/>
    <col min="2102" max="2102" width="7" style="1" customWidth="1"/>
    <col min="2103" max="2103" width="7.875" style="1" customWidth="1"/>
    <col min="2104" max="2104" width="8.5" style="1" customWidth="1"/>
    <col min="2105" max="2105" width="4.75" style="1" customWidth="1"/>
    <col min="2106" max="2106" width="23.25" style="1" customWidth="1"/>
    <col min="2107" max="2107" width="6.875" style="1" customWidth="1"/>
    <col min="2108" max="2108" width="7.875" style="1" customWidth="1"/>
    <col min="2109" max="2109" width="7.75" style="1" customWidth="1"/>
    <col min="2110" max="2110" width="8" style="1" customWidth="1"/>
    <col min="2111" max="2111" width="4.625" style="1" customWidth="1"/>
    <col min="2112" max="2112" width="7.875" style="1" customWidth="1"/>
    <col min="2113" max="2113" width="4" style="1" customWidth="1"/>
    <col min="2114" max="2114" width="4.625" style="1" customWidth="1"/>
    <col min="2115" max="2124" width="4" style="1" customWidth="1"/>
    <col min="2125" max="2125" width="3.75" style="1" customWidth="1"/>
    <col min="2126" max="2126" width="4" style="1" customWidth="1"/>
    <col min="2127" max="2127" width="3.625" style="1" customWidth="1"/>
    <col min="2128" max="2128" width="9.875" style="1" customWidth="1"/>
    <col min="2129" max="2129" width="5" style="1" customWidth="1"/>
    <col min="2130" max="2130" width="7.125" style="1" customWidth="1"/>
    <col min="2131" max="2131" width="9.375" style="1" customWidth="1"/>
    <col min="2132" max="2132" width="10.25" style="1" customWidth="1"/>
    <col min="2133" max="2133" width="7.375" style="1" customWidth="1"/>
    <col min="2134" max="2134" width="47.375" style="1" customWidth="1"/>
    <col min="2135" max="2135" width="73.25" style="1" customWidth="1"/>
    <col min="2136" max="2136" width="26.625" style="1" customWidth="1"/>
    <col min="2137" max="2138" width="26.75" style="1" customWidth="1"/>
    <col min="2139" max="2139" width="6.375" style="1" customWidth="1"/>
    <col min="2140" max="2141" width="9.875" style="1" customWidth="1"/>
    <col min="2142" max="2142" width="26.5" style="1" customWidth="1"/>
    <col min="2143" max="2143" width="9.125" style="1" customWidth="1"/>
    <col min="2144" max="2144" width="12.625" style="1" customWidth="1"/>
    <col min="2145" max="2145" width="36.5" style="1" customWidth="1"/>
    <col min="2146" max="2146" width="3.375" style="1" customWidth="1"/>
    <col min="2147" max="2147" width="8" style="1" customWidth="1"/>
    <col min="2148" max="2148" width="5.625" style="1" customWidth="1"/>
    <col min="2149" max="2149" width="7.875" style="1" customWidth="1"/>
    <col min="2150" max="2150" width="6" style="1" customWidth="1"/>
    <col min="2151" max="2151" width="11.25" style="1" customWidth="1"/>
    <col min="2152" max="2304" width="9" style="1" customWidth="1"/>
    <col min="2305" max="2305" width="13.125" style="1" customWidth="1"/>
    <col min="2306" max="2306" width="10.875" style="1" customWidth="1"/>
    <col min="2307" max="2307" width="4.625" style="1" customWidth="1"/>
    <col min="2308" max="2308" width="7" style="1" customWidth="1"/>
    <col min="2309" max="2309" width="5.125" style="1" customWidth="1"/>
    <col min="2310" max="2314" width="3.25" style="1" customWidth="1"/>
    <col min="2315" max="2315" width="3.5" style="1" customWidth="1"/>
    <col min="2316" max="2317" width="3.25" style="1" customWidth="1"/>
    <col min="2318" max="2319" width="4.75" style="1" customWidth="1"/>
    <col min="2320" max="2320" width="5.25" style="1" customWidth="1"/>
    <col min="2321" max="2321" width="4.875" style="1" customWidth="1"/>
    <col min="2322" max="2322" width="7.875" style="1" customWidth="1"/>
    <col min="2323" max="2323" width="5.125" style="1" customWidth="1"/>
    <col min="2324" max="2324" width="5.5" style="1" customWidth="1"/>
    <col min="2325" max="2325" width="5.75" style="1" customWidth="1"/>
    <col min="2326" max="2326" width="7.875" style="1" customWidth="1"/>
    <col min="2327" max="2327" width="5.125" style="1" customWidth="1"/>
    <col min="2328" max="2328" width="4.625" style="1" customWidth="1"/>
    <col min="2329" max="2329" width="7.875" style="1" customWidth="1"/>
    <col min="2330" max="2330" width="6.125" style="1" customWidth="1"/>
    <col min="2331" max="2331" width="36.5" style="1" customWidth="1"/>
    <col min="2332" max="2332" width="29.25" style="1" customWidth="1"/>
    <col min="2333" max="2334" width="9.875" style="1" customWidth="1"/>
    <col min="2335" max="2335" width="9.25" style="1" customWidth="1"/>
    <col min="2336" max="2336" width="2.5" style="1" customWidth="1"/>
    <col min="2337" max="2337" width="3.25" style="1" customWidth="1"/>
    <col min="2338" max="2338" width="3.625" style="1" customWidth="1"/>
    <col min="2339" max="2339" width="3.375" style="1" customWidth="1"/>
    <col min="2340" max="2340" width="23.625" style="1" customWidth="1"/>
    <col min="2341" max="2341" width="8.25" style="1" customWidth="1"/>
    <col min="2342" max="2342" width="6.875" style="1" customWidth="1"/>
    <col min="2343" max="2343" width="6.375" style="1" customWidth="1"/>
    <col min="2344" max="2344" width="19.625" style="1" customWidth="1"/>
    <col min="2345" max="2345" width="51.375" style="1" customWidth="1"/>
    <col min="2346" max="2346" width="6.25" style="1" customWidth="1"/>
    <col min="2347" max="2347" width="2.625" style="1" customWidth="1"/>
    <col min="2348" max="2348" width="5.125" style="1" customWidth="1"/>
    <col min="2349" max="2349" width="27.375" style="1" customWidth="1"/>
    <col min="2350" max="2350" width="5.875" style="1" customWidth="1"/>
    <col min="2351" max="2351" width="3.75" style="1" customWidth="1"/>
    <col min="2352" max="2352" width="6.25" style="1" customWidth="1"/>
    <col min="2353" max="2353" width="6.875" style="1" customWidth="1"/>
    <col min="2354" max="2354" width="6.75" style="1" customWidth="1"/>
    <col min="2355" max="2355" width="5.875" style="1" customWidth="1"/>
    <col min="2356" max="2356" width="91.875" style="1" customWidth="1"/>
    <col min="2357" max="2357" width="131.25" style="1" customWidth="1"/>
    <col min="2358" max="2358" width="7" style="1" customWidth="1"/>
    <col min="2359" max="2359" width="7.875" style="1" customWidth="1"/>
    <col min="2360" max="2360" width="8.5" style="1" customWidth="1"/>
    <col min="2361" max="2361" width="4.75" style="1" customWidth="1"/>
    <col min="2362" max="2362" width="23.25" style="1" customWidth="1"/>
    <col min="2363" max="2363" width="6.875" style="1" customWidth="1"/>
    <col min="2364" max="2364" width="7.875" style="1" customWidth="1"/>
    <col min="2365" max="2365" width="7.75" style="1" customWidth="1"/>
    <col min="2366" max="2366" width="8" style="1" customWidth="1"/>
    <col min="2367" max="2367" width="4.625" style="1" customWidth="1"/>
    <col min="2368" max="2368" width="7.875" style="1" customWidth="1"/>
    <col min="2369" max="2369" width="4" style="1" customWidth="1"/>
    <col min="2370" max="2370" width="4.625" style="1" customWidth="1"/>
    <col min="2371" max="2380" width="4" style="1" customWidth="1"/>
    <col min="2381" max="2381" width="3.75" style="1" customWidth="1"/>
    <col min="2382" max="2382" width="4" style="1" customWidth="1"/>
    <col min="2383" max="2383" width="3.625" style="1" customWidth="1"/>
    <col min="2384" max="2384" width="9.875" style="1" customWidth="1"/>
    <col min="2385" max="2385" width="5" style="1" customWidth="1"/>
    <col min="2386" max="2386" width="7.125" style="1" customWidth="1"/>
    <col min="2387" max="2387" width="9.375" style="1" customWidth="1"/>
    <col min="2388" max="2388" width="10.25" style="1" customWidth="1"/>
    <col min="2389" max="2389" width="7.375" style="1" customWidth="1"/>
    <col min="2390" max="2390" width="47.375" style="1" customWidth="1"/>
    <col min="2391" max="2391" width="73.25" style="1" customWidth="1"/>
    <col min="2392" max="2392" width="26.625" style="1" customWidth="1"/>
    <col min="2393" max="2394" width="26.75" style="1" customWidth="1"/>
    <col min="2395" max="2395" width="6.375" style="1" customWidth="1"/>
    <col min="2396" max="2397" width="9.875" style="1" customWidth="1"/>
    <col min="2398" max="2398" width="26.5" style="1" customWidth="1"/>
    <col min="2399" max="2399" width="9.125" style="1" customWidth="1"/>
    <col min="2400" max="2400" width="12.625" style="1" customWidth="1"/>
    <col min="2401" max="2401" width="36.5" style="1" customWidth="1"/>
    <col min="2402" max="2402" width="3.375" style="1" customWidth="1"/>
    <col min="2403" max="2403" width="8" style="1" customWidth="1"/>
    <col min="2404" max="2404" width="5.625" style="1" customWidth="1"/>
    <col min="2405" max="2405" width="7.875" style="1" customWidth="1"/>
    <col min="2406" max="2406" width="6" style="1" customWidth="1"/>
    <col min="2407" max="2407" width="11.25" style="1" customWidth="1"/>
    <col min="2408" max="2560" width="9" style="1" customWidth="1"/>
    <col min="2561" max="2561" width="13.125" style="1" customWidth="1"/>
    <col min="2562" max="2562" width="10.875" style="1" customWidth="1"/>
    <col min="2563" max="2563" width="4.625" style="1" customWidth="1"/>
    <col min="2564" max="2564" width="7" style="1" customWidth="1"/>
    <col min="2565" max="2565" width="5.125" style="1" customWidth="1"/>
    <col min="2566" max="2570" width="3.25" style="1" customWidth="1"/>
    <col min="2571" max="2571" width="3.5" style="1" customWidth="1"/>
    <col min="2572" max="2573" width="3.25" style="1" customWidth="1"/>
    <col min="2574" max="2575" width="4.75" style="1" customWidth="1"/>
    <col min="2576" max="2576" width="5.25" style="1" customWidth="1"/>
    <col min="2577" max="2577" width="4.875" style="1" customWidth="1"/>
    <col min="2578" max="2578" width="7.875" style="1" customWidth="1"/>
    <col min="2579" max="2579" width="5.125" style="1" customWidth="1"/>
    <col min="2580" max="2580" width="5.5" style="1" customWidth="1"/>
    <col min="2581" max="2581" width="5.75" style="1" customWidth="1"/>
    <col min="2582" max="2582" width="7.875" style="1" customWidth="1"/>
    <col min="2583" max="2583" width="5.125" style="1" customWidth="1"/>
    <col min="2584" max="2584" width="4.625" style="1" customWidth="1"/>
    <col min="2585" max="2585" width="7.875" style="1" customWidth="1"/>
    <col min="2586" max="2586" width="6.125" style="1" customWidth="1"/>
    <col min="2587" max="2587" width="36.5" style="1" customWidth="1"/>
    <col min="2588" max="2588" width="29.25" style="1" customWidth="1"/>
    <col min="2589" max="2590" width="9.875" style="1" customWidth="1"/>
    <col min="2591" max="2591" width="9.25" style="1" customWidth="1"/>
    <col min="2592" max="2592" width="2.5" style="1" customWidth="1"/>
    <col min="2593" max="2593" width="3.25" style="1" customWidth="1"/>
    <col min="2594" max="2594" width="3.625" style="1" customWidth="1"/>
    <col min="2595" max="2595" width="3.375" style="1" customWidth="1"/>
    <col min="2596" max="2596" width="23.625" style="1" customWidth="1"/>
    <col min="2597" max="2597" width="8.25" style="1" customWidth="1"/>
    <col min="2598" max="2598" width="6.875" style="1" customWidth="1"/>
    <col min="2599" max="2599" width="6.375" style="1" customWidth="1"/>
    <col min="2600" max="2600" width="19.625" style="1" customWidth="1"/>
    <col min="2601" max="2601" width="51.375" style="1" customWidth="1"/>
    <col min="2602" max="2602" width="6.25" style="1" customWidth="1"/>
    <col min="2603" max="2603" width="2.625" style="1" customWidth="1"/>
    <col min="2604" max="2604" width="5.125" style="1" customWidth="1"/>
    <col min="2605" max="2605" width="27.375" style="1" customWidth="1"/>
    <col min="2606" max="2606" width="5.875" style="1" customWidth="1"/>
    <col min="2607" max="2607" width="3.75" style="1" customWidth="1"/>
    <col min="2608" max="2608" width="6.25" style="1" customWidth="1"/>
    <col min="2609" max="2609" width="6.875" style="1" customWidth="1"/>
    <col min="2610" max="2610" width="6.75" style="1" customWidth="1"/>
    <col min="2611" max="2611" width="5.875" style="1" customWidth="1"/>
    <col min="2612" max="2612" width="91.875" style="1" customWidth="1"/>
    <col min="2613" max="2613" width="131.25" style="1" customWidth="1"/>
    <col min="2614" max="2614" width="7" style="1" customWidth="1"/>
    <col min="2615" max="2615" width="7.875" style="1" customWidth="1"/>
    <col min="2616" max="2616" width="8.5" style="1" customWidth="1"/>
    <col min="2617" max="2617" width="4.75" style="1" customWidth="1"/>
    <col min="2618" max="2618" width="23.25" style="1" customWidth="1"/>
    <col min="2619" max="2619" width="6.875" style="1" customWidth="1"/>
    <col min="2620" max="2620" width="7.875" style="1" customWidth="1"/>
    <col min="2621" max="2621" width="7.75" style="1" customWidth="1"/>
    <col min="2622" max="2622" width="8" style="1" customWidth="1"/>
    <col min="2623" max="2623" width="4.625" style="1" customWidth="1"/>
    <col min="2624" max="2624" width="7.875" style="1" customWidth="1"/>
    <col min="2625" max="2625" width="4" style="1" customWidth="1"/>
    <col min="2626" max="2626" width="4.625" style="1" customWidth="1"/>
    <col min="2627" max="2636" width="4" style="1" customWidth="1"/>
    <col min="2637" max="2637" width="3.75" style="1" customWidth="1"/>
    <col min="2638" max="2638" width="4" style="1" customWidth="1"/>
    <col min="2639" max="2639" width="3.625" style="1" customWidth="1"/>
    <col min="2640" max="2640" width="9.875" style="1" customWidth="1"/>
    <col min="2641" max="2641" width="5" style="1" customWidth="1"/>
    <col min="2642" max="2642" width="7.125" style="1" customWidth="1"/>
    <col min="2643" max="2643" width="9.375" style="1" customWidth="1"/>
    <col min="2644" max="2644" width="10.25" style="1" customWidth="1"/>
    <col min="2645" max="2645" width="7.375" style="1" customWidth="1"/>
    <col min="2646" max="2646" width="47.375" style="1" customWidth="1"/>
    <col min="2647" max="2647" width="73.25" style="1" customWidth="1"/>
    <col min="2648" max="2648" width="26.625" style="1" customWidth="1"/>
    <col min="2649" max="2650" width="26.75" style="1" customWidth="1"/>
    <col min="2651" max="2651" width="6.375" style="1" customWidth="1"/>
    <col min="2652" max="2653" width="9.875" style="1" customWidth="1"/>
    <col min="2654" max="2654" width="26.5" style="1" customWidth="1"/>
    <col min="2655" max="2655" width="9.125" style="1" customWidth="1"/>
    <col min="2656" max="2656" width="12.625" style="1" customWidth="1"/>
    <col min="2657" max="2657" width="36.5" style="1" customWidth="1"/>
    <col min="2658" max="2658" width="3.375" style="1" customWidth="1"/>
    <col min="2659" max="2659" width="8" style="1" customWidth="1"/>
    <col min="2660" max="2660" width="5.625" style="1" customWidth="1"/>
    <col min="2661" max="2661" width="7.875" style="1" customWidth="1"/>
    <col min="2662" max="2662" width="6" style="1" customWidth="1"/>
    <col min="2663" max="2663" width="11.25" style="1" customWidth="1"/>
    <col min="2664" max="2816" width="9" style="1" customWidth="1"/>
    <col min="2817" max="2817" width="13.125" style="1" customWidth="1"/>
    <col min="2818" max="2818" width="10.875" style="1" customWidth="1"/>
    <col min="2819" max="2819" width="4.625" style="1" customWidth="1"/>
    <col min="2820" max="2820" width="7" style="1" customWidth="1"/>
    <col min="2821" max="2821" width="5.125" style="1" customWidth="1"/>
    <col min="2822" max="2826" width="3.25" style="1" customWidth="1"/>
    <col min="2827" max="2827" width="3.5" style="1" customWidth="1"/>
    <col min="2828" max="2829" width="3.25" style="1" customWidth="1"/>
    <col min="2830" max="2831" width="4.75" style="1" customWidth="1"/>
    <col min="2832" max="2832" width="5.25" style="1" customWidth="1"/>
    <col min="2833" max="2833" width="4.875" style="1" customWidth="1"/>
    <col min="2834" max="2834" width="7.875" style="1" customWidth="1"/>
    <col min="2835" max="2835" width="5.125" style="1" customWidth="1"/>
    <col min="2836" max="2836" width="5.5" style="1" customWidth="1"/>
    <col min="2837" max="2837" width="5.75" style="1" customWidth="1"/>
    <col min="2838" max="2838" width="7.875" style="1" customWidth="1"/>
    <col min="2839" max="2839" width="5.125" style="1" customWidth="1"/>
    <col min="2840" max="2840" width="4.625" style="1" customWidth="1"/>
    <col min="2841" max="2841" width="7.875" style="1" customWidth="1"/>
    <col min="2842" max="2842" width="6.125" style="1" customWidth="1"/>
    <col min="2843" max="2843" width="36.5" style="1" customWidth="1"/>
    <col min="2844" max="2844" width="29.25" style="1" customWidth="1"/>
    <col min="2845" max="2846" width="9.875" style="1" customWidth="1"/>
    <col min="2847" max="2847" width="9.25" style="1" customWidth="1"/>
    <col min="2848" max="2848" width="2.5" style="1" customWidth="1"/>
    <col min="2849" max="2849" width="3.25" style="1" customWidth="1"/>
    <col min="2850" max="2850" width="3.625" style="1" customWidth="1"/>
    <col min="2851" max="2851" width="3.375" style="1" customWidth="1"/>
    <col min="2852" max="2852" width="23.625" style="1" customWidth="1"/>
    <col min="2853" max="2853" width="8.25" style="1" customWidth="1"/>
    <col min="2854" max="2854" width="6.875" style="1" customWidth="1"/>
    <col min="2855" max="2855" width="6.375" style="1" customWidth="1"/>
    <col min="2856" max="2856" width="19.625" style="1" customWidth="1"/>
    <col min="2857" max="2857" width="51.375" style="1" customWidth="1"/>
    <col min="2858" max="2858" width="6.25" style="1" customWidth="1"/>
    <col min="2859" max="2859" width="2.625" style="1" customWidth="1"/>
    <col min="2860" max="2860" width="5.125" style="1" customWidth="1"/>
    <col min="2861" max="2861" width="27.375" style="1" customWidth="1"/>
    <col min="2862" max="2862" width="5.875" style="1" customWidth="1"/>
    <col min="2863" max="2863" width="3.75" style="1" customWidth="1"/>
    <col min="2864" max="2864" width="6.25" style="1" customWidth="1"/>
    <col min="2865" max="2865" width="6.875" style="1" customWidth="1"/>
    <col min="2866" max="2866" width="6.75" style="1" customWidth="1"/>
    <col min="2867" max="2867" width="5.875" style="1" customWidth="1"/>
    <col min="2868" max="2868" width="91.875" style="1" customWidth="1"/>
    <col min="2869" max="2869" width="131.25" style="1" customWidth="1"/>
    <col min="2870" max="2870" width="7" style="1" customWidth="1"/>
    <col min="2871" max="2871" width="7.875" style="1" customWidth="1"/>
    <col min="2872" max="2872" width="8.5" style="1" customWidth="1"/>
    <col min="2873" max="2873" width="4.75" style="1" customWidth="1"/>
    <col min="2874" max="2874" width="23.25" style="1" customWidth="1"/>
    <col min="2875" max="2875" width="6.875" style="1" customWidth="1"/>
    <col min="2876" max="2876" width="7.875" style="1" customWidth="1"/>
    <col min="2877" max="2877" width="7.75" style="1" customWidth="1"/>
    <col min="2878" max="2878" width="8" style="1" customWidth="1"/>
    <col min="2879" max="2879" width="4.625" style="1" customWidth="1"/>
    <col min="2880" max="2880" width="7.875" style="1" customWidth="1"/>
    <col min="2881" max="2881" width="4" style="1" customWidth="1"/>
    <col min="2882" max="2882" width="4.625" style="1" customWidth="1"/>
    <col min="2883" max="2892" width="4" style="1" customWidth="1"/>
    <col min="2893" max="2893" width="3.75" style="1" customWidth="1"/>
    <col min="2894" max="2894" width="4" style="1" customWidth="1"/>
    <col min="2895" max="2895" width="3.625" style="1" customWidth="1"/>
    <col min="2896" max="2896" width="9.875" style="1" customWidth="1"/>
    <col min="2897" max="2897" width="5" style="1" customWidth="1"/>
    <col min="2898" max="2898" width="7.125" style="1" customWidth="1"/>
    <col min="2899" max="2899" width="9.375" style="1" customWidth="1"/>
    <col min="2900" max="2900" width="10.25" style="1" customWidth="1"/>
    <col min="2901" max="2901" width="7.375" style="1" customWidth="1"/>
    <col min="2902" max="2902" width="47.375" style="1" customWidth="1"/>
    <col min="2903" max="2903" width="73.25" style="1" customWidth="1"/>
    <col min="2904" max="2904" width="26.625" style="1" customWidth="1"/>
    <col min="2905" max="2906" width="26.75" style="1" customWidth="1"/>
    <col min="2907" max="2907" width="6.375" style="1" customWidth="1"/>
    <col min="2908" max="2909" width="9.875" style="1" customWidth="1"/>
    <col min="2910" max="2910" width="26.5" style="1" customWidth="1"/>
    <col min="2911" max="2911" width="9.125" style="1" customWidth="1"/>
    <col min="2912" max="2912" width="12.625" style="1" customWidth="1"/>
    <col min="2913" max="2913" width="36.5" style="1" customWidth="1"/>
    <col min="2914" max="2914" width="3.375" style="1" customWidth="1"/>
    <col min="2915" max="2915" width="8" style="1" customWidth="1"/>
    <col min="2916" max="2916" width="5.625" style="1" customWidth="1"/>
    <col min="2917" max="2917" width="7.875" style="1" customWidth="1"/>
    <col min="2918" max="2918" width="6" style="1" customWidth="1"/>
    <col min="2919" max="2919" width="11.25" style="1" customWidth="1"/>
    <col min="2920" max="3072" width="9" style="1" customWidth="1"/>
    <col min="3073" max="3073" width="13.125" style="1" customWidth="1"/>
    <col min="3074" max="3074" width="10.875" style="1" customWidth="1"/>
    <col min="3075" max="3075" width="4.625" style="1" customWidth="1"/>
    <col min="3076" max="3076" width="7" style="1" customWidth="1"/>
    <col min="3077" max="3077" width="5.125" style="1" customWidth="1"/>
    <col min="3078" max="3082" width="3.25" style="1" customWidth="1"/>
    <col min="3083" max="3083" width="3.5" style="1" customWidth="1"/>
    <col min="3084" max="3085" width="3.25" style="1" customWidth="1"/>
    <col min="3086" max="3087" width="4.75" style="1" customWidth="1"/>
    <col min="3088" max="3088" width="5.25" style="1" customWidth="1"/>
    <col min="3089" max="3089" width="4.875" style="1" customWidth="1"/>
    <col min="3090" max="3090" width="7.875" style="1" customWidth="1"/>
    <col min="3091" max="3091" width="5.125" style="1" customWidth="1"/>
    <col min="3092" max="3092" width="5.5" style="1" customWidth="1"/>
    <col min="3093" max="3093" width="5.75" style="1" customWidth="1"/>
    <col min="3094" max="3094" width="7.875" style="1" customWidth="1"/>
    <col min="3095" max="3095" width="5.125" style="1" customWidth="1"/>
    <col min="3096" max="3096" width="4.625" style="1" customWidth="1"/>
    <col min="3097" max="3097" width="7.875" style="1" customWidth="1"/>
    <col min="3098" max="3098" width="6.125" style="1" customWidth="1"/>
    <col min="3099" max="3099" width="36.5" style="1" customWidth="1"/>
    <col min="3100" max="3100" width="29.25" style="1" customWidth="1"/>
    <col min="3101" max="3102" width="9.875" style="1" customWidth="1"/>
    <col min="3103" max="3103" width="9.25" style="1" customWidth="1"/>
    <col min="3104" max="3104" width="2.5" style="1" customWidth="1"/>
    <col min="3105" max="3105" width="3.25" style="1" customWidth="1"/>
    <col min="3106" max="3106" width="3.625" style="1" customWidth="1"/>
    <col min="3107" max="3107" width="3.375" style="1" customWidth="1"/>
    <col min="3108" max="3108" width="23.625" style="1" customWidth="1"/>
    <col min="3109" max="3109" width="8.25" style="1" customWidth="1"/>
    <col min="3110" max="3110" width="6.875" style="1" customWidth="1"/>
    <col min="3111" max="3111" width="6.375" style="1" customWidth="1"/>
    <col min="3112" max="3112" width="19.625" style="1" customWidth="1"/>
    <col min="3113" max="3113" width="51.375" style="1" customWidth="1"/>
    <col min="3114" max="3114" width="6.25" style="1" customWidth="1"/>
    <col min="3115" max="3115" width="2.625" style="1" customWidth="1"/>
    <col min="3116" max="3116" width="5.125" style="1" customWidth="1"/>
    <col min="3117" max="3117" width="27.375" style="1" customWidth="1"/>
    <col min="3118" max="3118" width="5.875" style="1" customWidth="1"/>
    <col min="3119" max="3119" width="3.75" style="1" customWidth="1"/>
    <col min="3120" max="3120" width="6.25" style="1" customWidth="1"/>
    <col min="3121" max="3121" width="6.875" style="1" customWidth="1"/>
    <col min="3122" max="3122" width="6.75" style="1" customWidth="1"/>
    <col min="3123" max="3123" width="5.875" style="1" customWidth="1"/>
    <col min="3124" max="3124" width="91.875" style="1" customWidth="1"/>
    <col min="3125" max="3125" width="131.25" style="1" customWidth="1"/>
    <col min="3126" max="3126" width="7" style="1" customWidth="1"/>
    <col min="3127" max="3127" width="7.875" style="1" customWidth="1"/>
    <col min="3128" max="3128" width="8.5" style="1" customWidth="1"/>
    <col min="3129" max="3129" width="4.75" style="1" customWidth="1"/>
    <col min="3130" max="3130" width="23.25" style="1" customWidth="1"/>
    <col min="3131" max="3131" width="6.875" style="1" customWidth="1"/>
    <col min="3132" max="3132" width="7.875" style="1" customWidth="1"/>
    <col min="3133" max="3133" width="7.75" style="1" customWidth="1"/>
    <col min="3134" max="3134" width="8" style="1" customWidth="1"/>
    <col min="3135" max="3135" width="4.625" style="1" customWidth="1"/>
    <col min="3136" max="3136" width="7.875" style="1" customWidth="1"/>
    <col min="3137" max="3137" width="4" style="1" customWidth="1"/>
    <col min="3138" max="3138" width="4.625" style="1" customWidth="1"/>
    <col min="3139" max="3148" width="4" style="1" customWidth="1"/>
    <col min="3149" max="3149" width="3.75" style="1" customWidth="1"/>
    <col min="3150" max="3150" width="4" style="1" customWidth="1"/>
    <col min="3151" max="3151" width="3.625" style="1" customWidth="1"/>
    <col min="3152" max="3152" width="9.875" style="1" customWidth="1"/>
    <col min="3153" max="3153" width="5" style="1" customWidth="1"/>
    <col min="3154" max="3154" width="7.125" style="1" customWidth="1"/>
    <col min="3155" max="3155" width="9.375" style="1" customWidth="1"/>
    <col min="3156" max="3156" width="10.25" style="1" customWidth="1"/>
    <col min="3157" max="3157" width="7.375" style="1" customWidth="1"/>
    <col min="3158" max="3158" width="47.375" style="1" customWidth="1"/>
    <col min="3159" max="3159" width="73.25" style="1" customWidth="1"/>
    <col min="3160" max="3160" width="26.625" style="1" customWidth="1"/>
    <col min="3161" max="3162" width="26.75" style="1" customWidth="1"/>
    <col min="3163" max="3163" width="6.375" style="1" customWidth="1"/>
    <col min="3164" max="3165" width="9.875" style="1" customWidth="1"/>
    <col min="3166" max="3166" width="26.5" style="1" customWidth="1"/>
    <col min="3167" max="3167" width="9.125" style="1" customWidth="1"/>
    <col min="3168" max="3168" width="12.625" style="1" customWidth="1"/>
    <col min="3169" max="3169" width="36.5" style="1" customWidth="1"/>
    <col min="3170" max="3170" width="3.375" style="1" customWidth="1"/>
    <col min="3171" max="3171" width="8" style="1" customWidth="1"/>
    <col min="3172" max="3172" width="5.625" style="1" customWidth="1"/>
    <col min="3173" max="3173" width="7.875" style="1" customWidth="1"/>
    <col min="3174" max="3174" width="6" style="1" customWidth="1"/>
    <col min="3175" max="3175" width="11.25" style="1" customWidth="1"/>
    <col min="3176" max="3328" width="9" style="1" customWidth="1"/>
    <col min="3329" max="3329" width="13.125" style="1" customWidth="1"/>
    <col min="3330" max="3330" width="10.875" style="1" customWidth="1"/>
    <col min="3331" max="3331" width="4.625" style="1" customWidth="1"/>
    <col min="3332" max="3332" width="7" style="1" customWidth="1"/>
    <col min="3333" max="3333" width="5.125" style="1" customWidth="1"/>
    <col min="3334" max="3338" width="3.25" style="1" customWidth="1"/>
    <col min="3339" max="3339" width="3.5" style="1" customWidth="1"/>
    <col min="3340" max="3341" width="3.25" style="1" customWidth="1"/>
    <col min="3342" max="3343" width="4.75" style="1" customWidth="1"/>
    <col min="3344" max="3344" width="5.25" style="1" customWidth="1"/>
    <col min="3345" max="3345" width="4.875" style="1" customWidth="1"/>
    <col min="3346" max="3346" width="7.875" style="1" customWidth="1"/>
    <col min="3347" max="3347" width="5.125" style="1" customWidth="1"/>
    <col min="3348" max="3348" width="5.5" style="1" customWidth="1"/>
    <col min="3349" max="3349" width="5.75" style="1" customWidth="1"/>
    <col min="3350" max="3350" width="7.875" style="1" customWidth="1"/>
    <col min="3351" max="3351" width="5.125" style="1" customWidth="1"/>
    <col min="3352" max="3352" width="4.625" style="1" customWidth="1"/>
    <col min="3353" max="3353" width="7.875" style="1" customWidth="1"/>
    <col min="3354" max="3354" width="6.125" style="1" customWidth="1"/>
    <col min="3355" max="3355" width="36.5" style="1" customWidth="1"/>
    <col min="3356" max="3356" width="29.25" style="1" customWidth="1"/>
    <col min="3357" max="3358" width="9.875" style="1" customWidth="1"/>
    <col min="3359" max="3359" width="9.25" style="1" customWidth="1"/>
    <col min="3360" max="3360" width="2.5" style="1" customWidth="1"/>
    <col min="3361" max="3361" width="3.25" style="1" customWidth="1"/>
    <col min="3362" max="3362" width="3.625" style="1" customWidth="1"/>
    <col min="3363" max="3363" width="3.375" style="1" customWidth="1"/>
    <col min="3364" max="3364" width="23.625" style="1" customWidth="1"/>
    <col min="3365" max="3365" width="8.25" style="1" customWidth="1"/>
    <col min="3366" max="3366" width="6.875" style="1" customWidth="1"/>
    <col min="3367" max="3367" width="6.375" style="1" customWidth="1"/>
    <col min="3368" max="3368" width="19.625" style="1" customWidth="1"/>
    <col min="3369" max="3369" width="51.375" style="1" customWidth="1"/>
    <col min="3370" max="3370" width="6.25" style="1" customWidth="1"/>
    <col min="3371" max="3371" width="2.625" style="1" customWidth="1"/>
    <col min="3372" max="3372" width="5.125" style="1" customWidth="1"/>
    <col min="3373" max="3373" width="27.375" style="1" customWidth="1"/>
    <col min="3374" max="3374" width="5.875" style="1" customWidth="1"/>
    <col min="3375" max="3375" width="3.75" style="1" customWidth="1"/>
    <col min="3376" max="3376" width="6.25" style="1" customWidth="1"/>
    <col min="3377" max="3377" width="6.875" style="1" customWidth="1"/>
    <col min="3378" max="3378" width="6.75" style="1" customWidth="1"/>
    <col min="3379" max="3379" width="5.875" style="1" customWidth="1"/>
    <col min="3380" max="3380" width="91.875" style="1" customWidth="1"/>
    <col min="3381" max="3381" width="131.25" style="1" customWidth="1"/>
    <col min="3382" max="3382" width="7" style="1" customWidth="1"/>
    <col min="3383" max="3383" width="7.875" style="1" customWidth="1"/>
    <col min="3384" max="3384" width="8.5" style="1" customWidth="1"/>
    <col min="3385" max="3385" width="4.75" style="1" customWidth="1"/>
    <col min="3386" max="3386" width="23.25" style="1" customWidth="1"/>
    <col min="3387" max="3387" width="6.875" style="1" customWidth="1"/>
    <col min="3388" max="3388" width="7.875" style="1" customWidth="1"/>
    <col min="3389" max="3389" width="7.75" style="1" customWidth="1"/>
    <col min="3390" max="3390" width="8" style="1" customWidth="1"/>
    <col min="3391" max="3391" width="4.625" style="1" customWidth="1"/>
    <col min="3392" max="3392" width="7.875" style="1" customWidth="1"/>
    <col min="3393" max="3393" width="4" style="1" customWidth="1"/>
    <col min="3394" max="3394" width="4.625" style="1" customWidth="1"/>
    <col min="3395" max="3404" width="4" style="1" customWidth="1"/>
    <col min="3405" max="3405" width="3.75" style="1" customWidth="1"/>
    <col min="3406" max="3406" width="4" style="1" customWidth="1"/>
    <col min="3407" max="3407" width="3.625" style="1" customWidth="1"/>
    <col min="3408" max="3408" width="9.875" style="1" customWidth="1"/>
    <col min="3409" max="3409" width="5" style="1" customWidth="1"/>
    <col min="3410" max="3410" width="7.125" style="1" customWidth="1"/>
    <col min="3411" max="3411" width="9.375" style="1" customWidth="1"/>
    <col min="3412" max="3412" width="10.25" style="1" customWidth="1"/>
    <col min="3413" max="3413" width="7.375" style="1" customWidth="1"/>
    <col min="3414" max="3414" width="47.375" style="1" customWidth="1"/>
    <col min="3415" max="3415" width="73.25" style="1" customWidth="1"/>
    <col min="3416" max="3416" width="26.625" style="1" customWidth="1"/>
    <col min="3417" max="3418" width="26.75" style="1" customWidth="1"/>
    <col min="3419" max="3419" width="6.375" style="1" customWidth="1"/>
    <col min="3420" max="3421" width="9.875" style="1" customWidth="1"/>
    <col min="3422" max="3422" width="26.5" style="1" customWidth="1"/>
    <col min="3423" max="3423" width="9.125" style="1" customWidth="1"/>
    <col min="3424" max="3424" width="12.625" style="1" customWidth="1"/>
    <col min="3425" max="3425" width="36.5" style="1" customWidth="1"/>
    <col min="3426" max="3426" width="3.375" style="1" customWidth="1"/>
    <col min="3427" max="3427" width="8" style="1" customWidth="1"/>
    <col min="3428" max="3428" width="5.625" style="1" customWidth="1"/>
    <col min="3429" max="3429" width="7.875" style="1" customWidth="1"/>
    <col min="3430" max="3430" width="6" style="1" customWidth="1"/>
    <col min="3431" max="3431" width="11.25" style="1" customWidth="1"/>
    <col min="3432" max="3584" width="9" style="1" customWidth="1"/>
    <col min="3585" max="3585" width="13.125" style="1" customWidth="1"/>
    <col min="3586" max="3586" width="10.875" style="1" customWidth="1"/>
    <col min="3587" max="3587" width="4.625" style="1" customWidth="1"/>
    <col min="3588" max="3588" width="7" style="1" customWidth="1"/>
    <col min="3589" max="3589" width="5.125" style="1" customWidth="1"/>
    <col min="3590" max="3594" width="3.25" style="1" customWidth="1"/>
    <col min="3595" max="3595" width="3.5" style="1" customWidth="1"/>
    <col min="3596" max="3597" width="3.25" style="1" customWidth="1"/>
    <col min="3598" max="3599" width="4.75" style="1" customWidth="1"/>
    <col min="3600" max="3600" width="5.25" style="1" customWidth="1"/>
    <col min="3601" max="3601" width="4.875" style="1" customWidth="1"/>
    <col min="3602" max="3602" width="7.875" style="1" customWidth="1"/>
    <col min="3603" max="3603" width="5.125" style="1" customWidth="1"/>
    <col min="3604" max="3604" width="5.5" style="1" customWidth="1"/>
    <col min="3605" max="3605" width="5.75" style="1" customWidth="1"/>
    <col min="3606" max="3606" width="7.875" style="1" customWidth="1"/>
    <col min="3607" max="3607" width="5.125" style="1" customWidth="1"/>
    <col min="3608" max="3608" width="4.625" style="1" customWidth="1"/>
    <col min="3609" max="3609" width="7.875" style="1" customWidth="1"/>
    <col min="3610" max="3610" width="6.125" style="1" customWidth="1"/>
    <col min="3611" max="3611" width="36.5" style="1" customWidth="1"/>
    <col min="3612" max="3612" width="29.25" style="1" customWidth="1"/>
    <col min="3613" max="3614" width="9.875" style="1" customWidth="1"/>
    <col min="3615" max="3615" width="9.25" style="1" customWidth="1"/>
    <col min="3616" max="3616" width="2.5" style="1" customWidth="1"/>
    <col min="3617" max="3617" width="3.25" style="1" customWidth="1"/>
    <col min="3618" max="3618" width="3.625" style="1" customWidth="1"/>
    <col min="3619" max="3619" width="3.375" style="1" customWidth="1"/>
    <col min="3620" max="3620" width="23.625" style="1" customWidth="1"/>
    <col min="3621" max="3621" width="8.25" style="1" customWidth="1"/>
    <col min="3622" max="3622" width="6.875" style="1" customWidth="1"/>
    <col min="3623" max="3623" width="6.375" style="1" customWidth="1"/>
    <col min="3624" max="3624" width="19.625" style="1" customWidth="1"/>
    <col min="3625" max="3625" width="51.375" style="1" customWidth="1"/>
    <col min="3626" max="3626" width="6.25" style="1" customWidth="1"/>
    <col min="3627" max="3627" width="2.625" style="1" customWidth="1"/>
    <col min="3628" max="3628" width="5.125" style="1" customWidth="1"/>
    <col min="3629" max="3629" width="27.375" style="1" customWidth="1"/>
    <col min="3630" max="3630" width="5.875" style="1" customWidth="1"/>
    <col min="3631" max="3631" width="3.75" style="1" customWidth="1"/>
    <col min="3632" max="3632" width="6.25" style="1" customWidth="1"/>
    <col min="3633" max="3633" width="6.875" style="1" customWidth="1"/>
    <col min="3634" max="3634" width="6.75" style="1" customWidth="1"/>
    <col min="3635" max="3635" width="5.875" style="1" customWidth="1"/>
    <col min="3636" max="3636" width="91.875" style="1" customWidth="1"/>
    <col min="3637" max="3637" width="131.25" style="1" customWidth="1"/>
    <col min="3638" max="3638" width="7" style="1" customWidth="1"/>
    <col min="3639" max="3639" width="7.875" style="1" customWidth="1"/>
    <col min="3640" max="3640" width="8.5" style="1" customWidth="1"/>
    <col min="3641" max="3641" width="4.75" style="1" customWidth="1"/>
    <col min="3642" max="3642" width="23.25" style="1" customWidth="1"/>
    <col min="3643" max="3643" width="6.875" style="1" customWidth="1"/>
    <col min="3644" max="3644" width="7.875" style="1" customWidth="1"/>
    <col min="3645" max="3645" width="7.75" style="1" customWidth="1"/>
    <col min="3646" max="3646" width="8" style="1" customWidth="1"/>
    <col min="3647" max="3647" width="4.625" style="1" customWidth="1"/>
    <col min="3648" max="3648" width="7.875" style="1" customWidth="1"/>
    <col min="3649" max="3649" width="4" style="1" customWidth="1"/>
    <col min="3650" max="3650" width="4.625" style="1" customWidth="1"/>
    <col min="3651" max="3660" width="4" style="1" customWidth="1"/>
    <col min="3661" max="3661" width="3.75" style="1" customWidth="1"/>
    <col min="3662" max="3662" width="4" style="1" customWidth="1"/>
    <col min="3663" max="3663" width="3.625" style="1" customWidth="1"/>
    <col min="3664" max="3664" width="9.875" style="1" customWidth="1"/>
    <col min="3665" max="3665" width="5" style="1" customWidth="1"/>
    <col min="3666" max="3666" width="7.125" style="1" customWidth="1"/>
    <col min="3667" max="3667" width="9.375" style="1" customWidth="1"/>
    <col min="3668" max="3668" width="10.25" style="1" customWidth="1"/>
    <col min="3669" max="3669" width="7.375" style="1" customWidth="1"/>
    <col min="3670" max="3670" width="47.375" style="1" customWidth="1"/>
    <col min="3671" max="3671" width="73.25" style="1" customWidth="1"/>
    <col min="3672" max="3672" width="26.625" style="1" customWidth="1"/>
    <col min="3673" max="3674" width="26.75" style="1" customWidth="1"/>
    <col min="3675" max="3675" width="6.375" style="1" customWidth="1"/>
    <col min="3676" max="3677" width="9.875" style="1" customWidth="1"/>
    <col min="3678" max="3678" width="26.5" style="1" customWidth="1"/>
    <col min="3679" max="3679" width="9.125" style="1" customWidth="1"/>
    <col min="3680" max="3680" width="12.625" style="1" customWidth="1"/>
    <col min="3681" max="3681" width="36.5" style="1" customWidth="1"/>
    <col min="3682" max="3682" width="3.375" style="1" customWidth="1"/>
    <col min="3683" max="3683" width="8" style="1" customWidth="1"/>
    <col min="3684" max="3684" width="5.625" style="1" customWidth="1"/>
    <col min="3685" max="3685" width="7.875" style="1" customWidth="1"/>
    <col min="3686" max="3686" width="6" style="1" customWidth="1"/>
    <col min="3687" max="3687" width="11.25" style="1" customWidth="1"/>
    <col min="3688" max="3840" width="9" style="1" customWidth="1"/>
    <col min="3841" max="3841" width="13.125" style="1" customWidth="1"/>
    <col min="3842" max="3842" width="10.875" style="1" customWidth="1"/>
    <col min="3843" max="3843" width="4.625" style="1" customWidth="1"/>
    <col min="3844" max="3844" width="7" style="1" customWidth="1"/>
    <col min="3845" max="3845" width="5.125" style="1" customWidth="1"/>
    <col min="3846" max="3850" width="3.25" style="1" customWidth="1"/>
    <col min="3851" max="3851" width="3.5" style="1" customWidth="1"/>
    <col min="3852" max="3853" width="3.25" style="1" customWidth="1"/>
    <col min="3854" max="3855" width="4.75" style="1" customWidth="1"/>
    <col min="3856" max="3856" width="5.25" style="1" customWidth="1"/>
    <col min="3857" max="3857" width="4.875" style="1" customWidth="1"/>
    <col min="3858" max="3858" width="7.875" style="1" customWidth="1"/>
    <col min="3859" max="3859" width="5.125" style="1" customWidth="1"/>
    <col min="3860" max="3860" width="5.5" style="1" customWidth="1"/>
    <col min="3861" max="3861" width="5.75" style="1" customWidth="1"/>
    <col min="3862" max="3862" width="7.875" style="1" customWidth="1"/>
    <col min="3863" max="3863" width="5.125" style="1" customWidth="1"/>
    <col min="3864" max="3864" width="4.625" style="1" customWidth="1"/>
    <col min="3865" max="3865" width="7.875" style="1" customWidth="1"/>
    <col min="3866" max="3866" width="6.125" style="1" customWidth="1"/>
    <col min="3867" max="3867" width="36.5" style="1" customWidth="1"/>
    <col min="3868" max="3868" width="29.25" style="1" customWidth="1"/>
    <col min="3869" max="3870" width="9.875" style="1" customWidth="1"/>
    <col min="3871" max="3871" width="9.25" style="1" customWidth="1"/>
    <col min="3872" max="3872" width="2.5" style="1" customWidth="1"/>
    <col min="3873" max="3873" width="3.25" style="1" customWidth="1"/>
    <col min="3874" max="3874" width="3.625" style="1" customWidth="1"/>
    <col min="3875" max="3875" width="3.375" style="1" customWidth="1"/>
    <col min="3876" max="3876" width="23.625" style="1" customWidth="1"/>
    <col min="3877" max="3877" width="8.25" style="1" customWidth="1"/>
    <col min="3878" max="3878" width="6.875" style="1" customWidth="1"/>
    <col min="3879" max="3879" width="6.375" style="1" customWidth="1"/>
    <col min="3880" max="3880" width="19.625" style="1" customWidth="1"/>
    <col min="3881" max="3881" width="51.375" style="1" customWidth="1"/>
    <col min="3882" max="3882" width="6.25" style="1" customWidth="1"/>
    <col min="3883" max="3883" width="2.625" style="1" customWidth="1"/>
    <col min="3884" max="3884" width="5.125" style="1" customWidth="1"/>
    <col min="3885" max="3885" width="27.375" style="1" customWidth="1"/>
    <col min="3886" max="3886" width="5.875" style="1" customWidth="1"/>
    <col min="3887" max="3887" width="3.75" style="1" customWidth="1"/>
    <col min="3888" max="3888" width="6.25" style="1" customWidth="1"/>
    <col min="3889" max="3889" width="6.875" style="1" customWidth="1"/>
    <col min="3890" max="3890" width="6.75" style="1" customWidth="1"/>
    <col min="3891" max="3891" width="5.875" style="1" customWidth="1"/>
    <col min="3892" max="3892" width="91.875" style="1" customWidth="1"/>
    <col min="3893" max="3893" width="131.25" style="1" customWidth="1"/>
    <col min="3894" max="3894" width="7" style="1" customWidth="1"/>
    <col min="3895" max="3895" width="7.875" style="1" customWidth="1"/>
    <col min="3896" max="3896" width="8.5" style="1" customWidth="1"/>
    <col min="3897" max="3897" width="4.75" style="1" customWidth="1"/>
    <col min="3898" max="3898" width="23.25" style="1" customWidth="1"/>
    <col min="3899" max="3899" width="6.875" style="1" customWidth="1"/>
    <col min="3900" max="3900" width="7.875" style="1" customWidth="1"/>
    <col min="3901" max="3901" width="7.75" style="1" customWidth="1"/>
    <col min="3902" max="3902" width="8" style="1" customWidth="1"/>
    <col min="3903" max="3903" width="4.625" style="1" customWidth="1"/>
    <col min="3904" max="3904" width="7.875" style="1" customWidth="1"/>
    <col min="3905" max="3905" width="4" style="1" customWidth="1"/>
    <col min="3906" max="3906" width="4.625" style="1" customWidth="1"/>
    <col min="3907" max="3916" width="4" style="1" customWidth="1"/>
    <col min="3917" max="3917" width="3.75" style="1" customWidth="1"/>
    <col min="3918" max="3918" width="4" style="1" customWidth="1"/>
    <col min="3919" max="3919" width="3.625" style="1" customWidth="1"/>
    <col min="3920" max="3920" width="9.875" style="1" customWidth="1"/>
    <col min="3921" max="3921" width="5" style="1" customWidth="1"/>
    <col min="3922" max="3922" width="7.125" style="1" customWidth="1"/>
    <col min="3923" max="3923" width="9.375" style="1" customWidth="1"/>
    <col min="3924" max="3924" width="10.25" style="1" customWidth="1"/>
    <col min="3925" max="3925" width="7.375" style="1" customWidth="1"/>
    <col min="3926" max="3926" width="47.375" style="1" customWidth="1"/>
    <col min="3927" max="3927" width="73.25" style="1" customWidth="1"/>
    <col min="3928" max="3928" width="26.625" style="1" customWidth="1"/>
    <col min="3929" max="3930" width="26.75" style="1" customWidth="1"/>
    <col min="3931" max="3931" width="6.375" style="1" customWidth="1"/>
    <col min="3932" max="3933" width="9.875" style="1" customWidth="1"/>
    <col min="3934" max="3934" width="26.5" style="1" customWidth="1"/>
    <col min="3935" max="3935" width="9.125" style="1" customWidth="1"/>
    <col min="3936" max="3936" width="12.625" style="1" customWidth="1"/>
    <col min="3937" max="3937" width="36.5" style="1" customWidth="1"/>
    <col min="3938" max="3938" width="3.375" style="1" customWidth="1"/>
    <col min="3939" max="3939" width="8" style="1" customWidth="1"/>
    <col min="3940" max="3940" width="5.625" style="1" customWidth="1"/>
    <col min="3941" max="3941" width="7.875" style="1" customWidth="1"/>
    <col min="3942" max="3942" width="6" style="1" customWidth="1"/>
    <col min="3943" max="3943" width="11.25" style="1" customWidth="1"/>
    <col min="3944" max="4096" width="9" style="1" customWidth="1"/>
    <col min="4097" max="4097" width="13.125" style="1" customWidth="1"/>
    <col min="4098" max="4098" width="10.875" style="1" customWidth="1"/>
    <col min="4099" max="4099" width="4.625" style="1" customWidth="1"/>
    <col min="4100" max="4100" width="7" style="1" customWidth="1"/>
    <col min="4101" max="4101" width="5.125" style="1" customWidth="1"/>
    <col min="4102" max="4106" width="3.25" style="1" customWidth="1"/>
    <col min="4107" max="4107" width="3.5" style="1" customWidth="1"/>
    <col min="4108" max="4109" width="3.25" style="1" customWidth="1"/>
    <col min="4110" max="4111" width="4.75" style="1" customWidth="1"/>
    <col min="4112" max="4112" width="5.25" style="1" customWidth="1"/>
    <col min="4113" max="4113" width="4.875" style="1" customWidth="1"/>
    <col min="4114" max="4114" width="7.875" style="1" customWidth="1"/>
    <col min="4115" max="4115" width="5.125" style="1" customWidth="1"/>
    <col min="4116" max="4116" width="5.5" style="1" customWidth="1"/>
    <col min="4117" max="4117" width="5.75" style="1" customWidth="1"/>
    <col min="4118" max="4118" width="7.875" style="1" customWidth="1"/>
    <col min="4119" max="4119" width="5.125" style="1" customWidth="1"/>
    <col min="4120" max="4120" width="4.625" style="1" customWidth="1"/>
    <col min="4121" max="4121" width="7.875" style="1" customWidth="1"/>
    <col min="4122" max="4122" width="6.125" style="1" customWidth="1"/>
    <col min="4123" max="4123" width="36.5" style="1" customWidth="1"/>
    <col min="4124" max="4124" width="29.25" style="1" customWidth="1"/>
    <col min="4125" max="4126" width="9.875" style="1" customWidth="1"/>
    <col min="4127" max="4127" width="9.25" style="1" customWidth="1"/>
    <col min="4128" max="4128" width="2.5" style="1" customWidth="1"/>
    <col min="4129" max="4129" width="3.25" style="1" customWidth="1"/>
    <col min="4130" max="4130" width="3.625" style="1" customWidth="1"/>
    <col min="4131" max="4131" width="3.375" style="1" customWidth="1"/>
    <col min="4132" max="4132" width="23.625" style="1" customWidth="1"/>
    <col min="4133" max="4133" width="8.25" style="1" customWidth="1"/>
    <col min="4134" max="4134" width="6.875" style="1" customWidth="1"/>
    <col min="4135" max="4135" width="6.375" style="1" customWidth="1"/>
    <col min="4136" max="4136" width="19.625" style="1" customWidth="1"/>
    <col min="4137" max="4137" width="51.375" style="1" customWidth="1"/>
    <col min="4138" max="4138" width="6.25" style="1" customWidth="1"/>
    <col min="4139" max="4139" width="2.625" style="1" customWidth="1"/>
    <col min="4140" max="4140" width="5.125" style="1" customWidth="1"/>
    <col min="4141" max="4141" width="27.375" style="1" customWidth="1"/>
    <col min="4142" max="4142" width="5.875" style="1" customWidth="1"/>
    <col min="4143" max="4143" width="3.75" style="1" customWidth="1"/>
    <col min="4144" max="4144" width="6.25" style="1" customWidth="1"/>
    <col min="4145" max="4145" width="6.875" style="1" customWidth="1"/>
    <col min="4146" max="4146" width="6.75" style="1" customWidth="1"/>
    <col min="4147" max="4147" width="5.875" style="1" customWidth="1"/>
    <col min="4148" max="4148" width="91.875" style="1" customWidth="1"/>
    <col min="4149" max="4149" width="131.25" style="1" customWidth="1"/>
    <col min="4150" max="4150" width="7" style="1" customWidth="1"/>
    <col min="4151" max="4151" width="7.875" style="1" customWidth="1"/>
    <col min="4152" max="4152" width="8.5" style="1" customWidth="1"/>
    <col min="4153" max="4153" width="4.75" style="1" customWidth="1"/>
    <col min="4154" max="4154" width="23.25" style="1" customWidth="1"/>
    <col min="4155" max="4155" width="6.875" style="1" customWidth="1"/>
    <col min="4156" max="4156" width="7.875" style="1" customWidth="1"/>
    <col min="4157" max="4157" width="7.75" style="1" customWidth="1"/>
    <col min="4158" max="4158" width="8" style="1" customWidth="1"/>
    <col min="4159" max="4159" width="4.625" style="1" customWidth="1"/>
    <col min="4160" max="4160" width="7.875" style="1" customWidth="1"/>
    <col min="4161" max="4161" width="4" style="1" customWidth="1"/>
    <col min="4162" max="4162" width="4.625" style="1" customWidth="1"/>
    <col min="4163" max="4172" width="4" style="1" customWidth="1"/>
    <col min="4173" max="4173" width="3.75" style="1" customWidth="1"/>
    <col min="4174" max="4174" width="4" style="1" customWidth="1"/>
    <col min="4175" max="4175" width="3.625" style="1" customWidth="1"/>
    <col min="4176" max="4176" width="9.875" style="1" customWidth="1"/>
    <col min="4177" max="4177" width="5" style="1" customWidth="1"/>
    <col min="4178" max="4178" width="7.125" style="1" customWidth="1"/>
    <col min="4179" max="4179" width="9.375" style="1" customWidth="1"/>
    <col min="4180" max="4180" width="10.25" style="1" customWidth="1"/>
    <col min="4181" max="4181" width="7.375" style="1" customWidth="1"/>
    <col min="4182" max="4182" width="47.375" style="1" customWidth="1"/>
    <col min="4183" max="4183" width="73.25" style="1" customWidth="1"/>
    <col min="4184" max="4184" width="26.625" style="1" customWidth="1"/>
    <col min="4185" max="4186" width="26.75" style="1" customWidth="1"/>
    <col min="4187" max="4187" width="6.375" style="1" customWidth="1"/>
    <col min="4188" max="4189" width="9.875" style="1" customWidth="1"/>
    <col min="4190" max="4190" width="26.5" style="1" customWidth="1"/>
    <col min="4191" max="4191" width="9.125" style="1" customWidth="1"/>
    <col min="4192" max="4192" width="12.625" style="1" customWidth="1"/>
    <col min="4193" max="4193" width="36.5" style="1" customWidth="1"/>
    <col min="4194" max="4194" width="3.375" style="1" customWidth="1"/>
    <col min="4195" max="4195" width="8" style="1" customWidth="1"/>
    <col min="4196" max="4196" width="5.625" style="1" customWidth="1"/>
    <col min="4197" max="4197" width="7.875" style="1" customWidth="1"/>
    <col min="4198" max="4198" width="6" style="1" customWidth="1"/>
    <col min="4199" max="4199" width="11.25" style="1" customWidth="1"/>
    <col min="4200" max="4352" width="9" style="1" customWidth="1"/>
    <col min="4353" max="4353" width="13.125" style="1" customWidth="1"/>
    <col min="4354" max="4354" width="10.875" style="1" customWidth="1"/>
    <col min="4355" max="4355" width="4.625" style="1" customWidth="1"/>
    <col min="4356" max="4356" width="7" style="1" customWidth="1"/>
    <col min="4357" max="4357" width="5.125" style="1" customWidth="1"/>
    <col min="4358" max="4362" width="3.25" style="1" customWidth="1"/>
    <col min="4363" max="4363" width="3.5" style="1" customWidth="1"/>
    <col min="4364" max="4365" width="3.25" style="1" customWidth="1"/>
    <col min="4366" max="4367" width="4.75" style="1" customWidth="1"/>
    <col min="4368" max="4368" width="5.25" style="1" customWidth="1"/>
    <col min="4369" max="4369" width="4.875" style="1" customWidth="1"/>
    <col min="4370" max="4370" width="7.875" style="1" customWidth="1"/>
    <col min="4371" max="4371" width="5.125" style="1" customWidth="1"/>
    <col min="4372" max="4372" width="5.5" style="1" customWidth="1"/>
    <col min="4373" max="4373" width="5.75" style="1" customWidth="1"/>
    <col min="4374" max="4374" width="7.875" style="1" customWidth="1"/>
    <col min="4375" max="4375" width="5.125" style="1" customWidth="1"/>
    <col min="4376" max="4376" width="4.625" style="1" customWidth="1"/>
    <col min="4377" max="4377" width="7.875" style="1" customWidth="1"/>
    <col min="4378" max="4378" width="6.125" style="1" customWidth="1"/>
    <col min="4379" max="4379" width="36.5" style="1" customWidth="1"/>
    <col min="4380" max="4380" width="29.25" style="1" customWidth="1"/>
    <col min="4381" max="4382" width="9.875" style="1" customWidth="1"/>
    <col min="4383" max="4383" width="9.25" style="1" customWidth="1"/>
    <col min="4384" max="4384" width="2.5" style="1" customWidth="1"/>
    <col min="4385" max="4385" width="3.25" style="1" customWidth="1"/>
    <col min="4386" max="4386" width="3.625" style="1" customWidth="1"/>
    <col min="4387" max="4387" width="3.375" style="1" customWidth="1"/>
    <col min="4388" max="4388" width="23.625" style="1" customWidth="1"/>
    <col min="4389" max="4389" width="8.25" style="1" customWidth="1"/>
    <col min="4390" max="4390" width="6.875" style="1" customWidth="1"/>
    <col min="4391" max="4391" width="6.375" style="1" customWidth="1"/>
    <col min="4392" max="4392" width="19.625" style="1" customWidth="1"/>
    <col min="4393" max="4393" width="51.375" style="1" customWidth="1"/>
    <col min="4394" max="4394" width="6.25" style="1" customWidth="1"/>
    <col min="4395" max="4395" width="2.625" style="1" customWidth="1"/>
    <col min="4396" max="4396" width="5.125" style="1" customWidth="1"/>
    <col min="4397" max="4397" width="27.375" style="1" customWidth="1"/>
    <col min="4398" max="4398" width="5.875" style="1" customWidth="1"/>
    <col min="4399" max="4399" width="3.75" style="1" customWidth="1"/>
    <col min="4400" max="4400" width="6.25" style="1" customWidth="1"/>
    <col min="4401" max="4401" width="6.875" style="1" customWidth="1"/>
    <col min="4402" max="4402" width="6.75" style="1" customWidth="1"/>
    <col min="4403" max="4403" width="5.875" style="1" customWidth="1"/>
    <col min="4404" max="4404" width="91.875" style="1" customWidth="1"/>
    <col min="4405" max="4405" width="131.25" style="1" customWidth="1"/>
    <col min="4406" max="4406" width="7" style="1" customWidth="1"/>
    <col min="4407" max="4407" width="7.875" style="1" customWidth="1"/>
    <col min="4408" max="4408" width="8.5" style="1" customWidth="1"/>
    <col min="4409" max="4409" width="4.75" style="1" customWidth="1"/>
    <col min="4410" max="4410" width="23.25" style="1" customWidth="1"/>
    <col min="4411" max="4411" width="6.875" style="1" customWidth="1"/>
    <col min="4412" max="4412" width="7.875" style="1" customWidth="1"/>
    <col min="4413" max="4413" width="7.75" style="1" customWidth="1"/>
    <col min="4414" max="4414" width="8" style="1" customWidth="1"/>
    <col min="4415" max="4415" width="4.625" style="1" customWidth="1"/>
    <col min="4416" max="4416" width="7.875" style="1" customWidth="1"/>
    <col min="4417" max="4417" width="4" style="1" customWidth="1"/>
    <col min="4418" max="4418" width="4.625" style="1" customWidth="1"/>
    <col min="4419" max="4428" width="4" style="1" customWidth="1"/>
    <col min="4429" max="4429" width="3.75" style="1" customWidth="1"/>
    <col min="4430" max="4430" width="4" style="1" customWidth="1"/>
    <col min="4431" max="4431" width="3.625" style="1" customWidth="1"/>
    <col min="4432" max="4432" width="9.875" style="1" customWidth="1"/>
    <col min="4433" max="4433" width="5" style="1" customWidth="1"/>
    <col min="4434" max="4434" width="7.125" style="1" customWidth="1"/>
    <col min="4435" max="4435" width="9.375" style="1" customWidth="1"/>
    <col min="4436" max="4436" width="10.25" style="1" customWidth="1"/>
    <col min="4437" max="4437" width="7.375" style="1" customWidth="1"/>
    <col min="4438" max="4438" width="47.375" style="1" customWidth="1"/>
    <col min="4439" max="4439" width="73.25" style="1" customWidth="1"/>
    <col min="4440" max="4440" width="26.625" style="1" customWidth="1"/>
    <col min="4441" max="4442" width="26.75" style="1" customWidth="1"/>
    <col min="4443" max="4443" width="6.375" style="1" customWidth="1"/>
    <col min="4444" max="4445" width="9.875" style="1" customWidth="1"/>
    <col min="4446" max="4446" width="26.5" style="1" customWidth="1"/>
    <col min="4447" max="4447" width="9.125" style="1" customWidth="1"/>
    <col min="4448" max="4448" width="12.625" style="1" customWidth="1"/>
    <col min="4449" max="4449" width="36.5" style="1" customWidth="1"/>
    <col min="4450" max="4450" width="3.375" style="1" customWidth="1"/>
    <col min="4451" max="4451" width="8" style="1" customWidth="1"/>
    <col min="4452" max="4452" width="5.625" style="1" customWidth="1"/>
    <col min="4453" max="4453" width="7.875" style="1" customWidth="1"/>
    <col min="4454" max="4454" width="6" style="1" customWidth="1"/>
    <col min="4455" max="4455" width="11.25" style="1" customWidth="1"/>
    <col min="4456" max="4608" width="9" style="1" customWidth="1"/>
    <col min="4609" max="4609" width="13.125" style="1" customWidth="1"/>
    <col min="4610" max="4610" width="10.875" style="1" customWidth="1"/>
    <col min="4611" max="4611" width="4.625" style="1" customWidth="1"/>
    <col min="4612" max="4612" width="7" style="1" customWidth="1"/>
    <col min="4613" max="4613" width="5.125" style="1" customWidth="1"/>
    <col min="4614" max="4618" width="3.25" style="1" customWidth="1"/>
    <col min="4619" max="4619" width="3.5" style="1" customWidth="1"/>
    <col min="4620" max="4621" width="3.25" style="1" customWidth="1"/>
    <col min="4622" max="4623" width="4.75" style="1" customWidth="1"/>
    <col min="4624" max="4624" width="5.25" style="1" customWidth="1"/>
    <col min="4625" max="4625" width="4.875" style="1" customWidth="1"/>
    <col min="4626" max="4626" width="7.875" style="1" customWidth="1"/>
    <col min="4627" max="4627" width="5.125" style="1" customWidth="1"/>
    <col min="4628" max="4628" width="5.5" style="1" customWidth="1"/>
    <col min="4629" max="4629" width="5.75" style="1" customWidth="1"/>
    <col min="4630" max="4630" width="7.875" style="1" customWidth="1"/>
    <col min="4631" max="4631" width="5.125" style="1" customWidth="1"/>
    <col min="4632" max="4632" width="4.625" style="1" customWidth="1"/>
    <col min="4633" max="4633" width="7.875" style="1" customWidth="1"/>
    <col min="4634" max="4634" width="6.125" style="1" customWidth="1"/>
    <col min="4635" max="4635" width="36.5" style="1" customWidth="1"/>
    <col min="4636" max="4636" width="29.25" style="1" customWidth="1"/>
    <col min="4637" max="4638" width="9.875" style="1" customWidth="1"/>
    <col min="4639" max="4639" width="9.25" style="1" customWidth="1"/>
    <col min="4640" max="4640" width="2.5" style="1" customWidth="1"/>
    <col min="4641" max="4641" width="3.25" style="1" customWidth="1"/>
    <col min="4642" max="4642" width="3.625" style="1" customWidth="1"/>
    <col min="4643" max="4643" width="3.375" style="1" customWidth="1"/>
    <col min="4644" max="4644" width="23.625" style="1" customWidth="1"/>
    <col min="4645" max="4645" width="8.25" style="1" customWidth="1"/>
    <col min="4646" max="4646" width="6.875" style="1" customWidth="1"/>
    <col min="4647" max="4647" width="6.375" style="1" customWidth="1"/>
    <col min="4648" max="4648" width="19.625" style="1" customWidth="1"/>
    <col min="4649" max="4649" width="51.375" style="1" customWidth="1"/>
    <col min="4650" max="4650" width="6.25" style="1" customWidth="1"/>
    <col min="4651" max="4651" width="2.625" style="1" customWidth="1"/>
    <col min="4652" max="4652" width="5.125" style="1" customWidth="1"/>
    <col min="4653" max="4653" width="27.375" style="1" customWidth="1"/>
    <col min="4654" max="4654" width="5.875" style="1" customWidth="1"/>
    <col min="4655" max="4655" width="3.75" style="1" customWidth="1"/>
    <col min="4656" max="4656" width="6.25" style="1" customWidth="1"/>
    <col min="4657" max="4657" width="6.875" style="1" customWidth="1"/>
    <col min="4658" max="4658" width="6.75" style="1" customWidth="1"/>
    <col min="4659" max="4659" width="5.875" style="1" customWidth="1"/>
    <col min="4660" max="4660" width="91.875" style="1" customWidth="1"/>
    <col min="4661" max="4661" width="131.25" style="1" customWidth="1"/>
    <col min="4662" max="4662" width="7" style="1" customWidth="1"/>
    <col min="4663" max="4663" width="7.875" style="1" customWidth="1"/>
    <col min="4664" max="4664" width="8.5" style="1" customWidth="1"/>
    <col min="4665" max="4665" width="4.75" style="1" customWidth="1"/>
    <col min="4666" max="4666" width="23.25" style="1" customWidth="1"/>
    <col min="4667" max="4667" width="6.875" style="1" customWidth="1"/>
    <col min="4668" max="4668" width="7.875" style="1" customWidth="1"/>
    <col min="4669" max="4669" width="7.75" style="1" customWidth="1"/>
    <col min="4670" max="4670" width="8" style="1" customWidth="1"/>
    <col min="4671" max="4671" width="4.625" style="1" customWidth="1"/>
    <col min="4672" max="4672" width="7.875" style="1" customWidth="1"/>
    <col min="4673" max="4673" width="4" style="1" customWidth="1"/>
    <col min="4674" max="4674" width="4.625" style="1" customWidth="1"/>
    <col min="4675" max="4684" width="4" style="1" customWidth="1"/>
    <col min="4685" max="4685" width="3.75" style="1" customWidth="1"/>
    <col min="4686" max="4686" width="4" style="1" customWidth="1"/>
    <col min="4687" max="4687" width="3.625" style="1" customWidth="1"/>
    <col min="4688" max="4688" width="9.875" style="1" customWidth="1"/>
    <col min="4689" max="4689" width="5" style="1" customWidth="1"/>
    <col min="4690" max="4690" width="7.125" style="1" customWidth="1"/>
    <col min="4691" max="4691" width="9.375" style="1" customWidth="1"/>
    <col min="4692" max="4692" width="10.25" style="1" customWidth="1"/>
    <col min="4693" max="4693" width="7.375" style="1" customWidth="1"/>
    <col min="4694" max="4694" width="47.375" style="1" customWidth="1"/>
    <col min="4695" max="4695" width="73.25" style="1" customWidth="1"/>
    <col min="4696" max="4696" width="26.625" style="1" customWidth="1"/>
    <col min="4697" max="4698" width="26.75" style="1" customWidth="1"/>
    <col min="4699" max="4699" width="6.375" style="1" customWidth="1"/>
    <col min="4700" max="4701" width="9.875" style="1" customWidth="1"/>
    <col min="4702" max="4702" width="26.5" style="1" customWidth="1"/>
    <col min="4703" max="4703" width="9.125" style="1" customWidth="1"/>
    <col min="4704" max="4704" width="12.625" style="1" customWidth="1"/>
    <col min="4705" max="4705" width="36.5" style="1" customWidth="1"/>
    <col min="4706" max="4706" width="3.375" style="1" customWidth="1"/>
    <col min="4707" max="4707" width="8" style="1" customWidth="1"/>
    <col min="4708" max="4708" width="5.625" style="1" customWidth="1"/>
    <col min="4709" max="4709" width="7.875" style="1" customWidth="1"/>
    <col min="4710" max="4710" width="6" style="1" customWidth="1"/>
    <col min="4711" max="4711" width="11.25" style="1" customWidth="1"/>
    <col min="4712" max="4864" width="9" style="1" customWidth="1"/>
    <col min="4865" max="4865" width="13.125" style="1" customWidth="1"/>
    <col min="4866" max="4866" width="10.875" style="1" customWidth="1"/>
    <col min="4867" max="4867" width="4.625" style="1" customWidth="1"/>
    <col min="4868" max="4868" width="7" style="1" customWidth="1"/>
    <col min="4869" max="4869" width="5.125" style="1" customWidth="1"/>
    <col min="4870" max="4874" width="3.25" style="1" customWidth="1"/>
    <col min="4875" max="4875" width="3.5" style="1" customWidth="1"/>
    <col min="4876" max="4877" width="3.25" style="1" customWidth="1"/>
    <col min="4878" max="4879" width="4.75" style="1" customWidth="1"/>
    <col min="4880" max="4880" width="5.25" style="1" customWidth="1"/>
    <col min="4881" max="4881" width="4.875" style="1" customWidth="1"/>
    <col min="4882" max="4882" width="7.875" style="1" customWidth="1"/>
    <col min="4883" max="4883" width="5.125" style="1" customWidth="1"/>
    <col min="4884" max="4884" width="5.5" style="1" customWidth="1"/>
    <col min="4885" max="4885" width="5.75" style="1" customWidth="1"/>
    <col min="4886" max="4886" width="7.875" style="1" customWidth="1"/>
    <col min="4887" max="4887" width="5.125" style="1" customWidth="1"/>
    <col min="4888" max="4888" width="4.625" style="1" customWidth="1"/>
    <col min="4889" max="4889" width="7.875" style="1" customWidth="1"/>
    <col min="4890" max="4890" width="6.125" style="1" customWidth="1"/>
    <col min="4891" max="4891" width="36.5" style="1" customWidth="1"/>
    <col min="4892" max="4892" width="29.25" style="1" customWidth="1"/>
    <col min="4893" max="4894" width="9.875" style="1" customWidth="1"/>
    <col min="4895" max="4895" width="9.25" style="1" customWidth="1"/>
    <col min="4896" max="4896" width="2.5" style="1" customWidth="1"/>
    <col min="4897" max="4897" width="3.25" style="1" customWidth="1"/>
    <col min="4898" max="4898" width="3.625" style="1" customWidth="1"/>
    <col min="4899" max="4899" width="3.375" style="1" customWidth="1"/>
    <col min="4900" max="4900" width="23.625" style="1" customWidth="1"/>
    <col min="4901" max="4901" width="8.25" style="1" customWidth="1"/>
    <col min="4902" max="4902" width="6.875" style="1" customWidth="1"/>
    <col min="4903" max="4903" width="6.375" style="1" customWidth="1"/>
    <col min="4904" max="4904" width="19.625" style="1" customWidth="1"/>
    <col min="4905" max="4905" width="51.375" style="1" customWidth="1"/>
    <col min="4906" max="4906" width="6.25" style="1" customWidth="1"/>
    <col min="4907" max="4907" width="2.625" style="1" customWidth="1"/>
    <col min="4908" max="4908" width="5.125" style="1" customWidth="1"/>
    <col min="4909" max="4909" width="27.375" style="1" customWidth="1"/>
    <col min="4910" max="4910" width="5.875" style="1" customWidth="1"/>
    <col min="4911" max="4911" width="3.75" style="1" customWidth="1"/>
    <col min="4912" max="4912" width="6.25" style="1" customWidth="1"/>
    <col min="4913" max="4913" width="6.875" style="1" customWidth="1"/>
    <col min="4914" max="4914" width="6.75" style="1" customWidth="1"/>
    <col min="4915" max="4915" width="5.875" style="1" customWidth="1"/>
    <col min="4916" max="4916" width="91.875" style="1" customWidth="1"/>
    <col min="4917" max="4917" width="131.25" style="1" customWidth="1"/>
    <col min="4918" max="4918" width="7" style="1" customWidth="1"/>
    <col min="4919" max="4919" width="7.875" style="1" customWidth="1"/>
    <col min="4920" max="4920" width="8.5" style="1" customWidth="1"/>
    <col min="4921" max="4921" width="4.75" style="1" customWidth="1"/>
    <col min="4922" max="4922" width="23.25" style="1" customWidth="1"/>
    <col min="4923" max="4923" width="6.875" style="1" customWidth="1"/>
    <col min="4924" max="4924" width="7.875" style="1" customWidth="1"/>
    <col min="4925" max="4925" width="7.75" style="1" customWidth="1"/>
    <col min="4926" max="4926" width="8" style="1" customWidth="1"/>
    <col min="4927" max="4927" width="4.625" style="1" customWidth="1"/>
    <col min="4928" max="4928" width="7.875" style="1" customWidth="1"/>
    <col min="4929" max="4929" width="4" style="1" customWidth="1"/>
    <col min="4930" max="4930" width="4.625" style="1" customWidth="1"/>
    <col min="4931" max="4940" width="4" style="1" customWidth="1"/>
    <col min="4941" max="4941" width="3.75" style="1" customWidth="1"/>
    <col min="4942" max="4942" width="4" style="1" customWidth="1"/>
    <col min="4943" max="4943" width="3.625" style="1" customWidth="1"/>
    <col min="4944" max="4944" width="9.875" style="1" customWidth="1"/>
    <col min="4945" max="4945" width="5" style="1" customWidth="1"/>
    <col min="4946" max="4946" width="7.125" style="1" customWidth="1"/>
    <col min="4947" max="4947" width="9.375" style="1" customWidth="1"/>
    <col min="4948" max="4948" width="10.25" style="1" customWidth="1"/>
    <col min="4949" max="4949" width="7.375" style="1" customWidth="1"/>
    <col min="4950" max="4950" width="47.375" style="1" customWidth="1"/>
    <col min="4951" max="4951" width="73.25" style="1" customWidth="1"/>
    <col min="4952" max="4952" width="26.625" style="1" customWidth="1"/>
    <col min="4953" max="4954" width="26.75" style="1" customWidth="1"/>
    <col min="4955" max="4955" width="6.375" style="1" customWidth="1"/>
    <col min="4956" max="4957" width="9.875" style="1" customWidth="1"/>
    <col min="4958" max="4958" width="26.5" style="1" customWidth="1"/>
    <col min="4959" max="4959" width="9.125" style="1" customWidth="1"/>
    <col min="4960" max="4960" width="12.625" style="1" customWidth="1"/>
    <col min="4961" max="4961" width="36.5" style="1" customWidth="1"/>
    <col min="4962" max="4962" width="3.375" style="1" customWidth="1"/>
    <col min="4963" max="4963" width="8" style="1" customWidth="1"/>
    <col min="4964" max="4964" width="5.625" style="1" customWidth="1"/>
    <col min="4965" max="4965" width="7.875" style="1" customWidth="1"/>
    <col min="4966" max="4966" width="6" style="1" customWidth="1"/>
    <col min="4967" max="4967" width="11.25" style="1" customWidth="1"/>
    <col min="4968" max="5120" width="9" style="1" customWidth="1"/>
    <col min="5121" max="5121" width="13.125" style="1" customWidth="1"/>
    <col min="5122" max="5122" width="10.875" style="1" customWidth="1"/>
    <col min="5123" max="5123" width="4.625" style="1" customWidth="1"/>
    <col min="5124" max="5124" width="7" style="1" customWidth="1"/>
    <col min="5125" max="5125" width="5.125" style="1" customWidth="1"/>
    <col min="5126" max="5130" width="3.25" style="1" customWidth="1"/>
    <col min="5131" max="5131" width="3.5" style="1" customWidth="1"/>
    <col min="5132" max="5133" width="3.25" style="1" customWidth="1"/>
    <col min="5134" max="5135" width="4.75" style="1" customWidth="1"/>
    <col min="5136" max="5136" width="5.25" style="1" customWidth="1"/>
    <col min="5137" max="5137" width="4.875" style="1" customWidth="1"/>
    <col min="5138" max="5138" width="7.875" style="1" customWidth="1"/>
    <col min="5139" max="5139" width="5.125" style="1" customWidth="1"/>
    <col min="5140" max="5140" width="5.5" style="1" customWidth="1"/>
    <col min="5141" max="5141" width="5.75" style="1" customWidth="1"/>
    <col min="5142" max="5142" width="7.875" style="1" customWidth="1"/>
    <col min="5143" max="5143" width="5.125" style="1" customWidth="1"/>
    <col min="5144" max="5144" width="4.625" style="1" customWidth="1"/>
    <col min="5145" max="5145" width="7.875" style="1" customWidth="1"/>
    <col min="5146" max="5146" width="6.125" style="1" customWidth="1"/>
    <col min="5147" max="5147" width="36.5" style="1" customWidth="1"/>
    <col min="5148" max="5148" width="29.25" style="1" customWidth="1"/>
    <col min="5149" max="5150" width="9.875" style="1" customWidth="1"/>
    <col min="5151" max="5151" width="9.25" style="1" customWidth="1"/>
    <col min="5152" max="5152" width="2.5" style="1" customWidth="1"/>
    <col min="5153" max="5153" width="3.25" style="1" customWidth="1"/>
    <col min="5154" max="5154" width="3.625" style="1" customWidth="1"/>
    <col min="5155" max="5155" width="3.375" style="1" customWidth="1"/>
    <col min="5156" max="5156" width="23.625" style="1" customWidth="1"/>
    <col min="5157" max="5157" width="8.25" style="1" customWidth="1"/>
    <col min="5158" max="5158" width="6.875" style="1" customWidth="1"/>
    <col min="5159" max="5159" width="6.375" style="1" customWidth="1"/>
    <col min="5160" max="5160" width="19.625" style="1" customWidth="1"/>
    <col min="5161" max="5161" width="51.375" style="1" customWidth="1"/>
    <col min="5162" max="5162" width="6.25" style="1" customWidth="1"/>
    <col min="5163" max="5163" width="2.625" style="1" customWidth="1"/>
    <col min="5164" max="5164" width="5.125" style="1" customWidth="1"/>
    <col min="5165" max="5165" width="27.375" style="1" customWidth="1"/>
    <col min="5166" max="5166" width="5.875" style="1" customWidth="1"/>
    <col min="5167" max="5167" width="3.75" style="1" customWidth="1"/>
    <col min="5168" max="5168" width="6.25" style="1" customWidth="1"/>
    <col min="5169" max="5169" width="6.875" style="1" customWidth="1"/>
    <col min="5170" max="5170" width="6.75" style="1" customWidth="1"/>
    <col min="5171" max="5171" width="5.875" style="1" customWidth="1"/>
    <col min="5172" max="5172" width="91.875" style="1" customWidth="1"/>
    <col min="5173" max="5173" width="131.25" style="1" customWidth="1"/>
    <col min="5174" max="5174" width="7" style="1" customWidth="1"/>
    <col min="5175" max="5175" width="7.875" style="1" customWidth="1"/>
    <col min="5176" max="5176" width="8.5" style="1" customWidth="1"/>
    <col min="5177" max="5177" width="4.75" style="1" customWidth="1"/>
    <col min="5178" max="5178" width="23.25" style="1" customWidth="1"/>
    <col min="5179" max="5179" width="6.875" style="1" customWidth="1"/>
    <col min="5180" max="5180" width="7.875" style="1" customWidth="1"/>
    <col min="5181" max="5181" width="7.75" style="1" customWidth="1"/>
    <col min="5182" max="5182" width="8" style="1" customWidth="1"/>
    <col min="5183" max="5183" width="4.625" style="1" customWidth="1"/>
    <col min="5184" max="5184" width="7.875" style="1" customWidth="1"/>
    <col min="5185" max="5185" width="4" style="1" customWidth="1"/>
    <col min="5186" max="5186" width="4.625" style="1" customWidth="1"/>
    <col min="5187" max="5196" width="4" style="1" customWidth="1"/>
    <col min="5197" max="5197" width="3.75" style="1" customWidth="1"/>
    <col min="5198" max="5198" width="4" style="1" customWidth="1"/>
    <col min="5199" max="5199" width="3.625" style="1" customWidth="1"/>
    <col min="5200" max="5200" width="9.875" style="1" customWidth="1"/>
    <col min="5201" max="5201" width="5" style="1" customWidth="1"/>
    <col min="5202" max="5202" width="7.125" style="1" customWidth="1"/>
    <col min="5203" max="5203" width="9.375" style="1" customWidth="1"/>
    <col min="5204" max="5204" width="10.25" style="1" customWidth="1"/>
    <col min="5205" max="5205" width="7.375" style="1" customWidth="1"/>
    <col min="5206" max="5206" width="47.375" style="1" customWidth="1"/>
    <col min="5207" max="5207" width="73.25" style="1" customWidth="1"/>
    <col min="5208" max="5208" width="26.625" style="1" customWidth="1"/>
    <col min="5209" max="5210" width="26.75" style="1" customWidth="1"/>
    <col min="5211" max="5211" width="6.375" style="1" customWidth="1"/>
    <col min="5212" max="5213" width="9.875" style="1" customWidth="1"/>
    <col min="5214" max="5214" width="26.5" style="1" customWidth="1"/>
    <col min="5215" max="5215" width="9.125" style="1" customWidth="1"/>
    <col min="5216" max="5216" width="12.625" style="1" customWidth="1"/>
    <col min="5217" max="5217" width="36.5" style="1" customWidth="1"/>
    <col min="5218" max="5218" width="3.375" style="1" customWidth="1"/>
    <col min="5219" max="5219" width="8" style="1" customWidth="1"/>
    <col min="5220" max="5220" width="5.625" style="1" customWidth="1"/>
    <col min="5221" max="5221" width="7.875" style="1" customWidth="1"/>
    <col min="5222" max="5222" width="6" style="1" customWidth="1"/>
    <col min="5223" max="5223" width="11.25" style="1" customWidth="1"/>
    <col min="5224" max="5376" width="9" style="1" customWidth="1"/>
    <col min="5377" max="5377" width="13.125" style="1" customWidth="1"/>
    <col min="5378" max="5378" width="10.875" style="1" customWidth="1"/>
    <col min="5379" max="5379" width="4.625" style="1" customWidth="1"/>
    <col min="5380" max="5380" width="7" style="1" customWidth="1"/>
    <col min="5381" max="5381" width="5.125" style="1" customWidth="1"/>
    <col min="5382" max="5386" width="3.25" style="1" customWidth="1"/>
    <col min="5387" max="5387" width="3.5" style="1" customWidth="1"/>
    <col min="5388" max="5389" width="3.25" style="1" customWidth="1"/>
    <col min="5390" max="5391" width="4.75" style="1" customWidth="1"/>
    <col min="5392" max="5392" width="5.25" style="1" customWidth="1"/>
    <col min="5393" max="5393" width="4.875" style="1" customWidth="1"/>
    <col min="5394" max="5394" width="7.875" style="1" customWidth="1"/>
    <col min="5395" max="5395" width="5.125" style="1" customWidth="1"/>
    <col min="5396" max="5396" width="5.5" style="1" customWidth="1"/>
    <col min="5397" max="5397" width="5.75" style="1" customWidth="1"/>
    <col min="5398" max="5398" width="7.875" style="1" customWidth="1"/>
    <col min="5399" max="5399" width="5.125" style="1" customWidth="1"/>
    <col min="5400" max="5400" width="4.625" style="1" customWidth="1"/>
    <col min="5401" max="5401" width="7.875" style="1" customWidth="1"/>
    <col min="5402" max="5402" width="6.125" style="1" customWidth="1"/>
    <col min="5403" max="5403" width="36.5" style="1" customWidth="1"/>
    <col min="5404" max="5404" width="29.25" style="1" customWidth="1"/>
    <col min="5405" max="5406" width="9.875" style="1" customWidth="1"/>
    <col min="5407" max="5407" width="9.25" style="1" customWidth="1"/>
    <col min="5408" max="5408" width="2.5" style="1" customWidth="1"/>
    <col min="5409" max="5409" width="3.25" style="1" customWidth="1"/>
    <col min="5410" max="5410" width="3.625" style="1" customWidth="1"/>
    <col min="5411" max="5411" width="3.375" style="1" customWidth="1"/>
    <col min="5412" max="5412" width="23.625" style="1" customWidth="1"/>
    <col min="5413" max="5413" width="8.25" style="1" customWidth="1"/>
    <col min="5414" max="5414" width="6.875" style="1" customWidth="1"/>
    <col min="5415" max="5415" width="6.375" style="1" customWidth="1"/>
    <col min="5416" max="5416" width="19.625" style="1" customWidth="1"/>
    <col min="5417" max="5417" width="51.375" style="1" customWidth="1"/>
    <col min="5418" max="5418" width="6.25" style="1" customWidth="1"/>
    <col min="5419" max="5419" width="2.625" style="1" customWidth="1"/>
    <col min="5420" max="5420" width="5.125" style="1" customWidth="1"/>
    <col min="5421" max="5421" width="27.375" style="1" customWidth="1"/>
    <col min="5422" max="5422" width="5.875" style="1" customWidth="1"/>
    <col min="5423" max="5423" width="3.75" style="1" customWidth="1"/>
    <col min="5424" max="5424" width="6.25" style="1" customWidth="1"/>
    <col min="5425" max="5425" width="6.875" style="1" customWidth="1"/>
    <col min="5426" max="5426" width="6.75" style="1" customWidth="1"/>
    <col min="5427" max="5427" width="5.875" style="1" customWidth="1"/>
    <col min="5428" max="5428" width="91.875" style="1" customWidth="1"/>
    <col min="5429" max="5429" width="131.25" style="1" customWidth="1"/>
    <col min="5430" max="5430" width="7" style="1" customWidth="1"/>
    <col min="5431" max="5431" width="7.875" style="1" customWidth="1"/>
    <col min="5432" max="5432" width="8.5" style="1" customWidth="1"/>
    <col min="5433" max="5433" width="4.75" style="1" customWidth="1"/>
    <col min="5434" max="5434" width="23.25" style="1" customWidth="1"/>
    <col min="5435" max="5435" width="6.875" style="1" customWidth="1"/>
    <col min="5436" max="5436" width="7.875" style="1" customWidth="1"/>
    <col min="5437" max="5437" width="7.75" style="1" customWidth="1"/>
    <col min="5438" max="5438" width="8" style="1" customWidth="1"/>
    <col min="5439" max="5439" width="4.625" style="1" customWidth="1"/>
    <col min="5440" max="5440" width="7.875" style="1" customWidth="1"/>
    <col min="5441" max="5441" width="4" style="1" customWidth="1"/>
    <col min="5442" max="5442" width="4.625" style="1" customWidth="1"/>
    <col min="5443" max="5452" width="4" style="1" customWidth="1"/>
    <col min="5453" max="5453" width="3.75" style="1" customWidth="1"/>
    <col min="5454" max="5454" width="4" style="1" customWidth="1"/>
    <col min="5455" max="5455" width="3.625" style="1" customWidth="1"/>
    <col min="5456" max="5456" width="9.875" style="1" customWidth="1"/>
    <col min="5457" max="5457" width="5" style="1" customWidth="1"/>
    <col min="5458" max="5458" width="7.125" style="1" customWidth="1"/>
    <col min="5459" max="5459" width="9.375" style="1" customWidth="1"/>
    <col min="5460" max="5460" width="10.25" style="1" customWidth="1"/>
    <col min="5461" max="5461" width="7.375" style="1" customWidth="1"/>
    <col min="5462" max="5462" width="47.375" style="1" customWidth="1"/>
    <col min="5463" max="5463" width="73.25" style="1" customWidth="1"/>
    <col min="5464" max="5464" width="26.625" style="1" customWidth="1"/>
    <col min="5465" max="5466" width="26.75" style="1" customWidth="1"/>
    <col min="5467" max="5467" width="6.375" style="1" customWidth="1"/>
    <col min="5468" max="5469" width="9.875" style="1" customWidth="1"/>
    <col min="5470" max="5470" width="26.5" style="1" customWidth="1"/>
    <col min="5471" max="5471" width="9.125" style="1" customWidth="1"/>
    <col min="5472" max="5472" width="12.625" style="1" customWidth="1"/>
    <col min="5473" max="5473" width="36.5" style="1" customWidth="1"/>
    <col min="5474" max="5474" width="3.375" style="1" customWidth="1"/>
    <col min="5475" max="5475" width="8" style="1" customWidth="1"/>
    <col min="5476" max="5476" width="5.625" style="1" customWidth="1"/>
    <col min="5477" max="5477" width="7.875" style="1" customWidth="1"/>
    <col min="5478" max="5478" width="6" style="1" customWidth="1"/>
    <col min="5479" max="5479" width="11.25" style="1" customWidth="1"/>
    <col min="5480" max="5632" width="9" style="1" customWidth="1"/>
    <col min="5633" max="5633" width="13.125" style="1" customWidth="1"/>
    <col min="5634" max="5634" width="10.875" style="1" customWidth="1"/>
    <col min="5635" max="5635" width="4.625" style="1" customWidth="1"/>
    <col min="5636" max="5636" width="7" style="1" customWidth="1"/>
    <col min="5637" max="5637" width="5.125" style="1" customWidth="1"/>
    <col min="5638" max="5642" width="3.25" style="1" customWidth="1"/>
    <col min="5643" max="5643" width="3.5" style="1" customWidth="1"/>
    <col min="5644" max="5645" width="3.25" style="1" customWidth="1"/>
    <col min="5646" max="5647" width="4.75" style="1" customWidth="1"/>
    <col min="5648" max="5648" width="5.25" style="1" customWidth="1"/>
    <col min="5649" max="5649" width="4.875" style="1" customWidth="1"/>
    <col min="5650" max="5650" width="7.875" style="1" customWidth="1"/>
    <col min="5651" max="5651" width="5.125" style="1" customWidth="1"/>
    <col min="5652" max="5652" width="5.5" style="1" customWidth="1"/>
    <col min="5653" max="5653" width="5.75" style="1" customWidth="1"/>
    <col min="5654" max="5654" width="7.875" style="1" customWidth="1"/>
    <col min="5655" max="5655" width="5.125" style="1" customWidth="1"/>
    <col min="5656" max="5656" width="4.625" style="1" customWidth="1"/>
    <col min="5657" max="5657" width="7.875" style="1" customWidth="1"/>
    <col min="5658" max="5658" width="6.125" style="1" customWidth="1"/>
    <col min="5659" max="5659" width="36.5" style="1" customWidth="1"/>
    <col min="5660" max="5660" width="29.25" style="1" customWidth="1"/>
    <col min="5661" max="5662" width="9.875" style="1" customWidth="1"/>
    <col min="5663" max="5663" width="9.25" style="1" customWidth="1"/>
    <col min="5664" max="5664" width="2.5" style="1" customWidth="1"/>
    <col min="5665" max="5665" width="3.25" style="1" customWidth="1"/>
    <col min="5666" max="5666" width="3.625" style="1" customWidth="1"/>
    <col min="5667" max="5667" width="3.375" style="1" customWidth="1"/>
    <col min="5668" max="5668" width="23.625" style="1" customWidth="1"/>
    <col min="5669" max="5669" width="8.25" style="1" customWidth="1"/>
    <col min="5670" max="5670" width="6.875" style="1" customWidth="1"/>
    <col min="5671" max="5671" width="6.375" style="1" customWidth="1"/>
    <col min="5672" max="5672" width="19.625" style="1" customWidth="1"/>
    <col min="5673" max="5673" width="51.375" style="1" customWidth="1"/>
    <col min="5674" max="5674" width="6.25" style="1" customWidth="1"/>
    <col min="5675" max="5675" width="2.625" style="1" customWidth="1"/>
    <col min="5676" max="5676" width="5.125" style="1" customWidth="1"/>
    <col min="5677" max="5677" width="27.375" style="1" customWidth="1"/>
    <col min="5678" max="5678" width="5.875" style="1" customWidth="1"/>
    <col min="5679" max="5679" width="3.75" style="1" customWidth="1"/>
    <col min="5680" max="5680" width="6.25" style="1" customWidth="1"/>
    <col min="5681" max="5681" width="6.875" style="1" customWidth="1"/>
    <col min="5682" max="5682" width="6.75" style="1" customWidth="1"/>
    <col min="5683" max="5683" width="5.875" style="1" customWidth="1"/>
    <col min="5684" max="5684" width="91.875" style="1" customWidth="1"/>
    <col min="5685" max="5685" width="131.25" style="1" customWidth="1"/>
    <col min="5686" max="5686" width="7" style="1" customWidth="1"/>
    <col min="5687" max="5687" width="7.875" style="1" customWidth="1"/>
    <col min="5688" max="5688" width="8.5" style="1" customWidth="1"/>
    <col min="5689" max="5689" width="4.75" style="1" customWidth="1"/>
    <col min="5690" max="5690" width="23.25" style="1" customWidth="1"/>
    <col min="5691" max="5691" width="6.875" style="1" customWidth="1"/>
    <col min="5692" max="5692" width="7.875" style="1" customWidth="1"/>
    <col min="5693" max="5693" width="7.75" style="1" customWidth="1"/>
    <col min="5694" max="5694" width="8" style="1" customWidth="1"/>
    <col min="5695" max="5695" width="4.625" style="1" customWidth="1"/>
    <col min="5696" max="5696" width="7.875" style="1" customWidth="1"/>
    <col min="5697" max="5697" width="4" style="1" customWidth="1"/>
    <col min="5698" max="5698" width="4.625" style="1" customWidth="1"/>
    <col min="5699" max="5708" width="4" style="1" customWidth="1"/>
    <col min="5709" max="5709" width="3.75" style="1" customWidth="1"/>
    <col min="5710" max="5710" width="4" style="1" customWidth="1"/>
    <col min="5711" max="5711" width="3.625" style="1" customWidth="1"/>
    <col min="5712" max="5712" width="9.875" style="1" customWidth="1"/>
    <col min="5713" max="5713" width="5" style="1" customWidth="1"/>
    <col min="5714" max="5714" width="7.125" style="1" customWidth="1"/>
    <col min="5715" max="5715" width="9.375" style="1" customWidth="1"/>
    <col min="5716" max="5716" width="10.25" style="1" customWidth="1"/>
    <col min="5717" max="5717" width="7.375" style="1" customWidth="1"/>
    <col min="5718" max="5718" width="47.375" style="1" customWidth="1"/>
    <col min="5719" max="5719" width="73.25" style="1" customWidth="1"/>
    <col min="5720" max="5720" width="26.625" style="1" customWidth="1"/>
    <col min="5721" max="5722" width="26.75" style="1" customWidth="1"/>
    <col min="5723" max="5723" width="6.375" style="1" customWidth="1"/>
    <col min="5724" max="5725" width="9.875" style="1" customWidth="1"/>
    <col min="5726" max="5726" width="26.5" style="1" customWidth="1"/>
    <col min="5727" max="5727" width="9.125" style="1" customWidth="1"/>
    <col min="5728" max="5728" width="12.625" style="1" customWidth="1"/>
    <col min="5729" max="5729" width="36.5" style="1" customWidth="1"/>
    <col min="5730" max="5730" width="3.375" style="1" customWidth="1"/>
    <col min="5731" max="5731" width="8" style="1" customWidth="1"/>
    <col min="5732" max="5732" width="5.625" style="1" customWidth="1"/>
    <col min="5733" max="5733" width="7.875" style="1" customWidth="1"/>
    <col min="5734" max="5734" width="6" style="1" customWidth="1"/>
    <col min="5735" max="5735" width="11.25" style="1" customWidth="1"/>
    <col min="5736" max="5888" width="9" style="1" customWidth="1"/>
    <col min="5889" max="5889" width="13.125" style="1" customWidth="1"/>
    <col min="5890" max="5890" width="10.875" style="1" customWidth="1"/>
    <col min="5891" max="5891" width="4.625" style="1" customWidth="1"/>
    <col min="5892" max="5892" width="7" style="1" customWidth="1"/>
    <col min="5893" max="5893" width="5.125" style="1" customWidth="1"/>
    <col min="5894" max="5898" width="3.25" style="1" customWidth="1"/>
    <col min="5899" max="5899" width="3.5" style="1" customWidth="1"/>
    <col min="5900" max="5901" width="3.25" style="1" customWidth="1"/>
    <col min="5902" max="5903" width="4.75" style="1" customWidth="1"/>
    <col min="5904" max="5904" width="5.25" style="1" customWidth="1"/>
    <col min="5905" max="5905" width="4.875" style="1" customWidth="1"/>
    <col min="5906" max="5906" width="7.875" style="1" customWidth="1"/>
    <col min="5907" max="5907" width="5.125" style="1" customWidth="1"/>
    <col min="5908" max="5908" width="5.5" style="1" customWidth="1"/>
    <col min="5909" max="5909" width="5.75" style="1" customWidth="1"/>
    <col min="5910" max="5910" width="7.875" style="1" customWidth="1"/>
    <col min="5911" max="5911" width="5.125" style="1" customWidth="1"/>
    <col min="5912" max="5912" width="4.625" style="1" customWidth="1"/>
    <col min="5913" max="5913" width="7.875" style="1" customWidth="1"/>
    <col min="5914" max="5914" width="6.125" style="1" customWidth="1"/>
    <col min="5915" max="5915" width="36.5" style="1" customWidth="1"/>
    <col min="5916" max="5916" width="29.25" style="1" customWidth="1"/>
    <col min="5917" max="5918" width="9.875" style="1" customWidth="1"/>
    <col min="5919" max="5919" width="9.25" style="1" customWidth="1"/>
    <col min="5920" max="5920" width="2.5" style="1" customWidth="1"/>
    <col min="5921" max="5921" width="3.25" style="1" customWidth="1"/>
    <col min="5922" max="5922" width="3.625" style="1" customWidth="1"/>
    <col min="5923" max="5923" width="3.375" style="1" customWidth="1"/>
    <col min="5924" max="5924" width="23.625" style="1" customWidth="1"/>
    <col min="5925" max="5925" width="8.25" style="1" customWidth="1"/>
    <col min="5926" max="5926" width="6.875" style="1" customWidth="1"/>
    <col min="5927" max="5927" width="6.375" style="1" customWidth="1"/>
    <col min="5928" max="5928" width="19.625" style="1" customWidth="1"/>
    <col min="5929" max="5929" width="51.375" style="1" customWidth="1"/>
    <col min="5930" max="5930" width="6.25" style="1" customWidth="1"/>
    <col min="5931" max="5931" width="2.625" style="1" customWidth="1"/>
    <col min="5932" max="5932" width="5.125" style="1" customWidth="1"/>
    <col min="5933" max="5933" width="27.375" style="1" customWidth="1"/>
    <col min="5934" max="5934" width="5.875" style="1" customWidth="1"/>
    <col min="5935" max="5935" width="3.75" style="1" customWidth="1"/>
    <col min="5936" max="5936" width="6.25" style="1" customWidth="1"/>
    <col min="5937" max="5937" width="6.875" style="1" customWidth="1"/>
    <col min="5938" max="5938" width="6.75" style="1" customWidth="1"/>
    <col min="5939" max="5939" width="5.875" style="1" customWidth="1"/>
    <col min="5940" max="5940" width="91.875" style="1" customWidth="1"/>
    <col min="5941" max="5941" width="131.25" style="1" customWidth="1"/>
    <col min="5942" max="5942" width="7" style="1" customWidth="1"/>
    <col min="5943" max="5943" width="7.875" style="1" customWidth="1"/>
    <col min="5944" max="5944" width="8.5" style="1" customWidth="1"/>
    <col min="5945" max="5945" width="4.75" style="1" customWidth="1"/>
    <col min="5946" max="5946" width="23.25" style="1" customWidth="1"/>
    <col min="5947" max="5947" width="6.875" style="1" customWidth="1"/>
    <col min="5948" max="5948" width="7.875" style="1" customWidth="1"/>
    <col min="5949" max="5949" width="7.75" style="1" customWidth="1"/>
    <col min="5950" max="5950" width="8" style="1" customWidth="1"/>
    <col min="5951" max="5951" width="4.625" style="1" customWidth="1"/>
    <col min="5952" max="5952" width="7.875" style="1" customWidth="1"/>
    <col min="5953" max="5953" width="4" style="1" customWidth="1"/>
    <col min="5954" max="5954" width="4.625" style="1" customWidth="1"/>
    <col min="5955" max="5964" width="4" style="1" customWidth="1"/>
    <col min="5965" max="5965" width="3.75" style="1" customWidth="1"/>
    <col min="5966" max="5966" width="4" style="1" customWidth="1"/>
    <col min="5967" max="5967" width="3.625" style="1" customWidth="1"/>
    <col min="5968" max="5968" width="9.875" style="1" customWidth="1"/>
    <col min="5969" max="5969" width="5" style="1" customWidth="1"/>
    <col min="5970" max="5970" width="7.125" style="1" customWidth="1"/>
    <col min="5971" max="5971" width="9.375" style="1" customWidth="1"/>
    <col min="5972" max="5972" width="10.25" style="1" customWidth="1"/>
    <col min="5973" max="5973" width="7.375" style="1" customWidth="1"/>
    <col min="5974" max="5974" width="47.375" style="1" customWidth="1"/>
    <col min="5975" max="5975" width="73.25" style="1" customWidth="1"/>
    <col min="5976" max="5976" width="26.625" style="1" customWidth="1"/>
    <col min="5977" max="5978" width="26.75" style="1" customWidth="1"/>
    <col min="5979" max="5979" width="6.375" style="1" customWidth="1"/>
    <col min="5980" max="5981" width="9.875" style="1" customWidth="1"/>
    <col min="5982" max="5982" width="26.5" style="1" customWidth="1"/>
    <col min="5983" max="5983" width="9.125" style="1" customWidth="1"/>
    <col min="5984" max="5984" width="12.625" style="1" customWidth="1"/>
    <col min="5985" max="5985" width="36.5" style="1" customWidth="1"/>
    <col min="5986" max="5986" width="3.375" style="1" customWidth="1"/>
    <col min="5987" max="5987" width="8" style="1" customWidth="1"/>
    <col min="5988" max="5988" width="5.625" style="1" customWidth="1"/>
    <col min="5989" max="5989" width="7.875" style="1" customWidth="1"/>
    <col min="5990" max="5990" width="6" style="1" customWidth="1"/>
    <col min="5991" max="5991" width="11.25" style="1" customWidth="1"/>
    <col min="5992" max="6144" width="9" style="1" customWidth="1"/>
    <col min="6145" max="6145" width="13.125" style="1" customWidth="1"/>
    <col min="6146" max="6146" width="10.875" style="1" customWidth="1"/>
    <col min="6147" max="6147" width="4.625" style="1" customWidth="1"/>
    <col min="6148" max="6148" width="7" style="1" customWidth="1"/>
    <col min="6149" max="6149" width="5.125" style="1" customWidth="1"/>
    <col min="6150" max="6154" width="3.25" style="1" customWidth="1"/>
    <col min="6155" max="6155" width="3.5" style="1" customWidth="1"/>
    <col min="6156" max="6157" width="3.25" style="1" customWidth="1"/>
    <col min="6158" max="6159" width="4.75" style="1" customWidth="1"/>
    <col min="6160" max="6160" width="5.25" style="1" customWidth="1"/>
    <col min="6161" max="6161" width="4.875" style="1" customWidth="1"/>
    <col min="6162" max="6162" width="7.875" style="1" customWidth="1"/>
    <col min="6163" max="6163" width="5.125" style="1" customWidth="1"/>
    <col min="6164" max="6164" width="5.5" style="1" customWidth="1"/>
    <col min="6165" max="6165" width="5.75" style="1" customWidth="1"/>
    <col min="6166" max="6166" width="7.875" style="1" customWidth="1"/>
    <col min="6167" max="6167" width="5.125" style="1" customWidth="1"/>
    <col min="6168" max="6168" width="4.625" style="1" customWidth="1"/>
    <col min="6169" max="6169" width="7.875" style="1" customWidth="1"/>
    <col min="6170" max="6170" width="6.125" style="1" customWidth="1"/>
    <col min="6171" max="6171" width="36.5" style="1" customWidth="1"/>
    <col min="6172" max="6172" width="29.25" style="1" customWidth="1"/>
    <col min="6173" max="6174" width="9.875" style="1" customWidth="1"/>
    <col min="6175" max="6175" width="9.25" style="1" customWidth="1"/>
    <col min="6176" max="6176" width="2.5" style="1" customWidth="1"/>
    <col min="6177" max="6177" width="3.25" style="1" customWidth="1"/>
    <col min="6178" max="6178" width="3.625" style="1" customWidth="1"/>
    <col min="6179" max="6179" width="3.375" style="1" customWidth="1"/>
    <col min="6180" max="6180" width="23.625" style="1" customWidth="1"/>
    <col min="6181" max="6181" width="8.25" style="1" customWidth="1"/>
    <col min="6182" max="6182" width="6.875" style="1" customWidth="1"/>
    <col min="6183" max="6183" width="6.375" style="1" customWidth="1"/>
    <col min="6184" max="6184" width="19.625" style="1" customWidth="1"/>
    <col min="6185" max="6185" width="51.375" style="1" customWidth="1"/>
    <col min="6186" max="6186" width="6.25" style="1" customWidth="1"/>
    <col min="6187" max="6187" width="2.625" style="1" customWidth="1"/>
    <col min="6188" max="6188" width="5.125" style="1" customWidth="1"/>
    <col min="6189" max="6189" width="27.375" style="1" customWidth="1"/>
    <col min="6190" max="6190" width="5.875" style="1" customWidth="1"/>
    <col min="6191" max="6191" width="3.75" style="1" customWidth="1"/>
    <col min="6192" max="6192" width="6.25" style="1" customWidth="1"/>
    <col min="6193" max="6193" width="6.875" style="1" customWidth="1"/>
    <col min="6194" max="6194" width="6.75" style="1" customWidth="1"/>
    <col min="6195" max="6195" width="5.875" style="1" customWidth="1"/>
    <col min="6196" max="6196" width="91.875" style="1" customWidth="1"/>
    <col min="6197" max="6197" width="131.25" style="1" customWidth="1"/>
    <col min="6198" max="6198" width="7" style="1" customWidth="1"/>
    <col min="6199" max="6199" width="7.875" style="1" customWidth="1"/>
    <col min="6200" max="6200" width="8.5" style="1" customWidth="1"/>
    <col min="6201" max="6201" width="4.75" style="1" customWidth="1"/>
    <col min="6202" max="6202" width="23.25" style="1" customWidth="1"/>
    <col min="6203" max="6203" width="6.875" style="1" customWidth="1"/>
    <col min="6204" max="6204" width="7.875" style="1" customWidth="1"/>
    <col min="6205" max="6205" width="7.75" style="1" customWidth="1"/>
    <col min="6206" max="6206" width="8" style="1" customWidth="1"/>
    <col min="6207" max="6207" width="4.625" style="1" customWidth="1"/>
    <col min="6208" max="6208" width="7.875" style="1" customWidth="1"/>
    <col min="6209" max="6209" width="4" style="1" customWidth="1"/>
    <col min="6210" max="6210" width="4.625" style="1" customWidth="1"/>
    <col min="6211" max="6220" width="4" style="1" customWidth="1"/>
    <col min="6221" max="6221" width="3.75" style="1" customWidth="1"/>
    <col min="6222" max="6222" width="4" style="1" customWidth="1"/>
    <col min="6223" max="6223" width="3.625" style="1" customWidth="1"/>
    <col min="6224" max="6224" width="9.875" style="1" customWidth="1"/>
    <col min="6225" max="6225" width="5" style="1" customWidth="1"/>
    <col min="6226" max="6226" width="7.125" style="1" customWidth="1"/>
    <col min="6227" max="6227" width="9.375" style="1" customWidth="1"/>
    <col min="6228" max="6228" width="10.25" style="1" customWidth="1"/>
    <col min="6229" max="6229" width="7.375" style="1" customWidth="1"/>
    <col min="6230" max="6230" width="47.375" style="1" customWidth="1"/>
    <col min="6231" max="6231" width="73.25" style="1" customWidth="1"/>
    <col min="6232" max="6232" width="26.625" style="1" customWidth="1"/>
    <col min="6233" max="6234" width="26.75" style="1" customWidth="1"/>
    <col min="6235" max="6235" width="6.375" style="1" customWidth="1"/>
    <col min="6236" max="6237" width="9.875" style="1" customWidth="1"/>
    <col min="6238" max="6238" width="26.5" style="1" customWidth="1"/>
    <col min="6239" max="6239" width="9.125" style="1" customWidth="1"/>
    <col min="6240" max="6240" width="12.625" style="1" customWidth="1"/>
    <col min="6241" max="6241" width="36.5" style="1" customWidth="1"/>
    <col min="6242" max="6242" width="3.375" style="1" customWidth="1"/>
    <col min="6243" max="6243" width="8" style="1" customWidth="1"/>
    <col min="6244" max="6244" width="5.625" style="1" customWidth="1"/>
    <col min="6245" max="6245" width="7.875" style="1" customWidth="1"/>
    <col min="6246" max="6246" width="6" style="1" customWidth="1"/>
    <col min="6247" max="6247" width="11.25" style="1" customWidth="1"/>
    <col min="6248" max="6400" width="9" style="1" customWidth="1"/>
    <col min="6401" max="6401" width="13.125" style="1" customWidth="1"/>
    <col min="6402" max="6402" width="10.875" style="1" customWidth="1"/>
    <col min="6403" max="6403" width="4.625" style="1" customWidth="1"/>
    <col min="6404" max="6404" width="7" style="1" customWidth="1"/>
    <col min="6405" max="6405" width="5.125" style="1" customWidth="1"/>
    <col min="6406" max="6410" width="3.25" style="1" customWidth="1"/>
    <col min="6411" max="6411" width="3.5" style="1" customWidth="1"/>
    <col min="6412" max="6413" width="3.25" style="1" customWidth="1"/>
    <col min="6414" max="6415" width="4.75" style="1" customWidth="1"/>
    <col min="6416" max="6416" width="5.25" style="1" customWidth="1"/>
    <col min="6417" max="6417" width="4.875" style="1" customWidth="1"/>
    <col min="6418" max="6418" width="7.875" style="1" customWidth="1"/>
    <col min="6419" max="6419" width="5.125" style="1" customWidth="1"/>
    <col min="6420" max="6420" width="5.5" style="1" customWidth="1"/>
    <col min="6421" max="6421" width="5.75" style="1" customWidth="1"/>
    <col min="6422" max="6422" width="7.875" style="1" customWidth="1"/>
    <col min="6423" max="6423" width="5.125" style="1" customWidth="1"/>
    <col min="6424" max="6424" width="4.625" style="1" customWidth="1"/>
    <col min="6425" max="6425" width="7.875" style="1" customWidth="1"/>
    <col min="6426" max="6426" width="6.125" style="1" customWidth="1"/>
    <col min="6427" max="6427" width="36.5" style="1" customWidth="1"/>
    <col min="6428" max="6428" width="29.25" style="1" customWidth="1"/>
    <col min="6429" max="6430" width="9.875" style="1" customWidth="1"/>
    <col min="6431" max="6431" width="9.25" style="1" customWidth="1"/>
    <col min="6432" max="6432" width="2.5" style="1" customWidth="1"/>
    <col min="6433" max="6433" width="3.25" style="1" customWidth="1"/>
    <col min="6434" max="6434" width="3.625" style="1" customWidth="1"/>
    <col min="6435" max="6435" width="3.375" style="1" customWidth="1"/>
    <col min="6436" max="6436" width="23.625" style="1" customWidth="1"/>
    <col min="6437" max="6437" width="8.25" style="1" customWidth="1"/>
    <col min="6438" max="6438" width="6.875" style="1" customWidth="1"/>
    <col min="6439" max="6439" width="6.375" style="1" customWidth="1"/>
    <col min="6440" max="6440" width="19.625" style="1" customWidth="1"/>
    <col min="6441" max="6441" width="51.375" style="1" customWidth="1"/>
    <col min="6442" max="6442" width="6.25" style="1" customWidth="1"/>
    <col min="6443" max="6443" width="2.625" style="1" customWidth="1"/>
    <col min="6444" max="6444" width="5.125" style="1" customWidth="1"/>
    <col min="6445" max="6445" width="27.375" style="1" customWidth="1"/>
    <col min="6446" max="6446" width="5.875" style="1" customWidth="1"/>
    <col min="6447" max="6447" width="3.75" style="1" customWidth="1"/>
    <col min="6448" max="6448" width="6.25" style="1" customWidth="1"/>
    <col min="6449" max="6449" width="6.875" style="1" customWidth="1"/>
    <col min="6450" max="6450" width="6.75" style="1" customWidth="1"/>
    <col min="6451" max="6451" width="5.875" style="1" customWidth="1"/>
    <col min="6452" max="6452" width="91.875" style="1" customWidth="1"/>
    <col min="6453" max="6453" width="131.25" style="1" customWidth="1"/>
    <col min="6454" max="6454" width="7" style="1" customWidth="1"/>
    <col min="6455" max="6455" width="7.875" style="1" customWidth="1"/>
    <col min="6456" max="6456" width="8.5" style="1" customWidth="1"/>
    <col min="6457" max="6457" width="4.75" style="1" customWidth="1"/>
    <col min="6458" max="6458" width="23.25" style="1" customWidth="1"/>
    <col min="6459" max="6459" width="6.875" style="1" customWidth="1"/>
    <col min="6460" max="6460" width="7.875" style="1" customWidth="1"/>
    <col min="6461" max="6461" width="7.75" style="1" customWidth="1"/>
    <col min="6462" max="6462" width="8" style="1" customWidth="1"/>
    <col min="6463" max="6463" width="4.625" style="1" customWidth="1"/>
    <col min="6464" max="6464" width="7.875" style="1" customWidth="1"/>
    <col min="6465" max="6465" width="4" style="1" customWidth="1"/>
    <col min="6466" max="6466" width="4.625" style="1" customWidth="1"/>
    <col min="6467" max="6476" width="4" style="1" customWidth="1"/>
    <col min="6477" max="6477" width="3.75" style="1" customWidth="1"/>
    <col min="6478" max="6478" width="4" style="1" customWidth="1"/>
    <col min="6479" max="6479" width="3.625" style="1" customWidth="1"/>
    <col min="6480" max="6480" width="9.875" style="1" customWidth="1"/>
    <col min="6481" max="6481" width="5" style="1" customWidth="1"/>
    <col min="6482" max="6482" width="7.125" style="1" customWidth="1"/>
    <col min="6483" max="6483" width="9.375" style="1" customWidth="1"/>
    <col min="6484" max="6484" width="10.25" style="1" customWidth="1"/>
    <col min="6485" max="6485" width="7.375" style="1" customWidth="1"/>
    <col min="6486" max="6486" width="47.375" style="1" customWidth="1"/>
    <col min="6487" max="6487" width="73.25" style="1" customWidth="1"/>
    <col min="6488" max="6488" width="26.625" style="1" customWidth="1"/>
    <col min="6489" max="6490" width="26.75" style="1" customWidth="1"/>
    <col min="6491" max="6491" width="6.375" style="1" customWidth="1"/>
    <col min="6492" max="6493" width="9.875" style="1" customWidth="1"/>
    <col min="6494" max="6494" width="26.5" style="1" customWidth="1"/>
    <col min="6495" max="6495" width="9.125" style="1" customWidth="1"/>
    <col min="6496" max="6496" width="12.625" style="1" customWidth="1"/>
    <col min="6497" max="6497" width="36.5" style="1" customWidth="1"/>
    <col min="6498" max="6498" width="3.375" style="1" customWidth="1"/>
    <col min="6499" max="6499" width="8" style="1" customWidth="1"/>
    <col min="6500" max="6500" width="5.625" style="1" customWidth="1"/>
    <col min="6501" max="6501" width="7.875" style="1" customWidth="1"/>
    <col min="6502" max="6502" width="6" style="1" customWidth="1"/>
    <col min="6503" max="6503" width="11.25" style="1" customWidth="1"/>
    <col min="6504" max="6656" width="9" style="1" customWidth="1"/>
    <col min="6657" max="6657" width="13.125" style="1" customWidth="1"/>
    <col min="6658" max="6658" width="10.875" style="1" customWidth="1"/>
    <col min="6659" max="6659" width="4.625" style="1" customWidth="1"/>
    <col min="6660" max="6660" width="7" style="1" customWidth="1"/>
    <col min="6661" max="6661" width="5.125" style="1" customWidth="1"/>
    <col min="6662" max="6666" width="3.25" style="1" customWidth="1"/>
    <col min="6667" max="6667" width="3.5" style="1" customWidth="1"/>
    <col min="6668" max="6669" width="3.25" style="1" customWidth="1"/>
    <col min="6670" max="6671" width="4.75" style="1" customWidth="1"/>
    <col min="6672" max="6672" width="5.25" style="1" customWidth="1"/>
    <col min="6673" max="6673" width="4.875" style="1" customWidth="1"/>
    <col min="6674" max="6674" width="7.875" style="1" customWidth="1"/>
    <col min="6675" max="6675" width="5.125" style="1" customWidth="1"/>
    <col min="6676" max="6676" width="5.5" style="1" customWidth="1"/>
    <col min="6677" max="6677" width="5.75" style="1" customWidth="1"/>
    <col min="6678" max="6678" width="7.875" style="1" customWidth="1"/>
    <col min="6679" max="6679" width="5.125" style="1" customWidth="1"/>
    <col min="6680" max="6680" width="4.625" style="1" customWidth="1"/>
    <col min="6681" max="6681" width="7.875" style="1" customWidth="1"/>
    <col min="6682" max="6682" width="6.125" style="1" customWidth="1"/>
    <col min="6683" max="6683" width="36.5" style="1" customWidth="1"/>
    <col min="6684" max="6684" width="29.25" style="1" customWidth="1"/>
    <col min="6685" max="6686" width="9.875" style="1" customWidth="1"/>
    <col min="6687" max="6687" width="9.25" style="1" customWidth="1"/>
    <col min="6688" max="6688" width="2.5" style="1" customWidth="1"/>
    <col min="6689" max="6689" width="3.25" style="1" customWidth="1"/>
    <col min="6690" max="6690" width="3.625" style="1" customWidth="1"/>
    <col min="6691" max="6691" width="3.375" style="1" customWidth="1"/>
    <col min="6692" max="6692" width="23.625" style="1" customWidth="1"/>
    <col min="6693" max="6693" width="8.25" style="1" customWidth="1"/>
    <col min="6694" max="6694" width="6.875" style="1" customWidth="1"/>
    <col min="6695" max="6695" width="6.375" style="1" customWidth="1"/>
    <col min="6696" max="6696" width="19.625" style="1" customWidth="1"/>
    <col min="6697" max="6697" width="51.375" style="1" customWidth="1"/>
    <col min="6698" max="6698" width="6.25" style="1" customWidth="1"/>
    <col min="6699" max="6699" width="2.625" style="1" customWidth="1"/>
    <col min="6700" max="6700" width="5.125" style="1" customWidth="1"/>
    <col min="6701" max="6701" width="27.375" style="1" customWidth="1"/>
    <col min="6702" max="6702" width="5.875" style="1" customWidth="1"/>
    <col min="6703" max="6703" width="3.75" style="1" customWidth="1"/>
    <col min="6704" max="6704" width="6.25" style="1" customWidth="1"/>
    <col min="6705" max="6705" width="6.875" style="1" customWidth="1"/>
    <col min="6706" max="6706" width="6.75" style="1" customWidth="1"/>
    <col min="6707" max="6707" width="5.875" style="1" customWidth="1"/>
    <col min="6708" max="6708" width="91.875" style="1" customWidth="1"/>
    <col min="6709" max="6709" width="131.25" style="1" customWidth="1"/>
    <col min="6710" max="6710" width="7" style="1" customWidth="1"/>
    <col min="6711" max="6711" width="7.875" style="1" customWidth="1"/>
    <col min="6712" max="6712" width="8.5" style="1" customWidth="1"/>
    <col min="6713" max="6713" width="4.75" style="1" customWidth="1"/>
    <col min="6714" max="6714" width="23.25" style="1" customWidth="1"/>
    <col min="6715" max="6715" width="6.875" style="1" customWidth="1"/>
    <col min="6716" max="6716" width="7.875" style="1" customWidth="1"/>
    <col min="6717" max="6717" width="7.75" style="1" customWidth="1"/>
    <col min="6718" max="6718" width="8" style="1" customWidth="1"/>
    <col min="6719" max="6719" width="4.625" style="1" customWidth="1"/>
    <col min="6720" max="6720" width="7.875" style="1" customWidth="1"/>
    <col min="6721" max="6721" width="4" style="1" customWidth="1"/>
    <col min="6722" max="6722" width="4.625" style="1" customWidth="1"/>
    <col min="6723" max="6732" width="4" style="1" customWidth="1"/>
    <col min="6733" max="6733" width="3.75" style="1" customWidth="1"/>
    <col min="6734" max="6734" width="4" style="1" customWidth="1"/>
    <col min="6735" max="6735" width="3.625" style="1" customWidth="1"/>
    <col min="6736" max="6736" width="9.875" style="1" customWidth="1"/>
    <col min="6737" max="6737" width="5" style="1" customWidth="1"/>
    <col min="6738" max="6738" width="7.125" style="1" customWidth="1"/>
    <col min="6739" max="6739" width="9.375" style="1" customWidth="1"/>
    <col min="6740" max="6740" width="10.25" style="1" customWidth="1"/>
    <col min="6741" max="6741" width="7.375" style="1" customWidth="1"/>
    <col min="6742" max="6742" width="47.375" style="1" customWidth="1"/>
    <col min="6743" max="6743" width="73.25" style="1" customWidth="1"/>
    <col min="6744" max="6744" width="26.625" style="1" customWidth="1"/>
    <col min="6745" max="6746" width="26.75" style="1" customWidth="1"/>
    <col min="6747" max="6747" width="6.375" style="1" customWidth="1"/>
    <col min="6748" max="6749" width="9.875" style="1" customWidth="1"/>
    <col min="6750" max="6750" width="26.5" style="1" customWidth="1"/>
    <col min="6751" max="6751" width="9.125" style="1" customWidth="1"/>
    <col min="6752" max="6752" width="12.625" style="1" customWidth="1"/>
    <col min="6753" max="6753" width="36.5" style="1" customWidth="1"/>
    <col min="6754" max="6754" width="3.375" style="1" customWidth="1"/>
    <col min="6755" max="6755" width="8" style="1" customWidth="1"/>
    <col min="6756" max="6756" width="5.625" style="1" customWidth="1"/>
    <col min="6757" max="6757" width="7.875" style="1" customWidth="1"/>
    <col min="6758" max="6758" width="6" style="1" customWidth="1"/>
    <col min="6759" max="6759" width="11.25" style="1" customWidth="1"/>
    <col min="6760" max="6912" width="9" style="1" customWidth="1"/>
    <col min="6913" max="6913" width="13.125" style="1" customWidth="1"/>
    <col min="6914" max="6914" width="10.875" style="1" customWidth="1"/>
    <col min="6915" max="6915" width="4.625" style="1" customWidth="1"/>
    <col min="6916" max="6916" width="7" style="1" customWidth="1"/>
    <col min="6917" max="6917" width="5.125" style="1" customWidth="1"/>
    <col min="6918" max="6922" width="3.25" style="1" customWidth="1"/>
    <col min="6923" max="6923" width="3.5" style="1" customWidth="1"/>
    <col min="6924" max="6925" width="3.25" style="1" customWidth="1"/>
    <col min="6926" max="6927" width="4.75" style="1" customWidth="1"/>
    <col min="6928" max="6928" width="5.25" style="1" customWidth="1"/>
    <col min="6929" max="6929" width="4.875" style="1" customWidth="1"/>
    <col min="6930" max="6930" width="7.875" style="1" customWidth="1"/>
    <col min="6931" max="6931" width="5.125" style="1" customWidth="1"/>
    <col min="6932" max="6932" width="5.5" style="1" customWidth="1"/>
    <col min="6933" max="6933" width="5.75" style="1" customWidth="1"/>
    <col min="6934" max="6934" width="7.875" style="1" customWidth="1"/>
    <col min="6935" max="6935" width="5.125" style="1" customWidth="1"/>
    <col min="6936" max="6936" width="4.625" style="1" customWidth="1"/>
    <col min="6937" max="6937" width="7.875" style="1" customWidth="1"/>
    <col min="6938" max="6938" width="6.125" style="1" customWidth="1"/>
    <col min="6939" max="6939" width="36.5" style="1" customWidth="1"/>
    <col min="6940" max="6940" width="29.25" style="1" customWidth="1"/>
    <col min="6941" max="6942" width="9.875" style="1" customWidth="1"/>
    <col min="6943" max="6943" width="9.25" style="1" customWidth="1"/>
    <col min="6944" max="6944" width="2.5" style="1" customWidth="1"/>
    <col min="6945" max="6945" width="3.25" style="1" customWidth="1"/>
    <col min="6946" max="6946" width="3.625" style="1" customWidth="1"/>
    <col min="6947" max="6947" width="3.375" style="1" customWidth="1"/>
    <col min="6948" max="6948" width="23.625" style="1" customWidth="1"/>
    <col min="6949" max="6949" width="8.25" style="1" customWidth="1"/>
    <col min="6950" max="6950" width="6.875" style="1" customWidth="1"/>
    <col min="6951" max="6951" width="6.375" style="1" customWidth="1"/>
    <col min="6952" max="6952" width="19.625" style="1" customWidth="1"/>
    <col min="6953" max="6953" width="51.375" style="1" customWidth="1"/>
    <col min="6954" max="6954" width="6.25" style="1" customWidth="1"/>
    <col min="6955" max="6955" width="2.625" style="1" customWidth="1"/>
    <col min="6956" max="6956" width="5.125" style="1" customWidth="1"/>
    <col min="6957" max="6957" width="27.375" style="1" customWidth="1"/>
    <col min="6958" max="6958" width="5.875" style="1" customWidth="1"/>
    <col min="6959" max="6959" width="3.75" style="1" customWidth="1"/>
    <col min="6960" max="6960" width="6.25" style="1" customWidth="1"/>
    <col min="6961" max="6961" width="6.875" style="1" customWidth="1"/>
    <col min="6962" max="6962" width="6.75" style="1" customWidth="1"/>
    <col min="6963" max="6963" width="5.875" style="1" customWidth="1"/>
    <col min="6964" max="6964" width="91.875" style="1" customWidth="1"/>
    <col min="6965" max="6965" width="131.25" style="1" customWidth="1"/>
    <col min="6966" max="6966" width="7" style="1" customWidth="1"/>
    <col min="6967" max="6967" width="7.875" style="1" customWidth="1"/>
    <col min="6968" max="6968" width="8.5" style="1" customWidth="1"/>
    <col min="6969" max="6969" width="4.75" style="1" customWidth="1"/>
    <col min="6970" max="6970" width="23.25" style="1" customWidth="1"/>
    <col min="6971" max="6971" width="6.875" style="1" customWidth="1"/>
    <col min="6972" max="6972" width="7.875" style="1" customWidth="1"/>
    <col min="6973" max="6973" width="7.75" style="1" customWidth="1"/>
    <col min="6974" max="6974" width="8" style="1" customWidth="1"/>
    <col min="6975" max="6975" width="4.625" style="1" customWidth="1"/>
    <col min="6976" max="6976" width="7.875" style="1" customWidth="1"/>
    <col min="6977" max="6977" width="4" style="1" customWidth="1"/>
    <col min="6978" max="6978" width="4.625" style="1" customWidth="1"/>
    <col min="6979" max="6988" width="4" style="1" customWidth="1"/>
    <col min="6989" max="6989" width="3.75" style="1" customWidth="1"/>
    <col min="6990" max="6990" width="4" style="1" customWidth="1"/>
    <col min="6991" max="6991" width="3.625" style="1" customWidth="1"/>
    <col min="6992" max="6992" width="9.875" style="1" customWidth="1"/>
    <col min="6993" max="6993" width="5" style="1" customWidth="1"/>
    <col min="6994" max="6994" width="7.125" style="1" customWidth="1"/>
    <col min="6995" max="6995" width="9.375" style="1" customWidth="1"/>
    <col min="6996" max="6996" width="10.25" style="1" customWidth="1"/>
    <col min="6997" max="6997" width="7.375" style="1" customWidth="1"/>
    <col min="6998" max="6998" width="47.375" style="1" customWidth="1"/>
    <col min="6999" max="6999" width="73.25" style="1" customWidth="1"/>
    <col min="7000" max="7000" width="26.625" style="1" customWidth="1"/>
    <col min="7001" max="7002" width="26.75" style="1" customWidth="1"/>
    <col min="7003" max="7003" width="6.375" style="1" customWidth="1"/>
    <col min="7004" max="7005" width="9.875" style="1" customWidth="1"/>
    <col min="7006" max="7006" width="26.5" style="1" customWidth="1"/>
    <col min="7007" max="7007" width="9.125" style="1" customWidth="1"/>
    <col min="7008" max="7008" width="12.625" style="1" customWidth="1"/>
    <col min="7009" max="7009" width="36.5" style="1" customWidth="1"/>
    <col min="7010" max="7010" width="3.375" style="1" customWidth="1"/>
    <col min="7011" max="7011" width="8" style="1" customWidth="1"/>
    <col min="7012" max="7012" width="5.625" style="1" customWidth="1"/>
    <col min="7013" max="7013" width="7.875" style="1" customWidth="1"/>
    <col min="7014" max="7014" width="6" style="1" customWidth="1"/>
    <col min="7015" max="7015" width="11.25" style="1" customWidth="1"/>
    <col min="7016" max="7168" width="9" style="1" customWidth="1"/>
    <col min="7169" max="7169" width="13.125" style="1" customWidth="1"/>
    <col min="7170" max="7170" width="10.875" style="1" customWidth="1"/>
    <col min="7171" max="7171" width="4.625" style="1" customWidth="1"/>
    <col min="7172" max="7172" width="7" style="1" customWidth="1"/>
    <col min="7173" max="7173" width="5.125" style="1" customWidth="1"/>
    <col min="7174" max="7178" width="3.25" style="1" customWidth="1"/>
    <col min="7179" max="7179" width="3.5" style="1" customWidth="1"/>
    <col min="7180" max="7181" width="3.25" style="1" customWidth="1"/>
    <col min="7182" max="7183" width="4.75" style="1" customWidth="1"/>
    <col min="7184" max="7184" width="5.25" style="1" customWidth="1"/>
    <col min="7185" max="7185" width="4.875" style="1" customWidth="1"/>
    <col min="7186" max="7186" width="7.875" style="1" customWidth="1"/>
    <col min="7187" max="7187" width="5.125" style="1" customWidth="1"/>
    <col min="7188" max="7188" width="5.5" style="1" customWidth="1"/>
    <col min="7189" max="7189" width="5.75" style="1" customWidth="1"/>
    <col min="7190" max="7190" width="7.875" style="1" customWidth="1"/>
    <col min="7191" max="7191" width="5.125" style="1" customWidth="1"/>
    <col min="7192" max="7192" width="4.625" style="1" customWidth="1"/>
    <col min="7193" max="7193" width="7.875" style="1" customWidth="1"/>
    <col min="7194" max="7194" width="6.125" style="1" customWidth="1"/>
    <col min="7195" max="7195" width="36.5" style="1" customWidth="1"/>
    <col min="7196" max="7196" width="29.25" style="1" customWidth="1"/>
    <col min="7197" max="7198" width="9.875" style="1" customWidth="1"/>
    <col min="7199" max="7199" width="9.25" style="1" customWidth="1"/>
    <col min="7200" max="7200" width="2.5" style="1" customWidth="1"/>
    <col min="7201" max="7201" width="3.25" style="1" customWidth="1"/>
    <col min="7202" max="7202" width="3.625" style="1" customWidth="1"/>
    <col min="7203" max="7203" width="3.375" style="1" customWidth="1"/>
    <col min="7204" max="7204" width="23.625" style="1" customWidth="1"/>
    <col min="7205" max="7205" width="8.25" style="1" customWidth="1"/>
    <col min="7206" max="7206" width="6.875" style="1" customWidth="1"/>
    <col min="7207" max="7207" width="6.375" style="1" customWidth="1"/>
    <col min="7208" max="7208" width="19.625" style="1" customWidth="1"/>
    <col min="7209" max="7209" width="51.375" style="1" customWidth="1"/>
    <col min="7210" max="7210" width="6.25" style="1" customWidth="1"/>
    <col min="7211" max="7211" width="2.625" style="1" customWidth="1"/>
    <col min="7212" max="7212" width="5.125" style="1" customWidth="1"/>
    <col min="7213" max="7213" width="27.375" style="1" customWidth="1"/>
    <col min="7214" max="7214" width="5.875" style="1" customWidth="1"/>
    <col min="7215" max="7215" width="3.75" style="1" customWidth="1"/>
    <col min="7216" max="7216" width="6.25" style="1" customWidth="1"/>
    <col min="7217" max="7217" width="6.875" style="1" customWidth="1"/>
    <col min="7218" max="7218" width="6.75" style="1" customWidth="1"/>
    <col min="7219" max="7219" width="5.875" style="1" customWidth="1"/>
    <col min="7220" max="7220" width="91.875" style="1" customWidth="1"/>
    <col min="7221" max="7221" width="131.25" style="1" customWidth="1"/>
    <col min="7222" max="7222" width="7" style="1" customWidth="1"/>
    <col min="7223" max="7223" width="7.875" style="1" customWidth="1"/>
    <col min="7224" max="7224" width="8.5" style="1" customWidth="1"/>
    <col min="7225" max="7225" width="4.75" style="1" customWidth="1"/>
    <col min="7226" max="7226" width="23.25" style="1" customWidth="1"/>
    <col min="7227" max="7227" width="6.875" style="1" customWidth="1"/>
    <col min="7228" max="7228" width="7.875" style="1" customWidth="1"/>
    <col min="7229" max="7229" width="7.75" style="1" customWidth="1"/>
    <col min="7230" max="7230" width="8" style="1" customWidth="1"/>
    <col min="7231" max="7231" width="4.625" style="1" customWidth="1"/>
    <col min="7232" max="7232" width="7.875" style="1" customWidth="1"/>
    <col min="7233" max="7233" width="4" style="1" customWidth="1"/>
    <col min="7234" max="7234" width="4.625" style="1" customWidth="1"/>
    <col min="7235" max="7244" width="4" style="1" customWidth="1"/>
    <col min="7245" max="7245" width="3.75" style="1" customWidth="1"/>
    <col min="7246" max="7246" width="4" style="1" customWidth="1"/>
    <col min="7247" max="7247" width="3.625" style="1" customWidth="1"/>
    <col min="7248" max="7248" width="9.875" style="1" customWidth="1"/>
    <col min="7249" max="7249" width="5" style="1" customWidth="1"/>
    <col min="7250" max="7250" width="7.125" style="1" customWidth="1"/>
    <col min="7251" max="7251" width="9.375" style="1" customWidth="1"/>
    <col min="7252" max="7252" width="10.25" style="1" customWidth="1"/>
    <col min="7253" max="7253" width="7.375" style="1" customWidth="1"/>
    <col min="7254" max="7254" width="47.375" style="1" customWidth="1"/>
    <col min="7255" max="7255" width="73.25" style="1" customWidth="1"/>
    <col min="7256" max="7256" width="26.625" style="1" customWidth="1"/>
    <col min="7257" max="7258" width="26.75" style="1" customWidth="1"/>
    <col min="7259" max="7259" width="6.375" style="1" customWidth="1"/>
    <col min="7260" max="7261" width="9.875" style="1" customWidth="1"/>
    <col min="7262" max="7262" width="26.5" style="1" customWidth="1"/>
    <col min="7263" max="7263" width="9.125" style="1" customWidth="1"/>
    <col min="7264" max="7264" width="12.625" style="1" customWidth="1"/>
    <col min="7265" max="7265" width="36.5" style="1" customWidth="1"/>
    <col min="7266" max="7266" width="3.375" style="1" customWidth="1"/>
    <col min="7267" max="7267" width="8" style="1" customWidth="1"/>
    <col min="7268" max="7268" width="5.625" style="1" customWidth="1"/>
    <col min="7269" max="7269" width="7.875" style="1" customWidth="1"/>
    <col min="7270" max="7270" width="6" style="1" customWidth="1"/>
    <col min="7271" max="7271" width="11.25" style="1" customWidth="1"/>
    <col min="7272" max="7424" width="9" style="1" customWidth="1"/>
    <col min="7425" max="7425" width="13.125" style="1" customWidth="1"/>
    <col min="7426" max="7426" width="10.875" style="1" customWidth="1"/>
    <col min="7427" max="7427" width="4.625" style="1" customWidth="1"/>
    <col min="7428" max="7428" width="7" style="1" customWidth="1"/>
    <col min="7429" max="7429" width="5.125" style="1" customWidth="1"/>
    <col min="7430" max="7434" width="3.25" style="1" customWidth="1"/>
    <col min="7435" max="7435" width="3.5" style="1" customWidth="1"/>
    <col min="7436" max="7437" width="3.25" style="1" customWidth="1"/>
    <col min="7438" max="7439" width="4.75" style="1" customWidth="1"/>
    <col min="7440" max="7440" width="5.25" style="1" customWidth="1"/>
    <col min="7441" max="7441" width="4.875" style="1" customWidth="1"/>
    <col min="7442" max="7442" width="7.875" style="1" customWidth="1"/>
    <col min="7443" max="7443" width="5.125" style="1" customWidth="1"/>
    <col min="7444" max="7444" width="5.5" style="1" customWidth="1"/>
    <col min="7445" max="7445" width="5.75" style="1" customWidth="1"/>
    <col min="7446" max="7446" width="7.875" style="1" customWidth="1"/>
    <col min="7447" max="7447" width="5.125" style="1" customWidth="1"/>
    <col min="7448" max="7448" width="4.625" style="1" customWidth="1"/>
    <col min="7449" max="7449" width="7.875" style="1" customWidth="1"/>
    <col min="7450" max="7450" width="6.125" style="1" customWidth="1"/>
    <col min="7451" max="7451" width="36.5" style="1" customWidth="1"/>
    <col min="7452" max="7452" width="29.25" style="1" customWidth="1"/>
    <col min="7453" max="7454" width="9.875" style="1" customWidth="1"/>
    <col min="7455" max="7455" width="9.25" style="1" customWidth="1"/>
    <col min="7456" max="7456" width="2.5" style="1" customWidth="1"/>
    <col min="7457" max="7457" width="3.25" style="1" customWidth="1"/>
    <col min="7458" max="7458" width="3.625" style="1" customWidth="1"/>
    <col min="7459" max="7459" width="3.375" style="1" customWidth="1"/>
    <col min="7460" max="7460" width="23.625" style="1" customWidth="1"/>
    <col min="7461" max="7461" width="8.25" style="1" customWidth="1"/>
    <col min="7462" max="7462" width="6.875" style="1" customWidth="1"/>
    <col min="7463" max="7463" width="6.375" style="1" customWidth="1"/>
    <col min="7464" max="7464" width="19.625" style="1" customWidth="1"/>
    <col min="7465" max="7465" width="51.375" style="1" customWidth="1"/>
    <col min="7466" max="7466" width="6.25" style="1" customWidth="1"/>
    <col min="7467" max="7467" width="2.625" style="1" customWidth="1"/>
    <col min="7468" max="7468" width="5.125" style="1" customWidth="1"/>
    <col min="7469" max="7469" width="27.375" style="1" customWidth="1"/>
    <col min="7470" max="7470" width="5.875" style="1" customWidth="1"/>
    <col min="7471" max="7471" width="3.75" style="1" customWidth="1"/>
    <col min="7472" max="7472" width="6.25" style="1" customWidth="1"/>
    <col min="7473" max="7473" width="6.875" style="1" customWidth="1"/>
    <col min="7474" max="7474" width="6.75" style="1" customWidth="1"/>
    <col min="7475" max="7475" width="5.875" style="1" customWidth="1"/>
    <col min="7476" max="7476" width="91.875" style="1" customWidth="1"/>
    <col min="7477" max="7477" width="131.25" style="1" customWidth="1"/>
    <col min="7478" max="7478" width="7" style="1" customWidth="1"/>
    <col min="7479" max="7479" width="7.875" style="1" customWidth="1"/>
    <col min="7480" max="7480" width="8.5" style="1" customWidth="1"/>
    <col min="7481" max="7481" width="4.75" style="1" customWidth="1"/>
    <col min="7482" max="7482" width="23.25" style="1" customWidth="1"/>
    <col min="7483" max="7483" width="6.875" style="1" customWidth="1"/>
    <col min="7484" max="7484" width="7.875" style="1" customWidth="1"/>
    <col min="7485" max="7485" width="7.75" style="1" customWidth="1"/>
    <col min="7486" max="7486" width="8" style="1" customWidth="1"/>
    <col min="7487" max="7487" width="4.625" style="1" customWidth="1"/>
    <col min="7488" max="7488" width="7.875" style="1" customWidth="1"/>
    <col min="7489" max="7489" width="4" style="1" customWidth="1"/>
    <col min="7490" max="7490" width="4.625" style="1" customWidth="1"/>
    <col min="7491" max="7500" width="4" style="1" customWidth="1"/>
    <col min="7501" max="7501" width="3.75" style="1" customWidth="1"/>
    <col min="7502" max="7502" width="4" style="1" customWidth="1"/>
    <col min="7503" max="7503" width="3.625" style="1" customWidth="1"/>
    <col min="7504" max="7504" width="9.875" style="1" customWidth="1"/>
    <col min="7505" max="7505" width="5" style="1" customWidth="1"/>
    <col min="7506" max="7506" width="7.125" style="1" customWidth="1"/>
    <col min="7507" max="7507" width="9.375" style="1" customWidth="1"/>
    <col min="7508" max="7508" width="10.25" style="1" customWidth="1"/>
    <col min="7509" max="7509" width="7.375" style="1" customWidth="1"/>
    <col min="7510" max="7510" width="47.375" style="1" customWidth="1"/>
    <col min="7511" max="7511" width="73.25" style="1" customWidth="1"/>
    <col min="7512" max="7512" width="26.625" style="1" customWidth="1"/>
    <col min="7513" max="7514" width="26.75" style="1" customWidth="1"/>
    <col min="7515" max="7515" width="6.375" style="1" customWidth="1"/>
    <col min="7516" max="7517" width="9.875" style="1" customWidth="1"/>
    <col min="7518" max="7518" width="26.5" style="1" customWidth="1"/>
    <col min="7519" max="7519" width="9.125" style="1" customWidth="1"/>
    <col min="7520" max="7520" width="12.625" style="1" customWidth="1"/>
    <col min="7521" max="7521" width="36.5" style="1" customWidth="1"/>
    <col min="7522" max="7522" width="3.375" style="1" customWidth="1"/>
    <col min="7523" max="7523" width="8" style="1" customWidth="1"/>
    <col min="7524" max="7524" width="5.625" style="1" customWidth="1"/>
    <col min="7525" max="7525" width="7.875" style="1" customWidth="1"/>
    <col min="7526" max="7526" width="6" style="1" customWidth="1"/>
    <col min="7527" max="7527" width="11.25" style="1" customWidth="1"/>
    <col min="7528" max="7680" width="9" style="1" customWidth="1"/>
    <col min="7681" max="7681" width="13.125" style="1" customWidth="1"/>
    <col min="7682" max="7682" width="10.875" style="1" customWidth="1"/>
    <col min="7683" max="7683" width="4.625" style="1" customWidth="1"/>
    <col min="7684" max="7684" width="7" style="1" customWidth="1"/>
    <col min="7685" max="7685" width="5.125" style="1" customWidth="1"/>
    <col min="7686" max="7690" width="3.25" style="1" customWidth="1"/>
    <col min="7691" max="7691" width="3.5" style="1" customWidth="1"/>
    <col min="7692" max="7693" width="3.25" style="1" customWidth="1"/>
    <col min="7694" max="7695" width="4.75" style="1" customWidth="1"/>
    <col min="7696" max="7696" width="5.25" style="1" customWidth="1"/>
    <col min="7697" max="7697" width="4.875" style="1" customWidth="1"/>
    <col min="7698" max="7698" width="7.875" style="1" customWidth="1"/>
    <col min="7699" max="7699" width="5.125" style="1" customWidth="1"/>
    <col min="7700" max="7700" width="5.5" style="1" customWidth="1"/>
    <col min="7701" max="7701" width="5.75" style="1" customWidth="1"/>
    <col min="7702" max="7702" width="7.875" style="1" customWidth="1"/>
    <col min="7703" max="7703" width="5.125" style="1" customWidth="1"/>
    <col min="7704" max="7704" width="4.625" style="1" customWidth="1"/>
    <col min="7705" max="7705" width="7.875" style="1" customWidth="1"/>
    <col min="7706" max="7706" width="6.125" style="1" customWidth="1"/>
    <col min="7707" max="7707" width="36.5" style="1" customWidth="1"/>
    <col min="7708" max="7708" width="29.25" style="1" customWidth="1"/>
    <col min="7709" max="7710" width="9.875" style="1" customWidth="1"/>
    <col min="7711" max="7711" width="9.25" style="1" customWidth="1"/>
    <col min="7712" max="7712" width="2.5" style="1" customWidth="1"/>
    <col min="7713" max="7713" width="3.25" style="1" customWidth="1"/>
    <col min="7714" max="7714" width="3.625" style="1" customWidth="1"/>
    <col min="7715" max="7715" width="3.375" style="1" customWidth="1"/>
    <col min="7716" max="7716" width="23.625" style="1" customWidth="1"/>
    <col min="7717" max="7717" width="8.25" style="1" customWidth="1"/>
    <col min="7718" max="7718" width="6.875" style="1" customWidth="1"/>
    <col min="7719" max="7719" width="6.375" style="1" customWidth="1"/>
    <col min="7720" max="7720" width="19.625" style="1" customWidth="1"/>
    <col min="7721" max="7721" width="51.375" style="1" customWidth="1"/>
    <col min="7722" max="7722" width="6.25" style="1" customWidth="1"/>
    <col min="7723" max="7723" width="2.625" style="1" customWidth="1"/>
    <col min="7724" max="7724" width="5.125" style="1" customWidth="1"/>
    <col min="7725" max="7725" width="27.375" style="1" customWidth="1"/>
    <col min="7726" max="7726" width="5.875" style="1" customWidth="1"/>
    <col min="7727" max="7727" width="3.75" style="1" customWidth="1"/>
    <col min="7728" max="7728" width="6.25" style="1" customWidth="1"/>
    <col min="7729" max="7729" width="6.875" style="1" customWidth="1"/>
    <col min="7730" max="7730" width="6.75" style="1" customWidth="1"/>
    <col min="7731" max="7731" width="5.875" style="1" customWidth="1"/>
    <col min="7732" max="7732" width="91.875" style="1" customWidth="1"/>
    <col min="7733" max="7733" width="131.25" style="1" customWidth="1"/>
    <col min="7734" max="7734" width="7" style="1" customWidth="1"/>
    <col min="7735" max="7735" width="7.875" style="1" customWidth="1"/>
    <col min="7736" max="7736" width="8.5" style="1" customWidth="1"/>
    <col min="7737" max="7737" width="4.75" style="1" customWidth="1"/>
    <col min="7738" max="7738" width="23.25" style="1" customWidth="1"/>
    <col min="7739" max="7739" width="6.875" style="1" customWidth="1"/>
    <col min="7740" max="7740" width="7.875" style="1" customWidth="1"/>
    <col min="7741" max="7741" width="7.75" style="1" customWidth="1"/>
    <col min="7742" max="7742" width="8" style="1" customWidth="1"/>
    <col min="7743" max="7743" width="4.625" style="1" customWidth="1"/>
    <col min="7744" max="7744" width="7.875" style="1" customWidth="1"/>
    <col min="7745" max="7745" width="4" style="1" customWidth="1"/>
    <col min="7746" max="7746" width="4.625" style="1" customWidth="1"/>
    <col min="7747" max="7756" width="4" style="1" customWidth="1"/>
    <col min="7757" max="7757" width="3.75" style="1" customWidth="1"/>
    <col min="7758" max="7758" width="4" style="1" customWidth="1"/>
    <col min="7759" max="7759" width="3.625" style="1" customWidth="1"/>
    <col min="7760" max="7760" width="9.875" style="1" customWidth="1"/>
    <col min="7761" max="7761" width="5" style="1" customWidth="1"/>
    <col min="7762" max="7762" width="7.125" style="1" customWidth="1"/>
    <col min="7763" max="7763" width="9.375" style="1" customWidth="1"/>
    <col min="7764" max="7764" width="10.25" style="1" customWidth="1"/>
    <col min="7765" max="7765" width="7.375" style="1" customWidth="1"/>
    <col min="7766" max="7766" width="47.375" style="1" customWidth="1"/>
    <col min="7767" max="7767" width="73.25" style="1" customWidth="1"/>
    <col min="7768" max="7768" width="26.625" style="1" customWidth="1"/>
    <col min="7769" max="7770" width="26.75" style="1" customWidth="1"/>
    <col min="7771" max="7771" width="6.375" style="1" customWidth="1"/>
    <col min="7772" max="7773" width="9.875" style="1" customWidth="1"/>
    <col min="7774" max="7774" width="26.5" style="1" customWidth="1"/>
    <col min="7775" max="7775" width="9.125" style="1" customWidth="1"/>
    <col min="7776" max="7776" width="12.625" style="1" customWidth="1"/>
    <col min="7777" max="7777" width="36.5" style="1" customWidth="1"/>
    <col min="7778" max="7778" width="3.375" style="1" customWidth="1"/>
    <col min="7779" max="7779" width="8" style="1" customWidth="1"/>
    <col min="7780" max="7780" width="5.625" style="1" customWidth="1"/>
    <col min="7781" max="7781" width="7.875" style="1" customWidth="1"/>
    <col min="7782" max="7782" width="6" style="1" customWidth="1"/>
    <col min="7783" max="7783" width="11.25" style="1" customWidth="1"/>
    <col min="7784" max="7936" width="9" style="1" customWidth="1"/>
    <col min="7937" max="7937" width="13.125" style="1" customWidth="1"/>
    <col min="7938" max="7938" width="10.875" style="1" customWidth="1"/>
    <col min="7939" max="7939" width="4.625" style="1" customWidth="1"/>
    <col min="7940" max="7940" width="7" style="1" customWidth="1"/>
    <col min="7941" max="7941" width="5.125" style="1" customWidth="1"/>
    <col min="7942" max="7946" width="3.25" style="1" customWidth="1"/>
    <col min="7947" max="7947" width="3.5" style="1" customWidth="1"/>
    <col min="7948" max="7949" width="3.25" style="1" customWidth="1"/>
    <col min="7950" max="7951" width="4.75" style="1" customWidth="1"/>
    <col min="7952" max="7952" width="5.25" style="1" customWidth="1"/>
    <col min="7953" max="7953" width="4.875" style="1" customWidth="1"/>
    <col min="7954" max="7954" width="7.875" style="1" customWidth="1"/>
    <col min="7955" max="7955" width="5.125" style="1" customWidth="1"/>
    <col min="7956" max="7956" width="5.5" style="1" customWidth="1"/>
    <col min="7957" max="7957" width="5.75" style="1" customWidth="1"/>
    <col min="7958" max="7958" width="7.875" style="1" customWidth="1"/>
    <col min="7959" max="7959" width="5.125" style="1" customWidth="1"/>
    <col min="7960" max="7960" width="4.625" style="1" customWidth="1"/>
    <col min="7961" max="7961" width="7.875" style="1" customWidth="1"/>
    <col min="7962" max="7962" width="6.125" style="1" customWidth="1"/>
    <col min="7963" max="7963" width="36.5" style="1" customWidth="1"/>
    <col min="7964" max="7964" width="29.25" style="1" customWidth="1"/>
    <col min="7965" max="7966" width="9.875" style="1" customWidth="1"/>
    <col min="7967" max="7967" width="9.25" style="1" customWidth="1"/>
    <col min="7968" max="7968" width="2.5" style="1" customWidth="1"/>
    <col min="7969" max="7969" width="3.25" style="1" customWidth="1"/>
    <col min="7970" max="7970" width="3.625" style="1" customWidth="1"/>
    <col min="7971" max="7971" width="3.375" style="1" customWidth="1"/>
    <col min="7972" max="7972" width="23.625" style="1" customWidth="1"/>
    <col min="7973" max="7973" width="8.25" style="1" customWidth="1"/>
    <col min="7974" max="7974" width="6.875" style="1" customWidth="1"/>
    <col min="7975" max="7975" width="6.375" style="1" customWidth="1"/>
    <col min="7976" max="7976" width="19.625" style="1" customWidth="1"/>
    <col min="7977" max="7977" width="51.375" style="1" customWidth="1"/>
    <col min="7978" max="7978" width="6.25" style="1" customWidth="1"/>
    <col min="7979" max="7979" width="2.625" style="1" customWidth="1"/>
    <col min="7980" max="7980" width="5.125" style="1" customWidth="1"/>
    <col min="7981" max="7981" width="27.375" style="1" customWidth="1"/>
    <col min="7982" max="7982" width="5.875" style="1" customWidth="1"/>
    <col min="7983" max="7983" width="3.75" style="1" customWidth="1"/>
    <col min="7984" max="7984" width="6.25" style="1" customWidth="1"/>
    <col min="7985" max="7985" width="6.875" style="1" customWidth="1"/>
    <col min="7986" max="7986" width="6.75" style="1" customWidth="1"/>
    <col min="7987" max="7987" width="5.875" style="1" customWidth="1"/>
    <col min="7988" max="7988" width="91.875" style="1" customWidth="1"/>
    <col min="7989" max="7989" width="131.25" style="1" customWidth="1"/>
    <col min="7990" max="7990" width="7" style="1" customWidth="1"/>
    <col min="7991" max="7991" width="7.875" style="1" customWidth="1"/>
    <col min="7992" max="7992" width="8.5" style="1" customWidth="1"/>
    <col min="7993" max="7993" width="4.75" style="1" customWidth="1"/>
    <col min="7994" max="7994" width="23.25" style="1" customWidth="1"/>
    <col min="7995" max="7995" width="6.875" style="1" customWidth="1"/>
    <col min="7996" max="7996" width="7.875" style="1" customWidth="1"/>
    <col min="7997" max="7997" width="7.75" style="1" customWidth="1"/>
    <col min="7998" max="7998" width="8" style="1" customWidth="1"/>
    <col min="7999" max="7999" width="4.625" style="1" customWidth="1"/>
    <col min="8000" max="8000" width="7.875" style="1" customWidth="1"/>
    <col min="8001" max="8001" width="4" style="1" customWidth="1"/>
    <col min="8002" max="8002" width="4.625" style="1" customWidth="1"/>
    <col min="8003" max="8012" width="4" style="1" customWidth="1"/>
    <col min="8013" max="8013" width="3.75" style="1" customWidth="1"/>
    <col min="8014" max="8014" width="4" style="1" customWidth="1"/>
    <col min="8015" max="8015" width="3.625" style="1" customWidth="1"/>
    <col min="8016" max="8016" width="9.875" style="1" customWidth="1"/>
    <col min="8017" max="8017" width="5" style="1" customWidth="1"/>
    <col min="8018" max="8018" width="7.125" style="1" customWidth="1"/>
    <col min="8019" max="8019" width="9.375" style="1" customWidth="1"/>
    <col min="8020" max="8020" width="10.25" style="1" customWidth="1"/>
    <col min="8021" max="8021" width="7.375" style="1" customWidth="1"/>
    <col min="8022" max="8022" width="47.375" style="1" customWidth="1"/>
    <col min="8023" max="8023" width="73.25" style="1" customWidth="1"/>
    <col min="8024" max="8024" width="26.625" style="1" customWidth="1"/>
    <col min="8025" max="8026" width="26.75" style="1" customWidth="1"/>
    <col min="8027" max="8027" width="6.375" style="1" customWidth="1"/>
    <col min="8028" max="8029" width="9.875" style="1" customWidth="1"/>
    <col min="8030" max="8030" width="26.5" style="1" customWidth="1"/>
    <col min="8031" max="8031" width="9.125" style="1" customWidth="1"/>
    <col min="8032" max="8032" width="12.625" style="1" customWidth="1"/>
    <col min="8033" max="8033" width="36.5" style="1" customWidth="1"/>
    <col min="8034" max="8034" width="3.375" style="1" customWidth="1"/>
    <col min="8035" max="8035" width="8" style="1" customWidth="1"/>
    <col min="8036" max="8036" width="5.625" style="1" customWidth="1"/>
    <col min="8037" max="8037" width="7.875" style="1" customWidth="1"/>
    <col min="8038" max="8038" width="6" style="1" customWidth="1"/>
    <col min="8039" max="8039" width="11.25" style="1" customWidth="1"/>
    <col min="8040" max="8192" width="9" style="1" customWidth="1"/>
    <col min="8193" max="8193" width="13.125" style="1" customWidth="1"/>
    <col min="8194" max="8194" width="10.875" style="1" customWidth="1"/>
    <col min="8195" max="8195" width="4.625" style="1" customWidth="1"/>
    <col min="8196" max="8196" width="7" style="1" customWidth="1"/>
    <col min="8197" max="8197" width="5.125" style="1" customWidth="1"/>
    <col min="8198" max="8202" width="3.25" style="1" customWidth="1"/>
    <col min="8203" max="8203" width="3.5" style="1" customWidth="1"/>
    <col min="8204" max="8205" width="3.25" style="1" customWidth="1"/>
    <col min="8206" max="8207" width="4.75" style="1" customWidth="1"/>
    <col min="8208" max="8208" width="5.25" style="1" customWidth="1"/>
    <col min="8209" max="8209" width="4.875" style="1" customWidth="1"/>
    <col min="8210" max="8210" width="7.875" style="1" customWidth="1"/>
    <col min="8211" max="8211" width="5.125" style="1" customWidth="1"/>
    <col min="8212" max="8212" width="5.5" style="1" customWidth="1"/>
    <col min="8213" max="8213" width="5.75" style="1" customWidth="1"/>
    <col min="8214" max="8214" width="7.875" style="1" customWidth="1"/>
    <col min="8215" max="8215" width="5.125" style="1" customWidth="1"/>
    <col min="8216" max="8216" width="4.625" style="1" customWidth="1"/>
    <col min="8217" max="8217" width="7.875" style="1" customWidth="1"/>
    <col min="8218" max="8218" width="6.125" style="1" customWidth="1"/>
    <col min="8219" max="8219" width="36.5" style="1" customWidth="1"/>
    <col min="8220" max="8220" width="29.25" style="1" customWidth="1"/>
    <col min="8221" max="8222" width="9.875" style="1" customWidth="1"/>
    <col min="8223" max="8223" width="9.25" style="1" customWidth="1"/>
    <col min="8224" max="8224" width="2.5" style="1" customWidth="1"/>
    <col min="8225" max="8225" width="3.25" style="1" customWidth="1"/>
    <col min="8226" max="8226" width="3.625" style="1" customWidth="1"/>
    <col min="8227" max="8227" width="3.375" style="1" customWidth="1"/>
    <col min="8228" max="8228" width="23.625" style="1" customWidth="1"/>
    <col min="8229" max="8229" width="8.25" style="1" customWidth="1"/>
    <col min="8230" max="8230" width="6.875" style="1" customWidth="1"/>
    <col min="8231" max="8231" width="6.375" style="1" customWidth="1"/>
    <col min="8232" max="8232" width="19.625" style="1" customWidth="1"/>
    <col min="8233" max="8233" width="51.375" style="1" customWidth="1"/>
    <col min="8234" max="8234" width="6.25" style="1" customWidth="1"/>
    <col min="8235" max="8235" width="2.625" style="1" customWidth="1"/>
    <col min="8236" max="8236" width="5.125" style="1" customWidth="1"/>
    <col min="8237" max="8237" width="27.375" style="1" customWidth="1"/>
    <col min="8238" max="8238" width="5.875" style="1" customWidth="1"/>
    <col min="8239" max="8239" width="3.75" style="1" customWidth="1"/>
    <col min="8240" max="8240" width="6.25" style="1" customWidth="1"/>
    <col min="8241" max="8241" width="6.875" style="1" customWidth="1"/>
    <col min="8242" max="8242" width="6.75" style="1" customWidth="1"/>
    <col min="8243" max="8243" width="5.875" style="1" customWidth="1"/>
    <col min="8244" max="8244" width="91.875" style="1" customWidth="1"/>
    <col min="8245" max="8245" width="131.25" style="1" customWidth="1"/>
    <col min="8246" max="8246" width="7" style="1" customWidth="1"/>
    <col min="8247" max="8247" width="7.875" style="1" customWidth="1"/>
    <col min="8248" max="8248" width="8.5" style="1" customWidth="1"/>
    <col min="8249" max="8249" width="4.75" style="1" customWidth="1"/>
    <col min="8250" max="8250" width="23.25" style="1" customWidth="1"/>
    <col min="8251" max="8251" width="6.875" style="1" customWidth="1"/>
    <col min="8252" max="8252" width="7.875" style="1" customWidth="1"/>
    <col min="8253" max="8253" width="7.75" style="1" customWidth="1"/>
    <col min="8254" max="8254" width="8" style="1" customWidth="1"/>
    <col min="8255" max="8255" width="4.625" style="1" customWidth="1"/>
    <col min="8256" max="8256" width="7.875" style="1" customWidth="1"/>
    <col min="8257" max="8257" width="4" style="1" customWidth="1"/>
    <col min="8258" max="8258" width="4.625" style="1" customWidth="1"/>
    <col min="8259" max="8268" width="4" style="1" customWidth="1"/>
    <col min="8269" max="8269" width="3.75" style="1" customWidth="1"/>
    <col min="8270" max="8270" width="4" style="1" customWidth="1"/>
    <col min="8271" max="8271" width="3.625" style="1" customWidth="1"/>
    <col min="8272" max="8272" width="9.875" style="1" customWidth="1"/>
    <col min="8273" max="8273" width="5" style="1" customWidth="1"/>
    <col min="8274" max="8274" width="7.125" style="1" customWidth="1"/>
    <col min="8275" max="8275" width="9.375" style="1" customWidth="1"/>
    <col min="8276" max="8276" width="10.25" style="1" customWidth="1"/>
    <col min="8277" max="8277" width="7.375" style="1" customWidth="1"/>
    <col min="8278" max="8278" width="47.375" style="1" customWidth="1"/>
    <col min="8279" max="8279" width="73.25" style="1" customWidth="1"/>
    <col min="8280" max="8280" width="26.625" style="1" customWidth="1"/>
    <col min="8281" max="8282" width="26.75" style="1" customWidth="1"/>
    <col min="8283" max="8283" width="6.375" style="1" customWidth="1"/>
    <col min="8284" max="8285" width="9.875" style="1" customWidth="1"/>
    <col min="8286" max="8286" width="26.5" style="1" customWidth="1"/>
    <col min="8287" max="8287" width="9.125" style="1" customWidth="1"/>
    <col min="8288" max="8288" width="12.625" style="1" customWidth="1"/>
    <col min="8289" max="8289" width="36.5" style="1" customWidth="1"/>
    <col min="8290" max="8290" width="3.375" style="1" customWidth="1"/>
    <col min="8291" max="8291" width="8" style="1" customWidth="1"/>
    <col min="8292" max="8292" width="5.625" style="1" customWidth="1"/>
    <col min="8293" max="8293" width="7.875" style="1" customWidth="1"/>
    <col min="8294" max="8294" width="6" style="1" customWidth="1"/>
    <col min="8295" max="8295" width="11.25" style="1" customWidth="1"/>
    <col min="8296" max="8448" width="9" style="1" customWidth="1"/>
    <col min="8449" max="8449" width="13.125" style="1" customWidth="1"/>
    <col min="8450" max="8450" width="10.875" style="1" customWidth="1"/>
    <col min="8451" max="8451" width="4.625" style="1" customWidth="1"/>
    <col min="8452" max="8452" width="7" style="1" customWidth="1"/>
    <col min="8453" max="8453" width="5.125" style="1" customWidth="1"/>
    <col min="8454" max="8458" width="3.25" style="1" customWidth="1"/>
    <col min="8459" max="8459" width="3.5" style="1" customWidth="1"/>
    <col min="8460" max="8461" width="3.25" style="1" customWidth="1"/>
    <col min="8462" max="8463" width="4.75" style="1" customWidth="1"/>
    <col min="8464" max="8464" width="5.25" style="1" customWidth="1"/>
    <col min="8465" max="8465" width="4.875" style="1" customWidth="1"/>
    <col min="8466" max="8466" width="7.875" style="1" customWidth="1"/>
    <col min="8467" max="8467" width="5.125" style="1" customWidth="1"/>
    <col min="8468" max="8468" width="5.5" style="1" customWidth="1"/>
    <col min="8469" max="8469" width="5.75" style="1" customWidth="1"/>
    <col min="8470" max="8470" width="7.875" style="1" customWidth="1"/>
    <col min="8471" max="8471" width="5.125" style="1" customWidth="1"/>
    <col min="8472" max="8472" width="4.625" style="1" customWidth="1"/>
    <col min="8473" max="8473" width="7.875" style="1" customWidth="1"/>
    <col min="8474" max="8474" width="6.125" style="1" customWidth="1"/>
    <col min="8475" max="8475" width="36.5" style="1" customWidth="1"/>
    <col min="8476" max="8476" width="29.25" style="1" customWidth="1"/>
    <col min="8477" max="8478" width="9.875" style="1" customWidth="1"/>
    <col min="8479" max="8479" width="9.25" style="1" customWidth="1"/>
    <col min="8480" max="8480" width="2.5" style="1" customWidth="1"/>
    <col min="8481" max="8481" width="3.25" style="1" customWidth="1"/>
    <col min="8482" max="8482" width="3.625" style="1" customWidth="1"/>
    <col min="8483" max="8483" width="3.375" style="1" customWidth="1"/>
    <col min="8484" max="8484" width="23.625" style="1" customWidth="1"/>
    <col min="8485" max="8485" width="8.25" style="1" customWidth="1"/>
    <col min="8486" max="8486" width="6.875" style="1" customWidth="1"/>
    <col min="8487" max="8487" width="6.375" style="1" customWidth="1"/>
    <col min="8488" max="8488" width="19.625" style="1" customWidth="1"/>
    <col min="8489" max="8489" width="51.375" style="1" customWidth="1"/>
    <col min="8490" max="8490" width="6.25" style="1" customWidth="1"/>
    <col min="8491" max="8491" width="2.625" style="1" customWidth="1"/>
    <col min="8492" max="8492" width="5.125" style="1" customWidth="1"/>
    <col min="8493" max="8493" width="27.375" style="1" customWidth="1"/>
    <col min="8494" max="8494" width="5.875" style="1" customWidth="1"/>
    <col min="8495" max="8495" width="3.75" style="1" customWidth="1"/>
    <col min="8496" max="8496" width="6.25" style="1" customWidth="1"/>
    <col min="8497" max="8497" width="6.875" style="1" customWidth="1"/>
    <col min="8498" max="8498" width="6.75" style="1" customWidth="1"/>
    <col min="8499" max="8499" width="5.875" style="1" customWidth="1"/>
    <col min="8500" max="8500" width="91.875" style="1" customWidth="1"/>
    <col min="8501" max="8501" width="131.25" style="1" customWidth="1"/>
    <col min="8502" max="8502" width="7" style="1" customWidth="1"/>
    <col min="8503" max="8503" width="7.875" style="1" customWidth="1"/>
    <col min="8504" max="8504" width="8.5" style="1" customWidth="1"/>
    <col min="8505" max="8505" width="4.75" style="1" customWidth="1"/>
    <col min="8506" max="8506" width="23.25" style="1" customWidth="1"/>
    <col min="8507" max="8507" width="6.875" style="1" customWidth="1"/>
    <col min="8508" max="8508" width="7.875" style="1" customWidth="1"/>
    <col min="8509" max="8509" width="7.75" style="1" customWidth="1"/>
    <col min="8510" max="8510" width="8" style="1" customWidth="1"/>
    <col min="8511" max="8511" width="4.625" style="1" customWidth="1"/>
    <col min="8512" max="8512" width="7.875" style="1" customWidth="1"/>
    <col min="8513" max="8513" width="4" style="1" customWidth="1"/>
    <col min="8514" max="8514" width="4.625" style="1" customWidth="1"/>
    <col min="8515" max="8524" width="4" style="1" customWidth="1"/>
    <col min="8525" max="8525" width="3.75" style="1" customWidth="1"/>
    <col min="8526" max="8526" width="4" style="1" customWidth="1"/>
    <col min="8527" max="8527" width="3.625" style="1" customWidth="1"/>
    <col min="8528" max="8528" width="9.875" style="1" customWidth="1"/>
    <col min="8529" max="8529" width="5" style="1" customWidth="1"/>
    <col min="8530" max="8530" width="7.125" style="1" customWidth="1"/>
    <col min="8531" max="8531" width="9.375" style="1" customWidth="1"/>
    <col min="8532" max="8532" width="10.25" style="1" customWidth="1"/>
    <col min="8533" max="8533" width="7.375" style="1" customWidth="1"/>
    <col min="8534" max="8534" width="47.375" style="1" customWidth="1"/>
    <col min="8535" max="8535" width="73.25" style="1" customWidth="1"/>
    <col min="8536" max="8536" width="26.625" style="1" customWidth="1"/>
    <col min="8537" max="8538" width="26.75" style="1" customWidth="1"/>
    <col min="8539" max="8539" width="6.375" style="1" customWidth="1"/>
    <col min="8540" max="8541" width="9.875" style="1" customWidth="1"/>
    <col min="8542" max="8542" width="26.5" style="1" customWidth="1"/>
    <col min="8543" max="8543" width="9.125" style="1" customWidth="1"/>
    <col min="8544" max="8544" width="12.625" style="1" customWidth="1"/>
    <col min="8545" max="8545" width="36.5" style="1" customWidth="1"/>
    <col min="8546" max="8546" width="3.375" style="1" customWidth="1"/>
    <col min="8547" max="8547" width="8" style="1" customWidth="1"/>
    <col min="8548" max="8548" width="5.625" style="1" customWidth="1"/>
    <col min="8549" max="8549" width="7.875" style="1" customWidth="1"/>
    <col min="8550" max="8550" width="6" style="1" customWidth="1"/>
    <col min="8551" max="8551" width="11.25" style="1" customWidth="1"/>
    <col min="8552" max="8704" width="9" style="1" customWidth="1"/>
    <col min="8705" max="8705" width="13.125" style="1" customWidth="1"/>
    <col min="8706" max="8706" width="10.875" style="1" customWidth="1"/>
    <col min="8707" max="8707" width="4.625" style="1" customWidth="1"/>
    <col min="8708" max="8708" width="7" style="1" customWidth="1"/>
    <col min="8709" max="8709" width="5.125" style="1" customWidth="1"/>
    <col min="8710" max="8714" width="3.25" style="1" customWidth="1"/>
    <col min="8715" max="8715" width="3.5" style="1" customWidth="1"/>
    <col min="8716" max="8717" width="3.25" style="1" customWidth="1"/>
    <col min="8718" max="8719" width="4.75" style="1" customWidth="1"/>
    <col min="8720" max="8720" width="5.25" style="1" customWidth="1"/>
    <col min="8721" max="8721" width="4.875" style="1" customWidth="1"/>
    <col min="8722" max="8722" width="7.875" style="1" customWidth="1"/>
    <col min="8723" max="8723" width="5.125" style="1" customWidth="1"/>
    <col min="8724" max="8724" width="5.5" style="1" customWidth="1"/>
    <col min="8725" max="8725" width="5.75" style="1" customWidth="1"/>
    <col min="8726" max="8726" width="7.875" style="1" customWidth="1"/>
    <col min="8727" max="8727" width="5.125" style="1" customWidth="1"/>
    <col min="8728" max="8728" width="4.625" style="1" customWidth="1"/>
    <col min="8729" max="8729" width="7.875" style="1" customWidth="1"/>
    <col min="8730" max="8730" width="6.125" style="1" customWidth="1"/>
    <col min="8731" max="8731" width="36.5" style="1" customWidth="1"/>
    <col min="8732" max="8732" width="29.25" style="1" customWidth="1"/>
    <col min="8733" max="8734" width="9.875" style="1" customWidth="1"/>
    <col min="8735" max="8735" width="9.25" style="1" customWidth="1"/>
    <col min="8736" max="8736" width="2.5" style="1" customWidth="1"/>
    <col min="8737" max="8737" width="3.25" style="1" customWidth="1"/>
    <col min="8738" max="8738" width="3.625" style="1" customWidth="1"/>
    <col min="8739" max="8739" width="3.375" style="1" customWidth="1"/>
    <col min="8740" max="8740" width="23.625" style="1" customWidth="1"/>
    <col min="8741" max="8741" width="8.25" style="1" customWidth="1"/>
    <col min="8742" max="8742" width="6.875" style="1" customWidth="1"/>
    <col min="8743" max="8743" width="6.375" style="1" customWidth="1"/>
    <col min="8744" max="8744" width="19.625" style="1" customWidth="1"/>
    <col min="8745" max="8745" width="51.375" style="1" customWidth="1"/>
    <col min="8746" max="8746" width="6.25" style="1" customWidth="1"/>
    <col min="8747" max="8747" width="2.625" style="1" customWidth="1"/>
    <col min="8748" max="8748" width="5.125" style="1" customWidth="1"/>
    <col min="8749" max="8749" width="27.375" style="1" customWidth="1"/>
    <col min="8750" max="8750" width="5.875" style="1" customWidth="1"/>
    <col min="8751" max="8751" width="3.75" style="1" customWidth="1"/>
    <col min="8752" max="8752" width="6.25" style="1" customWidth="1"/>
    <col min="8753" max="8753" width="6.875" style="1" customWidth="1"/>
    <col min="8754" max="8754" width="6.75" style="1" customWidth="1"/>
    <col min="8755" max="8755" width="5.875" style="1" customWidth="1"/>
    <col min="8756" max="8756" width="91.875" style="1" customWidth="1"/>
    <col min="8757" max="8757" width="131.25" style="1" customWidth="1"/>
    <col min="8758" max="8758" width="7" style="1" customWidth="1"/>
    <col min="8759" max="8759" width="7.875" style="1" customWidth="1"/>
    <col min="8760" max="8760" width="8.5" style="1" customWidth="1"/>
    <col min="8761" max="8761" width="4.75" style="1" customWidth="1"/>
    <col min="8762" max="8762" width="23.25" style="1" customWidth="1"/>
    <col min="8763" max="8763" width="6.875" style="1" customWidth="1"/>
    <col min="8764" max="8764" width="7.875" style="1" customWidth="1"/>
    <col min="8765" max="8765" width="7.75" style="1" customWidth="1"/>
    <col min="8766" max="8766" width="8" style="1" customWidth="1"/>
    <col min="8767" max="8767" width="4.625" style="1" customWidth="1"/>
    <col min="8768" max="8768" width="7.875" style="1" customWidth="1"/>
    <col min="8769" max="8769" width="4" style="1" customWidth="1"/>
    <col min="8770" max="8770" width="4.625" style="1" customWidth="1"/>
    <col min="8771" max="8780" width="4" style="1" customWidth="1"/>
    <col min="8781" max="8781" width="3.75" style="1" customWidth="1"/>
    <col min="8782" max="8782" width="4" style="1" customWidth="1"/>
    <col min="8783" max="8783" width="3.625" style="1" customWidth="1"/>
    <col min="8784" max="8784" width="9.875" style="1" customWidth="1"/>
    <col min="8785" max="8785" width="5" style="1" customWidth="1"/>
    <col min="8786" max="8786" width="7.125" style="1" customWidth="1"/>
    <col min="8787" max="8787" width="9.375" style="1" customWidth="1"/>
    <col min="8788" max="8788" width="10.25" style="1" customWidth="1"/>
    <col min="8789" max="8789" width="7.375" style="1" customWidth="1"/>
    <col min="8790" max="8790" width="47.375" style="1" customWidth="1"/>
    <col min="8791" max="8791" width="73.25" style="1" customWidth="1"/>
    <col min="8792" max="8792" width="26.625" style="1" customWidth="1"/>
    <col min="8793" max="8794" width="26.75" style="1" customWidth="1"/>
    <col min="8795" max="8795" width="6.375" style="1" customWidth="1"/>
    <col min="8796" max="8797" width="9.875" style="1" customWidth="1"/>
    <col min="8798" max="8798" width="26.5" style="1" customWidth="1"/>
    <col min="8799" max="8799" width="9.125" style="1" customWidth="1"/>
    <col min="8800" max="8800" width="12.625" style="1" customWidth="1"/>
    <col min="8801" max="8801" width="36.5" style="1" customWidth="1"/>
    <col min="8802" max="8802" width="3.375" style="1" customWidth="1"/>
    <col min="8803" max="8803" width="8" style="1" customWidth="1"/>
    <col min="8804" max="8804" width="5.625" style="1" customWidth="1"/>
    <col min="8805" max="8805" width="7.875" style="1" customWidth="1"/>
    <col min="8806" max="8806" width="6" style="1" customWidth="1"/>
    <col min="8807" max="8807" width="11.25" style="1" customWidth="1"/>
    <col min="8808" max="8960" width="9" style="1" customWidth="1"/>
    <col min="8961" max="8961" width="13.125" style="1" customWidth="1"/>
    <col min="8962" max="8962" width="10.875" style="1" customWidth="1"/>
    <col min="8963" max="8963" width="4.625" style="1" customWidth="1"/>
    <col min="8964" max="8964" width="7" style="1" customWidth="1"/>
    <col min="8965" max="8965" width="5.125" style="1" customWidth="1"/>
    <col min="8966" max="8970" width="3.25" style="1" customWidth="1"/>
    <col min="8971" max="8971" width="3.5" style="1" customWidth="1"/>
    <col min="8972" max="8973" width="3.25" style="1" customWidth="1"/>
    <col min="8974" max="8975" width="4.75" style="1" customWidth="1"/>
    <col min="8976" max="8976" width="5.25" style="1" customWidth="1"/>
    <col min="8977" max="8977" width="4.875" style="1" customWidth="1"/>
    <col min="8978" max="8978" width="7.875" style="1" customWidth="1"/>
    <col min="8979" max="8979" width="5.125" style="1" customWidth="1"/>
    <col min="8980" max="8980" width="5.5" style="1" customWidth="1"/>
    <col min="8981" max="8981" width="5.75" style="1" customWidth="1"/>
    <col min="8982" max="8982" width="7.875" style="1" customWidth="1"/>
    <col min="8983" max="8983" width="5.125" style="1" customWidth="1"/>
    <col min="8984" max="8984" width="4.625" style="1" customWidth="1"/>
    <col min="8985" max="8985" width="7.875" style="1" customWidth="1"/>
    <col min="8986" max="8986" width="6.125" style="1" customWidth="1"/>
    <col min="8987" max="8987" width="36.5" style="1" customWidth="1"/>
    <col min="8988" max="8988" width="29.25" style="1" customWidth="1"/>
    <col min="8989" max="8990" width="9.875" style="1" customWidth="1"/>
    <col min="8991" max="8991" width="9.25" style="1" customWidth="1"/>
    <col min="8992" max="8992" width="2.5" style="1" customWidth="1"/>
    <col min="8993" max="8993" width="3.25" style="1" customWidth="1"/>
    <col min="8994" max="8994" width="3.625" style="1" customWidth="1"/>
    <col min="8995" max="8995" width="3.375" style="1" customWidth="1"/>
    <col min="8996" max="8996" width="23.625" style="1" customWidth="1"/>
    <col min="8997" max="8997" width="8.25" style="1" customWidth="1"/>
    <col min="8998" max="8998" width="6.875" style="1" customWidth="1"/>
    <col min="8999" max="8999" width="6.375" style="1" customWidth="1"/>
    <col min="9000" max="9000" width="19.625" style="1" customWidth="1"/>
    <col min="9001" max="9001" width="51.375" style="1" customWidth="1"/>
    <col min="9002" max="9002" width="6.25" style="1" customWidth="1"/>
    <col min="9003" max="9003" width="2.625" style="1" customWidth="1"/>
    <col min="9004" max="9004" width="5.125" style="1" customWidth="1"/>
    <col min="9005" max="9005" width="27.375" style="1" customWidth="1"/>
    <col min="9006" max="9006" width="5.875" style="1" customWidth="1"/>
    <col min="9007" max="9007" width="3.75" style="1" customWidth="1"/>
    <col min="9008" max="9008" width="6.25" style="1" customWidth="1"/>
    <col min="9009" max="9009" width="6.875" style="1" customWidth="1"/>
    <col min="9010" max="9010" width="6.75" style="1" customWidth="1"/>
    <col min="9011" max="9011" width="5.875" style="1" customWidth="1"/>
    <col min="9012" max="9012" width="91.875" style="1" customWidth="1"/>
    <col min="9013" max="9013" width="131.25" style="1" customWidth="1"/>
    <col min="9014" max="9014" width="7" style="1" customWidth="1"/>
    <col min="9015" max="9015" width="7.875" style="1" customWidth="1"/>
    <col min="9016" max="9016" width="8.5" style="1" customWidth="1"/>
    <col min="9017" max="9017" width="4.75" style="1" customWidth="1"/>
    <col min="9018" max="9018" width="23.25" style="1" customWidth="1"/>
    <col min="9019" max="9019" width="6.875" style="1" customWidth="1"/>
    <col min="9020" max="9020" width="7.875" style="1" customWidth="1"/>
    <col min="9021" max="9021" width="7.75" style="1" customWidth="1"/>
    <col min="9022" max="9022" width="8" style="1" customWidth="1"/>
    <col min="9023" max="9023" width="4.625" style="1" customWidth="1"/>
    <col min="9024" max="9024" width="7.875" style="1" customWidth="1"/>
    <col min="9025" max="9025" width="4" style="1" customWidth="1"/>
    <col min="9026" max="9026" width="4.625" style="1" customWidth="1"/>
    <col min="9027" max="9036" width="4" style="1" customWidth="1"/>
    <col min="9037" max="9037" width="3.75" style="1" customWidth="1"/>
    <col min="9038" max="9038" width="4" style="1" customWidth="1"/>
    <col min="9039" max="9039" width="3.625" style="1" customWidth="1"/>
    <col min="9040" max="9040" width="9.875" style="1" customWidth="1"/>
    <col min="9041" max="9041" width="5" style="1" customWidth="1"/>
    <col min="9042" max="9042" width="7.125" style="1" customWidth="1"/>
    <col min="9043" max="9043" width="9.375" style="1" customWidth="1"/>
    <col min="9044" max="9044" width="10.25" style="1" customWidth="1"/>
    <col min="9045" max="9045" width="7.375" style="1" customWidth="1"/>
    <col min="9046" max="9046" width="47.375" style="1" customWidth="1"/>
    <col min="9047" max="9047" width="73.25" style="1" customWidth="1"/>
    <col min="9048" max="9048" width="26.625" style="1" customWidth="1"/>
    <col min="9049" max="9050" width="26.75" style="1" customWidth="1"/>
    <col min="9051" max="9051" width="6.375" style="1" customWidth="1"/>
    <col min="9052" max="9053" width="9.875" style="1" customWidth="1"/>
    <col min="9054" max="9054" width="26.5" style="1" customWidth="1"/>
    <col min="9055" max="9055" width="9.125" style="1" customWidth="1"/>
    <col min="9056" max="9056" width="12.625" style="1" customWidth="1"/>
    <col min="9057" max="9057" width="36.5" style="1" customWidth="1"/>
    <col min="9058" max="9058" width="3.375" style="1" customWidth="1"/>
    <col min="9059" max="9059" width="8" style="1" customWidth="1"/>
    <col min="9060" max="9060" width="5.625" style="1" customWidth="1"/>
    <col min="9061" max="9061" width="7.875" style="1" customWidth="1"/>
    <col min="9062" max="9062" width="6" style="1" customWidth="1"/>
    <col min="9063" max="9063" width="11.25" style="1" customWidth="1"/>
    <col min="9064" max="9216" width="9" style="1" customWidth="1"/>
    <col min="9217" max="9217" width="13.125" style="1" customWidth="1"/>
    <col min="9218" max="9218" width="10.875" style="1" customWidth="1"/>
    <col min="9219" max="9219" width="4.625" style="1" customWidth="1"/>
    <col min="9220" max="9220" width="7" style="1" customWidth="1"/>
    <col min="9221" max="9221" width="5.125" style="1" customWidth="1"/>
    <col min="9222" max="9226" width="3.25" style="1" customWidth="1"/>
    <col min="9227" max="9227" width="3.5" style="1" customWidth="1"/>
    <col min="9228" max="9229" width="3.25" style="1" customWidth="1"/>
    <col min="9230" max="9231" width="4.75" style="1" customWidth="1"/>
    <col min="9232" max="9232" width="5.25" style="1" customWidth="1"/>
    <col min="9233" max="9233" width="4.875" style="1" customWidth="1"/>
    <col min="9234" max="9234" width="7.875" style="1" customWidth="1"/>
    <col min="9235" max="9235" width="5.125" style="1" customWidth="1"/>
    <col min="9236" max="9236" width="5.5" style="1" customWidth="1"/>
    <col min="9237" max="9237" width="5.75" style="1" customWidth="1"/>
    <col min="9238" max="9238" width="7.875" style="1" customWidth="1"/>
    <col min="9239" max="9239" width="5.125" style="1" customWidth="1"/>
    <col min="9240" max="9240" width="4.625" style="1" customWidth="1"/>
    <col min="9241" max="9241" width="7.875" style="1" customWidth="1"/>
    <col min="9242" max="9242" width="6.125" style="1" customWidth="1"/>
    <col min="9243" max="9243" width="36.5" style="1" customWidth="1"/>
    <col min="9244" max="9244" width="29.25" style="1" customWidth="1"/>
    <col min="9245" max="9246" width="9.875" style="1" customWidth="1"/>
    <col min="9247" max="9247" width="9.25" style="1" customWidth="1"/>
    <col min="9248" max="9248" width="2.5" style="1" customWidth="1"/>
    <col min="9249" max="9249" width="3.25" style="1" customWidth="1"/>
    <col min="9250" max="9250" width="3.625" style="1" customWidth="1"/>
    <col min="9251" max="9251" width="3.375" style="1" customWidth="1"/>
    <col min="9252" max="9252" width="23.625" style="1" customWidth="1"/>
    <col min="9253" max="9253" width="8.25" style="1" customWidth="1"/>
    <col min="9254" max="9254" width="6.875" style="1" customWidth="1"/>
    <col min="9255" max="9255" width="6.375" style="1" customWidth="1"/>
    <col min="9256" max="9256" width="19.625" style="1" customWidth="1"/>
    <col min="9257" max="9257" width="51.375" style="1" customWidth="1"/>
    <col min="9258" max="9258" width="6.25" style="1" customWidth="1"/>
    <col min="9259" max="9259" width="2.625" style="1" customWidth="1"/>
    <col min="9260" max="9260" width="5.125" style="1" customWidth="1"/>
    <col min="9261" max="9261" width="27.375" style="1" customWidth="1"/>
    <col min="9262" max="9262" width="5.875" style="1" customWidth="1"/>
    <col min="9263" max="9263" width="3.75" style="1" customWidth="1"/>
    <col min="9264" max="9264" width="6.25" style="1" customWidth="1"/>
    <col min="9265" max="9265" width="6.875" style="1" customWidth="1"/>
    <col min="9266" max="9266" width="6.75" style="1" customWidth="1"/>
    <col min="9267" max="9267" width="5.875" style="1" customWidth="1"/>
    <col min="9268" max="9268" width="91.875" style="1" customWidth="1"/>
    <col min="9269" max="9269" width="131.25" style="1" customWidth="1"/>
    <col min="9270" max="9270" width="7" style="1" customWidth="1"/>
    <col min="9271" max="9271" width="7.875" style="1" customWidth="1"/>
    <col min="9272" max="9272" width="8.5" style="1" customWidth="1"/>
    <col min="9273" max="9273" width="4.75" style="1" customWidth="1"/>
    <col min="9274" max="9274" width="23.25" style="1" customWidth="1"/>
    <col min="9275" max="9275" width="6.875" style="1" customWidth="1"/>
    <col min="9276" max="9276" width="7.875" style="1" customWidth="1"/>
    <col min="9277" max="9277" width="7.75" style="1" customWidth="1"/>
    <col min="9278" max="9278" width="8" style="1" customWidth="1"/>
    <col min="9279" max="9279" width="4.625" style="1" customWidth="1"/>
    <col min="9280" max="9280" width="7.875" style="1" customWidth="1"/>
    <col min="9281" max="9281" width="4" style="1" customWidth="1"/>
    <col min="9282" max="9282" width="4.625" style="1" customWidth="1"/>
    <col min="9283" max="9292" width="4" style="1" customWidth="1"/>
    <col min="9293" max="9293" width="3.75" style="1" customWidth="1"/>
    <col min="9294" max="9294" width="4" style="1" customWidth="1"/>
    <col min="9295" max="9295" width="3.625" style="1" customWidth="1"/>
    <col min="9296" max="9296" width="9.875" style="1" customWidth="1"/>
    <col min="9297" max="9297" width="5" style="1" customWidth="1"/>
    <col min="9298" max="9298" width="7.125" style="1" customWidth="1"/>
    <col min="9299" max="9299" width="9.375" style="1" customWidth="1"/>
    <col min="9300" max="9300" width="10.25" style="1" customWidth="1"/>
    <col min="9301" max="9301" width="7.375" style="1" customWidth="1"/>
    <col min="9302" max="9302" width="47.375" style="1" customWidth="1"/>
    <col min="9303" max="9303" width="73.25" style="1" customWidth="1"/>
    <col min="9304" max="9304" width="26.625" style="1" customWidth="1"/>
    <col min="9305" max="9306" width="26.75" style="1" customWidth="1"/>
    <col min="9307" max="9307" width="6.375" style="1" customWidth="1"/>
    <col min="9308" max="9309" width="9.875" style="1" customWidth="1"/>
    <col min="9310" max="9310" width="26.5" style="1" customWidth="1"/>
    <col min="9311" max="9311" width="9.125" style="1" customWidth="1"/>
    <col min="9312" max="9312" width="12.625" style="1" customWidth="1"/>
    <col min="9313" max="9313" width="36.5" style="1" customWidth="1"/>
    <col min="9314" max="9314" width="3.375" style="1" customWidth="1"/>
    <col min="9315" max="9315" width="8" style="1" customWidth="1"/>
    <col min="9316" max="9316" width="5.625" style="1" customWidth="1"/>
    <col min="9317" max="9317" width="7.875" style="1" customWidth="1"/>
    <col min="9318" max="9318" width="6" style="1" customWidth="1"/>
    <col min="9319" max="9319" width="11.25" style="1" customWidth="1"/>
    <col min="9320" max="9472" width="9" style="1" customWidth="1"/>
    <col min="9473" max="9473" width="13.125" style="1" customWidth="1"/>
    <col min="9474" max="9474" width="10.875" style="1" customWidth="1"/>
    <col min="9475" max="9475" width="4.625" style="1" customWidth="1"/>
    <col min="9476" max="9476" width="7" style="1" customWidth="1"/>
    <col min="9477" max="9477" width="5.125" style="1" customWidth="1"/>
    <col min="9478" max="9482" width="3.25" style="1" customWidth="1"/>
    <col min="9483" max="9483" width="3.5" style="1" customWidth="1"/>
    <col min="9484" max="9485" width="3.25" style="1" customWidth="1"/>
    <col min="9486" max="9487" width="4.75" style="1" customWidth="1"/>
    <col min="9488" max="9488" width="5.25" style="1" customWidth="1"/>
    <col min="9489" max="9489" width="4.875" style="1" customWidth="1"/>
    <col min="9490" max="9490" width="7.875" style="1" customWidth="1"/>
    <col min="9491" max="9491" width="5.125" style="1" customWidth="1"/>
    <col min="9492" max="9492" width="5.5" style="1" customWidth="1"/>
    <col min="9493" max="9493" width="5.75" style="1" customWidth="1"/>
    <col min="9494" max="9494" width="7.875" style="1" customWidth="1"/>
    <col min="9495" max="9495" width="5.125" style="1" customWidth="1"/>
    <col min="9496" max="9496" width="4.625" style="1" customWidth="1"/>
    <col min="9497" max="9497" width="7.875" style="1" customWidth="1"/>
    <col min="9498" max="9498" width="6.125" style="1" customWidth="1"/>
    <col min="9499" max="9499" width="36.5" style="1" customWidth="1"/>
    <col min="9500" max="9500" width="29.25" style="1" customWidth="1"/>
    <col min="9501" max="9502" width="9.875" style="1" customWidth="1"/>
    <col min="9503" max="9503" width="9.25" style="1" customWidth="1"/>
    <col min="9504" max="9504" width="2.5" style="1" customWidth="1"/>
    <col min="9505" max="9505" width="3.25" style="1" customWidth="1"/>
    <col min="9506" max="9506" width="3.625" style="1" customWidth="1"/>
    <col min="9507" max="9507" width="3.375" style="1" customWidth="1"/>
    <col min="9508" max="9508" width="23.625" style="1" customWidth="1"/>
    <col min="9509" max="9509" width="8.25" style="1" customWidth="1"/>
    <col min="9510" max="9510" width="6.875" style="1" customWidth="1"/>
    <col min="9511" max="9511" width="6.375" style="1" customWidth="1"/>
    <col min="9512" max="9512" width="19.625" style="1" customWidth="1"/>
    <col min="9513" max="9513" width="51.375" style="1" customWidth="1"/>
    <col min="9514" max="9514" width="6.25" style="1" customWidth="1"/>
    <col min="9515" max="9515" width="2.625" style="1" customWidth="1"/>
    <col min="9516" max="9516" width="5.125" style="1" customWidth="1"/>
    <col min="9517" max="9517" width="27.375" style="1" customWidth="1"/>
    <col min="9518" max="9518" width="5.875" style="1" customWidth="1"/>
    <col min="9519" max="9519" width="3.75" style="1" customWidth="1"/>
    <col min="9520" max="9520" width="6.25" style="1" customWidth="1"/>
    <col min="9521" max="9521" width="6.875" style="1" customWidth="1"/>
    <col min="9522" max="9522" width="6.75" style="1" customWidth="1"/>
    <col min="9523" max="9523" width="5.875" style="1" customWidth="1"/>
    <col min="9524" max="9524" width="91.875" style="1" customWidth="1"/>
    <col min="9525" max="9525" width="131.25" style="1" customWidth="1"/>
    <col min="9526" max="9526" width="7" style="1" customWidth="1"/>
    <col min="9527" max="9527" width="7.875" style="1" customWidth="1"/>
    <col min="9528" max="9528" width="8.5" style="1" customWidth="1"/>
    <col min="9529" max="9529" width="4.75" style="1" customWidth="1"/>
    <col min="9530" max="9530" width="23.25" style="1" customWidth="1"/>
    <col min="9531" max="9531" width="6.875" style="1" customWidth="1"/>
    <col min="9532" max="9532" width="7.875" style="1" customWidth="1"/>
    <col min="9533" max="9533" width="7.75" style="1" customWidth="1"/>
    <col min="9534" max="9534" width="8" style="1" customWidth="1"/>
    <col min="9535" max="9535" width="4.625" style="1" customWidth="1"/>
    <col min="9536" max="9536" width="7.875" style="1" customWidth="1"/>
    <col min="9537" max="9537" width="4" style="1" customWidth="1"/>
    <col min="9538" max="9538" width="4.625" style="1" customWidth="1"/>
    <col min="9539" max="9548" width="4" style="1" customWidth="1"/>
    <col min="9549" max="9549" width="3.75" style="1" customWidth="1"/>
    <col min="9550" max="9550" width="4" style="1" customWidth="1"/>
    <col min="9551" max="9551" width="3.625" style="1" customWidth="1"/>
    <col min="9552" max="9552" width="9.875" style="1" customWidth="1"/>
    <col min="9553" max="9553" width="5" style="1" customWidth="1"/>
    <col min="9554" max="9554" width="7.125" style="1" customWidth="1"/>
    <col min="9555" max="9555" width="9.375" style="1" customWidth="1"/>
    <col min="9556" max="9556" width="10.25" style="1" customWidth="1"/>
    <col min="9557" max="9557" width="7.375" style="1" customWidth="1"/>
    <col min="9558" max="9558" width="47.375" style="1" customWidth="1"/>
    <col min="9559" max="9559" width="73.25" style="1" customWidth="1"/>
    <col min="9560" max="9560" width="26.625" style="1" customWidth="1"/>
    <col min="9561" max="9562" width="26.75" style="1" customWidth="1"/>
    <col min="9563" max="9563" width="6.375" style="1" customWidth="1"/>
    <col min="9564" max="9565" width="9.875" style="1" customWidth="1"/>
    <col min="9566" max="9566" width="26.5" style="1" customWidth="1"/>
    <col min="9567" max="9567" width="9.125" style="1" customWidth="1"/>
    <col min="9568" max="9568" width="12.625" style="1" customWidth="1"/>
    <col min="9569" max="9569" width="36.5" style="1" customWidth="1"/>
    <col min="9570" max="9570" width="3.375" style="1" customWidth="1"/>
    <col min="9571" max="9571" width="8" style="1" customWidth="1"/>
    <col min="9572" max="9572" width="5.625" style="1" customWidth="1"/>
    <col min="9573" max="9573" width="7.875" style="1" customWidth="1"/>
    <col min="9574" max="9574" width="6" style="1" customWidth="1"/>
    <col min="9575" max="9575" width="11.25" style="1" customWidth="1"/>
    <col min="9576" max="9728" width="9" style="1" customWidth="1"/>
    <col min="9729" max="9729" width="13.125" style="1" customWidth="1"/>
    <col min="9730" max="9730" width="10.875" style="1" customWidth="1"/>
    <col min="9731" max="9731" width="4.625" style="1" customWidth="1"/>
    <col min="9732" max="9732" width="7" style="1" customWidth="1"/>
    <col min="9733" max="9733" width="5.125" style="1" customWidth="1"/>
    <col min="9734" max="9738" width="3.25" style="1" customWidth="1"/>
    <col min="9739" max="9739" width="3.5" style="1" customWidth="1"/>
    <col min="9740" max="9741" width="3.25" style="1" customWidth="1"/>
    <col min="9742" max="9743" width="4.75" style="1" customWidth="1"/>
    <col min="9744" max="9744" width="5.25" style="1" customWidth="1"/>
    <col min="9745" max="9745" width="4.875" style="1" customWidth="1"/>
    <col min="9746" max="9746" width="7.875" style="1" customWidth="1"/>
    <col min="9747" max="9747" width="5.125" style="1" customWidth="1"/>
    <col min="9748" max="9748" width="5.5" style="1" customWidth="1"/>
    <col min="9749" max="9749" width="5.75" style="1" customWidth="1"/>
    <col min="9750" max="9750" width="7.875" style="1" customWidth="1"/>
    <col min="9751" max="9751" width="5.125" style="1" customWidth="1"/>
    <col min="9752" max="9752" width="4.625" style="1" customWidth="1"/>
    <col min="9753" max="9753" width="7.875" style="1" customWidth="1"/>
    <col min="9754" max="9754" width="6.125" style="1" customWidth="1"/>
    <col min="9755" max="9755" width="36.5" style="1" customWidth="1"/>
    <col min="9756" max="9756" width="29.25" style="1" customWidth="1"/>
    <col min="9757" max="9758" width="9.875" style="1" customWidth="1"/>
    <col min="9759" max="9759" width="9.25" style="1" customWidth="1"/>
    <col min="9760" max="9760" width="2.5" style="1" customWidth="1"/>
    <col min="9761" max="9761" width="3.25" style="1" customWidth="1"/>
    <col min="9762" max="9762" width="3.625" style="1" customWidth="1"/>
    <col min="9763" max="9763" width="3.375" style="1" customWidth="1"/>
    <col min="9764" max="9764" width="23.625" style="1" customWidth="1"/>
    <col min="9765" max="9765" width="8.25" style="1" customWidth="1"/>
    <col min="9766" max="9766" width="6.875" style="1" customWidth="1"/>
    <col min="9767" max="9767" width="6.375" style="1" customWidth="1"/>
    <col min="9768" max="9768" width="19.625" style="1" customWidth="1"/>
    <col min="9769" max="9769" width="51.375" style="1" customWidth="1"/>
    <col min="9770" max="9770" width="6.25" style="1" customWidth="1"/>
    <col min="9771" max="9771" width="2.625" style="1" customWidth="1"/>
    <col min="9772" max="9772" width="5.125" style="1" customWidth="1"/>
    <col min="9773" max="9773" width="27.375" style="1" customWidth="1"/>
    <col min="9774" max="9774" width="5.875" style="1" customWidth="1"/>
    <col min="9775" max="9775" width="3.75" style="1" customWidth="1"/>
    <col min="9776" max="9776" width="6.25" style="1" customWidth="1"/>
    <col min="9777" max="9777" width="6.875" style="1" customWidth="1"/>
    <col min="9778" max="9778" width="6.75" style="1" customWidth="1"/>
    <col min="9779" max="9779" width="5.875" style="1" customWidth="1"/>
    <col min="9780" max="9780" width="91.875" style="1" customWidth="1"/>
    <col min="9781" max="9781" width="131.25" style="1" customWidth="1"/>
    <col min="9782" max="9782" width="7" style="1" customWidth="1"/>
    <col min="9783" max="9783" width="7.875" style="1" customWidth="1"/>
    <col min="9784" max="9784" width="8.5" style="1" customWidth="1"/>
    <col min="9785" max="9785" width="4.75" style="1" customWidth="1"/>
    <col min="9786" max="9786" width="23.25" style="1" customWidth="1"/>
    <col min="9787" max="9787" width="6.875" style="1" customWidth="1"/>
    <col min="9788" max="9788" width="7.875" style="1" customWidth="1"/>
    <col min="9789" max="9789" width="7.75" style="1" customWidth="1"/>
    <col min="9790" max="9790" width="8" style="1" customWidth="1"/>
    <col min="9791" max="9791" width="4.625" style="1" customWidth="1"/>
    <col min="9792" max="9792" width="7.875" style="1" customWidth="1"/>
    <col min="9793" max="9793" width="4" style="1" customWidth="1"/>
    <col min="9794" max="9794" width="4.625" style="1" customWidth="1"/>
    <col min="9795" max="9804" width="4" style="1" customWidth="1"/>
    <col min="9805" max="9805" width="3.75" style="1" customWidth="1"/>
    <col min="9806" max="9806" width="4" style="1" customWidth="1"/>
    <col min="9807" max="9807" width="3.625" style="1" customWidth="1"/>
    <col min="9808" max="9808" width="9.875" style="1" customWidth="1"/>
    <col min="9809" max="9809" width="5" style="1" customWidth="1"/>
    <col min="9810" max="9810" width="7.125" style="1" customWidth="1"/>
    <col min="9811" max="9811" width="9.375" style="1" customWidth="1"/>
    <col min="9812" max="9812" width="10.25" style="1" customWidth="1"/>
    <col min="9813" max="9813" width="7.375" style="1" customWidth="1"/>
    <col min="9814" max="9814" width="47.375" style="1" customWidth="1"/>
    <col min="9815" max="9815" width="73.25" style="1" customWidth="1"/>
    <col min="9816" max="9816" width="26.625" style="1" customWidth="1"/>
    <col min="9817" max="9818" width="26.75" style="1" customWidth="1"/>
    <col min="9819" max="9819" width="6.375" style="1" customWidth="1"/>
    <col min="9820" max="9821" width="9.875" style="1" customWidth="1"/>
    <col min="9822" max="9822" width="26.5" style="1" customWidth="1"/>
    <col min="9823" max="9823" width="9.125" style="1" customWidth="1"/>
    <col min="9824" max="9824" width="12.625" style="1" customWidth="1"/>
    <col min="9825" max="9825" width="36.5" style="1" customWidth="1"/>
    <col min="9826" max="9826" width="3.375" style="1" customWidth="1"/>
    <col min="9827" max="9827" width="8" style="1" customWidth="1"/>
    <col min="9828" max="9828" width="5.625" style="1" customWidth="1"/>
    <col min="9829" max="9829" width="7.875" style="1" customWidth="1"/>
    <col min="9830" max="9830" width="6" style="1" customWidth="1"/>
    <col min="9831" max="9831" width="11.25" style="1" customWidth="1"/>
    <col min="9832" max="9984" width="9" style="1" customWidth="1"/>
    <col min="9985" max="9985" width="13.125" style="1" customWidth="1"/>
    <col min="9986" max="9986" width="10.875" style="1" customWidth="1"/>
    <col min="9987" max="9987" width="4.625" style="1" customWidth="1"/>
    <col min="9988" max="9988" width="7" style="1" customWidth="1"/>
    <col min="9989" max="9989" width="5.125" style="1" customWidth="1"/>
    <col min="9990" max="9994" width="3.25" style="1" customWidth="1"/>
    <col min="9995" max="9995" width="3.5" style="1" customWidth="1"/>
    <col min="9996" max="9997" width="3.25" style="1" customWidth="1"/>
    <col min="9998" max="9999" width="4.75" style="1" customWidth="1"/>
    <col min="10000" max="10000" width="5.25" style="1" customWidth="1"/>
    <col min="10001" max="10001" width="4.875" style="1" customWidth="1"/>
    <col min="10002" max="10002" width="7.875" style="1" customWidth="1"/>
    <col min="10003" max="10003" width="5.125" style="1" customWidth="1"/>
    <col min="10004" max="10004" width="5.5" style="1" customWidth="1"/>
    <col min="10005" max="10005" width="5.75" style="1" customWidth="1"/>
    <col min="10006" max="10006" width="7.875" style="1" customWidth="1"/>
    <col min="10007" max="10007" width="5.125" style="1" customWidth="1"/>
    <col min="10008" max="10008" width="4.625" style="1" customWidth="1"/>
    <col min="10009" max="10009" width="7.875" style="1" customWidth="1"/>
    <col min="10010" max="10010" width="6.125" style="1" customWidth="1"/>
    <col min="10011" max="10011" width="36.5" style="1" customWidth="1"/>
    <col min="10012" max="10012" width="29.25" style="1" customWidth="1"/>
    <col min="10013" max="10014" width="9.875" style="1" customWidth="1"/>
    <col min="10015" max="10015" width="9.25" style="1" customWidth="1"/>
    <col min="10016" max="10016" width="2.5" style="1" customWidth="1"/>
    <col min="10017" max="10017" width="3.25" style="1" customWidth="1"/>
    <col min="10018" max="10018" width="3.625" style="1" customWidth="1"/>
    <col min="10019" max="10019" width="3.375" style="1" customWidth="1"/>
    <col min="10020" max="10020" width="23.625" style="1" customWidth="1"/>
    <col min="10021" max="10021" width="8.25" style="1" customWidth="1"/>
    <col min="10022" max="10022" width="6.875" style="1" customWidth="1"/>
    <col min="10023" max="10023" width="6.375" style="1" customWidth="1"/>
    <col min="10024" max="10024" width="19.625" style="1" customWidth="1"/>
    <col min="10025" max="10025" width="51.375" style="1" customWidth="1"/>
    <col min="10026" max="10026" width="6.25" style="1" customWidth="1"/>
    <col min="10027" max="10027" width="2.625" style="1" customWidth="1"/>
    <col min="10028" max="10028" width="5.125" style="1" customWidth="1"/>
    <col min="10029" max="10029" width="27.375" style="1" customWidth="1"/>
    <col min="10030" max="10030" width="5.875" style="1" customWidth="1"/>
    <col min="10031" max="10031" width="3.75" style="1" customWidth="1"/>
    <col min="10032" max="10032" width="6.25" style="1" customWidth="1"/>
    <col min="10033" max="10033" width="6.875" style="1" customWidth="1"/>
    <col min="10034" max="10034" width="6.75" style="1" customWidth="1"/>
    <col min="10035" max="10035" width="5.875" style="1" customWidth="1"/>
    <col min="10036" max="10036" width="91.875" style="1" customWidth="1"/>
    <col min="10037" max="10037" width="131.25" style="1" customWidth="1"/>
    <col min="10038" max="10038" width="7" style="1" customWidth="1"/>
    <col min="10039" max="10039" width="7.875" style="1" customWidth="1"/>
    <col min="10040" max="10040" width="8.5" style="1" customWidth="1"/>
    <col min="10041" max="10041" width="4.75" style="1" customWidth="1"/>
    <col min="10042" max="10042" width="23.25" style="1" customWidth="1"/>
    <col min="10043" max="10043" width="6.875" style="1" customWidth="1"/>
    <col min="10044" max="10044" width="7.875" style="1" customWidth="1"/>
    <col min="10045" max="10045" width="7.75" style="1" customWidth="1"/>
    <col min="10046" max="10046" width="8" style="1" customWidth="1"/>
    <col min="10047" max="10047" width="4.625" style="1" customWidth="1"/>
    <col min="10048" max="10048" width="7.875" style="1" customWidth="1"/>
    <col min="10049" max="10049" width="4" style="1" customWidth="1"/>
    <col min="10050" max="10050" width="4.625" style="1" customWidth="1"/>
    <col min="10051" max="10060" width="4" style="1" customWidth="1"/>
    <col min="10061" max="10061" width="3.75" style="1" customWidth="1"/>
    <col min="10062" max="10062" width="4" style="1" customWidth="1"/>
    <col min="10063" max="10063" width="3.625" style="1" customWidth="1"/>
    <col min="10064" max="10064" width="9.875" style="1" customWidth="1"/>
    <col min="10065" max="10065" width="5" style="1" customWidth="1"/>
    <col min="10066" max="10066" width="7.125" style="1" customWidth="1"/>
    <col min="10067" max="10067" width="9.375" style="1" customWidth="1"/>
    <col min="10068" max="10068" width="10.25" style="1" customWidth="1"/>
    <col min="10069" max="10069" width="7.375" style="1" customWidth="1"/>
    <col min="10070" max="10070" width="47.375" style="1" customWidth="1"/>
    <col min="10071" max="10071" width="73.25" style="1" customWidth="1"/>
    <col min="10072" max="10072" width="26.625" style="1" customWidth="1"/>
    <col min="10073" max="10074" width="26.75" style="1" customWidth="1"/>
    <col min="10075" max="10075" width="6.375" style="1" customWidth="1"/>
    <col min="10076" max="10077" width="9.875" style="1" customWidth="1"/>
    <col min="10078" max="10078" width="26.5" style="1" customWidth="1"/>
    <col min="10079" max="10079" width="9.125" style="1" customWidth="1"/>
    <col min="10080" max="10080" width="12.625" style="1" customWidth="1"/>
    <col min="10081" max="10081" width="36.5" style="1" customWidth="1"/>
    <col min="10082" max="10082" width="3.375" style="1" customWidth="1"/>
    <col min="10083" max="10083" width="8" style="1" customWidth="1"/>
    <col min="10084" max="10084" width="5.625" style="1" customWidth="1"/>
    <col min="10085" max="10085" width="7.875" style="1" customWidth="1"/>
    <col min="10086" max="10086" width="6" style="1" customWidth="1"/>
    <col min="10087" max="10087" width="11.25" style="1" customWidth="1"/>
    <col min="10088" max="10240" width="9" style="1" customWidth="1"/>
    <col min="10241" max="10241" width="13.125" style="1" customWidth="1"/>
    <col min="10242" max="10242" width="10.875" style="1" customWidth="1"/>
    <col min="10243" max="10243" width="4.625" style="1" customWidth="1"/>
    <col min="10244" max="10244" width="7" style="1" customWidth="1"/>
    <col min="10245" max="10245" width="5.125" style="1" customWidth="1"/>
    <col min="10246" max="10250" width="3.25" style="1" customWidth="1"/>
    <col min="10251" max="10251" width="3.5" style="1" customWidth="1"/>
    <col min="10252" max="10253" width="3.25" style="1" customWidth="1"/>
    <col min="10254" max="10255" width="4.75" style="1" customWidth="1"/>
    <col min="10256" max="10256" width="5.25" style="1" customWidth="1"/>
    <col min="10257" max="10257" width="4.875" style="1" customWidth="1"/>
    <col min="10258" max="10258" width="7.875" style="1" customWidth="1"/>
    <col min="10259" max="10259" width="5.125" style="1" customWidth="1"/>
    <col min="10260" max="10260" width="5.5" style="1" customWidth="1"/>
    <col min="10261" max="10261" width="5.75" style="1" customWidth="1"/>
    <col min="10262" max="10262" width="7.875" style="1" customWidth="1"/>
    <col min="10263" max="10263" width="5.125" style="1" customWidth="1"/>
    <col min="10264" max="10264" width="4.625" style="1" customWidth="1"/>
    <col min="10265" max="10265" width="7.875" style="1" customWidth="1"/>
    <col min="10266" max="10266" width="6.125" style="1" customWidth="1"/>
    <col min="10267" max="10267" width="36.5" style="1" customWidth="1"/>
    <col min="10268" max="10268" width="29.25" style="1" customWidth="1"/>
    <col min="10269" max="10270" width="9.875" style="1" customWidth="1"/>
    <col min="10271" max="10271" width="9.25" style="1" customWidth="1"/>
    <col min="10272" max="10272" width="2.5" style="1" customWidth="1"/>
    <col min="10273" max="10273" width="3.25" style="1" customWidth="1"/>
    <col min="10274" max="10274" width="3.625" style="1" customWidth="1"/>
    <col min="10275" max="10275" width="3.375" style="1" customWidth="1"/>
    <col min="10276" max="10276" width="23.625" style="1" customWidth="1"/>
    <col min="10277" max="10277" width="8.25" style="1" customWidth="1"/>
    <col min="10278" max="10278" width="6.875" style="1" customWidth="1"/>
    <col min="10279" max="10279" width="6.375" style="1" customWidth="1"/>
    <col min="10280" max="10280" width="19.625" style="1" customWidth="1"/>
    <col min="10281" max="10281" width="51.375" style="1" customWidth="1"/>
    <col min="10282" max="10282" width="6.25" style="1" customWidth="1"/>
    <col min="10283" max="10283" width="2.625" style="1" customWidth="1"/>
    <col min="10284" max="10284" width="5.125" style="1" customWidth="1"/>
    <col min="10285" max="10285" width="27.375" style="1" customWidth="1"/>
    <col min="10286" max="10286" width="5.875" style="1" customWidth="1"/>
    <col min="10287" max="10287" width="3.75" style="1" customWidth="1"/>
    <col min="10288" max="10288" width="6.25" style="1" customWidth="1"/>
    <col min="10289" max="10289" width="6.875" style="1" customWidth="1"/>
    <col min="10290" max="10290" width="6.75" style="1" customWidth="1"/>
    <col min="10291" max="10291" width="5.875" style="1" customWidth="1"/>
    <col min="10292" max="10292" width="91.875" style="1" customWidth="1"/>
    <col min="10293" max="10293" width="131.25" style="1" customWidth="1"/>
    <col min="10294" max="10294" width="7" style="1" customWidth="1"/>
    <col min="10295" max="10295" width="7.875" style="1" customWidth="1"/>
    <col min="10296" max="10296" width="8.5" style="1" customWidth="1"/>
    <col min="10297" max="10297" width="4.75" style="1" customWidth="1"/>
    <col min="10298" max="10298" width="23.25" style="1" customWidth="1"/>
    <col min="10299" max="10299" width="6.875" style="1" customWidth="1"/>
    <col min="10300" max="10300" width="7.875" style="1" customWidth="1"/>
    <col min="10301" max="10301" width="7.75" style="1" customWidth="1"/>
    <col min="10302" max="10302" width="8" style="1" customWidth="1"/>
    <col min="10303" max="10303" width="4.625" style="1" customWidth="1"/>
    <col min="10304" max="10304" width="7.875" style="1" customWidth="1"/>
    <col min="10305" max="10305" width="4" style="1" customWidth="1"/>
    <col min="10306" max="10306" width="4.625" style="1" customWidth="1"/>
    <col min="10307" max="10316" width="4" style="1" customWidth="1"/>
    <col min="10317" max="10317" width="3.75" style="1" customWidth="1"/>
    <col min="10318" max="10318" width="4" style="1" customWidth="1"/>
    <col min="10319" max="10319" width="3.625" style="1" customWidth="1"/>
    <col min="10320" max="10320" width="9.875" style="1" customWidth="1"/>
    <col min="10321" max="10321" width="5" style="1" customWidth="1"/>
    <col min="10322" max="10322" width="7.125" style="1" customWidth="1"/>
    <col min="10323" max="10323" width="9.375" style="1" customWidth="1"/>
    <col min="10324" max="10324" width="10.25" style="1" customWidth="1"/>
    <col min="10325" max="10325" width="7.375" style="1" customWidth="1"/>
    <col min="10326" max="10326" width="47.375" style="1" customWidth="1"/>
    <col min="10327" max="10327" width="73.25" style="1" customWidth="1"/>
    <col min="10328" max="10328" width="26.625" style="1" customWidth="1"/>
    <col min="10329" max="10330" width="26.75" style="1" customWidth="1"/>
    <col min="10331" max="10331" width="6.375" style="1" customWidth="1"/>
    <col min="10332" max="10333" width="9.875" style="1" customWidth="1"/>
    <col min="10334" max="10334" width="26.5" style="1" customWidth="1"/>
    <col min="10335" max="10335" width="9.125" style="1" customWidth="1"/>
    <col min="10336" max="10336" width="12.625" style="1" customWidth="1"/>
    <col min="10337" max="10337" width="36.5" style="1" customWidth="1"/>
    <col min="10338" max="10338" width="3.375" style="1" customWidth="1"/>
    <col min="10339" max="10339" width="8" style="1" customWidth="1"/>
    <col min="10340" max="10340" width="5.625" style="1" customWidth="1"/>
    <col min="10341" max="10341" width="7.875" style="1" customWidth="1"/>
    <col min="10342" max="10342" width="6" style="1" customWidth="1"/>
    <col min="10343" max="10343" width="11.25" style="1" customWidth="1"/>
    <col min="10344" max="10496" width="9" style="1" customWidth="1"/>
    <col min="10497" max="10497" width="13.125" style="1" customWidth="1"/>
    <col min="10498" max="10498" width="10.875" style="1" customWidth="1"/>
    <col min="10499" max="10499" width="4.625" style="1" customWidth="1"/>
    <col min="10500" max="10500" width="7" style="1" customWidth="1"/>
    <col min="10501" max="10501" width="5.125" style="1" customWidth="1"/>
    <col min="10502" max="10506" width="3.25" style="1" customWidth="1"/>
    <col min="10507" max="10507" width="3.5" style="1" customWidth="1"/>
    <col min="10508" max="10509" width="3.25" style="1" customWidth="1"/>
    <col min="10510" max="10511" width="4.75" style="1" customWidth="1"/>
    <col min="10512" max="10512" width="5.25" style="1" customWidth="1"/>
    <col min="10513" max="10513" width="4.875" style="1" customWidth="1"/>
    <col min="10514" max="10514" width="7.875" style="1" customWidth="1"/>
    <col min="10515" max="10515" width="5.125" style="1" customWidth="1"/>
    <col min="10516" max="10516" width="5.5" style="1" customWidth="1"/>
    <col min="10517" max="10517" width="5.75" style="1" customWidth="1"/>
    <col min="10518" max="10518" width="7.875" style="1" customWidth="1"/>
    <col min="10519" max="10519" width="5.125" style="1" customWidth="1"/>
    <col min="10520" max="10520" width="4.625" style="1" customWidth="1"/>
    <col min="10521" max="10521" width="7.875" style="1" customWidth="1"/>
    <col min="10522" max="10522" width="6.125" style="1" customWidth="1"/>
    <col min="10523" max="10523" width="36.5" style="1" customWidth="1"/>
    <col min="10524" max="10524" width="29.25" style="1" customWidth="1"/>
    <col min="10525" max="10526" width="9.875" style="1" customWidth="1"/>
    <col min="10527" max="10527" width="9.25" style="1" customWidth="1"/>
    <col min="10528" max="10528" width="2.5" style="1" customWidth="1"/>
    <col min="10529" max="10529" width="3.25" style="1" customWidth="1"/>
    <col min="10530" max="10530" width="3.625" style="1" customWidth="1"/>
    <col min="10531" max="10531" width="3.375" style="1" customWidth="1"/>
    <col min="10532" max="10532" width="23.625" style="1" customWidth="1"/>
    <col min="10533" max="10533" width="8.25" style="1" customWidth="1"/>
    <col min="10534" max="10534" width="6.875" style="1" customWidth="1"/>
    <col min="10535" max="10535" width="6.375" style="1" customWidth="1"/>
    <col min="10536" max="10536" width="19.625" style="1" customWidth="1"/>
    <col min="10537" max="10537" width="51.375" style="1" customWidth="1"/>
    <col min="10538" max="10538" width="6.25" style="1" customWidth="1"/>
    <col min="10539" max="10539" width="2.625" style="1" customWidth="1"/>
    <col min="10540" max="10540" width="5.125" style="1" customWidth="1"/>
    <col min="10541" max="10541" width="27.375" style="1" customWidth="1"/>
    <col min="10542" max="10542" width="5.875" style="1" customWidth="1"/>
    <col min="10543" max="10543" width="3.75" style="1" customWidth="1"/>
    <col min="10544" max="10544" width="6.25" style="1" customWidth="1"/>
    <col min="10545" max="10545" width="6.875" style="1" customWidth="1"/>
    <col min="10546" max="10546" width="6.75" style="1" customWidth="1"/>
    <col min="10547" max="10547" width="5.875" style="1" customWidth="1"/>
    <col min="10548" max="10548" width="91.875" style="1" customWidth="1"/>
    <col min="10549" max="10549" width="131.25" style="1" customWidth="1"/>
    <col min="10550" max="10550" width="7" style="1" customWidth="1"/>
    <col min="10551" max="10551" width="7.875" style="1" customWidth="1"/>
    <col min="10552" max="10552" width="8.5" style="1" customWidth="1"/>
    <col min="10553" max="10553" width="4.75" style="1" customWidth="1"/>
    <col min="10554" max="10554" width="23.25" style="1" customWidth="1"/>
    <col min="10555" max="10555" width="6.875" style="1" customWidth="1"/>
    <col min="10556" max="10556" width="7.875" style="1" customWidth="1"/>
    <col min="10557" max="10557" width="7.75" style="1" customWidth="1"/>
    <col min="10558" max="10558" width="8" style="1" customWidth="1"/>
    <col min="10559" max="10559" width="4.625" style="1" customWidth="1"/>
    <col min="10560" max="10560" width="7.875" style="1" customWidth="1"/>
    <col min="10561" max="10561" width="4" style="1" customWidth="1"/>
    <col min="10562" max="10562" width="4.625" style="1" customWidth="1"/>
    <col min="10563" max="10572" width="4" style="1" customWidth="1"/>
    <col min="10573" max="10573" width="3.75" style="1" customWidth="1"/>
    <col min="10574" max="10574" width="4" style="1" customWidth="1"/>
    <col min="10575" max="10575" width="3.625" style="1" customWidth="1"/>
    <col min="10576" max="10576" width="9.875" style="1" customWidth="1"/>
    <col min="10577" max="10577" width="5" style="1" customWidth="1"/>
    <col min="10578" max="10578" width="7.125" style="1" customWidth="1"/>
    <col min="10579" max="10579" width="9.375" style="1" customWidth="1"/>
    <col min="10580" max="10580" width="10.25" style="1" customWidth="1"/>
    <col min="10581" max="10581" width="7.375" style="1" customWidth="1"/>
    <col min="10582" max="10582" width="47.375" style="1" customWidth="1"/>
    <col min="10583" max="10583" width="73.25" style="1" customWidth="1"/>
    <col min="10584" max="10584" width="26.625" style="1" customWidth="1"/>
    <col min="10585" max="10586" width="26.75" style="1" customWidth="1"/>
    <col min="10587" max="10587" width="6.375" style="1" customWidth="1"/>
    <col min="10588" max="10589" width="9.875" style="1" customWidth="1"/>
    <col min="10590" max="10590" width="26.5" style="1" customWidth="1"/>
    <col min="10591" max="10591" width="9.125" style="1" customWidth="1"/>
    <col min="10592" max="10592" width="12.625" style="1" customWidth="1"/>
    <col min="10593" max="10593" width="36.5" style="1" customWidth="1"/>
    <col min="10594" max="10594" width="3.375" style="1" customWidth="1"/>
    <col min="10595" max="10595" width="8" style="1" customWidth="1"/>
    <col min="10596" max="10596" width="5.625" style="1" customWidth="1"/>
    <col min="10597" max="10597" width="7.875" style="1" customWidth="1"/>
    <col min="10598" max="10598" width="6" style="1" customWidth="1"/>
    <col min="10599" max="10599" width="11.25" style="1" customWidth="1"/>
    <col min="10600" max="10752" width="9" style="1" customWidth="1"/>
    <col min="10753" max="10753" width="13.125" style="1" customWidth="1"/>
    <col min="10754" max="10754" width="10.875" style="1" customWidth="1"/>
    <col min="10755" max="10755" width="4.625" style="1" customWidth="1"/>
    <col min="10756" max="10756" width="7" style="1" customWidth="1"/>
    <col min="10757" max="10757" width="5.125" style="1" customWidth="1"/>
    <col min="10758" max="10762" width="3.25" style="1" customWidth="1"/>
    <col min="10763" max="10763" width="3.5" style="1" customWidth="1"/>
    <col min="10764" max="10765" width="3.25" style="1" customWidth="1"/>
    <col min="10766" max="10767" width="4.75" style="1" customWidth="1"/>
    <col min="10768" max="10768" width="5.25" style="1" customWidth="1"/>
    <col min="10769" max="10769" width="4.875" style="1" customWidth="1"/>
    <col min="10770" max="10770" width="7.875" style="1" customWidth="1"/>
    <col min="10771" max="10771" width="5.125" style="1" customWidth="1"/>
    <col min="10772" max="10772" width="5.5" style="1" customWidth="1"/>
    <col min="10773" max="10773" width="5.75" style="1" customWidth="1"/>
    <col min="10774" max="10774" width="7.875" style="1" customWidth="1"/>
    <col min="10775" max="10775" width="5.125" style="1" customWidth="1"/>
    <col min="10776" max="10776" width="4.625" style="1" customWidth="1"/>
    <col min="10777" max="10777" width="7.875" style="1" customWidth="1"/>
    <col min="10778" max="10778" width="6.125" style="1" customWidth="1"/>
    <col min="10779" max="10779" width="36.5" style="1" customWidth="1"/>
    <col min="10780" max="10780" width="29.25" style="1" customWidth="1"/>
    <col min="10781" max="10782" width="9.875" style="1" customWidth="1"/>
    <col min="10783" max="10783" width="9.25" style="1" customWidth="1"/>
    <col min="10784" max="10784" width="2.5" style="1" customWidth="1"/>
    <col min="10785" max="10785" width="3.25" style="1" customWidth="1"/>
    <col min="10786" max="10786" width="3.625" style="1" customWidth="1"/>
    <col min="10787" max="10787" width="3.375" style="1" customWidth="1"/>
    <col min="10788" max="10788" width="23.625" style="1" customWidth="1"/>
    <col min="10789" max="10789" width="8.25" style="1" customWidth="1"/>
    <col min="10790" max="10790" width="6.875" style="1" customWidth="1"/>
    <col min="10791" max="10791" width="6.375" style="1" customWidth="1"/>
    <col min="10792" max="10792" width="19.625" style="1" customWidth="1"/>
    <col min="10793" max="10793" width="51.375" style="1" customWidth="1"/>
    <col min="10794" max="10794" width="6.25" style="1" customWidth="1"/>
    <col min="10795" max="10795" width="2.625" style="1" customWidth="1"/>
    <col min="10796" max="10796" width="5.125" style="1" customWidth="1"/>
    <col min="10797" max="10797" width="27.375" style="1" customWidth="1"/>
    <col min="10798" max="10798" width="5.875" style="1" customWidth="1"/>
    <col min="10799" max="10799" width="3.75" style="1" customWidth="1"/>
    <col min="10800" max="10800" width="6.25" style="1" customWidth="1"/>
    <col min="10801" max="10801" width="6.875" style="1" customWidth="1"/>
    <col min="10802" max="10802" width="6.75" style="1" customWidth="1"/>
    <col min="10803" max="10803" width="5.875" style="1" customWidth="1"/>
    <col min="10804" max="10804" width="91.875" style="1" customWidth="1"/>
    <col min="10805" max="10805" width="131.25" style="1" customWidth="1"/>
    <col min="10806" max="10806" width="7" style="1" customWidth="1"/>
    <col min="10807" max="10807" width="7.875" style="1" customWidth="1"/>
    <col min="10808" max="10808" width="8.5" style="1" customWidth="1"/>
    <col min="10809" max="10809" width="4.75" style="1" customWidth="1"/>
    <col min="10810" max="10810" width="23.25" style="1" customWidth="1"/>
    <col min="10811" max="10811" width="6.875" style="1" customWidth="1"/>
    <col min="10812" max="10812" width="7.875" style="1" customWidth="1"/>
    <col min="10813" max="10813" width="7.75" style="1" customWidth="1"/>
    <col min="10814" max="10814" width="8" style="1" customWidth="1"/>
    <col min="10815" max="10815" width="4.625" style="1" customWidth="1"/>
    <col min="10816" max="10816" width="7.875" style="1" customWidth="1"/>
    <col min="10817" max="10817" width="4" style="1" customWidth="1"/>
    <col min="10818" max="10818" width="4.625" style="1" customWidth="1"/>
    <col min="10819" max="10828" width="4" style="1" customWidth="1"/>
    <col min="10829" max="10829" width="3.75" style="1" customWidth="1"/>
    <col min="10830" max="10830" width="4" style="1" customWidth="1"/>
    <col min="10831" max="10831" width="3.625" style="1" customWidth="1"/>
    <col min="10832" max="10832" width="9.875" style="1" customWidth="1"/>
    <col min="10833" max="10833" width="5" style="1" customWidth="1"/>
    <col min="10834" max="10834" width="7.125" style="1" customWidth="1"/>
    <col min="10835" max="10835" width="9.375" style="1" customWidth="1"/>
    <col min="10836" max="10836" width="10.25" style="1" customWidth="1"/>
    <col min="10837" max="10837" width="7.375" style="1" customWidth="1"/>
    <col min="10838" max="10838" width="47.375" style="1" customWidth="1"/>
    <col min="10839" max="10839" width="73.25" style="1" customWidth="1"/>
    <col min="10840" max="10840" width="26.625" style="1" customWidth="1"/>
    <col min="10841" max="10842" width="26.75" style="1" customWidth="1"/>
    <col min="10843" max="10843" width="6.375" style="1" customWidth="1"/>
    <col min="10844" max="10845" width="9.875" style="1" customWidth="1"/>
    <col min="10846" max="10846" width="26.5" style="1" customWidth="1"/>
    <col min="10847" max="10847" width="9.125" style="1" customWidth="1"/>
    <col min="10848" max="10848" width="12.625" style="1" customWidth="1"/>
    <col min="10849" max="10849" width="36.5" style="1" customWidth="1"/>
    <col min="10850" max="10850" width="3.375" style="1" customWidth="1"/>
    <col min="10851" max="10851" width="8" style="1" customWidth="1"/>
    <col min="10852" max="10852" width="5.625" style="1" customWidth="1"/>
    <col min="10853" max="10853" width="7.875" style="1" customWidth="1"/>
    <col min="10854" max="10854" width="6" style="1" customWidth="1"/>
    <col min="10855" max="10855" width="11.25" style="1" customWidth="1"/>
    <col min="10856" max="11008" width="9" style="1" customWidth="1"/>
    <col min="11009" max="11009" width="13.125" style="1" customWidth="1"/>
    <col min="11010" max="11010" width="10.875" style="1" customWidth="1"/>
    <col min="11011" max="11011" width="4.625" style="1" customWidth="1"/>
    <col min="11012" max="11012" width="7" style="1" customWidth="1"/>
    <col min="11013" max="11013" width="5.125" style="1" customWidth="1"/>
    <col min="11014" max="11018" width="3.25" style="1" customWidth="1"/>
    <col min="11019" max="11019" width="3.5" style="1" customWidth="1"/>
    <col min="11020" max="11021" width="3.25" style="1" customWidth="1"/>
    <col min="11022" max="11023" width="4.75" style="1" customWidth="1"/>
    <col min="11024" max="11024" width="5.25" style="1" customWidth="1"/>
    <col min="11025" max="11025" width="4.875" style="1" customWidth="1"/>
    <col min="11026" max="11026" width="7.875" style="1" customWidth="1"/>
    <col min="11027" max="11027" width="5.125" style="1" customWidth="1"/>
    <col min="11028" max="11028" width="5.5" style="1" customWidth="1"/>
    <col min="11029" max="11029" width="5.75" style="1" customWidth="1"/>
    <col min="11030" max="11030" width="7.875" style="1" customWidth="1"/>
    <col min="11031" max="11031" width="5.125" style="1" customWidth="1"/>
    <col min="11032" max="11032" width="4.625" style="1" customWidth="1"/>
    <col min="11033" max="11033" width="7.875" style="1" customWidth="1"/>
    <col min="11034" max="11034" width="6.125" style="1" customWidth="1"/>
    <col min="11035" max="11035" width="36.5" style="1" customWidth="1"/>
    <col min="11036" max="11036" width="29.25" style="1" customWidth="1"/>
    <col min="11037" max="11038" width="9.875" style="1" customWidth="1"/>
    <col min="11039" max="11039" width="9.25" style="1" customWidth="1"/>
    <col min="11040" max="11040" width="2.5" style="1" customWidth="1"/>
    <col min="11041" max="11041" width="3.25" style="1" customWidth="1"/>
    <col min="11042" max="11042" width="3.625" style="1" customWidth="1"/>
    <col min="11043" max="11043" width="3.375" style="1" customWidth="1"/>
    <col min="11044" max="11044" width="23.625" style="1" customWidth="1"/>
    <col min="11045" max="11045" width="8.25" style="1" customWidth="1"/>
    <col min="11046" max="11046" width="6.875" style="1" customWidth="1"/>
    <col min="11047" max="11047" width="6.375" style="1" customWidth="1"/>
    <col min="11048" max="11048" width="19.625" style="1" customWidth="1"/>
    <col min="11049" max="11049" width="51.375" style="1" customWidth="1"/>
    <col min="11050" max="11050" width="6.25" style="1" customWidth="1"/>
    <col min="11051" max="11051" width="2.625" style="1" customWidth="1"/>
    <col min="11052" max="11052" width="5.125" style="1" customWidth="1"/>
    <col min="11053" max="11053" width="27.375" style="1" customWidth="1"/>
    <col min="11054" max="11054" width="5.875" style="1" customWidth="1"/>
    <col min="11055" max="11055" width="3.75" style="1" customWidth="1"/>
    <col min="11056" max="11056" width="6.25" style="1" customWidth="1"/>
    <col min="11057" max="11057" width="6.875" style="1" customWidth="1"/>
    <col min="11058" max="11058" width="6.75" style="1" customWidth="1"/>
    <col min="11059" max="11059" width="5.875" style="1" customWidth="1"/>
    <col min="11060" max="11060" width="91.875" style="1" customWidth="1"/>
    <col min="11061" max="11061" width="131.25" style="1" customWidth="1"/>
    <col min="11062" max="11062" width="7" style="1" customWidth="1"/>
    <col min="11063" max="11063" width="7.875" style="1" customWidth="1"/>
    <col min="11064" max="11064" width="8.5" style="1" customWidth="1"/>
    <col min="11065" max="11065" width="4.75" style="1" customWidth="1"/>
    <col min="11066" max="11066" width="23.25" style="1" customWidth="1"/>
    <col min="11067" max="11067" width="6.875" style="1" customWidth="1"/>
    <col min="11068" max="11068" width="7.875" style="1" customWidth="1"/>
    <col min="11069" max="11069" width="7.75" style="1" customWidth="1"/>
    <col min="11070" max="11070" width="8" style="1" customWidth="1"/>
    <col min="11071" max="11071" width="4.625" style="1" customWidth="1"/>
    <col min="11072" max="11072" width="7.875" style="1" customWidth="1"/>
    <col min="11073" max="11073" width="4" style="1" customWidth="1"/>
    <col min="11074" max="11074" width="4.625" style="1" customWidth="1"/>
    <col min="11075" max="11084" width="4" style="1" customWidth="1"/>
    <col min="11085" max="11085" width="3.75" style="1" customWidth="1"/>
    <col min="11086" max="11086" width="4" style="1" customWidth="1"/>
    <col min="11087" max="11087" width="3.625" style="1" customWidth="1"/>
    <col min="11088" max="11088" width="9.875" style="1" customWidth="1"/>
    <col min="11089" max="11089" width="5" style="1" customWidth="1"/>
    <col min="11090" max="11090" width="7.125" style="1" customWidth="1"/>
    <col min="11091" max="11091" width="9.375" style="1" customWidth="1"/>
    <col min="11092" max="11092" width="10.25" style="1" customWidth="1"/>
    <col min="11093" max="11093" width="7.375" style="1" customWidth="1"/>
    <col min="11094" max="11094" width="47.375" style="1" customWidth="1"/>
    <col min="11095" max="11095" width="73.25" style="1" customWidth="1"/>
    <col min="11096" max="11096" width="26.625" style="1" customWidth="1"/>
    <col min="11097" max="11098" width="26.75" style="1" customWidth="1"/>
    <col min="11099" max="11099" width="6.375" style="1" customWidth="1"/>
    <col min="11100" max="11101" width="9.875" style="1" customWidth="1"/>
    <col min="11102" max="11102" width="26.5" style="1" customWidth="1"/>
    <col min="11103" max="11103" width="9.125" style="1" customWidth="1"/>
    <col min="11104" max="11104" width="12.625" style="1" customWidth="1"/>
    <col min="11105" max="11105" width="36.5" style="1" customWidth="1"/>
    <col min="11106" max="11106" width="3.375" style="1" customWidth="1"/>
    <col min="11107" max="11107" width="8" style="1" customWidth="1"/>
    <col min="11108" max="11108" width="5.625" style="1" customWidth="1"/>
    <col min="11109" max="11109" width="7.875" style="1" customWidth="1"/>
    <col min="11110" max="11110" width="6" style="1" customWidth="1"/>
    <col min="11111" max="11111" width="11.25" style="1" customWidth="1"/>
    <col min="11112" max="11264" width="9" style="1" customWidth="1"/>
    <col min="11265" max="11265" width="13.125" style="1" customWidth="1"/>
    <col min="11266" max="11266" width="10.875" style="1" customWidth="1"/>
    <col min="11267" max="11267" width="4.625" style="1" customWidth="1"/>
    <col min="11268" max="11268" width="7" style="1" customWidth="1"/>
    <col min="11269" max="11269" width="5.125" style="1" customWidth="1"/>
    <col min="11270" max="11274" width="3.25" style="1" customWidth="1"/>
    <col min="11275" max="11275" width="3.5" style="1" customWidth="1"/>
    <col min="11276" max="11277" width="3.25" style="1" customWidth="1"/>
    <col min="11278" max="11279" width="4.75" style="1" customWidth="1"/>
    <col min="11280" max="11280" width="5.25" style="1" customWidth="1"/>
    <col min="11281" max="11281" width="4.875" style="1" customWidth="1"/>
    <col min="11282" max="11282" width="7.875" style="1" customWidth="1"/>
    <col min="11283" max="11283" width="5.125" style="1" customWidth="1"/>
    <col min="11284" max="11284" width="5.5" style="1" customWidth="1"/>
    <col min="11285" max="11285" width="5.75" style="1" customWidth="1"/>
    <col min="11286" max="11286" width="7.875" style="1" customWidth="1"/>
    <col min="11287" max="11287" width="5.125" style="1" customWidth="1"/>
    <col min="11288" max="11288" width="4.625" style="1" customWidth="1"/>
    <col min="11289" max="11289" width="7.875" style="1" customWidth="1"/>
    <col min="11290" max="11290" width="6.125" style="1" customWidth="1"/>
    <col min="11291" max="11291" width="36.5" style="1" customWidth="1"/>
    <col min="11292" max="11292" width="29.25" style="1" customWidth="1"/>
    <col min="11293" max="11294" width="9.875" style="1" customWidth="1"/>
    <col min="11295" max="11295" width="9.25" style="1" customWidth="1"/>
    <col min="11296" max="11296" width="2.5" style="1" customWidth="1"/>
    <col min="11297" max="11297" width="3.25" style="1" customWidth="1"/>
    <col min="11298" max="11298" width="3.625" style="1" customWidth="1"/>
    <col min="11299" max="11299" width="3.375" style="1" customWidth="1"/>
    <col min="11300" max="11300" width="23.625" style="1" customWidth="1"/>
    <col min="11301" max="11301" width="8.25" style="1" customWidth="1"/>
    <col min="11302" max="11302" width="6.875" style="1" customWidth="1"/>
    <col min="11303" max="11303" width="6.375" style="1" customWidth="1"/>
    <col min="11304" max="11304" width="19.625" style="1" customWidth="1"/>
    <col min="11305" max="11305" width="51.375" style="1" customWidth="1"/>
    <col min="11306" max="11306" width="6.25" style="1" customWidth="1"/>
    <col min="11307" max="11307" width="2.625" style="1" customWidth="1"/>
    <col min="11308" max="11308" width="5.125" style="1" customWidth="1"/>
    <col min="11309" max="11309" width="27.375" style="1" customWidth="1"/>
    <col min="11310" max="11310" width="5.875" style="1" customWidth="1"/>
    <col min="11311" max="11311" width="3.75" style="1" customWidth="1"/>
    <col min="11312" max="11312" width="6.25" style="1" customWidth="1"/>
    <col min="11313" max="11313" width="6.875" style="1" customWidth="1"/>
    <col min="11314" max="11314" width="6.75" style="1" customWidth="1"/>
    <col min="11315" max="11315" width="5.875" style="1" customWidth="1"/>
    <col min="11316" max="11316" width="91.875" style="1" customWidth="1"/>
    <col min="11317" max="11317" width="131.25" style="1" customWidth="1"/>
    <col min="11318" max="11318" width="7" style="1" customWidth="1"/>
    <col min="11319" max="11319" width="7.875" style="1" customWidth="1"/>
    <col min="11320" max="11320" width="8.5" style="1" customWidth="1"/>
    <col min="11321" max="11321" width="4.75" style="1" customWidth="1"/>
    <col min="11322" max="11322" width="23.25" style="1" customWidth="1"/>
    <col min="11323" max="11323" width="6.875" style="1" customWidth="1"/>
    <col min="11324" max="11324" width="7.875" style="1" customWidth="1"/>
    <col min="11325" max="11325" width="7.75" style="1" customWidth="1"/>
    <col min="11326" max="11326" width="8" style="1" customWidth="1"/>
    <col min="11327" max="11327" width="4.625" style="1" customWidth="1"/>
    <col min="11328" max="11328" width="7.875" style="1" customWidth="1"/>
    <col min="11329" max="11329" width="4" style="1" customWidth="1"/>
    <col min="11330" max="11330" width="4.625" style="1" customWidth="1"/>
    <col min="11331" max="11340" width="4" style="1" customWidth="1"/>
    <col min="11341" max="11341" width="3.75" style="1" customWidth="1"/>
    <col min="11342" max="11342" width="4" style="1" customWidth="1"/>
    <col min="11343" max="11343" width="3.625" style="1" customWidth="1"/>
    <col min="11344" max="11344" width="9.875" style="1" customWidth="1"/>
    <col min="11345" max="11345" width="5" style="1" customWidth="1"/>
    <col min="11346" max="11346" width="7.125" style="1" customWidth="1"/>
    <col min="11347" max="11347" width="9.375" style="1" customWidth="1"/>
    <col min="11348" max="11348" width="10.25" style="1" customWidth="1"/>
    <col min="11349" max="11349" width="7.375" style="1" customWidth="1"/>
    <col min="11350" max="11350" width="47.375" style="1" customWidth="1"/>
    <col min="11351" max="11351" width="73.25" style="1" customWidth="1"/>
    <col min="11352" max="11352" width="26.625" style="1" customWidth="1"/>
    <col min="11353" max="11354" width="26.75" style="1" customWidth="1"/>
    <col min="11355" max="11355" width="6.375" style="1" customWidth="1"/>
    <col min="11356" max="11357" width="9.875" style="1" customWidth="1"/>
    <col min="11358" max="11358" width="26.5" style="1" customWidth="1"/>
    <col min="11359" max="11359" width="9.125" style="1" customWidth="1"/>
    <col min="11360" max="11360" width="12.625" style="1" customWidth="1"/>
    <col min="11361" max="11361" width="36.5" style="1" customWidth="1"/>
    <col min="11362" max="11362" width="3.375" style="1" customWidth="1"/>
    <col min="11363" max="11363" width="8" style="1" customWidth="1"/>
    <col min="11364" max="11364" width="5.625" style="1" customWidth="1"/>
    <col min="11365" max="11365" width="7.875" style="1" customWidth="1"/>
    <col min="11366" max="11366" width="6" style="1" customWidth="1"/>
    <col min="11367" max="11367" width="11.25" style="1" customWidth="1"/>
    <col min="11368" max="11520" width="9" style="1" customWidth="1"/>
    <col min="11521" max="11521" width="13.125" style="1" customWidth="1"/>
    <col min="11522" max="11522" width="10.875" style="1" customWidth="1"/>
    <col min="11523" max="11523" width="4.625" style="1" customWidth="1"/>
    <col min="11524" max="11524" width="7" style="1" customWidth="1"/>
    <col min="11525" max="11525" width="5.125" style="1" customWidth="1"/>
    <col min="11526" max="11530" width="3.25" style="1" customWidth="1"/>
    <col min="11531" max="11531" width="3.5" style="1" customWidth="1"/>
    <col min="11532" max="11533" width="3.25" style="1" customWidth="1"/>
    <col min="11534" max="11535" width="4.75" style="1" customWidth="1"/>
    <col min="11536" max="11536" width="5.25" style="1" customWidth="1"/>
    <col min="11537" max="11537" width="4.875" style="1" customWidth="1"/>
    <col min="11538" max="11538" width="7.875" style="1" customWidth="1"/>
    <col min="11539" max="11539" width="5.125" style="1" customWidth="1"/>
    <col min="11540" max="11540" width="5.5" style="1" customWidth="1"/>
    <col min="11541" max="11541" width="5.75" style="1" customWidth="1"/>
    <col min="11542" max="11542" width="7.875" style="1" customWidth="1"/>
    <col min="11543" max="11543" width="5.125" style="1" customWidth="1"/>
    <col min="11544" max="11544" width="4.625" style="1" customWidth="1"/>
    <col min="11545" max="11545" width="7.875" style="1" customWidth="1"/>
    <col min="11546" max="11546" width="6.125" style="1" customWidth="1"/>
    <col min="11547" max="11547" width="36.5" style="1" customWidth="1"/>
    <col min="11548" max="11548" width="29.25" style="1" customWidth="1"/>
    <col min="11549" max="11550" width="9.875" style="1" customWidth="1"/>
    <col min="11551" max="11551" width="9.25" style="1" customWidth="1"/>
    <col min="11552" max="11552" width="2.5" style="1" customWidth="1"/>
    <col min="11553" max="11553" width="3.25" style="1" customWidth="1"/>
    <col min="11554" max="11554" width="3.625" style="1" customWidth="1"/>
    <col min="11555" max="11555" width="3.375" style="1" customWidth="1"/>
    <col min="11556" max="11556" width="23.625" style="1" customWidth="1"/>
    <col min="11557" max="11557" width="8.25" style="1" customWidth="1"/>
    <col min="11558" max="11558" width="6.875" style="1" customWidth="1"/>
    <col min="11559" max="11559" width="6.375" style="1" customWidth="1"/>
    <col min="11560" max="11560" width="19.625" style="1" customWidth="1"/>
    <col min="11561" max="11561" width="51.375" style="1" customWidth="1"/>
    <col min="11562" max="11562" width="6.25" style="1" customWidth="1"/>
    <col min="11563" max="11563" width="2.625" style="1" customWidth="1"/>
    <col min="11564" max="11564" width="5.125" style="1" customWidth="1"/>
    <col min="11565" max="11565" width="27.375" style="1" customWidth="1"/>
    <col min="11566" max="11566" width="5.875" style="1" customWidth="1"/>
    <col min="11567" max="11567" width="3.75" style="1" customWidth="1"/>
    <col min="11568" max="11568" width="6.25" style="1" customWidth="1"/>
    <col min="11569" max="11569" width="6.875" style="1" customWidth="1"/>
    <col min="11570" max="11570" width="6.75" style="1" customWidth="1"/>
    <col min="11571" max="11571" width="5.875" style="1" customWidth="1"/>
    <col min="11572" max="11572" width="91.875" style="1" customWidth="1"/>
    <col min="11573" max="11573" width="131.25" style="1" customWidth="1"/>
    <col min="11574" max="11574" width="7" style="1" customWidth="1"/>
    <col min="11575" max="11575" width="7.875" style="1" customWidth="1"/>
    <col min="11576" max="11576" width="8.5" style="1" customWidth="1"/>
    <col min="11577" max="11577" width="4.75" style="1" customWidth="1"/>
    <col min="11578" max="11578" width="23.25" style="1" customWidth="1"/>
    <col min="11579" max="11579" width="6.875" style="1" customWidth="1"/>
    <col min="11580" max="11580" width="7.875" style="1" customWidth="1"/>
    <col min="11581" max="11581" width="7.75" style="1" customWidth="1"/>
    <col min="11582" max="11582" width="8" style="1" customWidth="1"/>
    <col min="11583" max="11583" width="4.625" style="1" customWidth="1"/>
    <col min="11584" max="11584" width="7.875" style="1" customWidth="1"/>
    <col min="11585" max="11585" width="4" style="1" customWidth="1"/>
    <col min="11586" max="11586" width="4.625" style="1" customWidth="1"/>
    <col min="11587" max="11596" width="4" style="1" customWidth="1"/>
    <col min="11597" max="11597" width="3.75" style="1" customWidth="1"/>
    <col min="11598" max="11598" width="4" style="1" customWidth="1"/>
    <col min="11599" max="11599" width="3.625" style="1" customWidth="1"/>
    <col min="11600" max="11600" width="9.875" style="1" customWidth="1"/>
    <col min="11601" max="11601" width="5" style="1" customWidth="1"/>
    <col min="11602" max="11602" width="7.125" style="1" customWidth="1"/>
    <col min="11603" max="11603" width="9.375" style="1" customWidth="1"/>
    <col min="11604" max="11604" width="10.25" style="1" customWidth="1"/>
    <col min="11605" max="11605" width="7.375" style="1" customWidth="1"/>
    <col min="11606" max="11606" width="47.375" style="1" customWidth="1"/>
    <col min="11607" max="11607" width="73.25" style="1" customWidth="1"/>
    <col min="11608" max="11608" width="26.625" style="1" customWidth="1"/>
    <col min="11609" max="11610" width="26.75" style="1" customWidth="1"/>
    <col min="11611" max="11611" width="6.375" style="1" customWidth="1"/>
    <col min="11612" max="11613" width="9.875" style="1" customWidth="1"/>
    <col min="11614" max="11614" width="26.5" style="1" customWidth="1"/>
    <col min="11615" max="11615" width="9.125" style="1" customWidth="1"/>
    <col min="11616" max="11616" width="12.625" style="1" customWidth="1"/>
    <col min="11617" max="11617" width="36.5" style="1" customWidth="1"/>
    <col min="11618" max="11618" width="3.375" style="1" customWidth="1"/>
    <col min="11619" max="11619" width="8" style="1" customWidth="1"/>
    <col min="11620" max="11620" width="5.625" style="1" customWidth="1"/>
    <col min="11621" max="11621" width="7.875" style="1" customWidth="1"/>
    <col min="11622" max="11622" width="6" style="1" customWidth="1"/>
    <col min="11623" max="11623" width="11.25" style="1" customWidth="1"/>
    <col min="11624" max="11776" width="9" style="1" customWidth="1"/>
    <col min="11777" max="11777" width="13.125" style="1" customWidth="1"/>
    <col min="11778" max="11778" width="10.875" style="1" customWidth="1"/>
    <col min="11779" max="11779" width="4.625" style="1" customWidth="1"/>
    <col min="11780" max="11780" width="7" style="1" customWidth="1"/>
    <col min="11781" max="11781" width="5.125" style="1" customWidth="1"/>
    <col min="11782" max="11786" width="3.25" style="1" customWidth="1"/>
    <col min="11787" max="11787" width="3.5" style="1" customWidth="1"/>
    <col min="11788" max="11789" width="3.25" style="1" customWidth="1"/>
    <col min="11790" max="11791" width="4.75" style="1" customWidth="1"/>
    <col min="11792" max="11792" width="5.25" style="1" customWidth="1"/>
    <col min="11793" max="11793" width="4.875" style="1" customWidth="1"/>
    <col min="11794" max="11794" width="7.875" style="1" customWidth="1"/>
    <col min="11795" max="11795" width="5.125" style="1" customWidth="1"/>
    <col min="11796" max="11796" width="5.5" style="1" customWidth="1"/>
    <col min="11797" max="11797" width="5.75" style="1" customWidth="1"/>
    <col min="11798" max="11798" width="7.875" style="1" customWidth="1"/>
    <col min="11799" max="11799" width="5.125" style="1" customWidth="1"/>
    <col min="11800" max="11800" width="4.625" style="1" customWidth="1"/>
    <col min="11801" max="11801" width="7.875" style="1" customWidth="1"/>
    <col min="11802" max="11802" width="6.125" style="1" customWidth="1"/>
    <col min="11803" max="11803" width="36.5" style="1" customWidth="1"/>
    <col min="11804" max="11804" width="29.25" style="1" customWidth="1"/>
    <col min="11805" max="11806" width="9.875" style="1" customWidth="1"/>
    <col min="11807" max="11807" width="9.25" style="1" customWidth="1"/>
    <col min="11808" max="11808" width="2.5" style="1" customWidth="1"/>
    <col min="11809" max="11809" width="3.25" style="1" customWidth="1"/>
    <col min="11810" max="11810" width="3.625" style="1" customWidth="1"/>
    <col min="11811" max="11811" width="3.375" style="1" customWidth="1"/>
    <col min="11812" max="11812" width="23.625" style="1" customWidth="1"/>
    <col min="11813" max="11813" width="8.25" style="1" customWidth="1"/>
    <col min="11814" max="11814" width="6.875" style="1" customWidth="1"/>
    <col min="11815" max="11815" width="6.375" style="1" customWidth="1"/>
    <col min="11816" max="11816" width="19.625" style="1" customWidth="1"/>
    <col min="11817" max="11817" width="51.375" style="1" customWidth="1"/>
    <col min="11818" max="11818" width="6.25" style="1" customWidth="1"/>
    <col min="11819" max="11819" width="2.625" style="1" customWidth="1"/>
    <col min="11820" max="11820" width="5.125" style="1" customWidth="1"/>
    <col min="11821" max="11821" width="27.375" style="1" customWidth="1"/>
    <col min="11822" max="11822" width="5.875" style="1" customWidth="1"/>
    <col min="11823" max="11823" width="3.75" style="1" customWidth="1"/>
    <col min="11824" max="11824" width="6.25" style="1" customWidth="1"/>
    <col min="11825" max="11825" width="6.875" style="1" customWidth="1"/>
    <col min="11826" max="11826" width="6.75" style="1" customWidth="1"/>
    <col min="11827" max="11827" width="5.875" style="1" customWidth="1"/>
    <col min="11828" max="11828" width="91.875" style="1" customWidth="1"/>
    <col min="11829" max="11829" width="131.25" style="1" customWidth="1"/>
    <col min="11830" max="11830" width="7" style="1" customWidth="1"/>
    <col min="11831" max="11831" width="7.875" style="1" customWidth="1"/>
    <col min="11832" max="11832" width="8.5" style="1" customWidth="1"/>
    <col min="11833" max="11833" width="4.75" style="1" customWidth="1"/>
    <col min="11834" max="11834" width="23.25" style="1" customWidth="1"/>
    <col min="11835" max="11835" width="6.875" style="1" customWidth="1"/>
    <col min="11836" max="11836" width="7.875" style="1" customWidth="1"/>
    <col min="11837" max="11837" width="7.75" style="1" customWidth="1"/>
    <col min="11838" max="11838" width="8" style="1" customWidth="1"/>
    <col min="11839" max="11839" width="4.625" style="1" customWidth="1"/>
    <col min="11840" max="11840" width="7.875" style="1" customWidth="1"/>
    <col min="11841" max="11841" width="4" style="1" customWidth="1"/>
    <col min="11842" max="11842" width="4.625" style="1" customWidth="1"/>
    <col min="11843" max="11852" width="4" style="1" customWidth="1"/>
    <col min="11853" max="11853" width="3.75" style="1" customWidth="1"/>
    <col min="11854" max="11854" width="4" style="1" customWidth="1"/>
    <col min="11855" max="11855" width="3.625" style="1" customWidth="1"/>
    <col min="11856" max="11856" width="9.875" style="1" customWidth="1"/>
    <col min="11857" max="11857" width="5" style="1" customWidth="1"/>
    <col min="11858" max="11858" width="7.125" style="1" customWidth="1"/>
    <col min="11859" max="11859" width="9.375" style="1" customWidth="1"/>
    <col min="11860" max="11860" width="10.25" style="1" customWidth="1"/>
    <col min="11861" max="11861" width="7.375" style="1" customWidth="1"/>
    <col min="11862" max="11862" width="47.375" style="1" customWidth="1"/>
    <col min="11863" max="11863" width="73.25" style="1" customWidth="1"/>
    <col min="11864" max="11864" width="26.625" style="1" customWidth="1"/>
    <col min="11865" max="11866" width="26.75" style="1" customWidth="1"/>
    <col min="11867" max="11867" width="6.375" style="1" customWidth="1"/>
    <col min="11868" max="11869" width="9.875" style="1" customWidth="1"/>
    <col min="11870" max="11870" width="26.5" style="1" customWidth="1"/>
    <col min="11871" max="11871" width="9.125" style="1" customWidth="1"/>
    <col min="11872" max="11872" width="12.625" style="1" customWidth="1"/>
    <col min="11873" max="11873" width="36.5" style="1" customWidth="1"/>
    <col min="11874" max="11874" width="3.375" style="1" customWidth="1"/>
    <col min="11875" max="11875" width="8" style="1" customWidth="1"/>
    <col min="11876" max="11876" width="5.625" style="1" customWidth="1"/>
    <col min="11877" max="11877" width="7.875" style="1" customWidth="1"/>
    <col min="11878" max="11878" width="6" style="1" customWidth="1"/>
    <col min="11879" max="11879" width="11.25" style="1" customWidth="1"/>
    <col min="11880" max="12032" width="9" style="1" customWidth="1"/>
    <col min="12033" max="12033" width="13.125" style="1" customWidth="1"/>
    <col min="12034" max="12034" width="10.875" style="1" customWidth="1"/>
    <col min="12035" max="12035" width="4.625" style="1" customWidth="1"/>
    <col min="12036" max="12036" width="7" style="1" customWidth="1"/>
    <col min="12037" max="12037" width="5.125" style="1" customWidth="1"/>
    <col min="12038" max="12042" width="3.25" style="1" customWidth="1"/>
    <col min="12043" max="12043" width="3.5" style="1" customWidth="1"/>
    <col min="12044" max="12045" width="3.25" style="1" customWidth="1"/>
    <col min="12046" max="12047" width="4.75" style="1" customWidth="1"/>
    <col min="12048" max="12048" width="5.25" style="1" customWidth="1"/>
    <col min="12049" max="12049" width="4.875" style="1" customWidth="1"/>
    <col min="12050" max="12050" width="7.875" style="1" customWidth="1"/>
    <col min="12051" max="12051" width="5.125" style="1" customWidth="1"/>
    <col min="12052" max="12052" width="5.5" style="1" customWidth="1"/>
    <col min="12053" max="12053" width="5.75" style="1" customWidth="1"/>
    <col min="12054" max="12054" width="7.875" style="1" customWidth="1"/>
    <col min="12055" max="12055" width="5.125" style="1" customWidth="1"/>
    <col min="12056" max="12056" width="4.625" style="1" customWidth="1"/>
    <col min="12057" max="12057" width="7.875" style="1" customWidth="1"/>
    <col min="12058" max="12058" width="6.125" style="1" customWidth="1"/>
    <col min="12059" max="12059" width="36.5" style="1" customWidth="1"/>
    <col min="12060" max="12060" width="29.25" style="1" customWidth="1"/>
    <col min="12061" max="12062" width="9.875" style="1" customWidth="1"/>
    <col min="12063" max="12063" width="9.25" style="1" customWidth="1"/>
    <col min="12064" max="12064" width="2.5" style="1" customWidth="1"/>
    <col min="12065" max="12065" width="3.25" style="1" customWidth="1"/>
    <col min="12066" max="12066" width="3.625" style="1" customWidth="1"/>
    <col min="12067" max="12067" width="3.375" style="1" customWidth="1"/>
    <col min="12068" max="12068" width="23.625" style="1" customWidth="1"/>
    <col min="12069" max="12069" width="8.25" style="1" customWidth="1"/>
    <col min="12070" max="12070" width="6.875" style="1" customWidth="1"/>
    <col min="12071" max="12071" width="6.375" style="1" customWidth="1"/>
    <col min="12072" max="12072" width="19.625" style="1" customWidth="1"/>
    <col min="12073" max="12073" width="51.375" style="1" customWidth="1"/>
    <col min="12074" max="12074" width="6.25" style="1" customWidth="1"/>
    <col min="12075" max="12075" width="2.625" style="1" customWidth="1"/>
    <col min="12076" max="12076" width="5.125" style="1" customWidth="1"/>
    <col min="12077" max="12077" width="27.375" style="1" customWidth="1"/>
    <col min="12078" max="12078" width="5.875" style="1" customWidth="1"/>
    <col min="12079" max="12079" width="3.75" style="1" customWidth="1"/>
    <col min="12080" max="12080" width="6.25" style="1" customWidth="1"/>
    <col min="12081" max="12081" width="6.875" style="1" customWidth="1"/>
    <col min="12082" max="12082" width="6.75" style="1" customWidth="1"/>
    <col min="12083" max="12083" width="5.875" style="1" customWidth="1"/>
    <col min="12084" max="12084" width="91.875" style="1" customWidth="1"/>
    <col min="12085" max="12085" width="131.25" style="1" customWidth="1"/>
    <col min="12086" max="12086" width="7" style="1" customWidth="1"/>
    <col min="12087" max="12087" width="7.875" style="1" customWidth="1"/>
    <col min="12088" max="12088" width="8.5" style="1" customWidth="1"/>
    <col min="12089" max="12089" width="4.75" style="1" customWidth="1"/>
    <col min="12090" max="12090" width="23.25" style="1" customWidth="1"/>
    <col min="12091" max="12091" width="6.875" style="1" customWidth="1"/>
    <col min="12092" max="12092" width="7.875" style="1" customWidth="1"/>
    <col min="12093" max="12093" width="7.75" style="1" customWidth="1"/>
    <col min="12094" max="12094" width="8" style="1" customWidth="1"/>
    <col min="12095" max="12095" width="4.625" style="1" customWidth="1"/>
    <col min="12096" max="12096" width="7.875" style="1" customWidth="1"/>
    <col min="12097" max="12097" width="4" style="1" customWidth="1"/>
    <col min="12098" max="12098" width="4.625" style="1" customWidth="1"/>
    <col min="12099" max="12108" width="4" style="1" customWidth="1"/>
    <col min="12109" max="12109" width="3.75" style="1" customWidth="1"/>
    <col min="12110" max="12110" width="4" style="1" customWidth="1"/>
    <col min="12111" max="12111" width="3.625" style="1" customWidth="1"/>
    <col min="12112" max="12112" width="9.875" style="1" customWidth="1"/>
    <col min="12113" max="12113" width="5" style="1" customWidth="1"/>
    <col min="12114" max="12114" width="7.125" style="1" customWidth="1"/>
    <col min="12115" max="12115" width="9.375" style="1" customWidth="1"/>
    <col min="12116" max="12116" width="10.25" style="1" customWidth="1"/>
    <col min="12117" max="12117" width="7.375" style="1" customWidth="1"/>
    <col min="12118" max="12118" width="47.375" style="1" customWidth="1"/>
    <col min="12119" max="12119" width="73.25" style="1" customWidth="1"/>
    <col min="12120" max="12120" width="26.625" style="1" customWidth="1"/>
    <col min="12121" max="12122" width="26.75" style="1" customWidth="1"/>
    <col min="12123" max="12123" width="6.375" style="1" customWidth="1"/>
    <col min="12124" max="12125" width="9.875" style="1" customWidth="1"/>
    <col min="12126" max="12126" width="26.5" style="1" customWidth="1"/>
    <col min="12127" max="12127" width="9.125" style="1" customWidth="1"/>
    <col min="12128" max="12128" width="12.625" style="1" customWidth="1"/>
    <col min="12129" max="12129" width="36.5" style="1" customWidth="1"/>
    <col min="12130" max="12130" width="3.375" style="1" customWidth="1"/>
    <col min="12131" max="12131" width="8" style="1" customWidth="1"/>
    <col min="12132" max="12132" width="5.625" style="1" customWidth="1"/>
    <col min="12133" max="12133" width="7.875" style="1" customWidth="1"/>
    <col min="12134" max="12134" width="6" style="1" customWidth="1"/>
    <col min="12135" max="12135" width="11.25" style="1" customWidth="1"/>
    <col min="12136" max="12288" width="9" style="1" customWidth="1"/>
    <col min="12289" max="12289" width="13.125" style="1" customWidth="1"/>
    <col min="12290" max="12290" width="10.875" style="1" customWidth="1"/>
    <col min="12291" max="12291" width="4.625" style="1" customWidth="1"/>
    <col min="12292" max="12292" width="7" style="1" customWidth="1"/>
    <col min="12293" max="12293" width="5.125" style="1" customWidth="1"/>
    <col min="12294" max="12298" width="3.25" style="1" customWidth="1"/>
    <col min="12299" max="12299" width="3.5" style="1" customWidth="1"/>
    <col min="12300" max="12301" width="3.25" style="1" customWidth="1"/>
    <col min="12302" max="12303" width="4.75" style="1" customWidth="1"/>
    <col min="12304" max="12304" width="5.25" style="1" customWidth="1"/>
    <col min="12305" max="12305" width="4.875" style="1" customWidth="1"/>
    <col min="12306" max="12306" width="7.875" style="1" customWidth="1"/>
    <col min="12307" max="12307" width="5.125" style="1" customWidth="1"/>
    <col min="12308" max="12308" width="5.5" style="1" customWidth="1"/>
    <col min="12309" max="12309" width="5.75" style="1" customWidth="1"/>
    <col min="12310" max="12310" width="7.875" style="1" customWidth="1"/>
    <col min="12311" max="12311" width="5.125" style="1" customWidth="1"/>
    <col min="12312" max="12312" width="4.625" style="1" customWidth="1"/>
    <col min="12313" max="12313" width="7.875" style="1" customWidth="1"/>
    <col min="12314" max="12314" width="6.125" style="1" customWidth="1"/>
    <col min="12315" max="12315" width="36.5" style="1" customWidth="1"/>
    <col min="12316" max="12316" width="29.25" style="1" customWidth="1"/>
    <col min="12317" max="12318" width="9.875" style="1" customWidth="1"/>
    <col min="12319" max="12319" width="9.25" style="1" customWidth="1"/>
    <col min="12320" max="12320" width="2.5" style="1" customWidth="1"/>
    <col min="12321" max="12321" width="3.25" style="1" customWidth="1"/>
    <col min="12322" max="12322" width="3.625" style="1" customWidth="1"/>
    <col min="12323" max="12323" width="3.375" style="1" customWidth="1"/>
    <col min="12324" max="12324" width="23.625" style="1" customWidth="1"/>
    <col min="12325" max="12325" width="8.25" style="1" customWidth="1"/>
    <col min="12326" max="12326" width="6.875" style="1" customWidth="1"/>
    <col min="12327" max="12327" width="6.375" style="1" customWidth="1"/>
    <col min="12328" max="12328" width="19.625" style="1" customWidth="1"/>
    <col min="12329" max="12329" width="51.375" style="1" customWidth="1"/>
    <col min="12330" max="12330" width="6.25" style="1" customWidth="1"/>
    <col min="12331" max="12331" width="2.625" style="1" customWidth="1"/>
    <col min="12332" max="12332" width="5.125" style="1" customWidth="1"/>
    <col min="12333" max="12333" width="27.375" style="1" customWidth="1"/>
    <col min="12334" max="12334" width="5.875" style="1" customWidth="1"/>
    <col min="12335" max="12335" width="3.75" style="1" customWidth="1"/>
    <col min="12336" max="12336" width="6.25" style="1" customWidth="1"/>
    <col min="12337" max="12337" width="6.875" style="1" customWidth="1"/>
    <col min="12338" max="12338" width="6.75" style="1" customWidth="1"/>
    <col min="12339" max="12339" width="5.875" style="1" customWidth="1"/>
    <col min="12340" max="12340" width="91.875" style="1" customWidth="1"/>
    <col min="12341" max="12341" width="131.25" style="1" customWidth="1"/>
    <col min="12342" max="12342" width="7" style="1" customWidth="1"/>
    <col min="12343" max="12343" width="7.875" style="1" customWidth="1"/>
    <col min="12344" max="12344" width="8.5" style="1" customWidth="1"/>
    <col min="12345" max="12345" width="4.75" style="1" customWidth="1"/>
    <col min="12346" max="12346" width="23.25" style="1" customWidth="1"/>
    <col min="12347" max="12347" width="6.875" style="1" customWidth="1"/>
    <col min="12348" max="12348" width="7.875" style="1" customWidth="1"/>
    <col min="12349" max="12349" width="7.75" style="1" customWidth="1"/>
    <col min="12350" max="12350" width="8" style="1" customWidth="1"/>
    <col min="12351" max="12351" width="4.625" style="1" customWidth="1"/>
    <col min="12352" max="12352" width="7.875" style="1" customWidth="1"/>
    <col min="12353" max="12353" width="4" style="1" customWidth="1"/>
    <col min="12354" max="12354" width="4.625" style="1" customWidth="1"/>
    <col min="12355" max="12364" width="4" style="1" customWidth="1"/>
    <col min="12365" max="12365" width="3.75" style="1" customWidth="1"/>
    <col min="12366" max="12366" width="4" style="1" customWidth="1"/>
    <col min="12367" max="12367" width="3.625" style="1" customWidth="1"/>
    <col min="12368" max="12368" width="9.875" style="1" customWidth="1"/>
    <col min="12369" max="12369" width="5" style="1" customWidth="1"/>
    <col min="12370" max="12370" width="7.125" style="1" customWidth="1"/>
    <col min="12371" max="12371" width="9.375" style="1" customWidth="1"/>
    <col min="12372" max="12372" width="10.25" style="1" customWidth="1"/>
    <col min="12373" max="12373" width="7.375" style="1" customWidth="1"/>
    <col min="12374" max="12374" width="47.375" style="1" customWidth="1"/>
    <col min="12375" max="12375" width="73.25" style="1" customWidth="1"/>
    <col min="12376" max="12376" width="26.625" style="1" customWidth="1"/>
    <col min="12377" max="12378" width="26.75" style="1" customWidth="1"/>
    <col min="12379" max="12379" width="6.375" style="1" customWidth="1"/>
    <col min="12380" max="12381" width="9.875" style="1" customWidth="1"/>
    <col min="12382" max="12382" width="26.5" style="1" customWidth="1"/>
    <col min="12383" max="12383" width="9.125" style="1" customWidth="1"/>
    <col min="12384" max="12384" width="12.625" style="1" customWidth="1"/>
    <col min="12385" max="12385" width="36.5" style="1" customWidth="1"/>
    <col min="12386" max="12386" width="3.375" style="1" customWidth="1"/>
    <col min="12387" max="12387" width="8" style="1" customWidth="1"/>
    <col min="12388" max="12388" width="5.625" style="1" customWidth="1"/>
    <col min="12389" max="12389" width="7.875" style="1" customWidth="1"/>
    <col min="12390" max="12390" width="6" style="1" customWidth="1"/>
    <col min="12391" max="12391" width="11.25" style="1" customWidth="1"/>
    <col min="12392" max="12544" width="9" style="1" customWidth="1"/>
    <col min="12545" max="12545" width="13.125" style="1" customWidth="1"/>
    <col min="12546" max="12546" width="10.875" style="1" customWidth="1"/>
    <col min="12547" max="12547" width="4.625" style="1" customWidth="1"/>
    <col min="12548" max="12548" width="7" style="1" customWidth="1"/>
    <col min="12549" max="12549" width="5.125" style="1" customWidth="1"/>
    <col min="12550" max="12554" width="3.25" style="1" customWidth="1"/>
    <col min="12555" max="12555" width="3.5" style="1" customWidth="1"/>
    <col min="12556" max="12557" width="3.25" style="1" customWidth="1"/>
    <col min="12558" max="12559" width="4.75" style="1" customWidth="1"/>
    <col min="12560" max="12560" width="5.25" style="1" customWidth="1"/>
    <col min="12561" max="12561" width="4.875" style="1" customWidth="1"/>
    <col min="12562" max="12562" width="7.875" style="1" customWidth="1"/>
    <col min="12563" max="12563" width="5.125" style="1" customWidth="1"/>
    <col min="12564" max="12564" width="5.5" style="1" customWidth="1"/>
    <col min="12565" max="12565" width="5.75" style="1" customWidth="1"/>
    <col min="12566" max="12566" width="7.875" style="1" customWidth="1"/>
    <col min="12567" max="12567" width="5.125" style="1" customWidth="1"/>
    <col min="12568" max="12568" width="4.625" style="1" customWidth="1"/>
    <col min="12569" max="12569" width="7.875" style="1" customWidth="1"/>
    <col min="12570" max="12570" width="6.125" style="1" customWidth="1"/>
    <col min="12571" max="12571" width="36.5" style="1" customWidth="1"/>
    <col min="12572" max="12572" width="29.25" style="1" customWidth="1"/>
    <col min="12573" max="12574" width="9.875" style="1" customWidth="1"/>
    <col min="12575" max="12575" width="9.25" style="1" customWidth="1"/>
    <col min="12576" max="12576" width="2.5" style="1" customWidth="1"/>
    <col min="12577" max="12577" width="3.25" style="1" customWidth="1"/>
    <col min="12578" max="12578" width="3.625" style="1" customWidth="1"/>
    <col min="12579" max="12579" width="3.375" style="1" customWidth="1"/>
    <col min="12580" max="12580" width="23.625" style="1" customWidth="1"/>
    <col min="12581" max="12581" width="8.25" style="1" customWidth="1"/>
    <col min="12582" max="12582" width="6.875" style="1" customWidth="1"/>
    <col min="12583" max="12583" width="6.375" style="1" customWidth="1"/>
    <col min="12584" max="12584" width="19.625" style="1" customWidth="1"/>
    <col min="12585" max="12585" width="51.375" style="1" customWidth="1"/>
    <col min="12586" max="12586" width="6.25" style="1" customWidth="1"/>
    <col min="12587" max="12587" width="2.625" style="1" customWidth="1"/>
    <col min="12588" max="12588" width="5.125" style="1" customWidth="1"/>
    <col min="12589" max="12589" width="27.375" style="1" customWidth="1"/>
    <col min="12590" max="12590" width="5.875" style="1" customWidth="1"/>
    <col min="12591" max="12591" width="3.75" style="1" customWidth="1"/>
    <col min="12592" max="12592" width="6.25" style="1" customWidth="1"/>
    <col min="12593" max="12593" width="6.875" style="1" customWidth="1"/>
    <col min="12594" max="12594" width="6.75" style="1" customWidth="1"/>
    <col min="12595" max="12595" width="5.875" style="1" customWidth="1"/>
    <col min="12596" max="12596" width="91.875" style="1" customWidth="1"/>
    <col min="12597" max="12597" width="131.25" style="1" customWidth="1"/>
    <col min="12598" max="12598" width="7" style="1" customWidth="1"/>
    <col min="12599" max="12599" width="7.875" style="1" customWidth="1"/>
    <col min="12600" max="12600" width="8.5" style="1" customWidth="1"/>
    <col min="12601" max="12601" width="4.75" style="1" customWidth="1"/>
    <col min="12602" max="12602" width="23.25" style="1" customWidth="1"/>
    <col min="12603" max="12603" width="6.875" style="1" customWidth="1"/>
    <col min="12604" max="12604" width="7.875" style="1" customWidth="1"/>
    <col min="12605" max="12605" width="7.75" style="1" customWidth="1"/>
    <col min="12606" max="12606" width="8" style="1" customWidth="1"/>
    <col min="12607" max="12607" width="4.625" style="1" customWidth="1"/>
    <col min="12608" max="12608" width="7.875" style="1" customWidth="1"/>
    <col min="12609" max="12609" width="4" style="1" customWidth="1"/>
    <col min="12610" max="12610" width="4.625" style="1" customWidth="1"/>
    <col min="12611" max="12620" width="4" style="1" customWidth="1"/>
    <col min="12621" max="12621" width="3.75" style="1" customWidth="1"/>
    <col min="12622" max="12622" width="4" style="1" customWidth="1"/>
    <col min="12623" max="12623" width="3.625" style="1" customWidth="1"/>
    <col min="12624" max="12624" width="9.875" style="1" customWidth="1"/>
    <col min="12625" max="12625" width="5" style="1" customWidth="1"/>
    <col min="12626" max="12626" width="7.125" style="1" customWidth="1"/>
    <col min="12627" max="12627" width="9.375" style="1" customWidth="1"/>
    <col min="12628" max="12628" width="10.25" style="1" customWidth="1"/>
    <col min="12629" max="12629" width="7.375" style="1" customWidth="1"/>
    <col min="12630" max="12630" width="47.375" style="1" customWidth="1"/>
    <col min="12631" max="12631" width="73.25" style="1" customWidth="1"/>
    <col min="12632" max="12632" width="26.625" style="1" customWidth="1"/>
    <col min="12633" max="12634" width="26.75" style="1" customWidth="1"/>
    <col min="12635" max="12635" width="6.375" style="1" customWidth="1"/>
    <col min="12636" max="12637" width="9.875" style="1" customWidth="1"/>
    <col min="12638" max="12638" width="26.5" style="1" customWidth="1"/>
    <col min="12639" max="12639" width="9.125" style="1" customWidth="1"/>
    <col min="12640" max="12640" width="12.625" style="1" customWidth="1"/>
    <col min="12641" max="12641" width="36.5" style="1" customWidth="1"/>
    <col min="12642" max="12642" width="3.375" style="1" customWidth="1"/>
    <col min="12643" max="12643" width="8" style="1" customWidth="1"/>
    <col min="12644" max="12644" width="5.625" style="1" customWidth="1"/>
    <col min="12645" max="12645" width="7.875" style="1" customWidth="1"/>
    <col min="12646" max="12646" width="6" style="1" customWidth="1"/>
    <col min="12647" max="12647" width="11.25" style="1" customWidth="1"/>
    <col min="12648" max="12800" width="9" style="1" customWidth="1"/>
    <col min="12801" max="12801" width="13.125" style="1" customWidth="1"/>
    <col min="12802" max="12802" width="10.875" style="1" customWidth="1"/>
    <col min="12803" max="12803" width="4.625" style="1" customWidth="1"/>
    <col min="12804" max="12804" width="7" style="1" customWidth="1"/>
    <col min="12805" max="12805" width="5.125" style="1" customWidth="1"/>
    <col min="12806" max="12810" width="3.25" style="1" customWidth="1"/>
    <col min="12811" max="12811" width="3.5" style="1" customWidth="1"/>
    <col min="12812" max="12813" width="3.25" style="1" customWidth="1"/>
    <col min="12814" max="12815" width="4.75" style="1" customWidth="1"/>
    <col min="12816" max="12816" width="5.25" style="1" customWidth="1"/>
    <col min="12817" max="12817" width="4.875" style="1" customWidth="1"/>
    <col min="12818" max="12818" width="7.875" style="1" customWidth="1"/>
    <col min="12819" max="12819" width="5.125" style="1" customWidth="1"/>
    <col min="12820" max="12820" width="5.5" style="1" customWidth="1"/>
    <col min="12821" max="12821" width="5.75" style="1" customWidth="1"/>
    <col min="12822" max="12822" width="7.875" style="1" customWidth="1"/>
    <col min="12823" max="12823" width="5.125" style="1" customWidth="1"/>
    <col min="12824" max="12824" width="4.625" style="1" customWidth="1"/>
    <col min="12825" max="12825" width="7.875" style="1" customWidth="1"/>
    <col min="12826" max="12826" width="6.125" style="1" customWidth="1"/>
    <col min="12827" max="12827" width="36.5" style="1" customWidth="1"/>
    <col min="12828" max="12828" width="29.25" style="1" customWidth="1"/>
    <col min="12829" max="12830" width="9.875" style="1" customWidth="1"/>
    <col min="12831" max="12831" width="9.25" style="1" customWidth="1"/>
    <col min="12832" max="12832" width="2.5" style="1" customWidth="1"/>
    <col min="12833" max="12833" width="3.25" style="1" customWidth="1"/>
    <col min="12834" max="12834" width="3.625" style="1" customWidth="1"/>
    <col min="12835" max="12835" width="3.375" style="1" customWidth="1"/>
    <col min="12836" max="12836" width="23.625" style="1" customWidth="1"/>
    <col min="12837" max="12837" width="8.25" style="1" customWidth="1"/>
    <col min="12838" max="12838" width="6.875" style="1" customWidth="1"/>
    <col min="12839" max="12839" width="6.375" style="1" customWidth="1"/>
    <col min="12840" max="12840" width="19.625" style="1" customWidth="1"/>
    <col min="12841" max="12841" width="51.375" style="1" customWidth="1"/>
    <col min="12842" max="12842" width="6.25" style="1" customWidth="1"/>
    <col min="12843" max="12843" width="2.625" style="1" customWidth="1"/>
    <col min="12844" max="12844" width="5.125" style="1" customWidth="1"/>
    <col min="12845" max="12845" width="27.375" style="1" customWidth="1"/>
    <col min="12846" max="12846" width="5.875" style="1" customWidth="1"/>
    <col min="12847" max="12847" width="3.75" style="1" customWidth="1"/>
    <col min="12848" max="12848" width="6.25" style="1" customWidth="1"/>
    <col min="12849" max="12849" width="6.875" style="1" customWidth="1"/>
    <col min="12850" max="12850" width="6.75" style="1" customWidth="1"/>
    <col min="12851" max="12851" width="5.875" style="1" customWidth="1"/>
    <col min="12852" max="12852" width="91.875" style="1" customWidth="1"/>
    <col min="12853" max="12853" width="131.25" style="1" customWidth="1"/>
    <col min="12854" max="12854" width="7" style="1" customWidth="1"/>
    <col min="12855" max="12855" width="7.875" style="1" customWidth="1"/>
    <col min="12856" max="12856" width="8.5" style="1" customWidth="1"/>
    <col min="12857" max="12857" width="4.75" style="1" customWidth="1"/>
    <col min="12858" max="12858" width="23.25" style="1" customWidth="1"/>
    <col min="12859" max="12859" width="6.875" style="1" customWidth="1"/>
    <col min="12860" max="12860" width="7.875" style="1" customWidth="1"/>
    <col min="12861" max="12861" width="7.75" style="1" customWidth="1"/>
    <col min="12862" max="12862" width="8" style="1" customWidth="1"/>
    <col min="12863" max="12863" width="4.625" style="1" customWidth="1"/>
    <col min="12864" max="12864" width="7.875" style="1" customWidth="1"/>
    <col min="12865" max="12865" width="4" style="1" customWidth="1"/>
    <col min="12866" max="12866" width="4.625" style="1" customWidth="1"/>
    <col min="12867" max="12876" width="4" style="1" customWidth="1"/>
    <col min="12877" max="12877" width="3.75" style="1" customWidth="1"/>
    <col min="12878" max="12878" width="4" style="1" customWidth="1"/>
    <col min="12879" max="12879" width="3.625" style="1" customWidth="1"/>
    <col min="12880" max="12880" width="9.875" style="1" customWidth="1"/>
    <col min="12881" max="12881" width="5" style="1" customWidth="1"/>
    <col min="12882" max="12882" width="7.125" style="1" customWidth="1"/>
    <col min="12883" max="12883" width="9.375" style="1" customWidth="1"/>
    <col min="12884" max="12884" width="10.25" style="1" customWidth="1"/>
    <col min="12885" max="12885" width="7.375" style="1" customWidth="1"/>
    <col min="12886" max="12886" width="47.375" style="1" customWidth="1"/>
    <col min="12887" max="12887" width="73.25" style="1" customWidth="1"/>
    <col min="12888" max="12888" width="26.625" style="1" customWidth="1"/>
    <col min="12889" max="12890" width="26.75" style="1" customWidth="1"/>
    <col min="12891" max="12891" width="6.375" style="1" customWidth="1"/>
    <col min="12892" max="12893" width="9.875" style="1" customWidth="1"/>
    <col min="12894" max="12894" width="26.5" style="1" customWidth="1"/>
    <col min="12895" max="12895" width="9.125" style="1" customWidth="1"/>
    <col min="12896" max="12896" width="12.625" style="1" customWidth="1"/>
    <col min="12897" max="12897" width="36.5" style="1" customWidth="1"/>
    <col min="12898" max="12898" width="3.375" style="1" customWidth="1"/>
    <col min="12899" max="12899" width="8" style="1" customWidth="1"/>
    <col min="12900" max="12900" width="5.625" style="1" customWidth="1"/>
    <col min="12901" max="12901" width="7.875" style="1" customWidth="1"/>
    <col min="12902" max="12902" width="6" style="1" customWidth="1"/>
    <col min="12903" max="12903" width="11.25" style="1" customWidth="1"/>
    <col min="12904" max="13056" width="9" style="1" customWidth="1"/>
    <col min="13057" max="13057" width="13.125" style="1" customWidth="1"/>
    <col min="13058" max="13058" width="10.875" style="1" customWidth="1"/>
    <col min="13059" max="13059" width="4.625" style="1" customWidth="1"/>
    <col min="13060" max="13060" width="7" style="1" customWidth="1"/>
    <col min="13061" max="13061" width="5.125" style="1" customWidth="1"/>
    <col min="13062" max="13066" width="3.25" style="1" customWidth="1"/>
    <col min="13067" max="13067" width="3.5" style="1" customWidth="1"/>
    <col min="13068" max="13069" width="3.25" style="1" customWidth="1"/>
    <col min="13070" max="13071" width="4.75" style="1" customWidth="1"/>
    <col min="13072" max="13072" width="5.25" style="1" customWidth="1"/>
    <col min="13073" max="13073" width="4.875" style="1" customWidth="1"/>
    <col min="13074" max="13074" width="7.875" style="1" customWidth="1"/>
    <col min="13075" max="13075" width="5.125" style="1" customWidth="1"/>
    <col min="13076" max="13076" width="5.5" style="1" customWidth="1"/>
    <col min="13077" max="13077" width="5.75" style="1" customWidth="1"/>
    <col min="13078" max="13078" width="7.875" style="1" customWidth="1"/>
    <col min="13079" max="13079" width="5.125" style="1" customWidth="1"/>
    <col min="13080" max="13080" width="4.625" style="1" customWidth="1"/>
    <col min="13081" max="13081" width="7.875" style="1" customWidth="1"/>
    <col min="13082" max="13082" width="6.125" style="1" customWidth="1"/>
    <col min="13083" max="13083" width="36.5" style="1" customWidth="1"/>
    <col min="13084" max="13084" width="29.25" style="1" customWidth="1"/>
    <col min="13085" max="13086" width="9.875" style="1" customWidth="1"/>
    <col min="13087" max="13087" width="9.25" style="1" customWidth="1"/>
    <col min="13088" max="13088" width="2.5" style="1" customWidth="1"/>
    <col min="13089" max="13089" width="3.25" style="1" customWidth="1"/>
    <col min="13090" max="13090" width="3.625" style="1" customWidth="1"/>
    <col min="13091" max="13091" width="3.375" style="1" customWidth="1"/>
    <col min="13092" max="13092" width="23.625" style="1" customWidth="1"/>
    <col min="13093" max="13093" width="8.25" style="1" customWidth="1"/>
    <col min="13094" max="13094" width="6.875" style="1" customWidth="1"/>
    <col min="13095" max="13095" width="6.375" style="1" customWidth="1"/>
    <col min="13096" max="13096" width="19.625" style="1" customWidth="1"/>
    <col min="13097" max="13097" width="51.375" style="1" customWidth="1"/>
    <col min="13098" max="13098" width="6.25" style="1" customWidth="1"/>
    <col min="13099" max="13099" width="2.625" style="1" customWidth="1"/>
    <col min="13100" max="13100" width="5.125" style="1" customWidth="1"/>
    <col min="13101" max="13101" width="27.375" style="1" customWidth="1"/>
    <col min="13102" max="13102" width="5.875" style="1" customWidth="1"/>
    <col min="13103" max="13103" width="3.75" style="1" customWidth="1"/>
    <col min="13104" max="13104" width="6.25" style="1" customWidth="1"/>
    <col min="13105" max="13105" width="6.875" style="1" customWidth="1"/>
    <col min="13106" max="13106" width="6.75" style="1" customWidth="1"/>
    <col min="13107" max="13107" width="5.875" style="1" customWidth="1"/>
    <col min="13108" max="13108" width="91.875" style="1" customWidth="1"/>
    <col min="13109" max="13109" width="131.25" style="1" customWidth="1"/>
    <col min="13110" max="13110" width="7" style="1" customWidth="1"/>
    <col min="13111" max="13111" width="7.875" style="1" customWidth="1"/>
    <col min="13112" max="13112" width="8.5" style="1" customWidth="1"/>
    <col min="13113" max="13113" width="4.75" style="1" customWidth="1"/>
    <col min="13114" max="13114" width="23.25" style="1" customWidth="1"/>
    <col min="13115" max="13115" width="6.875" style="1" customWidth="1"/>
    <col min="13116" max="13116" width="7.875" style="1" customWidth="1"/>
    <col min="13117" max="13117" width="7.75" style="1" customWidth="1"/>
    <col min="13118" max="13118" width="8" style="1" customWidth="1"/>
    <col min="13119" max="13119" width="4.625" style="1" customWidth="1"/>
    <col min="13120" max="13120" width="7.875" style="1" customWidth="1"/>
    <col min="13121" max="13121" width="4" style="1" customWidth="1"/>
    <col min="13122" max="13122" width="4.625" style="1" customWidth="1"/>
    <col min="13123" max="13132" width="4" style="1" customWidth="1"/>
    <col min="13133" max="13133" width="3.75" style="1" customWidth="1"/>
    <col min="13134" max="13134" width="4" style="1" customWidth="1"/>
    <col min="13135" max="13135" width="3.625" style="1" customWidth="1"/>
    <col min="13136" max="13136" width="9.875" style="1" customWidth="1"/>
    <col min="13137" max="13137" width="5" style="1" customWidth="1"/>
    <col min="13138" max="13138" width="7.125" style="1" customWidth="1"/>
    <col min="13139" max="13139" width="9.375" style="1" customWidth="1"/>
    <col min="13140" max="13140" width="10.25" style="1" customWidth="1"/>
    <col min="13141" max="13141" width="7.375" style="1" customWidth="1"/>
    <col min="13142" max="13142" width="47.375" style="1" customWidth="1"/>
    <col min="13143" max="13143" width="73.25" style="1" customWidth="1"/>
    <col min="13144" max="13144" width="26.625" style="1" customWidth="1"/>
    <col min="13145" max="13146" width="26.75" style="1" customWidth="1"/>
    <col min="13147" max="13147" width="6.375" style="1" customWidth="1"/>
    <col min="13148" max="13149" width="9.875" style="1" customWidth="1"/>
    <col min="13150" max="13150" width="26.5" style="1" customWidth="1"/>
    <col min="13151" max="13151" width="9.125" style="1" customWidth="1"/>
    <col min="13152" max="13152" width="12.625" style="1" customWidth="1"/>
    <col min="13153" max="13153" width="36.5" style="1" customWidth="1"/>
    <col min="13154" max="13154" width="3.375" style="1" customWidth="1"/>
    <col min="13155" max="13155" width="8" style="1" customWidth="1"/>
    <col min="13156" max="13156" width="5.625" style="1" customWidth="1"/>
    <col min="13157" max="13157" width="7.875" style="1" customWidth="1"/>
    <col min="13158" max="13158" width="6" style="1" customWidth="1"/>
    <col min="13159" max="13159" width="11.25" style="1" customWidth="1"/>
    <col min="13160" max="13312" width="9" style="1" customWidth="1"/>
    <col min="13313" max="13313" width="13.125" style="1" customWidth="1"/>
    <col min="13314" max="13314" width="10.875" style="1" customWidth="1"/>
    <col min="13315" max="13315" width="4.625" style="1" customWidth="1"/>
    <col min="13316" max="13316" width="7" style="1" customWidth="1"/>
    <col min="13317" max="13317" width="5.125" style="1" customWidth="1"/>
    <col min="13318" max="13322" width="3.25" style="1" customWidth="1"/>
    <col min="13323" max="13323" width="3.5" style="1" customWidth="1"/>
    <col min="13324" max="13325" width="3.25" style="1" customWidth="1"/>
    <col min="13326" max="13327" width="4.75" style="1" customWidth="1"/>
    <col min="13328" max="13328" width="5.25" style="1" customWidth="1"/>
    <col min="13329" max="13329" width="4.875" style="1" customWidth="1"/>
    <col min="13330" max="13330" width="7.875" style="1" customWidth="1"/>
    <col min="13331" max="13331" width="5.125" style="1" customWidth="1"/>
    <col min="13332" max="13332" width="5.5" style="1" customWidth="1"/>
    <col min="13333" max="13333" width="5.75" style="1" customWidth="1"/>
    <col min="13334" max="13334" width="7.875" style="1" customWidth="1"/>
    <col min="13335" max="13335" width="5.125" style="1" customWidth="1"/>
    <col min="13336" max="13336" width="4.625" style="1" customWidth="1"/>
    <col min="13337" max="13337" width="7.875" style="1" customWidth="1"/>
    <col min="13338" max="13338" width="6.125" style="1" customWidth="1"/>
    <col min="13339" max="13339" width="36.5" style="1" customWidth="1"/>
    <col min="13340" max="13340" width="29.25" style="1" customWidth="1"/>
    <col min="13341" max="13342" width="9.875" style="1" customWidth="1"/>
    <col min="13343" max="13343" width="9.25" style="1" customWidth="1"/>
    <col min="13344" max="13344" width="2.5" style="1" customWidth="1"/>
    <col min="13345" max="13345" width="3.25" style="1" customWidth="1"/>
    <col min="13346" max="13346" width="3.625" style="1" customWidth="1"/>
    <col min="13347" max="13347" width="3.375" style="1" customWidth="1"/>
    <col min="13348" max="13348" width="23.625" style="1" customWidth="1"/>
    <col min="13349" max="13349" width="8.25" style="1" customWidth="1"/>
    <col min="13350" max="13350" width="6.875" style="1" customWidth="1"/>
    <col min="13351" max="13351" width="6.375" style="1" customWidth="1"/>
    <col min="13352" max="13352" width="19.625" style="1" customWidth="1"/>
    <col min="13353" max="13353" width="51.375" style="1" customWidth="1"/>
    <col min="13354" max="13354" width="6.25" style="1" customWidth="1"/>
    <col min="13355" max="13355" width="2.625" style="1" customWidth="1"/>
    <col min="13356" max="13356" width="5.125" style="1" customWidth="1"/>
    <col min="13357" max="13357" width="27.375" style="1" customWidth="1"/>
    <col min="13358" max="13358" width="5.875" style="1" customWidth="1"/>
    <col min="13359" max="13359" width="3.75" style="1" customWidth="1"/>
    <col min="13360" max="13360" width="6.25" style="1" customWidth="1"/>
    <col min="13361" max="13361" width="6.875" style="1" customWidth="1"/>
    <col min="13362" max="13362" width="6.75" style="1" customWidth="1"/>
    <col min="13363" max="13363" width="5.875" style="1" customWidth="1"/>
    <col min="13364" max="13364" width="91.875" style="1" customWidth="1"/>
    <col min="13365" max="13365" width="131.25" style="1" customWidth="1"/>
    <col min="13366" max="13366" width="7" style="1" customWidth="1"/>
    <col min="13367" max="13367" width="7.875" style="1" customWidth="1"/>
    <col min="13368" max="13368" width="8.5" style="1" customWidth="1"/>
    <col min="13369" max="13369" width="4.75" style="1" customWidth="1"/>
    <col min="13370" max="13370" width="23.25" style="1" customWidth="1"/>
    <col min="13371" max="13371" width="6.875" style="1" customWidth="1"/>
    <col min="13372" max="13372" width="7.875" style="1" customWidth="1"/>
    <col min="13373" max="13373" width="7.75" style="1" customWidth="1"/>
    <col min="13374" max="13374" width="8" style="1" customWidth="1"/>
    <col min="13375" max="13375" width="4.625" style="1" customWidth="1"/>
    <col min="13376" max="13376" width="7.875" style="1" customWidth="1"/>
    <col min="13377" max="13377" width="4" style="1" customWidth="1"/>
    <col min="13378" max="13378" width="4.625" style="1" customWidth="1"/>
    <col min="13379" max="13388" width="4" style="1" customWidth="1"/>
    <col min="13389" max="13389" width="3.75" style="1" customWidth="1"/>
    <col min="13390" max="13390" width="4" style="1" customWidth="1"/>
    <col min="13391" max="13391" width="3.625" style="1" customWidth="1"/>
    <col min="13392" max="13392" width="9.875" style="1" customWidth="1"/>
    <col min="13393" max="13393" width="5" style="1" customWidth="1"/>
    <col min="13394" max="13394" width="7.125" style="1" customWidth="1"/>
    <col min="13395" max="13395" width="9.375" style="1" customWidth="1"/>
    <col min="13396" max="13396" width="10.25" style="1" customWidth="1"/>
    <col min="13397" max="13397" width="7.375" style="1" customWidth="1"/>
    <col min="13398" max="13398" width="47.375" style="1" customWidth="1"/>
    <col min="13399" max="13399" width="73.25" style="1" customWidth="1"/>
    <col min="13400" max="13400" width="26.625" style="1" customWidth="1"/>
    <col min="13401" max="13402" width="26.75" style="1" customWidth="1"/>
    <col min="13403" max="13403" width="6.375" style="1" customWidth="1"/>
    <col min="13404" max="13405" width="9.875" style="1" customWidth="1"/>
    <col min="13406" max="13406" width="26.5" style="1" customWidth="1"/>
    <col min="13407" max="13407" width="9.125" style="1" customWidth="1"/>
    <col min="13408" max="13408" width="12.625" style="1" customWidth="1"/>
    <col min="13409" max="13409" width="36.5" style="1" customWidth="1"/>
    <col min="13410" max="13410" width="3.375" style="1" customWidth="1"/>
    <col min="13411" max="13411" width="8" style="1" customWidth="1"/>
    <col min="13412" max="13412" width="5.625" style="1" customWidth="1"/>
    <col min="13413" max="13413" width="7.875" style="1" customWidth="1"/>
    <col min="13414" max="13414" width="6" style="1" customWidth="1"/>
    <col min="13415" max="13415" width="11.25" style="1" customWidth="1"/>
    <col min="13416" max="13568" width="9" style="1" customWidth="1"/>
    <col min="13569" max="13569" width="13.125" style="1" customWidth="1"/>
    <col min="13570" max="13570" width="10.875" style="1" customWidth="1"/>
    <col min="13571" max="13571" width="4.625" style="1" customWidth="1"/>
    <col min="13572" max="13572" width="7" style="1" customWidth="1"/>
    <col min="13573" max="13573" width="5.125" style="1" customWidth="1"/>
    <col min="13574" max="13578" width="3.25" style="1" customWidth="1"/>
    <col min="13579" max="13579" width="3.5" style="1" customWidth="1"/>
    <col min="13580" max="13581" width="3.25" style="1" customWidth="1"/>
    <col min="13582" max="13583" width="4.75" style="1" customWidth="1"/>
    <col min="13584" max="13584" width="5.25" style="1" customWidth="1"/>
    <col min="13585" max="13585" width="4.875" style="1" customWidth="1"/>
    <col min="13586" max="13586" width="7.875" style="1" customWidth="1"/>
    <col min="13587" max="13587" width="5.125" style="1" customWidth="1"/>
    <col min="13588" max="13588" width="5.5" style="1" customWidth="1"/>
    <col min="13589" max="13589" width="5.75" style="1" customWidth="1"/>
    <col min="13590" max="13590" width="7.875" style="1" customWidth="1"/>
    <col min="13591" max="13591" width="5.125" style="1" customWidth="1"/>
    <col min="13592" max="13592" width="4.625" style="1" customWidth="1"/>
    <col min="13593" max="13593" width="7.875" style="1" customWidth="1"/>
    <col min="13594" max="13594" width="6.125" style="1" customWidth="1"/>
    <col min="13595" max="13595" width="36.5" style="1" customWidth="1"/>
    <col min="13596" max="13596" width="29.25" style="1" customWidth="1"/>
    <col min="13597" max="13598" width="9.875" style="1" customWidth="1"/>
    <col min="13599" max="13599" width="9.25" style="1" customWidth="1"/>
    <col min="13600" max="13600" width="2.5" style="1" customWidth="1"/>
    <col min="13601" max="13601" width="3.25" style="1" customWidth="1"/>
    <col min="13602" max="13602" width="3.625" style="1" customWidth="1"/>
    <col min="13603" max="13603" width="3.375" style="1" customWidth="1"/>
    <col min="13604" max="13604" width="23.625" style="1" customWidth="1"/>
    <col min="13605" max="13605" width="8.25" style="1" customWidth="1"/>
    <col min="13606" max="13606" width="6.875" style="1" customWidth="1"/>
    <col min="13607" max="13607" width="6.375" style="1" customWidth="1"/>
    <col min="13608" max="13608" width="19.625" style="1" customWidth="1"/>
    <col min="13609" max="13609" width="51.375" style="1" customWidth="1"/>
    <col min="13610" max="13610" width="6.25" style="1" customWidth="1"/>
    <col min="13611" max="13611" width="2.625" style="1" customWidth="1"/>
    <col min="13612" max="13612" width="5.125" style="1" customWidth="1"/>
    <col min="13613" max="13613" width="27.375" style="1" customWidth="1"/>
    <col min="13614" max="13614" width="5.875" style="1" customWidth="1"/>
    <col min="13615" max="13615" width="3.75" style="1" customWidth="1"/>
    <col min="13616" max="13616" width="6.25" style="1" customWidth="1"/>
    <col min="13617" max="13617" width="6.875" style="1" customWidth="1"/>
    <col min="13618" max="13618" width="6.75" style="1" customWidth="1"/>
    <col min="13619" max="13619" width="5.875" style="1" customWidth="1"/>
    <col min="13620" max="13620" width="91.875" style="1" customWidth="1"/>
    <col min="13621" max="13621" width="131.25" style="1" customWidth="1"/>
    <col min="13622" max="13622" width="7" style="1" customWidth="1"/>
    <col min="13623" max="13623" width="7.875" style="1" customWidth="1"/>
    <col min="13624" max="13624" width="8.5" style="1" customWidth="1"/>
    <col min="13625" max="13625" width="4.75" style="1" customWidth="1"/>
    <col min="13626" max="13626" width="23.25" style="1" customWidth="1"/>
    <col min="13627" max="13627" width="6.875" style="1" customWidth="1"/>
    <col min="13628" max="13628" width="7.875" style="1" customWidth="1"/>
    <col min="13629" max="13629" width="7.75" style="1" customWidth="1"/>
    <col min="13630" max="13630" width="8" style="1" customWidth="1"/>
    <col min="13631" max="13631" width="4.625" style="1" customWidth="1"/>
    <col min="13632" max="13632" width="7.875" style="1" customWidth="1"/>
    <col min="13633" max="13633" width="4" style="1" customWidth="1"/>
    <col min="13634" max="13634" width="4.625" style="1" customWidth="1"/>
    <col min="13635" max="13644" width="4" style="1" customWidth="1"/>
    <col min="13645" max="13645" width="3.75" style="1" customWidth="1"/>
    <col min="13646" max="13646" width="4" style="1" customWidth="1"/>
    <col min="13647" max="13647" width="3.625" style="1" customWidth="1"/>
    <col min="13648" max="13648" width="9.875" style="1" customWidth="1"/>
    <col min="13649" max="13649" width="5" style="1" customWidth="1"/>
    <col min="13650" max="13650" width="7.125" style="1" customWidth="1"/>
    <col min="13651" max="13651" width="9.375" style="1" customWidth="1"/>
    <col min="13652" max="13652" width="10.25" style="1" customWidth="1"/>
    <col min="13653" max="13653" width="7.375" style="1" customWidth="1"/>
    <col min="13654" max="13654" width="47.375" style="1" customWidth="1"/>
    <col min="13655" max="13655" width="73.25" style="1" customWidth="1"/>
    <col min="13656" max="13656" width="26.625" style="1" customWidth="1"/>
    <col min="13657" max="13658" width="26.75" style="1" customWidth="1"/>
    <col min="13659" max="13659" width="6.375" style="1" customWidth="1"/>
    <col min="13660" max="13661" width="9.875" style="1" customWidth="1"/>
    <col min="13662" max="13662" width="26.5" style="1" customWidth="1"/>
    <col min="13663" max="13663" width="9.125" style="1" customWidth="1"/>
    <col min="13664" max="13664" width="12.625" style="1" customWidth="1"/>
    <col min="13665" max="13665" width="36.5" style="1" customWidth="1"/>
    <col min="13666" max="13666" width="3.375" style="1" customWidth="1"/>
    <col min="13667" max="13667" width="8" style="1" customWidth="1"/>
    <col min="13668" max="13668" width="5.625" style="1" customWidth="1"/>
    <col min="13669" max="13669" width="7.875" style="1" customWidth="1"/>
    <col min="13670" max="13670" width="6" style="1" customWidth="1"/>
    <col min="13671" max="13671" width="11.25" style="1" customWidth="1"/>
    <col min="13672" max="13824" width="9" style="1" customWidth="1"/>
    <col min="13825" max="13825" width="13.125" style="1" customWidth="1"/>
    <col min="13826" max="13826" width="10.875" style="1" customWidth="1"/>
    <col min="13827" max="13827" width="4.625" style="1" customWidth="1"/>
    <col min="13828" max="13828" width="7" style="1" customWidth="1"/>
    <col min="13829" max="13829" width="5.125" style="1" customWidth="1"/>
    <col min="13830" max="13834" width="3.25" style="1" customWidth="1"/>
    <col min="13835" max="13835" width="3.5" style="1" customWidth="1"/>
    <col min="13836" max="13837" width="3.25" style="1" customWidth="1"/>
    <col min="13838" max="13839" width="4.75" style="1" customWidth="1"/>
    <col min="13840" max="13840" width="5.25" style="1" customWidth="1"/>
    <col min="13841" max="13841" width="4.875" style="1" customWidth="1"/>
    <col min="13842" max="13842" width="7.875" style="1" customWidth="1"/>
    <col min="13843" max="13843" width="5.125" style="1" customWidth="1"/>
    <col min="13844" max="13844" width="5.5" style="1" customWidth="1"/>
    <col min="13845" max="13845" width="5.75" style="1" customWidth="1"/>
    <col min="13846" max="13846" width="7.875" style="1" customWidth="1"/>
    <col min="13847" max="13847" width="5.125" style="1" customWidth="1"/>
    <col min="13848" max="13848" width="4.625" style="1" customWidth="1"/>
    <col min="13849" max="13849" width="7.875" style="1" customWidth="1"/>
    <col min="13850" max="13850" width="6.125" style="1" customWidth="1"/>
    <col min="13851" max="13851" width="36.5" style="1" customWidth="1"/>
    <col min="13852" max="13852" width="29.25" style="1" customWidth="1"/>
    <col min="13853" max="13854" width="9.875" style="1" customWidth="1"/>
    <col min="13855" max="13855" width="9.25" style="1" customWidth="1"/>
    <col min="13856" max="13856" width="2.5" style="1" customWidth="1"/>
    <col min="13857" max="13857" width="3.25" style="1" customWidth="1"/>
    <col min="13858" max="13858" width="3.625" style="1" customWidth="1"/>
    <col min="13859" max="13859" width="3.375" style="1" customWidth="1"/>
    <col min="13860" max="13860" width="23.625" style="1" customWidth="1"/>
    <col min="13861" max="13861" width="8.25" style="1" customWidth="1"/>
    <col min="13862" max="13862" width="6.875" style="1" customWidth="1"/>
    <col min="13863" max="13863" width="6.375" style="1" customWidth="1"/>
    <col min="13864" max="13864" width="19.625" style="1" customWidth="1"/>
    <col min="13865" max="13865" width="51.375" style="1" customWidth="1"/>
    <col min="13866" max="13866" width="6.25" style="1" customWidth="1"/>
    <col min="13867" max="13867" width="2.625" style="1" customWidth="1"/>
    <col min="13868" max="13868" width="5.125" style="1" customWidth="1"/>
    <col min="13869" max="13869" width="27.375" style="1" customWidth="1"/>
    <col min="13870" max="13870" width="5.875" style="1" customWidth="1"/>
    <col min="13871" max="13871" width="3.75" style="1" customWidth="1"/>
    <col min="13872" max="13872" width="6.25" style="1" customWidth="1"/>
    <col min="13873" max="13873" width="6.875" style="1" customWidth="1"/>
    <col min="13874" max="13874" width="6.75" style="1" customWidth="1"/>
    <col min="13875" max="13875" width="5.875" style="1" customWidth="1"/>
    <col min="13876" max="13876" width="91.875" style="1" customWidth="1"/>
    <col min="13877" max="13877" width="131.25" style="1" customWidth="1"/>
    <col min="13878" max="13878" width="7" style="1" customWidth="1"/>
    <col min="13879" max="13879" width="7.875" style="1" customWidth="1"/>
    <col min="13880" max="13880" width="8.5" style="1" customWidth="1"/>
    <col min="13881" max="13881" width="4.75" style="1" customWidth="1"/>
    <col min="13882" max="13882" width="23.25" style="1" customWidth="1"/>
    <col min="13883" max="13883" width="6.875" style="1" customWidth="1"/>
    <col min="13884" max="13884" width="7.875" style="1" customWidth="1"/>
    <col min="13885" max="13885" width="7.75" style="1" customWidth="1"/>
    <col min="13886" max="13886" width="8" style="1" customWidth="1"/>
    <col min="13887" max="13887" width="4.625" style="1" customWidth="1"/>
    <col min="13888" max="13888" width="7.875" style="1" customWidth="1"/>
    <col min="13889" max="13889" width="4" style="1" customWidth="1"/>
    <col min="13890" max="13890" width="4.625" style="1" customWidth="1"/>
    <col min="13891" max="13900" width="4" style="1" customWidth="1"/>
    <col min="13901" max="13901" width="3.75" style="1" customWidth="1"/>
    <col min="13902" max="13902" width="4" style="1" customWidth="1"/>
    <col min="13903" max="13903" width="3.625" style="1" customWidth="1"/>
    <col min="13904" max="13904" width="9.875" style="1" customWidth="1"/>
    <col min="13905" max="13905" width="5" style="1" customWidth="1"/>
    <col min="13906" max="13906" width="7.125" style="1" customWidth="1"/>
    <col min="13907" max="13907" width="9.375" style="1" customWidth="1"/>
    <col min="13908" max="13908" width="10.25" style="1" customWidth="1"/>
    <col min="13909" max="13909" width="7.375" style="1" customWidth="1"/>
    <col min="13910" max="13910" width="47.375" style="1" customWidth="1"/>
    <col min="13911" max="13911" width="73.25" style="1" customWidth="1"/>
    <col min="13912" max="13912" width="26.625" style="1" customWidth="1"/>
    <col min="13913" max="13914" width="26.75" style="1" customWidth="1"/>
    <col min="13915" max="13915" width="6.375" style="1" customWidth="1"/>
    <col min="13916" max="13917" width="9.875" style="1" customWidth="1"/>
    <col min="13918" max="13918" width="26.5" style="1" customWidth="1"/>
    <col min="13919" max="13919" width="9.125" style="1" customWidth="1"/>
    <col min="13920" max="13920" width="12.625" style="1" customWidth="1"/>
    <col min="13921" max="13921" width="36.5" style="1" customWidth="1"/>
    <col min="13922" max="13922" width="3.375" style="1" customWidth="1"/>
    <col min="13923" max="13923" width="8" style="1" customWidth="1"/>
    <col min="13924" max="13924" width="5.625" style="1" customWidth="1"/>
    <col min="13925" max="13925" width="7.875" style="1" customWidth="1"/>
    <col min="13926" max="13926" width="6" style="1" customWidth="1"/>
    <col min="13927" max="13927" width="11.25" style="1" customWidth="1"/>
    <col min="13928" max="14080" width="9" style="1" customWidth="1"/>
    <col min="14081" max="14081" width="13.125" style="1" customWidth="1"/>
    <col min="14082" max="14082" width="10.875" style="1" customWidth="1"/>
    <col min="14083" max="14083" width="4.625" style="1" customWidth="1"/>
    <col min="14084" max="14084" width="7" style="1" customWidth="1"/>
    <col min="14085" max="14085" width="5.125" style="1" customWidth="1"/>
    <col min="14086" max="14090" width="3.25" style="1" customWidth="1"/>
    <col min="14091" max="14091" width="3.5" style="1" customWidth="1"/>
    <col min="14092" max="14093" width="3.25" style="1" customWidth="1"/>
    <col min="14094" max="14095" width="4.75" style="1" customWidth="1"/>
    <col min="14096" max="14096" width="5.25" style="1" customWidth="1"/>
    <col min="14097" max="14097" width="4.875" style="1" customWidth="1"/>
    <col min="14098" max="14098" width="7.875" style="1" customWidth="1"/>
    <col min="14099" max="14099" width="5.125" style="1" customWidth="1"/>
    <col min="14100" max="14100" width="5.5" style="1" customWidth="1"/>
    <col min="14101" max="14101" width="5.75" style="1" customWidth="1"/>
    <col min="14102" max="14102" width="7.875" style="1" customWidth="1"/>
    <col min="14103" max="14103" width="5.125" style="1" customWidth="1"/>
    <col min="14104" max="14104" width="4.625" style="1" customWidth="1"/>
    <col min="14105" max="14105" width="7.875" style="1" customWidth="1"/>
    <col min="14106" max="14106" width="6.125" style="1" customWidth="1"/>
    <col min="14107" max="14107" width="36.5" style="1" customWidth="1"/>
    <col min="14108" max="14108" width="29.25" style="1" customWidth="1"/>
    <col min="14109" max="14110" width="9.875" style="1" customWidth="1"/>
    <col min="14111" max="14111" width="9.25" style="1" customWidth="1"/>
    <col min="14112" max="14112" width="2.5" style="1" customWidth="1"/>
    <col min="14113" max="14113" width="3.25" style="1" customWidth="1"/>
    <col min="14114" max="14114" width="3.625" style="1" customWidth="1"/>
    <col min="14115" max="14115" width="3.375" style="1" customWidth="1"/>
    <col min="14116" max="14116" width="23.625" style="1" customWidth="1"/>
    <col min="14117" max="14117" width="8.25" style="1" customWidth="1"/>
    <col min="14118" max="14118" width="6.875" style="1" customWidth="1"/>
    <col min="14119" max="14119" width="6.375" style="1" customWidth="1"/>
    <col min="14120" max="14120" width="19.625" style="1" customWidth="1"/>
    <col min="14121" max="14121" width="51.375" style="1" customWidth="1"/>
    <col min="14122" max="14122" width="6.25" style="1" customWidth="1"/>
    <col min="14123" max="14123" width="2.625" style="1" customWidth="1"/>
    <col min="14124" max="14124" width="5.125" style="1" customWidth="1"/>
    <col min="14125" max="14125" width="27.375" style="1" customWidth="1"/>
    <col min="14126" max="14126" width="5.875" style="1" customWidth="1"/>
    <col min="14127" max="14127" width="3.75" style="1" customWidth="1"/>
    <col min="14128" max="14128" width="6.25" style="1" customWidth="1"/>
    <col min="14129" max="14129" width="6.875" style="1" customWidth="1"/>
    <col min="14130" max="14130" width="6.75" style="1" customWidth="1"/>
    <col min="14131" max="14131" width="5.875" style="1" customWidth="1"/>
    <col min="14132" max="14132" width="91.875" style="1" customWidth="1"/>
    <col min="14133" max="14133" width="131.25" style="1" customWidth="1"/>
    <col min="14134" max="14134" width="7" style="1" customWidth="1"/>
    <col min="14135" max="14135" width="7.875" style="1" customWidth="1"/>
    <col min="14136" max="14136" width="8.5" style="1" customWidth="1"/>
    <col min="14137" max="14137" width="4.75" style="1" customWidth="1"/>
    <col min="14138" max="14138" width="23.25" style="1" customWidth="1"/>
    <col min="14139" max="14139" width="6.875" style="1" customWidth="1"/>
    <col min="14140" max="14140" width="7.875" style="1" customWidth="1"/>
    <col min="14141" max="14141" width="7.75" style="1" customWidth="1"/>
    <col min="14142" max="14142" width="8" style="1" customWidth="1"/>
    <col min="14143" max="14143" width="4.625" style="1" customWidth="1"/>
    <col min="14144" max="14144" width="7.875" style="1" customWidth="1"/>
    <col min="14145" max="14145" width="4" style="1" customWidth="1"/>
    <col min="14146" max="14146" width="4.625" style="1" customWidth="1"/>
    <col min="14147" max="14156" width="4" style="1" customWidth="1"/>
    <col min="14157" max="14157" width="3.75" style="1" customWidth="1"/>
    <col min="14158" max="14158" width="4" style="1" customWidth="1"/>
    <col min="14159" max="14159" width="3.625" style="1" customWidth="1"/>
    <col min="14160" max="14160" width="9.875" style="1" customWidth="1"/>
    <col min="14161" max="14161" width="5" style="1" customWidth="1"/>
    <col min="14162" max="14162" width="7.125" style="1" customWidth="1"/>
    <col min="14163" max="14163" width="9.375" style="1" customWidth="1"/>
    <col min="14164" max="14164" width="10.25" style="1" customWidth="1"/>
    <col min="14165" max="14165" width="7.375" style="1" customWidth="1"/>
    <col min="14166" max="14166" width="47.375" style="1" customWidth="1"/>
    <col min="14167" max="14167" width="73.25" style="1" customWidth="1"/>
    <col min="14168" max="14168" width="26.625" style="1" customWidth="1"/>
    <col min="14169" max="14170" width="26.75" style="1" customWidth="1"/>
    <col min="14171" max="14171" width="6.375" style="1" customWidth="1"/>
    <col min="14172" max="14173" width="9.875" style="1" customWidth="1"/>
    <col min="14174" max="14174" width="26.5" style="1" customWidth="1"/>
    <col min="14175" max="14175" width="9.125" style="1" customWidth="1"/>
    <col min="14176" max="14176" width="12.625" style="1" customWidth="1"/>
    <col min="14177" max="14177" width="36.5" style="1" customWidth="1"/>
    <col min="14178" max="14178" width="3.375" style="1" customWidth="1"/>
    <col min="14179" max="14179" width="8" style="1" customWidth="1"/>
    <col min="14180" max="14180" width="5.625" style="1" customWidth="1"/>
    <col min="14181" max="14181" width="7.875" style="1" customWidth="1"/>
    <col min="14182" max="14182" width="6" style="1" customWidth="1"/>
    <col min="14183" max="14183" width="11.25" style="1" customWidth="1"/>
    <col min="14184" max="14336" width="9" style="1" customWidth="1"/>
    <col min="14337" max="14337" width="13.125" style="1" customWidth="1"/>
    <col min="14338" max="14338" width="10.875" style="1" customWidth="1"/>
    <col min="14339" max="14339" width="4.625" style="1" customWidth="1"/>
    <col min="14340" max="14340" width="7" style="1" customWidth="1"/>
    <col min="14341" max="14341" width="5.125" style="1" customWidth="1"/>
    <col min="14342" max="14346" width="3.25" style="1" customWidth="1"/>
    <col min="14347" max="14347" width="3.5" style="1" customWidth="1"/>
    <col min="14348" max="14349" width="3.25" style="1" customWidth="1"/>
    <col min="14350" max="14351" width="4.75" style="1" customWidth="1"/>
    <col min="14352" max="14352" width="5.25" style="1" customWidth="1"/>
    <col min="14353" max="14353" width="4.875" style="1" customWidth="1"/>
    <col min="14354" max="14354" width="7.875" style="1" customWidth="1"/>
    <col min="14355" max="14355" width="5.125" style="1" customWidth="1"/>
    <col min="14356" max="14356" width="5.5" style="1" customWidth="1"/>
    <col min="14357" max="14357" width="5.75" style="1" customWidth="1"/>
    <col min="14358" max="14358" width="7.875" style="1" customWidth="1"/>
    <col min="14359" max="14359" width="5.125" style="1" customWidth="1"/>
    <col min="14360" max="14360" width="4.625" style="1" customWidth="1"/>
    <col min="14361" max="14361" width="7.875" style="1" customWidth="1"/>
    <col min="14362" max="14362" width="6.125" style="1" customWidth="1"/>
    <col min="14363" max="14363" width="36.5" style="1" customWidth="1"/>
    <col min="14364" max="14364" width="29.25" style="1" customWidth="1"/>
    <col min="14365" max="14366" width="9.875" style="1" customWidth="1"/>
    <col min="14367" max="14367" width="9.25" style="1" customWidth="1"/>
    <col min="14368" max="14368" width="2.5" style="1" customWidth="1"/>
    <col min="14369" max="14369" width="3.25" style="1" customWidth="1"/>
    <col min="14370" max="14370" width="3.625" style="1" customWidth="1"/>
    <col min="14371" max="14371" width="3.375" style="1" customWidth="1"/>
    <col min="14372" max="14372" width="23.625" style="1" customWidth="1"/>
    <col min="14373" max="14373" width="8.25" style="1" customWidth="1"/>
    <col min="14374" max="14374" width="6.875" style="1" customWidth="1"/>
    <col min="14375" max="14375" width="6.375" style="1" customWidth="1"/>
    <col min="14376" max="14376" width="19.625" style="1" customWidth="1"/>
    <col min="14377" max="14377" width="51.375" style="1" customWidth="1"/>
    <col min="14378" max="14378" width="6.25" style="1" customWidth="1"/>
    <col min="14379" max="14379" width="2.625" style="1" customWidth="1"/>
    <col min="14380" max="14380" width="5.125" style="1" customWidth="1"/>
    <col min="14381" max="14381" width="27.375" style="1" customWidth="1"/>
    <col min="14382" max="14382" width="5.875" style="1" customWidth="1"/>
    <col min="14383" max="14383" width="3.75" style="1" customWidth="1"/>
    <col min="14384" max="14384" width="6.25" style="1" customWidth="1"/>
    <col min="14385" max="14385" width="6.875" style="1" customWidth="1"/>
    <col min="14386" max="14386" width="6.75" style="1" customWidth="1"/>
    <col min="14387" max="14387" width="5.875" style="1" customWidth="1"/>
    <col min="14388" max="14388" width="91.875" style="1" customWidth="1"/>
    <col min="14389" max="14389" width="131.25" style="1" customWidth="1"/>
    <col min="14390" max="14390" width="7" style="1" customWidth="1"/>
    <col min="14391" max="14391" width="7.875" style="1" customWidth="1"/>
    <col min="14392" max="14392" width="8.5" style="1" customWidth="1"/>
    <col min="14393" max="14393" width="4.75" style="1" customWidth="1"/>
    <col min="14394" max="14394" width="23.25" style="1" customWidth="1"/>
    <col min="14395" max="14395" width="6.875" style="1" customWidth="1"/>
    <col min="14396" max="14396" width="7.875" style="1" customWidth="1"/>
    <col min="14397" max="14397" width="7.75" style="1" customWidth="1"/>
    <col min="14398" max="14398" width="8" style="1" customWidth="1"/>
    <col min="14399" max="14399" width="4.625" style="1" customWidth="1"/>
    <col min="14400" max="14400" width="7.875" style="1" customWidth="1"/>
    <col min="14401" max="14401" width="4" style="1" customWidth="1"/>
    <col min="14402" max="14402" width="4.625" style="1" customWidth="1"/>
    <col min="14403" max="14412" width="4" style="1" customWidth="1"/>
    <col min="14413" max="14413" width="3.75" style="1" customWidth="1"/>
    <col min="14414" max="14414" width="4" style="1" customWidth="1"/>
    <col min="14415" max="14415" width="3.625" style="1" customWidth="1"/>
    <col min="14416" max="14416" width="9.875" style="1" customWidth="1"/>
    <col min="14417" max="14417" width="5" style="1" customWidth="1"/>
    <col min="14418" max="14418" width="7.125" style="1" customWidth="1"/>
    <col min="14419" max="14419" width="9.375" style="1" customWidth="1"/>
    <col min="14420" max="14420" width="10.25" style="1" customWidth="1"/>
    <col min="14421" max="14421" width="7.375" style="1" customWidth="1"/>
    <col min="14422" max="14422" width="47.375" style="1" customWidth="1"/>
    <col min="14423" max="14423" width="73.25" style="1" customWidth="1"/>
    <col min="14424" max="14424" width="26.625" style="1" customWidth="1"/>
    <col min="14425" max="14426" width="26.75" style="1" customWidth="1"/>
    <col min="14427" max="14427" width="6.375" style="1" customWidth="1"/>
    <col min="14428" max="14429" width="9.875" style="1" customWidth="1"/>
    <col min="14430" max="14430" width="26.5" style="1" customWidth="1"/>
    <col min="14431" max="14431" width="9.125" style="1" customWidth="1"/>
    <col min="14432" max="14432" width="12.625" style="1" customWidth="1"/>
    <col min="14433" max="14433" width="36.5" style="1" customWidth="1"/>
    <col min="14434" max="14434" width="3.375" style="1" customWidth="1"/>
    <col min="14435" max="14435" width="8" style="1" customWidth="1"/>
    <col min="14436" max="14436" width="5.625" style="1" customWidth="1"/>
    <col min="14437" max="14437" width="7.875" style="1" customWidth="1"/>
    <col min="14438" max="14438" width="6" style="1" customWidth="1"/>
    <col min="14439" max="14439" width="11.25" style="1" customWidth="1"/>
    <col min="14440" max="14592" width="9" style="1" customWidth="1"/>
    <col min="14593" max="14593" width="13.125" style="1" customWidth="1"/>
    <col min="14594" max="14594" width="10.875" style="1" customWidth="1"/>
    <col min="14595" max="14595" width="4.625" style="1" customWidth="1"/>
    <col min="14596" max="14596" width="7" style="1" customWidth="1"/>
    <col min="14597" max="14597" width="5.125" style="1" customWidth="1"/>
    <col min="14598" max="14602" width="3.25" style="1" customWidth="1"/>
    <col min="14603" max="14603" width="3.5" style="1" customWidth="1"/>
    <col min="14604" max="14605" width="3.25" style="1" customWidth="1"/>
    <col min="14606" max="14607" width="4.75" style="1" customWidth="1"/>
    <col min="14608" max="14608" width="5.25" style="1" customWidth="1"/>
    <col min="14609" max="14609" width="4.875" style="1" customWidth="1"/>
    <col min="14610" max="14610" width="7.875" style="1" customWidth="1"/>
    <col min="14611" max="14611" width="5.125" style="1" customWidth="1"/>
    <col min="14612" max="14612" width="5.5" style="1" customWidth="1"/>
    <col min="14613" max="14613" width="5.75" style="1" customWidth="1"/>
    <col min="14614" max="14614" width="7.875" style="1" customWidth="1"/>
    <col min="14615" max="14615" width="5.125" style="1" customWidth="1"/>
    <col min="14616" max="14616" width="4.625" style="1" customWidth="1"/>
    <col min="14617" max="14617" width="7.875" style="1" customWidth="1"/>
    <col min="14618" max="14618" width="6.125" style="1" customWidth="1"/>
    <col min="14619" max="14619" width="36.5" style="1" customWidth="1"/>
    <col min="14620" max="14620" width="29.25" style="1" customWidth="1"/>
    <col min="14621" max="14622" width="9.875" style="1" customWidth="1"/>
    <col min="14623" max="14623" width="9.25" style="1" customWidth="1"/>
    <col min="14624" max="14624" width="2.5" style="1" customWidth="1"/>
    <col min="14625" max="14625" width="3.25" style="1" customWidth="1"/>
    <col min="14626" max="14626" width="3.625" style="1" customWidth="1"/>
    <col min="14627" max="14627" width="3.375" style="1" customWidth="1"/>
    <col min="14628" max="14628" width="23.625" style="1" customWidth="1"/>
    <col min="14629" max="14629" width="8.25" style="1" customWidth="1"/>
    <col min="14630" max="14630" width="6.875" style="1" customWidth="1"/>
    <col min="14631" max="14631" width="6.375" style="1" customWidth="1"/>
    <col min="14632" max="14632" width="19.625" style="1" customWidth="1"/>
    <col min="14633" max="14633" width="51.375" style="1" customWidth="1"/>
    <col min="14634" max="14634" width="6.25" style="1" customWidth="1"/>
    <col min="14635" max="14635" width="2.625" style="1" customWidth="1"/>
    <col min="14636" max="14636" width="5.125" style="1" customWidth="1"/>
    <col min="14637" max="14637" width="27.375" style="1" customWidth="1"/>
    <col min="14638" max="14638" width="5.875" style="1" customWidth="1"/>
    <col min="14639" max="14639" width="3.75" style="1" customWidth="1"/>
    <col min="14640" max="14640" width="6.25" style="1" customWidth="1"/>
    <col min="14641" max="14641" width="6.875" style="1" customWidth="1"/>
    <col min="14642" max="14642" width="6.75" style="1" customWidth="1"/>
    <col min="14643" max="14643" width="5.875" style="1" customWidth="1"/>
    <col min="14644" max="14644" width="91.875" style="1" customWidth="1"/>
    <col min="14645" max="14645" width="131.25" style="1" customWidth="1"/>
    <col min="14646" max="14646" width="7" style="1" customWidth="1"/>
    <col min="14647" max="14647" width="7.875" style="1" customWidth="1"/>
    <col min="14648" max="14648" width="8.5" style="1" customWidth="1"/>
    <col min="14649" max="14649" width="4.75" style="1" customWidth="1"/>
    <col min="14650" max="14650" width="23.25" style="1" customWidth="1"/>
    <col min="14651" max="14651" width="6.875" style="1" customWidth="1"/>
    <col min="14652" max="14652" width="7.875" style="1" customWidth="1"/>
    <col min="14653" max="14653" width="7.75" style="1" customWidth="1"/>
    <col min="14654" max="14654" width="8" style="1" customWidth="1"/>
    <col min="14655" max="14655" width="4.625" style="1" customWidth="1"/>
    <col min="14656" max="14656" width="7.875" style="1" customWidth="1"/>
    <col min="14657" max="14657" width="4" style="1" customWidth="1"/>
    <col min="14658" max="14658" width="4.625" style="1" customWidth="1"/>
    <col min="14659" max="14668" width="4" style="1" customWidth="1"/>
    <col min="14669" max="14669" width="3.75" style="1" customWidth="1"/>
    <col min="14670" max="14670" width="4" style="1" customWidth="1"/>
    <col min="14671" max="14671" width="3.625" style="1" customWidth="1"/>
    <col min="14672" max="14672" width="9.875" style="1" customWidth="1"/>
    <col min="14673" max="14673" width="5" style="1" customWidth="1"/>
    <col min="14674" max="14674" width="7.125" style="1" customWidth="1"/>
    <col min="14675" max="14675" width="9.375" style="1" customWidth="1"/>
    <col min="14676" max="14676" width="10.25" style="1" customWidth="1"/>
    <col min="14677" max="14677" width="7.375" style="1" customWidth="1"/>
    <col min="14678" max="14678" width="47.375" style="1" customWidth="1"/>
    <col min="14679" max="14679" width="73.25" style="1" customWidth="1"/>
    <col min="14680" max="14680" width="26.625" style="1" customWidth="1"/>
    <col min="14681" max="14682" width="26.75" style="1" customWidth="1"/>
    <col min="14683" max="14683" width="6.375" style="1" customWidth="1"/>
    <col min="14684" max="14685" width="9.875" style="1" customWidth="1"/>
    <col min="14686" max="14686" width="26.5" style="1" customWidth="1"/>
    <col min="14687" max="14687" width="9.125" style="1" customWidth="1"/>
    <col min="14688" max="14688" width="12.625" style="1" customWidth="1"/>
    <col min="14689" max="14689" width="36.5" style="1" customWidth="1"/>
    <col min="14690" max="14690" width="3.375" style="1" customWidth="1"/>
    <col min="14691" max="14691" width="8" style="1" customWidth="1"/>
    <col min="14692" max="14692" width="5.625" style="1" customWidth="1"/>
    <col min="14693" max="14693" width="7.875" style="1" customWidth="1"/>
    <col min="14694" max="14694" width="6" style="1" customWidth="1"/>
    <col min="14695" max="14695" width="11.25" style="1" customWidth="1"/>
    <col min="14696" max="14848" width="9" style="1" customWidth="1"/>
    <col min="14849" max="14849" width="13.125" style="1" customWidth="1"/>
    <col min="14850" max="14850" width="10.875" style="1" customWidth="1"/>
    <col min="14851" max="14851" width="4.625" style="1" customWidth="1"/>
    <col min="14852" max="14852" width="7" style="1" customWidth="1"/>
    <col min="14853" max="14853" width="5.125" style="1" customWidth="1"/>
    <col min="14854" max="14858" width="3.25" style="1" customWidth="1"/>
    <col min="14859" max="14859" width="3.5" style="1" customWidth="1"/>
    <col min="14860" max="14861" width="3.25" style="1" customWidth="1"/>
    <col min="14862" max="14863" width="4.75" style="1" customWidth="1"/>
    <col min="14864" max="14864" width="5.25" style="1" customWidth="1"/>
    <col min="14865" max="14865" width="4.875" style="1" customWidth="1"/>
    <col min="14866" max="14866" width="7.875" style="1" customWidth="1"/>
    <col min="14867" max="14867" width="5.125" style="1" customWidth="1"/>
    <col min="14868" max="14868" width="5.5" style="1" customWidth="1"/>
    <col min="14869" max="14869" width="5.75" style="1" customWidth="1"/>
    <col min="14870" max="14870" width="7.875" style="1" customWidth="1"/>
    <col min="14871" max="14871" width="5.125" style="1" customWidth="1"/>
    <col min="14872" max="14872" width="4.625" style="1" customWidth="1"/>
    <col min="14873" max="14873" width="7.875" style="1" customWidth="1"/>
    <col min="14874" max="14874" width="6.125" style="1" customWidth="1"/>
    <col min="14875" max="14875" width="36.5" style="1" customWidth="1"/>
    <col min="14876" max="14876" width="29.25" style="1" customWidth="1"/>
    <col min="14877" max="14878" width="9.875" style="1" customWidth="1"/>
    <col min="14879" max="14879" width="9.25" style="1" customWidth="1"/>
    <col min="14880" max="14880" width="2.5" style="1" customWidth="1"/>
    <col min="14881" max="14881" width="3.25" style="1" customWidth="1"/>
    <col min="14882" max="14882" width="3.625" style="1" customWidth="1"/>
    <col min="14883" max="14883" width="3.375" style="1" customWidth="1"/>
    <col min="14884" max="14884" width="23.625" style="1" customWidth="1"/>
    <col min="14885" max="14885" width="8.25" style="1" customWidth="1"/>
    <col min="14886" max="14886" width="6.875" style="1" customWidth="1"/>
    <col min="14887" max="14887" width="6.375" style="1" customWidth="1"/>
    <col min="14888" max="14888" width="19.625" style="1" customWidth="1"/>
    <col min="14889" max="14889" width="51.375" style="1" customWidth="1"/>
    <col min="14890" max="14890" width="6.25" style="1" customWidth="1"/>
    <col min="14891" max="14891" width="2.625" style="1" customWidth="1"/>
    <col min="14892" max="14892" width="5.125" style="1" customWidth="1"/>
    <col min="14893" max="14893" width="27.375" style="1" customWidth="1"/>
    <col min="14894" max="14894" width="5.875" style="1" customWidth="1"/>
    <col min="14895" max="14895" width="3.75" style="1" customWidth="1"/>
    <col min="14896" max="14896" width="6.25" style="1" customWidth="1"/>
    <col min="14897" max="14897" width="6.875" style="1" customWidth="1"/>
    <col min="14898" max="14898" width="6.75" style="1" customWidth="1"/>
    <col min="14899" max="14899" width="5.875" style="1" customWidth="1"/>
    <col min="14900" max="14900" width="91.875" style="1" customWidth="1"/>
    <col min="14901" max="14901" width="131.25" style="1" customWidth="1"/>
    <col min="14902" max="14902" width="7" style="1" customWidth="1"/>
    <col min="14903" max="14903" width="7.875" style="1" customWidth="1"/>
    <col min="14904" max="14904" width="8.5" style="1" customWidth="1"/>
    <col min="14905" max="14905" width="4.75" style="1" customWidth="1"/>
    <col min="14906" max="14906" width="23.25" style="1" customWidth="1"/>
    <col min="14907" max="14907" width="6.875" style="1" customWidth="1"/>
    <col min="14908" max="14908" width="7.875" style="1" customWidth="1"/>
    <col min="14909" max="14909" width="7.75" style="1" customWidth="1"/>
    <col min="14910" max="14910" width="8" style="1" customWidth="1"/>
    <col min="14911" max="14911" width="4.625" style="1" customWidth="1"/>
    <col min="14912" max="14912" width="7.875" style="1" customWidth="1"/>
    <col min="14913" max="14913" width="4" style="1" customWidth="1"/>
    <col min="14914" max="14914" width="4.625" style="1" customWidth="1"/>
    <col min="14915" max="14924" width="4" style="1" customWidth="1"/>
    <col min="14925" max="14925" width="3.75" style="1" customWidth="1"/>
    <col min="14926" max="14926" width="4" style="1" customWidth="1"/>
    <col min="14927" max="14927" width="3.625" style="1" customWidth="1"/>
    <col min="14928" max="14928" width="9.875" style="1" customWidth="1"/>
    <col min="14929" max="14929" width="5" style="1" customWidth="1"/>
    <col min="14930" max="14930" width="7.125" style="1" customWidth="1"/>
    <col min="14931" max="14931" width="9.375" style="1" customWidth="1"/>
    <col min="14932" max="14932" width="10.25" style="1" customWidth="1"/>
    <col min="14933" max="14933" width="7.375" style="1" customWidth="1"/>
    <col min="14934" max="14934" width="47.375" style="1" customWidth="1"/>
    <col min="14935" max="14935" width="73.25" style="1" customWidth="1"/>
    <col min="14936" max="14936" width="26.625" style="1" customWidth="1"/>
    <col min="14937" max="14938" width="26.75" style="1" customWidth="1"/>
    <col min="14939" max="14939" width="6.375" style="1" customWidth="1"/>
    <col min="14940" max="14941" width="9.875" style="1" customWidth="1"/>
    <col min="14942" max="14942" width="26.5" style="1" customWidth="1"/>
    <col min="14943" max="14943" width="9.125" style="1" customWidth="1"/>
    <col min="14944" max="14944" width="12.625" style="1" customWidth="1"/>
    <col min="14945" max="14945" width="36.5" style="1" customWidth="1"/>
    <col min="14946" max="14946" width="3.375" style="1" customWidth="1"/>
    <col min="14947" max="14947" width="8" style="1" customWidth="1"/>
    <col min="14948" max="14948" width="5.625" style="1" customWidth="1"/>
    <col min="14949" max="14949" width="7.875" style="1" customWidth="1"/>
    <col min="14950" max="14950" width="6" style="1" customWidth="1"/>
    <col min="14951" max="14951" width="11.25" style="1" customWidth="1"/>
    <col min="14952" max="15104" width="9" style="1" customWidth="1"/>
    <col min="15105" max="15105" width="13.125" style="1" customWidth="1"/>
    <col min="15106" max="15106" width="10.875" style="1" customWidth="1"/>
    <col min="15107" max="15107" width="4.625" style="1" customWidth="1"/>
    <col min="15108" max="15108" width="7" style="1" customWidth="1"/>
    <col min="15109" max="15109" width="5.125" style="1" customWidth="1"/>
    <col min="15110" max="15114" width="3.25" style="1" customWidth="1"/>
    <col min="15115" max="15115" width="3.5" style="1" customWidth="1"/>
    <col min="15116" max="15117" width="3.25" style="1" customWidth="1"/>
    <col min="15118" max="15119" width="4.75" style="1" customWidth="1"/>
    <col min="15120" max="15120" width="5.25" style="1" customWidth="1"/>
    <col min="15121" max="15121" width="4.875" style="1" customWidth="1"/>
    <col min="15122" max="15122" width="7.875" style="1" customWidth="1"/>
    <col min="15123" max="15123" width="5.125" style="1" customWidth="1"/>
    <col min="15124" max="15124" width="5.5" style="1" customWidth="1"/>
    <col min="15125" max="15125" width="5.75" style="1" customWidth="1"/>
    <col min="15126" max="15126" width="7.875" style="1" customWidth="1"/>
    <col min="15127" max="15127" width="5.125" style="1" customWidth="1"/>
    <col min="15128" max="15128" width="4.625" style="1" customWidth="1"/>
    <col min="15129" max="15129" width="7.875" style="1" customWidth="1"/>
    <col min="15130" max="15130" width="6.125" style="1" customWidth="1"/>
    <col min="15131" max="15131" width="36.5" style="1" customWidth="1"/>
    <col min="15132" max="15132" width="29.25" style="1" customWidth="1"/>
    <col min="15133" max="15134" width="9.875" style="1" customWidth="1"/>
    <col min="15135" max="15135" width="9.25" style="1" customWidth="1"/>
    <col min="15136" max="15136" width="2.5" style="1" customWidth="1"/>
    <col min="15137" max="15137" width="3.25" style="1" customWidth="1"/>
    <col min="15138" max="15138" width="3.625" style="1" customWidth="1"/>
    <col min="15139" max="15139" width="3.375" style="1" customWidth="1"/>
    <col min="15140" max="15140" width="23.625" style="1" customWidth="1"/>
    <col min="15141" max="15141" width="8.25" style="1" customWidth="1"/>
    <col min="15142" max="15142" width="6.875" style="1" customWidth="1"/>
    <col min="15143" max="15143" width="6.375" style="1" customWidth="1"/>
    <col min="15144" max="15144" width="19.625" style="1" customWidth="1"/>
    <col min="15145" max="15145" width="51.375" style="1" customWidth="1"/>
    <col min="15146" max="15146" width="6.25" style="1" customWidth="1"/>
    <col min="15147" max="15147" width="2.625" style="1" customWidth="1"/>
    <col min="15148" max="15148" width="5.125" style="1" customWidth="1"/>
    <col min="15149" max="15149" width="27.375" style="1" customWidth="1"/>
    <col min="15150" max="15150" width="5.875" style="1" customWidth="1"/>
    <col min="15151" max="15151" width="3.75" style="1" customWidth="1"/>
    <col min="15152" max="15152" width="6.25" style="1" customWidth="1"/>
    <col min="15153" max="15153" width="6.875" style="1" customWidth="1"/>
    <col min="15154" max="15154" width="6.75" style="1" customWidth="1"/>
    <col min="15155" max="15155" width="5.875" style="1" customWidth="1"/>
    <col min="15156" max="15156" width="91.875" style="1" customWidth="1"/>
    <col min="15157" max="15157" width="131.25" style="1" customWidth="1"/>
    <col min="15158" max="15158" width="7" style="1" customWidth="1"/>
    <col min="15159" max="15159" width="7.875" style="1" customWidth="1"/>
    <col min="15160" max="15160" width="8.5" style="1" customWidth="1"/>
    <col min="15161" max="15161" width="4.75" style="1" customWidth="1"/>
    <col min="15162" max="15162" width="23.25" style="1" customWidth="1"/>
    <col min="15163" max="15163" width="6.875" style="1" customWidth="1"/>
    <col min="15164" max="15164" width="7.875" style="1" customWidth="1"/>
    <col min="15165" max="15165" width="7.75" style="1" customWidth="1"/>
    <col min="15166" max="15166" width="8" style="1" customWidth="1"/>
    <col min="15167" max="15167" width="4.625" style="1" customWidth="1"/>
    <col min="15168" max="15168" width="7.875" style="1" customWidth="1"/>
    <col min="15169" max="15169" width="4" style="1" customWidth="1"/>
    <col min="15170" max="15170" width="4.625" style="1" customWidth="1"/>
    <col min="15171" max="15180" width="4" style="1" customWidth="1"/>
    <col min="15181" max="15181" width="3.75" style="1" customWidth="1"/>
    <col min="15182" max="15182" width="4" style="1" customWidth="1"/>
    <col min="15183" max="15183" width="3.625" style="1" customWidth="1"/>
    <col min="15184" max="15184" width="9.875" style="1" customWidth="1"/>
    <col min="15185" max="15185" width="5" style="1" customWidth="1"/>
    <col min="15186" max="15186" width="7.125" style="1" customWidth="1"/>
    <col min="15187" max="15187" width="9.375" style="1" customWidth="1"/>
    <col min="15188" max="15188" width="10.25" style="1" customWidth="1"/>
    <col min="15189" max="15189" width="7.375" style="1" customWidth="1"/>
    <col min="15190" max="15190" width="47.375" style="1" customWidth="1"/>
    <col min="15191" max="15191" width="73.25" style="1" customWidth="1"/>
    <col min="15192" max="15192" width="26.625" style="1" customWidth="1"/>
    <col min="15193" max="15194" width="26.75" style="1" customWidth="1"/>
    <col min="15195" max="15195" width="6.375" style="1" customWidth="1"/>
    <col min="15196" max="15197" width="9.875" style="1" customWidth="1"/>
    <col min="15198" max="15198" width="26.5" style="1" customWidth="1"/>
    <col min="15199" max="15199" width="9.125" style="1" customWidth="1"/>
    <col min="15200" max="15200" width="12.625" style="1" customWidth="1"/>
    <col min="15201" max="15201" width="36.5" style="1" customWidth="1"/>
    <col min="15202" max="15202" width="3.375" style="1" customWidth="1"/>
    <col min="15203" max="15203" width="8" style="1" customWidth="1"/>
    <col min="15204" max="15204" width="5.625" style="1" customWidth="1"/>
    <col min="15205" max="15205" width="7.875" style="1" customWidth="1"/>
    <col min="15206" max="15206" width="6" style="1" customWidth="1"/>
    <col min="15207" max="15207" width="11.25" style="1" customWidth="1"/>
    <col min="15208" max="15360" width="9" style="1" customWidth="1"/>
    <col min="15361" max="15361" width="13.125" style="1" customWidth="1"/>
    <col min="15362" max="15362" width="10.875" style="1" customWidth="1"/>
    <col min="15363" max="15363" width="4.625" style="1" customWidth="1"/>
    <col min="15364" max="15364" width="7" style="1" customWidth="1"/>
    <col min="15365" max="15365" width="5.125" style="1" customWidth="1"/>
    <col min="15366" max="15370" width="3.25" style="1" customWidth="1"/>
    <col min="15371" max="15371" width="3.5" style="1" customWidth="1"/>
    <col min="15372" max="15373" width="3.25" style="1" customWidth="1"/>
    <col min="15374" max="15375" width="4.75" style="1" customWidth="1"/>
    <col min="15376" max="15376" width="5.25" style="1" customWidth="1"/>
    <col min="15377" max="15377" width="4.875" style="1" customWidth="1"/>
    <col min="15378" max="15378" width="7.875" style="1" customWidth="1"/>
    <col min="15379" max="15379" width="5.125" style="1" customWidth="1"/>
    <col min="15380" max="15380" width="5.5" style="1" customWidth="1"/>
    <col min="15381" max="15381" width="5.75" style="1" customWidth="1"/>
    <col min="15382" max="15382" width="7.875" style="1" customWidth="1"/>
    <col min="15383" max="15383" width="5.125" style="1" customWidth="1"/>
    <col min="15384" max="15384" width="4.625" style="1" customWidth="1"/>
    <col min="15385" max="15385" width="7.875" style="1" customWidth="1"/>
    <col min="15386" max="15386" width="6.125" style="1" customWidth="1"/>
    <col min="15387" max="15387" width="36.5" style="1" customWidth="1"/>
    <col min="15388" max="15388" width="29.25" style="1" customWidth="1"/>
    <col min="15389" max="15390" width="9.875" style="1" customWidth="1"/>
    <col min="15391" max="15391" width="9.25" style="1" customWidth="1"/>
    <col min="15392" max="15392" width="2.5" style="1" customWidth="1"/>
    <col min="15393" max="15393" width="3.25" style="1" customWidth="1"/>
    <col min="15394" max="15394" width="3.625" style="1" customWidth="1"/>
    <col min="15395" max="15395" width="3.375" style="1" customWidth="1"/>
    <col min="15396" max="15396" width="23.625" style="1" customWidth="1"/>
    <col min="15397" max="15397" width="8.25" style="1" customWidth="1"/>
    <col min="15398" max="15398" width="6.875" style="1" customWidth="1"/>
    <col min="15399" max="15399" width="6.375" style="1" customWidth="1"/>
    <col min="15400" max="15400" width="19.625" style="1" customWidth="1"/>
    <col min="15401" max="15401" width="51.375" style="1" customWidth="1"/>
    <col min="15402" max="15402" width="6.25" style="1" customWidth="1"/>
    <col min="15403" max="15403" width="2.625" style="1" customWidth="1"/>
    <col min="15404" max="15404" width="5.125" style="1" customWidth="1"/>
    <col min="15405" max="15405" width="27.375" style="1" customWidth="1"/>
    <col min="15406" max="15406" width="5.875" style="1" customWidth="1"/>
    <col min="15407" max="15407" width="3.75" style="1" customWidth="1"/>
    <col min="15408" max="15408" width="6.25" style="1" customWidth="1"/>
    <col min="15409" max="15409" width="6.875" style="1" customWidth="1"/>
    <col min="15410" max="15410" width="6.75" style="1" customWidth="1"/>
    <col min="15411" max="15411" width="5.875" style="1" customWidth="1"/>
    <col min="15412" max="15412" width="91.875" style="1" customWidth="1"/>
    <col min="15413" max="15413" width="131.25" style="1" customWidth="1"/>
    <col min="15414" max="15414" width="7" style="1" customWidth="1"/>
    <col min="15415" max="15415" width="7.875" style="1" customWidth="1"/>
    <col min="15416" max="15416" width="8.5" style="1" customWidth="1"/>
    <col min="15417" max="15417" width="4.75" style="1" customWidth="1"/>
    <col min="15418" max="15418" width="23.25" style="1" customWidth="1"/>
    <col min="15419" max="15419" width="6.875" style="1" customWidth="1"/>
    <col min="15420" max="15420" width="7.875" style="1" customWidth="1"/>
    <col min="15421" max="15421" width="7.75" style="1" customWidth="1"/>
    <col min="15422" max="15422" width="8" style="1" customWidth="1"/>
    <col min="15423" max="15423" width="4.625" style="1" customWidth="1"/>
    <col min="15424" max="15424" width="7.875" style="1" customWidth="1"/>
    <col min="15425" max="15425" width="4" style="1" customWidth="1"/>
    <col min="15426" max="15426" width="4.625" style="1" customWidth="1"/>
    <col min="15427" max="15436" width="4" style="1" customWidth="1"/>
    <col min="15437" max="15437" width="3.75" style="1" customWidth="1"/>
    <col min="15438" max="15438" width="4" style="1" customWidth="1"/>
    <col min="15439" max="15439" width="3.625" style="1" customWidth="1"/>
    <col min="15440" max="15440" width="9.875" style="1" customWidth="1"/>
    <col min="15441" max="15441" width="5" style="1" customWidth="1"/>
    <col min="15442" max="15442" width="7.125" style="1" customWidth="1"/>
    <col min="15443" max="15443" width="9.375" style="1" customWidth="1"/>
    <col min="15444" max="15444" width="10.25" style="1" customWidth="1"/>
    <col min="15445" max="15445" width="7.375" style="1" customWidth="1"/>
    <col min="15446" max="15446" width="47.375" style="1" customWidth="1"/>
    <col min="15447" max="15447" width="73.25" style="1" customWidth="1"/>
    <col min="15448" max="15448" width="26.625" style="1" customWidth="1"/>
    <col min="15449" max="15450" width="26.75" style="1" customWidth="1"/>
    <col min="15451" max="15451" width="6.375" style="1" customWidth="1"/>
    <col min="15452" max="15453" width="9.875" style="1" customWidth="1"/>
    <col min="15454" max="15454" width="26.5" style="1" customWidth="1"/>
    <col min="15455" max="15455" width="9.125" style="1" customWidth="1"/>
    <col min="15456" max="15456" width="12.625" style="1" customWidth="1"/>
    <col min="15457" max="15457" width="36.5" style="1" customWidth="1"/>
    <col min="15458" max="15458" width="3.375" style="1" customWidth="1"/>
    <col min="15459" max="15459" width="8" style="1" customWidth="1"/>
    <col min="15460" max="15460" width="5.625" style="1" customWidth="1"/>
    <col min="15461" max="15461" width="7.875" style="1" customWidth="1"/>
    <col min="15462" max="15462" width="6" style="1" customWidth="1"/>
    <col min="15463" max="15463" width="11.25" style="1" customWidth="1"/>
    <col min="15464" max="15616" width="9" style="1" customWidth="1"/>
    <col min="15617" max="15617" width="13.125" style="1" customWidth="1"/>
    <col min="15618" max="15618" width="10.875" style="1" customWidth="1"/>
    <col min="15619" max="15619" width="4.625" style="1" customWidth="1"/>
    <col min="15620" max="15620" width="7" style="1" customWidth="1"/>
    <col min="15621" max="15621" width="5.125" style="1" customWidth="1"/>
    <col min="15622" max="15626" width="3.25" style="1" customWidth="1"/>
    <col min="15627" max="15627" width="3.5" style="1" customWidth="1"/>
    <col min="15628" max="15629" width="3.25" style="1" customWidth="1"/>
    <col min="15630" max="15631" width="4.75" style="1" customWidth="1"/>
    <col min="15632" max="15632" width="5.25" style="1" customWidth="1"/>
    <col min="15633" max="15633" width="4.875" style="1" customWidth="1"/>
    <col min="15634" max="15634" width="7.875" style="1" customWidth="1"/>
    <col min="15635" max="15635" width="5.125" style="1" customWidth="1"/>
    <col min="15636" max="15636" width="5.5" style="1" customWidth="1"/>
    <col min="15637" max="15637" width="5.75" style="1" customWidth="1"/>
    <col min="15638" max="15638" width="7.875" style="1" customWidth="1"/>
    <col min="15639" max="15639" width="5.125" style="1" customWidth="1"/>
    <col min="15640" max="15640" width="4.625" style="1" customWidth="1"/>
    <col min="15641" max="15641" width="7.875" style="1" customWidth="1"/>
    <col min="15642" max="15642" width="6.125" style="1" customWidth="1"/>
    <col min="15643" max="15643" width="36.5" style="1" customWidth="1"/>
    <col min="15644" max="15644" width="29.25" style="1" customWidth="1"/>
    <col min="15645" max="15646" width="9.875" style="1" customWidth="1"/>
    <col min="15647" max="15647" width="9.25" style="1" customWidth="1"/>
    <col min="15648" max="15648" width="2.5" style="1" customWidth="1"/>
    <col min="15649" max="15649" width="3.25" style="1" customWidth="1"/>
    <col min="15650" max="15650" width="3.625" style="1" customWidth="1"/>
    <col min="15651" max="15651" width="3.375" style="1" customWidth="1"/>
    <col min="15652" max="15652" width="23.625" style="1" customWidth="1"/>
    <col min="15653" max="15653" width="8.25" style="1" customWidth="1"/>
    <col min="15654" max="15654" width="6.875" style="1" customWidth="1"/>
    <col min="15655" max="15655" width="6.375" style="1" customWidth="1"/>
    <col min="15656" max="15656" width="19.625" style="1" customWidth="1"/>
    <col min="15657" max="15657" width="51.375" style="1" customWidth="1"/>
    <col min="15658" max="15658" width="6.25" style="1" customWidth="1"/>
    <col min="15659" max="15659" width="2.625" style="1" customWidth="1"/>
    <col min="15660" max="15660" width="5.125" style="1" customWidth="1"/>
    <col min="15661" max="15661" width="27.375" style="1" customWidth="1"/>
    <col min="15662" max="15662" width="5.875" style="1" customWidth="1"/>
    <col min="15663" max="15663" width="3.75" style="1" customWidth="1"/>
    <col min="15664" max="15664" width="6.25" style="1" customWidth="1"/>
    <col min="15665" max="15665" width="6.875" style="1" customWidth="1"/>
    <col min="15666" max="15666" width="6.75" style="1" customWidth="1"/>
    <col min="15667" max="15667" width="5.875" style="1" customWidth="1"/>
    <col min="15668" max="15668" width="91.875" style="1" customWidth="1"/>
    <col min="15669" max="15669" width="131.25" style="1" customWidth="1"/>
    <col min="15670" max="15670" width="7" style="1" customWidth="1"/>
    <col min="15671" max="15671" width="7.875" style="1" customWidth="1"/>
    <col min="15672" max="15672" width="8.5" style="1" customWidth="1"/>
    <col min="15673" max="15673" width="4.75" style="1" customWidth="1"/>
    <col min="15674" max="15674" width="23.25" style="1" customWidth="1"/>
    <col min="15675" max="15675" width="6.875" style="1" customWidth="1"/>
    <col min="15676" max="15676" width="7.875" style="1" customWidth="1"/>
    <col min="15677" max="15677" width="7.75" style="1" customWidth="1"/>
    <col min="15678" max="15678" width="8" style="1" customWidth="1"/>
    <col min="15679" max="15679" width="4.625" style="1" customWidth="1"/>
    <col min="15680" max="15680" width="7.875" style="1" customWidth="1"/>
    <col min="15681" max="15681" width="4" style="1" customWidth="1"/>
    <col min="15682" max="15682" width="4.625" style="1" customWidth="1"/>
    <col min="15683" max="15692" width="4" style="1" customWidth="1"/>
    <col min="15693" max="15693" width="3.75" style="1" customWidth="1"/>
    <col min="15694" max="15694" width="4" style="1" customWidth="1"/>
    <col min="15695" max="15695" width="3.625" style="1" customWidth="1"/>
    <col min="15696" max="15696" width="9.875" style="1" customWidth="1"/>
    <col min="15697" max="15697" width="5" style="1" customWidth="1"/>
    <col min="15698" max="15698" width="7.125" style="1" customWidth="1"/>
    <col min="15699" max="15699" width="9.375" style="1" customWidth="1"/>
    <col min="15700" max="15700" width="10.25" style="1" customWidth="1"/>
    <col min="15701" max="15701" width="7.375" style="1" customWidth="1"/>
    <col min="15702" max="15702" width="47.375" style="1" customWidth="1"/>
    <col min="15703" max="15703" width="73.25" style="1" customWidth="1"/>
    <col min="15704" max="15704" width="26.625" style="1" customWidth="1"/>
    <col min="15705" max="15706" width="26.75" style="1" customWidth="1"/>
    <col min="15707" max="15707" width="6.375" style="1" customWidth="1"/>
    <col min="15708" max="15709" width="9.875" style="1" customWidth="1"/>
    <col min="15710" max="15710" width="26.5" style="1" customWidth="1"/>
    <col min="15711" max="15711" width="9.125" style="1" customWidth="1"/>
    <col min="15712" max="15712" width="12.625" style="1" customWidth="1"/>
    <col min="15713" max="15713" width="36.5" style="1" customWidth="1"/>
    <col min="15714" max="15714" width="3.375" style="1" customWidth="1"/>
    <col min="15715" max="15715" width="8" style="1" customWidth="1"/>
    <col min="15716" max="15716" width="5.625" style="1" customWidth="1"/>
    <col min="15717" max="15717" width="7.875" style="1" customWidth="1"/>
    <col min="15718" max="15718" width="6" style="1" customWidth="1"/>
    <col min="15719" max="15719" width="11.25" style="1" customWidth="1"/>
    <col min="15720" max="15872" width="9" style="1" customWidth="1"/>
    <col min="15873" max="15873" width="13.125" style="1" customWidth="1"/>
    <col min="15874" max="15874" width="10.875" style="1" customWidth="1"/>
    <col min="15875" max="15875" width="4.625" style="1" customWidth="1"/>
    <col min="15876" max="15876" width="7" style="1" customWidth="1"/>
    <col min="15877" max="15877" width="5.125" style="1" customWidth="1"/>
    <col min="15878" max="15882" width="3.25" style="1" customWidth="1"/>
    <col min="15883" max="15883" width="3.5" style="1" customWidth="1"/>
    <col min="15884" max="15885" width="3.25" style="1" customWidth="1"/>
    <col min="15886" max="15887" width="4.75" style="1" customWidth="1"/>
    <col min="15888" max="15888" width="5.25" style="1" customWidth="1"/>
    <col min="15889" max="15889" width="4.875" style="1" customWidth="1"/>
    <col min="15890" max="15890" width="7.875" style="1" customWidth="1"/>
    <col min="15891" max="15891" width="5.125" style="1" customWidth="1"/>
    <col min="15892" max="15892" width="5.5" style="1" customWidth="1"/>
    <col min="15893" max="15893" width="5.75" style="1" customWidth="1"/>
    <col min="15894" max="15894" width="7.875" style="1" customWidth="1"/>
    <col min="15895" max="15895" width="5.125" style="1" customWidth="1"/>
    <col min="15896" max="15896" width="4.625" style="1" customWidth="1"/>
    <col min="15897" max="15897" width="7.875" style="1" customWidth="1"/>
    <col min="15898" max="15898" width="6.125" style="1" customWidth="1"/>
    <col min="15899" max="15899" width="36.5" style="1" customWidth="1"/>
    <col min="15900" max="15900" width="29.25" style="1" customWidth="1"/>
    <col min="15901" max="15902" width="9.875" style="1" customWidth="1"/>
    <col min="15903" max="15903" width="9.25" style="1" customWidth="1"/>
    <col min="15904" max="15904" width="2.5" style="1" customWidth="1"/>
    <col min="15905" max="15905" width="3.25" style="1" customWidth="1"/>
    <col min="15906" max="15906" width="3.625" style="1" customWidth="1"/>
    <col min="15907" max="15907" width="3.375" style="1" customWidth="1"/>
    <col min="15908" max="15908" width="23.625" style="1" customWidth="1"/>
    <col min="15909" max="15909" width="8.25" style="1" customWidth="1"/>
    <col min="15910" max="15910" width="6.875" style="1" customWidth="1"/>
    <col min="15911" max="15911" width="6.375" style="1" customWidth="1"/>
    <col min="15912" max="15912" width="19.625" style="1" customWidth="1"/>
    <col min="15913" max="15913" width="51.375" style="1" customWidth="1"/>
    <col min="15914" max="15914" width="6.25" style="1" customWidth="1"/>
    <col min="15915" max="15915" width="2.625" style="1" customWidth="1"/>
    <col min="15916" max="15916" width="5.125" style="1" customWidth="1"/>
    <col min="15917" max="15917" width="27.375" style="1" customWidth="1"/>
    <col min="15918" max="15918" width="5.875" style="1" customWidth="1"/>
    <col min="15919" max="15919" width="3.75" style="1" customWidth="1"/>
    <col min="15920" max="15920" width="6.25" style="1" customWidth="1"/>
    <col min="15921" max="15921" width="6.875" style="1" customWidth="1"/>
    <col min="15922" max="15922" width="6.75" style="1" customWidth="1"/>
    <col min="15923" max="15923" width="5.875" style="1" customWidth="1"/>
    <col min="15924" max="15924" width="91.875" style="1" customWidth="1"/>
    <col min="15925" max="15925" width="131.25" style="1" customWidth="1"/>
    <col min="15926" max="15926" width="7" style="1" customWidth="1"/>
    <col min="15927" max="15927" width="7.875" style="1" customWidth="1"/>
    <col min="15928" max="15928" width="8.5" style="1" customWidth="1"/>
    <col min="15929" max="15929" width="4.75" style="1" customWidth="1"/>
    <col min="15930" max="15930" width="23.25" style="1" customWidth="1"/>
    <col min="15931" max="15931" width="6.875" style="1" customWidth="1"/>
    <col min="15932" max="15932" width="7.875" style="1" customWidth="1"/>
    <col min="15933" max="15933" width="7.75" style="1" customWidth="1"/>
    <col min="15934" max="15934" width="8" style="1" customWidth="1"/>
    <col min="15935" max="15935" width="4.625" style="1" customWidth="1"/>
    <col min="15936" max="15936" width="7.875" style="1" customWidth="1"/>
    <col min="15937" max="15937" width="4" style="1" customWidth="1"/>
    <col min="15938" max="15938" width="4.625" style="1" customWidth="1"/>
    <col min="15939" max="15948" width="4" style="1" customWidth="1"/>
    <col min="15949" max="15949" width="3.75" style="1" customWidth="1"/>
    <col min="15950" max="15950" width="4" style="1" customWidth="1"/>
    <col min="15951" max="15951" width="3.625" style="1" customWidth="1"/>
    <col min="15952" max="15952" width="9.875" style="1" customWidth="1"/>
    <col min="15953" max="15953" width="5" style="1" customWidth="1"/>
    <col min="15954" max="15954" width="7.125" style="1" customWidth="1"/>
    <col min="15955" max="15955" width="9.375" style="1" customWidth="1"/>
    <col min="15956" max="15956" width="10.25" style="1" customWidth="1"/>
    <col min="15957" max="15957" width="7.375" style="1" customWidth="1"/>
    <col min="15958" max="15958" width="47.375" style="1" customWidth="1"/>
    <col min="15959" max="15959" width="73.25" style="1" customWidth="1"/>
    <col min="15960" max="15960" width="26.625" style="1" customWidth="1"/>
    <col min="15961" max="15962" width="26.75" style="1" customWidth="1"/>
    <col min="15963" max="15963" width="6.375" style="1" customWidth="1"/>
    <col min="15964" max="15965" width="9.875" style="1" customWidth="1"/>
    <col min="15966" max="15966" width="26.5" style="1" customWidth="1"/>
    <col min="15967" max="15967" width="9.125" style="1" customWidth="1"/>
    <col min="15968" max="15968" width="12.625" style="1" customWidth="1"/>
    <col min="15969" max="15969" width="36.5" style="1" customWidth="1"/>
    <col min="15970" max="15970" width="3.375" style="1" customWidth="1"/>
    <col min="15971" max="15971" width="8" style="1" customWidth="1"/>
    <col min="15972" max="15972" width="5.625" style="1" customWidth="1"/>
    <col min="15973" max="15973" width="7.875" style="1" customWidth="1"/>
    <col min="15974" max="15974" width="6" style="1" customWidth="1"/>
    <col min="15975" max="15975" width="11.25" style="1" customWidth="1"/>
    <col min="15976" max="16128" width="9" style="1" customWidth="1"/>
    <col min="16129" max="16129" width="13.125" style="1" customWidth="1"/>
    <col min="16130" max="16130" width="10.875" style="1" customWidth="1"/>
    <col min="16131" max="16131" width="4.625" style="1" customWidth="1"/>
    <col min="16132" max="16132" width="7" style="1" customWidth="1"/>
    <col min="16133" max="16133" width="5.125" style="1" customWidth="1"/>
    <col min="16134" max="16138" width="3.25" style="1" customWidth="1"/>
    <col min="16139" max="16139" width="3.5" style="1" customWidth="1"/>
    <col min="16140" max="16141" width="3.25" style="1" customWidth="1"/>
    <col min="16142" max="16143" width="4.75" style="1" customWidth="1"/>
    <col min="16144" max="16144" width="5.25" style="1" customWidth="1"/>
    <col min="16145" max="16145" width="4.875" style="1" customWidth="1"/>
    <col min="16146" max="16146" width="7.875" style="1" customWidth="1"/>
    <col min="16147" max="16147" width="5.125" style="1" customWidth="1"/>
    <col min="16148" max="16148" width="5.5" style="1" customWidth="1"/>
    <col min="16149" max="16149" width="5.75" style="1" customWidth="1"/>
    <col min="16150" max="16150" width="7.875" style="1" customWidth="1"/>
    <col min="16151" max="16151" width="5.125" style="1" customWidth="1"/>
    <col min="16152" max="16152" width="4.625" style="1" customWidth="1"/>
    <col min="16153" max="16153" width="7.875" style="1" customWidth="1"/>
    <col min="16154" max="16154" width="6.125" style="1" customWidth="1"/>
    <col min="16155" max="16155" width="36.5" style="1" customWidth="1"/>
    <col min="16156" max="16156" width="29.25" style="1" customWidth="1"/>
    <col min="16157" max="16158" width="9.875" style="1" customWidth="1"/>
    <col min="16159" max="16159" width="9.25" style="1" customWidth="1"/>
    <col min="16160" max="16160" width="2.5" style="1" customWidth="1"/>
    <col min="16161" max="16161" width="3.25" style="1" customWidth="1"/>
    <col min="16162" max="16162" width="3.625" style="1" customWidth="1"/>
    <col min="16163" max="16163" width="3.375" style="1" customWidth="1"/>
    <col min="16164" max="16164" width="23.625" style="1" customWidth="1"/>
    <col min="16165" max="16165" width="8.25" style="1" customWidth="1"/>
    <col min="16166" max="16166" width="6.875" style="1" customWidth="1"/>
    <col min="16167" max="16167" width="6.375" style="1" customWidth="1"/>
    <col min="16168" max="16168" width="19.625" style="1" customWidth="1"/>
    <col min="16169" max="16169" width="51.375" style="1" customWidth="1"/>
    <col min="16170" max="16170" width="6.25" style="1" customWidth="1"/>
    <col min="16171" max="16171" width="2.625" style="1" customWidth="1"/>
    <col min="16172" max="16172" width="5.125" style="1" customWidth="1"/>
    <col min="16173" max="16173" width="27.375" style="1" customWidth="1"/>
    <col min="16174" max="16174" width="5.875" style="1" customWidth="1"/>
    <col min="16175" max="16175" width="3.75" style="1" customWidth="1"/>
    <col min="16176" max="16176" width="6.25" style="1" customWidth="1"/>
    <col min="16177" max="16177" width="6.875" style="1" customWidth="1"/>
    <col min="16178" max="16178" width="6.75" style="1" customWidth="1"/>
    <col min="16179" max="16179" width="5.875" style="1" customWidth="1"/>
    <col min="16180" max="16180" width="91.875" style="1" customWidth="1"/>
    <col min="16181" max="16181" width="131.25" style="1" customWidth="1"/>
    <col min="16182" max="16182" width="7" style="1" customWidth="1"/>
    <col min="16183" max="16183" width="7.875" style="1" customWidth="1"/>
    <col min="16184" max="16184" width="8.5" style="1" customWidth="1"/>
    <col min="16185" max="16185" width="4.75" style="1" customWidth="1"/>
    <col min="16186" max="16186" width="23.25" style="1" customWidth="1"/>
    <col min="16187" max="16187" width="6.875" style="1" customWidth="1"/>
    <col min="16188" max="16188" width="7.875" style="1" customWidth="1"/>
    <col min="16189" max="16189" width="7.75" style="1" customWidth="1"/>
    <col min="16190" max="16190" width="8" style="1" customWidth="1"/>
    <col min="16191" max="16191" width="4.625" style="1" customWidth="1"/>
    <col min="16192" max="16192" width="7.875" style="1" customWidth="1"/>
    <col min="16193" max="16193" width="4" style="1" customWidth="1"/>
    <col min="16194" max="16194" width="4.625" style="1" customWidth="1"/>
    <col min="16195" max="16204" width="4" style="1" customWidth="1"/>
    <col min="16205" max="16205" width="3.75" style="1" customWidth="1"/>
    <col min="16206" max="16206" width="4" style="1" customWidth="1"/>
    <col min="16207" max="16207" width="3.625" style="1" customWidth="1"/>
    <col min="16208" max="16208" width="9.875" style="1" customWidth="1"/>
    <col min="16209" max="16209" width="5" style="1" customWidth="1"/>
    <col min="16210" max="16210" width="7.125" style="1" customWidth="1"/>
    <col min="16211" max="16211" width="9.375" style="1" customWidth="1"/>
    <col min="16212" max="16212" width="10.25" style="1" customWidth="1"/>
    <col min="16213" max="16213" width="7.375" style="1" customWidth="1"/>
    <col min="16214" max="16214" width="47.375" style="1" customWidth="1"/>
    <col min="16215" max="16215" width="73.25" style="1" customWidth="1"/>
    <col min="16216" max="16216" width="26.625" style="1" customWidth="1"/>
    <col min="16217" max="16218" width="26.75" style="1" customWidth="1"/>
    <col min="16219" max="16219" width="6.375" style="1" customWidth="1"/>
    <col min="16220" max="16221" width="9.875" style="1" customWidth="1"/>
    <col min="16222" max="16222" width="26.5" style="1" customWidth="1"/>
    <col min="16223" max="16223" width="9.125" style="1" customWidth="1"/>
    <col min="16224" max="16224" width="12.625" style="1" customWidth="1"/>
    <col min="16225" max="16225" width="36.5" style="1" customWidth="1"/>
    <col min="16226" max="16226" width="3.375" style="1" customWidth="1"/>
    <col min="16227" max="16227" width="8" style="1" customWidth="1"/>
    <col min="16228" max="16228" width="5.625" style="1" customWidth="1"/>
    <col min="16229" max="16229" width="7.875" style="1" customWidth="1"/>
    <col min="16230" max="16230" width="6" style="1" customWidth="1"/>
    <col min="16231" max="16231" width="11.25" style="1" customWidth="1"/>
    <col min="16232" max="16384" width="9" style="1" customWidth="1"/>
  </cols>
  <sheetData>
    <row r="1" ht="12" customHeight="1" spans="1:103" x14ac:dyDescent="0.25">
      <c r="A1" s="2" t="s">
        <v>152</v>
      </c>
      <c r="B1" s="2" t="s">
        <v>153</v>
      </c>
      <c r="C1" s="2" t="s">
        <v>154</v>
      </c>
      <c r="D1" s="2" t="s">
        <v>155</v>
      </c>
      <c r="E1" s="2" t="s">
        <v>156</v>
      </c>
      <c r="F1" s="2" t="s">
        <v>157</v>
      </c>
      <c r="G1" s="2" t="s">
        <v>158</v>
      </c>
      <c r="H1" s="2" t="s">
        <v>159</v>
      </c>
      <c r="I1" s="2" t="s">
        <v>160</v>
      </c>
      <c r="J1" s="2" t="s">
        <v>161</v>
      </c>
      <c r="K1" s="2" t="s">
        <v>162</v>
      </c>
      <c r="L1" s="2" t="s">
        <v>163</v>
      </c>
      <c r="M1" s="2" t="s">
        <v>164</v>
      </c>
      <c r="N1" s="2" t="s">
        <v>165</v>
      </c>
      <c r="O1" s="2" t="s">
        <v>166</v>
      </c>
      <c r="P1" s="2" t="s">
        <v>167</v>
      </c>
      <c r="Q1" s="2" t="s">
        <v>168</v>
      </c>
      <c r="R1" s="2" t="s">
        <v>169</v>
      </c>
      <c r="S1" s="2" t="s">
        <v>170</v>
      </c>
      <c r="T1" s="2" t="s">
        <v>171</v>
      </c>
      <c r="U1" s="2" t="s">
        <v>172</v>
      </c>
      <c r="V1" s="2" t="s">
        <v>173</v>
      </c>
      <c r="W1" s="2" t="s">
        <v>174</v>
      </c>
      <c r="X1" s="2" t="s">
        <v>175</v>
      </c>
      <c r="Y1" s="2" t="s">
        <v>176</v>
      </c>
      <c r="Z1" s="2" t="s">
        <v>177</v>
      </c>
      <c r="AA1" s="2" t="s">
        <v>22</v>
      </c>
      <c r="AB1" s="2" t="s">
        <v>178</v>
      </c>
      <c r="AC1" s="2" t="s">
        <v>179</v>
      </c>
      <c r="AD1" s="2" t="s">
        <v>180</v>
      </c>
      <c r="AE1" s="2" t="s">
        <v>181</v>
      </c>
      <c r="AF1" s="2" t="s">
        <v>182</v>
      </c>
      <c r="AG1" s="2" t="s">
        <v>183</v>
      </c>
      <c r="AH1" s="2" t="s">
        <v>184</v>
      </c>
      <c r="AI1" s="2" t="s">
        <v>185</v>
      </c>
      <c r="AJ1" s="2" t="s">
        <v>186</v>
      </c>
      <c r="AK1" s="2" t="s">
        <v>187</v>
      </c>
      <c r="AL1" s="2" t="s">
        <v>188</v>
      </c>
      <c r="AM1" s="2" t="s">
        <v>189</v>
      </c>
      <c r="AN1" s="2" t="s">
        <v>190</v>
      </c>
      <c r="AO1" s="2" t="s">
        <v>191</v>
      </c>
      <c r="AP1" s="2" t="s">
        <v>192</v>
      </c>
      <c r="AQ1" s="2" t="s">
        <v>193</v>
      </c>
      <c r="AR1" s="2" t="s">
        <v>194</v>
      </c>
      <c r="AS1" s="2" t="s">
        <v>195</v>
      </c>
      <c r="AT1" s="2" t="s">
        <v>196</v>
      </c>
      <c r="AU1" s="2" t="s">
        <v>197</v>
      </c>
      <c r="AV1" s="2" t="s">
        <v>198</v>
      </c>
      <c r="AW1" s="2" t="s">
        <v>199</v>
      </c>
      <c r="AX1" s="2" t="s">
        <v>200</v>
      </c>
      <c r="AY1" s="2" t="s">
        <v>201</v>
      </c>
      <c r="AZ1" s="2" t="s">
        <v>20</v>
      </c>
      <c r="BA1" s="2" t="s">
        <v>202</v>
      </c>
      <c r="BB1" s="2" t="s">
        <v>203</v>
      </c>
      <c r="BC1" s="2" t="s">
        <v>204</v>
      </c>
      <c r="BD1" s="2" t="s">
        <v>205</v>
      </c>
      <c r="BE1" s="2" t="s">
        <v>206</v>
      </c>
      <c r="BF1" s="2" t="s">
        <v>207</v>
      </c>
      <c r="BG1" s="2" t="s">
        <v>208</v>
      </c>
      <c r="BH1" s="2" t="s">
        <v>209</v>
      </c>
      <c r="BI1" s="2" t="s">
        <v>210</v>
      </c>
      <c r="BJ1" s="2" t="s">
        <v>211</v>
      </c>
      <c r="BK1" s="2" t="s">
        <v>154</v>
      </c>
      <c r="BL1" s="2" t="s">
        <v>212</v>
      </c>
      <c r="BM1" s="2" t="s">
        <v>213</v>
      </c>
      <c r="BN1" s="2" t="s">
        <v>67</v>
      </c>
      <c r="BO1" s="2" t="s">
        <v>214</v>
      </c>
      <c r="BP1" s="2" t="s">
        <v>33</v>
      </c>
      <c r="BQ1" s="2" t="s">
        <v>215</v>
      </c>
      <c r="BR1" s="2" t="s">
        <v>51</v>
      </c>
      <c r="BS1" s="2" t="s">
        <v>216</v>
      </c>
      <c r="BT1" s="2" t="s">
        <v>217</v>
      </c>
      <c r="BU1" s="2" t="s">
        <v>218</v>
      </c>
      <c r="BV1" s="2" t="s">
        <v>219</v>
      </c>
      <c r="BW1" s="2" t="s">
        <v>220</v>
      </c>
      <c r="BX1" s="2" t="s">
        <v>221</v>
      </c>
      <c r="BY1" s="2" t="s">
        <v>222</v>
      </c>
      <c r="BZ1" s="2" t="s">
        <v>223</v>
      </c>
      <c r="CA1" s="2" t="s">
        <v>224</v>
      </c>
      <c r="CB1" s="2" t="s">
        <v>225</v>
      </c>
      <c r="CC1" s="2" t="s">
        <v>226</v>
      </c>
      <c r="CD1" s="2" t="s">
        <v>227</v>
      </c>
      <c r="CE1" s="2" t="s">
        <v>228</v>
      </c>
      <c r="CF1" s="2" t="s">
        <v>229</v>
      </c>
      <c r="CG1" s="2" t="s">
        <v>230</v>
      </c>
      <c r="CH1" s="2" t="s">
        <v>231</v>
      </c>
      <c r="CI1" s="2" t="s">
        <v>232</v>
      </c>
      <c r="CJ1" s="2" t="s">
        <v>22</v>
      </c>
      <c r="CK1" s="2" t="s">
        <v>24</v>
      </c>
      <c r="CL1" s="2" t="s">
        <v>25</v>
      </c>
      <c r="CM1" s="2" t="s">
        <v>233</v>
      </c>
      <c r="CN1" s="2" t="s">
        <v>234</v>
      </c>
      <c r="CO1" s="2" t="s">
        <v>235</v>
      </c>
      <c r="CP1" s="2" t="s">
        <v>236</v>
      </c>
      <c r="CQ1" s="2" t="s">
        <v>237</v>
      </c>
      <c r="CR1" s="2" t="s">
        <v>238</v>
      </c>
      <c r="CS1" s="2" t="s">
        <v>239</v>
      </c>
      <c r="CT1" s="2" t="s">
        <v>240</v>
      </c>
      <c r="CU1" s="2" t="s">
        <v>241</v>
      </c>
      <c r="CV1" s="2" t="s">
        <v>242</v>
      </c>
      <c r="CW1" s="2" t="s">
        <v>243</v>
      </c>
      <c r="CX1" s="2" t="s">
        <v>244</v>
      </c>
      <c r="CY1" s="10" t="s">
        <v>245</v>
      </c>
    </row>
    <row r="2" ht="12" customHeight="1" spans="1:103" x14ac:dyDescent="0.25">
      <c r="A2" s="11" t="s">
        <v>83</v>
      </c>
      <c r="B2" s="3" t="s">
        <v>246</v>
      </c>
      <c r="C2" s="5">
        <v>1</v>
      </c>
      <c r="D2" s="5">
        <v>1</v>
      </c>
      <c r="E2" s="5"/>
      <c r="F2" s="5">
        <v>0</v>
      </c>
      <c r="G2" s="5">
        <v>1</v>
      </c>
      <c r="H2" s="5">
        <v>0</v>
      </c>
      <c r="I2" s="5">
        <v>0</v>
      </c>
      <c r="J2" s="5">
        <v>1</v>
      </c>
      <c r="K2" s="3" t="s">
        <v>44</v>
      </c>
      <c r="L2" s="3" t="s">
        <v>247</v>
      </c>
      <c r="M2" s="3" t="s">
        <v>31</v>
      </c>
      <c r="N2" s="3" t="s">
        <v>32</v>
      </c>
      <c r="O2" s="3" t="s">
        <v>35</v>
      </c>
      <c r="P2" s="3" t="s">
        <v>40</v>
      </c>
      <c r="Q2" s="3" t="s">
        <v>248</v>
      </c>
      <c r="R2" s="4" t="s">
        <v>30</v>
      </c>
      <c r="S2" s="3" t="s">
        <v>36</v>
      </c>
      <c r="T2" s="3" t="s">
        <v>49</v>
      </c>
      <c r="U2" s="3" t="s">
        <v>36</v>
      </c>
      <c r="V2" s="4" t="s">
        <v>249</v>
      </c>
      <c r="W2" s="3" t="s">
        <v>248</v>
      </c>
      <c r="X2" s="5"/>
      <c r="Y2" s="5"/>
      <c r="Z2" s="5"/>
      <c r="AA2" s="3" t="s">
        <v>250</v>
      </c>
      <c r="AB2" s="3" t="s">
        <v>251</v>
      </c>
      <c r="AC2" s="12">
        <v>1566.4</v>
      </c>
      <c r="AD2" s="12">
        <v>3766.4</v>
      </c>
      <c r="AE2" s="3" t="s">
        <v>252</v>
      </c>
      <c r="AF2" s="3"/>
      <c r="AG2" s="5"/>
      <c r="AH2" s="3" t="s">
        <v>185</v>
      </c>
      <c r="AI2" s="5" t="s">
        <v>252</v>
      </c>
      <c r="AJ2" s="5"/>
      <c r="AK2" s="5"/>
      <c r="AL2" s="5"/>
      <c r="AM2" s="3" t="s">
        <v>253</v>
      </c>
      <c r="AN2" s="3" t="s">
        <v>254</v>
      </c>
      <c r="AO2" s="3" t="s">
        <v>255</v>
      </c>
      <c r="AP2" s="3" t="s">
        <v>256</v>
      </c>
      <c r="AQ2" s="5"/>
      <c r="AR2" s="5"/>
      <c r="AS2" s="5"/>
      <c r="AT2" s="5"/>
      <c r="AU2" s="5"/>
      <c r="AV2" s="5"/>
      <c r="AW2" s="5">
        <v>0</v>
      </c>
      <c r="AX2" s="3" t="s">
        <v>44</v>
      </c>
      <c r="AY2" s="5" t="s">
        <v>257</v>
      </c>
      <c r="AZ2" s="3" t="s">
        <v>258</v>
      </c>
      <c r="BA2" s="5" t="s">
        <v>259</v>
      </c>
      <c r="BB2" s="3" t="s">
        <v>260</v>
      </c>
      <c r="BC2" s="4" t="s">
        <v>261</v>
      </c>
      <c r="BD2" s="4" t="s">
        <v>262</v>
      </c>
      <c r="BE2" s="3" t="s">
        <v>55</v>
      </c>
      <c r="BF2" s="3" t="s">
        <v>263</v>
      </c>
      <c r="BG2" s="3" t="s">
        <v>264</v>
      </c>
      <c r="BH2" s="3" t="s">
        <v>265</v>
      </c>
      <c r="BI2" s="5"/>
      <c r="BJ2" s="5"/>
      <c r="BK2" s="3" t="s">
        <v>266</v>
      </c>
      <c r="BL2" s="4" t="s">
        <v>267</v>
      </c>
      <c r="BM2" s="13"/>
      <c r="BN2" s="13">
        <v>1</v>
      </c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3" t="s">
        <v>268</v>
      </c>
      <c r="BZ2" s="5"/>
      <c r="CA2" s="3" t="s">
        <v>55</v>
      </c>
      <c r="CB2" s="5"/>
      <c r="CC2" s="3" t="s">
        <v>40</v>
      </c>
      <c r="CD2" s="5"/>
      <c r="CE2" s="5"/>
      <c r="CF2" s="3" t="s">
        <v>269</v>
      </c>
      <c r="CG2" s="3" t="s">
        <v>270</v>
      </c>
      <c r="CH2" s="5"/>
      <c r="CI2" s="3" t="s">
        <v>271</v>
      </c>
      <c r="CJ2" s="3" t="s">
        <v>84</v>
      </c>
      <c r="CK2" s="3" t="s">
        <v>85</v>
      </c>
      <c r="CL2" s="3" t="s">
        <v>85</v>
      </c>
      <c r="CM2" s="5" t="s">
        <v>272</v>
      </c>
      <c r="CN2" s="3" t="s">
        <v>273</v>
      </c>
      <c r="CO2" s="3" t="s">
        <v>274</v>
      </c>
      <c r="CP2" s="5"/>
      <c r="CQ2" s="3" t="s">
        <v>275</v>
      </c>
      <c r="CR2" s="3" t="s">
        <v>276</v>
      </c>
      <c r="CS2" s="3" t="s">
        <v>250</v>
      </c>
      <c r="CT2" s="3" t="s">
        <v>44</v>
      </c>
      <c r="CU2" s="5"/>
      <c r="CV2" s="5"/>
      <c r="CW2" s="4" t="s">
        <v>30</v>
      </c>
      <c r="CX2" s="5" t="s">
        <v>277</v>
      </c>
      <c r="CY2" s="14"/>
    </row>
    <row r="3" ht="12" customHeight="1" spans="1:103" x14ac:dyDescent="0.25">
      <c r="A3" s="11" t="s">
        <v>77</v>
      </c>
      <c r="B3" s="3" t="s">
        <v>278</v>
      </c>
      <c r="C3" s="5">
        <v>3</v>
      </c>
      <c r="D3" s="5">
        <v>3</v>
      </c>
      <c r="E3" s="5"/>
      <c r="F3" s="5">
        <v>0</v>
      </c>
      <c r="G3" s="5">
        <v>3</v>
      </c>
      <c r="H3" s="5">
        <v>0</v>
      </c>
      <c r="I3" s="5">
        <v>0</v>
      </c>
      <c r="J3" s="5">
        <v>3</v>
      </c>
      <c r="K3" s="3" t="s">
        <v>44</v>
      </c>
      <c r="L3" s="3" t="s">
        <v>247</v>
      </c>
      <c r="M3" s="3" t="s">
        <v>31</v>
      </c>
      <c r="N3" s="3" t="s">
        <v>32</v>
      </c>
      <c r="O3" s="3" t="s">
        <v>35</v>
      </c>
      <c r="P3" s="3" t="s">
        <v>40</v>
      </c>
      <c r="Q3" s="3" t="s">
        <v>248</v>
      </c>
      <c r="R3" s="4" t="s">
        <v>30</v>
      </c>
      <c r="S3" s="3" t="s">
        <v>76</v>
      </c>
      <c r="T3" s="3" t="s">
        <v>81</v>
      </c>
      <c r="U3" s="3" t="s">
        <v>76</v>
      </c>
      <c r="V3" s="4" t="s">
        <v>279</v>
      </c>
      <c r="W3" s="3" t="s">
        <v>280</v>
      </c>
      <c r="X3" s="5"/>
      <c r="Y3" s="5" t="s">
        <v>281</v>
      </c>
      <c r="Z3" s="5" t="s">
        <v>52</v>
      </c>
      <c r="AA3" s="3" t="s">
        <v>79</v>
      </c>
      <c r="AB3" s="3" t="s">
        <v>79</v>
      </c>
      <c r="AC3" s="12">
        <v>52648</v>
      </c>
      <c r="AD3" s="12">
        <v>59248</v>
      </c>
      <c r="AE3" s="3" t="s">
        <v>252</v>
      </c>
      <c r="AF3" s="3"/>
      <c r="AG3" s="5"/>
      <c r="AH3" s="3" t="s">
        <v>185</v>
      </c>
      <c r="AI3" s="5" t="s">
        <v>252</v>
      </c>
      <c r="AJ3" s="5"/>
      <c r="AK3" s="5"/>
      <c r="AL3" s="5"/>
      <c r="AM3" s="3" t="s">
        <v>282</v>
      </c>
      <c r="AN3" s="3" t="s">
        <v>283</v>
      </c>
      <c r="AO3" s="3" t="s">
        <v>284</v>
      </c>
      <c r="AP3" s="3" t="s">
        <v>17</v>
      </c>
      <c r="AQ3" s="5"/>
      <c r="AR3" s="5"/>
      <c r="AS3" s="5"/>
      <c r="AT3" s="5"/>
      <c r="AU3" s="5"/>
      <c r="AV3" s="5"/>
      <c r="AW3" s="5">
        <v>0</v>
      </c>
      <c r="AX3" s="3" t="s">
        <v>44</v>
      </c>
      <c r="AY3" s="5" t="s">
        <v>257</v>
      </c>
      <c r="AZ3" s="3" t="s">
        <v>285</v>
      </c>
      <c r="BA3" s="5"/>
      <c r="BB3" s="3" t="s">
        <v>286</v>
      </c>
      <c r="BC3" s="4" t="s">
        <v>287</v>
      </c>
      <c r="BD3" s="4" t="s">
        <v>30</v>
      </c>
      <c r="BE3" s="3" t="s">
        <v>55</v>
      </c>
      <c r="BF3" s="3" t="s">
        <v>288</v>
      </c>
      <c r="BG3" s="3" t="s">
        <v>264</v>
      </c>
      <c r="BH3" s="3" t="s">
        <v>265</v>
      </c>
      <c r="BI3" s="5"/>
      <c r="BJ3" s="5"/>
      <c r="BK3" s="3" t="s">
        <v>289</v>
      </c>
      <c r="BL3" s="4" t="s">
        <v>267</v>
      </c>
      <c r="BM3" s="13"/>
      <c r="BN3" s="13">
        <v>3</v>
      </c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3" t="s">
        <v>268</v>
      </c>
      <c r="BZ3" s="5">
        <v>23</v>
      </c>
      <c r="CA3" s="3" t="s">
        <v>55</v>
      </c>
      <c r="CB3" s="5"/>
      <c r="CC3" s="3" t="s">
        <v>40</v>
      </c>
      <c r="CD3" s="5"/>
      <c r="CE3" s="5"/>
      <c r="CF3" s="3" t="s">
        <v>269</v>
      </c>
      <c r="CG3" s="3" t="s">
        <v>270</v>
      </c>
      <c r="CH3" s="5" t="s">
        <v>290</v>
      </c>
      <c r="CI3" s="3" t="s">
        <v>291</v>
      </c>
      <c r="CJ3" s="3" t="s">
        <v>79</v>
      </c>
      <c r="CK3" s="3" t="s">
        <v>80</v>
      </c>
      <c r="CL3" s="3" t="s">
        <v>80</v>
      </c>
      <c r="CM3" s="5" t="s">
        <v>272</v>
      </c>
      <c r="CN3" s="3" t="s">
        <v>273</v>
      </c>
      <c r="CO3" s="3" t="s">
        <v>274</v>
      </c>
      <c r="CP3" s="5"/>
      <c r="CQ3" s="3" t="s">
        <v>292</v>
      </c>
      <c r="CR3" s="3" t="s">
        <v>293</v>
      </c>
      <c r="CS3" s="3" t="s">
        <v>79</v>
      </c>
      <c r="CT3" s="3" t="s">
        <v>44</v>
      </c>
      <c r="CU3" s="5"/>
      <c r="CV3" s="5"/>
      <c r="CW3" s="4" t="s">
        <v>30</v>
      </c>
      <c r="CX3" s="5" t="s">
        <v>294</v>
      </c>
      <c r="CY3" s="14"/>
    </row>
    <row r="4" ht="12" customHeight="1" spans="1:103" x14ac:dyDescent="0.25">
      <c r="A4" s="11" t="s">
        <v>70</v>
      </c>
      <c r="B4" s="3" t="s">
        <v>295</v>
      </c>
      <c r="C4" s="5">
        <v>5</v>
      </c>
      <c r="D4" s="5">
        <v>5</v>
      </c>
      <c r="E4" s="5"/>
      <c r="F4" s="5">
        <v>0</v>
      </c>
      <c r="G4" s="5">
        <v>5</v>
      </c>
      <c r="H4" s="5">
        <v>0</v>
      </c>
      <c r="I4" s="5">
        <v>0</v>
      </c>
      <c r="J4" s="5">
        <v>5</v>
      </c>
      <c r="K4" s="3" t="s">
        <v>44</v>
      </c>
      <c r="L4" s="3" t="s">
        <v>247</v>
      </c>
      <c r="M4" s="3" t="s">
        <v>31</v>
      </c>
      <c r="N4" s="3" t="s">
        <v>32</v>
      </c>
      <c r="O4" s="3" t="s">
        <v>35</v>
      </c>
      <c r="P4" s="3" t="s">
        <v>40</v>
      </c>
      <c r="Q4" s="3" t="s">
        <v>248</v>
      </c>
      <c r="R4" s="4" t="s">
        <v>30</v>
      </c>
      <c r="S4" s="3" t="s">
        <v>68</v>
      </c>
      <c r="T4" s="3" t="s">
        <v>74</v>
      </c>
      <c r="U4" s="3" t="s">
        <v>68</v>
      </c>
      <c r="V4" s="4" t="s">
        <v>296</v>
      </c>
      <c r="W4" s="3" t="s">
        <v>297</v>
      </c>
      <c r="X4" s="5"/>
      <c r="Y4" s="5"/>
      <c r="Z4" s="5"/>
      <c r="AA4" s="3" t="s">
        <v>298</v>
      </c>
      <c r="AB4" s="3" t="s">
        <v>299</v>
      </c>
      <c r="AC4" s="12">
        <v>103320</v>
      </c>
      <c r="AD4" s="12">
        <v>114320</v>
      </c>
      <c r="AE4" s="3" t="s">
        <v>252</v>
      </c>
      <c r="AF4" s="3" t="s">
        <v>182</v>
      </c>
      <c r="AG4" s="5"/>
      <c r="AH4" s="3" t="s">
        <v>185</v>
      </c>
      <c r="AI4" s="5" t="s">
        <v>252</v>
      </c>
      <c r="AJ4" s="5"/>
      <c r="AK4" s="5"/>
      <c r="AL4" s="5"/>
      <c r="AM4" s="3" t="s">
        <v>300</v>
      </c>
      <c r="AN4" s="3" t="s">
        <v>301</v>
      </c>
      <c r="AO4" s="3" t="s">
        <v>302</v>
      </c>
      <c r="AP4" s="3" t="s">
        <v>256</v>
      </c>
      <c r="AQ4" s="5"/>
      <c r="AR4" s="5"/>
      <c r="AS4" s="5"/>
      <c r="AT4" s="5"/>
      <c r="AU4" s="5"/>
      <c r="AV4" s="5"/>
      <c r="AW4" s="5">
        <v>0</v>
      </c>
      <c r="AX4" s="3" t="s">
        <v>44</v>
      </c>
      <c r="AY4" s="5" t="s">
        <v>303</v>
      </c>
      <c r="AZ4" s="3" t="s">
        <v>304</v>
      </c>
      <c r="BA4" s="5" t="s">
        <v>305</v>
      </c>
      <c r="BB4" s="3" t="s">
        <v>260</v>
      </c>
      <c r="BC4" s="4" t="s">
        <v>306</v>
      </c>
      <c r="BD4" s="4" t="s">
        <v>307</v>
      </c>
      <c r="BE4" s="3" t="s">
        <v>55</v>
      </c>
      <c r="BF4" s="3" t="s">
        <v>308</v>
      </c>
      <c r="BG4" s="3" t="s">
        <v>264</v>
      </c>
      <c r="BH4" s="3" t="s">
        <v>265</v>
      </c>
      <c r="BI4" s="5"/>
      <c r="BJ4" s="5"/>
      <c r="BK4" s="3" t="s">
        <v>266</v>
      </c>
      <c r="BL4" s="4" t="s">
        <v>309</v>
      </c>
      <c r="BM4" s="13"/>
      <c r="BN4" s="13">
        <v>5</v>
      </c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3" t="s">
        <v>268</v>
      </c>
      <c r="BZ4" s="5"/>
      <c r="CA4" s="3" t="s">
        <v>55</v>
      </c>
      <c r="CB4" s="5"/>
      <c r="CC4" s="3" t="s">
        <v>40</v>
      </c>
      <c r="CD4" s="5"/>
      <c r="CE4" s="5"/>
      <c r="CF4" s="3" t="s">
        <v>269</v>
      </c>
      <c r="CG4" s="3" t="s">
        <v>270</v>
      </c>
      <c r="CH4" s="5"/>
      <c r="CI4" s="3" t="s">
        <v>310</v>
      </c>
      <c r="CJ4" s="3" t="s">
        <v>72</v>
      </c>
      <c r="CK4" s="3" t="s">
        <v>73</v>
      </c>
      <c r="CL4" s="3" t="s">
        <v>73</v>
      </c>
      <c r="CM4" s="5" t="s">
        <v>272</v>
      </c>
      <c r="CN4" s="3" t="s">
        <v>273</v>
      </c>
      <c r="CO4" s="3" t="s">
        <v>274</v>
      </c>
      <c r="CP4" s="5"/>
      <c r="CQ4" s="3" t="s">
        <v>311</v>
      </c>
      <c r="CR4" s="3" t="s">
        <v>312</v>
      </c>
      <c r="CS4" s="3" t="s">
        <v>298</v>
      </c>
      <c r="CT4" s="3" t="s">
        <v>44</v>
      </c>
      <c r="CU4" s="5"/>
      <c r="CV4" s="5"/>
      <c r="CW4" s="4" t="s">
        <v>30</v>
      </c>
      <c r="CX4" s="5"/>
      <c r="CY4" s="14"/>
    </row>
    <row r="5" ht="12" customHeight="1" spans="1:103" x14ac:dyDescent="0.25">
      <c r="A5" s="11" t="s">
        <v>141</v>
      </c>
      <c r="B5" s="3" t="s">
        <v>313</v>
      </c>
      <c r="C5" s="5">
        <v>1</v>
      </c>
      <c r="D5" s="5">
        <v>1</v>
      </c>
      <c r="E5" s="5"/>
      <c r="F5" s="5">
        <v>0</v>
      </c>
      <c r="G5" s="5">
        <v>0</v>
      </c>
      <c r="H5" s="5">
        <v>0</v>
      </c>
      <c r="I5" s="5">
        <v>1</v>
      </c>
      <c r="J5" s="5">
        <v>2</v>
      </c>
      <c r="K5" s="3" t="s">
        <v>44</v>
      </c>
      <c r="L5" s="3" t="s">
        <v>247</v>
      </c>
      <c r="M5" s="3" t="s">
        <v>31</v>
      </c>
      <c r="N5" s="3" t="s">
        <v>32</v>
      </c>
      <c r="O5" s="3" t="s">
        <v>35</v>
      </c>
      <c r="P5" s="3" t="s">
        <v>40</v>
      </c>
      <c r="Q5" s="3" t="s">
        <v>248</v>
      </c>
      <c r="R5" s="4" t="s">
        <v>30</v>
      </c>
      <c r="S5" s="3" t="s">
        <v>36</v>
      </c>
      <c r="T5" s="3" t="s">
        <v>49</v>
      </c>
      <c r="U5" s="3" t="s">
        <v>36</v>
      </c>
      <c r="V5" s="4" t="s">
        <v>249</v>
      </c>
      <c r="W5" s="3" t="s">
        <v>248</v>
      </c>
      <c r="X5" s="5"/>
      <c r="Y5" s="5"/>
      <c r="Z5" s="5"/>
      <c r="AA5" s="3" t="s">
        <v>142</v>
      </c>
      <c r="AB5" s="3" t="s">
        <v>314</v>
      </c>
      <c r="AC5" s="12">
        <v>12861.4</v>
      </c>
      <c r="AD5" s="12">
        <v>16861.4</v>
      </c>
      <c r="AE5" s="3" t="s">
        <v>252</v>
      </c>
      <c r="AF5" s="3" t="s">
        <v>182</v>
      </c>
      <c r="AG5" s="5"/>
      <c r="AH5" s="3" t="s">
        <v>185</v>
      </c>
      <c r="AI5" s="5" t="s">
        <v>252</v>
      </c>
      <c r="AJ5" s="5"/>
      <c r="AK5" s="5"/>
      <c r="AL5" s="5"/>
      <c r="AM5" s="3" t="s">
        <v>315</v>
      </c>
      <c r="AN5" s="3" t="s">
        <v>316</v>
      </c>
      <c r="AO5" s="3" t="s">
        <v>317</v>
      </c>
      <c r="AP5" s="3" t="s">
        <v>256</v>
      </c>
      <c r="AQ5" s="5"/>
      <c r="AR5" s="5"/>
      <c r="AS5" s="5"/>
      <c r="AT5" s="5"/>
      <c r="AU5" s="5"/>
      <c r="AV5" s="5"/>
      <c r="AW5" s="5">
        <v>0</v>
      </c>
      <c r="AX5" s="3" t="s">
        <v>44</v>
      </c>
      <c r="AY5" s="5" t="s">
        <v>257</v>
      </c>
      <c r="AZ5" s="3" t="s">
        <v>318</v>
      </c>
      <c r="BA5" s="5" t="s">
        <v>319</v>
      </c>
      <c r="BB5" s="3" t="s">
        <v>260</v>
      </c>
      <c r="BC5" s="4" t="s">
        <v>320</v>
      </c>
      <c r="BD5" s="4" t="s">
        <v>321</v>
      </c>
      <c r="BE5" s="3" t="s">
        <v>55</v>
      </c>
      <c r="BF5" s="3" t="s">
        <v>317</v>
      </c>
      <c r="BG5" s="3" t="s">
        <v>264</v>
      </c>
      <c r="BH5" s="3" t="s">
        <v>265</v>
      </c>
      <c r="BI5" s="5"/>
      <c r="BJ5" s="5"/>
      <c r="BK5" s="3" t="s">
        <v>289</v>
      </c>
      <c r="BL5" s="4" t="s">
        <v>322</v>
      </c>
      <c r="BM5" s="13"/>
      <c r="BN5" s="13"/>
      <c r="BO5" s="13"/>
      <c r="BP5" s="13">
        <v>1</v>
      </c>
      <c r="BQ5" s="13"/>
      <c r="BR5" s="13"/>
      <c r="BS5" s="13"/>
      <c r="BT5" s="13"/>
      <c r="BU5" s="13"/>
      <c r="BV5" s="13"/>
      <c r="BW5" s="13"/>
      <c r="BX5" s="13"/>
      <c r="BY5" s="3" t="s">
        <v>268</v>
      </c>
      <c r="BZ5" s="5"/>
      <c r="CA5" s="3" t="s">
        <v>55</v>
      </c>
      <c r="CB5" s="5"/>
      <c r="CC5" s="3" t="s">
        <v>40</v>
      </c>
      <c r="CD5" s="5"/>
      <c r="CE5" s="5"/>
      <c r="CF5" s="3" t="s">
        <v>269</v>
      </c>
      <c r="CG5" s="3" t="s">
        <v>270</v>
      </c>
      <c r="CH5" s="5"/>
      <c r="CI5" s="3" t="s">
        <v>323</v>
      </c>
      <c r="CJ5" s="3" t="s">
        <v>142</v>
      </c>
      <c r="CK5" s="3" t="s">
        <v>143</v>
      </c>
      <c r="CL5" s="3" t="s">
        <v>143</v>
      </c>
      <c r="CM5" s="5" t="s">
        <v>272</v>
      </c>
      <c r="CN5" s="3" t="s">
        <v>273</v>
      </c>
      <c r="CO5" s="3" t="s">
        <v>274</v>
      </c>
      <c r="CP5" s="5"/>
      <c r="CQ5" s="3" t="s">
        <v>324</v>
      </c>
      <c r="CR5" s="3" t="s">
        <v>325</v>
      </c>
      <c r="CS5" s="3" t="s">
        <v>142</v>
      </c>
      <c r="CT5" s="3" t="s">
        <v>44</v>
      </c>
      <c r="CU5" s="5"/>
      <c r="CV5" s="5"/>
      <c r="CW5" s="4" t="s">
        <v>30</v>
      </c>
      <c r="CX5" s="5" t="s">
        <v>326</v>
      </c>
      <c r="CY5" s="14" t="s">
        <v>327</v>
      </c>
    </row>
    <row r="6" ht="12" customHeight="1" spans="1:103" x14ac:dyDescent="0.25">
      <c r="A6" s="11" t="s">
        <v>134</v>
      </c>
      <c r="B6" s="3" t="s">
        <v>313</v>
      </c>
      <c r="C6" s="5">
        <v>1</v>
      </c>
      <c r="D6" s="5">
        <v>1</v>
      </c>
      <c r="E6" s="5"/>
      <c r="F6" s="5">
        <v>0</v>
      </c>
      <c r="G6" s="5">
        <v>0</v>
      </c>
      <c r="H6" s="5">
        <v>0</v>
      </c>
      <c r="I6" s="5">
        <v>1</v>
      </c>
      <c r="J6" s="5">
        <v>2</v>
      </c>
      <c r="K6" s="3" t="s">
        <v>44</v>
      </c>
      <c r="L6" s="3" t="s">
        <v>247</v>
      </c>
      <c r="M6" s="3" t="s">
        <v>31</v>
      </c>
      <c r="N6" s="3" t="s">
        <v>32</v>
      </c>
      <c r="O6" s="3" t="s">
        <v>35</v>
      </c>
      <c r="P6" s="3" t="s">
        <v>40</v>
      </c>
      <c r="Q6" s="3" t="s">
        <v>248</v>
      </c>
      <c r="R6" s="4" t="s">
        <v>30</v>
      </c>
      <c r="S6" s="3" t="s">
        <v>68</v>
      </c>
      <c r="T6" s="3" t="s">
        <v>74</v>
      </c>
      <c r="U6" s="3" t="s">
        <v>68</v>
      </c>
      <c r="V6" s="4" t="s">
        <v>296</v>
      </c>
      <c r="W6" s="3" t="s">
        <v>297</v>
      </c>
      <c r="X6" s="5"/>
      <c r="Y6" s="5"/>
      <c r="Z6" s="5"/>
      <c r="AA6" s="3" t="s">
        <v>328</v>
      </c>
      <c r="AB6" s="3" t="s">
        <v>329</v>
      </c>
      <c r="AC6" s="12">
        <v>6913.5</v>
      </c>
      <c r="AD6" s="12">
        <v>10913.5</v>
      </c>
      <c r="AE6" s="3" t="s">
        <v>252</v>
      </c>
      <c r="AF6" s="3" t="s">
        <v>182</v>
      </c>
      <c r="AG6" s="5"/>
      <c r="AH6" s="3" t="s">
        <v>330</v>
      </c>
      <c r="AI6" s="5" t="s">
        <v>252</v>
      </c>
      <c r="AJ6" s="5"/>
      <c r="AK6" s="5"/>
      <c r="AL6" s="5"/>
      <c r="AM6" s="3" t="s">
        <v>315</v>
      </c>
      <c r="AN6" s="3" t="s">
        <v>316</v>
      </c>
      <c r="AO6" s="3" t="s">
        <v>331</v>
      </c>
      <c r="AP6" s="3" t="s">
        <v>256</v>
      </c>
      <c r="AQ6" s="5"/>
      <c r="AR6" s="5"/>
      <c r="AS6" s="5"/>
      <c r="AT6" s="5"/>
      <c r="AU6" s="5"/>
      <c r="AV6" s="5"/>
      <c r="AW6" s="5">
        <v>0</v>
      </c>
      <c r="AX6" s="3" t="s">
        <v>44</v>
      </c>
      <c r="AY6" s="5" t="s">
        <v>303</v>
      </c>
      <c r="AZ6" s="3" t="s">
        <v>332</v>
      </c>
      <c r="BA6" s="5" t="s">
        <v>333</v>
      </c>
      <c r="BB6" s="3" t="s">
        <v>260</v>
      </c>
      <c r="BC6" s="4" t="s">
        <v>334</v>
      </c>
      <c r="BD6" s="4" t="s">
        <v>307</v>
      </c>
      <c r="BE6" s="3" t="s">
        <v>55</v>
      </c>
      <c r="BF6" s="3" t="s">
        <v>331</v>
      </c>
      <c r="BG6" s="3" t="s">
        <v>264</v>
      </c>
      <c r="BH6" s="3" t="s">
        <v>265</v>
      </c>
      <c r="BI6" s="5"/>
      <c r="BJ6" s="5"/>
      <c r="BK6" s="3" t="s">
        <v>289</v>
      </c>
      <c r="BL6" s="4" t="s">
        <v>309</v>
      </c>
      <c r="BM6" s="13"/>
      <c r="BN6" s="13"/>
      <c r="BO6" s="13"/>
      <c r="BP6" s="13">
        <v>1</v>
      </c>
      <c r="BQ6" s="13"/>
      <c r="BR6" s="13"/>
      <c r="BS6" s="13"/>
      <c r="BT6" s="13"/>
      <c r="BU6" s="13"/>
      <c r="BV6" s="13"/>
      <c r="BW6" s="13"/>
      <c r="BX6" s="13"/>
      <c r="BY6" s="3" t="s">
        <v>268</v>
      </c>
      <c r="BZ6" s="5"/>
      <c r="CA6" s="3" t="s">
        <v>55</v>
      </c>
      <c r="CB6" s="5"/>
      <c r="CC6" s="3" t="s">
        <v>40</v>
      </c>
      <c r="CD6" s="5"/>
      <c r="CE6" s="5"/>
      <c r="CF6" s="3" t="s">
        <v>269</v>
      </c>
      <c r="CG6" s="3" t="s">
        <v>270</v>
      </c>
      <c r="CH6" s="5"/>
      <c r="CI6" s="3" t="s">
        <v>335</v>
      </c>
      <c r="CJ6" s="3" t="s">
        <v>135</v>
      </c>
      <c r="CK6" s="3" t="s">
        <v>136</v>
      </c>
      <c r="CL6" s="3" t="s">
        <v>136</v>
      </c>
      <c r="CM6" s="5" t="s">
        <v>272</v>
      </c>
      <c r="CN6" s="3" t="s">
        <v>273</v>
      </c>
      <c r="CO6" s="3" t="s">
        <v>274</v>
      </c>
      <c r="CP6" s="5"/>
      <c r="CQ6" s="3" t="s">
        <v>336</v>
      </c>
      <c r="CR6" s="3" t="s">
        <v>337</v>
      </c>
      <c r="CS6" s="3" t="s">
        <v>328</v>
      </c>
      <c r="CT6" s="3" t="s">
        <v>44</v>
      </c>
      <c r="CU6" s="5"/>
      <c r="CV6" s="5"/>
      <c r="CW6" s="4" t="s">
        <v>30</v>
      </c>
      <c r="CX6" s="5"/>
      <c r="CY6" s="14" t="s">
        <v>338</v>
      </c>
    </row>
    <row r="7" ht="12" customHeight="1" spans="1:103" x14ac:dyDescent="0.25">
      <c r="A7" s="11" t="s">
        <v>115</v>
      </c>
      <c r="B7" s="3" t="s">
        <v>313</v>
      </c>
      <c r="C7" s="5">
        <v>1</v>
      </c>
      <c r="D7" s="5">
        <v>1</v>
      </c>
      <c r="E7" s="5"/>
      <c r="F7" s="5">
        <v>0</v>
      </c>
      <c r="G7" s="5">
        <v>0</v>
      </c>
      <c r="H7" s="5">
        <v>0</v>
      </c>
      <c r="I7" s="5">
        <v>1</v>
      </c>
      <c r="J7" s="5">
        <v>2</v>
      </c>
      <c r="K7" s="3" t="s">
        <v>44</v>
      </c>
      <c r="L7" s="3" t="s">
        <v>247</v>
      </c>
      <c r="M7" s="3" t="s">
        <v>31</v>
      </c>
      <c r="N7" s="3" t="s">
        <v>32</v>
      </c>
      <c r="O7" s="3" t="s">
        <v>35</v>
      </c>
      <c r="P7" s="3" t="s">
        <v>40</v>
      </c>
      <c r="Q7" s="3" t="s">
        <v>248</v>
      </c>
      <c r="R7" s="4" t="s">
        <v>30</v>
      </c>
      <c r="S7" s="3" t="s">
        <v>36</v>
      </c>
      <c r="T7" s="3" t="s">
        <v>49</v>
      </c>
      <c r="U7" s="3" t="s">
        <v>36</v>
      </c>
      <c r="V7" s="4" t="s">
        <v>249</v>
      </c>
      <c r="W7" s="3" t="s">
        <v>248</v>
      </c>
      <c r="X7" s="5"/>
      <c r="Y7" s="5"/>
      <c r="Z7" s="5"/>
      <c r="AA7" s="3" t="s">
        <v>117</v>
      </c>
      <c r="AB7" s="3" t="s">
        <v>339</v>
      </c>
      <c r="AC7" s="12">
        <v>25940</v>
      </c>
      <c r="AD7" s="12">
        <v>29940</v>
      </c>
      <c r="AE7" s="3" t="s">
        <v>252</v>
      </c>
      <c r="AF7" s="3" t="s">
        <v>182</v>
      </c>
      <c r="AG7" s="5"/>
      <c r="AH7" s="3" t="s">
        <v>185</v>
      </c>
      <c r="AI7" s="5" t="s">
        <v>252</v>
      </c>
      <c r="AJ7" s="5"/>
      <c r="AK7" s="5"/>
      <c r="AL7" s="5"/>
      <c r="AM7" s="3" t="s">
        <v>340</v>
      </c>
      <c r="AN7" s="3" t="s">
        <v>341</v>
      </c>
      <c r="AO7" s="3" t="s">
        <v>342</v>
      </c>
      <c r="AP7" s="3" t="s">
        <v>256</v>
      </c>
      <c r="AQ7" s="5"/>
      <c r="AR7" s="5"/>
      <c r="AS7" s="5"/>
      <c r="AT7" s="5"/>
      <c r="AU7" s="5"/>
      <c r="AV7" s="5"/>
      <c r="AW7" s="5">
        <v>0</v>
      </c>
      <c r="AX7" s="3" t="s">
        <v>44</v>
      </c>
      <c r="AY7" s="5" t="s">
        <v>257</v>
      </c>
      <c r="AZ7" s="3" t="s">
        <v>343</v>
      </c>
      <c r="BA7" s="5" t="s">
        <v>344</v>
      </c>
      <c r="BB7" s="3" t="s">
        <v>260</v>
      </c>
      <c r="BC7" s="4" t="s">
        <v>345</v>
      </c>
      <c r="BD7" s="4" t="s">
        <v>321</v>
      </c>
      <c r="BE7" s="3" t="s">
        <v>55</v>
      </c>
      <c r="BF7" s="3" t="s">
        <v>342</v>
      </c>
      <c r="BG7" s="3" t="s">
        <v>264</v>
      </c>
      <c r="BH7" s="3" t="s">
        <v>265</v>
      </c>
      <c r="BI7" s="5"/>
      <c r="BJ7" s="5"/>
      <c r="BK7" s="3" t="s">
        <v>289</v>
      </c>
      <c r="BL7" s="4" t="s">
        <v>322</v>
      </c>
      <c r="BM7" s="13"/>
      <c r="BN7" s="13"/>
      <c r="BO7" s="13"/>
      <c r="BP7" s="13">
        <v>1</v>
      </c>
      <c r="BQ7" s="13"/>
      <c r="BR7" s="13"/>
      <c r="BS7" s="13"/>
      <c r="BT7" s="13"/>
      <c r="BU7" s="13"/>
      <c r="BV7" s="13"/>
      <c r="BW7" s="13"/>
      <c r="BX7" s="13"/>
      <c r="BY7" s="3" t="s">
        <v>268</v>
      </c>
      <c r="BZ7" s="5"/>
      <c r="CA7" s="3" t="s">
        <v>55</v>
      </c>
      <c r="CB7" s="5"/>
      <c r="CC7" s="3" t="s">
        <v>40</v>
      </c>
      <c r="CD7" s="5"/>
      <c r="CE7" s="5"/>
      <c r="CF7" s="3" t="s">
        <v>269</v>
      </c>
      <c r="CG7" s="3" t="s">
        <v>270</v>
      </c>
      <c r="CH7" s="5"/>
      <c r="CI7" s="3" t="s">
        <v>346</v>
      </c>
      <c r="CJ7" s="3" t="s">
        <v>117</v>
      </c>
      <c r="CK7" s="3" t="s">
        <v>118</v>
      </c>
      <c r="CL7" s="3" t="s">
        <v>118</v>
      </c>
      <c r="CM7" s="5" t="s">
        <v>272</v>
      </c>
      <c r="CN7" s="3" t="s">
        <v>273</v>
      </c>
      <c r="CO7" s="3" t="s">
        <v>274</v>
      </c>
      <c r="CP7" s="5"/>
      <c r="CQ7" s="3" t="s">
        <v>347</v>
      </c>
      <c r="CR7" s="3" t="s">
        <v>348</v>
      </c>
      <c r="CS7" s="3" t="s">
        <v>117</v>
      </c>
      <c r="CT7" s="3" t="s">
        <v>44</v>
      </c>
      <c r="CU7" s="5"/>
      <c r="CV7" s="5"/>
      <c r="CW7" s="4" t="s">
        <v>30</v>
      </c>
      <c r="CX7" s="5" t="s">
        <v>349</v>
      </c>
      <c r="CY7" s="14" t="s">
        <v>350</v>
      </c>
    </row>
    <row r="8" ht="12" customHeight="1" spans="1:103" x14ac:dyDescent="0.25">
      <c r="A8" s="11" t="s">
        <v>103</v>
      </c>
      <c r="B8" s="3" t="s">
        <v>313</v>
      </c>
      <c r="C8" s="5">
        <v>1</v>
      </c>
      <c r="D8" s="5">
        <v>1</v>
      </c>
      <c r="E8" s="5"/>
      <c r="F8" s="5">
        <v>0</v>
      </c>
      <c r="G8" s="5">
        <v>0</v>
      </c>
      <c r="H8" s="5">
        <v>0</v>
      </c>
      <c r="I8" s="5">
        <v>1</v>
      </c>
      <c r="J8" s="5">
        <v>2</v>
      </c>
      <c r="K8" s="3" t="s">
        <v>44</v>
      </c>
      <c r="L8" s="3" t="s">
        <v>247</v>
      </c>
      <c r="M8" s="3" t="s">
        <v>31</v>
      </c>
      <c r="N8" s="3" t="s">
        <v>32</v>
      </c>
      <c r="O8" s="3" t="s">
        <v>35</v>
      </c>
      <c r="P8" s="3" t="s">
        <v>40</v>
      </c>
      <c r="Q8" s="3" t="s">
        <v>248</v>
      </c>
      <c r="R8" s="4" t="s">
        <v>30</v>
      </c>
      <c r="S8" s="3" t="s">
        <v>36</v>
      </c>
      <c r="T8" s="3" t="s">
        <v>49</v>
      </c>
      <c r="U8" s="3" t="s">
        <v>36</v>
      </c>
      <c r="V8" s="4" t="s">
        <v>249</v>
      </c>
      <c r="W8" s="3" t="s">
        <v>248</v>
      </c>
      <c r="X8" s="5"/>
      <c r="Y8" s="5"/>
      <c r="Z8" s="5"/>
      <c r="AA8" s="3" t="s">
        <v>351</v>
      </c>
      <c r="AB8" s="3" t="s">
        <v>352</v>
      </c>
      <c r="AC8" s="12">
        <v>23181</v>
      </c>
      <c r="AD8" s="12">
        <v>27181</v>
      </c>
      <c r="AE8" s="3" t="s">
        <v>252</v>
      </c>
      <c r="AF8" s="3" t="s">
        <v>182</v>
      </c>
      <c r="AG8" s="5"/>
      <c r="AH8" s="3" t="s">
        <v>185</v>
      </c>
      <c r="AI8" s="5" t="s">
        <v>252</v>
      </c>
      <c r="AJ8" s="5"/>
      <c r="AK8" s="5"/>
      <c r="AL8" s="5"/>
      <c r="AM8" s="3" t="s">
        <v>353</v>
      </c>
      <c r="AN8" s="3" t="s">
        <v>354</v>
      </c>
      <c r="AO8" s="3" t="s">
        <v>355</v>
      </c>
      <c r="AP8" s="3" t="s">
        <v>256</v>
      </c>
      <c r="AQ8" s="5"/>
      <c r="AR8" s="5"/>
      <c r="AS8" s="5"/>
      <c r="AT8" s="5"/>
      <c r="AU8" s="5"/>
      <c r="AV8" s="5"/>
      <c r="AW8" s="5">
        <v>0</v>
      </c>
      <c r="AX8" s="3" t="s">
        <v>44</v>
      </c>
      <c r="AY8" s="5" t="s">
        <v>303</v>
      </c>
      <c r="AZ8" s="3" t="s">
        <v>356</v>
      </c>
      <c r="BA8" s="5" t="s">
        <v>357</v>
      </c>
      <c r="BB8" s="3" t="s">
        <v>260</v>
      </c>
      <c r="BC8" s="4" t="s">
        <v>358</v>
      </c>
      <c r="BD8" s="4" t="s">
        <v>321</v>
      </c>
      <c r="BE8" s="3" t="s">
        <v>55</v>
      </c>
      <c r="BF8" s="3" t="s">
        <v>359</v>
      </c>
      <c r="BG8" s="3" t="s">
        <v>264</v>
      </c>
      <c r="BH8" s="3" t="s">
        <v>265</v>
      </c>
      <c r="BI8" s="5"/>
      <c r="BJ8" s="5"/>
      <c r="BK8" s="3" t="s">
        <v>266</v>
      </c>
      <c r="BL8" s="4" t="s">
        <v>322</v>
      </c>
      <c r="BM8" s="13"/>
      <c r="BN8" s="13"/>
      <c r="BO8" s="13"/>
      <c r="BP8" s="13">
        <v>1</v>
      </c>
      <c r="BQ8" s="13"/>
      <c r="BR8" s="13"/>
      <c r="BS8" s="13"/>
      <c r="BT8" s="13"/>
      <c r="BU8" s="13"/>
      <c r="BV8" s="13"/>
      <c r="BW8" s="13"/>
      <c r="BX8" s="13"/>
      <c r="BY8" s="3" t="s">
        <v>268</v>
      </c>
      <c r="BZ8" s="5"/>
      <c r="CA8" s="3" t="s">
        <v>55</v>
      </c>
      <c r="CB8" s="5"/>
      <c r="CC8" s="3" t="s">
        <v>40</v>
      </c>
      <c r="CD8" s="5"/>
      <c r="CE8" s="5"/>
      <c r="CF8" s="3" t="s">
        <v>269</v>
      </c>
      <c r="CG8" s="3" t="s">
        <v>270</v>
      </c>
      <c r="CH8" s="5"/>
      <c r="CI8" s="3" t="s">
        <v>360</v>
      </c>
      <c r="CJ8" s="3" t="s">
        <v>104</v>
      </c>
      <c r="CK8" s="3" t="s">
        <v>105</v>
      </c>
      <c r="CL8" s="3" t="s">
        <v>105</v>
      </c>
      <c r="CM8" s="5" t="s">
        <v>272</v>
      </c>
      <c r="CN8" s="3" t="s">
        <v>273</v>
      </c>
      <c r="CO8" s="3" t="s">
        <v>274</v>
      </c>
      <c r="CP8" s="5"/>
      <c r="CQ8" s="3" t="s">
        <v>361</v>
      </c>
      <c r="CR8" s="3" t="s">
        <v>362</v>
      </c>
      <c r="CS8" s="3" t="s">
        <v>351</v>
      </c>
      <c r="CT8" s="3" t="s">
        <v>44</v>
      </c>
      <c r="CU8" s="5"/>
      <c r="CV8" s="5"/>
      <c r="CW8" s="4" t="s">
        <v>30</v>
      </c>
      <c r="CX8" s="5" t="s">
        <v>349</v>
      </c>
      <c r="CY8" s="14" t="s">
        <v>327</v>
      </c>
    </row>
    <row r="9" ht="12" customHeight="1" spans="1:103" x14ac:dyDescent="0.25">
      <c r="A9" s="11" t="s">
        <v>126</v>
      </c>
      <c r="B9" s="3" t="s">
        <v>313</v>
      </c>
      <c r="C9" s="5">
        <v>1</v>
      </c>
      <c r="D9" s="5">
        <v>1</v>
      </c>
      <c r="E9" s="5"/>
      <c r="F9" s="5">
        <v>0</v>
      </c>
      <c r="G9" s="5">
        <v>0</v>
      </c>
      <c r="H9" s="5">
        <v>0</v>
      </c>
      <c r="I9" s="5">
        <v>1</v>
      </c>
      <c r="J9" s="5">
        <v>2</v>
      </c>
      <c r="K9" s="3" t="s">
        <v>44</v>
      </c>
      <c r="L9" s="3" t="s">
        <v>247</v>
      </c>
      <c r="M9" s="3" t="s">
        <v>31</v>
      </c>
      <c r="N9" s="3" t="s">
        <v>32</v>
      </c>
      <c r="O9" s="3" t="s">
        <v>35</v>
      </c>
      <c r="P9" s="3" t="s">
        <v>40</v>
      </c>
      <c r="Q9" s="3" t="s">
        <v>248</v>
      </c>
      <c r="R9" s="4" t="s">
        <v>30</v>
      </c>
      <c r="S9" s="3" t="s">
        <v>68</v>
      </c>
      <c r="T9" s="3" t="s">
        <v>74</v>
      </c>
      <c r="U9" s="3" t="s">
        <v>68</v>
      </c>
      <c r="V9" s="4" t="s">
        <v>296</v>
      </c>
      <c r="W9" s="3" t="s">
        <v>297</v>
      </c>
      <c r="X9" s="5"/>
      <c r="Y9" s="5"/>
      <c r="Z9" s="5"/>
      <c r="AA9" s="3" t="s">
        <v>363</v>
      </c>
      <c r="AB9" s="3" t="s">
        <v>364</v>
      </c>
      <c r="AC9" s="12">
        <v>24900</v>
      </c>
      <c r="AD9" s="12">
        <v>28900</v>
      </c>
      <c r="AE9" s="3" t="s">
        <v>252</v>
      </c>
      <c r="AF9" s="3" t="s">
        <v>182</v>
      </c>
      <c r="AG9" s="5"/>
      <c r="AH9" s="3" t="s">
        <v>185</v>
      </c>
      <c r="AI9" s="5" t="s">
        <v>252</v>
      </c>
      <c r="AJ9" s="5"/>
      <c r="AK9" s="5"/>
      <c r="AL9" s="5"/>
      <c r="AM9" s="3" t="s">
        <v>365</v>
      </c>
      <c r="AN9" s="3" t="s">
        <v>366</v>
      </c>
      <c r="AO9" s="3" t="s">
        <v>367</v>
      </c>
      <c r="AP9" s="3" t="s">
        <v>256</v>
      </c>
      <c r="AQ9" s="5"/>
      <c r="AR9" s="5"/>
      <c r="AS9" s="5"/>
      <c r="AT9" s="5"/>
      <c r="AU9" s="5"/>
      <c r="AV9" s="5"/>
      <c r="AW9" s="5">
        <v>0</v>
      </c>
      <c r="AX9" s="3" t="s">
        <v>44</v>
      </c>
      <c r="AY9" s="5" t="s">
        <v>257</v>
      </c>
      <c r="AZ9" s="3" t="s">
        <v>368</v>
      </c>
      <c r="BA9" s="5" t="s">
        <v>369</v>
      </c>
      <c r="BB9" s="3" t="s">
        <v>260</v>
      </c>
      <c r="BC9" s="4" t="s">
        <v>261</v>
      </c>
      <c r="BD9" s="4" t="s">
        <v>262</v>
      </c>
      <c r="BE9" s="3" t="s">
        <v>55</v>
      </c>
      <c r="BF9" s="3" t="s">
        <v>367</v>
      </c>
      <c r="BG9" s="3" t="s">
        <v>264</v>
      </c>
      <c r="BH9" s="3" t="s">
        <v>265</v>
      </c>
      <c r="BI9" s="5"/>
      <c r="BJ9" s="5"/>
      <c r="BK9" s="3" t="s">
        <v>266</v>
      </c>
      <c r="BL9" s="4" t="s">
        <v>262</v>
      </c>
      <c r="BM9" s="13"/>
      <c r="BN9" s="13"/>
      <c r="BO9" s="13"/>
      <c r="BP9" s="13">
        <v>1</v>
      </c>
      <c r="BQ9" s="13"/>
      <c r="BR9" s="13"/>
      <c r="BS9" s="13"/>
      <c r="BT9" s="13"/>
      <c r="BU9" s="13"/>
      <c r="BV9" s="13"/>
      <c r="BW9" s="13"/>
      <c r="BX9" s="13"/>
      <c r="BY9" s="3" t="s">
        <v>268</v>
      </c>
      <c r="BZ9" s="5"/>
      <c r="CA9" s="3" t="s">
        <v>55</v>
      </c>
      <c r="CB9" s="5"/>
      <c r="CC9" s="3" t="s">
        <v>40</v>
      </c>
      <c r="CD9" s="5"/>
      <c r="CE9" s="5"/>
      <c r="CF9" s="3" t="s">
        <v>269</v>
      </c>
      <c r="CG9" s="3" t="s">
        <v>270</v>
      </c>
      <c r="CH9" s="5"/>
      <c r="CI9" s="3" t="s">
        <v>370</v>
      </c>
      <c r="CJ9" s="3" t="s">
        <v>127</v>
      </c>
      <c r="CK9" s="3" t="s">
        <v>128</v>
      </c>
      <c r="CL9" s="3" t="s">
        <v>128</v>
      </c>
      <c r="CM9" s="5" t="s">
        <v>272</v>
      </c>
      <c r="CN9" s="3" t="s">
        <v>273</v>
      </c>
      <c r="CO9" s="3" t="s">
        <v>274</v>
      </c>
      <c r="CP9" s="5"/>
      <c r="CQ9" s="3" t="s">
        <v>371</v>
      </c>
      <c r="CR9" s="3" t="s">
        <v>372</v>
      </c>
      <c r="CS9" s="3" t="s">
        <v>363</v>
      </c>
      <c r="CT9" s="3" t="s">
        <v>44</v>
      </c>
      <c r="CU9" s="5"/>
      <c r="CV9" s="5"/>
      <c r="CW9" s="4" t="s">
        <v>30</v>
      </c>
      <c r="CX9" s="5"/>
      <c r="CY9" s="14"/>
    </row>
    <row r="10" ht="12" customHeight="1" spans="1:103" x14ac:dyDescent="0.25">
      <c r="A10" s="11" t="s">
        <v>43</v>
      </c>
      <c r="B10" s="3" t="s">
        <v>373</v>
      </c>
      <c r="C10" s="5">
        <v>30</v>
      </c>
      <c r="D10" s="5">
        <v>30</v>
      </c>
      <c r="E10" s="5"/>
      <c r="F10" s="5">
        <v>0</v>
      </c>
      <c r="G10" s="5">
        <v>0</v>
      </c>
      <c r="H10" s="5">
        <v>0</v>
      </c>
      <c r="I10" s="5">
        <v>30</v>
      </c>
      <c r="J10" s="5">
        <v>60</v>
      </c>
      <c r="K10" s="3" t="s">
        <v>44</v>
      </c>
      <c r="L10" s="3" t="s">
        <v>247</v>
      </c>
      <c r="M10" s="3" t="s">
        <v>31</v>
      </c>
      <c r="N10" s="3" t="s">
        <v>32</v>
      </c>
      <c r="O10" s="3" t="s">
        <v>35</v>
      </c>
      <c r="P10" s="3" t="s">
        <v>40</v>
      </c>
      <c r="Q10" s="3" t="s">
        <v>248</v>
      </c>
      <c r="R10" s="4" t="s">
        <v>30</v>
      </c>
      <c r="S10" s="3" t="s">
        <v>36</v>
      </c>
      <c r="T10" s="3" t="s">
        <v>49</v>
      </c>
      <c r="U10" s="3" t="s">
        <v>36</v>
      </c>
      <c r="V10" s="4" t="s">
        <v>249</v>
      </c>
      <c r="W10" s="3" t="s">
        <v>248</v>
      </c>
      <c r="X10" s="5"/>
      <c r="Y10" s="5"/>
      <c r="Z10" s="5"/>
      <c r="AA10" s="3" t="s">
        <v>46</v>
      </c>
      <c r="AB10" s="3" t="s">
        <v>46</v>
      </c>
      <c r="AC10" s="12">
        <v>822483</v>
      </c>
      <c r="AD10" s="12">
        <v>942483</v>
      </c>
      <c r="AE10" s="3" t="s">
        <v>252</v>
      </c>
      <c r="AF10" s="3"/>
      <c r="AG10" s="5"/>
      <c r="AH10" s="3" t="s">
        <v>185</v>
      </c>
      <c r="AI10" s="5" t="s">
        <v>252</v>
      </c>
      <c r="AJ10" s="5"/>
      <c r="AK10" s="5"/>
      <c r="AL10" s="5"/>
      <c r="AM10" s="3" t="s">
        <v>374</v>
      </c>
      <c r="AN10" s="3" t="s">
        <v>375</v>
      </c>
      <c r="AO10" s="3" t="s">
        <v>376</v>
      </c>
      <c r="AP10" s="3" t="s">
        <v>256</v>
      </c>
      <c r="AQ10" s="5"/>
      <c r="AR10" s="5"/>
      <c r="AS10" s="5"/>
      <c r="AT10" s="5"/>
      <c r="AU10" s="5"/>
      <c r="AV10" s="5"/>
      <c r="AW10" s="5">
        <v>0</v>
      </c>
      <c r="AX10" s="3" t="s">
        <v>44</v>
      </c>
      <c r="AY10" s="5" t="s">
        <v>257</v>
      </c>
      <c r="AZ10" s="3" t="s">
        <v>377</v>
      </c>
      <c r="BA10" s="5" t="s">
        <v>378</v>
      </c>
      <c r="BB10" s="3" t="s">
        <v>260</v>
      </c>
      <c r="BC10" s="4" t="s">
        <v>379</v>
      </c>
      <c r="BD10" s="4" t="s">
        <v>307</v>
      </c>
      <c r="BE10" s="3" t="s">
        <v>55</v>
      </c>
      <c r="BF10" s="3" t="s">
        <v>380</v>
      </c>
      <c r="BG10" s="3" t="s">
        <v>264</v>
      </c>
      <c r="BH10" s="3" t="s">
        <v>265</v>
      </c>
      <c r="BI10" s="5"/>
      <c r="BJ10" s="5"/>
      <c r="BK10" s="3" t="s">
        <v>266</v>
      </c>
      <c r="BL10" s="4" t="s">
        <v>381</v>
      </c>
      <c r="BM10" s="13"/>
      <c r="BN10" s="13"/>
      <c r="BO10" s="13"/>
      <c r="BP10" s="13">
        <v>30</v>
      </c>
      <c r="BQ10" s="13"/>
      <c r="BR10" s="13"/>
      <c r="BS10" s="13"/>
      <c r="BT10" s="13"/>
      <c r="BU10" s="13"/>
      <c r="BV10" s="13"/>
      <c r="BW10" s="13"/>
      <c r="BX10" s="13"/>
      <c r="BY10" s="3" t="s">
        <v>268</v>
      </c>
      <c r="BZ10" s="5"/>
      <c r="CA10" s="3"/>
      <c r="CB10" s="5"/>
      <c r="CC10" s="3" t="s">
        <v>40</v>
      </c>
      <c r="CD10" s="5"/>
      <c r="CE10" s="5"/>
      <c r="CF10" s="3" t="s">
        <v>269</v>
      </c>
      <c r="CG10" s="3" t="s">
        <v>270</v>
      </c>
      <c r="CH10" s="5"/>
      <c r="CI10" s="3" t="s">
        <v>382</v>
      </c>
      <c r="CJ10" s="3" t="s">
        <v>46</v>
      </c>
      <c r="CK10" s="3" t="s">
        <v>48</v>
      </c>
      <c r="CL10" s="3" t="s">
        <v>48</v>
      </c>
      <c r="CM10" s="5" t="s">
        <v>272</v>
      </c>
      <c r="CN10" s="3" t="s">
        <v>273</v>
      </c>
      <c r="CO10" s="3" t="s">
        <v>274</v>
      </c>
      <c r="CP10" s="5"/>
      <c r="CQ10" s="3" t="s">
        <v>383</v>
      </c>
      <c r="CR10" s="3" t="s">
        <v>384</v>
      </c>
      <c r="CS10" s="3" t="s">
        <v>46</v>
      </c>
      <c r="CT10" s="3" t="s">
        <v>44</v>
      </c>
      <c r="CU10" s="5"/>
      <c r="CV10" s="5"/>
      <c r="CW10" s="4" t="s">
        <v>385</v>
      </c>
      <c r="CX10" s="5" t="s">
        <v>386</v>
      </c>
      <c r="CY10" s="14"/>
    </row>
    <row r="11" ht="12" customHeight="1" spans="1:103" x14ac:dyDescent="0.25">
      <c r="A11" s="11" t="s">
        <v>54</v>
      </c>
      <c r="B11" s="3" t="s">
        <v>387</v>
      </c>
      <c r="C11" s="5">
        <v>1</v>
      </c>
      <c r="D11" s="5">
        <v>1</v>
      </c>
      <c r="E11" s="5"/>
      <c r="F11" s="5">
        <v>0</v>
      </c>
      <c r="G11" s="5">
        <v>0</v>
      </c>
      <c r="H11" s="5">
        <v>0</v>
      </c>
      <c r="I11" s="5">
        <v>1</v>
      </c>
      <c r="J11" s="5">
        <v>2</v>
      </c>
      <c r="K11" s="3" t="s">
        <v>44</v>
      </c>
      <c r="L11" s="3" t="s">
        <v>247</v>
      </c>
      <c r="M11" s="3" t="s">
        <v>31</v>
      </c>
      <c r="N11" s="3" t="s">
        <v>32</v>
      </c>
      <c r="O11" s="3" t="s">
        <v>35</v>
      </c>
      <c r="P11" s="3" t="s">
        <v>40</v>
      </c>
      <c r="Q11" s="3" t="s">
        <v>248</v>
      </c>
      <c r="R11" s="4" t="s">
        <v>30</v>
      </c>
      <c r="S11" s="3" t="s">
        <v>53</v>
      </c>
      <c r="T11" s="3" t="s">
        <v>59</v>
      </c>
      <c r="U11" s="3" t="s">
        <v>53</v>
      </c>
      <c r="V11" s="4" t="s">
        <v>388</v>
      </c>
      <c r="W11" s="3" t="s">
        <v>280</v>
      </c>
      <c r="X11" s="5"/>
      <c r="Y11" s="5" t="s">
        <v>281</v>
      </c>
      <c r="Z11" s="5" t="s">
        <v>52</v>
      </c>
      <c r="AA11" s="3" t="s">
        <v>57</v>
      </c>
      <c r="AB11" s="3" t="s">
        <v>389</v>
      </c>
      <c r="AC11" s="12">
        <v>21614.04</v>
      </c>
      <c r="AD11" s="12">
        <v>25614.04</v>
      </c>
      <c r="AE11" s="3" t="s">
        <v>252</v>
      </c>
      <c r="AF11" s="3"/>
      <c r="AG11" s="5"/>
      <c r="AH11" s="3" t="s">
        <v>330</v>
      </c>
      <c r="AI11" s="5" t="s">
        <v>252</v>
      </c>
      <c r="AJ11" s="5"/>
      <c r="AK11" s="5"/>
      <c r="AL11" s="5"/>
      <c r="AM11" s="3" t="s">
        <v>390</v>
      </c>
      <c r="AN11" s="3" t="s">
        <v>391</v>
      </c>
      <c r="AO11" s="3" t="s">
        <v>392</v>
      </c>
      <c r="AP11" s="3" t="s">
        <v>17</v>
      </c>
      <c r="AQ11" s="5"/>
      <c r="AR11" s="5"/>
      <c r="AS11" s="5" t="s">
        <v>393</v>
      </c>
      <c r="AT11" s="5" t="s">
        <v>394</v>
      </c>
      <c r="AU11" s="5"/>
      <c r="AV11" s="5"/>
      <c r="AW11" s="5">
        <v>0</v>
      </c>
      <c r="AX11" s="3" t="s">
        <v>44</v>
      </c>
      <c r="AY11" s="5" t="s">
        <v>257</v>
      </c>
      <c r="AZ11" s="3" t="s">
        <v>395</v>
      </c>
      <c r="BA11" s="5" t="s">
        <v>396</v>
      </c>
      <c r="BB11" s="3" t="s">
        <v>286</v>
      </c>
      <c r="BC11" s="4" t="s">
        <v>379</v>
      </c>
      <c r="BD11" s="4" t="s">
        <v>307</v>
      </c>
      <c r="BE11" s="3" t="s">
        <v>55</v>
      </c>
      <c r="BF11" s="3" t="s">
        <v>397</v>
      </c>
      <c r="BG11" s="3" t="s">
        <v>264</v>
      </c>
      <c r="BH11" s="3" t="s">
        <v>265</v>
      </c>
      <c r="BI11" s="5"/>
      <c r="BJ11" s="5"/>
      <c r="BK11" s="3" t="s">
        <v>266</v>
      </c>
      <c r="BL11" s="4" t="s">
        <v>381</v>
      </c>
      <c r="BM11" s="13"/>
      <c r="BN11" s="13"/>
      <c r="BO11" s="13"/>
      <c r="BP11" s="13"/>
      <c r="BQ11" s="13"/>
      <c r="BR11" s="13">
        <v>1</v>
      </c>
      <c r="BS11" s="13"/>
      <c r="BT11" s="13"/>
      <c r="BU11" s="13"/>
      <c r="BV11" s="13"/>
      <c r="BW11" s="13"/>
      <c r="BX11" s="13"/>
      <c r="BY11" s="3" t="s">
        <v>268</v>
      </c>
      <c r="BZ11" s="5">
        <v>5</v>
      </c>
      <c r="CA11" s="3" t="s">
        <v>55</v>
      </c>
      <c r="CB11" s="5"/>
      <c r="CC11" s="3" t="s">
        <v>40</v>
      </c>
      <c r="CD11" s="5"/>
      <c r="CE11" s="5"/>
      <c r="CF11" s="3" t="s">
        <v>269</v>
      </c>
      <c r="CG11" s="3" t="s">
        <v>270</v>
      </c>
      <c r="CH11" s="5" t="s">
        <v>398</v>
      </c>
      <c r="CI11" s="3" t="s">
        <v>399</v>
      </c>
      <c r="CJ11" s="3" t="s">
        <v>57</v>
      </c>
      <c r="CK11" s="3" t="s">
        <v>58</v>
      </c>
      <c r="CL11" s="3" t="s">
        <v>58</v>
      </c>
      <c r="CM11" s="5" t="s">
        <v>272</v>
      </c>
      <c r="CN11" s="3" t="s">
        <v>273</v>
      </c>
      <c r="CO11" s="3" t="s">
        <v>274</v>
      </c>
      <c r="CP11" s="5" t="s">
        <v>400</v>
      </c>
      <c r="CQ11" s="3" t="s">
        <v>401</v>
      </c>
      <c r="CR11" s="3" t="s">
        <v>402</v>
      </c>
      <c r="CS11" s="3" t="s">
        <v>57</v>
      </c>
      <c r="CT11" s="3" t="s">
        <v>44</v>
      </c>
      <c r="CU11" s="5"/>
      <c r="CV11" s="5"/>
      <c r="CW11" s="4" t="s">
        <v>30</v>
      </c>
      <c r="CX11" s="5" t="s">
        <v>403</v>
      </c>
      <c r="CY11" s="14"/>
    </row>
    <row r="12" ht="12" customHeight="1" spans="1:103" x14ac:dyDescent="0.25">
      <c r="A12" s="11" t="s">
        <v>404</v>
      </c>
      <c r="B12" s="3">
        <v>0</v>
      </c>
      <c r="C12" s="5"/>
      <c r="D12" s="5"/>
      <c r="E12" s="5"/>
      <c r="F12" s="5">
        <v>0</v>
      </c>
      <c r="G12" s="5">
        <v>9</v>
      </c>
      <c r="H12" s="5">
        <v>0</v>
      </c>
      <c r="I12" s="5">
        <v>36</v>
      </c>
      <c r="J12" s="5">
        <v>81</v>
      </c>
      <c r="K12" s="3"/>
      <c r="L12" s="3"/>
      <c r="M12" s="3"/>
      <c r="N12" s="3"/>
      <c r="O12" s="3"/>
      <c r="P12" s="3"/>
      <c r="Q12" s="3"/>
      <c r="R12" s="4"/>
      <c r="S12" s="3"/>
      <c r="T12" s="3"/>
      <c r="U12" s="3"/>
      <c r="V12" s="4"/>
      <c r="W12" s="3"/>
      <c r="X12" s="5"/>
      <c r="Y12" s="5"/>
      <c r="Z12" s="5"/>
      <c r="AA12" s="3"/>
      <c r="AB12" s="3"/>
      <c r="AC12" s="12">
        <v>1095427.34</v>
      </c>
      <c r="AD12" s="12">
        <v>1259227.34</v>
      </c>
      <c r="AE12" s="3"/>
      <c r="AF12" s="3"/>
      <c r="AG12" s="5"/>
      <c r="AH12" s="3"/>
      <c r="AI12" s="5"/>
      <c r="AJ12" s="5"/>
      <c r="AK12" s="5"/>
      <c r="AL12" s="5"/>
      <c r="AM12" s="3"/>
      <c r="AN12" s="3"/>
      <c r="AO12" s="3"/>
      <c r="AP12" s="3"/>
      <c r="AQ12" s="5"/>
      <c r="AR12" s="5"/>
      <c r="AS12" s="5"/>
      <c r="AT12" s="5"/>
      <c r="AU12" s="5"/>
      <c r="AV12" s="5"/>
      <c r="AW12" s="5"/>
      <c r="AX12" s="3"/>
      <c r="AY12" s="5"/>
      <c r="AZ12" s="3"/>
      <c r="BA12" s="5"/>
      <c r="BB12" s="3"/>
      <c r="BC12" s="4"/>
      <c r="BD12" s="4"/>
      <c r="BE12" s="3"/>
      <c r="BF12" s="3"/>
      <c r="BG12" s="3"/>
      <c r="BH12" s="3"/>
      <c r="BI12" s="5"/>
      <c r="BJ12" s="5"/>
      <c r="BK12" s="3"/>
      <c r="BL12" s="4"/>
      <c r="BM12" s="13">
        <v>0</v>
      </c>
      <c r="BN12" s="13">
        <v>9</v>
      </c>
      <c r="BO12" s="13">
        <v>0</v>
      </c>
      <c r="BP12" s="13">
        <v>35</v>
      </c>
      <c r="BQ12" s="13">
        <v>0</v>
      </c>
      <c r="BR12" s="13">
        <v>1</v>
      </c>
      <c r="BS12" s="13">
        <v>0</v>
      </c>
      <c r="BT12" s="13">
        <v>0</v>
      </c>
      <c r="BU12" s="13">
        <v>0</v>
      </c>
      <c r="BV12" s="13">
        <v>0</v>
      </c>
      <c r="BW12" s="13">
        <v>0</v>
      </c>
      <c r="BX12" s="13">
        <v>0</v>
      </c>
      <c r="BY12" s="3"/>
      <c r="BZ12" s="5"/>
      <c r="CA12" s="3"/>
      <c r="CB12" s="5"/>
      <c r="CC12" s="3"/>
      <c r="CD12" s="5"/>
      <c r="CE12" s="5"/>
      <c r="CF12" s="3"/>
      <c r="CG12" s="3"/>
      <c r="CH12" s="5"/>
      <c r="CI12" s="3"/>
      <c r="CJ12" s="3"/>
      <c r="CK12" s="3"/>
      <c r="CL12" s="3"/>
      <c r="CM12" s="5"/>
      <c r="CN12" s="3"/>
      <c r="CO12" s="3"/>
      <c r="CP12" s="5"/>
      <c r="CQ12" s="3"/>
      <c r="CR12" s="3"/>
      <c r="CS12" s="3"/>
      <c r="CT12" s="3"/>
      <c r="CU12" s="5"/>
      <c r="CV12" s="5"/>
      <c r="CW12" s="4"/>
      <c r="CX12" s="5"/>
      <c r="CY12" s="14"/>
    </row>
    <row r="13" ht="12" customHeight="1" spans="1:103" x14ac:dyDescent="0.25">
      <c r="A13" s="11" t="s">
        <v>405</v>
      </c>
      <c r="B13" s="3">
        <v>1</v>
      </c>
      <c r="C13" s="5"/>
      <c r="D13" s="5"/>
      <c r="E13" s="5"/>
      <c r="F13" s="5">
        <v>0</v>
      </c>
      <c r="G13" s="5">
        <v>9</v>
      </c>
      <c r="H13" s="5">
        <v>0</v>
      </c>
      <c r="I13" s="5">
        <v>36</v>
      </c>
      <c r="J13" s="5">
        <v>81</v>
      </c>
      <c r="K13" s="3"/>
      <c r="L13" s="3"/>
      <c r="M13" s="3"/>
      <c r="N13" s="3"/>
      <c r="O13" s="3"/>
      <c r="P13" s="3"/>
      <c r="Q13" s="3"/>
      <c r="R13" s="4"/>
      <c r="S13" s="3"/>
      <c r="T13" s="3"/>
      <c r="U13" s="3"/>
      <c r="V13" s="4"/>
      <c r="W13" s="3"/>
      <c r="X13" s="5"/>
      <c r="Y13" s="5"/>
      <c r="Z13" s="5"/>
      <c r="AA13" s="3"/>
      <c r="AB13" s="3"/>
      <c r="AC13" s="12"/>
      <c r="AD13" s="12"/>
      <c r="AE13" s="3"/>
      <c r="AF13" s="3"/>
      <c r="AG13" s="5"/>
      <c r="AH13" s="3"/>
      <c r="AI13" s="5"/>
      <c r="AJ13" s="5"/>
      <c r="AK13" s="5"/>
      <c r="AL13" s="5"/>
      <c r="AM13" s="3"/>
      <c r="AN13" s="3"/>
      <c r="AO13" s="3"/>
      <c r="AP13" s="3"/>
      <c r="AQ13" s="5"/>
      <c r="AR13" s="5"/>
      <c r="AS13" s="5"/>
      <c r="AT13" s="5"/>
      <c r="AU13" s="5"/>
      <c r="AV13" s="5"/>
      <c r="AW13" s="5"/>
      <c r="AX13" s="3"/>
      <c r="AY13" s="5"/>
      <c r="AZ13" s="3"/>
      <c r="BA13" s="5"/>
      <c r="BB13" s="3"/>
      <c r="BC13" s="4"/>
      <c r="BD13" s="4"/>
      <c r="BE13" s="3"/>
      <c r="BF13" s="3"/>
      <c r="BG13" s="3"/>
      <c r="BH13" s="3"/>
      <c r="BI13" s="5"/>
      <c r="BJ13" s="5"/>
      <c r="BK13" s="3"/>
      <c r="BL13" s="4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3"/>
      <c r="BZ13" s="5"/>
      <c r="CA13" s="3"/>
      <c r="CB13" s="5"/>
      <c r="CC13" s="3"/>
      <c r="CD13" s="5"/>
      <c r="CE13" s="5"/>
      <c r="CF13" s="3"/>
      <c r="CG13" s="3"/>
      <c r="CH13" s="5"/>
      <c r="CI13" s="3"/>
      <c r="CJ13" s="3"/>
      <c r="CK13" s="3"/>
      <c r="CL13" s="3"/>
      <c r="CM13" s="5"/>
      <c r="CN13" s="3"/>
      <c r="CO13" s="3"/>
      <c r="CP13" s="5"/>
      <c r="CQ13" s="3"/>
      <c r="CR13" s="3"/>
      <c r="CS13" s="3"/>
      <c r="CT13" s="3"/>
      <c r="CU13" s="5"/>
      <c r="CV13" s="5"/>
      <c r="CW13" s="4"/>
      <c r="CX13" s="5"/>
      <c r="CY13" s="14"/>
    </row>
    <row r="14" ht="12" customHeight="1" spans="1:103" x14ac:dyDescent="0.25">
      <c r="A14" s="11" t="s">
        <v>406</v>
      </c>
      <c r="B14" s="3">
        <v>0</v>
      </c>
      <c r="C14" s="5"/>
      <c r="D14" s="5"/>
      <c r="E14" s="5"/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3"/>
      <c r="L14" s="3"/>
      <c r="M14" s="3"/>
      <c r="N14" s="3"/>
      <c r="O14" s="3"/>
      <c r="P14" s="3"/>
      <c r="Q14" s="3"/>
      <c r="R14" s="4"/>
      <c r="S14" s="3"/>
      <c r="T14" s="3"/>
      <c r="U14" s="3"/>
      <c r="V14" s="4"/>
      <c r="W14" s="3"/>
      <c r="X14" s="5"/>
      <c r="Y14" s="5"/>
      <c r="Z14" s="5"/>
      <c r="AA14" s="3"/>
      <c r="AB14" s="3"/>
      <c r="AC14" s="12"/>
      <c r="AD14" s="12"/>
      <c r="AE14" s="3"/>
      <c r="AF14" s="3"/>
      <c r="AG14" s="5"/>
      <c r="AH14" s="3"/>
      <c r="AI14" s="5"/>
      <c r="AJ14" s="5"/>
      <c r="AK14" s="5"/>
      <c r="AL14" s="5"/>
      <c r="AM14" s="3"/>
      <c r="AN14" s="3"/>
      <c r="AO14" s="3"/>
      <c r="AP14" s="3"/>
      <c r="AQ14" s="5"/>
      <c r="AR14" s="5"/>
      <c r="AS14" s="5"/>
      <c r="AT14" s="5"/>
      <c r="AU14" s="5"/>
      <c r="AV14" s="5"/>
      <c r="AW14" s="5"/>
      <c r="AX14" s="3"/>
      <c r="AY14" s="5"/>
      <c r="AZ14" s="3"/>
      <c r="BA14" s="5"/>
      <c r="BB14" s="3"/>
      <c r="BC14" s="4"/>
      <c r="BD14" s="4"/>
      <c r="BE14" s="3"/>
      <c r="BF14" s="3"/>
      <c r="BG14" s="3"/>
      <c r="BH14" s="3"/>
      <c r="BI14" s="5"/>
      <c r="BJ14" s="5"/>
      <c r="BK14" s="3"/>
      <c r="BL14" s="4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3"/>
      <c r="BZ14" s="5"/>
      <c r="CA14" s="3"/>
      <c r="CB14" s="5"/>
      <c r="CC14" s="3"/>
      <c r="CD14" s="5"/>
      <c r="CE14" s="5"/>
      <c r="CF14" s="3"/>
      <c r="CG14" s="3"/>
      <c r="CH14" s="5"/>
      <c r="CI14" s="3"/>
      <c r="CJ14" s="3"/>
      <c r="CK14" s="3"/>
      <c r="CL14" s="3"/>
      <c r="CM14" s="5"/>
      <c r="CN14" s="3"/>
      <c r="CO14" s="3"/>
      <c r="CP14" s="5"/>
      <c r="CQ14" s="3"/>
      <c r="CR14" s="3"/>
      <c r="CS14" s="3"/>
      <c r="CT14" s="3"/>
      <c r="CU14" s="5"/>
      <c r="CV14" s="5"/>
      <c r="CW14" s="4"/>
      <c r="CX14" s="5"/>
      <c r="CY14" s="14"/>
    </row>
    <row r="15" ht="12" customHeight="1" spans="1:103" x14ac:dyDescent="0.25">
      <c r="A15" s="11">
        <v>10</v>
      </c>
      <c r="B15" s="3">
        <v>45</v>
      </c>
      <c r="C15" s="5"/>
      <c r="D15" s="5"/>
      <c r="E15" s="5"/>
      <c r="F15" s="5"/>
      <c r="G15" s="5"/>
      <c r="H15" s="5"/>
      <c r="I15" s="5"/>
      <c r="J15" s="5"/>
      <c r="K15" s="3"/>
      <c r="L15" s="3"/>
      <c r="M15" s="3"/>
      <c r="N15" s="3"/>
      <c r="O15" s="3"/>
      <c r="P15" s="3"/>
      <c r="Q15" s="3"/>
      <c r="R15" s="4"/>
      <c r="S15" s="3"/>
      <c r="T15" s="3"/>
      <c r="U15" s="3"/>
      <c r="V15" s="4"/>
      <c r="W15" s="3"/>
      <c r="X15" s="5"/>
      <c r="Y15" s="5"/>
      <c r="Z15" s="5"/>
      <c r="AA15" s="3"/>
      <c r="AB15" s="3"/>
      <c r="AC15" s="12"/>
      <c r="AD15" s="12"/>
      <c r="AE15" s="3"/>
      <c r="AF15" s="3"/>
      <c r="AG15" s="5"/>
      <c r="AH15" s="3"/>
      <c r="AI15" s="5"/>
      <c r="AJ15" s="5"/>
      <c r="AK15" s="5"/>
      <c r="AL15" s="5"/>
      <c r="AM15" s="3"/>
      <c r="AN15" s="3"/>
      <c r="AO15" s="3"/>
      <c r="AP15" s="3"/>
      <c r="AQ15" s="5"/>
      <c r="AR15" s="5"/>
      <c r="AS15" s="5"/>
      <c r="AT15" s="5"/>
      <c r="AU15" s="5"/>
      <c r="AV15" s="5"/>
      <c r="AW15" s="5"/>
      <c r="AX15" s="3"/>
      <c r="AY15" s="5"/>
      <c r="AZ15" s="3"/>
      <c r="BA15" s="5"/>
      <c r="BB15" s="3"/>
      <c r="BC15" s="4"/>
      <c r="BD15" s="4"/>
      <c r="BE15" s="3"/>
      <c r="BF15" s="3"/>
      <c r="BG15" s="3"/>
      <c r="BH15" s="3"/>
      <c r="BI15" s="5"/>
      <c r="BJ15" s="5"/>
      <c r="BK15" s="3"/>
      <c r="BL15" s="4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3"/>
      <c r="BZ15" s="5"/>
      <c r="CA15" s="3"/>
      <c r="CB15" s="5"/>
      <c r="CC15" s="3"/>
      <c r="CD15" s="5"/>
      <c r="CE15" s="5"/>
      <c r="CF15" s="3"/>
      <c r="CG15" s="3"/>
      <c r="CH15" s="5"/>
      <c r="CI15" s="3"/>
      <c r="CJ15" s="3"/>
      <c r="CK15" s="3"/>
      <c r="CL15" s="3"/>
      <c r="CM15" s="5"/>
      <c r="CN15" s="3"/>
      <c r="CO15" s="3"/>
      <c r="CP15" s="5"/>
      <c r="CQ15" s="3"/>
      <c r="CR15" s="3"/>
      <c r="CS15" s="3"/>
      <c r="CT15" s="3"/>
      <c r="CU15" s="5"/>
      <c r="CV15" s="5"/>
      <c r="CW15" s="4"/>
      <c r="CX15" s="5"/>
      <c r="CY15" s="14"/>
    </row>
    <row r="16" ht="12" customHeight="1" spans="1:103" x14ac:dyDescent="0.25">
      <c r="A16" s="11"/>
      <c r="B16" s="3"/>
      <c r="C16" s="5"/>
      <c r="D16" s="5"/>
      <c r="E16" s="5"/>
      <c r="F16" s="5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4"/>
      <c r="S16" s="3"/>
      <c r="T16" s="3"/>
      <c r="U16" s="3"/>
      <c r="V16" s="4"/>
      <c r="W16" s="3"/>
      <c r="X16" s="5"/>
      <c r="Y16" s="5"/>
      <c r="Z16" s="5"/>
      <c r="AA16" s="3"/>
      <c r="AB16" s="3"/>
      <c r="AC16" s="12"/>
      <c r="AD16" s="12"/>
      <c r="AE16" s="3"/>
      <c r="AF16" s="5"/>
      <c r="AG16" s="5"/>
      <c r="AH16" s="3"/>
      <c r="AI16" s="5"/>
      <c r="AJ16" s="5"/>
      <c r="AK16" s="5"/>
      <c r="AL16" s="5"/>
      <c r="AM16" s="3"/>
      <c r="AN16" s="3"/>
      <c r="AO16" s="3"/>
      <c r="AP16" s="3"/>
      <c r="AQ16" s="5"/>
      <c r="AR16" s="5"/>
      <c r="AS16" s="3"/>
      <c r="AT16" s="3"/>
      <c r="AU16" s="5"/>
      <c r="AV16" s="5"/>
      <c r="AW16" s="5"/>
      <c r="AX16" s="3"/>
      <c r="AY16" s="5"/>
      <c r="AZ16" s="3"/>
      <c r="BA16" s="3"/>
      <c r="BB16" s="3"/>
      <c r="BC16" s="4"/>
      <c r="BD16" s="4"/>
      <c r="BE16" s="3"/>
      <c r="BF16" s="3"/>
      <c r="BG16" s="3"/>
      <c r="BH16" s="3"/>
      <c r="BI16" s="5"/>
      <c r="BJ16" s="5"/>
      <c r="BK16" s="3"/>
      <c r="BL16" s="4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3"/>
      <c r="BZ16" s="5"/>
      <c r="CA16" s="3"/>
      <c r="CB16" s="5"/>
      <c r="CC16" s="3"/>
      <c r="CD16" s="5"/>
      <c r="CE16" s="3"/>
      <c r="CF16" s="3"/>
      <c r="CG16" s="3"/>
      <c r="CH16" s="5"/>
      <c r="CI16" s="3"/>
      <c r="CJ16" s="3"/>
      <c r="CK16" s="3"/>
      <c r="CL16" s="3"/>
      <c r="CM16" s="5"/>
      <c r="CN16" s="3"/>
      <c r="CO16" s="3"/>
      <c r="CP16" s="3"/>
      <c r="CQ16" s="3"/>
      <c r="CR16" s="3"/>
      <c r="CS16" s="3"/>
      <c r="CT16" s="3"/>
      <c r="CU16" s="5"/>
      <c r="CV16" s="5"/>
      <c r="CW16" s="4"/>
      <c r="CX16" s="5"/>
      <c r="CY16" s="14"/>
    </row>
    <row r="17" ht="12" customHeight="1" spans="1:103" x14ac:dyDescent="0.25">
      <c r="A17" s="15"/>
      <c r="B17" s="16"/>
      <c r="C17" s="17"/>
      <c r="D17" s="17"/>
      <c r="E17" s="17"/>
      <c r="F17" s="18"/>
      <c r="G17" s="18"/>
      <c r="H17" s="18"/>
      <c r="I17" s="18"/>
      <c r="J17" s="18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7"/>
      <c r="AD17" s="7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1"/>
    </row>
    <row r="18" ht="12" customHeight="1" spans="1:103" x14ac:dyDescent="0.25">
      <c r="A18" s="22"/>
      <c r="B18" s="23"/>
      <c r="C18" s="24"/>
      <c r="D18" s="24"/>
      <c r="E18" s="24"/>
      <c r="F18" s="18"/>
      <c r="G18" s="18"/>
      <c r="H18" s="18"/>
      <c r="I18" s="18"/>
      <c r="J18" s="18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6"/>
      <c r="AD18" s="26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8"/>
    </row>
    <row r="19" ht="12" customHeight="1" spans="1:103" x14ac:dyDescent="0.25">
      <c r="A19" s="29"/>
      <c r="B19" s="30"/>
      <c r="C19" s="24"/>
      <c r="D19" s="24"/>
      <c r="E19" s="24"/>
      <c r="F19" s="18"/>
      <c r="G19" s="18"/>
      <c r="H19" s="18"/>
      <c r="I19" s="18"/>
      <c r="J19" s="18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6"/>
      <c r="AD19" s="26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8"/>
    </row>
    <row r="20" ht="12" customHeight="1" spans="1:103" x14ac:dyDescent="0.25">
      <c r="A20" s="31"/>
      <c r="B20" s="32"/>
      <c r="C20" s="33"/>
      <c r="D20" s="33"/>
      <c r="E20" s="33"/>
      <c r="F20" s="26"/>
      <c r="G20" s="26"/>
      <c r="H20" s="26"/>
      <c r="I20" s="26"/>
      <c r="J20" s="26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26"/>
      <c r="AD20" s="26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6"/>
    </row>
    <row r="21" ht="12" customHeight="1" x14ac:dyDescent="0.25"/>
    <row r="22" ht="12" customHeight="1" x14ac:dyDescent="0.25"/>
    <row r="23" ht="12" customHeight="1" x14ac:dyDescent="0.25"/>
    <row r="24" ht="12" customHeight="1" x14ac:dyDescent="0.25"/>
    <row r="25" ht="12" customHeight="1" x14ac:dyDescent="0.25"/>
    <row r="26" ht="12" customHeight="1" x14ac:dyDescent="0.25"/>
    <row r="27" ht="12" customHeight="1" x14ac:dyDescent="0.25"/>
    <row r="28" ht="12" customHeight="1" x14ac:dyDescent="0.25"/>
    <row r="29" ht="12" customHeight="1" x14ac:dyDescent="0.25"/>
    <row r="30" ht="12" customHeight="1" x14ac:dyDescent="0.25"/>
    <row r="31" ht="12" customHeight="1" x14ac:dyDescent="0.25"/>
    <row r="32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</sheetData>
  <autoFilter ref="A1:WZE1"/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K987"/>
  <sheetViews>
    <sheetView workbookViewId="0" zoomScale="100" zoomScaleNormal="100">
      <selection activeCell="A1" sqref="A1"/>
    </sheetView>
  </sheetViews>
  <sheetFormatPr defaultRowHeight="12.95" outlineLevelRow="0" outlineLevelCol="0" x14ac:dyDescent="0" customHeight="1"/>
  <cols>
    <col min="1" max="1" width="11.875" customWidth="1"/>
    <col min="2" max="2" width="8.625" customWidth="1"/>
    <col min="3" max="3" width="6.625" customWidth="1"/>
    <col min="4" max="4" width="10.75" customWidth="1"/>
    <col min="5" max="5" width="9.25" customWidth="1"/>
    <col min="6" max="6" width="15.125" customWidth="1"/>
    <col min="7" max="7" width="32.625" customWidth="1"/>
    <col min="8" max="8" width="6.25" customWidth="1"/>
    <col min="9" max="9" width="31.125" customWidth="1"/>
    <col min="10" max="10" width="19.375" customWidth="1"/>
    <col min="11" max="11" width="5.875" customWidth="1"/>
    <col min="12" max="12" width="6.125" customWidth="1"/>
    <col min="13" max="13" width="15.125" customWidth="1"/>
    <col min="14" max="14" width="17.625" customWidth="1"/>
    <col min="15" max="15" width="9.25" customWidth="1"/>
    <col min="16" max="16" width="12.125" customWidth="1"/>
    <col min="17" max="17" width="32.75" customWidth="1"/>
    <col min="18" max="18" width="7.125" customWidth="1"/>
    <col min="19" max="19" width="10.875" customWidth="1"/>
    <col min="20" max="20" width="8.875" customWidth="1"/>
    <col min="21" max="21" width="6.25" customWidth="1"/>
    <col min="22" max="22" width="10.375" customWidth="1"/>
    <col min="23" max="23" width="6" customWidth="1"/>
    <col min="24" max="24" width="10.375" customWidth="1"/>
    <col min="25" max="25" width="5.875" customWidth="1"/>
    <col min="26" max="26" width="8" customWidth="1"/>
    <col min="27" max="27" width="8.875" customWidth="1"/>
    <col min="28" max="28" width="7.625" customWidth="1"/>
    <col min="29" max="29" width="9.375" customWidth="1"/>
    <col min="30" max="30" width="10.75" customWidth="1"/>
    <col min="31" max="31" width="8.25" customWidth="1"/>
    <col min="32" max="32" width="7.625" customWidth="1"/>
    <col min="33" max="33" width="7.75" customWidth="1"/>
    <col min="34" max="34" width="9.625" customWidth="1"/>
    <col min="35" max="35" width="10.375" customWidth="1"/>
    <col min="36" max="36" width="33.375" customWidth="1"/>
    <col min="37" max="37" width="7.75" customWidth="1"/>
    <col min="257" max="257" width="11.875" customWidth="1"/>
    <col min="258" max="258" width="8.625" customWidth="1"/>
    <col min="259" max="259" width="6.625" customWidth="1"/>
    <col min="260" max="260" width="10.75" customWidth="1"/>
    <col min="261" max="261" width="9.25" customWidth="1"/>
    <col min="262" max="262" width="15.125" customWidth="1"/>
    <col min="263" max="263" width="32.625" customWidth="1"/>
    <col min="264" max="264" width="6.25" customWidth="1"/>
    <col min="265" max="265" width="31.125" customWidth="1"/>
    <col min="266" max="266" width="19.375" customWidth="1"/>
    <col min="267" max="267" width="5.875" customWidth="1"/>
    <col min="268" max="268" width="6.125" customWidth="1"/>
    <col min="269" max="269" width="15.125" customWidth="1"/>
    <col min="270" max="270" width="17.625" customWidth="1"/>
    <col min="271" max="271" width="9.25" customWidth="1"/>
    <col min="272" max="272" width="12.125" customWidth="1"/>
    <col min="273" max="273" width="32.75" customWidth="1"/>
    <col min="274" max="274" width="7.125" customWidth="1"/>
    <col min="275" max="275" width="10.875" customWidth="1"/>
    <col min="276" max="276" width="8.875" customWidth="1"/>
    <col min="277" max="277" width="6.25" customWidth="1"/>
    <col min="278" max="278" width="10.375" customWidth="1"/>
    <col min="279" max="279" width="6" customWidth="1"/>
    <col min="280" max="280" width="10.375" customWidth="1"/>
    <col min="281" max="281" width="5.875" customWidth="1"/>
    <col min="282" max="282" width="8" customWidth="1"/>
    <col min="283" max="283" width="8.875" customWidth="1"/>
    <col min="284" max="284" width="7.625" customWidth="1"/>
    <col min="285" max="285" width="9.375" customWidth="1"/>
    <col min="286" max="286" width="10.75" customWidth="1"/>
    <col min="287" max="287" width="8.25" customWidth="1"/>
    <col min="288" max="288" width="7.625" customWidth="1"/>
    <col min="289" max="289" width="7.75" customWidth="1"/>
    <col min="290" max="290" width="9.625" customWidth="1"/>
    <col min="291" max="291" width="10.375" customWidth="1"/>
    <col min="292" max="292" width="33.375" customWidth="1"/>
    <col min="293" max="293" width="7.75" customWidth="1"/>
    <col min="513" max="513" width="11.875" customWidth="1"/>
    <col min="514" max="514" width="8.625" customWidth="1"/>
    <col min="515" max="515" width="6.625" customWidth="1"/>
    <col min="516" max="516" width="10.75" customWidth="1"/>
    <col min="517" max="517" width="9.25" customWidth="1"/>
    <col min="518" max="518" width="15.125" customWidth="1"/>
    <col min="519" max="519" width="32.625" customWidth="1"/>
    <col min="520" max="520" width="6.25" customWidth="1"/>
    <col min="521" max="521" width="31.125" customWidth="1"/>
    <col min="522" max="522" width="19.375" customWidth="1"/>
    <col min="523" max="523" width="5.875" customWidth="1"/>
    <col min="524" max="524" width="6.125" customWidth="1"/>
    <col min="525" max="525" width="15.125" customWidth="1"/>
    <col min="526" max="526" width="17.625" customWidth="1"/>
    <col min="527" max="527" width="9.25" customWidth="1"/>
    <col min="528" max="528" width="12.125" customWidth="1"/>
    <col min="529" max="529" width="32.75" customWidth="1"/>
    <col min="530" max="530" width="7.125" customWidth="1"/>
    <col min="531" max="531" width="10.875" customWidth="1"/>
    <col min="532" max="532" width="8.875" customWidth="1"/>
    <col min="533" max="533" width="6.25" customWidth="1"/>
    <col min="534" max="534" width="10.375" customWidth="1"/>
    <col min="535" max="535" width="6" customWidth="1"/>
    <col min="536" max="536" width="10.375" customWidth="1"/>
    <col min="537" max="537" width="5.875" customWidth="1"/>
    <col min="538" max="538" width="8" customWidth="1"/>
    <col min="539" max="539" width="8.875" customWidth="1"/>
    <col min="540" max="540" width="7.625" customWidth="1"/>
    <col min="541" max="541" width="9.375" customWidth="1"/>
    <col min="542" max="542" width="10.75" customWidth="1"/>
    <col min="543" max="543" width="8.25" customWidth="1"/>
    <col min="544" max="544" width="7.625" customWidth="1"/>
    <col min="545" max="545" width="7.75" customWidth="1"/>
    <col min="546" max="546" width="9.625" customWidth="1"/>
    <col min="547" max="547" width="10.375" customWidth="1"/>
    <col min="548" max="548" width="33.375" customWidth="1"/>
    <col min="549" max="549" width="7.75" customWidth="1"/>
    <col min="769" max="769" width="11.875" customWidth="1"/>
    <col min="770" max="770" width="8.625" customWidth="1"/>
    <col min="771" max="771" width="6.625" customWidth="1"/>
    <col min="772" max="772" width="10.75" customWidth="1"/>
    <col min="773" max="773" width="9.25" customWidth="1"/>
    <col min="774" max="774" width="15.125" customWidth="1"/>
    <col min="775" max="775" width="32.625" customWidth="1"/>
    <col min="776" max="776" width="6.25" customWidth="1"/>
    <col min="777" max="777" width="31.125" customWidth="1"/>
    <col min="778" max="778" width="19.375" customWidth="1"/>
    <col min="779" max="779" width="5.875" customWidth="1"/>
    <col min="780" max="780" width="6.125" customWidth="1"/>
    <col min="781" max="781" width="15.125" customWidth="1"/>
    <col min="782" max="782" width="17.625" customWidth="1"/>
    <col min="783" max="783" width="9.25" customWidth="1"/>
    <col min="784" max="784" width="12.125" customWidth="1"/>
    <col min="785" max="785" width="32.75" customWidth="1"/>
    <col min="786" max="786" width="7.125" customWidth="1"/>
    <col min="787" max="787" width="10.875" customWidth="1"/>
    <col min="788" max="788" width="8.875" customWidth="1"/>
    <col min="789" max="789" width="6.25" customWidth="1"/>
    <col min="790" max="790" width="10.375" customWidth="1"/>
    <col min="791" max="791" width="6" customWidth="1"/>
    <col min="792" max="792" width="10.375" customWidth="1"/>
    <col min="793" max="793" width="5.875" customWidth="1"/>
    <col min="794" max="794" width="8" customWidth="1"/>
    <col min="795" max="795" width="8.875" customWidth="1"/>
    <col min="796" max="796" width="7.625" customWidth="1"/>
    <col min="797" max="797" width="9.375" customWidth="1"/>
    <col min="798" max="798" width="10.75" customWidth="1"/>
    <col min="799" max="799" width="8.25" customWidth="1"/>
    <col min="800" max="800" width="7.625" customWidth="1"/>
    <col min="801" max="801" width="7.75" customWidth="1"/>
    <col min="802" max="802" width="9.625" customWidth="1"/>
    <col min="803" max="803" width="10.375" customWidth="1"/>
    <col min="804" max="804" width="33.375" customWidth="1"/>
    <col min="805" max="805" width="7.75" customWidth="1"/>
    <col min="1025" max="1025" width="11.875" customWidth="1"/>
    <col min="1026" max="1026" width="8.625" customWidth="1"/>
    <col min="1027" max="1027" width="6.625" customWidth="1"/>
    <col min="1028" max="1028" width="10.75" customWidth="1"/>
    <col min="1029" max="1029" width="9.25" customWidth="1"/>
    <col min="1030" max="1030" width="15.125" customWidth="1"/>
    <col min="1031" max="1031" width="32.625" customWidth="1"/>
    <col min="1032" max="1032" width="6.25" customWidth="1"/>
    <col min="1033" max="1033" width="31.125" customWidth="1"/>
    <col min="1034" max="1034" width="19.375" customWidth="1"/>
    <col min="1035" max="1035" width="5.875" customWidth="1"/>
    <col min="1036" max="1036" width="6.125" customWidth="1"/>
    <col min="1037" max="1037" width="15.125" customWidth="1"/>
    <col min="1038" max="1038" width="17.625" customWidth="1"/>
    <col min="1039" max="1039" width="9.25" customWidth="1"/>
    <col min="1040" max="1040" width="12.125" customWidth="1"/>
    <col min="1041" max="1041" width="32.75" customWidth="1"/>
    <col min="1042" max="1042" width="7.125" customWidth="1"/>
    <col min="1043" max="1043" width="10.875" customWidth="1"/>
    <col min="1044" max="1044" width="8.875" customWidth="1"/>
    <col min="1045" max="1045" width="6.25" customWidth="1"/>
    <col min="1046" max="1046" width="10.375" customWidth="1"/>
    <col min="1047" max="1047" width="6" customWidth="1"/>
    <col min="1048" max="1048" width="10.375" customWidth="1"/>
    <col min="1049" max="1049" width="5.875" customWidth="1"/>
    <col min="1050" max="1050" width="8" customWidth="1"/>
    <col min="1051" max="1051" width="8.875" customWidth="1"/>
    <col min="1052" max="1052" width="7.625" customWidth="1"/>
    <col min="1053" max="1053" width="9.375" customWidth="1"/>
    <col min="1054" max="1054" width="10.75" customWidth="1"/>
    <col min="1055" max="1055" width="8.25" customWidth="1"/>
    <col min="1056" max="1056" width="7.625" customWidth="1"/>
    <col min="1057" max="1057" width="7.75" customWidth="1"/>
    <col min="1058" max="1058" width="9.625" customWidth="1"/>
    <col min="1059" max="1059" width="10.375" customWidth="1"/>
    <col min="1060" max="1060" width="33.375" customWidth="1"/>
    <col min="1061" max="1061" width="7.75" customWidth="1"/>
    <col min="1281" max="1281" width="11.875" customWidth="1"/>
    <col min="1282" max="1282" width="8.625" customWidth="1"/>
    <col min="1283" max="1283" width="6.625" customWidth="1"/>
    <col min="1284" max="1284" width="10.75" customWidth="1"/>
    <col min="1285" max="1285" width="9.25" customWidth="1"/>
    <col min="1286" max="1286" width="15.125" customWidth="1"/>
    <col min="1287" max="1287" width="32.625" customWidth="1"/>
    <col min="1288" max="1288" width="6.25" customWidth="1"/>
    <col min="1289" max="1289" width="31.125" customWidth="1"/>
    <col min="1290" max="1290" width="19.375" customWidth="1"/>
    <col min="1291" max="1291" width="5.875" customWidth="1"/>
    <col min="1292" max="1292" width="6.125" customWidth="1"/>
    <col min="1293" max="1293" width="15.125" customWidth="1"/>
    <col min="1294" max="1294" width="17.625" customWidth="1"/>
    <col min="1295" max="1295" width="9.25" customWidth="1"/>
    <col min="1296" max="1296" width="12.125" customWidth="1"/>
    <col min="1297" max="1297" width="32.75" customWidth="1"/>
    <col min="1298" max="1298" width="7.125" customWidth="1"/>
    <col min="1299" max="1299" width="10.875" customWidth="1"/>
    <col min="1300" max="1300" width="8.875" customWidth="1"/>
    <col min="1301" max="1301" width="6.25" customWidth="1"/>
    <col min="1302" max="1302" width="10.375" customWidth="1"/>
    <col min="1303" max="1303" width="6" customWidth="1"/>
    <col min="1304" max="1304" width="10.375" customWidth="1"/>
    <col min="1305" max="1305" width="5.875" customWidth="1"/>
    <col min="1306" max="1306" width="8" customWidth="1"/>
    <col min="1307" max="1307" width="8.875" customWidth="1"/>
    <col min="1308" max="1308" width="7.625" customWidth="1"/>
    <col min="1309" max="1309" width="9.375" customWidth="1"/>
    <col min="1310" max="1310" width="10.75" customWidth="1"/>
    <col min="1311" max="1311" width="8.25" customWidth="1"/>
    <col min="1312" max="1312" width="7.625" customWidth="1"/>
    <col min="1313" max="1313" width="7.75" customWidth="1"/>
    <col min="1314" max="1314" width="9.625" customWidth="1"/>
    <col min="1315" max="1315" width="10.375" customWidth="1"/>
    <col min="1316" max="1316" width="33.375" customWidth="1"/>
    <col min="1317" max="1317" width="7.75" customWidth="1"/>
    <col min="1537" max="1537" width="11.875" customWidth="1"/>
    <col min="1538" max="1538" width="8.625" customWidth="1"/>
    <col min="1539" max="1539" width="6.625" customWidth="1"/>
    <col min="1540" max="1540" width="10.75" customWidth="1"/>
    <col min="1541" max="1541" width="9.25" customWidth="1"/>
    <col min="1542" max="1542" width="15.125" customWidth="1"/>
    <col min="1543" max="1543" width="32.625" customWidth="1"/>
    <col min="1544" max="1544" width="6.25" customWidth="1"/>
    <col min="1545" max="1545" width="31.125" customWidth="1"/>
    <col min="1546" max="1546" width="19.375" customWidth="1"/>
    <col min="1547" max="1547" width="5.875" customWidth="1"/>
    <col min="1548" max="1548" width="6.125" customWidth="1"/>
    <col min="1549" max="1549" width="15.125" customWidth="1"/>
    <col min="1550" max="1550" width="17.625" customWidth="1"/>
    <col min="1551" max="1551" width="9.25" customWidth="1"/>
    <col min="1552" max="1552" width="12.125" customWidth="1"/>
    <col min="1553" max="1553" width="32.75" customWidth="1"/>
    <col min="1554" max="1554" width="7.125" customWidth="1"/>
    <col min="1555" max="1555" width="10.875" customWidth="1"/>
    <col min="1556" max="1556" width="8.875" customWidth="1"/>
    <col min="1557" max="1557" width="6.25" customWidth="1"/>
    <col min="1558" max="1558" width="10.375" customWidth="1"/>
    <col min="1559" max="1559" width="6" customWidth="1"/>
    <col min="1560" max="1560" width="10.375" customWidth="1"/>
    <col min="1561" max="1561" width="5.875" customWidth="1"/>
    <col min="1562" max="1562" width="8" customWidth="1"/>
    <col min="1563" max="1563" width="8.875" customWidth="1"/>
    <col min="1564" max="1564" width="7.625" customWidth="1"/>
    <col min="1565" max="1565" width="9.375" customWidth="1"/>
    <col min="1566" max="1566" width="10.75" customWidth="1"/>
    <col min="1567" max="1567" width="8.25" customWidth="1"/>
    <col min="1568" max="1568" width="7.625" customWidth="1"/>
    <col min="1569" max="1569" width="7.75" customWidth="1"/>
    <col min="1570" max="1570" width="9.625" customWidth="1"/>
    <col min="1571" max="1571" width="10.375" customWidth="1"/>
    <col min="1572" max="1572" width="33.375" customWidth="1"/>
    <col min="1573" max="1573" width="7.75" customWidth="1"/>
    <col min="1793" max="1793" width="11.875" customWidth="1"/>
    <col min="1794" max="1794" width="8.625" customWidth="1"/>
    <col min="1795" max="1795" width="6.625" customWidth="1"/>
    <col min="1796" max="1796" width="10.75" customWidth="1"/>
    <col min="1797" max="1797" width="9.25" customWidth="1"/>
    <col min="1798" max="1798" width="15.125" customWidth="1"/>
    <col min="1799" max="1799" width="32.625" customWidth="1"/>
    <col min="1800" max="1800" width="6.25" customWidth="1"/>
    <col min="1801" max="1801" width="31.125" customWidth="1"/>
    <col min="1802" max="1802" width="19.375" customWidth="1"/>
    <col min="1803" max="1803" width="5.875" customWidth="1"/>
    <col min="1804" max="1804" width="6.125" customWidth="1"/>
    <col min="1805" max="1805" width="15.125" customWidth="1"/>
    <col min="1806" max="1806" width="17.625" customWidth="1"/>
    <col min="1807" max="1807" width="9.25" customWidth="1"/>
    <col min="1808" max="1808" width="12.125" customWidth="1"/>
    <col min="1809" max="1809" width="32.75" customWidth="1"/>
    <col min="1810" max="1810" width="7.125" customWidth="1"/>
    <col min="1811" max="1811" width="10.875" customWidth="1"/>
    <col min="1812" max="1812" width="8.875" customWidth="1"/>
    <col min="1813" max="1813" width="6.25" customWidth="1"/>
    <col min="1814" max="1814" width="10.375" customWidth="1"/>
    <col min="1815" max="1815" width="6" customWidth="1"/>
    <col min="1816" max="1816" width="10.375" customWidth="1"/>
    <col min="1817" max="1817" width="5.875" customWidth="1"/>
    <col min="1818" max="1818" width="8" customWidth="1"/>
    <col min="1819" max="1819" width="8.875" customWidth="1"/>
    <col min="1820" max="1820" width="7.625" customWidth="1"/>
    <col min="1821" max="1821" width="9.375" customWidth="1"/>
    <col min="1822" max="1822" width="10.75" customWidth="1"/>
    <col min="1823" max="1823" width="8.25" customWidth="1"/>
    <col min="1824" max="1824" width="7.625" customWidth="1"/>
    <col min="1825" max="1825" width="7.75" customWidth="1"/>
    <col min="1826" max="1826" width="9.625" customWidth="1"/>
    <col min="1827" max="1827" width="10.375" customWidth="1"/>
    <col min="1828" max="1828" width="33.375" customWidth="1"/>
    <col min="1829" max="1829" width="7.75" customWidth="1"/>
    <col min="2049" max="2049" width="11.875" customWidth="1"/>
    <col min="2050" max="2050" width="8.625" customWidth="1"/>
    <col min="2051" max="2051" width="6.625" customWidth="1"/>
    <col min="2052" max="2052" width="10.75" customWidth="1"/>
    <col min="2053" max="2053" width="9.25" customWidth="1"/>
    <col min="2054" max="2054" width="15.125" customWidth="1"/>
    <col min="2055" max="2055" width="32.625" customWidth="1"/>
    <col min="2056" max="2056" width="6.25" customWidth="1"/>
    <col min="2057" max="2057" width="31.125" customWidth="1"/>
    <col min="2058" max="2058" width="19.375" customWidth="1"/>
    <col min="2059" max="2059" width="5.875" customWidth="1"/>
    <col min="2060" max="2060" width="6.125" customWidth="1"/>
    <col min="2061" max="2061" width="15.125" customWidth="1"/>
    <col min="2062" max="2062" width="17.625" customWidth="1"/>
    <col min="2063" max="2063" width="9.25" customWidth="1"/>
    <col min="2064" max="2064" width="12.125" customWidth="1"/>
    <col min="2065" max="2065" width="32.75" customWidth="1"/>
    <col min="2066" max="2066" width="7.125" customWidth="1"/>
    <col min="2067" max="2067" width="10.875" customWidth="1"/>
    <col min="2068" max="2068" width="8.875" customWidth="1"/>
    <col min="2069" max="2069" width="6.25" customWidth="1"/>
    <col min="2070" max="2070" width="10.375" customWidth="1"/>
    <col min="2071" max="2071" width="6" customWidth="1"/>
    <col min="2072" max="2072" width="10.375" customWidth="1"/>
    <col min="2073" max="2073" width="5.875" customWidth="1"/>
    <col min="2074" max="2074" width="8" customWidth="1"/>
    <col min="2075" max="2075" width="8.875" customWidth="1"/>
    <col min="2076" max="2076" width="7.625" customWidth="1"/>
    <col min="2077" max="2077" width="9.375" customWidth="1"/>
    <col min="2078" max="2078" width="10.75" customWidth="1"/>
    <col min="2079" max="2079" width="8.25" customWidth="1"/>
    <col min="2080" max="2080" width="7.625" customWidth="1"/>
    <col min="2081" max="2081" width="7.75" customWidth="1"/>
    <col min="2082" max="2082" width="9.625" customWidth="1"/>
    <col min="2083" max="2083" width="10.375" customWidth="1"/>
    <col min="2084" max="2084" width="33.375" customWidth="1"/>
    <col min="2085" max="2085" width="7.75" customWidth="1"/>
    <col min="2305" max="2305" width="11.875" customWidth="1"/>
    <col min="2306" max="2306" width="8.625" customWidth="1"/>
    <col min="2307" max="2307" width="6.625" customWidth="1"/>
    <col min="2308" max="2308" width="10.75" customWidth="1"/>
    <col min="2309" max="2309" width="9.25" customWidth="1"/>
    <col min="2310" max="2310" width="15.125" customWidth="1"/>
    <col min="2311" max="2311" width="32.625" customWidth="1"/>
    <col min="2312" max="2312" width="6.25" customWidth="1"/>
    <col min="2313" max="2313" width="31.125" customWidth="1"/>
    <col min="2314" max="2314" width="19.375" customWidth="1"/>
    <col min="2315" max="2315" width="5.875" customWidth="1"/>
    <col min="2316" max="2316" width="6.125" customWidth="1"/>
    <col min="2317" max="2317" width="15.125" customWidth="1"/>
    <col min="2318" max="2318" width="17.625" customWidth="1"/>
    <col min="2319" max="2319" width="9.25" customWidth="1"/>
    <col min="2320" max="2320" width="12.125" customWidth="1"/>
    <col min="2321" max="2321" width="32.75" customWidth="1"/>
    <col min="2322" max="2322" width="7.125" customWidth="1"/>
    <col min="2323" max="2323" width="10.875" customWidth="1"/>
    <col min="2324" max="2324" width="8.875" customWidth="1"/>
    <col min="2325" max="2325" width="6.25" customWidth="1"/>
    <col min="2326" max="2326" width="10.375" customWidth="1"/>
    <col min="2327" max="2327" width="6" customWidth="1"/>
    <col min="2328" max="2328" width="10.375" customWidth="1"/>
    <col min="2329" max="2329" width="5.875" customWidth="1"/>
    <col min="2330" max="2330" width="8" customWidth="1"/>
    <col min="2331" max="2331" width="8.875" customWidth="1"/>
    <col min="2332" max="2332" width="7.625" customWidth="1"/>
    <col min="2333" max="2333" width="9.375" customWidth="1"/>
    <col min="2334" max="2334" width="10.75" customWidth="1"/>
    <col min="2335" max="2335" width="8.25" customWidth="1"/>
    <col min="2336" max="2336" width="7.625" customWidth="1"/>
    <col min="2337" max="2337" width="7.75" customWidth="1"/>
    <col min="2338" max="2338" width="9.625" customWidth="1"/>
    <col min="2339" max="2339" width="10.375" customWidth="1"/>
    <col min="2340" max="2340" width="33.375" customWidth="1"/>
    <col min="2341" max="2341" width="7.75" customWidth="1"/>
    <col min="2561" max="2561" width="11.875" customWidth="1"/>
    <col min="2562" max="2562" width="8.625" customWidth="1"/>
    <col min="2563" max="2563" width="6.625" customWidth="1"/>
    <col min="2564" max="2564" width="10.75" customWidth="1"/>
    <col min="2565" max="2565" width="9.25" customWidth="1"/>
    <col min="2566" max="2566" width="15.125" customWidth="1"/>
    <col min="2567" max="2567" width="32.625" customWidth="1"/>
    <col min="2568" max="2568" width="6.25" customWidth="1"/>
    <col min="2569" max="2569" width="31.125" customWidth="1"/>
    <col min="2570" max="2570" width="19.375" customWidth="1"/>
    <col min="2571" max="2571" width="5.875" customWidth="1"/>
    <col min="2572" max="2572" width="6.125" customWidth="1"/>
    <col min="2573" max="2573" width="15.125" customWidth="1"/>
    <col min="2574" max="2574" width="17.625" customWidth="1"/>
    <col min="2575" max="2575" width="9.25" customWidth="1"/>
    <col min="2576" max="2576" width="12.125" customWidth="1"/>
    <col min="2577" max="2577" width="32.75" customWidth="1"/>
    <col min="2578" max="2578" width="7.125" customWidth="1"/>
    <col min="2579" max="2579" width="10.875" customWidth="1"/>
    <col min="2580" max="2580" width="8.875" customWidth="1"/>
    <col min="2581" max="2581" width="6.25" customWidth="1"/>
    <col min="2582" max="2582" width="10.375" customWidth="1"/>
    <col min="2583" max="2583" width="6" customWidth="1"/>
    <col min="2584" max="2584" width="10.375" customWidth="1"/>
    <col min="2585" max="2585" width="5.875" customWidth="1"/>
    <col min="2586" max="2586" width="8" customWidth="1"/>
    <col min="2587" max="2587" width="8.875" customWidth="1"/>
    <col min="2588" max="2588" width="7.625" customWidth="1"/>
    <col min="2589" max="2589" width="9.375" customWidth="1"/>
    <col min="2590" max="2590" width="10.75" customWidth="1"/>
    <col min="2591" max="2591" width="8.25" customWidth="1"/>
    <col min="2592" max="2592" width="7.625" customWidth="1"/>
    <col min="2593" max="2593" width="7.75" customWidth="1"/>
    <col min="2594" max="2594" width="9.625" customWidth="1"/>
    <col min="2595" max="2595" width="10.375" customWidth="1"/>
    <col min="2596" max="2596" width="33.375" customWidth="1"/>
    <col min="2597" max="2597" width="7.75" customWidth="1"/>
    <col min="2817" max="2817" width="11.875" customWidth="1"/>
    <col min="2818" max="2818" width="8.625" customWidth="1"/>
    <col min="2819" max="2819" width="6.625" customWidth="1"/>
    <col min="2820" max="2820" width="10.75" customWidth="1"/>
    <col min="2821" max="2821" width="9.25" customWidth="1"/>
    <col min="2822" max="2822" width="15.125" customWidth="1"/>
    <col min="2823" max="2823" width="32.625" customWidth="1"/>
    <col min="2824" max="2824" width="6.25" customWidth="1"/>
    <col min="2825" max="2825" width="31.125" customWidth="1"/>
    <col min="2826" max="2826" width="19.375" customWidth="1"/>
    <col min="2827" max="2827" width="5.875" customWidth="1"/>
    <col min="2828" max="2828" width="6.125" customWidth="1"/>
    <col min="2829" max="2829" width="15.125" customWidth="1"/>
    <col min="2830" max="2830" width="17.625" customWidth="1"/>
    <col min="2831" max="2831" width="9.25" customWidth="1"/>
    <col min="2832" max="2832" width="12.125" customWidth="1"/>
    <col min="2833" max="2833" width="32.75" customWidth="1"/>
    <col min="2834" max="2834" width="7.125" customWidth="1"/>
    <col min="2835" max="2835" width="10.875" customWidth="1"/>
    <col min="2836" max="2836" width="8.875" customWidth="1"/>
    <col min="2837" max="2837" width="6.25" customWidth="1"/>
    <col min="2838" max="2838" width="10.375" customWidth="1"/>
    <col min="2839" max="2839" width="6" customWidth="1"/>
    <col min="2840" max="2840" width="10.375" customWidth="1"/>
    <col min="2841" max="2841" width="5.875" customWidth="1"/>
    <col min="2842" max="2842" width="8" customWidth="1"/>
    <col min="2843" max="2843" width="8.875" customWidth="1"/>
    <col min="2844" max="2844" width="7.625" customWidth="1"/>
    <col min="2845" max="2845" width="9.375" customWidth="1"/>
    <col min="2846" max="2846" width="10.75" customWidth="1"/>
    <col min="2847" max="2847" width="8.25" customWidth="1"/>
    <col min="2848" max="2848" width="7.625" customWidth="1"/>
    <col min="2849" max="2849" width="7.75" customWidth="1"/>
    <col min="2850" max="2850" width="9.625" customWidth="1"/>
    <col min="2851" max="2851" width="10.375" customWidth="1"/>
    <col min="2852" max="2852" width="33.375" customWidth="1"/>
    <col min="2853" max="2853" width="7.75" customWidth="1"/>
    <col min="3073" max="3073" width="11.875" customWidth="1"/>
    <col min="3074" max="3074" width="8.625" customWidth="1"/>
    <col min="3075" max="3075" width="6.625" customWidth="1"/>
    <col min="3076" max="3076" width="10.75" customWidth="1"/>
    <col min="3077" max="3077" width="9.25" customWidth="1"/>
    <col min="3078" max="3078" width="15.125" customWidth="1"/>
    <col min="3079" max="3079" width="32.625" customWidth="1"/>
    <col min="3080" max="3080" width="6.25" customWidth="1"/>
    <col min="3081" max="3081" width="31.125" customWidth="1"/>
    <col min="3082" max="3082" width="19.375" customWidth="1"/>
    <col min="3083" max="3083" width="5.875" customWidth="1"/>
    <col min="3084" max="3084" width="6.125" customWidth="1"/>
    <col min="3085" max="3085" width="15.125" customWidth="1"/>
    <col min="3086" max="3086" width="17.625" customWidth="1"/>
    <col min="3087" max="3087" width="9.25" customWidth="1"/>
    <col min="3088" max="3088" width="12.125" customWidth="1"/>
    <col min="3089" max="3089" width="32.75" customWidth="1"/>
    <col min="3090" max="3090" width="7.125" customWidth="1"/>
    <col min="3091" max="3091" width="10.875" customWidth="1"/>
    <col min="3092" max="3092" width="8.875" customWidth="1"/>
    <col min="3093" max="3093" width="6.25" customWidth="1"/>
    <col min="3094" max="3094" width="10.375" customWidth="1"/>
    <col min="3095" max="3095" width="6" customWidth="1"/>
    <col min="3096" max="3096" width="10.375" customWidth="1"/>
    <col min="3097" max="3097" width="5.875" customWidth="1"/>
    <col min="3098" max="3098" width="8" customWidth="1"/>
    <col min="3099" max="3099" width="8.875" customWidth="1"/>
    <col min="3100" max="3100" width="7.625" customWidth="1"/>
    <col min="3101" max="3101" width="9.375" customWidth="1"/>
    <col min="3102" max="3102" width="10.75" customWidth="1"/>
    <col min="3103" max="3103" width="8.25" customWidth="1"/>
    <col min="3104" max="3104" width="7.625" customWidth="1"/>
    <col min="3105" max="3105" width="7.75" customWidth="1"/>
    <col min="3106" max="3106" width="9.625" customWidth="1"/>
    <col min="3107" max="3107" width="10.375" customWidth="1"/>
    <col min="3108" max="3108" width="33.375" customWidth="1"/>
    <col min="3109" max="3109" width="7.75" customWidth="1"/>
    <col min="3329" max="3329" width="11.875" customWidth="1"/>
    <col min="3330" max="3330" width="8.625" customWidth="1"/>
    <col min="3331" max="3331" width="6.625" customWidth="1"/>
    <col min="3332" max="3332" width="10.75" customWidth="1"/>
    <col min="3333" max="3333" width="9.25" customWidth="1"/>
    <col min="3334" max="3334" width="15.125" customWidth="1"/>
    <col min="3335" max="3335" width="32.625" customWidth="1"/>
    <col min="3336" max="3336" width="6.25" customWidth="1"/>
    <col min="3337" max="3337" width="31.125" customWidth="1"/>
    <col min="3338" max="3338" width="19.375" customWidth="1"/>
    <col min="3339" max="3339" width="5.875" customWidth="1"/>
    <col min="3340" max="3340" width="6.125" customWidth="1"/>
    <col min="3341" max="3341" width="15.125" customWidth="1"/>
    <col min="3342" max="3342" width="17.625" customWidth="1"/>
    <col min="3343" max="3343" width="9.25" customWidth="1"/>
    <col min="3344" max="3344" width="12.125" customWidth="1"/>
    <col min="3345" max="3345" width="32.75" customWidth="1"/>
    <col min="3346" max="3346" width="7.125" customWidth="1"/>
    <col min="3347" max="3347" width="10.875" customWidth="1"/>
    <col min="3348" max="3348" width="8.875" customWidth="1"/>
    <col min="3349" max="3349" width="6.25" customWidth="1"/>
    <col min="3350" max="3350" width="10.375" customWidth="1"/>
    <col min="3351" max="3351" width="6" customWidth="1"/>
    <col min="3352" max="3352" width="10.375" customWidth="1"/>
    <col min="3353" max="3353" width="5.875" customWidth="1"/>
    <col min="3354" max="3354" width="8" customWidth="1"/>
    <col min="3355" max="3355" width="8.875" customWidth="1"/>
    <col min="3356" max="3356" width="7.625" customWidth="1"/>
    <col min="3357" max="3357" width="9.375" customWidth="1"/>
    <col min="3358" max="3358" width="10.75" customWidth="1"/>
    <col min="3359" max="3359" width="8.25" customWidth="1"/>
    <col min="3360" max="3360" width="7.625" customWidth="1"/>
    <col min="3361" max="3361" width="7.75" customWidth="1"/>
    <col min="3362" max="3362" width="9.625" customWidth="1"/>
    <col min="3363" max="3363" width="10.375" customWidth="1"/>
    <col min="3364" max="3364" width="33.375" customWidth="1"/>
    <col min="3365" max="3365" width="7.75" customWidth="1"/>
    <col min="3585" max="3585" width="11.875" customWidth="1"/>
    <col min="3586" max="3586" width="8.625" customWidth="1"/>
    <col min="3587" max="3587" width="6.625" customWidth="1"/>
    <col min="3588" max="3588" width="10.75" customWidth="1"/>
    <col min="3589" max="3589" width="9.25" customWidth="1"/>
    <col min="3590" max="3590" width="15.125" customWidth="1"/>
    <col min="3591" max="3591" width="32.625" customWidth="1"/>
    <col min="3592" max="3592" width="6.25" customWidth="1"/>
    <col min="3593" max="3593" width="31.125" customWidth="1"/>
    <col min="3594" max="3594" width="19.375" customWidth="1"/>
    <col min="3595" max="3595" width="5.875" customWidth="1"/>
    <col min="3596" max="3596" width="6.125" customWidth="1"/>
    <col min="3597" max="3597" width="15.125" customWidth="1"/>
    <col min="3598" max="3598" width="17.625" customWidth="1"/>
    <col min="3599" max="3599" width="9.25" customWidth="1"/>
    <col min="3600" max="3600" width="12.125" customWidth="1"/>
    <col min="3601" max="3601" width="32.75" customWidth="1"/>
    <col min="3602" max="3602" width="7.125" customWidth="1"/>
    <col min="3603" max="3603" width="10.875" customWidth="1"/>
    <col min="3604" max="3604" width="8.875" customWidth="1"/>
    <col min="3605" max="3605" width="6.25" customWidth="1"/>
    <col min="3606" max="3606" width="10.375" customWidth="1"/>
    <col min="3607" max="3607" width="6" customWidth="1"/>
    <col min="3608" max="3608" width="10.375" customWidth="1"/>
    <col min="3609" max="3609" width="5.875" customWidth="1"/>
    <col min="3610" max="3610" width="8" customWidth="1"/>
    <col min="3611" max="3611" width="8.875" customWidth="1"/>
    <col min="3612" max="3612" width="7.625" customWidth="1"/>
    <col min="3613" max="3613" width="9.375" customWidth="1"/>
    <col min="3614" max="3614" width="10.75" customWidth="1"/>
    <col min="3615" max="3615" width="8.25" customWidth="1"/>
    <col min="3616" max="3616" width="7.625" customWidth="1"/>
    <col min="3617" max="3617" width="7.75" customWidth="1"/>
    <col min="3618" max="3618" width="9.625" customWidth="1"/>
    <col min="3619" max="3619" width="10.375" customWidth="1"/>
    <col min="3620" max="3620" width="33.375" customWidth="1"/>
    <col min="3621" max="3621" width="7.75" customWidth="1"/>
    <col min="3841" max="3841" width="11.875" customWidth="1"/>
    <col min="3842" max="3842" width="8.625" customWidth="1"/>
    <col min="3843" max="3843" width="6.625" customWidth="1"/>
    <col min="3844" max="3844" width="10.75" customWidth="1"/>
    <col min="3845" max="3845" width="9.25" customWidth="1"/>
    <col min="3846" max="3846" width="15.125" customWidth="1"/>
    <col min="3847" max="3847" width="32.625" customWidth="1"/>
    <col min="3848" max="3848" width="6.25" customWidth="1"/>
    <col min="3849" max="3849" width="31.125" customWidth="1"/>
    <col min="3850" max="3850" width="19.375" customWidth="1"/>
    <col min="3851" max="3851" width="5.875" customWidth="1"/>
    <col min="3852" max="3852" width="6.125" customWidth="1"/>
    <col min="3853" max="3853" width="15.125" customWidth="1"/>
    <col min="3854" max="3854" width="17.625" customWidth="1"/>
    <col min="3855" max="3855" width="9.25" customWidth="1"/>
    <col min="3856" max="3856" width="12.125" customWidth="1"/>
    <col min="3857" max="3857" width="32.75" customWidth="1"/>
    <col min="3858" max="3858" width="7.125" customWidth="1"/>
    <col min="3859" max="3859" width="10.875" customWidth="1"/>
    <col min="3860" max="3860" width="8.875" customWidth="1"/>
    <col min="3861" max="3861" width="6.25" customWidth="1"/>
    <col min="3862" max="3862" width="10.375" customWidth="1"/>
    <col min="3863" max="3863" width="6" customWidth="1"/>
    <col min="3864" max="3864" width="10.375" customWidth="1"/>
    <col min="3865" max="3865" width="5.875" customWidth="1"/>
    <col min="3866" max="3866" width="8" customWidth="1"/>
    <col min="3867" max="3867" width="8.875" customWidth="1"/>
    <col min="3868" max="3868" width="7.625" customWidth="1"/>
    <col min="3869" max="3869" width="9.375" customWidth="1"/>
    <col min="3870" max="3870" width="10.75" customWidth="1"/>
    <col min="3871" max="3871" width="8.25" customWidth="1"/>
    <col min="3872" max="3872" width="7.625" customWidth="1"/>
    <col min="3873" max="3873" width="7.75" customWidth="1"/>
    <col min="3874" max="3874" width="9.625" customWidth="1"/>
    <col min="3875" max="3875" width="10.375" customWidth="1"/>
    <col min="3876" max="3876" width="33.375" customWidth="1"/>
    <col min="3877" max="3877" width="7.75" customWidth="1"/>
    <col min="4097" max="4097" width="11.875" customWidth="1"/>
    <col min="4098" max="4098" width="8.625" customWidth="1"/>
    <col min="4099" max="4099" width="6.625" customWidth="1"/>
    <col min="4100" max="4100" width="10.75" customWidth="1"/>
    <col min="4101" max="4101" width="9.25" customWidth="1"/>
    <col min="4102" max="4102" width="15.125" customWidth="1"/>
    <col min="4103" max="4103" width="32.625" customWidth="1"/>
    <col min="4104" max="4104" width="6.25" customWidth="1"/>
    <col min="4105" max="4105" width="31.125" customWidth="1"/>
    <col min="4106" max="4106" width="19.375" customWidth="1"/>
    <col min="4107" max="4107" width="5.875" customWidth="1"/>
    <col min="4108" max="4108" width="6.125" customWidth="1"/>
    <col min="4109" max="4109" width="15.125" customWidth="1"/>
    <col min="4110" max="4110" width="17.625" customWidth="1"/>
    <col min="4111" max="4111" width="9.25" customWidth="1"/>
    <col min="4112" max="4112" width="12.125" customWidth="1"/>
    <col min="4113" max="4113" width="32.75" customWidth="1"/>
    <col min="4114" max="4114" width="7.125" customWidth="1"/>
    <col min="4115" max="4115" width="10.875" customWidth="1"/>
    <col min="4116" max="4116" width="8.875" customWidth="1"/>
    <col min="4117" max="4117" width="6.25" customWidth="1"/>
    <col min="4118" max="4118" width="10.375" customWidth="1"/>
    <col min="4119" max="4119" width="6" customWidth="1"/>
    <col min="4120" max="4120" width="10.375" customWidth="1"/>
    <col min="4121" max="4121" width="5.875" customWidth="1"/>
    <col min="4122" max="4122" width="8" customWidth="1"/>
    <col min="4123" max="4123" width="8.875" customWidth="1"/>
    <col min="4124" max="4124" width="7.625" customWidth="1"/>
    <col min="4125" max="4125" width="9.375" customWidth="1"/>
    <col min="4126" max="4126" width="10.75" customWidth="1"/>
    <col min="4127" max="4127" width="8.25" customWidth="1"/>
    <col min="4128" max="4128" width="7.625" customWidth="1"/>
    <col min="4129" max="4129" width="7.75" customWidth="1"/>
    <col min="4130" max="4130" width="9.625" customWidth="1"/>
    <col min="4131" max="4131" width="10.375" customWidth="1"/>
    <col min="4132" max="4132" width="33.375" customWidth="1"/>
    <col min="4133" max="4133" width="7.75" customWidth="1"/>
    <col min="4353" max="4353" width="11.875" customWidth="1"/>
    <col min="4354" max="4354" width="8.625" customWidth="1"/>
    <col min="4355" max="4355" width="6.625" customWidth="1"/>
    <col min="4356" max="4356" width="10.75" customWidth="1"/>
    <col min="4357" max="4357" width="9.25" customWidth="1"/>
    <col min="4358" max="4358" width="15.125" customWidth="1"/>
    <col min="4359" max="4359" width="32.625" customWidth="1"/>
    <col min="4360" max="4360" width="6.25" customWidth="1"/>
    <col min="4361" max="4361" width="31.125" customWidth="1"/>
    <col min="4362" max="4362" width="19.375" customWidth="1"/>
    <col min="4363" max="4363" width="5.875" customWidth="1"/>
    <col min="4364" max="4364" width="6.125" customWidth="1"/>
    <col min="4365" max="4365" width="15.125" customWidth="1"/>
    <col min="4366" max="4366" width="17.625" customWidth="1"/>
    <col min="4367" max="4367" width="9.25" customWidth="1"/>
    <col min="4368" max="4368" width="12.125" customWidth="1"/>
    <col min="4369" max="4369" width="32.75" customWidth="1"/>
    <col min="4370" max="4370" width="7.125" customWidth="1"/>
    <col min="4371" max="4371" width="10.875" customWidth="1"/>
    <col min="4372" max="4372" width="8.875" customWidth="1"/>
    <col min="4373" max="4373" width="6.25" customWidth="1"/>
    <col min="4374" max="4374" width="10.375" customWidth="1"/>
    <col min="4375" max="4375" width="6" customWidth="1"/>
    <col min="4376" max="4376" width="10.375" customWidth="1"/>
    <col min="4377" max="4377" width="5.875" customWidth="1"/>
    <col min="4378" max="4378" width="8" customWidth="1"/>
    <col min="4379" max="4379" width="8.875" customWidth="1"/>
    <col min="4380" max="4380" width="7.625" customWidth="1"/>
    <col min="4381" max="4381" width="9.375" customWidth="1"/>
    <col min="4382" max="4382" width="10.75" customWidth="1"/>
    <col min="4383" max="4383" width="8.25" customWidth="1"/>
    <col min="4384" max="4384" width="7.625" customWidth="1"/>
    <col min="4385" max="4385" width="7.75" customWidth="1"/>
    <col min="4386" max="4386" width="9.625" customWidth="1"/>
    <col min="4387" max="4387" width="10.375" customWidth="1"/>
    <col min="4388" max="4388" width="33.375" customWidth="1"/>
    <col min="4389" max="4389" width="7.75" customWidth="1"/>
    <col min="4609" max="4609" width="11.875" customWidth="1"/>
    <col min="4610" max="4610" width="8.625" customWidth="1"/>
    <col min="4611" max="4611" width="6.625" customWidth="1"/>
    <col min="4612" max="4612" width="10.75" customWidth="1"/>
    <col min="4613" max="4613" width="9.25" customWidth="1"/>
    <col min="4614" max="4614" width="15.125" customWidth="1"/>
    <col min="4615" max="4615" width="32.625" customWidth="1"/>
    <col min="4616" max="4616" width="6.25" customWidth="1"/>
    <col min="4617" max="4617" width="31.125" customWidth="1"/>
    <col min="4618" max="4618" width="19.375" customWidth="1"/>
    <col min="4619" max="4619" width="5.875" customWidth="1"/>
    <col min="4620" max="4620" width="6.125" customWidth="1"/>
    <col min="4621" max="4621" width="15.125" customWidth="1"/>
    <col min="4622" max="4622" width="17.625" customWidth="1"/>
    <col min="4623" max="4623" width="9.25" customWidth="1"/>
    <col min="4624" max="4624" width="12.125" customWidth="1"/>
    <col min="4625" max="4625" width="32.75" customWidth="1"/>
    <col min="4626" max="4626" width="7.125" customWidth="1"/>
    <col min="4627" max="4627" width="10.875" customWidth="1"/>
    <col min="4628" max="4628" width="8.875" customWidth="1"/>
    <col min="4629" max="4629" width="6.25" customWidth="1"/>
    <col min="4630" max="4630" width="10.375" customWidth="1"/>
    <col min="4631" max="4631" width="6" customWidth="1"/>
    <col min="4632" max="4632" width="10.375" customWidth="1"/>
    <col min="4633" max="4633" width="5.875" customWidth="1"/>
    <col min="4634" max="4634" width="8" customWidth="1"/>
    <col min="4635" max="4635" width="8.875" customWidth="1"/>
    <col min="4636" max="4636" width="7.625" customWidth="1"/>
    <col min="4637" max="4637" width="9.375" customWidth="1"/>
    <col min="4638" max="4638" width="10.75" customWidth="1"/>
    <col min="4639" max="4639" width="8.25" customWidth="1"/>
    <col min="4640" max="4640" width="7.625" customWidth="1"/>
    <col min="4641" max="4641" width="7.75" customWidth="1"/>
    <col min="4642" max="4642" width="9.625" customWidth="1"/>
    <col min="4643" max="4643" width="10.375" customWidth="1"/>
    <col min="4644" max="4644" width="33.375" customWidth="1"/>
    <col min="4645" max="4645" width="7.75" customWidth="1"/>
    <col min="4865" max="4865" width="11.875" customWidth="1"/>
    <col min="4866" max="4866" width="8.625" customWidth="1"/>
    <col min="4867" max="4867" width="6.625" customWidth="1"/>
    <col min="4868" max="4868" width="10.75" customWidth="1"/>
    <col min="4869" max="4869" width="9.25" customWidth="1"/>
    <col min="4870" max="4870" width="15.125" customWidth="1"/>
    <col min="4871" max="4871" width="32.625" customWidth="1"/>
    <col min="4872" max="4872" width="6.25" customWidth="1"/>
    <col min="4873" max="4873" width="31.125" customWidth="1"/>
    <col min="4874" max="4874" width="19.375" customWidth="1"/>
    <col min="4875" max="4875" width="5.875" customWidth="1"/>
    <col min="4876" max="4876" width="6.125" customWidth="1"/>
    <col min="4877" max="4877" width="15.125" customWidth="1"/>
    <col min="4878" max="4878" width="17.625" customWidth="1"/>
    <col min="4879" max="4879" width="9.25" customWidth="1"/>
    <col min="4880" max="4880" width="12.125" customWidth="1"/>
    <col min="4881" max="4881" width="32.75" customWidth="1"/>
    <col min="4882" max="4882" width="7.125" customWidth="1"/>
    <col min="4883" max="4883" width="10.875" customWidth="1"/>
    <col min="4884" max="4884" width="8.875" customWidth="1"/>
    <col min="4885" max="4885" width="6.25" customWidth="1"/>
    <col min="4886" max="4886" width="10.375" customWidth="1"/>
    <col min="4887" max="4887" width="6" customWidth="1"/>
    <col min="4888" max="4888" width="10.375" customWidth="1"/>
    <col min="4889" max="4889" width="5.875" customWidth="1"/>
    <col min="4890" max="4890" width="8" customWidth="1"/>
    <col min="4891" max="4891" width="8.875" customWidth="1"/>
    <col min="4892" max="4892" width="7.625" customWidth="1"/>
    <col min="4893" max="4893" width="9.375" customWidth="1"/>
    <col min="4894" max="4894" width="10.75" customWidth="1"/>
    <col min="4895" max="4895" width="8.25" customWidth="1"/>
    <col min="4896" max="4896" width="7.625" customWidth="1"/>
    <col min="4897" max="4897" width="7.75" customWidth="1"/>
    <col min="4898" max="4898" width="9.625" customWidth="1"/>
    <col min="4899" max="4899" width="10.375" customWidth="1"/>
    <col min="4900" max="4900" width="33.375" customWidth="1"/>
    <col min="4901" max="4901" width="7.75" customWidth="1"/>
    <col min="5121" max="5121" width="11.875" customWidth="1"/>
    <col min="5122" max="5122" width="8.625" customWidth="1"/>
    <col min="5123" max="5123" width="6.625" customWidth="1"/>
    <col min="5124" max="5124" width="10.75" customWidth="1"/>
    <col min="5125" max="5125" width="9.25" customWidth="1"/>
    <col min="5126" max="5126" width="15.125" customWidth="1"/>
    <col min="5127" max="5127" width="32.625" customWidth="1"/>
    <col min="5128" max="5128" width="6.25" customWidth="1"/>
    <col min="5129" max="5129" width="31.125" customWidth="1"/>
    <col min="5130" max="5130" width="19.375" customWidth="1"/>
    <col min="5131" max="5131" width="5.875" customWidth="1"/>
    <col min="5132" max="5132" width="6.125" customWidth="1"/>
    <col min="5133" max="5133" width="15.125" customWidth="1"/>
    <col min="5134" max="5134" width="17.625" customWidth="1"/>
    <col min="5135" max="5135" width="9.25" customWidth="1"/>
    <col min="5136" max="5136" width="12.125" customWidth="1"/>
    <col min="5137" max="5137" width="32.75" customWidth="1"/>
    <col min="5138" max="5138" width="7.125" customWidth="1"/>
    <col min="5139" max="5139" width="10.875" customWidth="1"/>
    <col min="5140" max="5140" width="8.875" customWidth="1"/>
    <col min="5141" max="5141" width="6.25" customWidth="1"/>
    <col min="5142" max="5142" width="10.375" customWidth="1"/>
    <col min="5143" max="5143" width="6" customWidth="1"/>
    <col min="5144" max="5144" width="10.375" customWidth="1"/>
    <col min="5145" max="5145" width="5.875" customWidth="1"/>
    <col min="5146" max="5146" width="8" customWidth="1"/>
    <col min="5147" max="5147" width="8.875" customWidth="1"/>
    <col min="5148" max="5148" width="7.625" customWidth="1"/>
    <col min="5149" max="5149" width="9.375" customWidth="1"/>
    <col min="5150" max="5150" width="10.75" customWidth="1"/>
    <col min="5151" max="5151" width="8.25" customWidth="1"/>
    <col min="5152" max="5152" width="7.625" customWidth="1"/>
    <col min="5153" max="5153" width="7.75" customWidth="1"/>
    <col min="5154" max="5154" width="9.625" customWidth="1"/>
    <col min="5155" max="5155" width="10.375" customWidth="1"/>
    <col min="5156" max="5156" width="33.375" customWidth="1"/>
    <col min="5157" max="5157" width="7.75" customWidth="1"/>
    <col min="5377" max="5377" width="11.875" customWidth="1"/>
    <col min="5378" max="5378" width="8.625" customWidth="1"/>
    <col min="5379" max="5379" width="6.625" customWidth="1"/>
    <col min="5380" max="5380" width="10.75" customWidth="1"/>
    <col min="5381" max="5381" width="9.25" customWidth="1"/>
    <col min="5382" max="5382" width="15.125" customWidth="1"/>
    <col min="5383" max="5383" width="32.625" customWidth="1"/>
    <col min="5384" max="5384" width="6.25" customWidth="1"/>
    <col min="5385" max="5385" width="31.125" customWidth="1"/>
    <col min="5386" max="5386" width="19.375" customWidth="1"/>
    <col min="5387" max="5387" width="5.875" customWidth="1"/>
    <col min="5388" max="5388" width="6.125" customWidth="1"/>
    <col min="5389" max="5389" width="15.125" customWidth="1"/>
    <col min="5390" max="5390" width="17.625" customWidth="1"/>
    <col min="5391" max="5391" width="9.25" customWidth="1"/>
    <col min="5392" max="5392" width="12.125" customWidth="1"/>
    <col min="5393" max="5393" width="32.75" customWidth="1"/>
    <col min="5394" max="5394" width="7.125" customWidth="1"/>
    <col min="5395" max="5395" width="10.875" customWidth="1"/>
    <col min="5396" max="5396" width="8.875" customWidth="1"/>
    <col min="5397" max="5397" width="6.25" customWidth="1"/>
    <col min="5398" max="5398" width="10.375" customWidth="1"/>
    <col min="5399" max="5399" width="6" customWidth="1"/>
    <col min="5400" max="5400" width="10.375" customWidth="1"/>
    <col min="5401" max="5401" width="5.875" customWidth="1"/>
    <col min="5402" max="5402" width="8" customWidth="1"/>
    <col min="5403" max="5403" width="8.875" customWidth="1"/>
    <col min="5404" max="5404" width="7.625" customWidth="1"/>
    <col min="5405" max="5405" width="9.375" customWidth="1"/>
    <col min="5406" max="5406" width="10.75" customWidth="1"/>
    <col min="5407" max="5407" width="8.25" customWidth="1"/>
    <col min="5408" max="5408" width="7.625" customWidth="1"/>
    <col min="5409" max="5409" width="7.75" customWidth="1"/>
    <col min="5410" max="5410" width="9.625" customWidth="1"/>
    <col min="5411" max="5411" width="10.375" customWidth="1"/>
    <col min="5412" max="5412" width="33.375" customWidth="1"/>
    <col min="5413" max="5413" width="7.75" customWidth="1"/>
    <col min="5633" max="5633" width="11.875" customWidth="1"/>
    <col min="5634" max="5634" width="8.625" customWidth="1"/>
    <col min="5635" max="5635" width="6.625" customWidth="1"/>
    <col min="5636" max="5636" width="10.75" customWidth="1"/>
    <col min="5637" max="5637" width="9.25" customWidth="1"/>
    <col min="5638" max="5638" width="15.125" customWidth="1"/>
    <col min="5639" max="5639" width="32.625" customWidth="1"/>
    <col min="5640" max="5640" width="6.25" customWidth="1"/>
    <col min="5641" max="5641" width="31.125" customWidth="1"/>
    <col min="5642" max="5642" width="19.375" customWidth="1"/>
    <col min="5643" max="5643" width="5.875" customWidth="1"/>
    <col min="5644" max="5644" width="6.125" customWidth="1"/>
    <col min="5645" max="5645" width="15.125" customWidth="1"/>
    <col min="5646" max="5646" width="17.625" customWidth="1"/>
    <col min="5647" max="5647" width="9.25" customWidth="1"/>
    <col min="5648" max="5648" width="12.125" customWidth="1"/>
    <col min="5649" max="5649" width="32.75" customWidth="1"/>
    <col min="5650" max="5650" width="7.125" customWidth="1"/>
    <col min="5651" max="5651" width="10.875" customWidth="1"/>
    <col min="5652" max="5652" width="8.875" customWidth="1"/>
    <col min="5653" max="5653" width="6.25" customWidth="1"/>
    <col min="5654" max="5654" width="10.375" customWidth="1"/>
    <col min="5655" max="5655" width="6" customWidth="1"/>
    <col min="5656" max="5656" width="10.375" customWidth="1"/>
    <col min="5657" max="5657" width="5.875" customWidth="1"/>
    <col min="5658" max="5658" width="8" customWidth="1"/>
    <col min="5659" max="5659" width="8.875" customWidth="1"/>
    <col min="5660" max="5660" width="7.625" customWidth="1"/>
    <col min="5661" max="5661" width="9.375" customWidth="1"/>
    <col min="5662" max="5662" width="10.75" customWidth="1"/>
    <col min="5663" max="5663" width="8.25" customWidth="1"/>
    <col min="5664" max="5664" width="7.625" customWidth="1"/>
    <col min="5665" max="5665" width="7.75" customWidth="1"/>
    <col min="5666" max="5666" width="9.625" customWidth="1"/>
    <col min="5667" max="5667" width="10.375" customWidth="1"/>
    <col min="5668" max="5668" width="33.375" customWidth="1"/>
    <col min="5669" max="5669" width="7.75" customWidth="1"/>
    <col min="5889" max="5889" width="11.875" customWidth="1"/>
    <col min="5890" max="5890" width="8.625" customWidth="1"/>
    <col min="5891" max="5891" width="6.625" customWidth="1"/>
    <col min="5892" max="5892" width="10.75" customWidth="1"/>
    <col min="5893" max="5893" width="9.25" customWidth="1"/>
    <col min="5894" max="5894" width="15.125" customWidth="1"/>
    <col min="5895" max="5895" width="32.625" customWidth="1"/>
    <col min="5896" max="5896" width="6.25" customWidth="1"/>
    <col min="5897" max="5897" width="31.125" customWidth="1"/>
    <col min="5898" max="5898" width="19.375" customWidth="1"/>
    <col min="5899" max="5899" width="5.875" customWidth="1"/>
    <col min="5900" max="5900" width="6.125" customWidth="1"/>
    <col min="5901" max="5901" width="15.125" customWidth="1"/>
    <col min="5902" max="5902" width="17.625" customWidth="1"/>
    <col min="5903" max="5903" width="9.25" customWidth="1"/>
    <col min="5904" max="5904" width="12.125" customWidth="1"/>
    <col min="5905" max="5905" width="32.75" customWidth="1"/>
    <col min="5906" max="5906" width="7.125" customWidth="1"/>
    <col min="5907" max="5907" width="10.875" customWidth="1"/>
    <col min="5908" max="5908" width="8.875" customWidth="1"/>
    <col min="5909" max="5909" width="6.25" customWidth="1"/>
    <col min="5910" max="5910" width="10.375" customWidth="1"/>
    <col min="5911" max="5911" width="6" customWidth="1"/>
    <col min="5912" max="5912" width="10.375" customWidth="1"/>
    <col min="5913" max="5913" width="5.875" customWidth="1"/>
    <col min="5914" max="5914" width="8" customWidth="1"/>
    <col min="5915" max="5915" width="8.875" customWidth="1"/>
    <col min="5916" max="5916" width="7.625" customWidth="1"/>
    <col min="5917" max="5917" width="9.375" customWidth="1"/>
    <col min="5918" max="5918" width="10.75" customWidth="1"/>
    <col min="5919" max="5919" width="8.25" customWidth="1"/>
    <col min="5920" max="5920" width="7.625" customWidth="1"/>
    <col min="5921" max="5921" width="7.75" customWidth="1"/>
    <col min="5922" max="5922" width="9.625" customWidth="1"/>
    <col min="5923" max="5923" width="10.375" customWidth="1"/>
    <col min="5924" max="5924" width="33.375" customWidth="1"/>
    <col min="5925" max="5925" width="7.75" customWidth="1"/>
    <col min="6145" max="6145" width="11.875" customWidth="1"/>
    <col min="6146" max="6146" width="8.625" customWidth="1"/>
    <col min="6147" max="6147" width="6.625" customWidth="1"/>
    <col min="6148" max="6148" width="10.75" customWidth="1"/>
    <col min="6149" max="6149" width="9.25" customWidth="1"/>
    <col min="6150" max="6150" width="15.125" customWidth="1"/>
    <col min="6151" max="6151" width="32.625" customWidth="1"/>
    <col min="6152" max="6152" width="6.25" customWidth="1"/>
    <col min="6153" max="6153" width="31.125" customWidth="1"/>
    <col min="6154" max="6154" width="19.375" customWidth="1"/>
    <col min="6155" max="6155" width="5.875" customWidth="1"/>
    <col min="6156" max="6156" width="6.125" customWidth="1"/>
    <col min="6157" max="6157" width="15.125" customWidth="1"/>
    <col min="6158" max="6158" width="17.625" customWidth="1"/>
    <col min="6159" max="6159" width="9.25" customWidth="1"/>
    <col min="6160" max="6160" width="12.125" customWidth="1"/>
    <col min="6161" max="6161" width="32.75" customWidth="1"/>
    <col min="6162" max="6162" width="7.125" customWidth="1"/>
    <col min="6163" max="6163" width="10.875" customWidth="1"/>
    <col min="6164" max="6164" width="8.875" customWidth="1"/>
    <col min="6165" max="6165" width="6.25" customWidth="1"/>
    <col min="6166" max="6166" width="10.375" customWidth="1"/>
    <col min="6167" max="6167" width="6" customWidth="1"/>
    <col min="6168" max="6168" width="10.375" customWidth="1"/>
    <col min="6169" max="6169" width="5.875" customWidth="1"/>
    <col min="6170" max="6170" width="8" customWidth="1"/>
    <col min="6171" max="6171" width="8.875" customWidth="1"/>
    <col min="6172" max="6172" width="7.625" customWidth="1"/>
    <col min="6173" max="6173" width="9.375" customWidth="1"/>
    <col min="6174" max="6174" width="10.75" customWidth="1"/>
    <col min="6175" max="6175" width="8.25" customWidth="1"/>
    <col min="6176" max="6176" width="7.625" customWidth="1"/>
    <col min="6177" max="6177" width="7.75" customWidth="1"/>
    <col min="6178" max="6178" width="9.625" customWidth="1"/>
    <col min="6179" max="6179" width="10.375" customWidth="1"/>
    <col min="6180" max="6180" width="33.375" customWidth="1"/>
    <col min="6181" max="6181" width="7.75" customWidth="1"/>
    <col min="6401" max="6401" width="11.875" customWidth="1"/>
    <col min="6402" max="6402" width="8.625" customWidth="1"/>
    <col min="6403" max="6403" width="6.625" customWidth="1"/>
    <col min="6404" max="6404" width="10.75" customWidth="1"/>
    <col min="6405" max="6405" width="9.25" customWidth="1"/>
    <col min="6406" max="6406" width="15.125" customWidth="1"/>
    <col min="6407" max="6407" width="32.625" customWidth="1"/>
    <col min="6408" max="6408" width="6.25" customWidth="1"/>
    <col min="6409" max="6409" width="31.125" customWidth="1"/>
    <col min="6410" max="6410" width="19.375" customWidth="1"/>
    <col min="6411" max="6411" width="5.875" customWidth="1"/>
    <col min="6412" max="6412" width="6.125" customWidth="1"/>
    <col min="6413" max="6413" width="15.125" customWidth="1"/>
    <col min="6414" max="6414" width="17.625" customWidth="1"/>
    <col min="6415" max="6415" width="9.25" customWidth="1"/>
    <col min="6416" max="6416" width="12.125" customWidth="1"/>
    <col min="6417" max="6417" width="32.75" customWidth="1"/>
    <col min="6418" max="6418" width="7.125" customWidth="1"/>
    <col min="6419" max="6419" width="10.875" customWidth="1"/>
    <col min="6420" max="6420" width="8.875" customWidth="1"/>
    <col min="6421" max="6421" width="6.25" customWidth="1"/>
    <col min="6422" max="6422" width="10.375" customWidth="1"/>
    <col min="6423" max="6423" width="6" customWidth="1"/>
    <col min="6424" max="6424" width="10.375" customWidth="1"/>
    <col min="6425" max="6425" width="5.875" customWidth="1"/>
    <col min="6426" max="6426" width="8" customWidth="1"/>
    <col min="6427" max="6427" width="8.875" customWidth="1"/>
    <col min="6428" max="6428" width="7.625" customWidth="1"/>
    <col min="6429" max="6429" width="9.375" customWidth="1"/>
    <col min="6430" max="6430" width="10.75" customWidth="1"/>
    <col min="6431" max="6431" width="8.25" customWidth="1"/>
    <col min="6432" max="6432" width="7.625" customWidth="1"/>
    <col min="6433" max="6433" width="7.75" customWidth="1"/>
    <col min="6434" max="6434" width="9.625" customWidth="1"/>
    <col min="6435" max="6435" width="10.375" customWidth="1"/>
    <col min="6436" max="6436" width="33.375" customWidth="1"/>
    <col min="6437" max="6437" width="7.75" customWidth="1"/>
    <col min="6657" max="6657" width="11.875" customWidth="1"/>
    <col min="6658" max="6658" width="8.625" customWidth="1"/>
    <col min="6659" max="6659" width="6.625" customWidth="1"/>
    <col min="6660" max="6660" width="10.75" customWidth="1"/>
    <col min="6661" max="6661" width="9.25" customWidth="1"/>
    <col min="6662" max="6662" width="15.125" customWidth="1"/>
    <col min="6663" max="6663" width="32.625" customWidth="1"/>
    <col min="6664" max="6664" width="6.25" customWidth="1"/>
    <col min="6665" max="6665" width="31.125" customWidth="1"/>
    <col min="6666" max="6666" width="19.375" customWidth="1"/>
    <col min="6667" max="6667" width="5.875" customWidth="1"/>
    <col min="6668" max="6668" width="6.125" customWidth="1"/>
    <col min="6669" max="6669" width="15.125" customWidth="1"/>
    <col min="6670" max="6670" width="17.625" customWidth="1"/>
    <col min="6671" max="6671" width="9.25" customWidth="1"/>
    <col min="6672" max="6672" width="12.125" customWidth="1"/>
    <col min="6673" max="6673" width="32.75" customWidth="1"/>
    <col min="6674" max="6674" width="7.125" customWidth="1"/>
    <col min="6675" max="6675" width="10.875" customWidth="1"/>
    <col min="6676" max="6676" width="8.875" customWidth="1"/>
    <col min="6677" max="6677" width="6.25" customWidth="1"/>
    <col min="6678" max="6678" width="10.375" customWidth="1"/>
    <col min="6679" max="6679" width="6" customWidth="1"/>
    <col min="6680" max="6680" width="10.375" customWidth="1"/>
    <col min="6681" max="6681" width="5.875" customWidth="1"/>
    <col min="6682" max="6682" width="8" customWidth="1"/>
    <col min="6683" max="6683" width="8.875" customWidth="1"/>
    <col min="6684" max="6684" width="7.625" customWidth="1"/>
    <col min="6685" max="6685" width="9.375" customWidth="1"/>
    <col min="6686" max="6686" width="10.75" customWidth="1"/>
    <col min="6687" max="6687" width="8.25" customWidth="1"/>
    <col min="6688" max="6688" width="7.625" customWidth="1"/>
    <col min="6689" max="6689" width="7.75" customWidth="1"/>
    <col min="6690" max="6690" width="9.625" customWidth="1"/>
    <col min="6691" max="6691" width="10.375" customWidth="1"/>
    <col min="6692" max="6692" width="33.375" customWidth="1"/>
    <col min="6693" max="6693" width="7.75" customWidth="1"/>
    <col min="6913" max="6913" width="11.875" customWidth="1"/>
    <col min="6914" max="6914" width="8.625" customWidth="1"/>
    <col min="6915" max="6915" width="6.625" customWidth="1"/>
    <col min="6916" max="6916" width="10.75" customWidth="1"/>
    <col min="6917" max="6917" width="9.25" customWidth="1"/>
    <col min="6918" max="6918" width="15.125" customWidth="1"/>
    <col min="6919" max="6919" width="32.625" customWidth="1"/>
    <col min="6920" max="6920" width="6.25" customWidth="1"/>
    <col min="6921" max="6921" width="31.125" customWidth="1"/>
    <col min="6922" max="6922" width="19.375" customWidth="1"/>
    <col min="6923" max="6923" width="5.875" customWidth="1"/>
    <col min="6924" max="6924" width="6.125" customWidth="1"/>
    <col min="6925" max="6925" width="15.125" customWidth="1"/>
    <col min="6926" max="6926" width="17.625" customWidth="1"/>
    <col min="6927" max="6927" width="9.25" customWidth="1"/>
    <col min="6928" max="6928" width="12.125" customWidth="1"/>
    <col min="6929" max="6929" width="32.75" customWidth="1"/>
    <col min="6930" max="6930" width="7.125" customWidth="1"/>
    <col min="6931" max="6931" width="10.875" customWidth="1"/>
    <col min="6932" max="6932" width="8.875" customWidth="1"/>
    <col min="6933" max="6933" width="6.25" customWidth="1"/>
    <col min="6934" max="6934" width="10.375" customWidth="1"/>
    <col min="6935" max="6935" width="6" customWidth="1"/>
    <col min="6936" max="6936" width="10.375" customWidth="1"/>
    <col min="6937" max="6937" width="5.875" customWidth="1"/>
    <col min="6938" max="6938" width="8" customWidth="1"/>
    <col min="6939" max="6939" width="8.875" customWidth="1"/>
    <col min="6940" max="6940" width="7.625" customWidth="1"/>
    <col min="6941" max="6941" width="9.375" customWidth="1"/>
    <col min="6942" max="6942" width="10.75" customWidth="1"/>
    <col min="6943" max="6943" width="8.25" customWidth="1"/>
    <col min="6944" max="6944" width="7.625" customWidth="1"/>
    <col min="6945" max="6945" width="7.75" customWidth="1"/>
    <col min="6946" max="6946" width="9.625" customWidth="1"/>
    <col min="6947" max="6947" width="10.375" customWidth="1"/>
    <col min="6948" max="6948" width="33.375" customWidth="1"/>
    <col min="6949" max="6949" width="7.75" customWidth="1"/>
    <col min="7169" max="7169" width="11.875" customWidth="1"/>
    <col min="7170" max="7170" width="8.625" customWidth="1"/>
    <col min="7171" max="7171" width="6.625" customWidth="1"/>
    <col min="7172" max="7172" width="10.75" customWidth="1"/>
    <col min="7173" max="7173" width="9.25" customWidth="1"/>
    <col min="7174" max="7174" width="15.125" customWidth="1"/>
    <col min="7175" max="7175" width="32.625" customWidth="1"/>
    <col min="7176" max="7176" width="6.25" customWidth="1"/>
    <col min="7177" max="7177" width="31.125" customWidth="1"/>
    <col min="7178" max="7178" width="19.375" customWidth="1"/>
    <col min="7179" max="7179" width="5.875" customWidth="1"/>
    <col min="7180" max="7180" width="6.125" customWidth="1"/>
    <col min="7181" max="7181" width="15.125" customWidth="1"/>
    <col min="7182" max="7182" width="17.625" customWidth="1"/>
    <col min="7183" max="7183" width="9.25" customWidth="1"/>
    <col min="7184" max="7184" width="12.125" customWidth="1"/>
    <col min="7185" max="7185" width="32.75" customWidth="1"/>
    <col min="7186" max="7186" width="7.125" customWidth="1"/>
    <col min="7187" max="7187" width="10.875" customWidth="1"/>
    <col min="7188" max="7188" width="8.875" customWidth="1"/>
    <col min="7189" max="7189" width="6.25" customWidth="1"/>
    <col min="7190" max="7190" width="10.375" customWidth="1"/>
    <col min="7191" max="7191" width="6" customWidth="1"/>
    <col min="7192" max="7192" width="10.375" customWidth="1"/>
    <col min="7193" max="7193" width="5.875" customWidth="1"/>
    <col min="7194" max="7194" width="8" customWidth="1"/>
    <col min="7195" max="7195" width="8.875" customWidth="1"/>
    <col min="7196" max="7196" width="7.625" customWidth="1"/>
    <col min="7197" max="7197" width="9.375" customWidth="1"/>
    <col min="7198" max="7198" width="10.75" customWidth="1"/>
    <col min="7199" max="7199" width="8.25" customWidth="1"/>
    <col min="7200" max="7200" width="7.625" customWidth="1"/>
    <col min="7201" max="7201" width="7.75" customWidth="1"/>
    <col min="7202" max="7202" width="9.625" customWidth="1"/>
    <col min="7203" max="7203" width="10.375" customWidth="1"/>
    <col min="7204" max="7204" width="33.375" customWidth="1"/>
    <col min="7205" max="7205" width="7.75" customWidth="1"/>
    <col min="7425" max="7425" width="11.875" customWidth="1"/>
    <col min="7426" max="7426" width="8.625" customWidth="1"/>
    <col min="7427" max="7427" width="6.625" customWidth="1"/>
    <col min="7428" max="7428" width="10.75" customWidth="1"/>
    <col min="7429" max="7429" width="9.25" customWidth="1"/>
    <col min="7430" max="7430" width="15.125" customWidth="1"/>
    <col min="7431" max="7431" width="32.625" customWidth="1"/>
    <col min="7432" max="7432" width="6.25" customWidth="1"/>
    <col min="7433" max="7433" width="31.125" customWidth="1"/>
    <col min="7434" max="7434" width="19.375" customWidth="1"/>
    <col min="7435" max="7435" width="5.875" customWidth="1"/>
    <col min="7436" max="7436" width="6.125" customWidth="1"/>
    <col min="7437" max="7437" width="15.125" customWidth="1"/>
    <col min="7438" max="7438" width="17.625" customWidth="1"/>
    <col min="7439" max="7439" width="9.25" customWidth="1"/>
    <col min="7440" max="7440" width="12.125" customWidth="1"/>
    <col min="7441" max="7441" width="32.75" customWidth="1"/>
    <col min="7442" max="7442" width="7.125" customWidth="1"/>
    <col min="7443" max="7443" width="10.875" customWidth="1"/>
    <col min="7444" max="7444" width="8.875" customWidth="1"/>
    <col min="7445" max="7445" width="6.25" customWidth="1"/>
    <col min="7446" max="7446" width="10.375" customWidth="1"/>
    <col min="7447" max="7447" width="6" customWidth="1"/>
    <col min="7448" max="7448" width="10.375" customWidth="1"/>
    <col min="7449" max="7449" width="5.875" customWidth="1"/>
    <col min="7450" max="7450" width="8" customWidth="1"/>
    <col min="7451" max="7451" width="8.875" customWidth="1"/>
    <col min="7452" max="7452" width="7.625" customWidth="1"/>
    <col min="7453" max="7453" width="9.375" customWidth="1"/>
    <col min="7454" max="7454" width="10.75" customWidth="1"/>
    <col min="7455" max="7455" width="8.25" customWidth="1"/>
    <col min="7456" max="7456" width="7.625" customWidth="1"/>
    <col min="7457" max="7457" width="7.75" customWidth="1"/>
    <col min="7458" max="7458" width="9.625" customWidth="1"/>
    <col min="7459" max="7459" width="10.375" customWidth="1"/>
    <col min="7460" max="7460" width="33.375" customWidth="1"/>
    <col min="7461" max="7461" width="7.75" customWidth="1"/>
    <col min="7681" max="7681" width="11.875" customWidth="1"/>
    <col min="7682" max="7682" width="8.625" customWidth="1"/>
    <col min="7683" max="7683" width="6.625" customWidth="1"/>
    <col min="7684" max="7684" width="10.75" customWidth="1"/>
    <col min="7685" max="7685" width="9.25" customWidth="1"/>
    <col min="7686" max="7686" width="15.125" customWidth="1"/>
    <col min="7687" max="7687" width="32.625" customWidth="1"/>
    <col min="7688" max="7688" width="6.25" customWidth="1"/>
    <col min="7689" max="7689" width="31.125" customWidth="1"/>
    <col min="7690" max="7690" width="19.375" customWidth="1"/>
    <col min="7691" max="7691" width="5.875" customWidth="1"/>
    <col min="7692" max="7692" width="6.125" customWidth="1"/>
    <col min="7693" max="7693" width="15.125" customWidth="1"/>
    <col min="7694" max="7694" width="17.625" customWidth="1"/>
    <col min="7695" max="7695" width="9.25" customWidth="1"/>
    <col min="7696" max="7696" width="12.125" customWidth="1"/>
    <col min="7697" max="7697" width="32.75" customWidth="1"/>
    <col min="7698" max="7698" width="7.125" customWidth="1"/>
    <col min="7699" max="7699" width="10.875" customWidth="1"/>
    <col min="7700" max="7700" width="8.875" customWidth="1"/>
    <col min="7701" max="7701" width="6.25" customWidth="1"/>
    <col min="7702" max="7702" width="10.375" customWidth="1"/>
    <col min="7703" max="7703" width="6" customWidth="1"/>
    <col min="7704" max="7704" width="10.375" customWidth="1"/>
    <col min="7705" max="7705" width="5.875" customWidth="1"/>
    <col min="7706" max="7706" width="8" customWidth="1"/>
    <col min="7707" max="7707" width="8.875" customWidth="1"/>
    <col min="7708" max="7708" width="7.625" customWidth="1"/>
    <col min="7709" max="7709" width="9.375" customWidth="1"/>
    <col min="7710" max="7710" width="10.75" customWidth="1"/>
    <col min="7711" max="7711" width="8.25" customWidth="1"/>
    <col min="7712" max="7712" width="7.625" customWidth="1"/>
    <col min="7713" max="7713" width="7.75" customWidth="1"/>
    <col min="7714" max="7714" width="9.625" customWidth="1"/>
    <col min="7715" max="7715" width="10.375" customWidth="1"/>
    <col min="7716" max="7716" width="33.375" customWidth="1"/>
    <col min="7717" max="7717" width="7.75" customWidth="1"/>
    <col min="7937" max="7937" width="11.875" customWidth="1"/>
    <col min="7938" max="7938" width="8.625" customWidth="1"/>
    <col min="7939" max="7939" width="6.625" customWidth="1"/>
    <col min="7940" max="7940" width="10.75" customWidth="1"/>
    <col min="7941" max="7941" width="9.25" customWidth="1"/>
    <col min="7942" max="7942" width="15.125" customWidth="1"/>
    <col min="7943" max="7943" width="32.625" customWidth="1"/>
    <col min="7944" max="7944" width="6.25" customWidth="1"/>
    <col min="7945" max="7945" width="31.125" customWidth="1"/>
    <col min="7946" max="7946" width="19.375" customWidth="1"/>
    <col min="7947" max="7947" width="5.875" customWidth="1"/>
    <col min="7948" max="7948" width="6.125" customWidth="1"/>
    <col min="7949" max="7949" width="15.125" customWidth="1"/>
    <col min="7950" max="7950" width="17.625" customWidth="1"/>
    <col min="7951" max="7951" width="9.25" customWidth="1"/>
    <col min="7952" max="7952" width="12.125" customWidth="1"/>
    <col min="7953" max="7953" width="32.75" customWidth="1"/>
    <col min="7954" max="7954" width="7.125" customWidth="1"/>
    <col min="7955" max="7955" width="10.875" customWidth="1"/>
    <col min="7956" max="7956" width="8.875" customWidth="1"/>
    <col min="7957" max="7957" width="6.25" customWidth="1"/>
    <col min="7958" max="7958" width="10.375" customWidth="1"/>
    <col min="7959" max="7959" width="6" customWidth="1"/>
    <col min="7960" max="7960" width="10.375" customWidth="1"/>
    <col min="7961" max="7961" width="5.875" customWidth="1"/>
    <col min="7962" max="7962" width="8" customWidth="1"/>
    <col min="7963" max="7963" width="8.875" customWidth="1"/>
    <col min="7964" max="7964" width="7.625" customWidth="1"/>
    <col min="7965" max="7965" width="9.375" customWidth="1"/>
    <col min="7966" max="7966" width="10.75" customWidth="1"/>
    <col min="7967" max="7967" width="8.25" customWidth="1"/>
    <col min="7968" max="7968" width="7.625" customWidth="1"/>
    <col min="7969" max="7969" width="7.75" customWidth="1"/>
    <col min="7970" max="7970" width="9.625" customWidth="1"/>
    <col min="7971" max="7971" width="10.375" customWidth="1"/>
    <col min="7972" max="7972" width="33.375" customWidth="1"/>
    <col min="7973" max="7973" width="7.75" customWidth="1"/>
    <col min="8193" max="8193" width="11.875" customWidth="1"/>
    <col min="8194" max="8194" width="8.625" customWidth="1"/>
    <col min="8195" max="8195" width="6.625" customWidth="1"/>
    <col min="8196" max="8196" width="10.75" customWidth="1"/>
    <col min="8197" max="8197" width="9.25" customWidth="1"/>
    <col min="8198" max="8198" width="15.125" customWidth="1"/>
    <col min="8199" max="8199" width="32.625" customWidth="1"/>
    <col min="8200" max="8200" width="6.25" customWidth="1"/>
    <col min="8201" max="8201" width="31.125" customWidth="1"/>
    <col min="8202" max="8202" width="19.375" customWidth="1"/>
    <col min="8203" max="8203" width="5.875" customWidth="1"/>
    <col min="8204" max="8204" width="6.125" customWidth="1"/>
    <col min="8205" max="8205" width="15.125" customWidth="1"/>
    <col min="8206" max="8206" width="17.625" customWidth="1"/>
    <col min="8207" max="8207" width="9.25" customWidth="1"/>
    <col min="8208" max="8208" width="12.125" customWidth="1"/>
    <col min="8209" max="8209" width="32.75" customWidth="1"/>
    <col min="8210" max="8210" width="7.125" customWidth="1"/>
    <col min="8211" max="8211" width="10.875" customWidth="1"/>
    <col min="8212" max="8212" width="8.875" customWidth="1"/>
    <col min="8213" max="8213" width="6.25" customWidth="1"/>
    <col min="8214" max="8214" width="10.375" customWidth="1"/>
    <col min="8215" max="8215" width="6" customWidth="1"/>
    <col min="8216" max="8216" width="10.375" customWidth="1"/>
    <col min="8217" max="8217" width="5.875" customWidth="1"/>
    <col min="8218" max="8218" width="8" customWidth="1"/>
    <col min="8219" max="8219" width="8.875" customWidth="1"/>
    <col min="8220" max="8220" width="7.625" customWidth="1"/>
    <col min="8221" max="8221" width="9.375" customWidth="1"/>
    <col min="8222" max="8222" width="10.75" customWidth="1"/>
    <col min="8223" max="8223" width="8.25" customWidth="1"/>
    <col min="8224" max="8224" width="7.625" customWidth="1"/>
    <col min="8225" max="8225" width="7.75" customWidth="1"/>
    <col min="8226" max="8226" width="9.625" customWidth="1"/>
    <col min="8227" max="8227" width="10.375" customWidth="1"/>
    <col min="8228" max="8228" width="33.375" customWidth="1"/>
    <col min="8229" max="8229" width="7.75" customWidth="1"/>
    <col min="8449" max="8449" width="11.875" customWidth="1"/>
    <col min="8450" max="8450" width="8.625" customWidth="1"/>
    <col min="8451" max="8451" width="6.625" customWidth="1"/>
    <col min="8452" max="8452" width="10.75" customWidth="1"/>
    <col min="8453" max="8453" width="9.25" customWidth="1"/>
    <col min="8454" max="8454" width="15.125" customWidth="1"/>
    <col min="8455" max="8455" width="32.625" customWidth="1"/>
    <col min="8456" max="8456" width="6.25" customWidth="1"/>
    <col min="8457" max="8457" width="31.125" customWidth="1"/>
    <col min="8458" max="8458" width="19.375" customWidth="1"/>
    <col min="8459" max="8459" width="5.875" customWidth="1"/>
    <col min="8460" max="8460" width="6.125" customWidth="1"/>
    <col min="8461" max="8461" width="15.125" customWidth="1"/>
    <col min="8462" max="8462" width="17.625" customWidth="1"/>
    <col min="8463" max="8463" width="9.25" customWidth="1"/>
    <col min="8464" max="8464" width="12.125" customWidth="1"/>
    <col min="8465" max="8465" width="32.75" customWidth="1"/>
    <col min="8466" max="8466" width="7.125" customWidth="1"/>
    <col min="8467" max="8467" width="10.875" customWidth="1"/>
    <col min="8468" max="8468" width="8.875" customWidth="1"/>
    <col min="8469" max="8469" width="6.25" customWidth="1"/>
    <col min="8470" max="8470" width="10.375" customWidth="1"/>
    <col min="8471" max="8471" width="6" customWidth="1"/>
    <col min="8472" max="8472" width="10.375" customWidth="1"/>
    <col min="8473" max="8473" width="5.875" customWidth="1"/>
    <col min="8474" max="8474" width="8" customWidth="1"/>
    <col min="8475" max="8475" width="8.875" customWidth="1"/>
    <col min="8476" max="8476" width="7.625" customWidth="1"/>
    <col min="8477" max="8477" width="9.375" customWidth="1"/>
    <col min="8478" max="8478" width="10.75" customWidth="1"/>
    <col min="8479" max="8479" width="8.25" customWidth="1"/>
    <col min="8480" max="8480" width="7.625" customWidth="1"/>
    <col min="8481" max="8481" width="7.75" customWidth="1"/>
    <col min="8482" max="8482" width="9.625" customWidth="1"/>
    <col min="8483" max="8483" width="10.375" customWidth="1"/>
    <col min="8484" max="8484" width="33.375" customWidth="1"/>
    <col min="8485" max="8485" width="7.75" customWidth="1"/>
    <col min="8705" max="8705" width="11.875" customWidth="1"/>
    <col min="8706" max="8706" width="8.625" customWidth="1"/>
    <col min="8707" max="8707" width="6.625" customWidth="1"/>
    <col min="8708" max="8708" width="10.75" customWidth="1"/>
    <col min="8709" max="8709" width="9.25" customWidth="1"/>
    <col min="8710" max="8710" width="15.125" customWidth="1"/>
    <col min="8711" max="8711" width="32.625" customWidth="1"/>
    <col min="8712" max="8712" width="6.25" customWidth="1"/>
    <col min="8713" max="8713" width="31.125" customWidth="1"/>
    <col min="8714" max="8714" width="19.375" customWidth="1"/>
    <col min="8715" max="8715" width="5.875" customWidth="1"/>
    <col min="8716" max="8716" width="6.125" customWidth="1"/>
    <col min="8717" max="8717" width="15.125" customWidth="1"/>
    <col min="8718" max="8718" width="17.625" customWidth="1"/>
    <col min="8719" max="8719" width="9.25" customWidth="1"/>
    <col min="8720" max="8720" width="12.125" customWidth="1"/>
    <col min="8721" max="8721" width="32.75" customWidth="1"/>
    <col min="8722" max="8722" width="7.125" customWidth="1"/>
    <col min="8723" max="8723" width="10.875" customWidth="1"/>
    <col min="8724" max="8724" width="8.875" customWidth="1"/>
    <col min="8725" max="8725" width="6.25" customWidth="1"/>
    <col min="8726" max="8726" width="10.375" customWidth="1"/>
    <col min="8727" max="8727" width="6" customWidth="1"/>
    <col min="8728" max="8728" width="10.375" customWidth="1"/>
    <col min="8729" max="8729" width="5.875" customWidth="1"/>
    <col min="8730" max="8730" width="8" customWidth="1"/>
    <col min="8731" max="8731" width="8.875" customWidth="1"/>
    <col min="8732" max="8732" width="7.625" customWidth="1"/>
    <col min="8733" max="8733" width="9.375" customWidth="1"/>
    <col min="8734" max="8734" width="10.75" customWidth="1"/>
    <col min="8735" max="8735" width="8.25" customWidth="1"/>
    <col min="8736" max="8736" width="7.625" customWidth="1"/>
    <col min="8737" max="8737" width="7.75" customWidth="1"/>
    <col min="8738" max="8738" width="9.625" customWidth="1"/>
    <col min="8739" max="8739" width="10.375" customWidth="1"/>
    <col min="8740" max="8740" width="33.375" customWidth="1"/>
    <col min="8741" max="8741" width="7.75" customWidth="1"/>
    <col min="8961" max="8961" width="11.875" customWidth="1"/>
    <col min="8962" max="8962" width="8.625" customWidth="1"/>
    <col min="8963" max="8963" width="6.625" customWidth="1"/>
    <col min="8964" max="8964" width="10.75" customWidth="1"/>
    <col min="8965" max="8965" width="9.25" customWidth="1"/>
    <col min="8966" max="8966" width="15.125" customWidth="1"/>
    <col min="8967" max="8967" width="32.625" customWidth="1"/>
    <col min="8968" max="8968" width="6.25" customWidth="1"/>
    <col min="8969" max="8969" width="31.125" customWidth="1"/>
    <col min="8970" max="8970" width="19.375" customWidth="1"/>
    <col min="8971" max="8971" width="5.875" customWidth="1"/>
    <col min="8972" max="8972" width="6.125" customWidth="1"/>
    <col min="8973" max="8973" width="15.125" customWidth="1"/>
    <col min="8974" max="8974" width="17.625" customWidth="1"/>
    <col min="8975" max="8975" width="9.25" customWidth="1"/>
    <col min="8976" max="8976" width="12.125" customWidth="1"/>
    <col min="8977" max="8977" width="32.75" customWidth="1"/>
    <col min="8978" max="8978" width="7.125" customWidth="1"/>
    <col min="8979" max="8979" width="10.875" customWidth="1"/>
    <col min="8980" max="8980" width="8.875" customWidth="1"/>
    <col min="8981" max="8981" width="6.25" customWidth="1"/>
    <col min="8982" max="8982" width="10.375" customWidth="1"/>
    <col min="8983" max="8983" width="6" customWidth="1"/>
    <col min="8984" max="8984" width="10.375" customWidth="1"/>
    <col min="8985" max="8985" width="5.875" customWidth="1"/>
    <col min="8986" max="8986" width="8" customWidth="1"/>
    <col min="8987" max="8987" width="8.875" customWidth="1"/>
    <col min="8988" max="8988" width="7.625" customWidth="1"/>
    <col min="8989" max="8989" width="9.375" customWidth="1"/>
    <col min="8990" max="8990" width="10.75" customWidth="1"/>
    <col min="8991" max="8991" width="8.25" customWidth="1"/>
    <col min="8992" max="8992" width="7.625" customWidth="1"/>
    <col min="8993" max="8993" width="7.75" customWidth="1"/>
    <col min="8994" max="8994" width="9.625" customWidth="1"/>
    <col min="8995" max="8995" width="10.375" customWidth="1"/>
    <col min="8996" max="8996" width="33.375" customWidth="1"/>
    <col min="8997" max="8997" width="7.75" customWidth="1"/>
    <col min="9217" max="9217" width="11.875" customWidth="1"/>
    <col min="9218" max="9218" width="8.625" customWidth="1"/>
    <col min="9219" max="9219" width="6.625" customWidth="1"/>
    <col min="9220" max="9220" width="10.75" customWidth="1"/>
    <col min="9221" max="9221" width="9.25" customWidth="1"/>
    <col min="9222" max="9222" width="15.125" customWidth="1"/>
    <col min="9223" max="9223" width="32.625" customWidth="1"/>
    <col min="9224" max="9224" width="6.25" customWidth="1"/>
    <col min="9225" max="9225" width="31.125" customWidth="1"/>
    <col min="9226" max="9226" width="19.375" customWidth="1"/>
    <col min="9227" max="9227" width="5.875" customWidth="1"/>
    <col min="9228" max="9228" width="6.125" customWidth="1"/>
    <col min="9229" max="9229" width="15.125" customWidth="1"/>
    <col min="9230" max="9230" width="17.625" customWidth="1"/>
    <col min="9231" max="9231" width="9.25" customWidth="1"/>
    <col min="9232" max="9232" width="12.125" customWidth="1"/>
    <col min="9233" max="9233" width="32.75" customWidth="1"/>
    <col min="9234" max="9234" width="7.125" customWidth="1"/>
    <col min="9235" max="9235" width="10.875" customWidth="1"/>
    <col min="9236" max="9236" width="8.875" customWidth="1"/>
    <col min="9237" max="9237" width="6.25" customWidth="1"/>
    <col min="9238" max="9238" width="10.375" customWidth="1"/>
    <col min="9239" max="9239" width="6" customWidth="1"/>
    <col min="9240" max="9240" width="10.375" customWidth="1"/>
    <col min="9241" max="9241" width="5.875" customWidth="1"/>
    <col min="9242" max="9242" width="8" customWidth="1"/>
    <col min="9243" max="9243" width="8.875" customWidth="1"/>
    <col min="9244" max="9244" width="7.625" customWidth="1"/>
    <col min="9245" max="9245" width="9.375" customWidth="1"/>
    <col min="9246" max="9246" width="10.75" customWidth="1"/>
    <col min="9247" max="9247" width="8.25" customWidth="1"/>
    <col min="9248" max="9248" width="7.625" customWidth="1"/>
    <col min="9249" max="9249" width="7.75" customWidth="1"/>
    <col min="9250" max="9250" width="9.625" customWidth="1"/>
    <col min="9251" max="9251" width="10.375" customWidth="1"/>
    <col min="9252" max="9252" width="33.375" customWidth="1"/>
    <col min="9253" max="9253" width="7.75" customWidth="1"/>
    <col min="9473" max="9473" width="11.875" customWidth="1"/>
    <col min="9474" max="9474" width="8.625" customWidth="1"/>
    <col min="9475" max="9475" width="6.625" customWidth="1"/>
    <col min="9476" max="9476" width="10.75" customWidth="1"/>
    <col min="9477" max="9477" width="9.25" customWidth="1"/>
    <col min="9478" max="9478" width="15.125" customWidth="1"/>
    <col min="9479" max="9479" width="32.625" customWidth="1"/>
    <col min="9480" max="9480" width="6.25" customWidth="1"/>
    <col min="9481" max="9481" width="31.125" customWidth="1"/>
    <col min="9482" max="9482" width="19.375" customWidth="1"/>
    <col min="9483" max="9483" width="5.875" customWidth="1"/>
    <col min="9484" max="9484" width="6.125" customWidth="1"/>
    <col min="9485" max="9485" width="15.125" customWidth="1"/>
    <col min="9486" max="9486" width="17.625" customWidth="1"/>
    <col min="9487" max="9487" width="9.25" customWidth="1"/>
    <col min="9488" max="9488" width="12.125" customWidth="1"/>
    <col min="9489" max="9489" width="32.75" customWidth="1"/>
    <col min="9490" max="9490" width="7.125" customWidth="1"/>
    <col min="9491" max="9491" width="10.875" customWidth="1"/>
    <col min="9492" max="9492" width="8.875" customWidth="1"/>
    <col min="9493" max="9493" width="6.25" customWidth="1"/>
    <col min="9494" max="9494" width="10.375" customWidth="1"/>
    <col min="9495" max="9495" width="6" customWidth="1"/>
    <col min="9496" max="9496" width="10.375" customWidth="1"/>
    <col min="9497" max="9497" width="5.875" customWidth="1"/>
    <col min="9498" max="9498" width="8" customWidth="1"/>
    <col min="9499" max="9499" width="8.875" customWidth="1"/>
    <col min="9500" max="9500" width="7.625" customWidth="1"/>
    <col min="9501" max="9501" width="9.375" customWidth="1"/>
    <col min="9502" max="9502" width="10.75" customWidth="1"/>
    <col min="9503" max="9503" width="8.25" customWidth="1"/>
    <col min="9504" max="9504" width="7.625" customWidth="1"/>
    <col min="9505" max="9505" width="7.75" customWidth="1"/>
    <col min="9506" max="9506" width="9.625" customWidth="1"/>
    <col min="9507" max="9507" width="10.375" customWidth="1"/>
    <col min="9508" max="9508" width="33.375" customWidth="1"/>
    <col min="9509" max="9509" width="7.75" customWidth="1"/>
    <col min="9729" max="9729" width="11.875" customWidth="1"/>
    <col min="9730" max="9730" width="8.625" customWidth="1"/>
    <col min="9731" max="9731" width="6.625" customWidth="1"/>
    <col min="9732" max="9732" width="10.75" customWidth="1"/>
    <col min="9733" max="9733" width="9.25" customWidth="1"/>
    <col min="9734" max="9734" width="15.125" customWidth="1"/>
    <col min="9735" max="9735" width="32.625" customWidth="1"/>
    <col min="9736" max="9736" width="6.25" customWidth="1"/>
    <col min="9737" max="9737" width="31.125" customWidth="1"/>
    <col min="9738" max="9738" width="19.375" customWidth="1"/>
    <col min="9739" max="9739" width="5.875" customWidth="1"/>
    <col min="9740" max="9740" width="6.125" customWidth="1"/>
    <col min="9741" max="9741" width="15.125" customWidth="1"/>
    <col min="9742" max="9742" width="17.625" customWidth="1"/>
    <col min="9743" max="9743" width="9.25" customWidth="1"/>
    <col min="9744" max="9744" width="12.125" customWidth="1"/>
    <col min="9745" max="9745" width="32.75" customWidth="1"/>
    <col min="9746" max="9746" width="7.125" customWidth="1"/>
    <col min="9747" max="9747" width="10.875" customWidth="1"/>
    <col min="9748" max="9748" width="8.875" customWidth="1"/>
    <col min="9749" max="9749" width="6.25" customWidth="1"/>
    <col min="9750" max="9750" width="10.375" customWidth="1"/>
    <col min="9751" max="9751" width="6" customWidth="1"/>
    <col min="9752" max="9752" width="10.375" customWidth="1"/>
    <col min="9753" max="9753" width="5.875" customWidth="1"/>
    <col min="9754" max="9754" width="8" customWidth="1"/>
    <col min="9755" max="9755" width="8.875" customWidth="1"/>
    <col min="9756" max="9756" width="7.625" customWidth="1"/>
    <col min="9757" max="9757" width="9.375" customWidth="1"/>
    <col min="9758" max="9758" width="10.75" customWidth="1"/>
    <col min="9759" max="9759" width="8.25" customWidth="1"/>
    <col min="9760" max="9760" width="7.625" customWidth="1"/>
    <col min="9761" max="9761" width="7.75" customWidth="1"/>
    <col min="9762" max="9762" width="9.625" customWidth="1"/>
    <col min="9763" max="9763" width="10.375" customWidth="1"/>
    <col min="9764" max="9764" width="33.375" customWidth="1"/>
    <col min="9765" max="9765" width="7.75" customWidth="1"/>
    <col min="9985" max="9985" width="11.875" customWidth="1"/>
    <col min="9986" max="9986" width="8.625" customWidth="1"/>
    <col min="9987" max="9987" width="6.625" customWidth="1"/>
    <col min="9988" max="9988" width="10.75" customWidth="1"/>
    <col min="9989" max="9989" width="9.25" customWidth="1"/>
    <col min="9990" max="9990" width="15.125" customWidth="1"/>
    <col min="9991" max="9991" width="32.625" customWidth="1"/>
    <col min="9992" max="9992" width="6.25" customWidth="1"/>
    <col min="9993" max="9993" width="31.125" customWidth="1"/>
    <col min="9994" max="9994" width="19.375" customWidth="1"/>
    <col min="9995" max="9995" width="5.875" customWidth="1"/>
    <col min="9996" max="9996" width="6.125" customWidth="1"/>
    <col min="9997" max="9997" width="15.125" customWidth="1"/>
    <col min="9998" max="9998" width="17.625" customWidth="1"/>
    <col min="9999" max="9999" width="9.25" customWidth="1"/>
    <col min="10000" max="10000" width="12.125" customWidth="1"/>
    <col min="10001" max="10001" width="32.75" customWidth="1"/>
    <col min="10002" max="10002" width="7.125" customWidth="1"/>
    <col min="10003" max="10003" width="10.875" customWidth="1"/>
    <col min="10004" max="10004" width="8.875" customWidth="1"/>
    <col min="10005" max="10005" width="6.25" customWidth="1"/>
    <col min="10006" max="10006" width="10.375" customWidth="1"/>
    <col min="10007" max="10007" width="6" customWidth="1"/>
    <col min="10008" max="10008" width="10.375" customWidth="1"/>
    <col min="10009" max="10009" width="5.875" customWidth="1"/>
    <col min="10010" max="10010" width="8" customWidth="1"/>
    <col min="10011" max="10011" width="8.875" customWidth="1"/>
    <col min="10012" max="10012" width="7.625" customWidth="1"/>
    <col min="10013" max="10013" width="9.375" customWidth="1"/>
    <col min="10014" max="10014" width="10.75" customWidth="1"/>
    <col min="10015" max="10015" width="8.25" customWidth="1"/>
    <col min="10016" max="10016" width="7.625" customWidth="1"/>
    <col min="10017" max="10017" width="7.75" customWidth="1"/>
    <col min="10018" max="10018" width="9.625" customWidth="1"/>
    <col min="10019" max="10019" width="10.375" customWidth="1"/>
    <col min="10020" max="10020" width="33.375" customWidth="1"/>
    <col min="10021" max="10021" width="7.75" customWidth="1"/>
    <col min="10241" max="10241" width="11.875" customWidth="1"/>
    <col min="10242" max="10242" width="8.625" customWidth="1"/>
    <col min="10243" max="10243" width="6.625" customWidth="1"/>
    <col min="10244" max="10244" width="10.75" customWidth="1"/>
    <col min="10245" max="10245" width="9.25" customWidth="1"/>
    <col min="10246" max="10246" width="15.125" customWidth="1"/>
    <col min="10247" max="10247" width="32.625" customWidth="1"/>
    <col min="10248" max="10248" width="6.25" customWidth="1"/>
    <col min="10249" max="10249" width="31.125" customWidth="1"/>
    <col min="10250" max="10250" width="19.375" customWidth="1"/>
    <col min="10251" max="10251" width="5.875" customWidth="1"/>
    <col min="10252" max="10252" width="6.125" customWidth="1"/>
    <col min="10253" max="10253" width="15.125" customWidth="1"/>
    <col min="10254" max="10254" width="17.625" customWidth="1"/>
    <col min="10255" max="10255" width="9.25" customWidth="1"/>
    <col min="10256" max="10256" width="12.125" customWidth="1"/>
    <col min="10257" max="10257" width="32.75" customWidth="1"/>
    <col min="10258" max="10258" width="7.125" customWidth="1"/>
    <col min="10259" max="10259" width="10.875" customWidth="1"/>
    <col min="10260" max="10260" width="8.875" customWidth="1"/>
    <col min="10261" max="10261" width="6.25" customWidth="1"/>
    <col min="10262" max="10262" width="10.375" customWidth="1"/>
    <col min="10263" max="10263" width="6" customWidth="1"/>
    <col min="10264" max="10264" width="10.375" customWidth="1"/>
    <col min="10265" max="10265" width="5.875" customWidth="1"/>
    <col min="10266" max="10266" width="8" customWidth="1"/>
    <col min="10267" max="10267" width="8.875" customWidth="1"/>
    <col min="10268" max="10268" width="7.625" customWidth="1"/>
    <col min="10269" max="10269" width="9.375" customWidth="1"/>
    <col min="10270" max="10270" width="10.75" customWidth="1"/>
    <col min="10271" max="10271" width="8.25" customWidth="1"/>
    <col min="10272" max="10272" width="7.625" customWidth="1"/>
    <col min="10273" max="10273" width="7.75" customWidth="1"/>
    <col min="10274" max="10274" width="9.625" customWidth="1"/>
    <col min="10275" max="10275" width="10.375" customWidth="1"/>
    <col min="10276" max="10276" width="33.375" customWidth="1"/>
    <col min="10277" max="10277" width="7.75" customWidth="1"/>
    <col min="10497" max="10497" width="11.875" customWidth="1"/>
    <col min="10498" max="10498" width="8.625" customWidth="1"/>
    <col min="10499" max="10499" width="6.625" customWidth="1"/>
    <col min="10500" max="10500" width="10.75" customWidth="1"/>
    <col min="10501" max="10501" width="9.25" customWidth="1"/>
    <col min="10502" max="10502" width="15.125" customWidth="1"/>
    <col min="10503" max="10503" width="32.625" customWidth="1"/>
    <col min="10504" max="10504" width="6.25" customWidth="1"/>
    <col min="10505" max="10505" width="31.125" customWidth="1"/>
    <col min="10506" max="10506" width="19.375" customWidth="1"/>
    <col min="10507" max="10507" width="5.875" customWidth="1"/>
    <col min="10508" max="10508" width="6.125" customWidth="1"/>
    <col min="10509" max="10509" width="15.125" customWidth="1"/>
    <col min="10510" max="10510" width="17.625" customWidth="1"/>
    <col min="10511" max="10511" width="9.25" customWidth="1"/>
    <col min="10512" max="10512" width="12.125" customWidth="1"/>
    <col min="10513" max="10513" width="32.75" customWidth="1"/>
    <col min="10514" max="10514" width="7.125" customWidth="1"/>
    <col min="10515" max="10515" width="10.875" customWidth="1"/>
    <col min="10516" max="10516" width="8.875" customWidth="1"/>
    <col min="10517" max="10517" width="6.25" customWidth="1"/>
    <col min="10518" max="10518" width="10.375" customWidth="1"/>
    <col min="10519" max="10519" width="6" customWidth="1"/>
    <col min="10520" max="10520" width="10.375" customWidth="1"/>
    <col min="10521" max="10521" width="5.875" customWidth="1"/>
    <col min="10522" max="10522" width="8" customWidth="1"/>
    <col min="10523" max="10523" width="8.875" customWidth="1"/>
    <col min="10524" max="10524" width="7.625" customWidth="1"/>
    <col min="10525" max="10525" width="9.375" customWidth="1"/>
    <col min="10526" max="10526" width="10.75" customWidth="1"/>
    <col min="10527" max="10527" width="8.25" customWidth="1"/>
    <col min="10528" max="10528" width="7.625" customWidth="1"/>
    <col min="10529" max="10529" width="7.75" customWidth="1"/>
    <col min="10530" max="10530" width="9.625" customWidth="1"/>
    <col min="10531" max="10531" width="10.375" customWidth="1"/>
    <col min="10532" max="10532" width="33.375" customWidth="1"/>
    <col min="10533" max="10533" width="7.75" customWidth="1"/>
    <col min="10753" max="10753" width="11.875" customWidth="1"/>
    <col min="10754" max="10754" width="8.625" customWidth="1"/>
    <col min="10755" max="10755" width="6.625" customWidth="1"/>
    <col min="10756" max="10756" width="10.75" customWidth="1"/>
    <col min="10757" max="10757" width="9.25" customWidth="1"/>
    <col min="10758" max="10758" width="15.125" customWidth="1"/>
    <col min="10759" max="10759" width="32.625" customWidth="1"/>
    <col min="10760" max="10760" width="6.25" customWidth="1"/>
    <col min="10761" max="10761" width="31.125" customWidth="1"/>
    <col min="10762" max="10762" width="19.375" customWidth="1"/>
    <col min="10763" max="10763" width="5.875" customWidth="1"/>
    <col min="10764" max="10764" width="6.125" customWidth="1"/>
    <col min="10765" max="10765" width="15.125" customWidth="1"/>
    <col min="10766" max="10766" width="17.625" customWidth="1"/>
    <col min="10767" max="10767" width="9.25" customWidth="1"/>
    <col min="10768" max="10768" width="12.125" customWidth="1"/>
    <col min="10769" max="10769" width="32.75" customWidth="1"/>
    <col min="10770" max="10770" width="7.125" customWidth="1"/>
    <col min="10771" max="10771" width="10.875" customWidth="1"/>
    <col min="10772" max="10772" width="8.875" customWidth="1"/>
    <col min="10773" max="10773" width="6.25" customWidth="1"/>
    <col min="10774" max="10774" width="10.375" customWidth="1"/>
    <col min="10775" max="10775" width="6" customWidth="1"/>
    <col min="10776" max="10776" width="10.375" customWidth="1"/>
    <col min="10777" max="10777" width="5.875" customWidth="1"/>
    <col min="10778" max="10778" width="8" customWidth="1"/>
    <col min="10779" max="10779" width="8.875" customWidth="1"/>
    <col min="10780" max="10780" width="7.625" customWidth="1"/>
    <col min="10781" max="10781" width="9.375" customWidth="1"/>
    <col min="10782" max="10782" width="10.75" customWidth="1"/>
    <col min="10783" max="10783" width="8.25" customWidth="1"/>
    <col min="10784" max="10784" width="7.625" customWidth="1"/>
    <col min="10785" max="10785" width="7.75" customWidth="1"/>
    <col min="10786" max="10786" width="9.625" customWidth="1"/>
    <col min="10787" max="10787" width="10.375" customWidth="1"/>
    <col min="10788" max="10788" width="33.375" customWidth="1"/>
    <col min="10789" max="10789" width="7.75" customWidth="1"/>
    <col min="11009" max="11009" width="11.875" customWidth="1"/>
    <col min="11010" max="11010" width="8.625" customWidth="1"/>
    <col min="11011" max="11011" width="6.625" customWidth="1"/>
    <col min="11012" max="11012" width="10.75" customWidth="1"/>
    <col min="11013" max="11013" width="9.25" customWidth="1"/>
    <col min="11014" max="11014" width="15.125" customWidth="1"/>
    <col min="11015" max="11015" width="32.625" customWidth="1"/>
    <col min="11016" max="11016" width="6.25" customWidth="1"/>
    <col min="11017" max="11017" width="31.125" customWidth="1"/>
    <col min="11018" max="11018" width="19.375" customWidth="1"/>
    <col min="11019" max="11019" width="5.875" customWidth="1"/>
    <col min="11020" max="11020" width="6.125" customWidth="1"/>
    <col min="11021" max="11021" width="15.125" customWidth="1"/>
    <col min="11022" max="11022" width="17.625" customWidth="1"/>
    <col min="11023" max="11023" width="9.25" customWidth="1"/>
    <col min="11024" max="11024" width="12.125" customWidth="1"/>
    <col min="11025" max="11025" width="32.75" customWidth="1"/>
    <col min="11026" max="11026" width="7.125" customWidth="1"/>
    <col min="11027" max="11027" width="10.875" customWidth="1"/>
    <col min="11028" max="11028" width="8.875" customWidth="1"/>
    <col min="11029" max="11029" width="6.25" customWidth="1"/>
    <col min="11030" max="11030" width="10.375" customWidth="1"/>
    <col min="11031" max="11031" width="6" customWidth="1"/>
    <col min="11032" max="11032" width="10.375" customWidth="1"/>
    <col min="11033" max="11033" width="5.875" customWidth="1"/>
    <col min="11034" max="11034" width="8" customWidth="1"/>
    <col min="11035" max="11035" width="8.875" customWidth="1"/>
    <col min="11036" max="11036" width="7.625" customWidth="1"/>
    <col min="11037" max="11037" width="9.375" customWidth="1"/>
    <col min="11038" max="11038" width="10.75" customWidth="1"/>
    <col min="11039" max="11039" width="8.25" customWidth="1"/>
    <col min="11040" max="11040" width="7.625" customWidth="1"/>
    <col min="11041" max="11041" width="7.75" customWidth="1"/>
    <col min="11042" max="11042" width="9.625" customWidth="1"/>
    <col min="11043" max="11043" width="10.375" customWidth="1"/>
    <col min="11044" max="11044" width="33.375" customWidth="1"/>
    <col min="11045" max="11045" width="7.75" customWidth="1"/>
    <col min="11265" max="11265" width="11.875" customWidth="1"/>
    <col min="11266" max="11266" width="8.625" customWidth="1"/>
    <col min="11267" max="11267" width="6.625" customWidth="1"/>
    <col min="11268" max="11268" width="10.75" customWidth="1"/>
    <col min="11269" max="11269" width="9.25" customWidth="1"/>
    <col min="11270" max="11270" width="15.125" customWidth="1"/>
    <col min="11271" max="11271" width="32.625" customWidth="1"/>
    <col min="11272" max="11272" width="6.25" customWidth="1"/>
    <col min="11273" max="11273" width="31.125" customWidth="1"/>
    <col min="11274" max="11274" width="19.375" customWidth="1"/>
    <col min="11275" max="11275" width="5.875" customWidth="1"/>
    <col min="11276" max="11276" width="6.125" customWidth="1"/>
    <col min="11277" max="11277" width="15.125" customWidth="1"/>
    <col min="11278" max="11278" width="17.625" customWidth="1"/>
    <col min="11279" max="11279" width="9.25" customWidth="1"/>
    <col min="11280" max="11280" width="12.125" customWidth="1"/>
    <col min="11281" max="11281" width="32.75" customWidth="1"/>
    <col min="11282" max="11282" width="7.125" customWidth="1"/>
    <col min="11283" max="11283" width="10.875" customWidth="1"/>
    <col min="11284" max="11284" width="8.875" customWidth="1"/>
    <col min="11285" max="11285" width="6.25" customWidth="1"/>
    <col min="11286" max="11286" width="10.375" customWidth="1"/>
    <col min="11287" max="11287" width="6" customWidth="1"/>
    <col min="11288" max="11288" width="10.375" customWidth="1"/>
    <col min="11289" max="11289" width="5.875" customWidth="1"/>
    <col min="11290" max="11290" width="8" customWidth="1"/>
    <col min="11291" max="11291" width="8.875" customWidth="1"/>
    <col min="11292" max="11292" width="7.625" customWidth="1"/>
    <col min="11293" max="11293" width="9.375" customWidth="1"/>
    <col min="11294" max="11294" width="10.75" customWidth="1"/>
    <col min="11295" max="11295" width="8.25" customWidth="1"/>
    <col min="11296" max="11296" width="7.625" customWidth="1"/>
    <col min="11297" max="11297" width="7.75" customWidth="1"/>
    <col min="11298" max="11298" width="9.625" customWidth="1"/>
    <col min="11299" max="11299" width="10.375" customWidth="1"/>
    <col min="11300" max="11300" width="33.375" customWidth="1"/>
    <col min="11301" max="11301" width="7.75" customWidth="1"/>
    <col min="11521" max="11521" width="11.875" customWidth="1"/>
    <col min="11522" max="11522" width="8.625" customWidth="1"/>
    <col min="11523" max="11523" width="6.625" customWidth="1"/>
    <col min="11524" max="11524" width="10.75" customWidth="1"/>
    <col min="11525" max="11525" width="9.25" customWidth="1"/>
    <col min="11526" max="11526" width="15.125" customWidth="1"/>
    <col min="11527" max="11527" width="32.625" customWidth="1"/>
    <col min="11528" max="11528" width="6.25" customWidth="1"/>
    <col min="11529" max="11529" width="31.125" customWidth="1"/>
    <col min="11530" max="11530" width="19.375" customWidth="1"/>
    <col min="11531" max="11531" width="5.875" customWidth="1"/>
    <col min="11532" max="11532" width="6.125" customWidth="1"/>
    <col min="11533" max="11533" width="15.125" customWidth="1"/>
    <col min="11534" max="11534" width="17.625" customWidth="1"/>
    <col min="11535" max="11535" width="9.25" customWidth="1"/>
    <col min="11536" max="11536" width="12.125" customWidth="1"/>
    <col min="11537" max="11537" width="32.75" customWidth="1"/>
    <col min="11538" max="11538" width="7.125" customWidth="1"/>
    <col min="11539" max="11539" width="10.875" customWidth="1"/>
    <col min="11540" max="11540" width="8.875" customWidth="1"/>
    <col min="11541" max="11541" width="6.25" customWidth="1"/>
    <col min="11542" max="11542" width="10.375" customWidth="1"/>
    <col min="11543" max="11543" width="6" customWidth="1"/>
    <col min="11544" max="11544" width="10.375" customWidth="1"/>
    <col min="11545" max="11545" width="5.875" customWidth="1"/>
    <col min="11546" max="11546" width="8" customWidth="1"/>
    <col min="11547" max="11547" width="8.875" customWidth="1"/>
    <col min="11548" max="11548" width="7.625" customWidth="1"/>
    <col min="11549" max="11549" width="9.375" customWidth="1"/>
    <col min="11550" max="11550" width="10.75" customWidth="1"/>
    <col min="11551" max="11551" width="8.25" customWidth="1"/>
    <col min="11552" max="11552" width="7.625" customWidth="1"/>
    <col min="11553" max="11553" width="7.75" customWidth="1"/>
    <col min="11554" max="11554" width="9.625" customWidth="1"/>
    <col min="11555" max="11555" width="10.375" customWidth="1"/>
    <col min="11556" max="11556" width="33.375" customWidth="1"/>
    <col min="11557" max="11557" width="7.75" customWidth="1"/>
    <col min="11777" max="11777" width="11.875" customWidth="1"/>
    <col min="11778" max="11778" width="8.625" customWidth="1"/>
    <col min="11779" max="11779" width="6.625" customWidth="1"/>
    <col min="11780" max="11780" width="10.75" customWidth="1"/>
    <col min="11781" max="11781" width="9.25" customWidth="1"/>
    <col min="11782" max="11782" width="15.125" customWidth="1"/>
    <col min="11783" max="11783" width="32.625" customWidth="1"/>
    <col min="11784" max="11784" width="6.25" customWidth="1"/>
    <col min="11785" max="11785" width="31.125" customWidth="1"/>
    <col min="11786" max="11786" width="19.375" customWidth="1"/>
    <col min="11787" max="11787" width="5.875" customWidth="1"/>
    <col min="11788" max="11788" width="6.125" customWidth="1"/>
    <col min="11789" max="11789" width="15.125" customWidth="1"/>
    <col min="11790" max="11790" width="17.625" customWidth="1"/>
    <col min="11791" max="11791" width="9.25" customWidth="1"/>
    <col min="11792" max="11792" width="12.125" customWidth="1"/>
    <col min="11793" max="11793" width="32.75" customWidth="1"/>
    <col min="11794" max="11794" width="7.125" customWidth="1"/>
    <col min="11795" max="11795" width="10.875" customWidth="1"/>
    <col min="11796" max="11796" width="8.875" customWidth="1"/>
    <col min="11797" max="11797" width="6.25" customWidth="1"/>
    <col min="11798" max="11798" width="10.375" customWidth="1"/>
    <col min="11799" max="11799" width="6" customWidth="1"/>
    <col min="11800" max="11800" width="10.375" customWidth="1"/>
    <col min="11801" max="11801" width="5.875" customWidth="1"/>
    <col min="11802" max="11802" width="8" customWidth="1"/>
    <col min="11803" max="11803" width="8.875" customWidth="1"/>
    <col min="11804" max="11804" width="7.625" customWidth="1"/>
    <col min="11805" max="11805" width="9.375" customWidth="1"/>
    <col min="11806" max="11806" width="10.75" customWidth="1"/>
    <col min="11807" max="11807" width="8.25" customWidth="1"/>
    <col min="11808" max="11808" width="7.625" customWidth="1"/>
    <col min="11809" max="11809" width="7.75" customWidth="1"/>
    <col min="11810" max="11810" width="9.625" customWidth="1"/>
    <col min="11811" max="11811" width="10.375" customWidth="1"/>
    <col min="11812" max="11812" width="33.375" customWidth="1"/>
    <col min="11813" max="11813" width="7.75" customWidth="1"/>
    <col min="12033" max="12033" width="11.875" customWidth="1"/>
    <col min="12034" max="12034" width="8.625" customWidth="1"/>
    <col min="12035" max="12035" width="6.625" customWidth="1"/>
    <col min="12036" max="12036" width="10.75" customWidth="1"/>
    <col min="12037" max="12037" width="9.25" customWidth="1"/>
    <col min="12038" max="12038" width="15.125" customWidth="1"/>
    <col min="12039" max="12039" width="32.625" customWidth="1"/>
    <col min="12040" max="12040" width="6.25" customWidth="1"/>
    <col min="12041" max="12041" width="31.125" customWidth="1"/>
    <col min="12042" max="12042" width="19.375" customWidth="1"/>
    <col min="12043" max="12043" width="5.875" customWidth="1"/>
    <col min="12044" max="12044" width="6.125" customWidth="1"/>
    <col min="12045" max="12045" width="15.125" customWidth="1"/>
    <col min="12046" max="12046" width="17.625" customWidth="1"/>
    <col min="12047" max="12047" width="9.25" customWidth="1"/>
    <col min="12048" max="12048" width="12.125" customWidth="1"/>
    <col min="12049" max="12049" width="32.75" customWidth="1"/>
    <col min="12050" max="12050" width="7.125" customWidth="1"/>
    <col min="12051" max="12051" width="10.875" customWidth="1"/>
    <col min="12052" max="12052" width="8.875" customWidth="1"/>
    <col min="12053" max="12053" width="6.25" customWidth="1"/>
    <col min="12054" max="12054" width="10.375" customWidth="1"/>
    <col min="12055" max="12055" width="6" customWidth="1"/>
    <col min="12056" max="12056" width="10.375" customWidth="1"/>
    <col min="12057" max="12057" width="5.875" customWidth="1"/>
    <col min="12058" max="12058" width="8" customWidth="1"/>
    <col min="12059" max="12059" width="8.875" customWidth="1"/>
    <col min="12060" max="12060" width="7.625" customWidth="1"/>
    <col min="12061" max="12061" width="9.375" customWidth="1"/>
    <col min="12062" max="12062" width="10.75" customWidth="1"/>
    <col min="12063" max="12063" width="8.25" customWidth="1"/>
    <col min="12064" max="12064" width="7.625" customWidth="1"/>
    <col min="12065" max="12065" width="7.75" customWidth="1"/>
    <col min="12066" max="12066" width="9.625" customWidth="1"/>
    <col min="12067" max="12067" width="10.375" customWidth="1"/>
    <col min="12068" max="12068" width="33.375" customWidth="1"/>
    <col min="12069" max="12069" width="7.75" customWidth="1"/>
    <col min="12289" max="12289" width="11.875" customWidth="1"/>
    <col min="12290" max="12290" width="8.625" customWidth="1"/>
    <col min="12291" max="12291" width="6.625" customWidth="1"/>
    <col min="12292" max="12292" width="10.75" customWidth="1"/>
    <col min="12293" max="12293" width="9.25" customWidth="1"/>
    <col min="12294" max="12294" width="15.125" customWidth="1"/>
    <col min="12295" max="12295" width="32.625" customWidth="1"/>
    <col min="12296" max="12296" width="6.25" customWidth="1"/>
    <col min="12297" max="12297" width="31.125" customWidth="1"/>
    <col min="12298" max="12298" width="19.375" customWidth="1"/>
    <col min="12299" max="12299" width="5.875" customWidth="1"/>
    <col min="12300" max="12300" width="6.125" customWidth="1"/>
    <col min="12301" max="12301" width="15.125" customWidth="1"/>
    <col min="12302" max="12302" width="17.625" customWidth="1"/>
    <col min="12303" max="12303" width="9.25" customWidth="1"/>
    <col min="12304" max="12304" width="12.125" customWidth="1"/>
    <col min="12305" max="12305" width="32.75" customWidth="1"/>
    <col min="12306" max="12306" width="7.125" customWidth="1"/>
    <col min="12307" max="12307" width="10.875" customWidth="1"/>
    <col min="12308" max="12308" width="8.875" customWidth="1"/>
    <col min="12309" max="12309" width="6.25" customWidth="1"/>
    <col min="12310" max="12310" width="10.375" customWidth="1"/>
    <col min="12311" max="12311" width="6" customWidth="1"/>
    <col min="12312" max="12312" width="10.375" customWidth="1"/>
    <col min="12313" max="12313" width="5.875" customWidth="1"/>
    <col min="12314" max="12314" width="8" customWidth="1"/>
    <col min="12315" max="12315" width="8.875" customWidth="1"/>
    <col min="12316" max="12316" width="7.625" customWidth="1"/>
    <col min="12317" max="12317" width="9.375" customWidth="1"/>
    <col min="12318" max="12318" width="10.75" customWidth="1"/>
    <col min="12319" max="12319" width="8.25" customWidth="1"/>
    <col min="12320" max="12320" width="7.625" customWidth="1"/>
    <col min="12321" max="12321" width="7.75" customWidth="1"/>
    <col min="12322" max="12322" width="9.625" customWidth="1"/>
    <col min="12323" max="12323" width="10.375" customWidth="1"/>
    <col min="12324" max="12324" width="33.375" customWidth="1"/>
    <col min="12325" max="12325" width="7.75" customWidth="1"/>
    <col min="12545" max="12545" width="11.875" customWidth="1"/>
    <col min="12546" max="12546" width="8.625" customWidth="1"/>
    <col min="12547" max="12547" width="6.625" customWidth="1"/>
    <col min="12548" max="12548" width="10.75" customWidth="1"/>
    <col min="12549" max="12549" width="9.25" customWidth="1"/>
    <col min="12550" max="12550" width="15.125" customWidth="1"/>
    <col min="12551" max="12551" width="32.625" customWidth="1"/>
    <col min="12552" max="12552" width="6.25" customWidth="1"/>
    <col min="12553" max="12553" width="31.125" customWidth="1"/>
    <col min="12554" max="12554" width="19.375" customWidth="1"/>
    <col min="12555" max="12555" width="5.875" customWidth="1"/>
    <col min="12556" max="12556" width="6.125" customWidth="1"/>
    <col min="12557" max="12557" width="15.125" customWidth="1"/>
    <col min="12558" max="12558" width="17.625" customWidth="1"/>
    <col min="12559" max="12559" width="9.25" customWidth="1"/>
    <col min="12560" max="12560" width="12.125" customWidth="1"/>
    <col min="12561" max="12561" width="32.75" customWidth="1"/>
    <col min="12562" max="12562" width="7.125" customWidth="1"/>
    <col min="12563" max="12563" width="10.875" customWidth="1"/>
    <col min="12564" max="12564" width="8.875" customWidth="1"/>
    <col min="12565" max="12565" width="6.25" customWidth="1"/>
    <col min="12566" max="12566" width="10.375" customWidth="1"/>
    <col min="12567" max="12567" width="6" customWidth="1"/>
    <col min="12568" max="12568" width="10.375" customWidth="1"/>
    <col min="12569" max="12569" width="5.875" customWidth="1"/>
    <col min="12570" max="12570" width="8" customWidth="1"/>
    <col min="12571" max="12571" width="8.875" customWidth="1"/>
    <col min="12572" max="12572" width="7.625" customWidth="1"/>
    <col min="12573" max="12573" width="9.375" customWidth="1"/>
    <col min="12574" max="12574" width="10.75" customWidth="1"/>
    <col min="12575" max="12575" width="8.25" customWidth="1"/>
    <col min="12576" max="12576" width="7.625" customWidth="1"/>
    <col min="12577" max="12577" width="7.75" customWidth="1"/>
    <col min="12578" max="12578" width="9.625" customWidth="1"/>
    <col min="12579" max="12579" width="10.375" customWidth="1"/>
    <col min="12580" max="12580" width="33.375" customWidth="1"/>
    <col min="12581" max="12581" width="7.75" customWidth="1"/>
    <col min="12801" max="12801" width="11.875" customWidth="1"/>
    <col min="12802" max="12802" width="8.625" customWidth="1"/>
    <col min="12803" max="12803" width="6.625" customWidth="1"/>
    <col min="12804" max="12804" width="10.75" customWidth="1"/>
    <col min="12805" max="12805" width="9.25" customWidth="1"/>
    <col min="12806" max="12806" width="15.125" customWidth="1"/>
    <col min="12807" max="12807" width="32.625" customWidth="1"/>
    <col min="12808" max="12808" width="6.25" customWidth="1"/>
    <col min="12809" max="12809" width="31.125" customWidth="1"/>
    <col min="12810" max="12810" width="19.375" customWidth="1"/>
    <col min="12811" max="12811" width="5.875" customWidth="1"/>
    <col min="12812" max="12812" width="6.125" customWidth="1"/>
    <col min="12813" max="12813" width="15.125" customWidth="1"/>
    <col min="12814" max="12814" width="17.625" customWidth="1"/>
    <col min="12815" max="12815" width="9.25" customWidth="1"/>
    <col min="12816" max="12816" width="12.125" customWidth="1"/>
    <col min="12817" max="12817" width="32.75" customWidth="1"/>
    <col min="12818" max="12818" width="7.125" customWidth="1"/>
    <col min="12819" max="12819" width="10.875" customWidth="1"/>
    <col min="12820" max="12820" width="8.875" customWidth="1"/>
    <col min="12821" max="12821" width="6.25" customWidth="1"/>
    <col min="12822" max="12822" width="10.375" customWidth="1"/>
    <col min="12823" max="12823" width="6" customWidth="1"/>
    <col min="12824" max="12824" width="10.375" customWidth="1"/>
    <col min="12825" max="12825" width="5.875" customWidth="1"/>
    <col min="12826" max="12826" width="8" customWidth="1"/>
    <col min="12827" max="12827" width="8.875" customWidth="1"/>
    <col min="12828" max="12828" width="7.625" customWidth="1"/>
    <col min="12829" max="12829" width="9.375" customWidth="1"/>
    <col min="12830" max="12830" width="10.75" customWidth="1"/>
    <col min="12831" max="12831" width="8.25" customWidth="1"/>
    <col min="12832" max="12832" width="7.625" customWidth="1"/>
    <col min="12833" max="12833" width="7.75" customWidth="1"/>
    <col min="12834" max="12834" width="9.625" customWidth="1"/>
    <col min="12835" max="12835" width="10.375" customWidth="1"/>
    <col min="12836" max="12836" width="33.375" customWidth="1"/>
    <col min="12837" max="12837" width="7.75" customWidth="1"/>
    <col min="13057" max="13057" width="11.875" customWidth="1"/>
    <col min="13058" max="13058" width="8.625" customWidth="1"/>
    <col min="13059" max="13059" width="6.625" customWidth="1"/>
    <col min="13060" max="13060" width="10.75" customWidth="1"/>
    <col min="13061" max="13061" width="9.25" customWidth="1"/>
    <col min="13062" max="13062" width="15.125" customWidth="1"/>
    <col min="13063" max="13063" width="32.625" customWidth="1"/>
    <col min="13064" max="13064" width="6.25" customWidth="1"/>
    <col min="13065" max="13065" width="31.125" customWidth="1"/>
    <col min="13066" max="13066" width="19.375" customWidth="1"/>
    <col min="13067" max="13067" width="5.875" customWidth="1"/>
    <col min="13068" max="13068" width="6.125" customWidth="1"/>
    <col min="13069" max="13069" width="15.125" customWidth="1"/>
    <col min="13070" max="13070" width="17.625" customWidth="1"/>
    <col min="13071" max="13071" width="9.25" customWidth="1"/>
    <col min="13072" max="13072" width="12.125" customWidth="1"/>
    <col min="13073" max="13073" width="32.75" customWidth="1"/>
    <col min="13074" max="13074" width="7.125" customWidth="1"/>
    <col min="13075" max="13075" width="10.875" customWidth="1"/>
    <col min="13076" max="13076" width="8.875" customWidth="1"/>
    <col min="13077" max="13077" width="6.25" customWidth="1"/>
    <col min="13078" max="13078" width="10.375" customWidth="1"/>
    <col min="13079" max="13079" width="6" customWidth="1"/>
    <col min="13080" max="13080" width="10.375" customWidth="1"/>
    <col min="13081" max="13081" width="5.875" customWidth="1"/>
    <col min="13082" max="13082" width="8" customWidth="1"/>
    <col min="13083" max="13083" width="8.875" customWidth="1"/>
    <col min="13084" max="13084" width="7.625" customWidth="1"/>
    <col min="13085" max="13085" width="9.375" customWidth="1"/>
    <col min="13086" max="13086" width="10.75" customWidth="1"/>
    <col min="13087" max="13087" width="8.25" customWidth="1"/>
    <col min="13088" max="13088" width="7.625" customWidth="1"/>
    <col min="13089" max="13089" width="7.75" customWidth="1"/>
    <col min="13090" max="13090" width="9.625" customWidth="1"/>
    <col min="13091" max="13091" width="10.375" customWidth="1"/>
    <col min="13092" max="13092" width="33.375" customWidth="1"/>
    <col min="13093" max="13093" width="7.75" customWidth="1"/>
    <col min="13313" max="13313" width="11.875" customWidth="1"/>
    <col min="13314" max="13314" width="8.625" customWidth="1"/>
    <col min="13315" max="13315" width="6.625" customWidth="1"/>
    <col min="13316" max="13316" width="10.75" customWidth="1"/>
    <col min="13317" max="13317" width="9.25" customWidth="1"/>
    <col min="13318" max="13318" width="15.125" customWidth="1"/>
    <col min="13319" max="13319" width="32.625" customWidth="1"/>
    <col min="13320" max="13320" width="6.25" customWidth="1"/>
    <col min="13321" max="13321" width="31.125" customWidth="1"/>
    <col min="13322" max="13322" width="19.375" customWidth="1"/>
    <col min="13323" max="13323" width="5.875" customWidth="1"/>
    <col min="13324" max="13324" width="6.125" customWidth="1"/>
    <col min="13325" max="13325" width="15.125" customWidth="1"/>
    <col min="13326" max="13326" width="17.625" customWidth="1"/>
    <col min="13327" max="13327" width="9.25" customWidth="1"/>
    <col min="13328" max="13328" width="12.125" customWidth="1"/>
    <col min="13329" max="13329" width="32.75" customWidth="1"/>
    <col min="13330" max="13330" width="7.125" customWidth="1"/>
    <col min="13331" max="13331" width="10.875" customWidth="1"/>
    <col min="13332" max="13332" width="8.875" customWidth="1"/>
    <col min="13333" max="13333" width="6.25" customWidth="1"/>
    <col min="13334" max="13334" width="10.375" customWidth="1"/>
    <col min="13335" max="13335" width="6" customWidth="1"/>
    <col min="13336" max="13336" width="10.375" customWidth="1"/>
    <col min="13337" max="13337" width="5.875" customWidth="1"/>
    <col min="13338" max="13338" width="8" customWidth="1"/>
    <col min="13339" max="13339" width="8.875" customWidth="1"/>
    <col min="13340" max="13340" width="7.625" customWidth="1"/>
    <col min="13341" max="13341" width="9.375" customWidth="1"/>
    <col min="13342" max="13342" width="10.75" customWidth="1"/>
    <col min="13343" max="13343" width="8.25" customWidth="1"/>
    <col min="13344" max="13344" width="7.625" customWidth="1"/>
    <col min="13345" max="13345" width="7.75" customWidth="1"/>
    <col min="13346" max="13346" width="9.625" customWidth="1"/>
    <col min="13347" max="13347" width="10.375" customWidth="1"/>
    <col min="13348" max="13348" width="33.375" customWidth="1"/>
    <col min="13349" max="13349" width="7.75" customWidth="1"/>
    <col min="13569" max="13569" width="11.875" customWidth="1"/>
    <col min="13570" max="13570" width="8.625" customWidth="1"/>
    <col min="13571" max="13571" width="6.625" customWidth="1"/>
    <col min="13572" max="13572" width="10.75" customWidth="1"/>
    <col min="13573" max="13573" width="9.25" customWidth="1"/>
    <col min="13574" max="13574" width="15.125" customWidth="1"/>
    <col min="13575" max="13575" width="32.625" customWidth="1"/>
    <col min="13576" max="13576" width="6.25" customWidth="1"/>
    <col min="13577" max="13577" width="31.125" customWidth="1"/>
    <col min="13578" max="13578" width="19.375" customWidth="1"/>
    <col min="13579" max="13579" width="5.875" customWidth="1"/>
    <col min="13580" max="13580" width="6.125" customWidth="1"/>
    <col min="13581" max="13581" width="15.125" customWidth="1"/>
    <col min="13582" max="13582" width="17.625" customWidth="1"/>
    <col min="13583" max="13583" width="9.25" customWidth="1"/>
    <col min="13584" max="13584" width="12.125" customWidth="1"/>
    <col min="13585" max="13585" width="32.75" customWidth="1"/>
    <col min="13586" max="13586" width="7.125" customWidth="1"/>
    <col min="13587" max="13587" width="10.875" customWidth="1"/>
    <col min="13588" max="13588" width="8.875" customWidth="1"/>
    <col min="13589" max="13589" width="6.25" customWidth="1"/>
    <col min="13590" max="13590" width="10.375" customWidth="1"/>
    <col min="13591" max="13591" width="6" customWidth="1"/>
    <col min="13592" max="13592" width="10.375" customWidth="1"/>
    <col min="13593" max="13593" width="5.875" customWidth="1"/>
    <col min="13594" max="13594" width="8" customWidth="1"/>
    <col min="13595" max="13595" width="8.875" customWidth="1"/>
    <col min="13596" max="13596" width="7.625" customWidth="1"/>
    <col min="13597" max="13597" width="9.375" customWidth="1"/>
    <col min="13598" max="13598" width="10.75" customWidth="1"/>
    <col min="13599" max="13599" width="8.25" customWidth="1"/>
    <col min="13600" max="13600" width="7.625" customWidth="1"/>
    <col min="13601" max="13601" width="7.75" customWidth="1"/>
    <col min="13602" max="13602" width="9.625" customWidth="1"/>
    <col min="13603" max="13603" width="10.375" customWidth="1"/>
    <col min="13604" max="13604" width="33.375" customWidth="1"/>
    <col min="13605" max="13605" width="7.75" customWidth="1"/>
    <col min="13825" max="13825" width="11.875" customWidth="1"/>
    <col min="13826" max="13826" width="8.625" customWidth="1"/>
    <col min="13827" max="13827" width="6.625" customWidth="1"/>
    <col min="13828" max="13828" width="10.75" customWidth="1"/>
    <col min="13829" max="13829" width="9.25" customWidth="1"/>
    <col min="13830" max="13830" width="15.125" customWidth="1"/>
    <col min="13831" max="13831" width="32.625" customWidth="1"/>
    <col min="13832" max="13832" width="6.25" customWidth="1"/>
    <col min="13833" max="13833" width="31.125" customWidth="1"/>
    <col min="13834" max="13834" width="19.375" customWidth="1"/>
    <col min="13835" max="13835" width="5.875" customWidth="1"/>
    <col min="13836" max="13836" width="6.125" customWidth="1"/>
    <col min="13837" max="13837" width="15.125" customWidth="1"/>
    <col min="13838" max="13838" width="17.625" customWidth="1"/>
    <col min="13839" max="13839" width="9.25" customWidth="1"/>
    <col min="13840" max="13840" width="12.125" customWidth="1"/>
    <col min="13841" max="13841" width="32.75" customWidth="1"/>
    <col min="13842" max="13842" width="7.125" customWidth="1"/>
    <col min="13843" max="13843" width="10.875" customWidth="1"/>
    <col min="13844" max="13844" width="8.875" customWidth="1"/>
    <col min="13845" max="13845" width="6.25" customWidth="1"/>
    <col min="13846" max="13846" width="10.375" customWidth="1"/>
    <col min="13847" max="13847" width="6" customWidth="1"/>
    <col min="13848" max="13848" width="10.375" customWidth="1"/>
    <col min="13849" max="13849" width="5.875" customWidth="1"/>
    <col min="13850" max="13850" width="8" customWidth="1"/>
    <col min="13851" max="13851" width="8.875" customWidth="1"/>
    <col min="13852" max="13852" width="7.625" customWidth="1"/>
    <col min="13853" max="13853" width="9.375" customWidth="1"/>
    <col min="13854" max="13854" width="10.75" customWidth="1"/>
    <col min="13855" max="13855" width="8.25" customWidth="1"/>
    <col min="13856" max="13856" width="7.625" customWidth="1"/>
    <col min="13857" max="13857" width="7.75" customWidth="1"/>
    <col min="13858" max="13858" width="9.625" customWidth="1"/>
    <col min="13859" max="13859" width="10.375" customWidth="1"/>
    <col min="13860" max="13860" width="33.375" customWidth="1"/>
    <col min="13861" max="13861" width="7.75" customWidth="1"/>
    <col min="14081" max="14081" width="11.875" customWidth="1"/>
    <col min="14082" max="14082" width="8.625" customWidth="1"/>
    <col min="14083" max="14083" width="6.625" customWidth="1"/>
    <col min="14084" max="14084" width="10.75" customWidth="1"/>
    <col min="14085" max="14085" width="9.25" customWidth="1"/>
    <col min="14086" max="14086" width="15.125" customWidth="1"/>
    <col min="14087" max="14087" width="32.625" customWidth="1"/>
    <col min="14088" max="14088" width="6.25" customWidth="1"/>
    <col min="14089" max="14089" width="31.125" customWidth="1"/>
    <col min="14090" max="14090" width="19.375" customWidth="1"/>
    <col min="14091" max="14091" width="5.875" customWidth="1"/>
    <col min="14092" max="14092" width="6.125" customWidth="1"/>
    <col min="14093" max="14093" width="15.125" customWidth="1"/>
    <col min="14094" max="14094" width="17.625" customWidth="1"/>
    <col min="14095" max="14095" width="9.25" customWidth="1"/>
    <col min="14096" max="14096" width="12.125" customWidth="1"/>
    <col min="14097" max="14097" width="32.75" customWidth="1"/>
    <col min="14098" max="14098" width="7.125" customWidth="1"/>
    <col min="14099" max="14099" width="10.875" customWidth="1"/>
    <col min="14100" max="14100" width="8.875" customWidth="1"/>
    <col min="14101" max="14101" width="6.25" customWidth="1"/>
    <col min="14102" max="14102" width="10.375" customWidth="1"/>
    <col min="14103" max="14103" width="6" customWidth="1"/>
    <col min="14104" max="14104" width="10.375" customWidth="1"/>
    <col min="14105" max="14105" width="5.875" customWidth="1"/>
    <col min="14106" max="14106" width="8" customWidth="1"/>
    <col min="14107" max="14107" width="8.875" customWidth="1"/>
    <col min="14108" max="14108" width="7.625" customWidth="1"/>
    <col min="14109" max="14109" width="9.375" customWidth="1"/>
    <col min="14110" max="14110" width="10.75" customWidth="1"/>
    <col min="14111" max="14111" width="8.25" customWidth="1"/>
    <col min="14112" max="14112" width="7.625" customWidth="1"/>
    <col min="14113" max="14113" width="7.75" customWidth="1"/>
    <col min="14114" max="14114" width="9.625" customWidth="1"/>
    <col min="14115" max="14115" width="10.375" customWidth="1"/>
    <col min="14116" max="14116" width="33.375" customWidth="1"/>
    <col min="14117" max="14117" width="7.75" customWidth="1"/>
    <col min="14337" max="14337" width="11.875" customWidth="1"/>
    <col min="14338" max="14338" width="8.625" customWidth="1"/>
    <col min="14339" max="14339" width="6.625" customWidth="1"/>
    <col min="14340" max="14340" width="10.75" customWidth="1"/>
    <col min="14341" max="14341" width="9.25" customWidth="1"/>
    <col min="14342" max="14342" width="15.125" customWidth="1"/>
    <col min="14343" max="14343" width="32.625" customWidth="1"/>
    <col min="14344" max="14344" width="6.25" customWidth="1"/>
    <col min="14345" max="14345" width="31.125" customWidth="1"/>
    <col min="14346" max="14346" width="19.375" customWidth="1"/>
    <col min="14347" max="14347" width="5.875" customWidth="1"/>
    <col min="14348" max="14348" width="6.125" customWidth="1"/>
    <col min="14349" max="14349" width="15.125" customWidth="1"/>
    <col min="14350" max="14350" width="17.625" customWidth="1"/>
    <col min="14351" max="14351" width="9.25" customWidth="1"/>
    <col min="14352" max="14352" width="12.125" customWidth="1"/>
    <col min="14353" max="14353" width="32.75" customWidth="1"/>
    <col min="14354" max="14354" width="7.125" customWidth="1"/>
    <col min="14355" max="14355" width="10.875" customWidth="1"/>
    <col min="14356" max="14356" width="8.875" customWidth="1"/>
    <col min="14357" max="14357" width="6.25" customWidth="1"/>
    <col min="14358" max="14358" width="10.375" customWidth="1"/>
    <col min="14359" max="14359" width="6" customWidth="1"/>
    <col min="14360" max="14360" width="10.375" customWidth="1"/>
    <col min="14361" max="14361" width="5.875" customWidth="1"/>
    <col min="14362" max="14362" width="8" customWidth="1"/>
    <col min="14363" max="14363" width="8.875" customWidth="1"/>
    <col min="14364" max="14364" width="7.625" customWidth="1"/>
    <col min="14365" max="14365" width="9.375" customWidth="1"/>
    <col min="14366" max="14366" width="10.75" customWidth="1"/>
    <col min="14367" max="14367" width="8.25" customWidth="1"/>
    <col min="14368" max="14368" width="7.625" customWidth="1"/>
    <col min="14369" max="14369" width="7.75" customWidth="1"/>
    <col min="14370" max="14370" width="9.625" customWidth="1"/>
    <col min="14371" max="14371" width="10.375" customWidth="1"/>
    <col min="14372" max="14372" width="33.375" customWidth="1"/>
    <col min="14373" max="14373" width="7.75" customWidth="1"/>
    <col min="14593" max="14593" width="11.875" customWidth="1"/>
    <col min="14594" max="14594" width="8.625" customWidth="1"/>
    <col min="14595" max="14595" width="6.625" customWidth="1"/>
    <col min="14596" max="14596" width="10.75" customWidth="1"/>
    <col min="14597" max="14597" width="9.25" customWidth="1"/>
    <col min="14598" max="14598" width="15.125" customWidth="1"/>
    <col min="14599" max="14599" width="32.625" customWidth="1"/>
    <col min="14600" max="14600" width="6.25" customWidth="1"/>
    <col min="14601" max="14601" width="31.125" customWidth="1"/>
    <col min="14602" max="14602" width="19.375" customWidth="1"/>
    <col min="14603" max="14603" width="5.875" customWidth="1"/>
    <col min="14604" max="14604" width="6.125" customWidth="1"/>
    <col min="14605" max="14605" width="15.125" customWidth="1"/>
    <col min="14606" max="14606" width="17.625" customWidth="1"/>
    <col min="14607" max="14607" width="9.25" customWidth="1"/>
    <col min="14608" max="14608" width="12.125" customWidth="1"/>
    <col min="14609" max="14609" width="32.75" customWidth="1"/>
    <col min="14610" max="14610" width="7.125" customWidth="1"/>
    <col min="14611" max="14611" width="10.875" customWidth="1"/>
    <col min="14612" max="14612" width="8.875" customWidth="1"/>
    <col min="14613" max="14613" width="6.25" customWidth="1"/>
    <col min="14614" max="14614" width="10.375" customWidth="1"/>
    <col min="14615" max="14615" width="6" customWidth="1"/>
    <col min="14616" max="14616" width="10.375" customWidth="1"/>
    <col min="14617" max="14617" width="5.875" customWidth="1"/>
    <col min="14618" max="14618" width="8" customWidth="1"/>
    <col min="14619" max="14619" width="8.875" customWidth="1"/>
    <col min="14620" max="14620" width="7.625" customWidth="1"/>
    <col min="14621" max="14621" width="9.375" customWidth="1"/>
    <col min="14622" max="14622" width="10.75" customWidth="1"/>
    <col min="14623" max="14623" width="8.25" customWidth="1"/>
    <col min="14624" max="14624" width="7.625" customWidth="1"/>
    <col min="14625" max="14625" width="7.75" customWidth="1"/>
    <col min="14626" max="14626" width="9.625" customWidth="1"/>
    <col min="14627" max="14627" width="10.375" customWidth="1"/>
    <col min="14628" max="14628" width="33.375" customWidth="1"/>
    <col min="14629" max="14629" width="7.75" customWidth="1"/>
    <col min="14849" max="14849" width="11.875" customWidth="1"/>
    <col min="14850" max="14850" width="8.625" customWidth="1"/>
    <col min="14851" max="14851" width="6.625" customWidth="1"/>
    <col min="14852" max="14852" width="10.75" customWidth="1"/>
    <col min="14853" max="14853" width="9.25" customWidth="1"/>
    <col min="14854" max="14854" width="15.125" customWidth="1"/>
    <col min="14855" max="14855" width="32.625" customWidth="1"/>
    <col min="14856" max="14856" width="6.25" customWidth="1"/>
    <col min="14857" max="14857" width="31.125" customWidth="1"/>
    <col min="14858" max="14858" width="19.375" customWidth="1"/>
    <col min="14859" max="14859" width="5.875" customWidth="1"/>
    <col min="14860" max="14860" width="6.125" customWidth="1"/>
    <col min="14861" max="14861" width="15.125" customWidth="1"/>
    <col min="14862" max="14862" width="17.625" customWidth="1"/>
    <col min="14863" max="14863" width="9.25" customWidth="1"/>
    <col min="14864" max="14864" width="12.125" customWidth="1"/>
    <col min="14865" max="14865" width="32.75" customWidth="1"/>
    <col min="14866" max="14866" width="7.125" customWidth="1"/>
    <col min="14867" max="14867" width="10.875" customWidth="1"/>
    <col min="14868" max="14868" width="8.875" customWidth="1"/>
    <col min="14869" max="14869" width="6.25" customWidth="1"/>
    <col min="14870" max="14870" width="10.375" customWidth="1"/>
    <col min="14871" max="14871" width="6" customWidth="1"/>
    <col min="14872" max="14872" width="10.375" customWidth="1"/>
    <col min="14873" max="14873" width="5.875" customWidth="1"/>
    <col min="14874" max="14874" width="8" customWidth="1"/>
    <col min="14875" max="14875" width="8.875" customWidth="1"/>
    <col min="14876" max="14876" width="7.625" customWidth="1"/>
    <col min="14877" max="14877" width="9.375" customWidth="1"/>
    <col min="14878" max="14878" width="10.75" customWidth="1"/>
    <col min="14879" max="14879" width="8.25" customWidth="1"/>
    <col min="14880" max="14880" width="7.625" customWidth="1"/>
    <col min="14881" max="14881" width="7.75" customWidth="1"/>
    <col min="14882" max="14882" width="9.625" customWidth="1"/>
    <col min="14883" max="14883" width="10.375" customWidth="1"/>
    <col min="14884" max="14884" width="33.375" customWidth="1"/>
    <col min="14885" max="14885" width="7.75" customWidth="1"/>
    <col min="15105" max="15105" width="11.875" customWidth="1"/>
    <col min="15106" max="15106" width="8.625" customWidth="1"/>
    <col min="15107" max="15107" width="6.625" customWidth="1"/>
    <col min="15108" max="15108" width="10.75" customWidth="1"/>
    <col min="15109" max="15109" width="9.25" customWidth="1"/>
    <col min="15110" max="15110" width="15.125" customWidth="1"/>
    <col min="15111" max="15111" width="32.625" customWidth="1"/>
    <col min="15112" max="15112" width="6.25" customWidth="1"/>
    <col min="15113" max="15113" width="31.125" customWidth="1"/>
    <col min="15114" max="15114" width="19.375" customWidth="1"/>
    <col min="15115" max="15115" width="5.875" customWidth="1"/>
    <col min="15116" max="15116" width="6.125" customWidth="1"/>
    <col min="15117" max="15117" width="15.125" customWidth="1"/>
    <col min="15118" max="15118" width="17.625" customWidth="1"/>
    <col min="15119" max="15119" width="9.25" customWidth="1"/>
    <col min="15120" max="15120" width="12.125" customWidth="1"/>
    <col min="15121" max="15121" width="32.75" customWidth="1"/>
    <col min="15122" max="15122" width="7.125" customWidth="1"/>
    <col min="15123" max="15123" width="10.875" customWidth="1"/>
    <col min="15124" max="15124" width="8.875" customWidth="1"/>
    <col min="15125" max="15125" width="6.25" customWidth="1"/>
    <col min="15126" max="15126" width="10.375" customWidth="1"/>
    <col min="15127" max="15127" width="6" customWidth="1"/>
    <col min="15128" max="15128" width="10.375" customWidth="1"/>
    <col min="15129" max="15129" width="5.875" customWidth="1"/>
    <col min="15130" max="15130" width="8" customWidth="1"/>
    <col min="15131" max="15131" width="8.875" customWidth="1"/>
    <col min="15132" max="15132" width="7.625" customWidth="1"/>
    <col min="15133" max="15133" width="9.375" customWidth="1"/>
    <col min="15134" max="15134" width="10.75" customWidth="1"/>
    <col min="15135" max="15135" width="8.25" customWidth="1"/>
    <col min="15136" max="15136" width="7.625" customWidth="1"/>
    <col min="15137" max="15137" width="7.75" customWidth="1"/>
    <col min="15138" max="15138" width="9.625" customWidth="1"/>
    <col min="15139" max="15139" width="10.375" customWidth="1"/>
    <col min="15140" max="15140" width="33.375" customWidth="1"/>
    <col min="15141" max="15141" width="7.75" customWidth="1"/>
    <col min="15361" max="15361" width="11.875" customWidth="1"/>
    <col min="15362" max="15362" width="8.625" customWidth="1"/>
    <col min="15363" max="15363" width="6.625" customWidth="1"/>
    <col min="15364" max="15364" width="10.75" customWidth="1"/>
    <col min="15365" max="15365" width="9.25" customWidth="1"/>
    <col min="15366" max="15366" width="15.125" customWidth="1"/>
    <col min="15367" max="15367" width="32.625" customWidth="1"/>
    <col min="15368" max="15368" width="6.25" customWidth="1"/>
    <col min="15369" max="15369" width="31.125" customWidth="1"/>
    <col min="15370" max="15370" width="19.375" customWidth="1"/>
    <col min="15371" max="15371" width="5.875" customWidth="1"/>
    <col min="15372" max="15372" width="6.125" customWidth="1"/>
    <col min="15373" max="15373" width="15.125" customWidth="1"/>
    <col min="15374" max="15374" width="17.625" customWidth="1"/>
    <col min="15375" max="15375" width="9.25" customWidth="1"/>
    <col min="15376" max="15376" width="12.125" customWidth="1"/>
    <col min="15377" max="15377" width="32.75" customWidth="1"/>
    <col min="15378" max="15378" width="7.125" customWidth="1"/>
    <col min="15379" max="15379" width="10.875" customWidth="1"/>
    <col min="15380" max="15380" width="8.875" customWidth="1"/>
    <col min="15381" max="15381" width="6.25" customWidth="1"/>
    <col min="15382" max="15382" width="10.375" customWidth="1"/>
    <col min="15383" max="15383" width="6" customWidth="1"/>
    <col min="15384" max="15384" width="10.375" customWidth="1"/>
    <col min="15385" max="15385" width="5.875" customWidth="1"/>
    <col min="15386" max="15386" width="8" customWidth="1"/>
    <col min="15387" max="15387" width="8.875" customWidth="1"/>
    <col min="15388" max="15388" width="7.625" customWidth="1"/>
    <col min="15389" max="15389" width="9.375" customWidth="1"/>
    <col min="15390" max="15390" width="10.75" customWidth="1"/>
    <col min="15391" max="15391" width="8.25" customWidth="1"/>
    <col min="15392" max="15392" width="7.625" customWidth="1"/>
    <col min="15393" max="15393" width="7.75" customWidth="1"/>
    <col min="15394" max="15394" width="9.625" customWidth="1"/>
    <col min="15395" max="15395" width="10.375" customWidth="1"/>
    <col min="15396" max="15396" width="33.375" customWidth="1"/>
    <col min="15397" max="15397" width="7.75" customWidth="1"/>
    <col min="15617" max="15617" width="11.875" customWidth="1"/>
    <col min="15618" max="15618" width="8.625" customWidth="1"/>
    <col min="15619" max="15619" width="6.625" customWidth="1"/>
    <col min="15620" max="15620" width="10.75" customWidth="1"/>
    <col min="15621" max="15621" width="9.25" customWidth="1"/>
    <col min="15622" max="15622" width="15.125" customWidth="1"/>
    <col min="15623" max="15623" width="32.625" customWidth="1"/>
    <col min="15624" max="15624" width="6.25" customWidth="1"/>
    <col min="15625" max="15625" width="31.125" customWidth="1"/>
    <col min="15626" max="15626" width="19.375" customWidth="1"/>
    <col min="15627" max="15627" width="5.875" customWidth="1"/>
    <col min="15628" max="15628" width="6.125" customWidth="1"/>
    <col min="15629" max="15629" width="15.125" customWidth="1"/>
    <col min="15630" max="15630" width="17.625" customWidth="1"/>
    <col min="15631" max="15631" width="9.25" customWidth="1"/>
    <col min="15632" max="15632" width="12.125" customWidth="1"/>
    <col min="15633" max="15633" width="32.75" customWidth="1"/>
    <col min="15634" max="15634" width="7.125" customWidth="1"/>
    <col min="15635" max="15635" width="10.875" customWidth="1"/>
    <col min="15636" max="15636" width="8.875" customWidth="1"/>
    <col min="15637" max="15637" width="6.25" customWidth="1"/>
    <col min="15638" max="15638" width="10.375" customWidth="1"/>
    <col min="15639" max="15639" width="6" customWidth="1"/>
    <col min="15640" max="15640" width="10.375" customWidth="1"/>
    <col min="15641" max="15641" width="5.875" customWidth="1"/>
    <col min="15642" max="15642" width="8" customWidth="1"/>
    <col min="15643" max="15643" width="8.875" customWidth="1"/>
    <col min="15644" max="15644" width="7.625" customWidth="1"/>
    <col min="15645" max="15645" width="9.375" customWidth="1"/>
    <col min="15646" max="15646" width="10.75" customWidth="1"/>
    <col min="15647" max="15647" width="8.25" customWidth="1"/>
    <col min="15648" max="15648" width="7.625" customWidth="1"/>
    <col min="15649" max="15649" width="7.75" customWidth="1"/>
    <col min="15650" max="15650" width="9.625" customWidth="1"/>
    <col min="15651" max="15651" width="10.375" customWidth="1"/>
    <col min="15652" max="15652" width="33.375" customWidth="1"/>
    <col min="15653" max="15653" width="7.75" customWidth="1"/>
    <col min="15873" max="15873" width="11.875" customWidth="1"/>
    <col min="15874" max="15874" width="8.625" customWidth="1"/>
    <col min="15875" max="15875" width="6.625" customWidth="1"/>
    <col min="15876" max="15876" width="10.75" customWidth="1"/>
    <col min="15877" max="15877" width="9.25" customWidth="1"/>
    <col min="15878" max="15878" width="15.125" customWidth="1"/>
    <col min="15879" max="15879" width="32.625" customWidth="1"/>
    <col min="15880" max="15880" width="6.25" customWidth="1"/>
    <col min="15881" max="15881" width="31.125" customWidth="1"/>
    <col min="15882" max="15882" width="19.375" customWidth="1"/>
    <col min="15883" max="15883" width="5.875" customWidth="1"/>
    <col min="15884" max="15884" width="6.125" customWidth="1"/>
    <col min="15885" max="15885" width="15.125" customWidth="1"/>
    <col min="15886" max="15886" width="17.625" customWidth="1"/>
    <col min="15887" max="15887" width="9.25" customWidth="1"/>
    <col min="15888" max="15888" width="12.125" customWidth="1"/>
    <col min="15889" max="15889" width="32.75" customWidth="1"/>
    <col min="15890" max="15890" width="7.125" customWidth="1"/>
    <col min="15891" max="15891" width="10.875" customWidth="1"/>
    <col min="15892" max="15892" width="8.875" customWidth="1"/>
    <col min="15893" max="15893" width="6.25" customWidth="1"/>
    <col min="15894" max="15894" width="10.375" customWidth="1"/>
    <col min="15895" max="15895" width="6" customWidth="1"/>
    <col min="15896" max="15896" width="10.375" customWidth="1"/>
    <col min="15897" max="15897" width="5.875" customWidth="1"/>
    <col min="15898" max="15898" width="8" customWidth="1"/>
    <col min="15899" max="15899" width="8.875" customWidth="1"/>
    <col min="15900" max="15900" width="7.625" customWidth="1"/>
    <col min="15901" max="15901" width="9.375" customWidth="1"/>
    <col min="15902" max="15902" width="10.75" customWidth="1"/>
    <col min="15903" max="15903" width="8.25" customWidth="1"/>
    <col min="15904" max="15904" width="7.625" customWidth="1"/>
    <col min="15905" max="15905" width="7.75" customWidth="1"/>
    <col min="15906" max="15906" width="9.625" customWidth="1"/>
    <col min="15907" max="15907" width="10.375" customWidth="1"/>
    <col min="15908" max="15908" width="33.375" customWidth="1"/>
    <col min="15909" max="15909" width="7.75" customWidth="1"/>
    <col min="16129" max="16129" width="11.875" customWidth="1"/>
    <col min="16130" max="16130" width="8.625" customWidth="1"/>
    <col min="16131" max="16131" width="6.625" customWidth="1"/>
    <col min="16132" max="16132" width="10.75" customWidth="1"/>
    <col min="16133" max="16133" width="9.25" customWidth="1"/>
    <col min="16134" max="16134" width="15.125" customWidth="1"/>
    <col min="16135" max="16135" width="32.625" customWidth="1"/>
    <col min="16136" max="16136" width="6.25" customWidth="1"/>
    <col min="16137" max="16137" width="31.125" customWidth="1"/>
    <col min="16138" max="16138" width="19.375" customWidth="1"/>
    <col min="16139" max="16139" width="5.875" customWidth="1"/>
    <col min="16140" max="16140" width="6.125" customWidth="1"/>
    <col min="16141" max="16141" width="15.125" customWidth="1"/>
    <col min="16142" max="16142" width="17.625" customWidth="1"/>
    <col min="16143" max="16143" width="9.25" customWidth="1"/>
    <col min="16144" max="16144" width="12.125" customWidth="1"/>
    <col min="16145" max="16145" width="32.75" customWidth="1"/>
    <col min="16146" max="16146" width="7.125" customWidth="1"/>
    <col min="16147" max="16147" width="10.875" customWidth="1"/>
    <col min="16148" max="16148" width="8.875" customWidth="1"/>
    <col min="16149" max="16149" width="6.25" customWidth="1"/>
    <col min="16150" max="16150" width="10.375" customWidth="1"/>
    <col min="16151" max="16151" width="6" customWidth="1"/>
    <col min="16152" max="16152" width="10.375" customWidth="1"/>
    <col min="16153" max="16153" width="5.875" customWidth="1"/>
    <col min="16154" max="16154" width="8" customWidth="1"/>
    <col min="16155" max="16155" width="8.875" customWidth="1"/>
    <col min="16156" max="16156" width="7.625" customWidth="1"/>
    <col min="16157" max="16157" width="9.375" customWidth="1"/>
    <col min="16158" max="16158" width="10.75" customWidth="1"/>
    <col min="16159" max="16159" width="8.25" customWidth="1"/>
    <col min="16160" max="16160" width="7.625" customWidth="1"/>
    <col min="16161" max="16161" width="7.75" customWidth="1"/>
    <col min="16162" max="16162" width="9.625" customWidth="1"/>
    <col min="16163" max="16163" width="10.375" customWidth="1"/>
    <col min="16164" max="16164" width="33.375" customWidth="1"/>
    <col min="16165" max="16165" width="7.75" customWidth="1"/>
  </cols>
  <sheetData>
    <row r="1" ht="12" customHeight="1" spans="1:37" x14ac:dyDescent="0.25">
      <c r="A1" s="37" t="s">
        <v>407</v>
      </c>
      <c r="B1" s="37" t="s">
        <v>13</v>
      </c>
      <c r="C1" s="37" t="s">
        <v>408</v>
      </c>
      <c r="D1" s="37" t="s">
        <v>409</v>
      </c>
      <c r="E1" s="37" t="s">
        <v>410</v>
      </c>
      <c r="F1" s="37" t="s">
        <v>411</v>
      </c>
      <c r="G1" s="37" t="s">
        <v>22</v>
      </c>
      <c r="H1" s="37" t="s">
        <v>412</v>
      </c>
      <c r="I1" s="37" t="s">
        <v>20</v>
      </c>
      <c r="J1" s="37" t="s">
        <v>413</v>
      </c>
      <c r="K1" s="37" t="s">
        <v>414</v>
      </c>
      <c r="L1" s="37" t="s">
        <v>10</v>
      </c>
      <c r="M1" s="37" t="s">
        <v>415</v>
      </c>
      <c r="N1" s="37" t="s">
        <v>416</v>
      </c>
      <c r="O1" s="37" t="s">
        <v>417</v>
      </c>
      <c r="P1" s="37" t="s">
        <v>418</v>
      </c>
      <c r="Q1" s="37" t="s">
        <v>419</v>
      </c>
      <c r="R1" s="37" t="s">
        <v>2</v>
      </c>
      <c r="S1" s="37" t="s">
        <v>3</v>
      </c>
      <c r="T1" s="37" t="s">
        <v>420</v>
      </c>
      <c r="U1" s="37" t="s">
        <v>166</v>
      </c>
      <c r="V1" s="37" t="s">
        <v>421</v>
      </c>
      <c r="W1" s="37" t="s">
        <v>170</v>
      </c>
      <c r="X1" s="37" t="s">
        <v>422</v>
      </c>
      <c r="Y1" s="37" t="s">
        <v>162</v>
      </c>
      <c r="Z1" s="37" t="s">
        <v>423</v>
      </c>
      <c r="AA1" s="37" t="s">
        <v>424</v>
      </c>
      <c r="AB1" s="37" t="s">
        <v>425</v>
      </c>
      <c r="AC1" s="37" t="s">
        <v>426</v>
      </c>
      <c r="AD1" s="37" t="s">
        <v>427</v>
      </c>
      <c r="AE1" s="37" t="s">
        <v>428</v>
      </c>
      <c r="AF1" s="37" t="s">
        <v>429</v>
      </c>
      <c r="AG1" s="37" t="s">
        <v>430</v>
      </c>
      <c r="AH1" s="37" t="s">
        <v>431</v>
      </c>
      <c r="AI1" s="37" t="s">
        <v>432</v>
      </c>
      <c r="AJ1" s="37" t="s">
        <v>433</v>
      </c>
      <c r="AK1" s="37" t="s">
        <v>434</v>
      </c>
    </row>
    <row r="2" ht="12" customHeight="1" spans="1:37" x14ac:dyDescent="0.25">
      <c r="A2" s="38" t="s">
        <v>29</v>
      </c>
      <c r="B2" s="38" t="s">
        <v>40</v>
      </c>
      <c r="C2" s="38" t="s">
        <v>435</v>
      </c>
      <c r="D2" s="39" t="s">
        <v>436</v>
      </c>
      <c r="E2" s="40" t="s">
        <v>437</v>
      </c>
      <c r="F2" s="3" t="s">
        <v>43</v>
      </c>
      <c r="G2" s="3" t="s">
        <v>46</v>
      </c>
      <c r="H2" s="41" t="s">
        <v>33</v>
      </c>
      <c r="I2" s="3" t="s">
        <v>438</v>
      </c>
      <c r="J2" s="3" t="s">
        <v>439</v>
      </c>
      <c r="K2" s="3"/>
      <c r="L2" s="41" t="s">
        <v>440</v>
      </c>
      <c r="M2" s="3" t="s">
        <v>43</v>
      </c>
      <c r="N2" s="3" t="s">
        <v>441</v>
      </c>
      <c r="O2" s="41" t="s">
        <v>442</v>
      </c>
      <c r="P2" s="41"/>
      <c r="Q2" s="41"/>
      <c r="R2" s="3" t="s">
        <v>31</v>
      </c>
      <c r="S2" s="3" t="s">
        <v>32</v>
      </c>
      <c r="T2" s="3" t="s">
        <v>40</v>
      </c>
      <c r="U2" s="3" t="s">
        <v>35</v>
      </c>
      <c r="V2" s="4" t="s">
        <v>30</v>
      </c>
      <c r="W2" s="3" t="s">
        <v>36</v>
      </c>
      <c r="X2" s="4" t="s">
        <v>249</v>
      </c>
      <c r="Y2" s="5"/>
      <c r="Z2" s="5"/>
      <c r="AA2" s="5"/>
      <c r="AB2" s="5"/>
      <c r="AC2" s="5"/>
      <c r="AD2" s="4" t="s">
        <v>436</v>
      </c>
      <c r="AE2" s="42" t="s">
        <v>443</v>
      </c>
      <c r="AF2" s="3" t="s">
        <v>439</v>
      </c>
      <c r="AG2" s="5"/>
      <c r="AH2" s="5"/>
      <c r="AI2" s="5"/>
      <c r="AJ2" s="3" t="s">
        <v>48</v>
      </c>
      <c r="AK2" s="43"/>
    </row>
    <row r="3" ht="12" customHeight="1" spans="1:37" x14ac:dyDescent="0.25">
      <c r="A3" s="38" t="s">
        <v>50</v>
      </c>
      <c r="B3" s="38" t="s">
        <v>40</v>
      </c>
      <c r="C3" s="38" t="s">
        <v>435</v>
      </c>
      <c r="D3" s="39" t="s">
        <v>267</v>
      </c>
      <c r="E3" s="40" t="s">
        <v>444</v>
      </c>
      <c r="F3" s="3" t="s">
        <v>54</v>
      </c>
      <c r="G3" s="3" t="s">
        <v>57</v>
      </c>
      <c r="H3" s="41" t="s">
        <v>51</v>
      </c>
      <c r="I3" s="3" t="s">
        <v>438</v>
      </c>
      <c r="J3" s="3" t="s">
        <v>439</v>
      </c>
      <c r="K3" s="3"/>
      <c r="L3" s="41" t="s">
        <v>440</v>
      </c>
      <c r="M3" s="3" t="s">
        <v>54</v>
      </c>
      <c r="N3" s="3" t="s">
        <v>445</v>
      </c>
      <c r="O3" s="41" t="s">
        <v>446</v>
      </c>
      <c r="P3" s="41" t="s">
        <v>447</v>
      </c>
      <c r="Q3" s="41" t="s">
        <v>448</v>
      </c>
      <c r="R3" s="3" t="s">
        <v>31</v>
      </c>
      <c r="S3" s="3" t="s">
        <v>32</v>
      </c>
      <c r="T3" s="3" t="s">
        <v>40</v>
      </c>
      <c r="U3" s="3" t="s">
        <v>35</v>
      </c>
      <c r="V3" s="4" t="s">
        <v>30</v>
      </c>
      <c r="W3" s="3" t="s">
        <v>53</v>
      </c>
      <c r="X3" s="4" t="s">
        <v>449</v>
      </c>
      <c r="Y3" s="5"/>
      <c r="Z3" s="5"/>
      <c r="AA3" s="5"/>
      <c r="AB3" s="5"/>
      <c r="AC3" s="5"/>
      <c r="AD3" s="4" t="s">
        <v>267</v>
      </c>
      <c r="AE3" s="42" t="s">
        <v>450</v>
      </c>
      <c r="AF3" s="3" t="s">
        <v>439</v>
      </c>
      <c r="AG3" s="5"/>
      <c r="AH3" s="5"/>
      <c r="AI3" s="5"/>
      <c r="AJ3" s="3" t="s">
        <v>58</v>
      </c>
      <c r="AK3" s="43"/>
    </row>
    <row r="4" ht="12" customHeight="1" spans="1:37" x14ac:dyDescent="0.25">
      <c r="A4" s="38" t="s">
        <v>60</v>
      </c>
      <c r="B4" s="38" t="s">
        <v>40</v>
      </c>
      <c r="C4" s="38" t="s">
        <v>435</v>
      </c>
      <c r="D4" s="39" t="s">
        <v>321</v>
      </c>
      <c r="E4" s="40" t="s">
        <v>451</v>
      </c>
      <c r="F4" s="3" t="s">
        <v>43</v>
      </c>
      <c r="G4" s="3" t="s">
        <v>46</v>
      </c>
      <c r="H4" s="41" t="s">
        <v>33</v>
      </c>
      <c r="I4" s="3" t="s">
        <v>438</v>
      </c>
      <c r="J4" s="3" t="s">
        <v>439</v>
      </c>
      <c r="K4" s="3"/>
      <c r="L4" s="41" t="s">
        <v>440</v>
      </c>
      <c r="M4" s="3" t="s">
        <v>43</v>
      </c>
      <c r="N4" s="3" t="s">
        <v>441</v>
      </c>
      <c r="O4" s="41" t="s">
        <v>452</v>
      </c>
      <c r="P4" s="41"/>
      <c r="Q4" s="41"/>
      <c r="R4" s="3" t="s">
        <v>31</v>
      </c>
      <c r="S4" s="3" t="s">
        <v>32</v>
      </c>
      <c r="T4" s="3" t="s">
        <v>40</v>
      </c>
      <c r="U4" s="3" t="s">
        <v>35</v>
      </c>
      <c r="V4" s="4" t="s">
        <v>30</v>
      </c>
      <c r="W4" s="3" t="s">
        <v>36</v>
      </c>
      <c r="X4" s="4" t="s">
        <v>249</v>
      </c>
      <c r="Y4" s="5"/>
      <c r="Z4" s="5"/>
      <c r="AA4" s="5"/>
      <c r="AB4" s="5"/>
      <c r="AC4" s="5"/>
      <c r="AD4" s="4" t="s">
        <v>321</v>
      </c>
      <c r="AE4" s="42" t="s">
        <v>453</v>
      </c>
      <c r="AF4" s="3" t="s">
        <v>439</v>
      </c>
      <c r="AG4" s="5"/>
      <c r="AH4" s="5"/>
      <c r="AI4" s="5"/>
      <c r="AJ4" s="3" t="s">
        <v>48</v>
      </c>
      <c r="AK4" s="43"/>
    </row>
    <row r="5" ht="12" customHeight="1" spans="1:37" x14ac:dyDescent="0.25">
      <c r="A5" s="38" t="s">
        <v>63</v>
      </c>
      <c r="B5" s="38" t="s">
        <v>40</v>
      </c>
      <c r="C5" s="38" t="s">
        <v>435</v>
      </c>
      <c r="D5" s="39" t="s">
        <v>321</v>
      </c>
      <c r="E5" s="40" t="s">
        <v>454</v>
      </c>
      <c r="F5" s="3" t="s">
        <v>43</v>
      </c>
      <c r="G5" s="3" t="s">
        <v>46</v>
      </c>
      <c r="H5" s="41" t="s">
        <v>33</v>
      </c>
      <c r="I5" s="3" t="s">
        <v>438</v>
      </c>
      <c r="J5" s="3" t="s">
        <v>439</v>
      </c>
      <c r="K5" s="3"/>
      <c r="L5" s="41" t="s">
        <v>440</v>
      </c>
      <c r="M5" s="3" t="s">
        <v>43</v>
      </c>
      <c r="N5" s="3" t="s">
        <v>441</v>
      </c>
      <c r="O5" s="41" t="s">
        <v>455</v>
      </c>
      <c r="P5" s="41"/>
      <c r="Q5" s="41"/>
      <c r="R5" s="3" t="s">
        <v>31</v>
      </c>
      <c r="S5" s="3" t="s">
        <v>32</v>
      </c>
      <c r="T5" s="3" t="s">
        <v>40</v>
      </c>
      <c r="U5" s="3" t="s">
        <v>35</v>
      </c>
      <c r="V5" s="4" t="s">
        <v>30</v>
      </c>
      <c r="W5" s="3" t="s">
        <v>36</v>
      </c>
      <c r="X5" s="4" t="s">
        <v>249</v>
      </c>
      <c r="Y5" s="5"/>
      <c r="Z5" s="5"/>
      <c r="AA5" s="5"/>
      <c r="AB5" s="5"/>
      <c r="AC5" s="5"/>
      <c r="AD5" s="4" t="s">
        <v>321</v>
      </c>
      <c r="AE5" s="42" t="s">
        <v>450</v>
      </c>
      <c r="AF5" s="3" t="s">
        <v>439</v>
      </c>
      <c r="AG5" s="5"/>
      <c r="AH5" s="5"/>
      <c r="AI5" s="5"/>
      <c r="AJ5" s="3" t="s">
        <v>48</v>
      </c>
      <c r="AK5" s="43"/>
    </row>
    <row r="6" ht="12" customHeight="1" spans="1:37" x14ac:dyDescent="0.25">
      <c r="A6" s="38" t="s">
        <v>64</v>
      </c>
      <c r="B6" s="38" t="s">
        <v>40</v>
      </c>
      <c r="C6" s="38" t="s">
        <v>435</v>
      </c>
      <c r="D6" s="39" t="s">
        <v>321</v>
      </c>
      <c r="E6" s="40" t="s">
        <v>456</v>
      </c>
      <c r="F6" s="3" t="s">
        <v>43</v>
      </c>
      <c r="G6" s="3" t="s">
        <v>46</v>
      </c>
      <c r="H6" s="41" t="s">
        <v>33</v>
      </c>
      <c r="I6" s="3" t="s">
        <v>438</v>
      </c>
      <c r="J6" s="3" t="s">
        <v>439</v>
      </c>
      <c r="K6" s="3"/>
      <c r="L6" s="41" t="s">
        <v>440</v>
      </c>
      <c r="M6" s="3" t="s">
        <v>43</v>
      </c>
      <c r="N6" s="3" t="s">
        <v>441</v>
      </c>
      <c r="O6" s="41" t="s">
        <v>457</v>
      </c>
      <c r="P6" s="41"/>
      <c r="Q6" s="41"/>
      <c r="R6" s="3" t="s">
        <v>31</v>
      </c>
      <c r="S6" s="3" t="s">
        <v>32</v>
      </c>
      <c r="T6" s="3" t="s">
        <v>40</v>
      </c>
      <c r="U6" s="3" t="s">
        <v>35</v>
      </c>
      <c r="V6" s="4" t="s">
        <v>30</v>
      </c>
      <c r="W6" s="3" t="s">
        <v>36</v>
      </c>
      <c r="X6" s="4" t="s">
        <v>249</v>
      </c>
      <c r="Y6" s="5"/>
      <c r="Z6" s="5"/>
      <c r="AA6" s="5"/>
      <c r="AB6" s="5"/>
      <c r="AC6" s="5"/>
      <c r="AD6" s="4" t="s">
        <v>321</v>
      </c>
      <c r="AE6" s="42" t="s">
        <v>443</v>
      </c>
      <c r="AF6" s="3" t="s">
        <v>439</v>
      </c>
      <c r="AG6" s="5"/>
      <c r="AH6" s="5"/>
      <c r="AI6" s="5"/>
      <c r="AJ6" s="3" t="s">
        <v>48</v>
      </c>
      <c r="AK6" s="43"/>
    </row>
    <row r="7" ht="12" customHeight="1" spans="1:37" x14ac:dyDescent="0.25">
      <c r="A7" s="38" t="s">
        <v>65</v>
      </c>
      <c r="B7" s="38" t="s">
        <v>40</v>
      </c>
      <c r="C7" s="38" t="s">
        <v>435</v>
      </c>
      <c r="D7" s="39" t="s">
        <v>321</v>
      </c>
      <c r="E7" s="40" t="s">
        <v>458</v>
      </c>
      <c r="F7" s="3" t="s">
        <v>43</v>
      </c>
      <c r="G7" s="3" t="s">
        <v>46</v>
      </c>
      <c r="H7" s="41" t="s">
        <v>33</v>
      </c>
      <c r="I7" s="3" t="s">
        <v>438</v>
      </c>
      <c r="J7" s="3" t="s">
        <v>439</v>
      </c>
      <c r="K7" s="3"/>
      <c r="L7" s="41" t="s">
        <v>440</v>
      </c>
      <c r="M7" s="3" t="s">
        <v>43</v>
      </c>
      <c r="N7" s="3" t="s">
        <v>441</v>
      </c>
      <c r="O7" s="41" t="s">
        <v>457</v>
      </c>
      <c r="P7" s="41"/>
      <c r="Q7" s="41"/>
      <c r="R7" s="3" t="s">
        <v>31</v>
      </c>
      <c r="S7" s="3" t="s">
        <v>32</v>
      </c>
      <c r="T7" s="3" t="s">
        <v>40</v>
      </c>
      <c r="U7" s="3" t="s">
        <v>35</v>
      </c>
      <c r="V7" s="4" t="s">
        <v>30</v>
      </c>
      <c r="W7" s="3" t="s">
        <v>36</v>
      </c>
      <c r="X7" s="4" t="s">
        <v>249</v>
      </c>
      <c r="Y7" s="5"/>
      <c r="Z7" s="5"/>
      <c r="AA7" s="5"/>
      <c r="AB7" s="5"/>
      <c r="AC7" s="5"/>
      <c r="AD7" s="4" t="s">
        <v>321</v>
      </c>
      <c r="AE7" s="42" t="s">
        <v>450</v>
      </c>
      <c r="AF7" s="3" t="s">
        <v>439</v>
      </c>
      <c r="AG7" s="5"/>
      <c r="AH7" s="5"/>
      <c r="AI7" s="5"/>
      <c r="AJ7" s="3" t="s">
        <v>48</v>
      </c>
      <c r="AK7" s="43"/>
    </row>
    <row r="8" ht="12" customHeight="1" spans="1:37" x14ac:dyDescent="0.25">
      <c r="A8" s="38" t="s">
        <v>66</v>
      </c>
      <c r="B8" s="38" t="s">
        <v>40</v>
      </c>
      <c r="C8" s="38" t="s">
        <v>435</v>
      </c>
      <c r="D8" s="39" t="s">
        <v>321</v>
      </c>
      <c r="E8" s="40" t="s">
        <v>459</v>
      </c>
      <c r="F8" s="3" t="s">
        <v>70</v>
      </c>
      <c r="G8" s="3" t="s">
        <v>298</v>
      </c>
      <c r="H8" s="41" t="s">
        <v>67</v>
      </c>
      <c r="I8" s="3" t="s">
        <v>438</v>
      </c>
      <c r="J8" s="3" t="s">
        <v>439</v>
      </c>
      <c r="K8" s="3"/>
      <c r="L8" s="41" t="s">
        <v>440</v>
      </c>
      <c r="M8" s="3" t="s">
        <v>70</v>
      </c>
      <c r="N8" s="3" t="s">
        <v>460</v>
      </c>
      <c r="O8" s="41" t="s">
        <v>442</v>
      </c>
      <c r="P8" s="41"/>
      <c r="Q8" s="41"/>
      <c r="R8" s="3" t="s">
        <v>31</v>
      </c>
      <c r="S8" s="3" t="s">
        <v>32</v>
      </c>
      <c r="T8" s="3" t="s">
        <v>40</v>
      </c>
      <c r="U8" s="3" t="s">
        <v>35</v>
      </c>
      <c r="V8" s="4" t="s">
        <v>30</v>
      </c>
      <c r="W8" s="3" t="s">
        <v>68</v>
      </c>
      <c r="X8" s="4" t="s">
        <v>296</v>
      </c>
      <c r="Y8" s="5"/>
      <c r="Z8" s="5"/>
      <c r="AA8" s="5"/>
      <c r="AB8" s="5"/>
      <c r="AC8" s="5"/>
      <c r="AD8" s="4" t="s">
        <v>267</v>
      </c>
      <c r="AE8" s="42" t="s">
        <v>461</v>
      </c>
      <c r="AF8" s="3" t="s">
        <v>439</v>
      </c>
      <c r="AG8" s="5"/>
      <c r="AH8" s="5"/>
      <c r="AI8" s="5"/>
      <c r="AJ8" s="3" t="s">
        <v>73</v>
      </c>
      <c r="AK8" s="43"/>
    </row>
    <row r="9" ht="12" customHeight="1" spans="1:37" x14ac:dyDescent="0.25">
      <c r="A9" s="38" t="s">
        <v>75</v>
      </c>
      <c r="B9" s="38" t="s">
        <v>40</v>
      </c>
      <c r="C9" s="38" t="s">
        <v>435</v>
      </c>
      <c r="D9" s="39" t="s">
        <v>385</v>
      </c>
      <c r="E9" s="40" t="s">
        <v>462</v>
      </c>
      <c r="F9" s="3" t="s">
        <v>77</v>
      </c>
      <c r="G9" s="3" t="s">
        <v>79</v>
      </c>
      <c r="H9" s="41" t="s">
        <v>67</v>
      </c>
      <c r="I9" s="3" t="s">
        <v>438</v>
      </c>
      <c r="J9" s="3" t="s">
        <v>439</v>
      </c>
      <c r="K9" s="3"/>
      <c r="L9" s="41" t="s">
        <v>440</v>
      </c>
      <c r="M9" s="3" t="s">
        <v>77</v>
      </c>
      <c r="N9" s="3" t="s">
        <v>463</v>
      </c>
      <c r="O9" s="41" t="s">
        <v>464</v>
      </c>
      <c r="P9" s="41"/>
      <c r="Q9" s="41"/>
      <c r="R9" s="3" t="s">
        <v>31</v>
      </c>
      <c r="S9" s="3" t="s">
        <v>32</v>
      </c>
      <c r="T9" s="3" t="s">
        <v>40</v>
      </c>
      <c r="U9" s="3" t="s">
        <v>35</v>
      </c>
      <c r="V9" s="4" t="s">
        <v>30</v>
      </c>
      <c r="W9" s="3" t="s">
        <v>76</v>
      </c>
      <c r="X9" s="4" t="s">
        <v>449</v>
      </c>
      <c r="Y9" s="5"/>
      <c r="Z9" s="5"/>
      <c r="AA9" s="5"/>
      <c r="AB9" s="5"/>
      <c r="AC9" s="5"/>
      <c r="AD9" s="4" t="s">
        <v>385</v>
      </c>
      <c r="AE9" s="42" t="s">
        <v>465</v>
      </c>
      <c r="AF9" s="3" t="s">
        <v>439</v>
      </c>
      <c r="AG9" s="5"/>
      <c r="AH9" s="5"/>
      <c r="AI9" s="5"/>
      <c r="AJ9" s="3" t="s">
        <v>80</v>
      </c>
      <c r="AK9" s="43"/>
    </row>
    <row r="10" ht="12" customHeight="1" spans="1:37" x14ac:dyDescent="0.25">
      <c r="A10" s="38" t="s">
        <v>82</v>
      </c>
      <c r="B10" s="38" t="s">
        <v>40</v>
      </c>
      <c r="C10" s="38" t="s">
        <v>435</v>
      </c>
      <c r="D10" s="39" t="s">
        <v>385</v>
      </c>
      <c r="E10" s="40" t="s">
        <v>466</v>
      </c>
      <c r="F10" s="3" t="s">
        <v>83</v>
      </c>
      <c r="G10" s="3" t="s">
        <v>250</v>
      </c>
      <c r="H10" s="41" t="s">
        <v>67</v>
      </c>
      <c r="I10" s="3" t="s">
        <v>438</v>
      </c>
      <c r="J10" s="3" t="s">
        <v>439</v>
      </c>
      <c r="K10" s="3"/>
      <c r="L10" s="41" t="s">
        <v>440</v>
      </c>
      <c r="M10" s="3" t="s">
        <v>83</v>
      </c>
      <c r="N10" s="3" t="s">
        <v>467</v>
      </c>
      <c r="O10" s="41" t="s">
        <v>464</v>
      </c>
      <c r="P10" s="41"/>
      <c r="Q10" s="41"/>
      <c r="R10" s="3" t="s">
        <v>31</v>
      </c>
      <c r="S10" s="3" t="s">
        <v>32</v>
      </c>
      <c r="T10" s="3" t="s">
        <v>40</v>
      </c>
      <c r="U10" s="3" t="s">
        <v>35</v>
      </c>
      <c r="V10" s="4" t="s">
        <v>30</v>
      </c>
      <c r="W10" s="3" t="s">
        <v>36</v>
      </c>
      <c r="X10" s="4" t="s">
        <v>249</v>
      </c>
      <c r="Y10" s="5"/>
      <c r="Z10" s="5"/>
      <c r="AA10" s="5"/>
      <c r="AB10" s="5"/>
      <c r="AC10" s="5"/>
      <c r="AD10" s="4" t="s">
        <v>385</v>
      </c>
      <c r="AE10" s="42" t="s">
        <v>468</v>
      </c>
      <c r="AF10" s="3" t="s">
        <v>439</v>
      </c>
      <c r="AG10" s="5"/>
      <c r="AH10" s="5"/>
      <c r="AI10" s="5"/>
      <c r="AJ10" s="3" t="s">
        <v>85</v>
      </c>
      <c r="AK10" s="43"/>
    </row>
    <row r="11" ht="12" customHeight="1" spans="1:37" x14ac:dyDescent="0.25">
      <c r="A11" s="38" t="s">
        <v>86</v>
      </c>
      <c r="B11" s="38" t="s">
        <v>40</v>
      </c>
      <c r="C11" s="38" t="s">
        <v>435</v>
      </c>
      <c r="D11" s="39" t="s">
        <v>267</v>
      </c>
      <c r="E11" s="40" t="s">
        <v>469</v>
      </c>
      <c r="F11" s="3" t="s">
        <v>70</v>
      </c>
      <c r="G11" s="3" t="s">
        <v>298</v>
      </c>
      <c r="H11" s="41" t="s">
        <v>67</v>
      </c>
      <c r="I11" s="3" t="s">
        <v>438</v>
      </c>
      <c r="J11" s="3" t="s">
        <v>439</v>
      </c>
      <c r="K11" s="3"/>
      <c r="L11" s="41" t="s">
        <v>440</v>
      </c>
      <c r="M11" s="3" t="s">
        <v>70</v>
      </c>
      <c r="N11" s="3" t="s">
        <v>460</v>
      </c>
      <c r="O11" s="41" t="s">
        <v>464</v>
      </c>
      <c r="P11" s="41"/>
      <c r="Q11" s="41"/>
      <c r="R11" s="3" t="s">
        <v>31</v>
      </c>
      <c r="S11" s="3" t="s">
        <v>32</v>
      </c>
      <c r="T11" s="3" t="s">
        <v>40</v>
      </c>
      <c r="U11" s="3" t="s">
        <v>35</v>
      </c>
      <c r="V11" s="4" t="s">
        <v>30</v>
      </c>
      <c r="W11" s="3" t="s">
        <v>68</v>
      </c>
      <c r="X11" s="4" t="s">
        <v>296</v>
      </c>
      <c r="Y11" s="5"/>
      <c r="Z11" s="5"/>
      <c r="AA11" s="5"/>
      <c r="AB11" s="5"/>
      <c r="AC11" s="5"/>
      <c r="AD11" s="4" t="s">
        <v>267</v>
      </c>
      <c r="AE11" s="42" t="s">
        <v>470</v>
      </c>
      <c r="AF11" s="3" t="s">
        <v>439</v>
      </c>
      <c r="AG11" s="5"/>
      <c r="AH11" s="5"/>
      <c r="AI11" s="5"/>
      <c r="AJ11" s="3" t="s">
        <v>73</v>
      </c>
      <c r="AK11" s="43"/>
    </row>
    <row r="12" ht="12" customHeight="1" spans="1:37" x14ac:dyDescent="0.25">
      <c r="A12" s="38" t="s">
        <v>87</v>
      </c>
      <c r="B12" s="38" t="s">
        <v>40</v>
      </c>
      <c r="C12" s="38" t="s">
        <v>435</v>
      </c>
      <c r="D12" s="39" t="s">
        <v>385</v>
      </c>
      <c r="E12" s="40" t="s">
        <v>471</v>
      </c>
      <c r="F12" s="3" t="s">
        <v>77</v>
      </c>
      <c r="G12" s="3" t="s">
        <v>79</v>
      </c>
      <c r="H12" s="41" t="s">
        <v>67</v>
      </c>
      <c r="I12" s="3" t="s">
        <v>438</v>
      </c>
      <c r="J12" s="3" t="s">
        <v>439</v>
      </c>
      <c r="K12" s="3"/>
      <c r="L12" s="41" t="s">
        <v>440</v>
      </c>
      <c r="M12" s="3" t="s">
        <v>77</v>
      </c>
      <c r="N12" s="3" t="s">
        <v>463</v>
      </c>
      <c r="O12" s="41" t="s">
        <v>464</v>
      </c>
      <c r="P12" s="41"/>
      <c r="Q12" s="41"/>
      <c r="R12" s="3" t="s">
        <v>31</v>
      </c>
      <c r="S12" s="3" t="s">
        <v>32</v>
      </c>
      <c r="T12" s="3" t="s">
        <v>40</v>
      </c>
      <c r="U12" s="3" t="s">
        <v>35</v>
      </c>
      <c r="V12" s="4" t="s">
        <v>30</v>
      </c>
      <c r="W12" s="3" t="s">
        <v>76</v>
      </c>
      <c r="X12" s="4" t="s">
        <v>449</v>
      </c>
      <c r="Y12" s="5"/>
      <c r="Z12" s="5"/>
      <c r="AA12" s="5"/>
      <c r="AB12" s="5"/>
      <c r="AC12" s="5"/>
      <c r="AD12" s="4" t="s">
        <v>385</v>
      </c>
      <c r="AE12" s="42" t="s">
        <v>465</v>
      </c>
      <c r="AF12" s="3" t="s">
        <v>439</v>
      </c>
      <c r="AG12" s="5"/>
      <c r="AH12" s="5"/>
      <c r="AI12" s="5"/>
      <c r="AJ12" s="3" t="s">
        <v>80</v>
      </c>
      <c r="AK12" s="43"/>
    </row>
    <row r="13" ht="12" customHeight="1" spans="1:37" x14ac:dyDescent="0.25">
      <c r="A13" s="38" t="s">
        <v>89</v>
      </c>
      <c r="B13" s="38" t="s">
        <v>40</v>
      </c>
      <c r="C13" s="38" t="s">
        <v>435</v>
      </c>
      <c r="D13" s="39" t="s">
        <v>321</v>
      </c>
      <c r="E13" s="40" t="s">
        <v>472</v>
      </c>
      <c r="F13" s="3" t="s">
        <v>43</v>
      </c>
      <c r="G13" s="3" t="s">
        <v>46</v>
      </c>
      <c r="H13" s="41" t="s">
        <v>33</v>
      </c>
      <c r="I13" s="3" t="s">
        <v>438</v>
      </c>
      <c r="J13" s="3" t="s">
        <v>439</v>
      </c>
      <c r="K13" s="3"/>
      <c r="L13" s="41" t="s">
        <v>440</v>
      </c>
      <c r="M13" s="3" t="s">
        <v>43</v>
      </c>
      <c r="N13" s="3" t="s">
        <v>441</v>
      </c>
      <c r="O13" s="41" t="s">
        <v>473</v>
      </c>
      <c r="P13" s="41"/>
      <c r="Q13" s="41"/>
      <c r="R13" s="3" t="s">
        <v>31</v>
      </c>
      <c r="S13" s="3" t="s">
        <v>32</v>
      </c>
      <c r="T13" s="3" t="s">
        <v>40</v>
      </c>
      <c r="U13" s="3" t="s">
        <v>35</v>
      </c>
      <c r="V13" s="4" t="s">
        <v>30</v>
      </c>
      <c r="W13" s="3" t="s">
        <v>36</v>
      </c>
      <c r="X13" s="4" t="s">
        <v>249</v>
      </c>
      <c r="Y13" s="5"/>
      <c r="Z13" s="5"/>
      <c r="AA13" s="5"/>
      <c r="AB13" s="5"/>
      <c r="AC13" s="5"/>
      <c r="AD13" s="4" t="s">
        <v>321</v>
      </c>
      <c r="AE13" s="42" t="s">
        <v>450</v>
      </c>
      <c r="AF13" s="3" t="s">
        <v>439</v>
      </c>
      <c r="AG13" s="5"/>
      <c r="AH13" s="5"/>
      <c r="AI13" s="5"/>
      <c r="AJ13" s="3" t="s">
        <v>48</v>
      </c>
      <c r="AK13" s="43"/>
    </row>
    <row r="14" ht="12" customHeight="1" spans="1:37" x14ac:dyDescent="0.25">
      <c r="A14" s="38" t="s">
        <v>91</v>
      </c>
      <c r="B14" s="38" t="s">
        <v>40</v>
      </c>
      <c r="C14" s="38" t="s">
        <v>435</v>
      </c>
      <c r="D14" s="39" t="s">
        <v>436</v>
      </c>
      <c r="E14" s="40" t="s">
        <v>474</v>
      </c>
      <c r="F14" s="3" t="s">
        <v>43</v>
      </c>
      <c r="G14" s="3" t="s">
        <v>46</v>
      </c>
      <c r="H14" s="41" t="s">
        <v>33</v>
      </c>
      <c r="I14" s="3" t="s">
        <v>438</v>
      </c>
      <c r="J14" s="3" t="s">
        <v>439</v>
      </c>
      <c r="K14" s="3"/>
      <c r="L14" s="41" t="s">
        <v>440</v>
      </c>
      <c r="M14" s="3" t="s">
        <v>43</v>
      </c>
      <c r="N14" s="3" t="s">
        <v>441</v>
      </c>
      <c r="O14" s="41" t="s">
        <v>473</v>
      </c>
      <c r="P14" s="41"/>
      <c r="Q14" s="41"/>
      <c r="R14" s="3" t="s">
        <v>31</v>
      </c>
      <c r="S14" s="3" t="s">
        <v>32</v>
      </c>
      <c r="T14" s="3" t="s">
        <v>40</v>
      </c>
      <c r="U14" s="3" t="s">
        <v>35</v>
      </c>
      <c r="V14" s="4" t="s">
        <v>30</v>
      </c>
      <c r="W14" s="3" t="s">
        <v>36</v>
      </c>
      <c r="X14" s="4" t="s">
        <v>249</v>
      </c>
      <c r="Y14" s="5"/>
      <c r="Z14" s="5"/>
      <c r="AA14" s="5"/>
      <c r="AB14" s="5"/>
      <c r="AC14" s="5"/>
      <c r="AD14" s="4" t="s">
        <v>436</v>
      </c>
      <c r="AE14" s="42" t="s">
        <v>443</v>
      </c>
      <c r="AF14" s="3" t="s">
        <v>439</v>
      </c>
      <c r="AG14" s="5"/>
      <c r="AH14" s="5"/>
      <c r="AI14" s="5"/>
      <c r="AJ14" s="3" t="s">
        <v>48</v>
      </c>
      <c r="AK14" s="43"/>
    </row>
    <row r="15" ht="12" customHeight="1" spans="1:37" x14ac:dyDescent="0.25">
      <c r="A15" s="38" t="s">
        <v>93</v>
      </c>
      <c r="B15" s="38" t="s">
        <v>40</v>
      </c>
      <c r="C15" s="38" t="s">
        <v>435</v>
      </c>
      <c r="D15" s="39" t="s">
        <v>321</v>
      </c>
      <c r="E15" s="40" t="s">
        <v>472</v>
      </c>
      <c r="F15" s="3" t="s">
        <v>43</v>
      </c>
      <c r="G15" s="3" t="s">
        <v>46</v>
      </c>
      <c r="H15" s="41" t="s">
        <v>33</v>
      </c>
      <c r="I15" s="3" t="s">
        <v>438</v>
      </c>
      <c r="J15" s="3" t="s">
        <v>439</v>
      </c>
      <c r="K15" s="3"/>
      <c r="L15" s="41" t="s">
        <v>440</v>
      </c>
      <c r="M15" s="3" t="s">
        <v>43</v>
      </c>
      <c r="N15" s="3" t="s">
        <v>441</v>
      </c>
      <c r="O15" s="41" t="s">
        <v>473</v>
      </c>
      <c r="P15" s="41"/>
      <c r="Q15" s="41"/>
      <c r="R15" s="3" t="s">
        <v>31</v>
      </c>
      <c r="S15" s="3" t="s">
        <v>32</v>
      </c>
      <c r="T15" s="3" t="s">
        <v>40</v>
      </c>
      <c r="U15" s="3" t="s">
        <v>35</v>
      </c>
      <c r="V15" s="4" t="s">
        <v>30</v>
      </c>
      <c r="W15" s="3" t="s">
        <v>36</v>
      </c>
      <c r="X15" s="4" t="s">
        <v>249</v>
      </c>
      <c r="Y15" s="5"/>
      <c r="Z15" s="5"/>
      <c r="AA15" s="5"/>
      <c r="AB15" s="5"/>
      <c r="AC15" s="5"/>
      <c r="AD15" s="4" t="s">
        <v>321</v>
      </c>
      <c r="AE15" s="42" t="s">
        <v>450</v>
      </c>
      <c r="AF15" s="3" t="s">
        <v>439</v>
      </c>
      <c r="AG15" s="5"/>
      <c r="AH15" s="5"/>
      <c r="AI15" s="5"/>
      <c r="AJ15" s="3" t="s">
        <v>48</v>
      </c>
      <c r="AK15" s="43"/>
    </row>
    <row r="16" ht="12" customHeight="1" spans="1:37" x14ac:dyDescent="0.25">
      <c r="A16" s="38" t="s">
        <v>95</v>
      </c>
      <c r="B16" s="38" t="s">
        <v>40</v>
      </c>
      <c r="C16" s="38" t="s">
        <v>435</v>
      </c>
      <c r="D16" s="39" t="s">
        <v>321</v>
      </c>
      <c r="E16" s="40" t="s">
        <v>475</v>
      </c>
      <c r="F16" s="3" t="s">
        <v>43</v>
      </c>
      <c r="G16" s="3" t="s">
        <v>46</v>
      </c>
      <c r="H16" s="41" t="s">
        <v>33</v>
      </c>
      <c r="I16" s="3" t="s">
        <v>438</v>
      </c>
      <c r="J16" s="3" t="s">
        <v>439</v>
      </c>
      <c r="K16" s="3"/>
      <c r="L16" s="41" t="s">
        <v>440</v>
      </c>
      <c r="M16" s="3" t="s">
        <v>43</v>
      </c>
      <c r="N16" s="3" t="s">
        <v>441</v>
      </c>
      <c r="O16" s="41" t="s">
        <v>473</v>
      </c>
      <c r="P16" s="41"/>
      <c r="Q16" s="41"/>
      <c r="R16" s="3" t="s">
        <v>31</v>
      </c>
      <c r="S16" s="3" t="s">
        <v>32</v>
      </c>
      <c r="T16" s="3" t="s">
        <v>40</v>
      </c>
      <c r="U16" s="3" t="s">
        <v>35</v>
      </c>
      <c r="V16" s="4" t="s">
        <v>30</v>
      </c>
      <c r="W16" s="3" t="s">
        <v>36</v>
      </c>
      <c r="X16" s="4" t="s">
        <v>249</v>
      </c>
      <c r="Y16" s="5"/>
      <c r="Z16" s="5"/>
      <c r="AA16" s="5"/>
      <c r="AB16" s="5"/>
      <c r="AC16" s="5"/>
      <c r="AD16" s="4" t="s">
        <v>321</v>
      </c>
      <c r="AE16" s="42" t="s">
        <v>476</v>
      </c>
      <c r="AF16" s="3" t="s">
        <v>439</v>
      </c>
      <c r="AG16" s="5"/>
      <c r="AH16" s="5"/>
      <c r="AI16" s="5"/>
      <c r="AJ16" s="3" t="s">
        <v>48</v>
      </c>
      <c r="AK16" s="43"/>
    </row>
    <row r="17" ht="12" customHeight="1" spans="1:37" x14ac:dyDescent="0.25">
      <c r="A17" s="38" t="s">
        <v>96</v>
      </c>
      <c r="B17" s="38" t="s">
        <v>40</v>
      </c>
      <c r="C17" s="38" t="s">
        <v>435</v>
      </c>
      <c r="D17" s="39" t="s">
        <v>321</v>
      </c>
      <c r="E17" s="40" t="s">
        <v>477</v>
      </c>
      <c r="F17" s="3" t="s">
        <v>43</v>
      </c>
      <c r="G17" s="3" t="s">
        <v>46</v>
      </c>
      <c r="H17" s="41" t="s">
        <v>33</v>
      </c>
      <c r="I17" s="3" t="s">
        <v>438</v>
      </c>
      <c r="J17" s="3" t="s">
        <v>439</v>
      </c>
      <c r="K17" s="3"/>
      <c r="L17" s="41" t="s">
        <v>440</v>
      </c>
      <c r="M17" s="3" t="s">
        <v>43</v>
      </c>
      <c r="N17" s="3" t="s">
        <v>441</v>
      </c>
      <c r="O17" s="41" t="s">
        <v>473</v>
      </c>
      <c r="P17" s="41"/>
      <c r="Q17" s="41"/>
      <c r="R17" s="3" t="s">
        <v>31</v>
      </c>
      <c r="S17" s="3" t="s">
        <v>32</v>
      </c>
      <c r="T17" s="3" t="s">
        <v>40</v>
      </c>
      <c r="U17" s="3" t="s">
        <v>35</v>
      </c>
      <c r="V17" s="4" t="s">
        <v>30</v>
      </c>
      <c r="W17" s="3" t="s">
        <v>36</v>
      </c>
      <c r="X17" s="4" t="s">
        <v>249</v>
      </c>
      <c r="Y17" s="5"/>
      <c r="Z17" s="5"/>
      <c r="AA17" s="5"/>
      <c r="AB17" s="5"/>
      <c r="AC17" s="5"/>
      <c r="AD17" s="4" t="s">
        <v>321</v>
      </c>
      <c r="AE17" s="42" t="s">
        <v>478</v>
      </c>
      <c r="AF17" s="3" t="s">
        <v>439</v>
      </c>
      <c r="AG17" s="5"/>
      <c r="AH17" s="5"/>
      <c r="AI17" s="5"/>
      <c r="AJ17" s="3" t="s">
        <v>48</v>
      </c>
      <c r="AK17" s="43"/>
    </row>
    <row r="18" ht="12" customHeight="1" spans="1:37" x14ac:dyDescent="0.25">
      <c r="A18" s="38" t="s">
        <v>98</v>
      </c>
      <c r="B18" s="38" t="s">
        <v>40</v>
      </c>
      <c r="C18" s="38" t="s">
        <v>435</v>
      </c>
      <c r="D18" s="39" t="s">
        <v>321</v>
      </c>
      <c r="E18" s="40" t="s">
        <v>479</v>
      </c>
      <c r="F18" s="3" t="s">
        <v>43</v>
      </c>
      <c r="G18" s="3" t="s">
        <v>46</v>
      </c>
      <c r="H18" s="41" t="s">
        <v>33</v>
      </c>
      <c r="I18" s="3" t="s">
        <v>438</v>
      </c>
      <c r="J18" s="3" t="s">
        <v>439</v>
      </c>
      <c r="K18" s="3"/>
      <c r="L18" s="41" t="s">
        <v>440</v>
      </c>
      <c r="M18" s="3" t="s">
        <v>43</v>
      </c>
      <c r="N18" s="3" t="s">
        <v>441</v>
      </c>
      <c r="O18" s="41" t="s">
        <v>473</v>
      </c>
      <c r="P18" s="41"/>
      <c r="Q18" s="41"/>
      <c r="R18" s="3" t="s">
        <v>31</v>
      </c>
      <c r="S18" s="3" t="s">
        <v>32</v>
      </c>
      <c r="T18" s="3" t="s">
        <v>40</v>
      </c>
      <c r="U18" s="3" t="s">
        <v>35</v>
      </c>
      <c r="V18" s="4" t="s">
        <v>30</v>
      </c>
      <c r="W18" s="3" t="s">
        <v>36</v>
      </c>
      <c r="X18" s="4" t="s">
        <v>249</v>
      </c>
      <c r="Y18" s="5"/>
      <c r="Z18" s="5"/>
      <c r="AA18" s="5"/>
      <c r="AB18" s="5"/>
      <c r="AC18" s="5"/>
      <c r="AD18" s="4" t="s">
        <v>321</v>
      </c>
      <c r="AE18" s="42" t="s">
        <v>450</v>
      </c>
      <c r="AF18" s="3" t="s">
        <v>439</v>
      </c>
      <c r="AG18" s="5"/>
      <c r="AH18" s="5"/>
      <c r="AI18" s="5"/>
      <c r="AJ18" s="3" t="s">
        <v>48</v>
      </c>
      <c r="AK18" s="43"/>
    </row>
    <row r="19" ht="12" customHeight="1" spans="1:37" x14ac:dyDescent="0.25">
      <c r="A19" s="38" t="s">
        <v>100</v>
      </c>
      <c r="B19" s="38" t="s">
        <v>40</v>
      </c>
      <c r="C19" s="38" t="s">
        <v>435</v>
      </c>
      <c r="D19" s="39" t="s">
        <v>321</v>
      </c>
      <c r="E19" s="40" t="s">
        <v>480</v>
      </c>
      <c r="F19" s="3" t="s">
        <v>43</v>
      </c>
      <c r="G19" s="3" t="s">
        <v>46</v>
      </c>
      <c r="H19" s="41" t="s">
        <v>33</v>
      </c>
      <c r="I19" s="3" t="s">
        <v>438</v>
      </c>
      <c r="J19" s="3" t="s">
        <v>439</v>
      </c>
      <c r="K19" s="3"/>
      <c r="L19" s="41" t="s">
        <v>440</v>
      </c>
      <c r="M19" s="3" t="s">
        <v>43</v>
      </c>
      <c r="N19" s="3" t="s">
        <v>441</v>
      </c>
      <c r="O19" s="41" t="s">
        <v>457</v>
      </c>
      <c r="P19" s="41"/>
      <c r="Q19" s="41"/>
      <c r="R19" s="3" t="s">
        <v>31</v>
      </c>
      <c r="S19" s="3" t="s">
        <v>32</v>
      </c>
      <c r="T19" s="3" t="s">
        <v>40</v>
      </c>
      <c r="U19" s="3" t="s">
        <v>35</v>
      </c>
      <c r="V19" s="4" t="s">
        <v>30</v>
      </c>
      <c r="W19" s="3" t="s">
        <v>36</v>
      </c>
      <c r="X19" s="4" t="s">
        <v>249</v>
      </c>
      <c r="Y19" s="5"/>
      <c r="Z19" s="5"/>
      <c r="AA19" s="5"/>
      <c r="AB19" s="5"/>
      <c r="AC19" s="5"/>
      <c r="AD19" s="4" t="s">
        <v>321</v>
      </c>
      <c r="AE19" s="42" t="s">
        <v>481</v>
      </c>
      <c r="AF19" s="3" t="s">
        <v>439</v>
      </c>
      <c r="AG19" s="5"/>
      <c r="AH19" s="5"/>
      <c r="AI19" s="5"/>
      <c r="AJ19" s="3" t="s">
        <v>48</v>
      </c>
      <c r="AK19" s="43"/>
    </row>
    <row r="20" ht="12" customHeight="1" spans="1:37" x14ac:dyDescent="0.25">
      <c r="A20" s="38" t="s">
        <v>102</v>
      </c>
      <c r="B20" s="38" t="s">
        <v>40</v>
      </c>
      <c r="C20" s="38" t="s">
        <v>435</v>
      </c>
      <c r="D20" s="39" t="s">
        <v>309</v>
      </c>
      <c r="E20" s="40" t="s">
        <v>482</v>
      </c>
      <c r="F20" s="3" t="s">
        <v>103</v>
      </c>
      <c r="G20" s="3" t="s">
        <v>351</v>
      </c>
      <c r="H20" s="41" t="s">
        <v>33</v>
      </c>
      <c r="I20" s="3" t="s">
        <v>438</v>
      </c>
      <c r="J20" s="3" t="s">
        <v>439</v>
      </c>
      <c r="K20" s="3"/>
      <c r="L20" s="41" t="s">
        <v>440</v>
      </c>
      <c r="M20" s="3" t="s">
        <v>103</v>
      </c>
      <c r="N20" s="3" t="s">
        <v>483</v>
      </c>
      <c r="O20" s="41" t="s">
        <v>457</v>
      </c>
      <c r="P20" s="41"/>
      <c r="Q20" s="41"/>
      <c r="R20" s="3" t="s">
        <v>484</v>
      </c>
      <c r="S20" s="3" t="s">
        <v>485</v>
      </c>
      <c r="T20" s="3" t="s">
        <v>40</v>
      </c>
      <c r="U20" s="3" t="s">
        <v>35</v>
      </c>
      <c r="V20" s="4" t="s">
        <v>30</v>
      </c>
      <c r="W20" s="3" t="s">
        <v>36</v>
      </c>
      <c r="X20" s="4" t="s">
        <v>249</v>
      </c>
      <c r="Y20" s="5"/>
      <c r="Z20" s="5"/>
      <c r="AA20" s="5"/>
      <c r="AB20" s="5"/>
      <c r="AC20" s="5"/>
      <c r="AD20" s="4" t="s">
        <v>309</v>
      </c>
      <c r="AE20" s="42" t="s">
        <v>465</v>
      </c>
      <c r="AF20" s="3" t="s">
        <v>439</v>
      </c>
      <c r="AG20" s="5"/>
      <c r="AH20" s="5"/>
      <c r="AI20" s="5"/>
      <c r="AJ20" s="3" t="s">
        <v>105</v>
      </c>
      <c r="AK20" s="43"/>
    </row>
    <row r="21" ht="12" customHeight="1" spans="1:37" x14ac:dyDescent="0.25">
      <c r="A21" s="38" t="s">
        <v>106</v>
      </c>
      <c r="B21" s="38" t="s">
        <v>40</v>
      </c>
      <c r="C21" s="38" t="s">
        <v>435</v>
      </c>
      <c r="D21" s="39" t="s">
        <v>321</v>
      </c>
      <c r="E21" s="40" t="s">
        <v>456</v>
      </c>
      <c r="F21" s="3" t="s">
        <v>43</v>
      </c>
      <c r="G21" s="3" t="s">
        <v>46</v>
      </c>
      <c r="H21" s="41" t="s">
        <v>33</v>
      </c>
      <c r="I21" s="3" t="s">
        <v>438</v>
      </c>
      <c r="J21" s="3" t="s">
        <v>439</v>
      </c>
      <c r="K21" s="3"/>
      <c r="L21" s="41" t="s">
        <v>440</v>
      </c>
      <c r="M21" s="3" t="s">
        <v>43</v>
      </c>
      <c r="N21" s="3" t="s">
        <v>441</v>
      </c>
      <c r="O21" s="41" t="s">
        <v>457</v>
      </c>
      <c r="P21" s="41"/>
      <c r="Q21" s="41"/>
      <c r="R21" s="3" t="s">
        <v>31</v>
      </c>
      <c r="S21" s="3" t="s">
        <v>32</v>
      </c>
      <c r="T21" s="3" t="s">
        <v>40</v>
      </c>
      <c r="U21" s="3" t="s">
        <v>35</v>
      </c>
      <c r="V21" s="4" t="s">
        <v>30</v>
      </c>
      <c r="W21" s="3" t="s">
        <v>36</v>
      </c>
      <c r="X21" s="4" t="s">
        <v>249</v>
      </c>
      <c r="Y21" s="5"/>
      <c r="Z21" s="5"/>
      <c r="AA21" s="5"/>
      <c r="AB21" s="5"/>
      <c r="AC21" s="5"/>
      <c r="AD21" s="4" t="s">
        <v>321</v>
      </c>
      <c r="AE21" s="42" t="s">
        <v>443</v>
      </c>
      <c r="AF21" s="3" t="s">
        <v>439</v>
      </c>
      <c r="AG21" s="5"/>
      <c r="AH21" s="5"/>
      <c r="AI21" s="5"/>
      <c r="AJ21" s="3" t="s">
        <v>48</v>
      </c>
      <c r="AK21" s="43"/>
    </row>
    <row r="22" ht="12" customHeight="1" spans="1:37" x14ac:dyDescent="0.25">
      <c r="A22" s="38" t="s">
        <v>108</v>
      </c>
      <c r="B22" s="38" t="s">
        <v>40</v>
      </c>
      <c r="C22" s="38" t="s">
        <v>435</v>
      </c>
      <c r="D22" s="39" t="s">
        <v>385</v>
      </c>
      <c r="E22" s="40" t="s">
        <v>486</v>
      </c>
      <c r="F22" s="3" t="s">
        <v>43</v>
      </c>
      <c r="G22" s="3" t="s">
        <v>46</v>
      </c>
      <c r="H22" s="41" t="s">
        <v>33</v>
      </c>
      <c r="I22" s="3" t="s">
        <v>438</v>
      </c>
      <c r="J22" s="3" t="s">
        <v>439</v>
      </c>
      <c r="K22" s="3"/>
      <c r="L22" s="41" t="s">
        <v>440</v>
      </c>
      <c r="M22" s="3" t="s">
        <v>43</v>
      </c>
      <c r="N22" s="3" t="s">
        <v>441</v>
      </c>
      <c r="O22" s="41" t="s">
        <v>464</v>
      </c>
      <c r="P22" s="41"/>
      <c r="Q22" s="41"/>
      <c r="R22" s="3" t="s">
        <v>31</v>
      </c>
      <c r="S22" s="3" t="s">
        <v>32</v>
      </c>
      <c r="T22" s="3" t="s">
        <v>40</v>
      </c>
      <c r="U22" s="3" t="s">
        <v>35</v>
      </c>
      <c r="V22" s="4" t="s">
        <v>30</v>
      </c>
      <c r="W22" s="3" t="s">
        <v>36</v>
      </c>
      <c r="X22" s="4" t="s">
        <v>249</v>
      </c>
      <c r="Y22" s="5"/>
      <c r="Z22" s="5"/>
      <c r="AA22" s="5"/>
      <c r="AB22" s="5"/>
      <c r="AC22" s="5"/>
      <c r="AD22" s="4" t="s">
        <v>385</v>
      </c>
      <c r="AE22" s="42" t="s">
        <v>487</v>
      </c>
      <c r="AF22" s="3" t="s">
        <v>439</v>
      </c>
      <c r="AG22" s="5"/>
      <c r="AH22" s="5"/>
      <c r="AI22" s="5"/>
      <c r="AJ22" s="3" t="s">
        <v>48</v>
      </c>
      <c r="AK22" s="43"/>
    </row>
    <row r="23" ht="12" customHeight="1" spans="1:37" x14ac:dyDescent="0.25">
      <c r="A23" s="38" t="s">
        <v>110</v>
      </c>
      <c r="B23" s="38" t="s">
        <v>40</v>
      </c>
      <c r="C23" s="38" t="s">
        <v>435</v>
      </c>
      <c r="D23" s="39" t="s">
        <v>321</v>
      </c>
      <c r="E23" s="40" t="s">
        <v>456</v>
      </c>
      <c r="F23" s="3" t="s">
        <v>43</v>
      </c>
      <c r="G23" s="3" t="s">
        <v>46</v>
      </c>
      <c r="H23" s="41" t="s">
        <v>33</v>
      </c>
      <c r="I23" s="3" t="s">
        <v>438</v>
      </c>
      <c r="J23" s="3" t="s">
        <v>439</v>
      </c>
      <c r="K23" s="3"/>
      <c r="L23" s="41" t="s">
        <v>440</v>
      </c>
      <c r="M23" s="3" t="s">
        <v>43</v>
      </c>
      <c r="N23" s="3" t="s">
        <v>441</v>
      </c>
      <c r="O23" s="41" t="s">
        <v>464</v>
      </c>
      <c r="P23" s="41"/>
      <c r="Q23" s="41"/>
      <c r="R23" s="3" t="s">
        <v>31</v>
      </c>
      <c r="S23" s="3" t="s">
        <v>32</v>
      </c>
      <c r="T23" s="3" t="s">
        <v>40</v>
      </c>
      <c r="U23" s="3" t="s">
        <v>35</v>
      </c>
      <c r="V23" s="4" t="s">
        <v>30</v>
      </c>
      <c r="W23" s="3" t="s">
        <v>36</v>
      </c>
      <c r="X23" s="4" t="s">
        <v>249</v>
      </c>
      <c r="Y23" s="5"/>
      <c r="Z23" s="5"/>
      <c r="AA23" s="5"/>
      <c r="AB23" s="5"/>
      <c r="AC23" s="5"/>
      <c r="AD23" s="4" t="s">
        <v>321</v>
      </c>
      <c r="AE23" s="42" t="s">
        <v>443</v>
      </c>
      <c r="AF23" s="3" t="s">
        <v>439</v>
      </c>
      <c r="AG23" s="5"/>
      <c r="AH23" s="5"/>
      <c r="AI23" s="5"/>
      <c r="AJ23" s="3" t="s">
        <v>48</v>
      </c>
      <c r="AK23" s="43"/>
    </row>
    <row r="24" ht="12" customHeight="1" spans="1:37" x14ac:dyDescent="0.25">
      <c r="A24" s="38" t="s">
        <v>111</v>
      </c>
      <c r="B24" s="38" t="s">
        <v>40</v>
      </c>
      <c r="C24" s="38" t="s">
        <v>435</v>
      </c>
      <c r="D24" s="39" t="s">
        <v>321</v>
      </c>
      <c r="E24" s="40" t="s">
        <v>488</v>
      </c>
      <c r="F24" s="3" t="s">
        <v>43</v>
      </c>
      <c r="G24" s="3" t="s">
        <v>46</v>
      </c>
      <c r="H24" s="41" t="s">
        <v>33</v>
      </c>
      <c r="I24" s="3" t="s">
        <v>438</v>
      </c>
      <c r="J24" s="3" t="s">
        <v>439</v>
      </c>
      <c r="K24" s="3"/>
      <c r="L24" s="41" t="s">
        <v>440</v>
      </c>
      <c r="M24" s="3" t="s">
        <v>43</v>
      </c>
      <c r="N24" s="3" t="s">
        <v>441</v>
      </c>
      <c r="O24" s="41" t="s">
        <v>464</v>
      </c>
      <c r="P24" s="41"/>
      <c r="Q24" s="41"/>
      <c r="R24" s="3" t="s">
        <v>31</v>
      </c>
      <c r="S24" s="3" t="s">
        <v>32</v>
      </c>
      <c r="T24" s="3" t="s">
        <v>40</v>
      </c>
      <c r="U24" s="3" t="s">
        <v>35</v>
      </c>
      <c r="V24" s="4" t="s">
        <v>30</v>
      </c>
      <c r="W24" s="3" t="s">
        <v>36</v>
      </c>
      <c r="X24" s="4" t="s">
        <v>249</v>
      </c>
      <c r="Y24" s="5"/>
      <c r="Z24" s="5"/>
      <c r="AA24" s="5"/>
      <c r="AB24" s="5"/>
      <c r="AC24" s="5"/>
      <c r="AD24" s="4" t="s">
        <v>321</v>
      </c>
      <c r="AE24" s="42" t="s">
        <v>453</v>
      </c>
      <c r="AF24" s="3" t="s">
        <v>439</v>
      </c>
      <c r="AG24" s="5"/>
      <c r="AH24" s="5"/>
      <c r="AI24" s="5"/>
      <c r="AJ24" s="3" t="s">
        <v>48</v>
      </c>
      <c r="AK24" s="43"/>
    </row>
    <row r="25" ht="12" customHeight="1" spans="1:37" x14ac:dyDescent="0.25">
      <c r="A25" s="38" t="s">
        <v>112</v>
      </c>
      <c r="B25" s="38" t="s">
        <v>40</v>
      </c>
      <c r="C25" s="38" t="s">
        <v>435</v>
      </c>
      <c r="D25" s="39" t="s">
        <v>436</v>
      </c>
      <c r="E25" s="40" t="s">
        <v>489</v>
      </c>
      <c r="F25" s="3" t="s">
        <v>43</v>
      </c>
      <c r="G25" s="3" t="s">
        <v>46</v>
      </c>
      <c r="H25" s="41" t="s">
        <v>33</v>
      </c>
      <c r="I25" s="3" t="s">
        <v>438</v>
      </c>
      <c r="J25" s="3" t="s">
        <v>439</v>
      </c>
      <c r="K25" s="3"/>
      <c r="L25" s="41" t="s">
        <v>440</v>
      </c>
      <c r="M25" s="3" t="s">
        <v>43</v>
      </c>
      <c r="N25" s="3" t="s">
        <v>441</v>
      </c>
      <c r="O25" s="41" t="s">
        <v>464</v>
      </c>
      <c r="P25" s="41"/>
      <c r="Q25" s="41"/>
      <c r="R25" s="3" t="s">
        <v>31</v>
      </c>
      <c r="S25" s="3" t="s">
        <v>32</v>
      </c>
      <c r="T25" s="3" t="s">
        <v>40</v>
      </c>
      <c r="U25" s="3" t="s">
        <v>35</v>
      </c>
      <c r="V25" s="4" t="s">
        <v>30</v>
      </c>
      <c r="W25" s="3" t="s">
        <v>36</v>
      </c>
      <c r="X25" s="4" t="s">
        <v>249</v>
      </c>
      <c r="Y25" s="5"/>
      <c r="Z25" s="5"/>
      <c r="AA25" s="5"/>
      <c r="AB25" s="5"/>
      <c r="AC25" s="5"/>
      <c r="AD25" s="4" t="s">
        <v>436</v>
      </c>
      <c r="AE25" s="42" t="s">
        <v>476</v>
      </c>
      <c r="AF25" s="3" t="s">
        <v>439</v>
      </c>
      <c r="AG25" s="5"/>
      <c r="AH25" s="5"/>
      <c r="AI25" s="5"/>
      <c r="AJ25" s="3" t="s">
        <v>48</v>
      </c>
      <c r="AK25" s="43"/>
    </row>
    <row r="26" ht="12" customHeight="1" spans="1:37" x14ac:dyDescent="0.25">
      <c r="A26" s="38" t="s">
        <v>114</v>
      </c>
      <c r="B26" s="38" t="s">
        <v>40</v>
      </c>
      <c r="C26" s="38" t="s">
        <v>435</v>
      </c>
      <c r="D26" s="39" t="s">
        <v>309</v>
      </c>
      <c r="E26" s="40" t="s">
        <v>490</v>
      </c>
      <c r="F26" s="3" t="s">
        <v>115</v>
      </c>
      <c r="G26" s="3" t="s">
        <v>117</v>
      </c>
      <c r="H26" s="41" t="s">
        <v>33</v>
      </c>
      <c r="I26" s="3" t="s">
        <v>438</v>
      </c>
      <c r="J26" s="3" t="s">
        <v>439</v>
      </c>
      <c r="K26" s="3"/>
      <c r="L26" s="41" t="s">
        <v>440</v>
      </c>
      <c r="M26" s="3" t="s">
        <v>115</v>
      </c>
      <c r="N26" s="3" t="s">
        <v>483</v>
      </c>
      <c r="O26" s="41" t="s">
        <v>464</v>
      </c>
      <c r="P26" s="41"/>
      <c r="Q26" s="41"/>
      <c r="R26" s="3" t="s">
        <v>484</v>
      </c>
      <c r="S26" s="3" t="s">
        <v>485</v>
      </c>
      <c r="T26" s="3" t="s">
        <v>40</v>
      </c>
      <c r="U26" s="3" t="s">
        <v>35</v>
      </c>
      <c r="V26" s="4" t="s">
        <v>30</v>
      </c>
      <c r="W26" s="3" t="s">
        <v>36</v>
      </c>
      <c r="X26" s="4" t="s">
        <v>249</v>
      </c>
      <c r="Y26" s="5"/>
      <c r="Z26" s="5"/>
      <c r="AA26" s="5"/>
      <c r="AB26" s="5"/>
      <c r="AC26" s="5"/>
      <c r="AD26" s="4" t="s">
        <v>309</v>
      </c>
      <c r="AE26" s="42" t="s">
        <v>491</v>
      </c>
      <c r="AF26" s="3" t="s">
        <v>439</v>
      </c>
      <c r="AG26" s="5"/>
      <c r="AH26" s="5"/>
      <c r="AI26" s="5"/>
      <c r="AJ26" s="3" t="s">
        <v>118</v>
      </c>
      <c r="AK26" s="43"/>
    </row>
    <row r="27" ht="12" customHeight="1" spans="1:37" x14ac:dyDescent="0.25">
      <c r="A27" s="38" t="s">
        <v>119</v>
      </c>
      <c r="B27" s="38" t="s">
        <v>40</v>
      </c>
      <c r="C27" s="38" t="s">
        <v>435</v>
      </c>
      <c r="D27" s="39" t="s">
        <v>321</v>
      </c>
      <c r="E27" s="40" t="s">
        <v>492</v>
      </c>
      <c r="F27" s="3" t="s">
        <v>43</v>
      </c>
      <c r="G27" s="3" t="s">
        <v>46</v>
      </c>
      <c r="H27" s="41" t="s">
        <v>33</v>
      </c>
      <c r="I27" s="3" t="s">
        <v>438</v>
      </c>
      <c r="J27" s="3" t="s">
        <v>439</v>
      </c>
      <c r="K27" s="3"/>
      <c r="L27" s="41" t="s">
        <v>440</v>
      </c>
      <c r="M27" s="3" t="s">
        <v>43</v>
      </c>
      <c r="N27" s="3" t="s">
        <v>441</v>
      </c>
      <c r="O27" s="41" t="s">
        <v>442</v>
      </c>
      <c r="P27" s="41"/>
      <c r="Q27" s="41"/>
      <c r="R27" s="3" t="s">
        <v>31</v>
      </c>
      <c r="S27" s="3" t="s">
        <v>32</v>
      </c>
      <c r="T27" s="3" t="s">
        <v>40</v>
      </c>
      <c r="U27" s="3" t="s">
        <v>35</v>
      </c>
      <c r="V27" s="4" t="s">
        <v>30</v>
      </c>
      <c r="W27" s="3" t="s">
        <v>36</v>
      </c>
      <c r="X27" s="4" t="s">
        <v>249</v>
      </c>
      <c r="Y27" s="5"/>
      <c r="Z27" s="5"/>
      <c r="AA27" s="5"/>
      <c r="AB27" s="5"/>
      <c r="AC27" s="5"/>
      <c r="AD27" s="4" t="s">
        <v>321</v>
      </c>
      <c r="AE27" s="42" t="s">
        <v>481</v>
      </c>
      <c r="AF27" s="3" t="s">
        <v>439</v>
      </c>
      <c r="AG27" s="5"/>
      <c r="AH27" s="5"/>
      <c r="AI27" s="5"/>
      <c r="AJ27" s="3" t="s">
        <v>48</v>
      </c>
      <c r="AK27" s="43"/>
    </row>
    <row r="28" ht="12" customHeight="1" spans="1:37" x14ac:dyDescent="0.25">
      <c r="A28" s="38" t="s">
        <v>121</v>
      </c>
      <c r="B28" s="38" t="s">
        <v>40</v>
      </c>
      <c r="C28" s="38" t="s">
        <v>435</v>
      </c>
      <c r="D28" s="39" t="s">
        <v>436</v>
      </c>
      <c r="E28" s="40" t="s">
        <v>453</v>
      </c>
      <c r="F28" s="3" t="s">
        <v>43</v>
      </c>
      <c r="G28" s="3" t="s">
        <v>46</v>
      </c>
      <c r="H28" s="41" t="s">
        <v>33</v>
      </c>
      <c r="I28" s="3" t="s">
        <v>438</v>
      </c>
      <c r="J28" s="3" t="s">
        <v>439</v>
      </c>
      <c r="K28" s="3"/>
      <c r="L28" s="41" t="s">
        <v>440</v>
      </c>
      <c r="M28" s="3" t="s">
        <v>43</v>
      </c>
      <c r="N28" s="3" t="s">
        <v>441</v>
      </c>
      <c r="O28" s="41" t="s">
        <v>442</v>
      </c>
      <c r="P28" s="41"/>
      <c r="Q28" s="41"/>
      <c r="R28" s="3" t="s">
        <v>31</v>
      </c>
      <c r="S28" s="3" t="s">
        <v>32</v>
      </c>
      <c r="T28" s="3" t="s">
        <v>40</v>
      </c>
      <c r="U28" s="3" t="s">
        <v>35</v>
      </c>
      <c r="V28" s="4" t="s">
        <v>30</v>
      </c>
      <c r="W28" s="3" t="s">
        <v>36</v>
      </c>
      <c r="X28" s="4" t="s">
        <v>249</v>
      </c>
      <c r="Y28" s="5"/>
      <c r="Z28" s="5"/>
      <c r="AA28" s="5"/>
      <c r="AB28" s="5"/>
      <c r="AC28" s="5"/>
      <c r="AD28" s="4" t="s">
        <v>436</v>
      </c>
      <c r="AE28" s="42" t="s">
        <v>443</v>
      </c>
      <c r="AF28" s="3" t="s">
        <v>439</v>
      </c>
      <c r="AG28" s="5"/>
      <c r="AH28" s="5"/>
      <c r="AI28" s="5"/>
      <c r="AJ28" s="3" t="s">
        <v>48</v>
      </c>
      <c r="AK28" s="43"/>
    </row>
    <row r="29" ht="12" customHeight="1" spans="1:37" x14ac:dyDescent="0.25">
      <c r="A29" s="38" t="s">
        <v>123</v>
      </c>
      <c r="B29" s="38" t="s">
        <v>40</v>
      </c>
      <c r="C29" s="38" t="s">
        <v>435</v>
      </c>
      <c r="D29" s="39" t="s">
        <v>436</v>
      </c>
      <c r="E29" s="40" t="s">
        <v>493</v>
      </c>
      <c r="F29" s="3" t="s">
        <v>43</v>
      </c>
      <c r="G29" s="3" t="s">
        <v>46</v>
      </c>
      <c r="H29" s="41" t="s">
        <v>33</v>
      </c>
      <c r="I29" s="3" t="s">
        <v>438</v>
      </c>
      <c r="J29" s="3" t="s">
        <v>439</v>
      </c>
      <c r="K29" s="3"/>
      <c r="L29" s="41" t="s">
        <v>440</v>
      </c>
      <c r="M29" s="3" t="s">
        <v>43</v>
      </c>
      <c r="N29" s="3" t="s">
        <v>441</v>
      </c>
      <c r="O29" s="41" t="s">
        <v>446</v>
      </c>
      <c r="P29" s="41"/>
      <c r="Q29" s="41"/>
      <c r="R29" s="3" t="s">
        <v>31</v>
      </c>
      <c r="S29" s="3" t="s">
        <v>32</v>
      </c>
      <c r="T29" s="3" t="s">
        <v>40</v>
      </c>
      <c r="U29" s="3" t="s">
        <v>35</v>
      </c>
      <c r="V29" s="4" t="s">
        <v>30</v>
      </c>
      <c r="W29" s="3" t="s">
        <v>36</v>
      </c>
      <c r="X29" s="4" t="s">
        <v>249</v>
      </c>
      <c r="Y29" s="5"/>
      <c r="Z29" s="5"/>
      <c r="AA29" s="5"/>
      <c r="AB29" s="5"/>
      <c r="AC29" s="5"/>
      <c r="AD29" s="4" t="s">
        <v>436</v>
      </c>
      <c r="AE29" s="42" t="s">
        <v>443</v>
      </c>
      <c r="AF29" s="3" t="s">
        <v>439</v>
      </c>
      <c r="AG29" s="5"/>
      <c r="AH29" s="5"/>
      <c r="AI29" s="5"/>
      <c r="AJ29" s="3" t="s">
        <v>48</v>
      </c>
      <c r="AK29" s="43"/>
    </row>
    <row r="30" ht="12" customHeight="1" spans="1:37" x14ac:dyDescent="0.25">
      <c r="A30" s="38" t="s">
        <v>125</v>
      </c>
      <c r="B30" s="38" t="s">
        <v>40</v>
      </c>
      <c r="C30" s="38" t="s">
        <v>435</v>
      </c>
      <c r="D30" s="39" t="s">
        <v>262</v>
      </c>
      <c r="E30" s="40" t="s">
        <v>494</v>
      </c>
      <c r="F30" s="3" t="s">
        <v>126</v>
      </c>
      <c r="G30" s="3" t="s">
        <v>363</v>
      </c>
      <c r="H30" s="41" t="s">
        <v>33</v>
      </c>
      <c r="I30" s="3" t="s">
        <v>438</v>
      </c>
      <c r="J30" s="3" t="s">
        <v>439</v>
      </c>
      <c r="K30" s="3"/>
      <c r="L30" s="41" t="s">
        <v>440</v>
      </c>
      <c r="M30" s="3" t="s">
        <v>126</v>
      </c>
      <c r="N30" s="3" t="s">
        <v>483</v>
      </c>
      <c r="O30" s="41" t="s">
        <v>446</v>
      </c>
      <c r="P30" s="41"/>
      <c r="Q30" s="41"/>
      <c r="R30" s="3" t="s">
        <v>31</v>
      </c>
      <c r="S30" s="3" t="s">
        <v>32</v>
      </c>
      <c r="T30" s="3" t="s">
        <v>40</v>
      </c>
      <c r="U30" s="3" t="s">
        <v>35</v>
      </c>
      <c r="V30" s="4" t="s">
        <v>30</v>
      </c>
      <c r="W30" s="3" t="s">
        <v>68</v>
      </c>
      <c r="X30" s="4" t="s">
        <v>296</v>
      </c>
      <c r="Y30" s="5"/>
      <c r="Z30" s="5"/>
      <c r="AA30" s="5"/>
      <c r="AB30" s="5"/>
      <c r="AC30" s="5"/>
      <c r="AD30" s="4" t="s">
        <v>262</v>
      </c>
      <c r="AE30" s="42" t="s">
        <v>495</v>
      </c>
      <c r="AF30" s="3" t="s">
        <v>439</v>
      </c>
      <c r="AG30" s="5"/>
      <c r="AH30" s="5"/>
      <c r="AI30" s="5"/>
      <c r="AJ30" s="3" t="s">
        <v>128</v>
      </c>
      <c r="AK30" s="43"/>
    </row>
    <row r="31" ht="12" customHeight="1" spans="1:37" x14ac:dyDescent="0.25">
      <c r="A31" s="38" t="s">
        <v>129</v>
      </c>
      <c r="B31" s="38" t="s">
        <v>40</v>
      </c>
      <c r="C31" s="38" t="s">
        <v>435</v>
      </c>
      <c r="D31" s="39" t="s">
        <v>321</v>
      </c>
      <c r="E31" s="40" t="s">
        <v>496</v>
      </c>
      <c r="F31" s="3" t="s">
        <v>43</v>
      </c>
      <c r="G31" s="3" t="s">
        <v>46</v>
      </c>
      <c r="H31" s="41" t="s">
        <v>33</v>
      </c>
      <c r="I31" s="3" t="s">
        <v>438</v>
      </c>
      <c r="J31" s="3" t="s">
        <v>439</v>
      </c>
      <c r="K31" s="3"/>
      <c r="L31" s="41" t="s">
        <v>440</v>
      </c>
      <c r="M31" s="3" t="s">
        <v>43</v>
      </c>
      <c r="N31" s="3" t="s">
        <v>441</v>
      </c>
      <c r="O31" s="41" t="s">
        <v>473</v>
      </c>
      <c r="P31" s="41"/>
      <c r="Q31" s="41"/>
      <c r="R31" s="3" t="s">
        <v>31</v>
      </c>
      <c r="S31" s="3" t="s">
        <v>32</v>
      </c>
      <c r="T31" s="3" t="s">
        <v>40</v>
      </c>
      <c r="U31" s="3" t="s">
        <v>35</v>
      </c>
      <c r="V31" s="4" t="s">
        <v>30</v>
      </c>
      <c r="W31" s="3" t="s">
        <v>36</v>
      </c>
      <c r="X31" s="4" t="s">
        <v>249</v>
      </c>
      <c r="Y31" s="5"/>
      <c r="Z31" s="5"/>
      <c r="AA31" s="5"/>
      <c r="AB31" s="5"/>
      <c r="AC31" s="5"/>
      <c r="AD31" s="4" t="s">
        <v>321</v>
      </c>
      <c r="AE31" s="42" t="s">
        <v>476</v>
      </c>
      <c r="AF31" s="3" t="s">
        <v>439</v>
      </c>
      <c r="AG31" s="5"/>
      <c r="AH31" s="5"/>
      <c r="AI31" s="5"/>
      <c r="AJ31" s="3" t="s">
        <v>48</v>
      </c>
      <c r="AK31" s="43"/>
    </row>
    <row r="32" ht="12" customHeight="1" spans="1:37" x14ac:dyDescent="0.25">
      <c r="A32" s="38" t="s">
        <v>130</v>
      </c>
      <c r="B32" s="38" t="s">
        <v>40</v>
      </c>
      <c r="C32" s="38" t="s">
        <v>435</v>
      </c>
      <c r="D32" s="39" t="s">
        <v>321</v>
      </c>
      <c r="E32" s="40" t="s">
        <v>497</v>
      </c>
      <c r="F32" s="3" t="s">
        <v>43</v>
      </c>
      <c r="G32" s="3" t="s">
        <v>46</v>
      </c>
      <c r="H32" s="41" t="s">
        <v>33</v>
      </c>
      <c r="I32" s="3" t="s">
        <v>438</v>
      </c>
      <c r="J32" s="3" t="s">
        <v>439</v>
      </c>
      <c r="K32" s="3"/>
      <c r="L32" s="41" t="s">
        <v>440</v>
      </c>
      <c r="M32" s="3" t="s">
        <v>43</v>
      </c>
      <c r="N32" s="3" t="s">
        <v>441</v>
      </c>
      <c r="O32" s="41" t="s">
        <v>473</v>
      </c>
      <c r="P32" s="41"/>
      <c r="Q32" s="41"/>
      <c r="R32" s="3" t="s">
        <v>31</v>
      </c>
      <c r="S32" s="3" t="s">
        <v>32</v>
      </c>
      <c r="T32" s="3" t="s">
        <v>40</v>
      </c>
      <c r="U32" s="3" t="s">
        <v>35</v>
      </c>
      <c r="V32" s="4" t="s">
        <v>30</v>
      </c>
      <c r="W32" s="3" t="s">
        <v>36</v>
      </c>
      <c r="X32" s="4" t="s">
        <v>249</v>
      </c>
      <c r="Y32" s="5"/>
      <c r="Z32" s="5"/>
      <c r="AA32" s="5"/>
      <c r="AB32" s="5"/>
      <c r="AC32" s="5"/>
      <c r="AD32" s="4" t="s">
        <v>321</v>
      </c>
      <c r="AE32" s="42" t="s">
        <v>478</v>
      </c>
      <c r="AF32" s="3" t="s">
        <v>439</v>
      </c>
      <c r="AG32" s="5"/>
      <c r="AH32" s="5"/>
      <c r="AI32" s="5"/>
      <c r="AJ32" s="3" t="s">
        <v>48</v>
      </c>
      <c r="AK32" s="43"/>
    </row>
    <row r="33" ht="12" customHeight="1" spans="1:37" x14ac:dyDescent="0.25">
      <c r="A33" s="38" t="s">
        <v>131</v>
      </c>
      <c r="B33" s="38" t="s">
        <v>40</v>
      </c>
      <c r="C33" s="38" t="s">
        <v>435</v>
      </c>
      <c r="D33" s="39" t="s">
        <v>321</v>
      </c>
      <c r="E33" s="40" t="s">
        <v>498</v>
      </c>
      <c r="F33" s="3" t="s">
        <v>43</v>
      </c>
      <c r="G33" s="3" t="s">
        <v>46</v>
      </c>
      <c r="H33" s="41" t="s">
        <v>33</v>
      </c>
      <c r="I33" s="3" t="s">
        <v>438</v>
      </c>
      <c r="J33" s="3" t="s">
        <v>439</v>
      </c>
      <c r="K33" s="3"/>
      <c r="L33" s="41" t="s">
        <v>440</v>
      </c>
      <c r="M33" s="3" t="s">
        <v>43</v>
      </c>
      <c r="N33" s="3" t="s">
        <v>441</v>
      </c>
      <c r="O33" s="41" t="s">
        <v>457</v>
      </c>
      <c r="P33" s="41"/>
      <c r="Q33" s="41"/>
      <c r="R33" s="3" t="s">
        <v>31</v>
      </c>
      <c r="S33" s="3" t="s">
        <v>32</v>
      </c>
      <c r="T33" s="3" t="s">
        <v>40</v>
      </c>
      <c r="U33" s="3" t="s">
        <v>35</v>
      </c>
      <c r="V33" s="4" t="s">
        <v>30</v>
      </c>
      <c r="W33" s="3" t="s">
        <v>36</v>
      </c>
      <c r="X33" s="4" t="s">
        <v>249</v>
      </c>
      <c r="Y33" s="5"/>
      <c r="Z33" s="5"/>
      <c r="AA33" s="5"/>
      <c r="AB33" s="5"/>
      <c r="AC33" s="5"/>
      <c r="AD33" s="4" t="s">
        <v>321</v>
      </c>
      <c r="AE33" s="42" t="s">
        <v>453</v>
      </c>
      <c r="AF33" s="3" t="s">
        <v>439</v>
      </c>
      <c r="AG33" s="5"/>
      <c r="AH33" s="5"/>
      <c r="AI33" s="5"/>
      <c r="AJ33" s="3" t="s">
        <v>48</v>
      </c>
      <c r="AK33" s="43"/>
    </row>
    <row r="34" ht="12" customHeight="1" spans="1:37" x14ac:dyDescent="0.25">
      <c r="A34" s="38" t="s">
        <v>132</v>
      </c>
      <c r="B34" s="38" t="s">
        <v>40</v>
      </c>
      <c r="C34" s="38" t="s">
        <v>435</v>
      </c>
      <c r="D34" s="39" t="s">
        <v>321</v>
      </c>
      <c r="E34" s="40" t="s">
        <v>499</v>
      </c>
      <c r="F34" s="3" t="s">
        <v>43</v>
      </c>
      <c r="G34" s="3" t="s">
        <v>46</v>
      </c>
      <c r="H34" s="41" t="s">
        <v>33</v>
      </c>
      <c r="I34" s="3" t="s">
        <v>438</v>
      </c>
      <c r="J34" s="3" t="s">
        <v>439</v>
      </c>
      <c r="K34" s="3"/>
      <c r="L34" s="41" t="s">
        <v>440</v>
      </c>
      <c r="M34" s="3" t="s">
        <v>43</v>
      </c>
      <c r="N34" s="3" t="s">
        <v>441</v>
      </c>
      <c r="O34" s="41" t="s">
        <v>457</v>
      </c>
      <c r="P34" s="41"/>
      <c r="Q34" s="41"/>
      <c r="R34" s="3" t="s">
        <v>31</v>
      </c>
      <c r="S34" s="3" t="s">
        <v>32</v>
      </c>
      <c r="T34" s="3" t="s">
        <v>40</v>
      </c>
      <c r="U34" s="3" t="s">
        <v>35</v>
      </c>
      <c r="V34" s="4" t="s">
        <v>30</v>
      </c>
      <c r="W34" s="3" t="s">
        <v>36</v>
      </c>
      <c r="X34" s="4" t="s">
        <v>249</v>
      </c>
      <c r="Y34" s="5"/>
      <c r="Z34" s="5"/>
      <c r="AA34" s="5"/>
      <c r="AB34" s="5"/>
      <c r="AC34" s="5"/>
      <c r="AD34" s="4" t="s">
        <v>321</v>
      </c>
      <c r="AE34" s="42" t="s">
        <v>481</v>
      </c>
      <c r="AF34" s="3" t="s">
        <v>439</v>
      </c>
      <c r="AG34" s="5"/>
      <c r="AH34" s="5"/>
      <c r="AI34" s="5"/>
      <c r="AJ34" s="3" t="s">
        <v>48</v>
      </c>
      <c r="AK34" s="43"/>
    </row>
    <row r="35" ht="12" customHeight="1" spans="1:37" x14ac:dyDescent="0.25">
      <c r="A35" s="38" t="s">
        <v>133</v>
      </c>
      <c r="B35" s="38" t="s">
        <v>40</v>
      </c>
      <c r="C35" s="38" t="s">
        <v>435</v>
      </c>
      <c r="D35" s="39" t="s">
        <v>321</v>
      </c>
      <c r="E35" s="40" t="s">
        <v>500</v>
      </c>
      <c r="F35" s="3" t="s">
        <v>134</v>
      </c>
      <c r="G35" s="3" t="s">
        <v>328</v>
      </c>
      <c r="H35" s="41" t="s">
        <v>33</v>
      </c>
      <c r="I35" s="3" t="s">
        <v>438</v>
      </c>
      <c r="J35" s="3" t="s">
        <v>439</v>
      </c>
      <c r="K35" s="3"/>
      <c r="L35" s="41" t="s">
        <v>440</v>
      </c>
      <c r="M35" s="3" t="s">
        <v>134</v>
      </c>
      <c r="N35" s="3" t="s">
        <v>483</v>
      </c>
      <c r="O35" s="41" t="s">
        <v>464</v>
      </c>
      <c r="P35" s="41"/>
      <c r="Q35" s="41"/>
      <c r="R35" s="3" t="s">
        <v>501</v>
      </c>
      <c r="S35" s="3" t="s">
        <v>502</v>
      </c>
      <c r="T35" s="3" t="s">
        <v>40</v>
      </c>
      <c r="U35" s="3" t="s">
        <v>35</v>
      </c>
      <c r="V35" s="4" t="s">
        <v>30</v>
      </c>
      <c r="W35" s="3" t="s">
        <v>68</v>
      </c>
      <c r="X35" s="4" t="s">
        <v>296</v>
      </c>
      <c r="Y35" s="5"/>
      <c r="Z35" s="5"/>
      <c r="AA35" s="5"/>
      <c r="AB35" s="5"/>
      <c r="AC35" s="5"/>
      <c r="AD35" s="4" t="s">
        <v>321</v>
      </c>
      <c r="AE35" s="42" t="s">
        <v>478</v>
      </c>
      <c r="AF35" s="3" t="s">
        <v>439</v>
      </c>
      <c r="AG35" s="5"/>
      <c r="AH35" s="5"/>
      <c r="AI35" s="5"/>
      <c r="AJ35" s="3" t="s">
        <v>136</v>
      </c>
      <c r="AK35" s="43"/>
    </row>
    <row r="36" ht="12" customHeight="1" spans="1:37" x14ac:dyDescent="0.25">
      <c r="A36" s="38" t="s">
        <v>137</v>
      </c>
      <c r="B36" s="38" t="s">
        <v>40</v>
      </c>
      <c r="C36" s="38" t="s">
        <v>435</v>
      </c>
      <c r="D36" s="39" t="s">
        <v>436</v>
      </c>
      <c r="E36" s="40" t="s">
        <v>503</v>
      </c>
      <c r="F36" s="3" t="s">
        <v>43</v>
      </c>
      <c r="G36" s="3" t="s">
        <v>46</v>
      </c>
      <c r="H36" s="41" t="s">
        <v>33</v>
      </c>
      <c r="I36" s="3" t="s">
        <v>438</v>
      </c>
      <c r="J36" s="3" t="s">
        <v>439</v>
      </c>
      <c r="K36" s="3"/>
      <c r="L36" s="41" t="s">
        <v>440</v>
      </c>
      <c r="M36" s="3" t="s">
        <v>43</v>
      </c>
      <c r="N36" s="3" t="s">
        <v>441</v>
      </c>
      <c r="O36" s="41" t="s">
        <v>464</v>
      </c>
      <c r="P36" s="41"/>
      <c r="Q36" s="41"/>
      <c r="R36" s="3" t="s">
        <v>31</v>
      </c>
      <c r="S36" s="3" t="s">
        <v>32</v>
      </c>
      <c r="T36" s="3" t="s">
        <v>40</v>
      </c>
      <c r="U36" s="3" t="s">
        <v>35</v>
      </c>
      <c r="V36" s="4" t="s">
        <v>30</v>
      </c>
      <c r="W36" s="3" t="s">
        <v>36</v>
      </c>
      <c r="X36" s="4" t="s">
        <v>249</v>
      </c>
      <c r="Y36" s="5"/>
      <c r="Z36" s="5"/>
      <c r="AA36" s="5"/>
      <c r="AB36" s="5"/>
      <c r="AC36" s="5"/>
      <c r="AD36" s="4" t="s">
        <v>436</v>
      </c>
      <c r="AE36" s="42" t="s">
        <v>504</v>
      </c>
      <c r="AF36" s="3" t="s">
        <v>439</v>
      </c>
      <c r="AG36" s="5"/>
      <c r="AH36" s="5"/>
      <c r="AI36" s="5"/>
      <c r="AJ36" s="3" t="s">
        <v>48</v>
      </c>
      <c r="AK36" s="43"/>
    </row>
    <row r="37" ht="12" customHeight="1" spans="1:37" x14ac:dyDescent="0.25">
      <c r="A37" s="38" t="s">
        <v>138</v>
      </c>
      <c r="B37" s="38" t="s">
        <v>40</v>
      </c>
      <c r="C37" s="38" t="s">
        <v>435</v>
      </c>
      <c r="D37" s="39" t="s">
        <v>262</v>
      </c>
      <c r="E37" s="40" t="s">
        <v>505</v>
      </c>
      <c r="F37" s="3" t="s">
        <v>43</v>
      </c>
      <c r="G37" s="3" t="s">
        <v>46</v>
      </c>
      <c r="H37" s="41" t="s">
        <v>33</v>
      </c>
      <c r="I37" s="3" t="s">
        <v>438</v>
      </c>
      <c r="J37" s="3" t="s">
        <v>439</v>
      </c>
      <c r="K37" s="3"/>
      <c r="L37" s="41" t="s">
        <v>440</v>
      </c>
      <c r="M37" s="3" t="s">
        <v>43</v>
      </c>
      <c r="N37" s="3" t="s">
        <v>441</v>
      </c>
      <c r="O37" s="41" t="s">
        <v>464</v>
      </c>
      <c r="P37" s="41"/>
      <c r="Q37" s="41"/>
      <c r="R37" s="3" t="s">
        <v>31</v>
      </c>
      <c r="S37" s="3" t="s">
        <v>32</v>
      </c>
      <c r="T37" s="3" t="s">
        <v>40</v>
      </c>
      <c r="U37" s="3" t="s">
        <v>35</v>
      </c>
      <c r="V37" s="4" t="s">
        <v>30</v>
      </c>
      <c r="W37" s="3" t="s">
        <v>36</v>
      </c>
      <c r="X37" s="4" t="s">
        <v>249</v>
      </c>
      <c r="Y37" s="5"/>
      <c r="Z37" s="5"/>
      <c r="AA37" s="5"/>
      <c r="AB37" s="5"/>
      <c r="AC37" s="5"/>
      <c r="AD37" s="4" t="s">
        <v>385</v>
      </c>
      <c r="AE37" s="42" t="s">
        <v>506</v>
      </c>
      <c r="AF37" s="3" t="s">
        <v>439</v>
      </c>
      <c r="AG37" s="5"/>
      <c r="AH37" s="5"/>
      <c r="AI37" s="5"/>
      <c r="AJ37" s="3" t="s">
        <v>48</v>
      </c>
      <c r="AK37" s="43"/>
    </row>
    <row r="38" ht="12" customHeight="1" spans="1:37" x14ac:dyDescent="0.25">
      <c r="A38" s="38" t="s">
        <v>139</v>
      </c>
      <c r="B38" s="38" t="s">
        <v>40</v>
      </c>
      <c r="C38" s="38" t="s">
        <v>435</v>
      </c>
      <c r="D38" s="39" t="s">
        <v>262</v>
      </c>
      <c r="E38" s="40" t="s">
        <v>507</v>
      </c>
      <c r="F38" s="3" t="s">
        <v>43</v>
      </c>
      <c r="G38" s="3" t="s">
        <v>46</v>
      </c>
      <c r="H38" s="41" t="s">
        <v>33</v>
      </c>
      <c r="I38" s="3" t="s">
        <v>438</v>
      </c>
      <c r="J38" s="3" t="s">
        <v>439</v>
      </c>
      <c r="K38" s="3"/>
      <c r="L38" s="41" t="s">
        <v>440</v>
      </c>
      <c r="M38" s="3" t="s">
        <v>43</v>
      </c>
      <c r="N38" s="3" t="s">
        <v>441</v>
      </c>
      <c r="O38" s="41" t="s">
        <v>464</v>
      </c>
      <c r="P38" s="41"/>
      <c r="Q38" s="41"/>
      <c r="R38" s="3" t="s">
        <v>31</v>
      </c>
      <c r="S38" s="3" t="s">
        <v>32</v>
      </c>
      <c r="T38" s="3" t="s">
        <v>40</v>
      </c>
      <c r="U38" s="3" t="s">
        <v>35</v>
      </c>
      <c r="V38" s="4" t="s">
        <v>30</v>
      </c>
      <c r="W38" s="3" t="s">
        <v>36</v>
      </c>
      <c r="X38" s="4" t="s">
        <v>249</v>
      </c>
      <c r="Y38" s="5"/>
      <c r="Z38" s="5"/>
      <c r="AA38" s="5"/>
      <c r="AB38" s="5"/>
      <c r="AC38" s="5"/>
      <c r="AD38" s="4" t="s">
        <v>262</v>
      </c>
      <c r="AE38" s="42" t="s">
        <v>508</v>
      </c>
      <c r="AF38" s="3" t="s">
        <v>439</v>
      </c>
      <c r="AG38" s="5"/>
      <c r="AH38" s="5"/>
      <c r="AI38" s="5"/>
      <c r="AJ38" s="3" t="s">
        <v>48</v>
      </c>
      <c r="AK38" s="43"/>
    </row>
    <row r="39" ht="12" customHeight="1" spans="1:37" x14ac:dyDescent="0.25">
      <c r="A39" s="38" t="s">
        <v>140</v>
      </c>
      <c r="B39" s="38" t="s">
        <v>40</v>
      </c>
      <c r="C39" s="38" t="s">
        <v>435</v>
      </c>
      <c r="D39" s="39" t="s">
        <v>309</v>
      </c>
      <c r="E39" s="40" t="s">
        <v>509</v>
      </c>
      <c r="F39" s="3" t="s">
        <v>141</v>
      </c>
      <c r="G39" s="3" t="s">
        <v>142</v>
      </c>
      <c r="H39" s="41" t="s">
        <v>33</v>
      </c>
      <c r="I39" s="3" t="s">
        <v>438</v>
      </c>
      <c r="J39" s="3" t="s">
        <v>439</v>
      </c>
      <c r="K39" s="3"/>
      <c r="L39" s="41" t="s">
        <v>440</v>
      </c>
      <c r="M39" s="3" t="s">
        <v>141</v>
      </c>
      <c r="N39" s="3" t="s">
        <v>483</v>
      </c>
      <c r="O39" s="41" t="s">
        <v>464</v>
      </c>
      <c r="P39" s="41"/>
      <c r="Q39" s="41"/>
      <c r="R39" s="3" t="s">
        <v>484</v>
      </c>
      <c r="S39" s="3" t="s">
        <v>485</v>
      </c>
      <c r="T39" s="3" t="s">
        <v>40</v>
      </c>
      <c r="U39" s="3" t="s">
        <v>35</v>
      </c>
      <c r="V39" s="4" t="s">
        <v>30</v>
      </c>
      <c r="W39" s="3" t="s">
        <v>36</v>
      </c>
      <c r="X39" s="4" t="s">
        <v>249</v>
      </c>
      <c r="Y39" s="5"/>
      <c r="Z39" s="5"/>
      <c r="AA39" s="5"/>
      <c r="AB39" s="5"/>
      <c r="AC39" s="5"/>
      <c r="AD39" s="4" t="s">
        <v>321</v>
      </c>
      <c r="AE39" s="42" t="s">
        <v>510</v>
      </c>
      <c r="AF39" s="3" t="s">
        <v>439</v>
      </c>
      <c r="AG39" s="5"/>
      <c r="AH39" s="5"/>
      <c r="AI39" s="5" t="s">
        <v>511</v>
      </c>
      <c r="AJ39" s="3" t="s">
        <v>143</v>
      </c>
      <c r="AK39" s="43"/>
    </row>
    <row r="40" ht="12" customHeight="1" spans="1:37" x14ac:dyDescent="0.25">
      <c r="A40" s="38" t="s">
        <v>144</v>
      </c>
      <c r="B40" s="38" t="s">
        <v>40</v>
      </c>
      <c r="C40" s="38" t="s">
        <v>435</v>
      </c>
      <c r="D40" s="39" t="s">
        <v>321</v>
      </c>
      <c r="E40" s="40" t="s">
        <v>512</v>
      </c>
      <c r="F40" s="3" t="s">
        <v>43</v>
      </c>
      <c r="G40" s="3" t="s">
        <v>46</v>
      </c>
      <c r="H40" s="41" t="s">
        <v>33</v>
      </c>
      <c r="I40" s="3" t="s">
        <v>438</v>
      </c>
      <c r="J40" s="3" t="s">
        <v>439</v>
      </c>
      <c r="K40" s="3"/>
      <c r="L40" s="41" t="s">
        <v>440</v>
      </c>
      <c r="M40" s="3" t="s">
        <v>43</v>
      </c>
      <c r="N40" s="3" t="s">
        <v>441</v>
      </c>
      <c r="O40" s="41" t="s">
        <v>446</v>
      </c>
      <c r="P40" s="41"/>
      <c r="Q40" s="41"/>
      <c r="R40" s="3" t="s">
        <v>31</v>
      </c>
      <c r="S40" s="3" t="s">
        <v>32</v>
      </c>
      <c r="T40" s="3" t="s">
        <v>40</v>
      </c>
      <c r="U40" s="3" t="s">
        <v>35</v>
      </c>
      <c r="V40" s="4" t="s">
        <v>30</v>
      </c>
      <c r="W40" s="3" t="s">
        <v>36</v>
      </c>
      <c r="X40" s="4" t="s">
        <v>249</v>
      </c>
      <c r="Y40" s="5"/>
      <c r="Z40" s="5"/>
      <c r="AA40" s="5"/>
      <c r="AB40" s="5"/>
      <c r="AC40" s="5"/>
      <c r="AD40" s="4" t="s">
        <v>321</v>
      </c>
      <c r="AE40" s="42" t="s">
        <v>513</v>
      </c>
      <c r="AF40" s="3" t="s">
        <v>439</v>
      </c>
      <c r="AG40" s="5"/>
      <c r="AH40" s="5"/>
      <c r="AI40" s="5"/>
      <c r="AJ40" s="3" t="s">
        <v>48</v>
      </c>
      <c r="AK40" s="43"/>
    </row>
    <row r="41" ht="12" customHeight="1" spans="1:37" x14ac:dyDescent="0.25">
      <c r="A41" s="38" t="s">
        <v>145</v>
      </c>
      <c r="B41" s="38" t="s">
        <v>40</v>
      </c>
      <c r="C41" s="38" t="s">
        <v>435</v>
      </c>
      <c r="D41" s="39" t="s">
        <v>385</v>
      </c>
      <c r="E41" s="40" t="s">
        <v>514</v>
      </c>
      <c r="F41" s="3" t="s">
        <v>77</v>
      </c>
      <c r="G41" s="3" t="s">
        <v>79</v>
      </c>
      <c r="H41" s="41" t="s">
        <v>67</v>
      </c>
      <c r="I41" s="3" t="s">
        <v>438</v>
      </c>
      <c r="J41" s="3" t="s">
        <v>439</v>
      </c>
      <c r="K41" s="3"/>
      <c r="L41" s="41" t="s">
        <v>440</v>
      </c>
      <c r="M41" s="3" t="s">
        <v>77</v>
      </c>
      <c r="N41" s="3" t="s">
        <v>463</v>
      </c>
      <c r="O41" s="41" t="s">
        <v>464</v>
      </c>
      <c r="P41" s="41"/>
      <c r="Q41" s="41"/>
      <c r="R41" s="3" t="s">
        <v>31</v>
      </c>
      <c r="S41" s="3" t="s">
        <v>32</v>
      </c>
      <c r="T41" s="3" t="s">
        <v>40</v>
      </c>
      <c r="U41" s="3" t="s">
        <v>35</v>
      </c>
      <c r="V41" s="4" t="s">
        <v>30</v>
      </c>
      <c r="W41" s="3" t="s">
        <v>76</v>
      </c>
      <c r="X41" s="4" t="s">
        <v>449</v>
      </c>
      <c r="Y41" s="5"/>
      <c r="Z41" s="5"/>
      <c r="AA41" s="5"/>
      <c r="AB41" s="5"/>
      <c r="AC41" s="5"/>
      <c r="AD41" s="4" t="s">
        <v>385</v>
      </c>
      <c r="AE41" s="42" t="s">
        <v>515</v>
      </c>
      <c r="AF41" s="3" t="s">
        <v>439</v>
      </c>
      <c r="AG41" s="5"/>
      <c r="AH41" s="5"/>
      <c r="AI41" s="5"/>
      <c r="AJ41" s="3" t="s">
        <v>80</v>
      </c>
      <c r="AK41" s="43"/>
    </row>
    <row r="42" ht="12" customHeight="1" spans="1:37" x14ac:dyDescent="0.25">
      <c r="A42" s="38" t="s">
        <v>147</v>
      </c>
      <c r="B42" s="38" t="s">
        <v>40</v>
      </c>
      <c r="C42" s="38" t="s">
        <v>435</v>
      </c>
      <c r="D42" s="39" t="s">
        <v>267</v>
      </c>
      <c r="E42" s="40" t="s">
        <v>516</v>
      </c>
      <c r="F42" s="3" t="s">
        <v>70</v>
      </c>
      <c r="G42" s="3" t="s">
        <v>298</v>
      </c>
      <c r="H42" s="41" t="s">
        <v>67</v>
      </c>
      <c r="I42" s="3" t="s">
        <v>438</v>
      </c>
      <c r="J42" s="3" t="s">
        <v>439</v>
      </c>
      <c r="K42" s="3"/>
      <c r="L42" s="41" t="s">
        <v>440</v>
      </c>
      <c r="M42" s="3" t="s">
        <v>70</v>
      </c>
      <c r="N42" s="3" t="s">
        <v>460</v>
      </c>
      <c r="O42" s="41" t="s">
        <v>442</v>
      </c>
      <c r="P42" s="41"/>
      <c r="Q42" s="41"/>
      <c r="R42" s="3" t="s">
        <v>31</v>
      </c>
      <c r="S42" s="3" t="s">
        <v>32</v>
      </c>
      <c r="T42" s="3" t="s">
        <v>40</v>
      </c>
      <c r="U42" s="3" t="s">
        <v>35</v>
      </c>
      <c r="V42" s="4" t="s">
        <v>30</v>
      </c>
      <c r="W42" s="3" t="s">
        <v>68</v>
      </c>
      <c r="X42" s="4" t="s">
        <v>296</v>
      </c>
      <c r="Y42" s="5"/>
      <c r="Z42" s="5"/>
      <c r="AA42" s="5"/>
      <c r="AB42" s="5"/>
      <c r="AC42" s="5"/>
      <c r="AD42" s="4" t="s">
        <v>267</v>
      </c>
      <c r="AE42" s="42" t="s">
        <v>517</v>
      </c>
      <c r="AF42" s="3" t="s">
        <v>439</v>
      </c>
      <c r="AG42" s="5"/>
      <c r="AH42" s="5"/>
      <c r="AI42" s="5"/>
      <c r="AJ42" s="3" t="s">
        <v>73</v>
      </c>
      <c r="AK42" s="43"/>
    </row>
    <row r="43" ht="12" customHeight="1" spans="1:37" x14ac:dyDescent="0.25">
      <c r="A43" s="38" t="s">
        <v>148</v>
      </c>
      <c r="B43" s="38" t="s">
        <v>40</v>
      </c>
      <c r="C43" s="38" t="s">
        <v>435</v>
      </c>
      <c r="D43" s="39" t="s">
        <v>267</v>
      </c>
      <c r="E43" s="40" t="s">
        <v>516</v>
      </c>
      <c r="F43" s="3" t="s">
        <v>70</v>
      </c>
      <c r="G43" s="3" t="s">
        <v>298</v>
      </c>
      <c r="H43" s="41" t="s">
        <v>67</v>
      </c>
      <c r="I43" s="3" t="s">
        <v>438</v>
      </c>
      <c r="J43" s="3" t="s">
        <v>439</v>
      </c>
      <c r="K43" s="3"/>
      <c r="L43" s="41" t="s">
        <v>440</v>
      </c>
      <c r="M43" s="3" t="s">
        <v>70</v>
      </c>
      <c r="N43" s="3" t="s">
        <v>460</v>
      </c>
      <c r="O43" s="41" t="s">
        <v>494</v>
      </c>
      <c r="P43" s="41"/>
      <c r="Q43" s="41"/>
      <c r="R43" s="3" t="s">
        <v>31</v>
      </c>
      <c r="S43" s="3" t="s">
        <v>32</v>
      </c>
      <c r="T43" s="3" t="s">
        <v>40</v>
      </c>
      <c r="U43" s="3" t="s">
        <v>35</v>
      </c>
      <c r="V43" s="4" t="s">
        <v>30</v>
      </c>
      <c r="W43" s="3" t="s">
        <v>68</v>
      </c>
      <c r="X43" s="4" t="s">
        <v>296</v>
      </c>
      <c r="Y43" s="5"/>
      <c r="Z43" s="5"/>
      <c r="AA43" s="5"/>
      <c r="AB43" s="5"/>
      <c r="AC43" s="5"/>
      <c r="AD43" s="4" t="s">
        <v>267</v>
      </c>
      <c r="AE43" s="42" t="s">
        <v>517</v>
      </c>
      <c r="AF43" s="3" t="s">
        <v>439</v>
      </c>
      <c r="AG43" s="5"/>
      <c r="AH43" s="5"/>
      <c r="AI43" s="5"/>
      <c r="AJ43" s="3" t="s">
        <v>73</v>
      </c>
      <c r="AK43" s="43"/>
    </row>
    <row r="44" ht="12" customHeight="1" spans="1:37" x14ac:dyDescent="0.25">
      <c r="A44" s="38" t="s">
        <v>149</v>
      </c>
      <c r="B44" s="38" t="s">
        <v>40</v>
      </c>
      <c r="C44" s="38" t="s">
        <v>435</v>
      </c>
      <c r="D44" s="39" t="s">
        <v>321</v>
      </c>
      <c r="E44" s="40" t="s">
        <v>459</v>
      </c>
      <c r="F44" s="3" t="s">
        <v>70</v>
      </c>
      <c r="G44" s="3" t="s">
        <v>298</v>
      </c>
      <c r="H44" s="41" t="s">
        <v>67</v>
      </c>
      <c r="I44" s="3" t="s">
        <v>438</v>
      </c>
      <c r="J44" s="3" t="s">
        <v>439</v>
      </c>
      <c r="K44" s="3"/>
      <c r="L44" s="41" t="s">
        <v>440</v>
      </c>
      <c r="M44" s="3" t="s">
        <v>70</v>
      </c>
      <c r="N44" s="3" t="s">
        <v>460</v>
      </c>
      <c r="O44" s="41" t="s">
        <v>455</v>
      </c>
      <c r="P44" s="41"/>
      <c r="Q44" s="41"/>
      <c r="R44" s="3" t="s">
        <v>31</v>
      </c>
      <c r="S44" s="3" t="s">
        <v>32</v>
      </c>
      <c r="T44" s="3" t="s">
        <v>40</v>
      </c>
      <c r="U44" s="3" t="s">
        <v>35</v>
      </c>
      <c r="V44" s="4" t="s">
        <v>30</v>
      </c>
      <c r="W44" s="3" t="s">
        <v>68</v>
      </c>
      <c r="X44" s="4" t="s">
        <v>296</v>
      </c>
      <c r="Y44" s="5"/>
      <c r="Z44" s="5"/>
      <c r="AA44" s="5"/>
      <c r="AB44" s="5"/>
      <c r="AC44" s="5"/>
      <c r="AD44" s="4" t="s">
        <v>267</v>
      </c>
      <c r="AE44" s="42" t="s">
        <v>461</v>
      </c>
      <c r="AF44" s="3" t="s">
        <v>439</v>
      </c>
      <c r="AG44" s="5"/>
      <c r="AH44" s="5"/>
      <c r="AI44" s="5"/>
      <c r="AJ44" s="3" t="s">
        <v>73</v>
      </c>
      <c r="AK44" s="43"/>
    </row>
    <row r="45" ht="12" customHeight="1" spans="1:37" x14ac:dyDescent="0.25">
      <c r="A45" s="38" t="s">
        <v>150</v>
      </c>
      <c r="B45" s="38" t="s">
        <v>40</v>
      </c>
      <c r="C45" s="38" t="s">
        <v>435</v>
      </c>
      <c r="D45" s="39" t="s">
        <v>436</v>
      </c>
      <c r="E45" s="40" t="s">
        <v>518</v>
      </c>
      <c r="F45" s="3" t="s">
        <v>43</v>
      </c>
      <c r="G45" s="3" t="s">
        <v>46</v>
      </c>
      <c r="H45" s="41" t="s">
        <v>33</v>
      </c>
      <c r="I45" s="3" t="s">
        <v>438</v>
      </c>
      <c r="J45" s="3" t="s">
        <v>439</v>
      </c>
      <c r="K45" s="3"/>
      <c r="L45" s="41" t="s">
        <v>440</v>
      </c>
      <c r="M45" s="3" t="s">
        <v>43</v>
      </c>
      <c r="N45" s="3" t="s">
        <v>441</v>
      </c>
      <c r="O45" s="41" t="s">
        <v>519</v>
      </c>
      <c r="P45" s="41"/>
      <c r="Q45" s="41"/>
      <c r="R45" s="3" t="s">
        <v>31</v>
      </c>
      <c r="S45" s="3" t="s">
        <v>32</v>
      </c>
      <c r="T45" s="3" t="s">
        <v>40</v>
      </c>
      <c r="U45" s="3" t="s">
        <v>35</v>
      </c>
      <c r="V45" s="4" t="s">
        <v>30</v>
      </c>
      <c r="W45" s="3" t="s">
        <v>36</v>
      </c>
      <c r="X45" s="4" t="s">
        <v>249</v>
      </c>
      <c r="Y45" s="5"/>
      <c r="Z45" s="5"/>
      <c r="AA45" s="5"/>
      <c r="AB45" s="5"/>
      <c r="AC45" s="5"/>
      <c r="AD45" s="4" t="s">
        <v>436</v>
      </c>
      <c r="AE45" s="42" t="s">
        <v>443</v>
      </c>
      <c r="AF45" s="3" t="s">
        <v>439</v>
      </c>
      <c r="AG45" s="5"/>
      <c r="AH45" s="5"/>
      <c r="AI45" s="5"/>
      <c r="AJ45" s="3" t="s">
        <v>48</v>
      </c>
      <c r="AK45" s="43"/>
    </row>
    <row r="46" ht="12" customHeight="1" spans="1:37" x14ac:dyDescent="0.25">
      <c r="A46" s="38" t="s">
        <v>151</v>
      </c>
      <c r="B46" s="38" t="s">
        <v>40</v>
      </c>
      <c r="C46" s="38" t="s">
        <v>435</v>
      </c>
      <c r="D46" s="39" t="s">
        <v>321</v>
      </c>
      <c r="E46" s="40" t="s">
        <v>520</v>
      </c>
      <c r="F46" s="3" t="s">
        <v>43</v>
      </c>
      <c r="G46" s="3" t="s">
        <v>46</v>
      </c>
      <c r="H46" s="41" t="s">
        <v>33</v>
      </c>
      <c r="I46" s="3" t="s">
        <v>438</v>
      </c>
      <c r="J46" s="3" t="s">
        <v>439</v>
      </c>
      <c r="K46" s="3"/>
      <c r="L46" s="41" t="s">
        <v>440</v>
      </c>
      <c r="M46" s="3" t="s">
        <v>43</v>
      </c>
      <c r="N46" s="3" t="s">
        <v>441</v>
      </c>
      <c r="O46" s="41" t="s">
        <v>446</v>
      </c>
      <c r="P46" s="41"/>
      <c r="Q46" s="41"/>
      <c r="R46" s="3" t="s">
        <v>31</v>
      </c>
      <c r="S46" s="3" t="s">
        <v>32</v>
      </c>
      <c r="T46" s="3" t="s">
        <v>40</v>
      </c>
      <c r="U46" s="3" t="s">
        <v>35</v>
      </c>
      <c r="V46" s="4" t="s">
        <v>30</v>
      </c>
      <c r="W46" s="3" t="s">
        <v>36</v>
      </c>
      <c r="X46" s="4" t="s">
        <v>249</v>
      </c>
      <c r="Y46" s="5"/>
      <c r="Z46" s="5"/>
      <c r="AA46" s="5"/>
      <c r="AB46" s="5"/>
      <c r="AC46" s="5"/>
      <c r="AD46" s="4" t="s">
        <v>321</v>
      </c>
      <c r="AE46" s="42" t="s">
        <v>453</v>
      </c>
      <c r="AF46" s="3" t="s">
        <v>439</v>
      </c>
      <c r="AG46" s="5"/>
      <c r="AH46" s="5"/>
      <c r="AI46" s="5"/>
      <c r="AJ46" s="3" t="s">
        <v>48</v>
      </c>
      <c r="AK46" s="43"/>
    </row>
    <row r="47" ht="12" customHeight="1" spans="1:37" x14ac:dyDescent="0.25">
      <c r="A47" s="38" t="s">
        <v>29</v>
      </c>
      <c r="B47" s="38"/>
      <c r="C47" s="38"/>
      <c r="D47" s="39"/>
      <c r="E47" s="40"/>
      <c r="F47" s="3"/>
      <c r="G47" s="3"/>
      <c r="H47" s="41"/>
      <c r="I47" s="3"/>
      <c r="J47" s="3"/>
      <c r="K47" s="3"/>
      <c r="L47" s="41"/>
      <c r="M47" s="3"/>
      <c r="N47" s="3"/>
      <c r="O47" s="41"/>
      <c r="P47" s="41"/>
      <c r="Q47" s="41"/>
      <c r="R47" s="3"/>
      <c r="S47" s="3"/>
      <c r="T47" s="3"/>
      <c r="U47" s="3"/>
      <c r="V47" s="4"/>
      <c r="W47" s="3"/>
      <c r="X47" s="4"/>
      <c r="Y47" s="5"/>
      <c r="Z47" s="5"/>
      <c r="AA47" s="5"/>
      <c r="AB47" s="5"/>
      <c r="AC47" s="5"/>
      <c r="AD47" s="4"/>
      <c r="AE47" s="42"/>
      <c r="AF47" s="3"/>
      <c r="AG47" s="5"/>
      <c r="AH47" s="5"/>
      <c r="AI47" s="5"/>
      <c r="AJ47" s="3"/>
      <c r="AK47" s="43"/>
    </row>
    <row r="48" ht="12" customHeight="1" spans="1:37" x14ac:dyDescent="0.25">
      <c r="A48" s="38" t="s">
        <v>50</v>
      </c>
      <c r="B48" s="38"/>
      <c r="C48" s="38"/>
      <c r="D48" s="39"/>
      <c r="E48" s="40"/>
      <c r="F48" s="3"/>
      <c r="G48" s="3"/>
      <c r="H48" s="41"/>
      <c r="I48" s="3"/>
      <c r="J48" s="3"/>
      <c r="K48" s="3"/>
      <c r="L48" s="41"/>
      <c r="M48" s="3"/>
      <c r="N48" s="3"/>
      <c r="O48" s="41"/>
      <c r="P48" s="41"/>
      <c r="Q48" s="41"/>
      <c r="R48" s="3"/>
      <c r="S48" s="3"/>
      <c r="T48" s="3"/>
      <c r="U48" s="3"/>
      <c r="V48" s="4"/>
      <c r="W48" s="3"/>
      <c r="X48" s="4"/>
      <c r="Y48" s="5"/>
      <c r="Z48" s="5"/>
      <c r="AA48" s="5"/>
      <c r="AB48" s="5"/>
      <c r="AC48" s="5"/>
      <c r="AD48" s="4"/>
      <c r="AE48" s="42"/>
      <c r="AF48" s="3"/>
      <c r="AG48" s="5"/>
      <c r="AH48" s="5"/>
      <c r="AI48" s="5"/>
      <c r="AJ48" s="3"/>
      <c r="AK48" s="43"/>
    </row>
    <row r="49" ht="12" customHeight="1" spans="1:37" x14ac:dyDescent="0.25">
      <c r="A49" s="38" t="s">
        <v>60</v>
      </c>
      <c r="B49" s="38"/>
      <c r="C49" s="38"/>
      <c r="D49" s="39"/>
      <c r="E49" s="40"/>
      <c r="F49" s="3"/>
      <c r="G49" s="3"/>
      <c r="H49" s="41"/>
      <c r="I49" s="3"/>
      <c r="J49" s="3"/>
      <c r="K49" s="3"/>
      <c r="L49" s="41"/>
      <c r="M49" s="3"/>
      <c r="N49" s="3"/>
      <c r="O49" s="41"/>
      <c r="P49" s="41"/>
      <c r="Q49" s="41"/>
      <c r="R49" s="3"/>
      <c r="S49" s="3"/>
      <c r="T49" s="3"/>
      <c r="U49" s="3"/>
      <c r="V49" s="4"/>
      <c r="W49" s="3"/>
      <c r="X49" s="4"/>
      <c r="Y49" s="5"/>
      <c r="Z49" s="5"/>
      <c r="AA49" s="5"/>
      <c r="AB49" s="5"/>
      <c r="AC49" s="5"/>
      <c r="AD49" s="4"/>
      <c r="AE49" s="42"/>
      <c r="AF49" s="3"/>
      <c r="AG49" s="5"/>
      <c r="AH49" s="5"/>
      <c r="AI49" s="5"/>
      <c r="AJ49" s="3"/>
      <c r="AK49" s="43"/>
    </row>
    <row r="50" ht="12" customHeight="1" spans="1:37" x14ac:dyDescent="0.25">
      <c r="A50" s="38" t="s">
        <v>63</v>
      </c>
      <c r="B50" s="38"/>
      <c r="C50" s="38"/>
      <c r="D50" s="39"/>
      <c r="E50" s="40"/>
      <c r="F50" s="3"/>
      <c r="G50" s="3"/>
      <c r="H50" s="41"/>
      <c r="I50" s="3"/>
      <c r="J50" s="3"/>
      <c r="K50" s="3"/>
      <c r="L50" s="41"/>
      <c r="M50" s="3"/>
      <c r="N50" s="3"/>
      <c r="O50" s="41"/>
      <c r="P50" s="41"/>
      <c r="Q50" s="41"/>
      <c r="R50" s="3"/>
      <c r="S50" s="3"/>
      <c r="T50" s="3"/>
      <c r="U50" s="3"/>
      <c r="V50" s="4"/>
      <c r="W50" s="3"/>
      <c r="X50" s="4"/>
      <c r="Y50" s="5"/>
      <c r="Z50" s="5"/>
      <c r="AA50" s="5"/>
      <c r="AB50" s="5"/>
      <c r="AC50" s="5"/>
      <c r="AD50" s="4"/>
      <c r="AE50" s="42"/>
      <c r="AF50" s="3"/>
      <c r="AG50" s="5"/>
      <c r="AH50" s="5"/>
      <c r="AI50" s="5"/>
      <c r="AJ50" s="3"/>
      <c r="AK50" s="43"/>
    </row>
    <row r="51" ht="12" customHeight="1" spans="1:37" x14ac:dyDescent="0.25">
      <c r="A51" s="38" t="s">
        <v>64</v>
      </c>
      <c r="B51" s="38"/>
      <c r="C51" s="38"/>
      <c r="D51" s="39"/>
      <c r="E51" s="40"/>
      <c r="F51" s="3"/>
      <c r="G51" s="3"/>
      <c r="H51" s="41"/>
      <c r="I51" s="3"/>
      <c r="J51" s="3"/>
      <c r="K51" s="3"/>
      <c r="L51" s="41"/>
      <c r="M51" s="3"/>
      <c r="N51" s="3"/>
      <c r="O51" s="41"/>
      <c r="P51" s="41"/>
      <c r="Q51" s="41"/>
      <c r="R51" s="3"/>
      <c r="S51" s="3"/>
      <c r="T51" s="3"/>
      <c r="U51" s="3"/>
      <c r="V51" s="4"/>
      <c r="W51" s="3"/>
      <c r="X51" s="4"/>
      <c r="Y51" s="5"/>
      <c r="Z51" s="5"/>
      <c r="AA51" s="5"/>
      <c r="AB51" s="5"/>
      <c r="AC51" s="5"/>
      <c r="AD51" s="4"/>
      <c r="AE51" s="42"/>
      <c r="AF51" s="3"/>
      <c r="AG51" s="5"/>
      <c r="AH51" s="5"/>
      <c r="AI51" s="5"/>
      <c r="AJ51" s="3"/>
      <c r="AK51" s="43"/>
    </row>
    <row r="52" ht="12" customHeight="1" spans="1:37" x14ac:dyDescent="0.25">
      <c r="A52" s="38" t="s">
        <v>65</v>
      </c>
      <c r="B52" s="38"/>
      <c r="C52" s="38"/>
      <c r="D52" s="39"/>
      <c r="E52" s="40"/>
      <c r="F52" s="3"/>
      <c r="G52" s="3"/>
      <c r="H52" s="41"/>
      <c r="I52" s="3"/>
      <c r="J52" s="3"/>
      <c r="K52" s="3"/>
      <c r="L52" s="41"/>
      <c r="M52" s="3"/>
      <c r="N52" s="3"/>
      <c r="O52" s="41"/>
      <c r="P52" s="41"/>
      <c r="Q52" s="41"/>
      <c r="R52" s="3"/>
      <c r="S52" s="3"/>
      <c r="T52" s="3"/>
      <c r="U52" s="3"/>
      <c r="V52" s="4"/>
      <c r="W52" s="3"/>
      <c r="X52" s="4"/>
      <c r="Y52" s="5"/>
      <c r="Z52" s="5"/>
      <c r="AA52" s="5"/>
      <c r="AB52" s="5"/>
      <c r="AC52" s="5"/>
      <c r="AD52" s="4"/>
      <c r="AE52" s="42"/>
      <c r="AF52" s="3"/>
      <c r="AG52" s="5"/>
      <c r="AH52" s="5"/>
      <c r="AI52" s="5"/>
      <c r="AJ52" s="3"/>
      <c r="AK52" s="43"/>
    </row>
    <row r="53" ht="12" customHeight="1" spans="1:37" x14ac:dyDescent="0.25">
      <c r="A53" s="38" t="s">
        <v>66</v>
      </c>
      <c r="B53" s="38"/>
      <c r="C53" s="38"/>
      <c r="D53" s="39"/>
      <c r="E53" s="40"/>
      <c r="F53" s="3"/>
      <c r="G53" s="3"/>
      <c r="H53" s="41"/>
      <c r="I53" s="3"/>
      <c r="J53" s="3"/>
      <c r="K53" s="3"/>
      <c r="L53" s="41"/>
      <c r="M53" s="3"/>
      <c r="N53" s="3"/>
      <c r="O53" s="41"/>
      <c r="P53" s="41"/>
      <c r="Q53" s="41"/>
      <c r="R53" s="3"/>
      <c r="S53" s="3"/>
      <c r="T53" s="3"/>
      <c r="U53" s="3"/>
      <c r="V53" s="4"/>
      <c r="W53" s="3"/>
      <c r="X53" s="4"/>
      <c r="Y53" s="5"/>
      <c r="Z53" s="5"/>
      <c r="AA53" s="5"/>
      <c r="AB53" s="5"/>
      <c r="AC53" s="5"/>
      <c r="AD53" s="4"/>
      <c r="AE53" s="42"/>
      <c r="AF53" s="3"/>
      <c r="AG53" s="5"/>
      <c r="AH53" s="5"/>
      <c r="AI53" s="5"/>
      <c r="AJ53" s="3"/>
      <c r="AK53" s="43"/>
    </row>
    <row r="54" ht="12" customHeight="1" spans="1:37" x14ac:dyDescent="0.25">
      <c r="A54" s="38" t="s">
        <v>75</v>
      </c>
      <c r="B54" s="38"/>
      <c r="C54" s="38"/>
      <c r="D54" s="39"/>
      <c r="E54" s="40"/>
      <c r="F54" s="3"/>
      <c r="G54" s="3"/>
      <c r="H54" s="41"/>
      <c r="I54" s="3"/>
      <c r="J54" s="3"/>
      <c r="K54" s="3"/>
      <c r="L54" s="41"/>
      <c r="M54" s="3"/>
      <c r="N54" s="3"/>
      <c r="O54" s="41"/>
      <c r="P54" s="41"/>
      <c r="Q54" s="41"/>
      <c r="R54" s="3"/>
      <c r="S54" s="3"/>
      <c r="T54" s="3"/>
      <c r="U54" s="3"/>
      <c r="V54" s="4"/>
      <c r="W54" s="3"/>
      <c r="X54" s="4"/>
      <c r="Y54" s="5"/>
      <c r="Z54" s="5"/>
      <c r="AA54" s="5"/>
      <c r="AB54" s="5"/>
      <c r="AC54" s="5"/>
      <c r="AD54" s="4"/>
      <c r="AE54" s="42"/>
      <c r="AF54" s="3"/>
      <c r="AG54" s="5"/>
      <c r="AH54" s="5"/>
      <c r="AI54" s="5"/>
      <c r="AJ54" s="3"/>
      <c r="AK54" s="43"/>
    </row>
    <row r="55" ht="12" customHeight="1" spans="1:37" x14ac:dyDescent="0.25">
      <c r="A55" s="38" t="s">
        <v>82</v>
      </c>
      <c r="B55" s="38"/>
      <c r="C55" s="38"/>
      <c r="D55" s="39"/>
      <c r="E55" s="40"/>
      <c r="F55" s="3"/>
      <c r="G55" s="3"/>
      <c r="H55" s="41"/>
      <c r="I55" s="3"/>
      <c r="J55" s="3"/>
      <c r="K55" s="3"/>
      <c r="L55" s="41"/>
      <c r="M55" s="3"/>
      <c r="N55" s="3"/>
      <c r="O55" s="41"/>
      <c r="P55" s="41"/>
      <c r="Q55" s="41"/>
      <c r="R55" s="3"/>
      <c r="S55" s="3"/>
      <c r="T55" s="3"/>
      <c r="U55" s="3"/>
      <c r="V55" s="4"/>
      <c r="W55" s="3"/>
      <c r="X55" s="4"/>
      <c r="Y55" s="5"/>
      <c r="Z55" s="5"/>
      <c r="AA55" s="5"/>
      <c r="AB55" s="5"/>
      <c r="AC55" s="5"/>
      <c r="AD55" s="4"/>
      <c r="AE55" s="42"/>
      <c r="AF55" s="3"/>
      <c r="AG55" s="5"/>
      <c r="AH55" s="5"/>
      <c r="AI55" s="5"/>
      <c r="AJ55" s="3"/>
      <c r="AK55" s="43"/>
    </row>
    <row r="56" ht="12" customHeight="1" spans="1:37" x14ac:dyDescent="0.25">
      <c r="A56" s="38" t="s">
        <v>86</v>
      </c>
      <c r="B56" s="38"/>
      <c r="C56" s="38"/>
      <c r="D56" s="39"/>
      <c r="E56" s="40"/>
      <c r="F56" s="3"/>
      <c r="G56" s="3"/>
      <c r="H56" s="41"/>
      <c r="I56" s="3"/>
      <c r="J56" s="3"/>
      <c r="K56" s="3"/>
      <c r="L56" s="41"/>
      <c r="M56" s="3"/>
      <c r="N56" s="3"/>
      <c r="O56" s="41"/>
      <c r="P56" s="41"/>
      <c r="Q56" s="41"/>
      <c r="R56" s="3"/>
      <c r="S56" s="3"/>
      <c r="T56" s="3"/>
      <c r="U56" s="3"/>
      <c r="V56" s="4"/>
      <c r="W56" s="3"/>
      <c r="X56" s="4"/>
      <c r="Y56" s="5"/>
      <c r="Z56" s="5"/>
      <c r="AA56" s="5"/>
      <c r="AB56" s="5"/>
      <c r="AC56" s="5"/>
      <c r="AD56" s="4"/>
      <c r="AE56" s="42"/>
      <c r="AF56" s="3"/>
      <c r="AG56" s="5"/>
      <c r="AH56" s="5"/>
      <c r="AI56" s="5"/>
      <c r="AJ56" s="3"/>
      <c r="AK56" s="43"/>
    </row>
    <row r="57" ht="12" customHeight="1" spans="1:37" x14ac:dyDescent="0.25">
      <c r="A57" s="38" t="s">
        <v>87</v>
      </c>
      <c r="B57" s="38"/>
      <c r="C57" s="38"/>
      <c r="D57" s="39"/>
      <c r="E57" s="40"/>
      <c r="F57" s="3"/>
      <c r="G57" s="3"/>
      <c r="H57" s="41"/>
      <c r="I57" s="3"/>
      <c r="J57" s="3"/>
      <c r="K57" s="3"/>
      <c r="L57" s="41"/>
      <c r="M57" s="3"/>
      <c r="N57" s="3"/>
      <c r="O57" s="41"/>
      <c r="P57" s="41"/>
      <c r="Q57" s="41"/>
      <c r="R57" s="3"/>
      <c r="S57" s="3"/>
      <c r="T57" s="3"/>
      <c r="U57" s="3"/>
      <c r="V57" s="4"/>
      <c r="W57" s="3"/>
      <c r="X57" s="4"/>
      <c r="Y57" s="5"/>
      <c r="Z57" s="5"/>
      <c r="AA57" s="5"/>
      <c r="AB57" s="5"/>
      <c r="AC57" s="5"/>
      <c r="AD57" s="4"/>
      <c r="AE57" s="42"/>
      <c r="AF57" s="3"/>
      <c r="AG57" s="5"/>
      <c r="AH57" s="5"/>
      <c r="AI57" s="5"/>
      <c r="AJ57" s="3"/>
      <c r="AK57" s="43"/>
    </row>
    <row r="58" ht="12" customHeight="1" spans="1:37" x14ac:dyDescent="0.25">
      <c r="A58" s="38" t="s">
        <v>89</v>
      </c>
      <c r="B58" s="38"/>
      <c r="C58" s="38"/>
      <c r="D58" s="39"/>
      <c r="E58" s="40"/>
      <c r="F58" s="3"/>
      <c r="G58" s="3"/>
      <c r="H58" s="41"/>
      <c r="I58" s="3"/>
      <c r="J58" s="3"/>
      <c r="K58" s="3"/>
      <c r="L58" s="41"/>
      <c r="M58" s="3"/>
      <c r="N58" s="3"/>
      <c r="O58" s="41"/>
      <c r="P58" s="41"/>
      <c r="Q58" s="41"/>
      <c r="R58" s="3"/>
      <c r="S58" s="3"/>
      <c r="T58" s="3"/>
      <c r="U58" s="3"/>
      <c r="V58" s="4"/>
      <c r="W58" s="3"/>
      <c r="X58" s="4"/>
      <c r="Y58" s="5"/>
      <c r="Z58" s="5"/>
      <c r="AA58" s="5"/>
      <c r="AB58" s="5"/>
      <c r="AC58" s="5"/>
      <c r="AD58" s="4"/>
      <c r="AE58" s="42"/>
      <c r="AF58" s="3"/>
      <c r="AG58" s="5"/>
      <c r="AH58" s="5"/>
      <c r="AI58" s="5"/>
      <c r="AJ58" s="3"/>
      <c r="AK58" s="43"/>
    </row>
    <row r="59" ht="12" customHeight="1" spans="1:37" x14ac:dyDescent="0.25">
      <c r="A59" s="38" t="s">
        <v>91</v>
      </c>
      <c r="B59" s="38"/>
      <c r="C59" s="38"/>
      <c r="D59" s="39"/>
      <c r="E59" s="40"/>
      <c r="F59" s="3"/>
      <c r="G59" s="3"/>
      <c r="H59" s="41"/>
      <c r="I59" s="3"/>
      <c r="J59" s="3"/>
      <c r="K59" s="3"/>
      <c r="L59" s="41"/>
      <c r="M59" s="3"/>
      <c r="N59" s="3"/>
      <c r="O59" s="41"/>
      <c r="P59" s="41"/>
      <c r="Q59" s="41"/>
      <c r="R59" s="3"/>
      <c r="S59" s="3"/>
      <c r="T59" s="3"/>
      <c r="U59" s="3"/>
      <c r="V59" s="4"/>
      <c r="W59" s="3"/>
      <c r="X59" s="4"/>
      <c r="Y59" s="5"/>
      <c r="Z59" s="5"/>
      <c r="AA59" s="5"/>
      <c r="AB59" s="5"/>
      <c r="AC59" s="5"/>
      <c r="AD59" s="4"/>
      <c r="AE59" s="42"/>
      <c r="AF59" s="3"/>
      <c r="AG59" s="5"/>
      <c r="AH59" s="5"/>
      <c r="AI59" s="5"/>
      <c r="AJ59" s="3"/>
      <c r="AK59" s="43"/>
    </row>
    <row r="60" ht="12" customHeight="1" spans="1:37" x14ac:dyDescent="0.25">
      <c r="A60" s="38" t="s">
        <v>93</v>
      </c>
      <c r="B60" s="38"/>
      <c r="C60" s="38"/>
      <c r="D60" s="39"/>
      <c r="E60" s="40"/>
      <c r="F60" s="3"/>
      <c r="G60" s="3"/>
      <c r="H60" s="41"/>
      <c r="I60" s="3"/>
      <c r="J60" s="3"/>
      <c r="K60" s="3"/>
      <c r="L60" s="41"/>
      <c r="M60" s="3"/>
      <c r="N60" s="3"/>
      <c r="O60" s="41"/>
      <c r="P60" s="41"/>
      <c r="Q60" s="41"/>
      <c r="R60" s="3"/>
      <c r="S60" s="3"/>
      <c r="T60" s="3"/>
      <c r="U60" s="3"/>
      <c r="V60" s="4"/>
      <c r="W60" s="3"/>
      <c r="X60" s="4"/>
      <c r="Y60" s="5"/>
      <c r="Z60" s="5"/>
      <c r="AA60" s="5"/>
      <c r="AB60" s="5"/>
      <c r="AC60" s="5"/>
      <c r="AD60" s="4"/>
      <c r="AE60" s="42"/>
      <c r="AF60" s="3"/>
      <c r="AG60" s="5"/>
      <c r="AH60" s="5"/>
      <c r="AI60" s="5"/>
      <c r="AJ60" s="3"/>
      <c r="AK60" s="43"/>
    </row>
    <row r="61" ht="12" customHeight="1" spans="1:37" x14ac:dyDescent="0.25">
      <c r="A61" s="38" t="s">
        <v>95</v>
      </c>
      <c r="B61" s="38"/>
      <c r="C61" s="38"/>
      <c r="D61" s="39"/>
      <c r="E61" s="40"/>
      <c r="F61" s="3"/>
      <c r="G61" s="3"/>
      <c r="H61" s="41"/>
      <c r="I61" s="3"/>
      <c r="J61" s="3"/>
      <c r="K61" s="3"/>
      <c r="L61" s="41"/>
      <c r="M61" s="3"/>
      <c r="N61" s="3"/>
      <c r="O61" s="41"/>
      <c r="P61" s="41"/>
      <c r="Q61" s="41"/>
      <c r="R61" s="3"/>
      <c r="S61" s="3"/>
      <c r="T61" s="3"/>
      <c r="U61" s="3"/>
      <c r="V61" s="4"/>
      <c r="W61" s="3"/>
      <c r="X61" s="4"/>
      <c r="Y61" s="5"/>
      <c r="Z61" s="5"/>
      <c r="AA61" s="5"/>
      <c r="AB61" s="5"/>
      <c r="AC61" s="5"/>
      <c r="AD61" s="4"/>
      <c r="AE61" s="42"/>
      <c r="AF61" s="3"/>
      <c r="AG61" s="5"/>
      <c r="AH61" s="5"/>
      <c r="AI61" s="5"/>
      <c r="AJ61" s="3"/>
      <c r="AK61" s="43"/>
    </row>
    <row r="62" ht="12" customHeight="1" spans="1:37" x14ac:dyDescent="0.25">
      <c r="A62" s="38" t="s">
        <v>96</v>
      </c>
      <c r="B62" s="38"/>
      <c r="C62" s="38"/>
      <c r="D62" s="39"/>
      <c r="E62" s="40"/>
      <c r="F62" s="3"/>
      <c r="G62" s="3"/>
      <c r="H62" s="41"/>
      <c r="I62" s="3"/>
      <c r="J62" s="3"/>
      <c r="K62" s="3"/>
      <c r="L62" s="41"/>
      <c r="M62" s="3"/>
      <c r="N62" s="3"/>
      <c r="O62" s="41"/>
      <c r="P62" s="41"/>
      <c r="Q62" s="41"/>
      <c r="R62" s="3"/>
      <c r="S62" s="3"/>
      <c r="T62" s="3"/>
      <c r="U62" s="3"/>
      <c r="V62" s="4"/>
      <c r="W62" s="3"/>
      <c r="X62" s="4"/>
      <c r="Y62" s="5"/>
      <c r="Z62" s="5"/>
      <c r="AA62" s="5"/>
      <c r="AB62" s="5"/>
      <c r="AC62" s="5"/>
      <c r="AD62" s="4"/>
      <c r="AE62" s="42"/>
      <c r="AF62" s="3"/>
      <c r="AG62" s="5"/>
      <c r="AH62" s="5"/>
      <c r="AI62" s="5"/>
      <c r="AJ62" s="3"/>
      <c r="AK62" s="43"/>
    </row>
    <row r="63" ht="12" customHeight="1" spans="1:37" x14ac:dyDescent="0.25">
      <c r="A63" s="38" t="s">
        <v>98</v>
      </c>
      <c r="B63" s="38"/>
      <c r="C63" s="38"/>
      <c r="D63" s="39"/>
      <c r="E63" s="40"/>
      <c r="F63" s="3"/>
      <c r="G63" s="3"/>
      <c r="H63" s="41"/>
      <c r="I63" s="3"/>
      <c r="J63" s="3"/>
      <c r="K63" s="3"/>
      <c r="L63" s="41"/>
      <c r="M63" s="3"/>
      <c r="N63" s="3"/>
      <c r="O63" s="41"/>
      <c r="P63" s="41"/>
      <c r="Q63" s="41"/>
      <c r="R63" s="3"/>
      <c r="S63" s="3"/>
      <c r="T63" s="3"/>
      <c r="U63" s="3"/>
      <c r="V63" s="4"/>
      <c r="W63" s="3"/>
      <c r="X63" s="4"/>
      <c r="Y63" s="5"/>
      <c r="Z63" s="5"/>
      <c r="AA63" s="5"/>
      <c r="AB63" s="5"/>
      <c r="AC63" s="5"/>
      <c r="AD63" s="4"/>
      <c r="AE63" s="42"/>
      <c r="AF63" s="3"/>
      <c r="AG63" s="5"/>
      <c r="AH63" s="5"/>
      <c r="AI63" s="5"/>
      <c r="AJ63" s="3"/>
      <c r="AK63" s="43"/>
    </row>
    <row r="64" ht="12" customHeight="1" spans="1:37" x14ac:dyDescent="0.25">
      <c r="A64" s="38" t="s">
        <v>100</v>
      </c>
      <c r="B64" s="38"/>
      <c r="C64" s="38"/>
      <c r="D64" s="39"/>
      <c r="E64" s="40"/>
      <c r="F64" s="3"/>
      <c r="G64" s="3"/>
      <c r="H64" s="41"/>
      <c r="I64" s="3"/>
      <c r="J64" s="3"/>
      <c r="K64" s="3"/>
      <c r="L64" s="41"/>
      <c r="M64" s="3"/>
      <c r="N64" s="3"/>
      <c r="O64" s="41"/>
      <c r="P64" s="41"/>
      <c r="Q64" s="41"/>
      <c r="R64" s="3"/>
      <c r="S64" s="3"/>
      <c r="T64" s="3"/>
      <c r="U64" s="3"/>
      <c r="V64" s="4"/>
      <c r="W64" s="3"/>
      <c r="X64" s="4"/>
      <c r="Y64" s="5"/>
      <c r="Z64" s="5"/>
      <c r="AA64" s="5"/>
      <c r="AB64" s="5"/>
      <c r="AC64" s="5"/>
      <c r="AD64" s="4"/>
      <c r="AE64" s="42"/>
      <c r="AF64" s="3"/>
      <c r="AG64" s="5"/>
      <c r="AH64" s="5"/>
      <c r="AI64" s="5"/>
      <c r="AJ64" s="3"/>
      <c r="AK64" s="43"/>
    </row>
    <row r="65" ht="12" customHeight="1" spans="1:37" x14ac:dyDescent="0.25">
      <c r="A65" s="38" t="s">
        <v>102</v>
      </c>
      <c r="B65" s="38"/>
      <c r="C65" s="38"/>
      <c r="D65" s="39"/>
      <c r="E65" s="40"/>
      <c r="F65" s="3"/>
      <c r="G65" s="3"/>
      <c r="H65" s="41"/>
      <c r="I65" s="3"/>
      <c r="J65" s="3"/>
      <c r="K65" s="3"/>
      <c r="L65" s="41"/>
      <c r="M65" s="3"/>
      <c r="N65" s="3"/>
      <c r="O65" s="41"/>
      <c r="P65" s="41"/>
      <c r="Q65" s="41"/>
      <c r="R65" s="3"/>
      <c r="S65" s="3"/>
      <c r="T65" s="3"/>
      <c r="U65" s="3"/>
      <c r="V65" s="4"/>
      <c r="W65" s="3"/>
      <c r="X65" s="4"/>
      <c r="Y65" s="5"/>
      <c r="Z65" s="5"/>
      <c r="AA65" s="5"/>
      <c r="AB65" s="5"/>
      <c r="AC65" s="5"/>
      <c r="AD65" s="4"/>
      <c r="AE65" s="42"/>
      <c r="AF65" s="3"/>
      <c r="AG65" s="5"/>
      <c r="AH65" s="5"/>
      <c r="AI65" s="5"/>
      <c r="AJ65" s="3"/>
      <c r="AK65" s="43"/>
    </row>
    <row r="66" ht="12" customHeight="1" spans="1:37" x14ac:dyDescent="0.25">
      <c r="A66" s="38" t="s">
        <v>106</v>
      </c>
      <c r="B66" s="38"/>
      <c r="C66" s="38"/>
      <c r="D66" s="39"/>
      <c r="E66" s="40"/>
      <c r="F66" s="3"/>
      <c r="G66" s="3"/>
      <c r="H66" s="41"/>
      <c r="I66" s="3"/>
      <c r="J66" s="3"/>
      <c r="K66" s="3"/>
      <c r="L66" s="41"/>
      <c r="M66" s="3"/>
      <c r="N66" s="3"/>
      <c r="O66" s="41"/>
      <c r="P66" s="41"/>
      <c r="Q66" s="41"/>
      <c r="R66" s="3"/>
      <c r="S66" s="3"/>
      <c r="T66" s="3"/>
      <c r="U66" s="3"/>
      <c r="V66" s="4"/>
      <c r="W66" s="3"/>
      <c r="X66" s="4"/>
      <c r="Y66" s="5"/>
      <c r="Z66" s="5"/>
      <c r="AA66" s="5"/>
      <c r="AB66" s="5"/>
      <c r="AC66" s="5"/>
      <c r="AD66" s="4"/>
      <c r="AE66" s="42"/>
      <c r="AF66" s="3"/>
      <c r="AG66" s="5"/>
      <c r="AH66" s="5"/>
      <c r="AI66" s="5"/>
      <c r="AJ66" s="3"/>
      <c r="AK66" s="43"/>
    </row>
    <row r="67" ht="12" customHeight="1" spans="1:37" x14ac:dyDescent="0.25">
      <c r="A67" s="38" t="s">
        <v>108</v>
      </c>
      <c r="B67" s="38"/>
      <c r="C67" s="38"/>
      <c r="D67" s="39"/>
      <c r="E67" s="40"/>
      <c r="F67" s="3"/>
      <c r="G67" s="3"/>
      <c r="H67" s="41"/>
      <c r="I67" s="3"/>
      <c r="J67" s="3"/>
      <c r="K67" s="3"/>
      <c r="L67" s="41"/>
      <c r="M67" s="3"/>
      <c r="N67" s="3"/>
      <c r="O67" s="41"/>
      <c r="P67" s="41"/>
      <c r="Q67" s="41"/>
      <c r="R67" s="3"/>
      <c r="S67" s="3"/>
      <c r="T67" s="3"/>
      <c r="U67" s="3"/>
      <c r="V67" s="4"/>
      <c r="W67" s="3"/>
      <c r="X67" s="4"/>
      <c r="Y67" s="5"/>
      <c r="Z67" s="5"/>
      <c r="AA67" s="5"/>
      <c r="AB67" s="5"/>
      <c r="AC67" s="5"/>
      <c r="AD67" s="4"/>
      <c r="AE67" s="42"/>
      <c r="AF67" s="3"/>
      <c r="AG67" s="5"/>
      <c r="AH67" s="5"/>
      <c r="AI67" s="5"/>
      <c r="AJ67" s="3"/>
      <c r="AK67" s="43"/>
    </row>
    <row r="68" ht="12" customHeight="1" spans="1:37" x14ac:dyDescent="0.25">
      <c r="A68" s="38" t="s">
        <v>110</v>
      </c>
      <c r="B68" s="38"/>
      <c r="C68" s="38"/>
      <c r="D68" s="39"/>
      <c r="E68" s="40"/>
      <c r="F68" s="3"/>
      <c r="G68" s="3"/>
      <c r="H68" s="41"/>
      <c r="I68" s="3"/>
      <c r="J68" s="3"/>
      <c r="K68" s="3"/>
      <c r="L68" s="41"/>
      <c r="M68" s="3"/>
      <c r="N68" s="3"/>
      <c r="O68" s="41"/>
      <c r="P68" s="41"/>
      <c r="Q68" s="41"/>
      <c r="R68" s="3"/>
      <c r="S68" s="3"/>
      <c r="T68" s="3"/>
      <c r="U68" s="3"/>
      <c r="V68" s="4"/>
      <c r="W68" s="3"/>
      <c r="X68" s="4"/>
      <c r="Y68" s="5"/>
      <c r="Z68" s="5"/>
      <c r="AA68" s="5"/>
      <c r="AB68" s="5"/>
      <c r="AC68" s="5"/>
      <c r="AD68" s="4"/>
      <c r="AE68" s="42"/>
      <c r="AF68" s="3"/>
      <c r="AG68" s="5"/>
      <c r="AH68" s="5"/>
      <c r="AI68" s="5"/>
      <c r="AJ68" s="3"/>
      <c r="AK68" s="43"/>
    </row>
    <row r="69" ht="12" customHeight="1" spans="1:37" x14ac:dyDescent="0.25">
      <c r="A69" s="38" t="s">
        <v>111</v>
      </c>
      <c r="B69" s="38"/>
      <c r="C69" s="38"/>
      <c r="D69" s="39"/>
      <c r="E69" s="40"/>
      <c r="F69" s="3"/>
      <c r="G69" s="3"/>
      <c r="H69" s="41"/>
      <c r="I69" s="3"/>
      <c r="J69" s="3"/>
      <c r="K69" s="3"/>
      <c r="L69" s="41"/>
      <c r="M69" s="3"/>
      <c r="N69" s="3"/>
      <c r="O69" s="41"/>
      <c r="P69" s="41"/>
      <c r="Q69" s="41"/>
      <c r="R69" s="3"/>
      <c r="S69" s="3"/>
      <c r="T69" s="3"/>
      <c r="U69" s="3"/>
      <c r="V69" s="4"/>
      <c r="W69" s="3"/>
      <c r="X69" s="4"/>
      <c r="Y69" s="5"/>
      <c r="Z69" s="5"/>
      <c r="AA69" s="5"/>
      <c r="AB69" s="5"/>
      <c r="AC69" s="5"/>
      <c r="AD69" s="4"/>
      <c r="AE69" s="42"/>
      <c r="AF69" s="3"/>
      <c r="AG69" s="5"/>
      <c r="AH69" s="5"/>
      <c r="AI69" s="5"/>
      <c r="AJ69" s="3"/>
      <c r="AK69" s="43"/>
    </row>
    <row r="70" ht="12" customHeight="1" spans="1:37" x14ac:dyDescent="0.25">
      <c r="A70" s="38" t="s">
        <v>112</v>
      </c>
      <c r="B70" s="38"/>
      <c r="C70" s="38"/>
      <c r="D70" s="39"/>
      <c r="E70" s="40"/>
      <c r="F70" s="3"/>
      <c r="G70" s="3"/>
      <c r="H70" s="41"/>
      <c r="I70" s="3"/>
      <c r="J70" s="3"/>
      <c r="K70" s="3"/>
      <c r="L70" s="41"/>
      <c r="M70" s="3"/>
      <c r="N70" s="3"/>
      <c r="O70" s="41"/>
      <c r="P70" s="41"/>
      <c r="Q70" s="41"/>
      <c r="R70" s="3"/>
      <c r="S70" s="3"/>
      <c r="T70" s="3"/>
      <c r="U70" s="3"/>
      <c r="V70" s="4"/>
      <c r="W70" s="3"/>
      <c r="X70" s="4"/>
      <c r="Y70" s="5"/>
      <c r="Z70" s="5"/>
      <c r="AA70" s="5"/>
      <c r="AB70" s="5"/>
      <c r="AC70" s="5"/>
      <c r="AD70" s="4"/>
      <c r="AE70" s="42"/>
      <c r="AF70" s="3"/>
      <c r="AG70" s="5"/>
      <c r="AH70" s="5"/>
      <c r="AI70" s="5"/>
      <c r="AJ70" s="3"/>
      <c r="AK70" s="43"/>
    </row>
    <row r="71" ht="12" customHeight="1" spans="1:37" x14ac:dyDescent="0.25">
      <c r="A71" s="38" t="s">
        <v>114</v>
      </c>
      <c r="B71" s="38"/>
      <c r="C71" s="38"/>
      <c r="D71" s="39"/>
      <c r="E71" s="40"/>
      <c r="F71" s="3"/>
      <c r="G71" s="3"/>
      <c r="H71" s="41"/>
      <c r="I71" s="3"/>
      <c r="J71" s="3"/>
      <c r="K71" s="3"/>
      <c r="L71" s="41"/>
      <c r="M71" s="3"/>
      <c r="N71" s="3"/>
      <c r="O71" s="41"/>
      <c r="P71" s="41"/>
      <c r="Q71" s="41"/>
      <c r="R71" s="3"/>
      <c r="S71" s="3"/>
      <c r="T71" s="3"/>
      <c r="U71" s="3"/>
      <c r="V71" s="4"/>
      <c r="W71" s="3"/>
      <c r="X71" s="4"/>
      <c r="Y71" s="5"/>
      <c r="Z71" s="5"/>
      <c r="AA71" s="5"/>
      <c r="AB71" s="5"/>
      <c r="AC71" s="5"/>
      <c r="AD71" s="4"/>
      <c r="AE71" s="42"/>
      <c r="AF71" s="3"/>
      <c r="AG71" s="5"/>
      <c r="AH71" s="5"/>
      <c r="AI71" s="5"/>
      <c r="AJ71" s="3"/>
      <c r="AK71" s="43"/>
    </row>
    <row r="72" ht="12" customHeight="1" spans="1:37" x14ac:dyDescent="0.25">
      <c r="A72" s="38" t="s">
        <v>119</v>
      </c>
      <c r="B72" s="38"/>
      <c r="C72" s="38"/>
      <c r="D72" s="39"/>
      <c r="E72" s="40"/>
      <c r="F72" s="3"/>
      <c r="G72" s="3"/>
      <c r="H72" s="41"/>
      <c r="I72" s="3"/>
      <c r="J72" s="3"/>
      <c r="K72" s="3"/>
      <c r="L72" s="41"/>
      <c r="M72" s="3"/>
      <c r="N72" s="3"/>
      <c r="O72" s="41"/>
      <c r="P72" s="41"/>
      <c r="Q72" s="41"/>
      <c r="R72" s="3"/>
      <c r="S72" s="3"/>
      <c r="T72" s="3"/>
      <c r="U72" s="3"/>
      <c r="V72" s="4"/>
      <c r="W72" s="3"/>
      <c r="X72" s="4"/>
      <c r="Y72" s="5"/>
      <c r="Z72" s="5"/>
      <c r="AA72" s="5"/>
      <c r="AB72" s="5"/>
      <c r="AC72" s="5"/>
      <c r="AD72" s="4"/>
      <c r="AE72" s="42"/>
      <c r="AF72" s="3"/>
      <c r="AG72" s="5"/>
      <c r="AH72" s="5"/>
      <c r="AI72" s="5"/>
      <c r="AJ72" s="3"/>
      <c r="AK72" s="43"/>
    </row>
    <row r="73" ht="12" customHeight="1" spans="1:37" x14ac:dyDescent="0.25">
      <c r="A73" s="38" t="s">
        <v>121</v>
      </c>
      <c r="B73" s="38"/>
      <c r="C73" s="38"/>
      <c r="D73" s="39"/>
      <c r="E73" s="40"/>
      <c r="F73" s="3"/>
      <c r="G73" s="3"/>
      <c r="H73" s="41"/>
      <c r="I73" s="3"/>
      <c r="J73" s="3"/>
      <c r="K73" s="3"/>
      <c r="L73" s="41"/>
      <c r="M73" s="3"/>
      <c r="N73" s="3"/>
      <c r="O73" s="41"/>
      <c r="P73" s="41"/>
      <c r="Q73" s="41"/>
      <c r="R73" s="3"/>
      <c r="S73" s="3"/>
      <c r="T73" s="3"/>
      <c r="U73" s="3"/>
      <c r="V73" s="4"/>
      <c r="W73" s="3"/>
      <c r="X73" s="4"/>
      <c r="Y73" s="5"/>
      <c r="Z73" s="5"/>
      <c r="AA73" s="5"/>
      <c r="AB73" s="5"/>
      <c r="AC73" s="5"/>
      <c r="AD73" s="4"/>
      <c r="AE73" s="42"/>
      <c r="AF73" s="3"/>
      <c r="AG73" s="5"/>
      <c r="AH73" s="5"/>
      <c r="AI73" s="5"/>
      <c r="AJ73" s="3"/>
      <c r="AK73" s="43"/>
    </row>
    <row r="74" ht="12" customHeight="1" spans="1:37" x14ac:dyDescent="0.25">
      <c r="A74" s="38" t="s">
        <v>123</v>
      </c>
      <c r="B74" s="38"/>
      <c r="C74" s="38"/>
      <c r="D74" s="39"/>
      <c r="E74" s="40"/>
      <c r="F74" s="3"/>
      <c r="G74" s="3"/>
      <c r="H74" s="41"/>
      <c r="I74" s="3"/>
      <c r="J74" s="3"/>
      <c r="K74" s="3"/>
      <c r="L74" s="41"/>
      <c r="M74" s="3"/>
      <c r="N74" s="3"/>
      <c r="O74" s="41"/>
      <c r="P74" s="41"/>
      <c r="Q74" s="41"/>
      <c r="R74" s="3"/>
      <c r="S74" s="3"/>
      <c r="T74" s="3"/>
      <c r="U74" s="3"/>
      <c r="V74" s="4"/>
      <c r="W74" s="3"/>
      <c r="X74" s="4"/>
      <c r="Y74" s="5"/>
      <c r="Z74" s="5"/>
      <c r="AA74" s="5"/>
      <c r="AB74" s="5"/>
      <c r="AC74" s="5"/>
      <c r="AD74" s="4"/>
      <c r="AE74" s="42"/>
      <c r="AF74" s="3"/>
      <c r="AG74" s="5"/>
      <c r="AH74" s="5"/>
      <c r="AI74" s="5"/>
      <c r="AJ74" s="3"/>
      <c r="AK74" s="43"/>
    </row>
    <row r="75" ht="12" customHeight="1" spans="1:37" x14ac:dyDescent="0.25">
      <c r="A75" s="38" t="s">
        <v>125</v>
      </c>
      <c r="B75" s="38"/>
      <c r="C75" s="38"/>
      <c r="D75" s="39"/>
      <c r="E75" s="40"/>
      <c r="F75" s="3"/>
      <c r="G75" s="3"/>
      <c r="H75" s="41"/>
      <c r="I75" s="3"/>
      <c r="J75" s="3"/>
      <c r="K75" s="3"/>
      <c r="L75" s="41"/>
      <c r="M75" s="3"/>
      <c r="N75" s="3"/>
      <c r="O75" s="41"/>
      <c r="P75" s="41"/>
      <c r="Q75" s="41"/>
      <c r="R75" s="3"/>
      <c r="S75" s="3"/>
      <c r="T75" s="3"/>
      <c r="U75" s="3"/>
      <c r="V75" s="4"/>
      <c r="W75" s="3"/>
      <c r="X75" s="4"/>
      <c r="Y75" s="5"/>
      <c r="Z75" s="5"/>
      <c r="AA75" s="5"/>
      <c r="AB75" s="5"/>
      <c r="AC75" s="5"/>
      <c r="AD75" s="4"/>
      <c r="AE75" s="42"/>
      <c r="AF75" s="3"/>
      <c r="AG75" s="5"/>
      <c r="AH75" s="5"/>
      <c r="AI75" s="5"/>
      <c r="AJ75" s="3"/>
      <c r="AK75" s="43"/>
    </row>
    <row r="76" ht="12" customHeight="1" spans="1:37" x14ac:dyDescent="0.25">
      <c r="A76" s="38" t="s">
        <v>129</v>
      </c>
      <c r="B76" s="38"/>
      <c r="C76" s="38"/>
      <c r="D76" s="39"/>
      <c r="E76" s="40"/>
      <c r="F76" s="3"/>
      <c r="G76" s="3"/>
      <c r="H76" s="41"/>
      <c r="I76" s="3"/>
      <c r="J76" s="3"/>
      <c r="K76" s="3"/>
      <c r="L76" s="41"/>
      <c r="M76" s="3"/>
      <c r="N76" s="3"/>
      <c r="O76" s="41"/>
      <c r="P76" s="41"/>
      <c r="Q76" s="41"/>
      <c r="R76" s="3"/>
      <c r="S76" s="3"/>
      <c r="T76" s="3"/>
      <c r="U76" s="3"/>
      <c r="V76" s="4"/>
      <c r="W76" s="3"/>
      <c r="X76" s="4"/>
      <c r="Y76" s="5"/>
      <c r="Z76" s="5"/>
      <c r="AA76" s="5"/>
      <c r="AB76" s="5"/>
      <c r="AC76" s="5"/>
      <c r="AD76" s="4"/>
      <c r="AE76" s="42"/>
      <c r="AF76" s="3"/>
      <c r="AG76" s="5"/>
      <c r="AH76" s="5"/>
      <c r="AI76" s="5"/>
      <c r="AJ76" s="3"/>
      <c r="AK76" s="43"/>
    </row>
    <row r="77" ht="12" customHeight="1" spans="1:37" x14ac:dyDescent="0.25">
      <c r="A77" s="38" t="s">
        <v>130</v>
      </c>
      <c r="B77" s="38"/>
      <c r="C77" s="38"/>
      <c r="D77" s="39"/>
      <c r="E77" s="40"/>
      <c r="F77" s="3"/>
      <c r="G77" s="3"/>
      <c r="H77" s="41"/>
      <c r="I77" s="3"/>
      <c r="J77" s="3"/>
      <c r="K77" s="3"/>
      <c r="L77" s="41"/>
      <c r="M77" s="3"/>
      <c r="N77" s="3"/>
      <c r="O77" s="41"/>
      <c r="P77" s="41"/>
      <c r="Q77" s="41"/>
      <c r="R77" s="3"/>
      <c r="S77" s="3"/>
      <c r="T77" s="3"/>
      <c r="U77" s="3"/>
      <c r="V77" s="4"/>
      <c r="W77" s="3"/>
      <c r="X77" s="4"/>
      <c r="Y77" s="5"/>
      <c r="Z77" s="5"/>
      <c r="AA77" s="5"/>
      <c r="AB77" s="5"/>
      <c r="AC77" s="5"/>
      <c r="AD77" s="4"/>
      <c r="AE77" s="42"/>
      <c r="AF77" s="3"/>
      <c r="AG77" s="5"/>
      <c r="AH77" s="5"/>
      <c r="AI77" s="5"/>
      <c r="AJ77" s="3"/>
      <c r="AK77" s="43"/>
    </row>
    <row r="78" ht="12" customHeight="1" spans="1:37" x14ac:dyDescent="0.25">
      <c r="A78" s="38" t="s">
        <v>131</v>
      </c>
      <c r="B78" s="38"/>
      <c r="C78" s="38"/>
      <c r="D78" s="39"/>
      <c r="E78" s="40"/>
      <c r="F78" s="3"/>
      <c r="G78" s="3"/>
      <c r="H78" s="41"/>
      <c r="I78" s="3"/>
      <c r="J78" s="3"/>
      <c r="K78" s="3"/>
      <c r="L78" s="41"/>
      <c r="M78" s="3"/>
      <c r="N78" s="3"/>
      <c r="O78" s="41"/>
      <c r="P78" s="41"/>
      <c r="Q78" s="41"/>
      <c r="R78" s="3"/>
      <c r="S78" s="3"/>
      <c r="T78" s="3"/>
      <c r="U78" s="3"/>
      <c r="V78" s="4"/>
      <c r="W78" s="3"/>
      <c r="X78" s="4"/>
      <c r="Y78" s="5"/>
      <c r="Z78" s="5"/>
      <c r="AA78" s="5"/>
      <c r="AB78" s="5"/>
      <c r="AC78" s="5"/>
      <c r="AD78" s="4"/>
      <c r="AE78" s="42"/>
      <c r="AF78" s="3"/>
      <c r="AG78" s="5"/>
      <c r="AH78" s="5"/>
      <c r="AI78" s="5"/>
      <c r="AJ78" s="3"/>
      <c r="AK78" s="43"/>
    </row>
    <row r="79" ht="12" customHeight="1" spans="1:37" x14ac:dyDescent="0.25">
      <c r="A79" s="38" t="s">
        <v>132</v>
      </c>
      <c r="B79" s="38"/>
      <c r="C79" s="38"/>
      <c r="D79" s="39"/>
      <c r="E79" s="40"/>
      <c r="F79" s="3"/>
      <c r="G79" s="3"/>
      <c r="H79" s="41"/>
      <c r="I79" s="3"/>
      <c r="J79" s="3"/>
      <c r="K79" s="3"/>
      <c r="L79" s="41"/>
      <c r="M79" s="3"/>
      <c r="N79" s="3"/>
      <c r="O79" s="41"/>
      <c r="P79" s="41"/>
      <c r="Q79" s="41"/>
      <c r="R79" s="3"/>
      <c r="S79" s="3"/>
      <c r="T79" s="3"/>
      <c r="U79" s="3"/>
      <c r="V79" s="4"/>
      <c r="W79" s="3"/>
      <c r="X79" s="4"/>
      <c r="Y79" s="5"/>
      <c r="Z79" s="5"/>
      <c r="AA79" s="5"/>
      <c r="AB79" s="5"/>
      <c r="AC79" s="5"/>
      <c r="AD79" s="4"/>
      <c r="AE79" s="42"/>
      <c r="AF79" s="3"/>
      <c r="AG79" s="5"/>
      <c r="AH79" s="5"/>
      <c r="AI79" s="5"/>
      <c r="AJ79" s="3"/>
      <c r="AK79" s="43"/>
    </row>
    <row r="80" ht="12" customHeight="1" spans="1:37" x14ac:dyDescent="0.25">
      <c r="A80" s="38" t="s">
        <v>133</v>
      </c>
      <c r="B80" s="38"/>
      <c r="C80" s="38"/>
      <c r="D80" s="39"/>
      <c r="E80" s="40"/>
      <c r="F80" s="3"/>
      <c r="G80" s="3"/>
      <c r="H80" s="41"/>
      <c r="I80" s="3"/>
      <c r="J80" s="3"/>
      <c r="K80" s="3"/>
      <c r="L80" s="41"/>
      <c r="M80" s="3"/>
      <c r="N80" s="3"/>
      <c r="O80" s="41"/>
      <c r="P80" s="41"/>
      <c r="Q80" s="41"/>
      <c r="R80" s="3"/>
      <c r="S80" s="3"/>
      <c r="T80" s="3"/>
      <c r="U80" s="3"/>
      <c r="V80" s="4"/>
      <c r="W80" s="3"/>
      <c r="X80" s="4"/>
      <c r="Y80" s="5"/>
      <c r="Z80" s="5"/>
      <c r="AA80" s="5"/>
      <c r="AB80" s="5"/>
      <c r="AC80" s="5"/>
      <c r="AD80" s="4"/>
      <c r="AE80" s="42"/>
      <c r="AF80" s="3"/>
      <c r="AG80" s="5"/>
      <c r="AH80" s="5"/>
      <c r="AI80" s="5"/>
      <c r="AJ80" s="3"/>
      <c r="AK80" s="43"/>
    </row>
    <row r="81" ht="12" customHeight="1" spans="1:37" x14ac:dyDescent="0.25">
      <c r="A81" s="38" t="s">
        <v>137</v>
      </c>
      <c r="B81" s="38"/>
      <c r="C81" s="38"/>
      <c r="D81" s="39"/>
      <c r="E81" s="40"/>
      <c r="F81" s="3"/>
      <c r="G81" s="3"/>
      <c r="H81" s="41"/>
      <c r="I81" s="3"/>
      <c r="J81" s="3"/>
      <c r="K81" s="3"/>
      <c r="L81" s="41"/>
      <c r="M81" s="3"/>
      <c r="N81" s="3"/>
      <c r="O81" s="41"/>
      <c r="P81" s="41"/>
      <c r="Q81" s="41"/>
      <c r="R81" s="3"/>
      <c r="S81" s="3"/>
      <c r="T81" s="3"/>
      <c r="U81" s="3"/>
      <c r="V81" s="4"/>
      <c r="W81" s="3"/>
      <c r="X81" s="4"/>
      <c r="Y81" s="5"/>
      <c r="Z81" s="5"/>
      <c r="AA81" s="5"/>
      <c r="AB81" s="5"/>
      <c r="AC81" s="5"/>
      <c r="AD81" s="4"/>
      <c r="AE81" s="42"/>
      <c r="AF81" s="3"/>
      <c r="AG81" s="5"/>
      <c r="AH81" s="5"/>
      <c r="AI81" s="5"/>
      <c r="AJ81" s="3"/>
      <c r="AK81" s="43"/>
    </row>
    <row r="82" ht="12" customHeight="1" spans="1:37" x14ac:dyDescent="0.25">
      <c r="A82" s="38" t="s">
        <v>138</v>
      </c>
      <c r="B82" s="38"/>
      <c r="C82" s="38"/>
      <c r="D82" s="39"/>
      <c r="E82" s="40"/>
      <c r="F82" s="3"/>
      <c r="G82" s="3"/>
      <c r="H82" s="41"/>
      <c r="I82" s="3"/>
      <c r="J82" s="3"/>
      <c r="K82" s="3"/>
      <c r="L82" s="41"/>
      <c r="M82" s="3"/>
      <c r="N82" s="3"/>
      <c r="O82" s="41"/>
      <c r="P82" s="41"/>
      <c r="Q82" s="41"/>
      <c r="R82" s="3"/>
      <c r="S82" s="3"/>
      <c r="T82" s="3"/>
      <c r="U82" s="3"/>
      <c r="V82" s="4"/>
      <c r="W82" s="3"/>
      <c r="X82" s="4"/>
      <c r="Y82" s="5"/>
      <c r="Z82" s="5"/>
      <c r="AA82" s="5"/>
      <c r="AB82" s="5"/>
      <c r="AC82" s="5"/>
      <c r="AD82" s="4"/>
      <c r="AE82" s="42"/>
      <c r="AF82" s="3"/>
      <c r="AG82" s="5"/>
      <c r="AH82" s="5"/>
      <c r="AI82" s="5"/>
      <c r="AJ82" s="3"/>
      <c r="AK82" s="43"/>
    </row>
    <row r="83" ht="12" customHeight="1" spans="1:37" x14ac:dyDescent="0.25">
      <c r="A83" s="38" t="s">
        <v>139</v>
      </c>
      <c r="B83" s="38"/>
      <c r="C83" s="38"/>
      <c r="D83" s="39"/>
      <c r="E83" s="40"/>
      <c r="F83" s="3"/>
      <c r="G83" s="3"/>
      <c r="H83" s="41"/>
      <c r="I83" s="3"/>
      <c r="J83" s="3"/>
      <c r="K83" s="3"/>
      <c r="L83" s="41"/>
      <c r="M83" s="3"/>
      <c r="N83" s="3"/>
      <c r="O83" s="41"/>
      <c r="P83" s="41"/>
      <c r="Q83" s="41"/>
      <c r="R83" s="3"/>
      <c r="S83" s="3"/>
      <c r="T83" s="3"/>
      <c r="U83" s="3"/>
      <c r="V83" s="4"/>
      <c r="W83" s="3"/>
      <c r="X83" s="4"/>
      <c r="Y83" s="5"/>
      <c r="Z83" s="5"/>
      <c r="AA83" s="5"/>
      <c r="AB83" s="5"/>
      <c r="AC83" s="5"/>
      <c r="AD83" s="4"/>
      <c r="AE83" s="42"/>
      <c r="AF83" s="3"/>
      <c r="AG83" s="5"/>
      <c r="AH83" s="5"/>
      <c r="AI83" s="5"/>
      <c r="AJ83" s="3"/>
      <c r="AK83" s="43"/>
    </row>
    <row r="84" ht="12" customHeight="1" spans="1:37" x14ac:dyDescent="0.25">
      <c r="A84" s="38" t="s">
        <v>140</v>
      </c>
      <c r="B84" s="38"/>
      <c r="C84" s="38"/>
      <c r="D84" s="39"/>
      <c r="E84" s="40"/>
      <c r="F84" s="3"/>
      <c r="G84" s="3"/>
      <c r="H84" s="41"/>
      <c r="I84" s="3"/>
      <c r="J84" s="3"/>
      <c r="K84" s="3"/>
      <c r="L84" s="41"/>
      <c r="M84" s="3"/>
      <c r="N84" s="3"/>
      <c r="O84" s="41"/>
      <c r="P84" s="41"/>
      <c r="Q84" s="41"/>
      <c r="R84" s="3"/>
      <c r="S84" s="3"/>
      <c r="T84" s="3"/>
      <c r="U84" s="3"/>
      <c r="V84" s="4"/>
      <c r="W84" s="3"/>
      <c r="X84" s="4"/>
      <c r="Y84" s="5"/>
      <c r="Z84" s="5"/>
      <c r="AA84" s="5"/>
      <c r="AB84" s="5"/>
      <c r="AC84" s="5"/>
      <c r="AD84" s="4"/>
      <c r="AE84" s="42"/>
      <c r="AF84" s="3"/>
      <c r="AG84" s="5"/>
      <c r="AH84" s="5"/>
      <c r="AI84" s="5"/>
      <c r="AJ84" s="3"/>
      <c r="AK84" s="43"/>
    </row>
    <row r="85" ht="12" customHeight="1" spans="1:37" x14ac:dyDescent="0.25">
      <c r="A85" s="38" t="s">
        <v>144</v>
      </c>
      <c r="B85" s="38"/>
      <c r="C85" s="38"/>
      <c r="D85" s="39"/>
      <c r="E85" s="40"/>
      <c r="F85" s="3"/>
      <c r="G85" s="3"/>
      <c r="H85" s="41"/>
      <c r="I85" s="3"/>
      <c r="J85" s="3"/>
      <c r="K85" s="3"/>
      <c r="L85" s="41"/>
      <c r="M85" s="3"/>
      <c r="N85" s="3"/>
      <c r="O85" s="41"/>
      <c r="P85" s="41"/>
      <c r="Q85" s="41"/>
      <c r="R85" s="3"/>
      <c r="S85" s="3"/>
      <c r="T85" s="3"/>
      <c r="U85" s="3"/>
      <c r="V85" s="4"/>
      <c r="W85" s="3"/>
      <c r="X85" s="4"/>
      <c r="Y85" s="5"/>
      <c r="Z85" s="5"/>
      <c r="AA85" s="5"/>
      <c r="AB85" s="5"/>
      <c r="AC85" s="5"/>
      <c r="AD85" s="4"/>
      <c r="AE85" s="42"/>
      <c r="AF85" s="3"/>
      <c r="AG85" s="5"/>
      <c r="AH85" s="5"/>
      <c r="AI85" s="5"/>
      <c r="AJ85" s="3"/>
      <c r="AK85" s="43"/>
    </row>
    <row r="86" ht="12" customHeight="1" spans="1:37" x14ac:dyDescent="0.25">
      <c r="A86" s="38" t="s">
        <v>145</v>
      </c>
      <c r="B86" s="38"/>
      <c r="C86" s="38"/>
      <c r="D86" s="39"/>
      <c r="E86" s="40"/>
      <c r="F86" s="3"/>
      <c r="G86" s="3"/>
      <c r="H86" s="41"/>
      <c r="I86" s="3"/>
      <c r="J86" s="3"/>
      <c r="K86" s="3"/>
      <c r="L86" s="41"/>
      <c r="M86" s="3"/>
      <c r="N86" s="3"/>
      <c r="O86" s="41"/>
      <c r="P86" s="41"/>
      <c r="Q86" s="41"/>
      <c r="R86" s="3"/>
      <c r="S86" s="3"/>
      <c r="T86" s="3"/>
      <c r="U86" s="3"/>
      <c r="V86" s="4"/>
      <c r="W86" s="3"/>
      <c r="X86" s="4"/>
      <c r="Y86" s="5"/>
      <c r="Z86" s="5"/>
      <c r="AA86" s="5"/>
      <c r="AB86" s="5"/>
      <c r="AC86" s="5"/>
      <c r="AD86" s="4"/>
      <c r="AE86" s="42"/>
      <c r="AF86" s="3"/>
      <c r="AG86" s="5"/>
      <c r="AH86" s="5"/>
      <c r="AI86" s="5"/>
      <c r="AJ86" s="3"/>
      <c r="AK86" s="43"/>
    </row>
    <row r="87" ht="12" customHeight="1" spans="1:37" x14ac:dyDescent="0.25">
      <c r="A87" s="38" t="s">
        <v>147</v>
      </c>
      <c r="B87" s="38"/>
      <c r="C87" s="38"/>
      <c r="D87" s="39"/>
      <c r="E87" s="40"/>
      <c r="F87" s="3"/>
      <c r="G87" s="3"/>
      <c r="H87" s="41"/>
      <c r="I87" s="3"/>
      <c r="J87" s="3"/>
      <c r="K87" s="3"/>
      <c r="L87" s="41"/>
      <c r="M87" s="3"/>
      <c r="N87" s="3"/>
      <c r="O87" s="41"/>
      <c r="P87" s="41"/>
      <c r="Q87" s="41"/>
      <c r="R87" s="3"/>
      <c r="S87" s="3"/>
      <c r="T87" s="3"/>
      <c r="U87" s="3"/>
      <c r="V87" s="4"/>
      <c r="W87" s="3"/>
      <c r="X87" s="4"/>
      <c r="Y87" s="5"/>
      <c r="Z87" s="5"/>
      <c r="AA87" s="5"/>
      <c r="AB87" s="5"/>
      <c r="AC87" s="5"/>
      <c r="AD87" s="4"/>
      <c r="AE87" s="42"/>
      <c r="AF87" s="3"/>
      <c r="AG87" s="5"/>
      <c r="AH87" s="5"/>
      <c r="AI87" s="5"/>
      <c r="AJ87" s="3"/>
      <c r="AK87" s="43"/>
    </row>
    <row r="88" ht="12" customHeight="1" spans="1:37" x14ac:dyDescent="0.25">
      <c r="A88" s="38" t="s">
        <v>148</v>
      </c>
      <c r="B88" s="38"/>
      <c r="C88" s="38"/>
      <c r="D88" s="39"/>
      <c r="E88" s="40"/>
      <c r="F88" s="3"/>
      <c r="G88" s="3"/>
      <c r="H88" s="41"/>
      <c r="I88" s="3"/>
      <c r="J88" s="3"/>
      <c r="K88" s="3"/>
      <c r="L88" s="41"/>
      <c r="M88" s="3"/>
      <c r="N88" s="3"/>
      <c r="O88" s="41"/>
      <c r="P88" s="41"/>
      <c r="Q88" s="41"/>
      <c r="R88" s="3"/>
      <c r="S88" s="3"/>
      <c r="T88" s="3"/>
      <c r="U88" s="3"/>
      <c r="V88" s="4"/>
      <c r="W88" s="3"/>
      <c r="X88" s="4"/>
      <c r="Y88" s="5"/>
      <c r="Z88" s="5"/>
      <c r="AA88" s="5"/>
      <c r="AB88" s="5"/>
      <c r="AC88" s="5"/>
      <c r="AD88" s="4"/>
      <c r="AE88" s="42"/>
      <c r="AF88" s="3"/>
      <c r="AG88" s="5"/>
      <c r="AH88" s="5"/>
      <c r="AI88" s="5"/>
      <c r="AJ88" s="3"/>
      <c r="AK88" s="43"/>
    </row>
    <row r="89" ht="12" customHeight="1" spans="1:37" x14ac:dyDescent="0.25">
      <c r="A89" s="38" t="s">
        <v>149</v>
      </c>
      <c r="B89" s="38"/>
      <c r="C89" s="38"/>
      <c r="D89" s="39"/>
      <c r="E89" s="40"/>
      <c r="F89" s="3"/>
      <c r="G89" s="3"/>
      <c r="H89" s="41"/>
      <c r="I89" s="3"/>
      <c r="J89" s="3"/>
      <c r="K89" s="3"/>
      <c r="L89" s="41"/>
      <c r="M89" s="3"/>
      <c r="N89" s="3"/>
      <c r="O89" s="41"/>
      <c r="P89" s="41"/>
      <c r="Q89" s="41"/>
      <c r="R89" s="3"/>
      <c r="S89" s="3"/>
      <c r="T89" s="3"/>
      <c r="U89" s="3"/>
      <c r="V89" s="4"/>
      <c r="W89" s="3"/>
      <c r="X89" s="4"/>
      <c r="Y89" s="5"/>
      <c r="Z89" s="5"/>
      <c r="AA89" s="5"/>
      <c r="AB89" s="5"/>
      <c r="AC89" s="5"/>
      <c r="AD89" s="4"/>
      <c r="AE89" s="42"/>
      <c r="AF89" s="3"/>
      <c r="AG89" s="5"/>
      <c r="AH89" s="5"/>
      <c r="AI89" s="5"/>
      <c r="AJ89" s="3"/>
      <c r="AK89" s="43"/>
    </row>
    <row r="90" ht="12" customHeight="1" spans="1:37" x14ac:dyDescent="0.25">
      <c r="A90" s="38" t="s">
        <v>150</v>
      </c>
      <c r="B90" s="38"/>
      <c r="C90" s="38"/>
      <c r="D90" s="39"/>
      <c r="E90" s="40"/>
      <c r="F90" s="3"/>
      <c r="G90" s="3"/>
      <c r="H90" s="41"/>
      <c r="I90" s="3"/>
      <c r="J90" s="3"/>
      <c r="K90" s="3"/>
      <c r="L90" s="41"/>
      <c r="M90" s="3"/>
      <c r="N90" s="3"/>
      <c r="O90" s="41"/>
      <c r="P90" s="41"/>
      <c r="Q90" s="41"/>
      <c r="R90" s="3"/>
      <c r="S90" s="3"/>
      <c r="T90" s="3"/>
      <c r="U90" s="3"/>
      <c r="V90" s="4"/>
      <c r="W90" s="3"/>
      <c r="X90" s="4"/>
      <c r="Y90" s="5"/>
      <c r="Z90" s="5"/>
      <c r="AA90" s="5"/>
      <c r="AB90" s="5"/>
      <c r="AC90" s="5"/>
      <c r="AD90" s="4"/>
      <c r="AE90" s="42"/>
      <c r="AF90" s="3"/>
      <c r="AG90" s="5"/>
      <c r="AH90" s="5"/>
      <c r="AI90" s="5"/>
      <c r="AJ90" s="3"/>
      <c r="AK90" s="43"/>
    </row>
    <row r="91" ht="12" customHeight="1" spans="1:37" x14ac:dyDescent="0.25">
      <c r="A91" s="38" t="s">
        <v>151</v>
      </c>
      <c r="B91" s="38"/>
      <c r="C91" s="38"/>
      <c r="D91" s="39"/>
      <c r="E91" s="40"/>
      <c r="F91" s="3"/>
      <c r="G91" s="3"/>
      <c r="H91" s="41"/>
      <c r="I91" s="3"/>
      <c r="J91" s="3"/>
      <c r="K91" s="3"/>
      <c r="L91" s="41"/>
      <c r="M91" s="3"/>
      <c r="N91" s="3"/>
      <c r="O91" s="41"/>
      <c r="P91" s="41"/>
      <c r="Q91" s="41"/>
      <c r="R91" s="3"/>
      <c r="S91" s="3"/>
      <c r="T91" s="3"/>
      <c r="U91" s="3"/>
      <c r="V91" s="4"/>
      <c r="W91" s="3"/>
      <c r="X91" s="4"/>
      <c r="Y91" s="5"/>
      <c r="Z91" s="5"/>
      <c r="AA91" s="5"/>
      <c r="AB91" s="5"/>
      <c r="AC91" s="5"/>
      <c r="AD91" s="4"/>
      <c r="AE91" s="42"/>
      <c r="AF91" s="3"/>
      <c r="AG91" s="5"/>
      <c r="AH91" s="5"/>
      <c r="AI91" s="5"/>
      <c r="AJ91" s="3"/>
      <c r="AK91" s="43"/>
    </row>
    <row r="92" ht="12" customHeight="1" spans="1:1" x14ac:dyDescent="0.25">
      <c r="A92" s="3"/>
    </row>
    <row r="93" ht="12" customHeight="1" spans="1:1" x14ac:dyDescent="0.25">
      <c r="A93" s="3"/>
    </row>
    <row r="94" ht="12" customHeight="1" spans="1:1" x14ac:dyDescent="0.25">
      <c r="A94" s="3"/>
    </row>
    <row r="95" ht="12" customHeight="1" spans="1:1" x14ac:dyDescent="0.25">
      <c r="A95" s="3"/>
    </row>
    <row r="96" ht="12" customHeight="1" spans="1:1" x14ac:dyDescent="0.25">
      <c r="A96" s="3"/>
    </row>
    <row r="97" ht="12" customHeight="1" spans="1:1" x14ac:dyDescent="0.25">
      <c r="A97" s="3"/>
    </row>
    <row r="98" ht="12" customHeight="1" spans="1:1" x14ac:dyDescent="0.25">
      <c r="A98" s="3"/>
    </row>
    <row r="99" ht="12" customHeight="1" spans="1:1" x14ac:dyDescent="0.25">
      <c r="A99" s="3"/>
    </row>
    <row r="100" ht="12" customHeight="1" spans="1:1" x14ac:dyDescent="0.25">
      <c r="A100" s="3"/>
    </row>
    <row r="101" ht="12" customHeight="1" spans="1:1" x14ac:dyDescent="0.25">
      <c r="A101" s="3"/>
    </row>
    <row r="102" ht="12" customHeight="1" spans="1:1" x14ac:dyDescent="0.25">
      <c r="A102" s="3"/>
    </row>
    <row r="103" ht="12" customHeight="1" spans="1:1" x14ac:dyDescent="0.25">
      <c r="A103" s="3"/>
    </row>
    <row r="104" ht="12" customHeight="1" spans="1:1" x14ac:dyDescent="0.25">
      <c r="A104" s="3"/>
    </row>
    <row r="105" ht="12" customHeight="1" spans="1:1" x14ac:dyDescent="0.25">
      <c r="A105" s="3"/>
    </row>
    <row r="106" ht="12" customHeight="1" spans="1:1" x14ac:dyDescent="0.25">
      <c r="A106" s="3"/>
    </row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</sheetData>
  <autoFilter ref="A1:WWS1"/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outlinePr summaryBelow="1" summaryRight="1"/>
    <pageSetUpPr fitToPage="1"/>
  </sheetPr>
  <dimension ref="A1:AO300"/>
  <sheetViews>
    <sheetView workbookViewId="0" zoomScale="100" zoomScaleNormal="100">
      <selection activeCell="F4" sqref="F4"/>
    </sheetView>
  </sheetViews>
  <sheetFormatPr defaultRowHeight="15" outlineLevelRow="0" outlineLevelCol="0" x14ac:dyDescent="0" defaultColWidth="7.125"/>
  <cols>
    <col min="1" max="1" width="12.5" style="44" customWidth="1"/>
    <col min="2" max="2" width="4.75" style="45" customWidth="1"/>
    <col min="3" max="3" width="5.875" style="44" customWidth="1"/>
    <col min="4" max="4" width="13.125" style="44" customWidth="1"/>
    <col min="5" max="6" width="16.75" style="44" customWidth="1"/>
    <col min="7" max="7" width="7.875" style="46" customWidth="1"/>
    <col min="8" max="10" width="6.625" style="44" customWidth="1"/>
    <col min="11" max="11" width="3.875" style="44" customWidth="1"/>
    <col min="12" max="12" width="4.625" style="44" customWidth="1"/>
    <col min="13" max="13" width="2.625" style="44" customWidth="1"/>
    <col min="14" max="14" width="2.5" style="44" customWidth="1"/>
    <col min="15" max="15" width="4.625" style="44" customWidth="1"/>
    <col min="16" max="16" width="5.375" style="44" customWidth="1"/>
    <col min="17" max="17" width="4.5" style="44" customWidth="1"/>
    <col min="18" max="18" width="3.25" style="44" customWidth="1"/>
    <col min="19" max="19" width="3.375" style="47" customWidth="1"/>
    <col min="20" max="20" width="7.875" style="44" customWidth="1"/>
    <col min="21" max="21" width="6.875" style="44" customWidth="1"/>
    <col min="22" max="22" width="4" style="47" customWidth="1"/>
    <col min="23" max="23" width="7.875" style="44" customWidth="1"/>
    <col min="24" max="26" width="3.875" style="44" customWidth="1"/>
    <col min="27" max="27" width="11.625" style="47" customWidth="1"/>
    <col min="28" max="29" width="4.625" style="47" customWidth="1"/>
    <col min="30" max="30" width="7.75" style="44" customWidth="1"/>
    <col min="31" max="31" width="5.625" style="44" customWidth="1"/>
    <col min="32" max="32" width="4.625" style="44" customWidth="1"/>
    <col min="33" max="33" width="11.625" style="47" customWidth="1"/>
    <col min="34" max="34" width="4.625" style="47" customWidth="1"/>
    <col min="35" max="35" width="10.125" style="47" customWidth="1"/>
    <col min="36" max="36" width="4.25" style="46" customWidth="1"/>
    <col min="37" max="37" width="14.375" style="48" customWidth="1"/>
    <col min="38" max="38" width="7.875" style="46" customWidth="1"/>
    <col min="39" max="39" width="7.125" style="44" customWidth="1"/>
    <col min="40" max="40" width="15.375" style="44" customWidth="1"/>
    <col min="41" max="16384" width="7.125" style="44" customWidth="1"/>
  </cols>
  <sheetData>
    <row r="1" ht="39.95" customHeight="1" spans="1:38" s="49" customFormat="1" x14ac:dyDescent="0.25">
      <c r="A1" s="50" t="s">
        <v>521</v>
      </c>
      <c r="B1" s="51"/>
      <c r="C1" s="52"/>
      <c r="G1" s="52"/>
      <c r="R1" s="53" t="s">
        <v>522</v>
      </c>
      <c r="S1" s="54"/>
      <c r="U1" s="55"/>
      <c r="V1" s="56"/>
      <c r="W1" s="50" t="s">
        <v>523</v>
      </c>
      <c r="X1" s="50"/>
      <c r="Y1" s="55"/>
      <c r="Z1" s="57"/>
      <c r="AA1" s="58">
        <f>SUM(AA3:AA1353)</f>
        <v>5550</v>
      </c>
      <c r="AB1" s="59"/>
      <c r="AC1" s="59"/>
      <c r="AF1" s="57"/>
      <c r="AG1" s="58">
        <f>SUM(AG3:AG1353)</f>
        <v>0</v>
      </c>
      <c r="AH1" s="58">
        <f>SUM(AH3:AH1353)</f>
        <v>0</v>
      </c>
      <c r="AI1" s="58">
        <f>SUM(AI3:AI1353)</f>
        <v>5550</v>
      </c>
      <c r="AK1" s="60"/>
      <c r="AL1" s="52"/>
    </row>
    <row r="2" ht="39.95" customHeight="1" spans="1:41" s="61" customFormat="1" x14ac:dyDescent="0.25">
      <c r="A2" s="62" t="s">
        <v>0</v>
      </c>
      <c r="B2" s="63" t="s">
        <v>524</v>
      </c>
      <c r="C2" s="64" t="s">
        <v>13</v>
      </c>
      <c r="D2" s="65" t="s">
        <v>16</v>
      </c>
      <c r="E2" s="65" t="s">
        <v>22</v>
      </c>
      <c r="F2" s="65" t="s">
        <v>178</v>
      </c>
      <c r="G2" s="66" t="s">
        <v>156</v>
      </c>
      <c r="H2" s="65" t="s">
        <v>166</v>
      </c>
      <c r="I2" s="65" t="s">
        <v>170</v>
      </c>
      <c r="J2" s="67" t="s">
        <v>177</v>
      </c>
      <c r="K2" s="68" t="s">
        <v>4</v>
      </c>
      <c r="L2" s="68" t="s">
        <v>230</v>
      </c>
      <c r="M2" s="65" t="s">
        <v>193</v>
      </c>
      <c r="N2" s="65" t="s">
        <v>195</v>
      </c>
      <c r="O2" s="65" t="s">
        <v>2</v>
      </c>
      <c r="P2" s="65" t="s">
        <v>3</v>
      </c>
      <c r="Q2" s="65" t="s">
        <v>163</v>
      </c>
      <c r="R2" s="69" t="s">
        <v>525</v>
      </c>
      <c r="S2" s="70" t="s">
        <v>526</v>
      </c>
      <c r="T2" s="65" t="s">
        <v>169</v>
      </c>
      <c r="U2" s="71" t="s">
        <v>527</v>
      </c>
      <c r="V2" s="72" t="s">
        <v>528</v>
      </c>
      <c r="W2" s="64" t="s">
        <v>529</v>
      </c>
      <c r="X2" s="71" t="s">
        <v>530</v>
      </c>
      <c r="Y2" s="71" t="s">
        <v>531</v>
      </c>
      <c r="Z2" s="71" t="s">
        <v>532</v>
      </c>
      <c r="AA2" s="73" t="s">
        <v>533</v>
      </c>
      <c r="AB2" s="74" t="s">
        <v>534</v>
      </c>
      <c r="AC2" s="74" t="s">
        <v>535</v>
      </c>
      <c r="AD2" s="69" t="s">
        <v>536</v>
      </c>
      <c r="AE2" s="69" t="s">
        <v>537</v>
      </c>
      <c r="AF2" s="71" t="s">
        <v>538</v>
      </c>
      <c r="AG2" s="73" t="s">
        <v>539</v>
      </c>
      <c r="AH2" s="74" t="s">
        <v>540</v>
      </c>
      <c r="AI2" s="73" t="s">
        <v>541</v>
      </c>
      <c r="AJ2" s="75" t="s">
        <v>20</v>
      </c>
      <c r="AK2" s="65" t="s">
        <v>190</v>
      </c>
      <c r="AL2" s="66" t="s">
        <v>243</v>
      </c>
      <c r="AM2" s="76" t="s">
        <v>542</v>
      </c>
      <c r="AN2" s="77" t="s">
        <v>543</v>
      </c>
      <c r="AO2" s="77" t="s">
        <v>544</v>
      </c>
    </row>
    <row r="3" ht="12.95" customHeight="1" spans="1:41" x14ac:dyDescent="0.25">
      <c r="A3" s="3" t="s">
        <v>29</v>
      </c>
      <c r="B3" s="78" t="str">
        <f>IF(C3=Charge!$M$1,Charge!$J$1,IF(C3=Charge!$M$23,Charge!$J$23,IF(C3=Charge!$M$17,Charge!$J$17,IF(C3=Charge!$N$17,Charge!$J$17,Charge!$J$7))))</f>
        <v>G4</v>
      </c>
      <c r="C3" s="79" t="str">
        <f>VLOOKUP(A3,'1.Loading'!A:R,14,FALSE)</f>
        <v>BKK02</v>
      </c>
      <c r="D3" s="79" t="str">
        <f>VLOOKUP(A3,'1.Loading'!A:R,17,FALSE)</f>
        <v>HASLS22260902194</v>
      </c>
      <c r="E3" s="80" t="str">
        <f>VLOOKUP(D3,'2.Bookinglist'!A:CT,27,FALSE)</f>
        <v>METRO PARTICLE CO., LTD.</v>
      </c>
      <c r="F3" s="80" t="str">
        <f>VLOOKUP(D3,'2.Bookinglist'!A:CT,28,FALSE)</f>
        <v>METRO PARTICLE CO., LTD.</v>
      </c>
      <c r="G3" s="81">
        <f>VLOOKUP(D3,'2.Bookinglist'!A:E,5,FALSE)</f>
        <v>0</v>
      </c>
      <c r="H3" s="79" t="str">
        <f>VLOOKUP(D3,'2.Bookinglist'!A:CT,15,FALSE)</f>
        <v>THBKK</v>
      </c>
      <c r="I3" s="79" t="str">
        <f>VLOOKUP(D3,'2.Bookinglist'!A:CT,19,FALSE)</f>
        <v>VNSGN</v>
      </c>
      <c r="J3" s="79">
        <f>VLOOKUP(D3,'2.Bookinglist'!A:CT,26,FALSE)</f>
        <v>0</v>
      </c>
      <c r="K3" s="79" t="str">
        <f>VLOOKUP(A3,'1.Loading'!A:R,5,FALSE)</f>
        <v>45GP</v>
      </c>
      <c r="L3" s="81" t="str">
        <f>VLOOKUP(D3,'2.Bookinglist'!A:CT,85,FALSE)</f>
        <v>CY/CY</v>
      </c>
      <c r="M3" s="81" t="str">
        <f>IF(VLOOKUP(D3,'2.Bookinglist'!A:CT,43,FALSE)=0,"","DG")</f>
        <v/>
      </c>
      <c r="N3" s="81" t="str">
        <f>IF(RIGHT(K3,2)="RE","RF","")</f>
        <v/>
      </c>
      <c r="O3" s="79" t="str">
        <f>VLOOKUP(A3,'1.Loading'!A:R,3,FALSE)</f>
        <v>PGPO</v>
      </c>
      <c r="P3" s="79" t="str">
        <f>VLOOKUP(A3,'1.Loading'!A:R,4,FALSE)</f>
        <v>2612N</v>
      </c>
      <c r="Q3" s="79" t="str">
        <f>VLOOKUP(D3,'2.Bookinglist'!A:CT,12,FALSE)</f>
        <v>NTX</v>
      </c>
      <c r="R3" s="81" t="str">
        <f>IF(LEFT(K3,2)="22","20'","40'")</f>
        <v>40'</v>
      </c>
      <c r="S3" s="63"/>
      <c r="T3" s="79" t="str">
        <f>VLOOKUP(A3,'1.Loading'!A:R,2,FALSE)</f>
        <v>2026-10-15</v>
      </c>
      <c r="U3" s="82">
        <f>T3-S3</f>
        <v>46310</v>
      </c>
      <c r="V3" s="83"/>
      <c r="W3" s="79" t="str">
        <f>VLOOKUP(A3,'3.GateMove'!A:D,4,FALSE)</f>
        <v>2026-10-11</v>
      </c>
      <c r="X3" s="82">
        <f>((T3-W3)+1)</f>
        <v>5</v>
      </c>
      <c r="Y3" s="84">
        <f>IF(AND(OR(C3="BKK01",C3="BKK04"),L3="CFS/CY"),0,IF(M3="DG",1,IF(LEFT(C3,3)="LCH",7,IF(C3="BKK02",5,3))))</f>
        <v>5</v>
      </c>
      <c r="Z3" s="82">
        <f>IF(IF(AND(AC3="TML",AB3&gt;0),((T3-W3)+1)-AB3,((T3-W3)+1)-Y3)&gt;0,IF(AND(AC3="TML",AB3&gt;0),((T3-W3)+1)-AB3,((T3-W3)+1)-Y3),0)</f>
        <v>0</v>
      </c>
      <c r="AA3" s="73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0</v>
      </c>
      <c r="AB3" s="78"/>
      <c r="AC3" s="78"/>
      <c r="AD3" s="81">
        <f>IF(M3="DG",3,IF(N3="RF",3,5))+IF(AND(LEFT(C3,3)="BKK",N3="RF",Q3="KTS"),1,0)+IF(Q3="KHS",1,0)</f>
        <v>5</v>
      </c>
      <c r="AE3" s="82">
        <f>(T3-V3)+1</f>
        <v>46311</v>
      </c>
      <c r="AF3" s="82">
        <f>IF(AB3&gt;IF((V3-W3)&gt;0,V3-W3,0),0,IF(AB3&lt;IF((V3-W3)&gt;0,V3-W3,0),IF((V3-W3)&gt;0,V3-W3,0)-AB3,IF((V3-W3)&gt;0,V3-W3,0)))</f>
        <v>0</v>
      </c>
      <c r="AG3" s="73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85"/>
      <c r="AI3" s="85">
        <f>AA3-AH3</f>
        <v>0</v>
      </c>
      <c r="AJ3" s="86"/>
      <c r="AK3" s="80" t="str">
        <f>VLOOKUP(D3,'2.Bookinglist'!A:CT,40,FALSE)</f>
        <v>Nustsireerach</v>
      </c>
      <c r="AL3" s="81" t="str">
        <f>VLOOKUP(D3,'2.Bookinglist'!A:CW,101,FALSE)</f>
        <v>2026-10-13</v>
      </c>
      <c r="AM3" s="81" t="str">
        <f>VLOOKUP(D3,'2.Bookinglist'!A:BK,63,FALSE)</f>
        <v>BKK27</v>
      </c>
      <c r="AN3" s="80" t="str">
        <f>VLOOKUP(D3,'2.Bookinglist'!A:AZ,52,FALSE)</f>
        <v>CY -RTN DD.07/10 -09/10/2026 = 20x40'hq   RQST CNTR UPGRADE 32.50 TONS
CY -RTN DD.09/ 10 -09/10/2026 =10X40'HQ 
RTN CNTR DD.09/10 WITHOUT RENT</v>
      </c>
      <c r="AO3" s="80">
        <f>VLOOKUP(D3,'2.Bookinglist'!A:CY,103,FALSE)</f>
        <v>0</v>
      </c>
    </row>
    <row r="4" ht="12.95" customHeight="1" spans="1:41" x14ac:dyDescent="0.25">
      <c r="A4" s="3" t="s">
        <v>50</v>
      </c>
      <c r="B4" s="78" t="str">
        <f>IF(C4=Charge!$M$1,Charge!$J$1,IF(C4=Charge!$M$23,Charge!$J$23,IF(C4=Charge!$M$17,Charge!$J$17,IF(C4=Charge!$N$17,Charge!$J$17,Charge!$J$7))))</f>
        <v>G4</v>
      </c>
      <c r="C4" s="79" t="str">
        <f>VLOOKUP(A4,'1.Loading'!A:R,14,FALSE)</f>
        <v>BKK02</v>
      </c>
      <c r="D4" s="79" t="str">
        <f>VLOOKUP(A4,'1.Loading'!A:R,17,FALSE)</f>
        <v>HASLS22260902176</v>
      </c>
      <c r="E4" s="80" t="str">
        <f>VLOOKUP(D4,'2.Bookinglist'!A:CT,27,FALSE)</f>
        <v>KODAI (THAILAND) CO., LTD.</v>
      </c>
      <c r="F4" s="80" t="str">
        <f>VLOOKUP(D4,'2.Bookinglist'!A:CT,28,FALSE)</f>
        <v>MCKEY FOOD SERVICES   </v>
      </c>
      <c r="G4" s="81">
        <f>VLOOKUP(D4,'2.Bookinglist'!A:E,5,FALSE)</f>
        <v>0</v>
      </c>
      <c r="H4" s="79" t="str">
        <f>VLOOKUP(D4,'2.Bookinglist'!A:CT,15,FALSE)</f>
        <v>THBKK</v>
      </c>
      <c r="I4" s="79" t="str">
        <f>VLOOKUP(D4,'2.Bookinglist'!A:CT,19,FALSE)</f>
        <v>JPISS</v>
      </c>
      <c r="J4" s="79" t="str">
        <f>VLOOKUP(D4,'2.Bookinglist'!A:CT,26,FALSE)</f>
        <v>KRPUS</v>
      </c>
      <c r="K4" s="79" t="str">
        <f>VLOOKUP(A4,'1.Loading'!A:R,5,FALSE)</f>
        <v>45RE</v>
      </c>
      <c r="L4" s="81" t="str">
        <f>VLOOKUP(D4,'2.Bookinglist'!A:CT,85,FALSE)</f>
        <v>CY/CY</v>
      </c>
      <c r="M4" s="81" t="str">
        <f>IF(VLOOKUP(D4,'2.Bookinglist'!A:CT,43,FALSE)=0,"","DG")</f>
        <v/>
      </c>
      <c r="N4" s="81" t="str">
        <f>IF(RIGHT(K4,2)="RE","RF","")</f>
        <v>RF</v>
      </c>
      <c r="O4" s="79" t="str">
        <f>VLOOKUP(A4,'1.Loading'!A:R,3,FALSE)</f>
        <v>PGPO</v>
      </c>
      <c r="P4" s="79" t="str">
        <f>VLOOKUP(A4,'1.Loading'!A:R,4,FALSE)</f>
        <v>2612N</v>
      </c>
      <c r="Q4" s="79" t="str">
        <f>VLOOKUP(D4,'2.Bookinglist'!A:CT,12,FALSE)</f>
        <v>NTX</v>
      </c>
      <c r="R4" s="81" t="str">
        <f>IF(LEFT(K4,2)="22","20'","40'")</f>
        <v>40'</v>
      </c>
      <c r="S4" s="63"/>
      <c r="T4" s="79" t="str">
        <f>VLOOKUP(A4,'1.Loading'!A:R,2,FALSE)</f>
        <v>2026-10-15</v>
      </c>
      <c r="U4" s="82">
        <f>T4-S4</f>
        <v>46310</v>
      </c>
      <c r="V4" s="83"/>
      <c r="W4" s="79" t="str">
        <f>VLOOKUP(A4,'3.GateMove'!A:D,4,FALSE)</f>
        <v>2026-10-10</v>
      </c>
      <c r="X4" s="82">
        <f>((T4-W4)+1)</f>
        <v>6</v>
      </c>
      <c r="Y4" s="84">
        <f>IF(AND(OR(C4="BKK01",C4="BKK04"),L4="CFS/CY"),0,IF(M4="DG",1,IF(LEFT(C4,3)="LCH",7,IF(C4="BKK02",5,3))))</f>
        <v>5</v>
      </c>
      <c r="Z4" s="82">
        <f>IF(IF(AND(AC4="TML",AB4&gt;0),((T4-W4)+1)-AB4,((T4-W4)+1)-Y4)&gt;0,IF(AND(AC4="TML",AB4&gt;0),((T4-W4)+1)-AB4,((T4-W4)+1)-Y4),0)</f>
        <v>1</v>
      </c>
      <c r="AA4" s="73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100</v>
      </c>
      <c r="AB4" s="78"/>
      <c r="AC4" s="78"/>
      <c r="AD4" s="81">
        <f>IF(M4="DG",3,IF(N4="RF",3,5))+IF(AND(LEFT(C4,3)="BKK",N4="RF",Q4="KTS"),1,0)+IF(Q4="KHS",1,0)</f>
        <v>3</v>
      </c>
      <c r="AE4" s="82">
        <f>(T4-V4)+1</f>
        <v>46311</v>
      </c>
      <c r="AF4" s="82">
        <f>IF(AB4&gt;IF((V4-W4)&gt;0,V4-W4,0),0,IF(AB4&lt;IF((V4-W4)&gt;0,V4-W4,0),IF((V4-W4)&gt;0,V4-W4,0)-AB4,IF((V4-W4)&gt;0,V4-W4,0)))</f>
        <v>0</v>
      </c>
      <c r="AG4" s="73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85"/>
      <c r="AI4" s="85">
        <f>AA4-AH4</f>
        <v>100</v>
      </c>
      <c r="AJ4" s="86"/>
      <c r="AK4" s="80" t="str">
        <f>VLOOKUP(D4,'2.Bookinglist'!A:CT,40,FALSE)</f>
        <v>Takatsugu Nakagome(Mr.)</v>
      </c>
      <c r="AL4" s="81" t="str">
        <f>VLOOKUP(D4,'2.Bookinglist'!A:CW,101,FALSE)</f>
        <v>2026-10-15</v>
      </c>
      <c r="AM4" s="81" t="str">
        <f>VLOOKUP(D4,'2.Bookinglist'!A:BK,63,FALSE)</f>
        <v>BKK27</v>
      </c>
      <c r="AN4" s="80" t="str">
        <f>VLOOKUP(D4,'2.Bookinglist'!A:AZ,52,FALSE)</f>
        <v>PGPO/2612N/10/26[FIX]/RF  Pickup : 2026-10-07, Return : 2026-10-08 RF45REx1 (Temp -25.0 / Vent Close) 
CLS TIME : 14/10/2026 @ 08.00 [1ST RTN 08/10/2026 W/O ELECTRIC]</v>
      </c>
      <c r="AO4" s="80">
        <f>VLOOKUP(D4,'2.Bookinglist'!A:CY,103,FALSE)</f>
        <v>0</v>
      </c>
    </row>
    <row r="5" ht="12.95" customHeight="1" spans="1:41" x14ac:dyDescent="0.25">
      <c r="A5" s="3" t="s">
        <v>60</v>
      </c>
      <c r="B5" s="78" t="str">
        <f>IF(C5=Charge!$M$1,Charge!$J$1,IF(C5=Charge!$M$23,Charge!$J$23,IF(C5=Charge!$M$17,Charge!$J$17,IF(C5=Charge!$N$17,Charge!$J$17,Charge!$J$7))))</f>
        <v>G4</v>
      </c>
      <c r="C5" s="79" t="str">
        <f>VLOOKUP(A5,'1.Loading'!A:R,14,FALSE)</f>
        <v>BKK02</v>
      </c>
      <c r="D5" s="79" t="str">
        <f>VLOOKUP(A5,'1.Loading'!A:R,17,FALSE)</f>
        <v>HASLS22260902194</v>
      </c>
      <c r="E5" s="80" t="str">
        <f>VLOOKUP(D5,'2.Bookinglist'!A:CT,27,FALSE)</f>
        <v>METRO PARTICLE CO., LTD.</v>
      </c>
      <c r="F5" s="80" t="str">
        <f>VLOOKUP(D5,'2.Bookinglist'!A:CT,28,FALSE)</f>
        <v>METRO PARTICLE CO., LTD.</v>
      </c>
      <c r="G5" s="81">
        <f>VLOOKUP(D5,'2.Bookinglist'!A:E,5,FALSE)</f>
        <v>0</v>
      </c>
      <c r="H5" s="79" t="str">
        <f>VLOOKUP(D5,'2.Bookinglist'!A:CT,15,FALSE)</f>
        <v>THBKK</v>
      </c>
      <c r="I5" s="79" t="str">
        <f>VLOOKUP(D5,'2.Bookinglist'!A:CT,19,FALSE)</f>
        <v>VNSGN</v>
      </c>
      <c r="J5" s="79">
        <f>VLOOKUP(D5,'2.Bookinglist'!A:CT,26,FALSE)</f>
        <v>0</v>
      </c>
      <c r="K5" s="79" t="str">
        <f>VLOOKUP(A5,'1.Loading'!A:R,5,FALSE)</f>
        <v>45GP</v>
      </c>
      <c r="L5" s="81" t="str">
        <f>VLOOKUP(D5,'2.Bookinglist'!A:CT,85,FALSE)</f>
        <v>CY/CY</v>
      </c>
      <c r="M5" s="81" t="str">
        <f>IF(VLOOKUP(D5,'2.Bookinglist'!A:CT,43,FALSE)=0,"","DG")</f>
        <v/>
      </c>
      <c r="N5" s="81" t="str">
        <f>IF(RIGHT(K5,2)="RE","RF","")</f>
        <v/>
      </c>
      <c r="O5" s="79" t="str">
        <f>VLOOKUP(A5,'1.Loading'!A:R,3,FALSE)</f>
        <v>PGPO</v>
      </c>
      <c r="P5" s="79" t="str">
        <f>VLOOKUP(A5,'1.Loading'!A:R,4,FALSE)</f>
        <v>2612N</v>
      </c>
      <c r="Q5" s="79" t="str">
        <f>VLOOKUP(D5,'2.Bookinglist'!A:CT,12,FALSE)</f>
        <v>NTX</v>
      </c>
      <c r="R5" s="81" t="str">
        <f>IF(LEFT(K5,2)="22","20'","40'")</f>
        <v>40'</v>
      </c>
      <c r="S5" s="63"/>
      <c r="T5" s="79" t="str">
        <f>VLOOKUP(A5,'1.Loading'!A:R,2,FALSE)</f>
        <v>2026-10-15</v>
      </c>
      <c r="U5" s="82">
        <f>T5-S5</f>
        <v>46310</v>
      </c>
      <c r="V5" s="83"/>
      <c r="W5" s="79" t="str">
        <f>VLOOKUP(A5,'3.GateMove'!A:D,4,FALSE)</f>
        <v>2026-10-09</v>
      </c>
      <c r="X5" s="82">
        <f>((T5-W5)+1)</f>
        <v>7</v>
      </c>
      <c r="Y5" s="84">
        <f>IF(AND(OR(C5="BKK01",C5="BKK04"),L5="CFS/CY"),0,IF(M5="DG",1,IF(LEFT(C5,3)="LCH",7,IF(C5="BKK02",5,3))))</f>
        <v>5</v>
      </c>
      <c r="Z5" s="82">
        <f>IF(IF(AND(AC5="TML",AB5&gt;0),((T5-W5)+1)-AB5,((T5-W5)+1)-Y5)&gt;0,IF(AND(AC5="TML",AB5&gt;0),((T5-W5)+1)-AB5,((T5-W5)+1)-Y5),0)</f>
        <v>2</v>
      </c>
      <c r="AA5" s="73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200</v>
      </c>
      <c r="AB5" s="78"/>
      <c r="AC5" s="78"/>
      <c r="AD5" s="81">
        <f>IF(M5="DG",3,IF(N5="RF",3,5))+IF(AND(LEFT(C5,3)="BKK",N5="RF",Q5="KTS"),1,0)+IF(Q5="KHS",1,0)</f>
        <v>5</v>
      </c>
      <c r="AE5" s="82">
        <f>(T5-V5)+1</f>
        <v>46311</v>
      </c>
      <c r="AF5" s="82">
        <f>IF(AB5&gt;IF((V5-W5)&gt;0,V5-W5,0),0,IF(AB5&lt;IF((V5-W5)&gt;0,V5-W5,0),IF((V5-W5)&gt;0,V5-W5,0)-AB5,IF((V5-W5)&gt;0,V5-W5,0)))</f>
        <v>0</v>
      </c>
      <c r="AG5" s="73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85"/>
      <c r="AI5" s="85">
        <f>AA5-AH5</f>
        <v>200</v>
      </c>
      <c r="AJ5" s="86"/>
      <c r="AK5" s="80" t="str">
        <f>VLOOKUP(D5,'2.Bookinglist'!A:CT,40,FALSE)</f>
        <v>Nustsireerach</v>
      </c>
      <c r="AL5" s="81" t="str">
        <f>VLOOKUP(D5,'2.Bookinglist'!A:CW,101,FALSE)</f>
        <v>2026-10-13</v>
      </c>
      <c r="AM5" s="81" t="str">
        <f>VLOOKUP(D5,'2.Bookinglist'!A:BK,63,FALSE)</f>
        <v>BKK27</v>
      </c>
      <c r="AN5" s="80" t="str">
        <f>VLOOKUP(D5,'2.Bookinglist'!A:AZ,52,FALSE)</f>
        <v>CY -RTN DD.07/10 -09/10/2026 = 20x40'hq   RQST CNTR UPGRADE 32.50 TONS
CY -RTN DD.09/ 10 -09/10/2026 =10X40'HQ 
RTN CNTR DD.09/10 WITHOUT RENT</v>
      </c>
      <c r="AO5" s="80">
        <f>VLOOKUP(D5,'2.Bookinglist'!A:CY,103,FALSE)</f>
        <v>0</v>
      </c>
    </row>
    <row r="6" ht="12.95" customHeight="1" spans="1:41" x14ac:dyDescent="0.25">
      <c r="A6" s="3" t="s">
        <v>63</v>
      </c>
      <c r="B6" s="78" t="str">
        <f>IF(C6=Charge!$M$1,Charge!$J$1,IF(C6=Charge!$M$23,Charge!$J$23,IF(C6=Charge!$M$17,Charge!$J$17,IF(C6=Charge!$N$17,Charge!$J$17,Charge!$J$7))))</f>
        <v>G4</v>
      </c>
      <c r="C6" s="79" t="str">
        <f>VLOOKUP(A6,'1.Loading'!A:R,14,FALSE)</f>
        <v>BKK02</v>
      </c>
      <c r="D6" s="79" t="str">
        <f>VLOOKUP(A6,'1.Loading'!A:R,17,FALSE)</f>
        <v>HASLS22260902194</v>
      </c>
      <c r="E6" s="80" t="str">
        <f>VLOOKUP(D6,'2.Bookinglist'!A:CT,27,FALSE)</f>
        <v>METRO PARTICLE CO., LTD.</v>
      </c>
      <c r="F6" s="80" t="str">
        <f>VLOOKUP(D6,'2.Bookinglist'!A:CT,28,FALSE)</f>
        <v>METRO PARTICLE CO., LTD.</v>
      </c>
      <c r="G6" s="81">
        <f>VLOOKUP(D6,'2.Bookinglist'!A:E,5,FALSE)</f>
        <v>0</v>
      </c>
      <c r="H6" s="79" t="str">
        <f>VLOOKUP(D6,'2.Bookinglist'!A:CT,15,FALSE)</f>
        <v>THBKK</v>
      </c>
      <c r="I6" s="79" t="str">
        <f>VLOOKUP(D6,'2.Bookinglist'!A:CT,19,FALSE)</f>
        <v>VNSGN</v>
      </c>
      <c r="J6" s="79">
        <f>VLOOKUP(D6,'2.Bookinglist'!A:CT,26,FALSE)</f>
        <v>0</v>
      </c>
      <c r="K6" s="79" t="str">
        <f>VLOOKUP(A6,'1.Loading'!A:R,5,FALSE)</f>
        <v>45GP</v>
      </c>
      <c r="L6" s="81" t="str">
        <f>VLOOKUP(D6,'2.Bookinglist'!A:CT,85,FALSE)</f>
        <v>CY/CY</v>
      </c>
      <c r="M6" s="81" t="str">
        <f>IF(VLOOKUP(D6,'2.Bookinglist'!A:CT,43,FALSE)=0,"","DG")</f>
        <v/>
      </c>
      <c r="N6" s="81" t="str">
        <f>IF(RIGHT(K6,2)="RE","RF","")</f>
        <v/>
      </c>
      <c r="O6" s="79" t="str">
        <f>VLOOKUP(A6,'1.Loading'!A:R,3,FALSE)</f>
        <v>PGPO</v>
      </c>
      <c r="P6" s="79" t="str">
        <f>VLOOKUP(A6,'1.Loading'!A:R,4,FALSE)</f>
        <v>2612N</v>
      </c>
      <c r="Q6" s="79" t="str">
        <f>VLOOKUP(D6,'2.Bookinglist'!A:CT,12,FALSE)</f>
        <v>NTX</v>
      </c>
      <c r="R6" s="81" t="str">
        <f>IF(LEFT(K6,2)="22","20'","40'")</f>
        <v>40'</v>
      </c>
      <c r="S6" s="63"/>
      <c r="T6" s="79" t="str">
        <f>VLOOKUP(A6,'1.Loading'!A:R,2,FALSE)</f>
        <v>2026-10-15</v>
      </c>
      <c r="U6" s="82">
        <f>T6-S6</f>
        <v>46310</v>
      </c>
      <c r="V6" s="83"/>
      <c r="W6" s="79" t="str">
        <f>VLOOKUP(A6,'3.GateMove'!A:D,4,FALSE)</f>
        <v>2026-10-09</v>
      </c>
      <c r="X6" s="82">
        <f>((T6-W6)+1)</f>
        <v>7</v>
      </c>
      <c r="Y6" s="84">
        <f>IF(AND(OR(C6="BKK01",C6="BKK04"),L6="CFS/CY"),0,IF(M6="DG",1,IF(LEFT(C6,3)="LCH",7,IF(C6="BKK02",5,3))))</f>
        <v>5</v>
      </c>
      <c r="Z6" s="82">
        <f>IF(IF(AND(AC6="TML",AB6&gt;0),((T6-W6)+1)-AB6,((T6-W6)+1)-Y6)&gt;0,IF(AND(AC6="TML",AB6&gt;0),((T6-W6)+1)-AB6,((T6-W6)+1)-Y6),0)</f>
        <v>2</v>
      </c>
      <c r="AA6" s="73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200</v>
      </c>
      <c r="AB6" s="78"/>
      <c r="AC6" s="78"/>
      <c r="AD6" s="81">
        <f>IF(M6="DG",3,IF(N6="RF",3,5))+IF(AND(LEFT(C6,3)="BKK",N6="RF",Q6="KTS"),1,0)+IF(Q6="KHS",1,0)</f>
        <v>5</v>
      </c>
      <c r="AE6" s="82">
        <f>(T6-V6)+1</f>
        <v>46311</v>
      </c>
      <c r="AF6" s="82">
        <f>IF(AB6&gt;IF((V6-W6)&gt;0,V6-W6,0),0,IF(AB6&lt;IF((V6-W6)&gt;0,V6-W6,0),IF((V6-W6)&gt;0,V6-W6,0)-AB6,IF((V6-W6)&gt;0,V6-W6,0)))</f>
        <v>0</v>
      </c>
      <c r="AG6" s="73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85"/>
      <c r="AI6" s="85">
        <f>AA6-AH6</f>
        <v>200</v>
      </c>
      <c r="AJ6" s="86"/>
      <c r="AK6" s="80" t="str">
        <f>VLOOKUP(D6,'2.Bookinglist'!A:CT,40,FALSE)</f>
        <v>Nustsireerach</v>
      </c>
      <c r="AL6" s="81" t="str">
        <f>VLOOKUP(D6,'2.Bookinglist'!A:CW,101,FALSE)</f>
        <v>2026-10-13</v>
      </c>
      <c r="AM6" s="81" t="str">
        <f>VLOOKUP(D6,'2.Bookinglist'!A:BK,63,FALSE)</f>
        <v>BKK27</v>
      </c>
      <c r="AN6" s="80" t="str">
        <f>VLOOKUP(D6,'2.Bookinglist'!A:AZ,52,FALSE)</f>
        <v>CY -RTN DD.07/10 -09/10/2026 = 20x40'hq   RQST CNTR UPGRADE 32.50 TONS
CY -RTN DD.09/ 10 -09/10/2026 =10X40'HQ 
RTN CNTR DD.09/10 WITHOUT RENT</v>
      </c>
      <c r="AO6" s="80">
        <f>VLOOKUP(D6,'2.Bookinglist'!A:CY,103,FALSE)</f>
        <v>0</v>
      </c>
    </row>
    <row r="7" ht="12.95" customHeight="1" spans="1:41" x14ac:dyDescent="0.25">
      <c r="A7" s="3" t="s">
        <v>64</v>
      </c>
      <c r="B7" s="78" t="str">
        <f>IF(C7=Charge!$M$1,Charge!$J$1,IF(C7=Charge!$M$23,Charge!$J$23,IF(C7=Charge!$M$17,Charge!$J$17,IF(C7=Charge!$N$17,Charge!$J$17,Charge!$J$7))))</f>
        <v>G4</v>
      </c>
      <c r="C7" s="79" t="str">
        <f>VLOOKUP(A7,'1.Loading'!A:R,14,FALSE)</f>
        <v>BKK02</v>
      </c>
      <c r="D7" s="79" t="str">
        <f>VLOOKUP(A7,'1.Loading'!A:R,17,FALSE)</f>
        <v>HASLS22260902194</v>
      </c>
      <c r="E7" s="80" t="str">
        <f>VLOOKUP(D7,'2.Bookinglist'!A:CT,27,FALSE)</f>
        <v>METRO PARTICLE CO., LTD.</v>
      </c>
      <c r="F7" s="80" t="str">
        <f>VLOOKUP(D7,'2.Bookinglist'!A:CT,28,FALSE)</f>
        <v>METRO PARTICLE CO., LTD.</v>
      </c>
      <c r="G7" s="81">
        <f>VLOOKUP(D7,'2.Bookinglist'!A:E,5,FALSE)</f>
        <v>0</v>
      </c>
      <c r="H7" s="79" t="str">
        <f>VLOOKUP(D7,'2.Bookinglist'!A:CT,15,FALSE)</f>
        <v>THBKK</v>
      </c>
      <c r="I7" s="79" t="str">
        <f>VLOOKUP(D7,'2.Bookinglist'!A:CT,19,FALSE)</f>
        <v>VNSGN</v>
      </c>
      <c r="J7" s="79">
        <f>VLOOKUP(D7,'2.Bookinglist'!A:CT,26,FALSE)</f>
        <v>0</v>
      </c>
      <c r="K7" s="79" t="str">
        <f>VLOOKUP(A7,'1.Loading'!A:R,5,FALSE)</f>
        <v>45GP</v>
      </c>
      <c r="L7" s="81" t="str">
        <f>VLOOKUP(D7,'2.Bookinglist'!A:CT,85,FALSE)</f>
        <v>CY/CY</v>
      </c>
      <c r="M7" s="81" t="str">
        <f>IF(VLOOKUP(D7,'2.Bookinglist'!A:CT,43,FALSE)=0,"","DG")</f>
        <v/>
      </c>
      <c r="N7" s="81" t="str">
        <f>IF(RIGHT(K7,2)="RE","RF","")</f>
        <v/>
      </c>
      <c r="O7" s="79" t="str">
        <f>VLOOKUP(A7,'1.Loading'!A:R,3,FALSE)</f>
        <v>PGPO</v>
      </c>
      <c r="P7" s="79" t="str">
        <f>VLOOKUP(A7,'1.Loading'!A:R,4,FALSE)</f>
        <v>2612N</v>
      </c>
      <c r="Q7" s="79" t="str">
        <f>VLOOKUP(D7,'2.Bookinglist'!A:CT,12,FALSE)</f>
        <v>NTX</v>
      </c>
      <c r="R7" s="81" t="str">
        <f>IF(LEFT(K7,2)="22","20'","40'")</f>
        <v>40'</v>
      </c>
      <c r="S7" s="63"/>
      <c r="T7" s="79" t="str">
        <f>VLOOKUP(A7,'1.Loading'!A:R,2,FALSE)</f>
        <v>2026-10-15</v>
      </c>
      <c r="U7" s="82">
        <f>T7-S7</f>
        <v>46310</v>
      </c>
      <c r="V7" s="83"/>
      <c r="W7" s="79" t="str">
        <f>VLOOKUP(A7,'3.GateMove'!A:D,4,FALSE)</f>
        <v>2026-10-09</v>
      </c>
      <c r="X7" s="82">
        <f>((T7-W7)+1)</f>
        <v>7</v>
      </c>
      <c r="Y7" s="84">
        <f>IF(AND(OR(C7="BKK01",C7="BKK04"),L7="CFS/CY"),0,IF(M7="DG",1,IF(LEFT(C7,3)="LCH",7,IF(C7="BKK02",5,3))))</f>
        <v>5</v>
      </c>
      <c r="Z7" s="82">
        <f>IF(IF(AND(AC7="TML",AB7&gt;0),((T7-W7)+1)-AB7,((T7-W7)+1)-Y7)&gt;0,IF(AND(AC7="TML",AB7&gt;0),((T7-W7)+1)-AB7,((T7-W7)+1)-Y7),0)</f>
        <v>2</v>
      </c>
      <c r="AA7" s="73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200</v>
      </c>
      <c r="AB7" s="78"/>
      <c r="AC7" s="78"/>
      <c r="AD7" s="81">
        <f>IF(M7="DG",3,IF(N7="RF",3,5))+IF(AND(LEFT(C7,3)="BKK",N7="RF",Q7="KTS"),1,0)+IF(Q7="KHS",1,0)</f>
        <v>5</v>
      </c>
      <c r="AE7" s="82">
        <f>(T7-V7)+1</f>
        <v>46311</v>
      </c>
      <c r="AF7" s="82">
        <f>IF(AB7&gt;IF((V7-W7)&gt;0,V7-W7,0),0,IF(AB7&lt;IF((V7-W7)&gt;0,V7-W7,0),IF((V7-W7)&gt;0,V7-W7,0)-AB7,IF((V7-W7)&gt;0,V7-W7,0)))</f>
        <v>0</v>
      </c>
      <c r="AG7" s="73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85"/>
      <c r="AI7" s="85">
        <f>AA7-AH7</f>
        <v>200</v>
      </c>
      <c r="AJ7" s="86"/>
      <c r="AK7" s="80" t="str">
        <f>VLOOKUP(D7,'2.Bookinglist'!A:CT,40,FALSE)</f>
        <v>Nustsireerach</v>
      </c>
      <c r="AL7" s="81" t="str">
        <f>VLOOKUP(D7,'2.Bookinglist'!A:CW,101,FALSE)</f>
        <v>2026-10-13</v>
      </c>
      <c r="AM7" s="81" t="str">
        <f>VLOOKUP(D7,'2.Bookinglist'!A:BK,63,FALSE)</f>
        <v>BKK27</v>
      </c>
      <c r="AN7" s="80" t="str">
        <f>VLOOKUP(D7,'2.Bookinglist'!A:AZ,52,FALSE)</f>
        <v>CY -RTN DD.07/10 -09/10/2026 = 20x40'hq   RQST CNTR UPGRADE 32.50 TONS
CY -RTN DD.09/ 10 -09/10/2026 =10X40'HQ 
RTN CNTR DD.09/10 WITHOUT RENT</v>
      </c>
      <c r="AO7" s="80">
        <f>VLOOKUP(D7,'2.Bookinglist'!A:CY,103,FALSE)</f>
        <v>0</v>
      </c>
    </row>
    <row r="8" ht="12.95" customHeight="1" spans="1:41" x14ac:dyDescent="0.25">
      <c r="A8" s="3" t="s">
        <v>65</v>
      </c>
      <c r="B8" s="78" t="str">
        <f>IF(C8=Charge!$M$1,Charge!$J$1,IF(C8=Charge!$M$23,Charge!$J$23,IF(C8=Charge!$M$17,Charge!$J$17,IF(C8=Charge!$N$17,Charge!$J$17,Charge!$J$7))))</f>
        <v>G4</v>
      </c>
      <c r="C8" s="79" t="str">
        <f>VLOOKUP(A8,'1.Loading'!A:R,14,FALSE)</f>
        <v>BKK02</v>
      </c>
      <c r="D8" s="79" t="str">
        <f>VLOOKUP(A8,'1.Loading'!A:R,17,FALSE)</f>
        <v>HASLS22260902194</v>
      </c>
      <c r="E8" s="80" t="str">
        <f>VLOOKUP(D8,'2.Bookinglist'!A:CT,27,FALSE)</f>
        <v>METRO PARTICLE CO., LTD.</v>
      </c>
      <c r="F8" s="80" t="str">
        <f>VLOOKUP(D8,'2.Bookinglist'!A:CT,28,FALSE)</f>
        <v>METRO PARTICLE CO., LTD.</v>
      </c>
      <c r="G8" s="81">
        <f>VLOOKUP(D8,'2.Bookinglist'!A:E,5,FALSE)</f>
        <v>0</v>
      </c>
      <c r="H8" s="79" t="str">
        <f>VLOOKUP(D8,'2.Bookinglist'!A:CT,15,FALSE)</f>
        <v>THBKK</v>
      </c>
      <c r="I8" s="79" t="str">
        <f>VLOOKUP(D8,'2.Bookinglist'!A:CT,19,FALSE)</f>
        <v>VNSGN</v>
      </c>
      <c r="J8" s="79">
        <f>VLOOKUP(D8,'2.Bookinglist'!A:CT,26,FALSE)</f>
        <v>0</v>
      </c>
      <c r="K8" s="79" t="str">
        <f>VLOOKUP(A8,'1.Loading'!A:R,5,FALSE)</f>
        <v>45GP</v>
      </c>
      <c r="L8" s="81" t="str">
        <f>VLOOKUP(D8,'2.Bookinglist'!A:CT,85,FALSE)</f>
        <v>CY/CY</v>
      </c>
      <c r="M8" s="81" t="str">
        <f>IF(VLOOKUP(D8,'2.Bookinglist'!A:CT,43,FALSE)=0,"","DG")</f>
        <v/>
      </c>
      <c r="N8" s="81" t="str">
        <f>IF(RIGHT(K8,2)="RE","RF","")</f>
        <v/>
      </c>
      <c r="O8" s="79" t="str">
        <f>VLOOKUP(A8,'1.Loading'!A:R,3,FALSE)</f>
        <v>PGPO</v>
      </c>
      <c r="P8" s="79" t="str">
        <f>VLOOKUP(A8,'1.Loading'!A:R,4,FALSE)</f>
        <v>2612N</v>
      </c>
      <c r="Q8" s="79" t="str">
        <f>VLOOKUP(D8,'2.Bookinglist'!A:CT,12,FALSE)</f>
        <v>NTX</v>
      </c>
      <c r="R8" s="81" t="str">
        <f>IF(LEFT(K8,2)="22","20'","40'")</f>
        <v>40'</v>
      </c>
      <c r="S8" s="63"/>
      <c r="T8" s="79" t="str">
        <f>VLOOKUP(A8,'1.Loading'!A:R,2,FALSE)</f>
        <v>2026-10-15</v>
      </c>
      <c r="U8" s="82">
        <f>T8-S8</f>
        <v>46310</v>
      </c>
      <c r="V8" s="83"/>
      <c r="W8" s="79" t="str">
        <f>VLOOKUP(A8,'3.GateMove'!A:D,4,FALSE)</f>
        <v>2026-10-09</v>
      </c>
      <c r="X8" s="82">
        <f>((T8-W8)+1)</f>
        <v>7</v>
      </c>
      <c r="Y8" s="84">
        <f>IF(AND(OR(C8="BKK01",C8="BKK04"),L8="CFS/CY"),0,IF(M8="DG",1,IF(LEFT(C8,3)="LCH",7,IF(C8="BKK02",5,3))))</f>
        <v>5</v>
      </c>
      <c r="Z8" s="82">
        <f>IF(IF(AND(AC8="TML",AB8&gt;0),((T8-W8)+1)-AB8,((T8-W8)+1)-Y8)&gt;0,IF(AND(AC8="TML",AB8&gt;0),((T8-W8)+1)-AB8,((T8-W8)+1)-Y8),0)</f>
        <v>2</v>
      </c>
      <c r="AA8" s="73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200</v>
      </c>
      <c r="AB8" s="78"/>
      <c r="AC8" s="78"/>
      <c r="AD8" s="81">
        <f>IF(M8="DG",3,IF(N8="RF",3,5))+IF(AND(LEFT(C8,3)="BKK",N8="RF",Q8="KTS"),1,0)+IF(Q8="KHS",1,0)</f>
        <v>5</v>
      </c>
      <c r="AE8" s="82">
        <f>(T8-V8)+1</f>
        <v>46311</v>
      </c>
      <c r="AF8" s="82">
        <f>IF(AB8&gt;IF((V8-W8)&gt;0,V8-W8,0),0,IF(AB8&lt;IF((V8-W8)&gt;0,V8-W8,0),IF((V8-W8)&gt;0,V8-W8,0)-AB8,IF((V8-W8)&gt;0,V8-W8,0)))</f>
        <v>0</v>
      </c>
      <c r="AG8" s="73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85"/>
      <c r="AI8" s="85">
        <f>AA8-AH8</f>
        <v>200</v>
      </c>
      <c r="AJ8" s="86"/>
      <c r="AK8" s="80" t="str">
        <f>VLOOKUP(D8,'2.Bookinglist'!A:CT,40,FALSE)</f>
        <v>Nustsireerach</v>
      </c>
      <c r="AL8" s="81" t="str">
        <f>VLOOKUP(D8,'2.Bookinglist'!A:CW,101,FALSE)</f>
        <v>2026-10-13</v>
      </c>
      <c r="AM8" s="81" t="str">
        <f>VLOOKUP(D8,'2.Bookinglist'!A:BK,63,FALSE)</f>
        <v>BKK27</v>
      </c>
      <c r="AN8" s="80" t="str">
        <f>VLOOKUP(D8,'2.Bookinglist'!A:AZ,52,FALSE)</f>
        <v>CY -RTN DD.07/10 -09/10/2026 = 20x40'hq   RQST CNTR UPGRADE 32.50 TONS
CY -RTN DD.09/ 10 -09/10/2026 =10X40'HQ 
RTN CNTR DD.09/10 WITHOUT RENT</v>
      </c>
      <c r="AO8" s="80">
        <f>VLOOKUP(D8,'2.Bookinglist'!A:CY,103,FALSE)</f>
        <v>0</v>
      </c>
    </row>
    <row r="9" ht="12.95" customHeight="1" spans="1:41" x14ac:dyDescent="0.25">
      <c r="A9" s="3" t="s">
        <v>66</v>
      </c>
      <c r="B9" s="78" t="str">
        <f>IF(C9=Charge!$M$1,Charge!$J$1,IF(C9=Charge!$M$23,Charge!$J$23,IF(C9=Charge!$M$17,Charge!$J$17,IF(C9=Charge!$N$17,Charge!$J$17,Charge!$J$7))))</f>
        <v>G4</v>
      </c>
      <c r="C9" s="79" t="str">
        <f>VLOOKUP(A9,'1.Loading'!A:R,14,FALSE)</f>
        <v>BKK02</v>
      </c>
      <c r="D9" s="79" t="str">
        <f>VLOOKUP(A9,'1.Loading'!A:R,17,FALSE)</f>
        <v>HASLS22260801064</v>
      </c>
      <c r="E9" s="80" t="str">
        <f>VLOOKUP(D9,'2.Bookinglist'!A:CT,27,FALSE)</f>
        <v>KORCHINA FREIGHT (THAILAND) CO., LTD.</v>
      </c>
      <c r="F9" s="80" t="str">
        <f>VLOOKUP(D9,'2.Bookinglist'!A:CT,28,FALSE)</f>
        <v>RIVER KWAI INTERNATIONAL FOOD INDUSTRY CO., LTD.</v>
      </c>
      <c r="G9" s="81">
        <f>VLOOKUP(D9,'2.Bookinglist'!A:E,5,FALSE)</f>
        <v>0</v>
      </c>
      <c r="H9" s="79" t="str">
        <f>VLOOKUP(D9,'2.Bookinglist'!A:CT,15,FALSE)</f>
        <v>THBKK</v>
      </c>
      <c r="I9" s="79" t="str">
        <f>VLOOKUP(D9,'2.Bookinglist'!A:CT,19,FALSE)</f>
        <v>KRINC</v>
      </c>
      <c r="J9" s="79">
        <f>VLOOKUP(D9,'2.Bookinglist'!A:CT,26,FALSE)</f>
        <v>0</v>
      </c>
      <c r="K9" s="79" t="str">
        <f>VLOOKUP(A9,'1.Loading'!A:R,5,FALSE)</f>
        <v>22GP</v>
      </c>
      <c r="L9" s="81" t="str">
        <f>VLOOKUP(D9,'2.Bookinglist'!A:CT,85,FALSE)</f>
        <v>CY/CY</v>
      </c>
      <c r="M9" s="81" t="str">
        <f>IF(VLOOKUP(D9,'2.Bookinglist'!A:CT,43,FALSE)=0,"","DG")</f>
        <v/>
      </c>
      <c r="N9" s="81" t="str">
        <f>IF(RIGHT(K9,2)="RE","RF","")</f>
        <v/>
      </c>
      <c r="O9" s="79" t="str">
        <f>VLOOKUP(A9,'1.Loading'!A:R,3,FALSE)</f>
        <v>PGPO</v>
      </c>
      <c r="P9" s="79" t="str">
        <f>VLOOKUP(A9,'1.Loading'!A:R,4,FALSE)</f>
        <v>2612N</v>
      </c>
      <c r="Q9" s="79" t="str">
        <f>VLOOKUP(D9,'2.Bookinglist'!A:CT,12,FALSE)</f>
        <v>NTX</v>
      </c>
      <c r="R9" s="81" t="str">
        <f>IF(LEFT(K9,2)="22","20'","40'")</f>
        <v>20'</v>
      </c>
      <c r="S9" s="63"/>
      <c r="T9" s="79" t="str">
        <f>VLOOKUP(A9,'1.Loading'!A:R,2,FALSE)</f>
        <v>2026-10-15</v>
      </c>
      <c r="U9" s="82">
        <f>T9-S9</f>
        <v>46310</v>
      </c>
      <c r="V9" s="83"/>
      <c r="W9" s="79" t="str">
        <f>VLOOKUP(A9,'3.GateMove'!A:D,4,FALSE)</f>
        <v>2026-10-09</v>
      </c>
      <c r="X9" s="82">
        <f>((T9-W9)+1)</f>
        <v>7</v>
      </c>
      <c r="Y9" s="84">
        <f>IF(AND(OR(C9="BKK01",C9="BKK04"),L9="CFS/CY"),0,IF(M9="DG",1,IF(LEFT(C9,3)="LCH",7,IF(C9="BKK02",5,3))))</f>
        <v>5</v>
      </c>
      <c r="Z9" s="82">
        <f>IF(IF(AND(AC9="TML",AB9&gt;0),((T9-W9)+1)-AB9,((T9-W9)+1)-Y9)&gt;0,IF(AND(AC9="TML",AB9&gt;0),((T9-W9)+1)-AB9,((T9-W9)+1)-Y9),0)</f>
        <v>2</v>
      </c>
      <c r="AA9" s="73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100</v>
      </c>
      <c r="AB9" s="78"/>
      <c r="AC9" s="78"/>
      <c r="AD9" s="81">
        <f>IF(M9="DG",3,IF(N9="RF",3,5))+IF(AND(LEFT(C9,3)="BKK",N9="RF",Q9="KTS"),1,0)+IF(Q9="KHS",1,0)</f>
        <v>5</v>
      </c>
      <c r="AE9" s="82">
        <f>(T9-V9)+1</f>
        <v>46311</v>
      </c>
      <c r="AF9" s="82">
        <f>IF(AB9&gt;IF((V9-W9)&gt;0,V9-W9,0),0,IF(AB9&lt;IF((V9-W9)&gt;0,V9-W9,0),IF((V9-W9)&gt;0,V9-W9,0)-AB9,IF((V9-W9)&gt;0,V9-W9,0)))</f>
        <v>0</v>
      </c>
      <c r="AG9" s="73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85"/>
      <c r="AI9" s="85">
        <f>AA9-AH9</f>
        <v>100</v>
      </c>
      <c r="AJ9" s="86"/>
      <c r="AK9" s="80" t="str">
        <f>VLOOKUP(D9,'2.Bookinglist'!A:CT,40,FALSE)</f>
        <v>Pattarapong Saengthong</v>
      </c>
      <c r="AL9" s="81" t="str">
        <f>VLOOKUP(D9,'2.Bookinglist'!A:CW,101,FALSE)</f>
        <v>2026-10-15</v>
      </c>
      <c r="AM9" s="81" t="str">
        <f>VLOOKUP(D9,'2.Bookinglist'!A:BK,63,FALSE)</f>
        <v>BKK27</v>
      </c>
      <c r="AN9" s="80" t="str">
        <f>VLOOKUP(D9,'2.Bookinglist'!A:AZ,52,FALSE)</f>
        <v>Pickup : 2026-10-08, Return : 2026-10-10 /FIRST DATE CAN RETURN CNTR DD.10/10 WITHOUT RENT</v>
      </c>
      <c r="AO9" s="80">
        <f>VLOOKUP(D9,'2.Bookinglist'!A:CY,103,FALSE)</f>
        <v>0</v>
      </c>
    </row>
    <row r="10" ht="12.95" customHeight="1" spans="1:41" x14ac:dyDescent="0.25">
      <c r="A10" s="3" t="s">
        <v>75</v>
      </c>
      <c r="B10" s="78" t="str">
        <f>IF(C10=Charge!$M$1,Charge!$J$1,IF(C10=Charge!$M$23,Charge!$J$23,IF(C10=Charge!$M$17,Charge!$J$17,IF(C10=Charge!$N$17,Charge!$J$17,Charge!$J$7))))</f>
        <v>G4</v>
      </c>
      <c r="C10" s="79" t="str">
        <f>VLOOKUP(A10,'1.Loading'!A:R,14,FALSE)</f>
        <v>BKK02</v>
      </c>
      <c r="D10" s="79" t="str">
        <f>VLOOKUP(A10,'1.Loading'!A:R,17,FALSE)</f>
        <v>HASLS22260900914</v>
      </c>
      <c r="E10" s="80" t="str">
        <f>VLOOKUP(D10,'2.Bookinglist'!A:CT,27,FALSE)</f>
        <v>ASIA MODIFIED STARCH CO., LTD.</v>
      </c>
      <c r="F10" s="80" t="str">
        <f>VLOOKUP(D10,'2.Bookinglist'!A:CT,28,FALSE)</f>
        <v>ASIA MODIFIED STARCH CO., LTD.</v>
      </c>
      <c r="G10" s="81">
        <f>VLOOKUP(D10,'2.Bookinglist'!A:E,5,FALSE)</f>
        <v>0</v>
      </c>
      <c r="H10" s="79" t="str">
        <f>VLOOKUP(D10,'2.Bookinglist'!A:CT,15,FALSE)</f>
        <v>THBKK</v>
      </c>
      <c r="I10" s="79" t="str">
        <f>VLOOKUP(D10,'2.Bookinglist'!A:CT,19,FALSE)</f>
        <v>JPTMK</v>
      </c>
      <c r="J10" s="79" t="str">
        <f>VLOOKUP(D10,'2.Bookinglist'!A:CT,26,FALSE)</f>
        <v>KRPUS</v>
      </c>
      <c r="K10" s="79" t="str">
        <f>VLOOKUP(A10,'1.Loading'!A:R,5,FALSE)</f>
        <v>22GP</v>
      </c>
      <c r="L10" s="81" t="str">
        <f>VLOOKUP(D10,'2.Bookinglist'!A:CT,85,FALSE)</f>
        <v>CY/CY</v>
      </c>
      <c r="M10" s="81" t="str">
        <f>IF(VLOOKUP(D10,'2.Bookinglist'!A:CT,43,FALSE)=0,"","DG")</f>
        <v/>
      </c>
      <c r="N10" s="81" t="str">
        <f>IF(RIGHT(K10,2)="RE","RF","")</f>
        <v/>
      </c>
      <c r="O10" s="79" t="str">
        <f>VLOOKUP(A10,'1.Loading'!A:R,3,FALSE)</f>
        <v>PGPO</v>
      </c>
      <c r="P10" s="79" t="str">
        <f>VLOOKUP(A10,'1.Loading'!A:R,4,FALSE)</f>
        <v>2612N</v>
      </c>
      <c r="Q10" s="79" t="str">
        <f>VLOOKUP(D10,'2.Bookinglist'!A:CT,12,FALSE)</f>
        <v>NTX</v>
      </c>
      <c r="R10" s="81" t="str">
        <f>IF(LEFT(K10,2)="22","20'","40'")</f>
        <v>20'</v>
      </c>
      <c r="S10" s="63"/>
      <c r="T10" s="79" t="str">
        <f>VLOOKUP(A10,'1.Loading'!A:R,2,FALSE)</f>
        <v>2026-10-15</v>
      </c>
      <c r="U10" s="82">
        <f>T10-S10</f>
        <v>46310</v>
      </c>
      <c r="V10" s="83"/>
      <c r="W10" s="79" t="str">
        <f>VLOOKUP(A10,'3.GateMove'!A:D,4,FALSE)</f>
        <v>2026-10-13</v>
      </c>
      <c r="X10" s="82">
        <f>((T10-W10)+1)</f>
        <v>3</v>
      </c>
      <c r="Y10" s="84">
        <f>IF(AND(OR(C10="BKK01",C10="BKK04"),L10="CFS/CY"),0,IF(M10="DG",1,IF(LEFT(C10,3)="LCH",7,IF(C10="BKK02",5,3))))</f>
        <v>5</v>
      </c>
      <c r="Z10" s="82">
        <f>IF(IF(AND(AC10="TML",AB10&gt;0),((T10-W10)+1)-AB10,((T10-W10)+1)-Y10)&gt;0,IF(AND(AC10="TML",AB10&gt;0),((T10-W10)+1)-AB10,((T10-W10)+1)-Y10),0)</f>
        <v>0</v>
      </c>
      <c r="AA10" s="73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0</v>
      </c>
      <c r="AB10" s="78"/>
      <c r="AC10" s="78"/>
      <c r="AD10" s="81">
        <f>IF(M10="DG",3,IF(N10="RF",3,5))+IF(AND(LEFT(C10,3)="BKK",N10="RF",Q10="KTS"),1,0)+IF(Q10="KHS",1,0)</f>
        <v>5</v>
      </c>
      <c r="AE10" s="82">
        <f>(T10-V10)+1</f>
        <v>46311</v>
      </c>
      <c r="AF10" s="82">
        <f>IF(AB10&gt;IF((V10-W10)&gt;0,V10-W10,0),0,IF(AB10&lt;IF((V10-W10)&gt;0,V10-W10,0),IF((V10-W10)&gt;0,V10-W10,0)-AB10,IF((V10-W10)&gt;0,V10-W10,0)))</f>
        <v>0</v>
      </c>
      <c r="AG10" s="73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85"/>
      <c r="AI10" s="85">
        <f>AA10-AH10</f>
        <v>0</v>
      </c>
      <c r="AJ10" s="86"/>
      <c r="AK10" s="80" t="str">
        <f>VLOOKUP(D10,'2.Bookinglist'!A:CT,40,FALSE)</f>
        <v>AYA YAMANAKA</v>
      </c>
      <c r="AL10" s="81" t="str">
        <f>VLOOKUP(D10,'2.Bookinglist'!A:CW,101,FALSE)</f>
        <v>2026-10-15</v>
      </c>
      <c r="AM10" s="81" t="str">
        <f>VLOOKUP(D10,'2.Bookinglist'!A:BK,63,FALSE)</f>
        <v>BKK25</v>
      </c>
      <c r="AN10" s="80" t="str">
        <f>VLOOKUP(D10,'2.Bookinglist'!A:AZ,52,FALSE)</f>
        <v>Pickup : 2026-10-10, Return : 2026-10-13</v>
      </c>
      <c r="AO10" s="80">
        <f>VLOOKUP(D10,'2.Bookinglist'!A:CY,103,FALSE)</f>
        <v>0</v>
      </c>
    </row>
    <row r="11" ht="12.95" customHeight="1" spans="1:41" x14ac:dyDescent="0.25">
      <c r="A11" s="3" t="s">
        <v>82</v>
      </c>
      <c r="B11" s="78" t="str">
        <f>IF(C11=Charge!$M$1,Charge!$J$1,IF(C11=Charge!$M$23,Charge!$J$23,IF(C11=Charge!$M$17,Charge!$J$17,IF(C11=Charge!$N$17,Charge!$J$17,Charge!$J$7))))</f>
        <v>G4</v>
      </c>
      <c r="C11" s="79" t="str">
        <f>VLOOKUP(A11,'1.Loading'!A:R,14,FALSE)</f>
        <v>BKK02</v>
      </c>
      <c r="D11" s="79" t="str">
        <f>VLOOKUP(A11,'1.Loading'!A:R,17,FALSE)</f>
        <v>HASLS22261000302</v>
      </c>
      <c r="E11" s="80" t="str">
        <f>VLOOKUP(D11,'2.Bookinglist'!A:CT,27,FALSE)</f>
        <v>SMATHAI GLOBAL LOGISTICS (THAILAND) CO., LTD.</v>
      </c>
      <c r="F11" s="80" t="str">
        <f>VLOOKUP(D11,'2.Bookinglist'!A:CT,28,FALSE)</f>
        <v>SIAM ULTIMATE FOOD CO., LTD.</v>
      </c>
      <c r="G11" s="81">
        <f>VLOOKUP(D11,'2.Bookinglist'!A:E,5,FALSE)</f>
        <v>0</v>
      </c>
      <c r="H11" s="79" t="str">
        <f>VLOOKUP(D11,'2.Bookinglist'!A:CT,15,FALSE)</f>
        <v>THBKK</v>
      </c>
      <c r="I11" s="79" t="str">
        <f>VLOOKUP(D11,'2.Bookinglist'!A:CT,19,FALSE)</f>
        <v>VNSGN</v>
      </c>
      <c r="J11" s="79">
        <f>VLOOKUP(D11,'2.Bookinglist'!A:CT,26,FALSE)</f>
        <v>0</v>
      </c>
      <c r="K11" s="79" t="str">
        <f>VLOOKUP(A11,'1.Loading'!A:R,5,FALSE)</f>
        <v>22GP</v>
      </c>
      <c r="L11" s="81" t="str">
        <f>VLOOKUP(D11,'2.Bookinglist'!A:CT,85,FALSE)</f>
        <v>CY/CY</v>
      </c>
      <c r="M11" s="81" t="str">
        <f>IF(VLOOKUP(D11,'2.Bookinglist'!A:CT,43,FALSE)=0,"","DG")</f>
        <v/>
      </c>
      <c r="N11" s="81" t="str">
        <f>IF(RIGHT(K11,2)="RE","RF","")</f>
        <v/>
      </c>
      <c r="O11" s="79" t="str">
        <f>VLOOKUP(A11,'1.Loading'!A:R,3,FALSE)</f>
        <v>PGPO</v>
      </c>
      <c r="P11" s="79" t="str">
        <f>VLOOKUP(A11,'1.Loading'!A:R,4,FALSE)</f>
        <v>2612N</v>
      </c>
      <c r="Q11" s="79" t="str">
        <f>VLOOKUP(D11,'2.Bookinglist'!A:CT,12,FALSE)</f>
        <v>NTX</v>
      </c>
      <c r="R11" s="81" t="str">
        <f>IF(LEFT(K11,2)="22","20'","40'")</f>
        <v>20'</v>
      </c>
      <c r="S11" s="63"/>
      <c r="T11" s="79" t="str">
        <f>VLOOKUP(A11,'1.Loading'!A:R,2,FALSE)</f>
        <v>2026-10-15</v>
      </c>
      <c r="U11" s="82">
        <f>T11-S11</f>
        <v>46310</v>
      </c>
      <c r="V11" s="83"/>
      <c r="W11" s="79" t="str">
        <f>VLOOKUP(A11,'3.GateMove'!A:D,4,FALSE)</f>
        <v>2026-10-13</v>
      </c>
      <c r="X11" s="82">
        <f>((T11-W11)+1)</f>
        <v>3</v>
      </c>
      <c r="Y11" s="84">
        <f>IF(AND(OR(C11="BKK01",C11="BKK04"),L11="CFS/CY"),0,IF(M11="DG",1,IF(LEFT(C11,3)="LCH",7,IF(C11="BKK02",5,3))))</f>
        <v>5</v>
      </c>
      <c r="Z11" s="82">
        <f>IF(IF(AND(AC11="TML",AB11&gt;0),((T11-W11)+1)-AB11,((T11-W11)+1)-Y11)&gt;0,IF(AND(AC11="TML",AB11&gt;0),((T11-W11)+1)-AB11,((T11-W11)+1)-Y11),0)</f>
        <v>0</v>
      </c>
      <c r="AA11" s="73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0</v>
      </c>
      <c r="AB11" s="78"/>
      <c r="AC11" s="78"/>
      <c r="AD11" s="81">
        <f>IF(M11="DG",3,IF(N11="RF",3,5))+IF(AND(LEFT(C11,3)="BKK",N11="RF",Q11="KTS"),1,0)+IF(Q11="KHS",1,0)</f>
        <v>5</v>
      </c>
      <c r="AE11" s="82">
        <f>(T11-V11)+1</f>
        <v>46311</v>
      </c>
      <c r="AF11" s="82">
        <f>IF(AB11&gt;IF((V11-W11)&gt;0,V11-W11,0),0,IF(AB11&lt;IF((V11-W11)&gt;0,V11-W11,0),IF((V11-W11)&gt;0,V11-W11,0)-AB11,IF((V11-W11)&gt;0,V11-W11,0)))</f>
        <v>0</v>
      </c>
      <c r="AG11" s="73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85"/>
      <c r="AI11" s="85">
        <f>AA11-AH11</f>
        <v>0</v>
      </c>
      <c r="AJ11" s="86"/>
      <c r="AK11" s="80" t="str">
        <f>VLOOKUP(D11,'2.Bookinglist'!A:CT,40,FALSE)</f>
        <v>Arunphat W. (Aiw)</v>
      </c>
      <c r="AL11" s="81" t="str">
        <f>VLOOKUP(D11,'2.Bookinglist'!A:CW,101,FALSE)</f>
        <v>2026-10-15</v>
      </c>
      <c r="AM11" s="81" t="str">
        <f>VLOOKUP(D11,'2.Bookinglist'!A:BK,63,FALSE)</f>
        <v>BKK27</v>
      </c>
      <c r="AN11" s="80" t="str">
        <f>VLOOKUP(D11,'2.Bookinglist'!A:AZ,52,FALSE)</f>
        <v>Pickup : 2026-10-10, Return : 2026-10-11</v>
      </c>
      <c r="AO11" s="80">
        <f>VLOOKUP(D11,'2.Bookinglist'!A:CY,103,FALSE)</f>
        <v>0</v>
      </c>
    </row>
    <row r="12" ht="12.95" customHeight="1" spans="1:41" x14ac:dyDescent="0.25">
      <c r="A12" s="3" t="s">
        <v>86</v>
      </c>
      <c r="B12" s="78" t="str">
        <f>IF(C12=Charge!$M$1,Charge!$J$1,IF(C12=Charge!$M$23,Charge!$J$23,IF(C12=Charge!$M$17,Charge!$J$17,IF(C12=Charge!$N$17,Charge!$J$17,Charge!$J$7))))</f>
        <v>G4</v>
      </c>
      <c r="C12" s="79" t="str">
        <f>VLOOKUP(A12,'1.Loading'!A:R,14,FALSE)</f>
        <v>BKK02</v>
      </c>
      <c r="D12" s="79" t="str">
        <f>VLOOKUP(A12,'1.Loading'!A:R,17,FALSE)</f>
        <v>HASLS22260801064</v>
      </c>
      <c r="E12" s="80" t="str">
        <f>VLOOKUP(D12,'2.Bookinglist'!A:CT,27,FALSE)</f>
        <v>KORCHINA FREIGHT (THAILAND) CO., LTD.</v>
      </c>
      <c r="F12" s="80" t="str">
        <f>VLOOKUP(D12,'2.Bookinglist'!A:CT,28,FALSE)</f>
        <v>RIVER KWAI INTERNATIONAL FOOD INDUSTRY CO., LTD.</v>
      </c>
      <c r="G12" s="81">
        <f>VLOOKUP(D12,'2.Bookinglist'!A:E,5,FALSE)</f>
        <v>0</v>
      </c>
      <c r="H12" s="79" t="str">
        <f>VLOOKUP(D12,'2.Bookinglist'!A:CT,15,FALSE)</f>
        <v>THBKK</v>
      </c>
      <c r="I12" s="79" t="str">
        <f>VLOOKUP(D12,'2.Bookinglist'!A:CT,19,FALSE)</f>
        <v>KRINC</v>
      </c>
      <c r="J12" s="79">
        <f>VLOOKUP(D12,'2.Bookinglist'!A:CT,26,FALSE)</f>
        <v>0</v>
      </c>
      <c r="K12" s="79" t="str">
        <f>VLOOKUP(A12,'1.Loading'!A:R,5,FALSE)</f>
        <v>22GP</v>
      </c>
      <c r="L12" s="81" t="str">
        <f>VLOOKUP(D12,'2.Bookinglist'!A:CT,85,FALSE)</f>
        <v>CY/CY</v>
      </c>
      <c r="M12" s="81" t="str">
        <f>IF(VLOOKUP(D12,'2.Bookinglist'!A:CT,43,FALSE)=0,"","DG")</f>
        <v/>
      </c>
      <c r="N12" s="81" t="str">
        <f>IF(RIGHT(K12,2)="RE","RF","")</f>
        <v/>
      </c>
      <c r="O12" s="79" t="str">
        <f>VLOOKUP(A12,'1.Loading'!A:R,3,FALSE)</f>
        <v>PGPO</v>
      </c>
      <c r="P12" s="79" t="str">
        <f>VLOOKUP(A12,'1.Loading'!A:R,4,FALSE)</f>
        <v>2612N</v>
      </c>
      <c r="Q12" s="79" t="str">
        <f>VLOOKUP(D12,'2.Bookinglist'!A:CT,12,FALSE)</f>
        <v>NTX</v>
      </c>
      <c r="R12" s="81" t="str">
        <f>IF(LEFT(K12,2)="22","20'","40'")</f>
        <v>20'</v>
      </c>
      <c r="S12" s="63"/>
      <c r="T12" s="79" t="str">
        <f>VLOOKUP(A12,'1.Loading'!A:R,2,FALSE)</f>
        <v>2026-10-15</v>
      </c>
      <c r="U12" s="82">
        <f>T12-S12</f>
        <v>46310</v>
      </c>
      <c r="V12" s="83"/>
      <c r="W12" s="79" t="str">
        <f>VLOOKUP(A12,'3.GateMove'!A:D,4,FALSE)</f>
        <v>2026-10-10</v>
      </c>
      <c r="X12" s="82">
        <f>((T12-W12)+1)</f>
        <v>6</v>
      </c>
      <c r="Y12" s="84">
        <f>IF(AND(OR(C12="BKK01",C12="BKK04"),L12="CFS/CY"),0,IF(M12="DG",1,IF(LEFT(C12,3)="LCH",7,IF(C12="BKK02",5,3))))</f>
        <v>5</v>
      </c>
      <c r="Z12" s="82">
        <f>IF(IF(AND(AC12="TML",AB12&gt;0),((T12-W12)+1)-AB12,((T12-W12)+1)-Y12)&gt;0,IF(AND(AC12="TML",AB12&gt;0),((T12-W12)+1)-AB12,((T12-W12)+1)-Y12),0)</f>
        <v>1</v>
      </c>
      <c r="AA12" s="73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50</v>
      </c>
      <c r="AB12" s="78"/>
      <c r="AC12" s="78"/>
      <c r="AD12" s="81">
        <f>IF(M12="DG",3,IF(N12="RF",3,5))+IF(AND(LEFT(C12,3)="BKK",N12="RF",Q12="KTS"),1,0)+IF(Q12="KHS",1,0)</f>
        <v>5</v>
      </c>
      <c r="AE12" s="82">
        <f>(T12-V12)+1</f>
        <v>46311</v>
      </c>
      <c r="AF12" s="82">
        <f>IF(AB12&gt;IF((V12-W12)&gt;0,V12-W12,0),0,IF(AB12&lt;IF((V12-W12)&gt;0,V12-W12,0),IF((V12-W12)&gt;0,V12-W12,0)-AB12,IF((V12-W12)&gt;0,V12-W12,0)))</f>
        <v>0</v>
      </c>
      <c r="AG12" s="73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85"/>
      <c r="AI12" s="85">
        <f>AA12-AH12</f>
        <v>50</v>
      </c>
      <c r="AJ12" s="86"/>
      <c r="AK12" s="80" t="str">
        <f>VLOOKUP(D12,'2.Bookinglist'!A:CT,40,FALSE)</f>
        <v>Pattarapong Saengthong</v>
      </c>
      <c r="AL12" s="81" t="str">
        <f>VLOOKUP(D12,'2.Bookinglist'!A:CW,101,FALSE)</f>
        <v>2026-10-15</v>
      </c>
      <c r="AM12" s="81" t="str">
        <f>VLOOKUP(D12,'2.Bookinglist'!A:BK,63,FALSE)</f>
        <v>BKK27</v>
      </c>
      <c r="AN12" s="80" t="str">
        <f>VLOOKUP(D12,'2.Bookinglist'!A:AZ,52,FALSE)</f>
        <v>Pickup : 2026-10-08, Return : 2026-10-10 /FIRST DATE CAN RETURN CNTR DD.10/10 WITHOUT RENT</v>
      </c>
      <c r="AO12" s="80">
        <f>VLOOKUP(D12,'2.Bookinglist'!A:CY,103,FALSE)</f>
        <v>0</v>
      </c>
    </row>
    <row r="13" ht="12.95" customHeight="1" spans="1:41" x14ac:dyDescent="0.25">
      <c r="A13" s="3" t="s">
        <v>87</v>
      </c>
      <c r="B13" s="78" t="str">
        <f>IF(C13=Charge!$M$1,Charge!$J$1,IF(C13=Charge!$M$23,Charge!$J$23,IF(C13=Charge!$M$17,Charge!$J$17,IF(C13=Charge!$N$17,Charge!$J$17,Charge!$J$7))))</f>
        <v>G4</v>
      </c>
      <c r="C13" s="79" t="str">
        <f>VLOOKUP(A13,'1.Loading'!A:R,14,FALSE)</f>
        <v>BKK02</v>
      </c>
      <c r="D13" s="79" t="str">
        <f>VLOOKUP(A13,'1.Loading'!A:R,17,FALSE)</f>
        <v>HASLS22260900914</v>
      </c>
      <c r="E13" s="80" t="str">
        <f>VLOOKUP(D13,'2.Bookinglist'!A:CT,27,FALSE)</f>
        <v>ASIA MODIFIED STARCH CO., LTD.</v>
      </c>
      <c r="F13" s="80" t="str">
        <f>VLOOKUP(D13,'2.Bookinglist'!A:CT,28,FALSE)</f>
        <v>ASIA MODIFIED STARCH CO., LTD.</v>
      </c>
      <c r="G13" s="81">
        <f>VLOOKUP(D13,'2.Bookinglist'!A:E,5,FALSE)</f>
        <v>0</v>
      </c>
      <c r="H13" s="79" t="str">
        <f>VLOOKUP(D13,'2.Bookinglist'!A:CT,15,FALSE)</f>
        <v>THBKK</v>
      </c>
      <c r="I13" s="79" t="str">
        <f>VLOOKUP(D13,'2.Bookinglist'!A:CT,19,FALSE)</f>
        <v>JPTMK</v>
      </c>
      <c r="J13" s="79" t="str">
        <f>VLOOKUP(D13,'2.Bookinglist'!A:CT,26,FALSE)</f>
        <v>KRPUS</v>
      </c>
      <c r="K13" s="79" t="str">
        <f>VLOOKUP(A13,'1.Loading'!A:R,5,FALSE)</f>
        <v>22GP</v>
      </c>
      <c r="L13" s="81" t="str">
        <f>VLOOKUP(D13,'2.Bookinglist'!A:CT,85,FALSE)</f>
        <v>CY/CY</v>
      </c>
      <c r="M13" s="81" t="str">
        <f>IF(VLOOKUP(D13,'2.Bookinglist'!A:CT,43,FALSE)=0,"","DG")</f>
        <v/>
      </c>
      <c r="N13" s="81" t="str">
        <f>IF(RIGHT(K13,2)="RE","RF","")</f>
        <v/>
      </c>
      <c r="O13" s="79" t="str">
        <f>VLOOKUP(A13,'1.Loading'!A:R,3,FALSE)</f>
        <v>PGPO</v>
      </c>
      <c r="P13" s="79" t="str">
        <f>VLOOKUP(A13,'1.Loading'!A:R,4,FALSE)</f>
        <v>2612N</v>
      </c>
      <c r="Q13" s="79" t="str">
        <f>VLOOKUP(D13,'2.Bookinglist'!A:CT,12,FALSE)</f>
        <v>NTX</v>
      </c>
      <c r="R13" s="81" t="str">
        <f>IF(LEFT(K13,2)="22","20'","40'")</f>
        <v>20'</v>
      </c>
      <c r="S13" s="63"/>
      <c r="T13" s="79" t="str">
        <f>VLOOKUP(A13,'1.Loading'!A:R,2,FALSE)</f>
        <v>2026-10-15</v>
      </c>
      <c r="U13" s="82">
        <f>T13-S13</f>
        <v>46310</v>
      </c>
      <c r="V13" s="83"/>
      <c r="W13" s="79" t="str">
        <f>VLOOKUP(A13,'3.GateMove'!A:D,4,FALSE)</f>
        <v>2026-10-13</v>
      </c>
      <c r="X13" s="82">
        <f>((T13-W13)+1)</f>
        <v>3</v>
      </c>
      <c r="Y13" s="84">
        <f>IF(AND(OR(C13="BKK01",C13="BKK04"),L13="CFS/CY"),0,IF(M13="DG",1,IF(LEFT(C13,3)="LCH",7,IF(C13="BKK02",5,3))))</f>
        <v>5</v>
      </c>
      <c r="Z13" s="82">
        <f>IF(IF(AND(AC13="TML",AB13&gt;0),((T13-W13)+1)-AB13,((T13-W13)+1)-Y13)&gt;0,IF(AND(AC13="TML",AB13&gt;0),((T13-W13)+1)-AB13,((T13-W13)+1)-Y13),0)</f>
        <v>0</v>
      </c>
      <c r="AA13" s="73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0</v>
      </c>
      <c r="AB13" s="78"/>
      <c r="AC13" s="78"/>
      <c r="AD13" s="81">
        <f>IF(M13="DG",3,IF(N13="RF",3,5))+IF(AND(LEFT(C13,3)="BKK",N13="RF",Q13="KTS"),1,0)+IF(Q13="KHS",1,0)</f>
        <v>5</v>
      </c>
      <c r="AE13" s="82">
        <f>(T13-V13)+1</f>
        <v>46311</v>
      </c>
      <c r="AF13" s="82">
        <f>IF(AB13&gt;IF((V13-W13)&gt;0,V13-W13,0),0,IF(AB13&lt;IF((V13-W13)&gt;0,V13-W13,0),IF((V13-W13)&gt;0,V13-W13,0)-AB13,IF((V13-W13)&gt;0,V13-W13,0)))</f>
        <v>0</v>
      </c>
      <c r="AG13" s="73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85"/>
      <c r="AI13" s="85">
        <f>AA13-AH13</f>
        <v>0</v>
      </c>
      <c r="AJ13" s="86"/>
      <c r="AK13" s="80" t="str">
        <f>VLOOKUP(D13,'2.Bookinglist'!A:CT,40,FALSE)</f>
        <v>AYA YAMANAKA</v>
      </c>
      <c r="AL13" s="81" t="str">
        <f>VLOOKUP(D13,'2.Bookinglist'!A:CW,101,FALSE)</f>
        <v>2026-10-15</v>
      </c>
      <c r="AM13" s="81" t="str">
        <f>VLOOKUP(D13,'2.Bookinglist'!A:BK,63,FALSE)</f>
        <v>BKK25</v>
      </c>
      <c r="AN13" s="80" t="str">
        <f>VLOOKUP(D13,'2.Bookinglist'!A:AZ,52,FALSE)</f>
        <v>Pickup : 2026-10-10, Return : 2026-10-13</v>
      </c>
      <c r="AO13" s="80">
        <f>VLOOKUP(D13,'2.Bookinglist'!A:CY,103,FALSE)</f>
        <v>0</v>
      </c>
    </row>
    <row r="14" ht="12.95" customHeight="1" spans="1:41" x14ac:dyDescent="0.25">
      <c r="A14" s="3" t="s">
        <v>89</v>
      </c>
      <c r="B14" s="78" t="str">
        <f>IF(C14=Charge!$M$1,Charge!$J$1,IF(C14=Charge!$M$23,Charge!$J$23,IF(C14=Charge!$M$17,Charge!$J$17,IF(C14=Charge!$N$17,Charge!$J$17,Charge!$J$7))))</f>
        <v>G4</v>
      </c>
      <c r="C14" s="79" t="str">
        <f>VLOOKUP(A14,'1.Loading'!A:R,14,FALSE)</f>
        <v>BKK02</v>
      </c>
      <c r="D14" s="79" t="str">
        <f>VLOOKUP(A14,'1.Loading'!A:R,17,FALSE)</f>
        <v>HASLS22260902194</v>
      </c>
      <c r="E14" s="80" t="str">
        <f>VLOOKUP(D14,'2.Bookinglist'!A:CT,27,FALSE)</f>
        <v>METRO PARTICLE CO., LTD.</v>
      </c>
      <c r="F14" s="80" t="str">
        <f>VLOOKUP(D14,'2.Bookinglist'!A:CT,28,FALSE)</f>
        <v>METRO PARTICLE CO., LTD.</v>
      </c>
      <c r="G14" s="81">
        <f>VLOOKUP(D14,'2.Bookinglist'!A:E,5,FALSE)</f>
        <v>0</v>
      </c>
      <c r="H14" s="79" t="str">
        <f>VLOOKUP(D14,'2.Bookinglist'!A:CT,15,FALSE)</f>
        <v>THBKK</v>
      </c>
      <c r="I14" s="79" t="str">
        <f>VLOOKUP(D14,'2.Bookinglist'!A:CT,19,FALSE)</f>
        <v>VNSGN</v>
      </c>
      <c r="J14" s="79">
        <f>VLOOKUP(D14,'2.Bookinglist'!A:CT,26,FALSE)</f>
        <v>0</v>
      </c>
      <c r="K14" s="79" t="str">
        <f>VLOOKUP(A14,'1.Loading'!A:R,5,FALSE)</f>
        <v>45GP</v>
      </c>
      <c r="L14" s="81" t="str">
        <f>VLOOKUP(D14,'2.Bookinglist'!A:CT,85,FALSE)</f>
        <v>CY/CY</v>
      </c>
      <c r="M14" s="81" t="str">
        <f>IF(VLOOKUP(D14,'2.Bookinglist'!A:CT,43,FALSE)=0,"","DG")</f>
        <v/>
      </c>
      <c r="N14" s="81" t="str">
        <f>IF(RIGHT(K14,2)="RE","RF","")</f>
        <v/>
      </c>
      <c r="O14" s="79" t="str">
        <f>VLOOKUP(A14,'1.Loading'!A:R,3,FALSE)</f>
        <v>PGPO</v>
      </c>
      <c r="P14" s="79" t="str">
        <f>VLOOKUP(A14,'1.Loading'!A:R,4,FALSE)</f>
        <v>2612N</v>
      </c>
      <c r="Q14" s="79" t="str">
        <f>VLOOKUP(D14,'2.Bookinglist'!A:CT,12,FALSE)</f>
        <v>NTX</v>
      </c>
      <c r="R14" s="81" t="str">
        <f>IF(LEFT(K14,2)="22","20'","40'")</f>
        <v>40'</v>
      </c>
      <c r="S14" s="63"/>
      <c r="T14" s="79" t="str">
        <f>VLOOKUP(A14,'1.Loading'!A:R,2,FALSE)</f>
        <v>2026-10-15</v>
      </c>
      <c r="U14" s="82">
        <f>T14-S14</f>
        <v>46310</v>
      </c>
      <c r="V14" s="83"/>
      <c r="W14" s="79" t="str">
        <f>VLOOKUP(A14,'3.GateMove'!A:D,4,FALSE)</f>
        <v>2026-10-09</v>
      </c>
      <c r="X14" s="82">
        <f>((T14-W14)+1)</f>
        <v>7</v>
      </c>
      <c r="Y14" s="84">
        <f>IF(AND(OR(C14="BKK01",C14="BKK04"),L14="CFS/CY"),0,IF(M14="DG",1,IF(LEFT(C14,3)="LCH",7,IF(C14="BKK02",5,3))))</f>
        <v>5</v>
      </c>
      <c r="Z14" s="82">
        <f>IF(IF(AND(AC14="TML",AB14&gt;0),((T14-W14)+1)-AB14,((T14-W14)+1)-Y14)&gt;0,IF(AND(AC14="TML",AB14&gt;0),((T14-W14)+1)-AB14,((T14-W14)+1)-Y14),0)</f>
        <v>2</v>
      </c>
      <c r="AA14" s="73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200</v>
      </c>
      <c r="AB14" s="78"/>
      <c r="AC14" s="78"/>
      <c r="AD14" s="81">
        <f>IF(M14="DG",3,IF(N14="RF",3,5))+IF(AND(LEFT(C14,3)="BKK",N14="RF",Q14="KTS"),1,0)+IF(Q14="KHS",1,0)</f>
        <v>5</v>
      </c>
      <c r="AE14" s="82">
        <f>(T14-V14)+1</f>
        <v>46311</v>
      </c>
      <c r="AF14" s="82">
        <f>IF(AB14&gt;IF((V14-W14)&gt;0,V14-W14,0),0,IF(AB14&lt;IF((V14-W14)&gt;0,V14-W14,0),IF((V14-W14)&gt;0,V14-W14,0)-AB14,IF((V14-W14)&gt;0,V14-W14,0)))</f>
        <v>0</v>
      </c>
      <c r="AG14" s="73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85"/>
      <c r="AI14" s="85">
        <f>AA14-AH14</f>
        <v>200</v>
      </c>
      <c r="AJ14" s="86"/>
      <c r="AK14" s="80" t="str">
        <f>VLOOKUP(D14,'2.Bookinglist'!A:CT,40,FALSE)</f>
        <v>Nustsireerach</v>
      </c>
      <c r="AL14" s="81" t="str">
        <f>VLOOKUP(D14,'2.Bookinglist'!A:CW,101,FALSE)</f>
        <v>2026-10-13</v>
      </c>
      <c r="AM14" s="81" t="str">
        <f>VLOOKUP(D14,'2.Bookinglist'!A:BK,63,FALSE)</f>
        <v>BKK27</v>
      </c>
      <c r="AN14" s="80" t="str">
        <f>VLOOKUP(D14,'2.Bookinglist'!A:AZ,52,FALSE)</f>
        <v>CY -RTN DD.07/10 -09/10/2026 = 20x40'hq   RQST CNTR UPGRADE 32.50 TONS
CY -RTN DD.09/ 10 -09/10/2026 =10X40'HQ 
RTN CNTR DD.09/10 WITHOUT RENT</v>
      </c>
      <c r="AO14" s="80">
        <f>VLOOKUP(D14,'2.Bookinglist'!A:CY,103,FALSE)</f>
        <v>0</v>
      </c>
    </row>
    <row r="15" ht="12.95" customHeight="1" spans="1:41" x14ac:dyDescent="0.25">
      <c r="A15" s="3" t="s">
        <v>91</v>
      </c>
      <c r="B15" s="78" t="str">
        <f>IF(C15=Charge!$M$1,Charge!$J$1,IF(C15=Charge!$M$23,Charge!$J$23,IF(C15=Charge!$M$17,Charge!$J$17,IF(C15=Charge!$N$17,Charge!$J$17,Charge!$J$7))))</f>
        <v>G4</v>
      </c>
      <c r="C15" s="79" t="str">
        <f>VLOOKUP(A15,'1.Loading'!A:R,14,FALSE)</f>
        <v>BKK02</v>
      </c>
      <c r="D15" s="79" t="str">
        <f>VLOOKUP(A15,'1.Loading'!A:R,17,FALSE)</f>
        <v>HASLS22260902194</v>
      </c>
      <c r="E15" s="80" t="str">
        <f>VLOOKUP(D15,'2.Bookinglist'!A:CT,27,FALSE)</f>
        <v>METRO PARTICLE CO., LTD.</v>
      </c>
      <c r="F15" s="80" t="str">
        <f>VLOOKUP(D15,'2.Bookinglist'!A:CT,28,FALSE)</f>
        <v>METRO PARTICLE CO., LTD.</v>
      </c>
      <c r="G15" s="81">
        <f>VLOOKUP(D15,'2.Bookinglist'!A:E,5,FALSE)</f>
        <v>0</v>
      </c>
      <c r="H15" s="79" t="str">
        <f>VLOOKUP(D15,'2.Bookinglist'!A:CT,15,FALSE)</f>
        <v>THBKK</v>
      </c>
      <c r="I15" s="79" t="str">
        <f>VLOOKUP(D15,'2.Bookinglist'!A:CT,19,FALSE)</f>
        <v>VNSGN</v>
      </c>
      <c r="J15" s="79">
        <f>VLOOKUP(D15,'2.Bookinglist'!A:CT,26,FALSE)</f>
        <v>0</v>
      </c>
      <c r="K15" s="79" t="str">
        <f>VLOOKUP(A15,'1.Loading'!A:R,5,FALSE)</f>
        <v>45GP</v>
      </c>
      <c r="L15" s="81" t="str">
        <f>VLOOKUP(D15,'2.Bookinglist'!A:CT,85,FALSE)</f>
        <v>CY/CY</v>
      </c>
      <c r="M15" s="81" t="str">
        <f>IF(VLOOKUP(D15,'2.Bookinglist'!A:CT,43,FALSE)=0,"","DG")</f>
        <v/>
      </c>
      <c r="N15" s="81" t="str">
        <f>IF(RIGHT(K15,2)="RE","RF","")</f>
        <v/>
      </c>
      <c r="O15" s="79" t="str">
        <f>VLOOKUP(A15,'1.Loading'!A:R,3,FALSE)</f>
        <v>PGPO</v>
      </c>
      <c r="P15" s="79" t="str">
        <f>VLOOKUP(A15,'1.Loading'!A:R,4,FALSE)</f>
        <v>2612N</v>
      </c>
      <c r="Q15" s="79" t="str">
        <f>VLOOKUP(D15,'2.Bookinglist'!A:CT,12,FALSE)</f>
        <v>NTX</v>
      </c>
      <c r="R15" s="81" t="str">
        <f>IF(LEFT(K15,2)="22","20'","40'")</f>
        <v>40'</v>
      </c>
      <c r="S15" s="63"/>
      <c r="T15" s="79" t="str">
        <f>VLOOKUP(A15,'1.Loading'!A:R,2,FALSE)</f>
        <v>2026-10-15</v>
      </c>
      <c r="U15" s="82">
        <f>T15-S15</f>
        <v>46310</v>
      </c>
      <c r="V15" s="83"/>
      <c r="W15" s="79" t="str">
        <f>VLOOKUP(A15,'3.GateMove'!A:D,4,FALSE)</f>
        <v>2026-10-11</v>
      </c>
      <c r="X15" s="82">
        <f>((T15-W15)+1)</f>
        <v>5</v>
      </c>
      <c r="Y15" s="84">
        <f>IF(AND(OR(C15="BKK01",C15="BKK04"),L15="CFS/CY"),0,IF(M15="DG",1,IF(LEFT(C15,3)="LCH",7,IF(C15="BKK02",5,3))))</f>
        <v>5</v>
      </c>
      <c r="Z15" s="82">
        <f>IF(IF(AND(AC15="TML",AB15&gt;0),((T15-W15)+1)-AB15,((T15-W15)+1)-Y15)&gt;0,IF(AND(AC15="TML",AB15&gt;0),((T15-W15)+1)-AB15,((T15-W15)+1)-Y15),0)</f>
        <v>0</v>
      </c>
      <c r="AA15" s="73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0</v>
      </c>
      <c r="AB15" s="78"/>
      <c r="AC15" s="78"/>
      <c r="AD15" s="81">
        <f>IF(M15="DG",3,IF(N15="RF",3,5))+IF(AND(LEFT(C15,3)="BKK",N15="RF",Q15="KTS"),1,0)+IF(Q15="KHS",1,0)</f>
        <v>5</v>
      </c>
      <c r="AE15" s="82">
        <f>(T15-V15)+1</f>
        <v>46311</v>
      </c>
      <c r="AF15" s="82">
        <f>IF(AB15&gt;IF((V15-W15)&gt;0,V15-W15,0),0,IF(AB15&lt;IF((V15-W15)&gt;0,V15-W15,0),IF((V15-W15)&gt;0,V15-W15,0)-AB15,IF((V15-W15)&gt;0,V15-W15,0)))</f>
        <v>0</v>
      </c>
      <c r="AG15" s="73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85"/>
      <c r="AI15" s="85">
        <f>AA15-AH15</f>
        <v>0</v>
      </c>
      <c r="AJ15" s="86"/>
      <c r="AK15" s="80" t="str">
        <f>VLOOKUP(D15,'2.Bookinglist'!A:CT,40,FALSE)</f>
        <v>Nustsireerach</v>
      </c>
      <c r="AL15" s="81" t="str">
        <f>VLOOKUP(D15,'2.Bookinglist'!A:CW,101,FALSE)</f>
        <v>2026-10-13</v>
      </c>
      <c r="AM15" s="81" t="str">
        <f>VLOOKUP(D15,'2.Bookinglist'!A:BK,63,FALSE)</f>
        <v>BKK27</v>
      </c>
      <c r="AN15" s="80" t="str">
        <f>VLOOKUP(D15,'2.Bookinglist'!A:AZ,52,FALSE)</f>
        <v>CY -RTN DD.07/10 -09/10/2026 = 20x40'hq   RQST CNTR UPGRADE 32.50 TONS
CY -RTN DD.09/ 10 -09/10/2026 =10X40'HQ 
RTN CNTR DD.09/10 WITHOUT RENT</v>
      </c>
      <c r="AO15" s="80">
        <f>VLOOKUP(D15,'2.Bookinglist'!A:CY,103,FALSE)</f>
        <v>0</v>
      </c>
    </row>
    <row r="16" ht="12.95" customHeight="1" spans="1:41" x14ac:dyDescent="0.25">
      <c r="A16" s="3" t="s">
        <v>93</v>
      </c>
      <c r="B16" s="78" t="str">
        <f>IF(C16=Charge!$M$1,Charge!$J$1,IF(C16=Charge!$M$23,Charge!$J$23,IF(C16=Charge!$M$17,Charge!$J$17,IF(C16=Charge!$N$17,Charge!$J$17,Charge!$J$7))))</f>
        <v>G4</v>
      </c>
      <c r="C16" s="79" t="str">
        <f>VLOOKUP(A16,'1.Loading'!A:R,14,FALSE)</f>
        <v>BKK02</v>
      </c>
      <c r="D16" s="79" t="str">
        <f>VLOOKUP(A16,'1.Loading'!A:R,17,FALSE)</f>
        <v>HASLS22260902194</v>
      </c>
      <c r="E16" s="80" t="str">
        <f>VLOOKUP(D16,'2.Bookinglist'!A:CT,27,FALSE)</f>
        <v>METRO PARTICLE CO., LTD.</v>
      </c>
      <c r="F16" s="80" t="str">
        <f>VLOOKUP(D16,'2.Bookinglist'!A:CT,28,FALSE)</f>
        <v>METRO PARTICLE CO., LTD.</v>
      </c>
      <c r="G16" s="81">
        <f>VLOOKUP(D16,'2.Bookinglist'!A:E,5,FALSE)</f>
        <v>0</v>
      </c>
      <c r="H16" s="79" t="str">
        <f>VLOOKUP(D16,'2.Bookinglist'!A:CT,15,FALSE)</f>
        <v>THBKK</v>
      </c>
      <c r="I16" s="79" t="str">
        <f>VLOOKUP(D16,'2.Bookinglist'!A:CT,19,FALSE)</f>
        <v>VNSGN</v>
      </c>
      <c r="J16" s="79">
        <f>VLOOKUP(D16,'2.Bookinglist'!A:CT,26,FALSE)</f>
        <v>0</v>
      </c>
      <c r="K16" s="79" t="str">
        <f>VLOOKUP(A16,'1.Loading'!A:R,5,FALSE)</f>
        <v>45GP</v>
      </c>
      <c r="L16" s="81" t="str">
        <f>VLOOKUP(D16,'2.Bookinglist'!A:CT,85,FALSE)</f>
        <v>CY/CY</v>
      </c>
      <c r="M16" s="81" t="str">
        <f>IF(VLOOKUP(D16,'2.Bookinglist'!A:CT,43,FALSE)=0,"","DG")</f>
        <v/>
      </c>
      <c r="N16" s="81" t="str">
        <f>IF(RIGHT(K16,2)="RE","RF","")</f>
        <v/>
      </c>
      <c r="O16" s="79" t="str">
        <f>VLOOKUP(A16,'1.Loading'!A:R,3,FALSE)</f>
        <v>PGPO</v>
      </c>
      <c r="P16" s="79" t="str">
        <f>VLOOKUP(A16,'1.Loading'!A:R,4,FALSE)</f>
        <v>2612N</v>
      </c>
      <c r="Q16" s="79" t="str">
        <f>VLOOKUP(D16,'2.Bookinglist'!A:CT,12,FALSE)</f>
        <v>NTX</v>
      </c>
      <c r="R16" s="81" t="str">
        <f>IF(LEFT(K16,2)="22","20'","40'")</f>
        <v>40'</v>
      </c>
      <c r="S16" s="63"/>
      <c r="T16" s="79" t="str">
        <f>VLOOKUP(A16,'1.Loading'!A:R,2,FALSE)</f>
        <v>2026-10-15</v>
      </c>
      <c r="U16" s="82">
        <f>T16-S16</f>
        <v>46310</v>
      </c>
      <c r="V16" s="83"/>
      <c r="W16" s="79" t="str">
        <f>VLOOKUP(A16,'3.GateMove'!A:D,4,FALSE)</f>
        <v>2026-10-09</v>
      </c>
      <c r="X16" s="82">
        <f>((T16-W16)+1)</f>
        <v>7</v>
      </c>
      <c r="Y16" s="84">
        <f>IF(AND(OR(C16="BKK01",C16="BKK04"),L16="CFS/CY"),0,IF(M16="DG",1,IF(LEFT(C16,3)="LCH",7,IF(C16="BKK02",5,3))))</f>
        <v>5</v>
      </c>
      <c r="Z16" s="82">
        <f>IF(IF(AND(AC16="TML",AB16&gt;0),((T16-W16)+1)-AB16,((T16-W16)+1)-Y16)&gt;0,IF(AND(AC16="TML",AB16&gt;0),((T16-W16)+1)-AB16,((T16-W16)+1)-Y16),0)</f>
        <v>2</v>
      </c>
      <c r="AA16" s="73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200</v>
      </c>
      <c r="AB16" s="78"/>
      <c r="AC16" s="78"/>
      <c r="AD16" s="81">
        <f>IF(M16="DG",3,IF(N16="RF",3,5))+IF(AND(LEFT(C16,3)="BKK",N16="RF",Q16="KTS"),1,0)+IF(Q16="KHS",1,0)</f>
        <v>5</v>
      </c>
      <c r="AE16" s="82">
        <f>(T16-V16)+1</f>
        <v>46311</v>
      </c>
      <c r="AF16" s="82">
        <f>IF(AB16&gt;IF((V16-W16)&gt;0,V16-W16,0),0,IF(AB16&lt;IF((V16-W16)&gt;0,V16-W16,0),IF((V16-W16)&gt;0,V16-W16,0)-AB16,IF((V16-W16)&gt;0,V16-W16,0)))</f>
        <v>0</v>
      </c>
      <c r="AG16" s="73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85"/>
      <c r="AI16" s="85">
        <f>AA16-AH16</f>
        <v>200</v>
      </c>
      <c r="AJ16" s="86"/>
      <c r="AK16" s="80" t="str">
        <f>VLOOKUP(D16,'2.Bookinglist'!A:CT,40,FALSE)</f>
        <v>Nustsireerach</v>
      </c>
      <c r="AL16" s="81" t="str">
        <f>VLOOKUP(D16,'2.Bookinglist'!A:CW,101,FALSE)</f>
        <v>2026-10-13</v>
      </c>
      <c r="AM16" s="81" t="str">
        <f>VLOOKUP(D16,'2.Bookinglist'!A:BK,63,FALSE)</f>
        <v>BKK27</v>
      </c>
      <c r="AN16" s="80" t="str">
        <f>VLOOKUP(D16,'2.Bookinglist'!A:AZ,52,FALSE)</f>
        <v>CY -RTN DD.07/10 -09/10/2026 = 20x40'hq   RQST CNTR UPGRADE 32.50 TONS
CY -RTN DD.09/ 10 -09/10/2026 =10X40'HQ 
RTN CNTR DD.09/10 WITHOUT RENT</v>
      </c>
      <c r="AO16" s="80">
        <f>VLOOKUP(D16,'2.Bookinglist'!A:CY,103,FALSE)</f>
        <v>0</v>
      </c>
    </row>
    <row r="17" ht="12.95" customHeight="1" spans="1:41" x14ac:dyDescent="0.25">
      <c r="A17" s="3" t="s">
        <v>95</v>
      </c>
      <c r="B17" s="78" t="str">
        <f>IF(C17=Charge!$M$1,Charge!$J$1,IF(C17=Charge!$M$23,Charge!$J$23,IF(C17=Charge!$M$17,Charge!$J$17,IF(C17=Charge!$N$17,Charge!$J$17,Charge!$J$7))))</f>
        <v>G4</v>
      </c>
      <c r="C17" s="79" t="str">
        <f>VLOOKUP(A17,'1.Loading'!A:R,14,FALSE)</f>
        <v>BKK02</v>
      </c>
      <c r="D17" s="79" t="str">
        <f>VLOOKUP(A17,'1.Loading'!A:R,17,FALSE)</f>
        <v>HASLS22260902194</v>
      </c>
      <c r="E17" s="80" t="str">
        <f>VLOOKUP(D17,'2.Bookinglist'!A:CT,27,FALSE)</f>
        <v>METRO PARTICLE CO., LTD.</v>
      </c>
      <c r="F17" s="80" t="str">
        <f>VLOOKUP(D17,'2.Bookinglist'!A:CT,28,FALSE)</f>
        <v>METRO PARTICLE CO., LTD.</v>
      </c>
      <c r="G17" s="81">
        <f>VLOOKUP(D17,'2.Bookinglist'!A:E,5,FALSE)</f>
        <v>0</v>
      </c>
      <c r="H17" s="79" t="str">
        <f>VLOOKUP(D17,'2.Bookinglist'!A:CT,15,FALSE)</f>
        <v>THBKK</v>
      </c>
      <c r="I17" s="79" t="str">
        <f>VLOOKUP(D17,'2.Bookinglist'!A:CT,19,FALSE)</f>
        <v>VNSGN</v>
      </c>
      <c r="J17" s="79">
        <f>VLOOKUP(D17,'2.Bookinglist'!A:CT,26,FALSE)</f>
        <v>0</v>
      </c>
      <c r="K17" s="79" t="str">
        <f>VLOOKUP(A17,'1.Loading'!A:R,5,FALSE)</f>
        <v>45GP</v>
      </c>
      <c r="L17" s="81" t="str">
        <f>VLOOKUP(D17,'2.Bookinglist'!A:CT,85,FALSE)</f>
        <v>CY/CY</v>
      </c>
      <c r="M17" s="81" t="str">
        <f>IF(VLOOKUP(D17,'2.Bookinglist'!A:CT,43,FALSE)=0,"","DG")</f>
        <v/>
      </c>
      <c r="N17" s="81" t="str">
        <f>IF(RIGHT(K17,2)="RE","RF","")</f>
        <v/>
      </c>
      <c r="O17" s="79" t="str">
        <f>VLOOKUP(A17,'1.Loading'!A:R,3,FALSE)</f>
        <v>PGPO</v>
      </c>
      <c r="P17" s="79" t="str">
        <f>VLOOKUP(A17,'1.Loading'!A:R,4,FALSE)</f>
        <v>2612N</v>
      </c>
      <c r="Q17" s="79" t="str">
        <f>VLOOKUP(D17,'2.Bookinglist'!A:CT,12,FALSE)</f>
        <v>NTX</v>
      </c>
      <c r="R17" s="81" t="str">
        <f>IF(LEFT(K17,2)="22","20'","40'")</f>
        <v>40'</v>
      </c>
      <c r="S17" s="63"/>
      <c r="T17" s="79" t="str">
        <f>VLOOKUP(A17,'1.Loading'!A:R,2,FALSE)</f>
        <v>2026-10-15</v>
      </c>
      <c r="U17" s="82">
        <f>T17-S17</f>
        <v>46310</v>
      </c>
      <c r="V17" s="83"/>
      <c r="W17" s="79" t="str">
        <f>VLOOKUP(A17,'3.GateMove'!A:D,4,FALSE)</f>
        <v>2026-10-09</v>
      </c>
      <c r="X17" s="82">
        <f>((T17-W17)+1)</f>
        <v>7</v>
      </c>
      <c r="Y17" s="84">
        <f>IF(AND(OR(C17="BKK01",C17="BKK04"),L17="CFS/CY"),0,IF(M17="DG",1,IF(LEFT(C17,3)="LCH",7,IF(C17="BKK02",5,3))))</f>
        <v>5</v>
      </c>
      <c r="Z17" s="82">
        <f>IF(IF(AND(AC17="TML",AB17&gt;0),((T17-W17)+1)-AB17,((T17-W17)+1)-Y17)&gt;0,IF(AND(AC17="TML",AB17&gt;0),((T17-W17)+1)-AB17,((T17-W17)+1)-Y17),0)</f>
        <v>2</v>
      </c>
      <c r="AA17" s="73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200</v>
      </c>
      <c r="AB17" s="78"/>
      <c r="AC17" s="78"/>
      <c r="AD17" s="81">
        <f>IF(M17="DG",3,IF(N17="RF",3,5))+IF(AND(LEFT(C17,3)="BKK",N17="RF",Q17="KTS"),1,0)+IF(Q17="KHS",1,0)</f>
        <v>5</v>
      </c>
      <c r="AE17" s="82">
        <f>(T17-V17)+1</f>
        <v>46311</v>
      </c>
      <c r="AF17" s="82">
        <f>IF(AB17&gt;IF((V17-W17)&gt;0,V17-W17,0),0,IF(AB17&lt;IF((V17-W17)&gt;0,V17-W17,0),IF((V17-W17)&gt;0,V17-W17,0)-AB17,IF((V17-W17)&gt;0,V17-W17,0)))</f>
        <v>0</v>
      </c>
      <c r="AG17" s="73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85"/>
      <c r="AI17" s="85">
        <f>AA17-AH17</f>
        <v>200</v>
      </c>
      <c r="AJ17" s="86"/>
      <c r="AK17" s="80" t="str">
        <f>VLOOKUP(D17,'2.Bookinglist'!A:CT,40,FALSE)</f>
        <v>Nustsireerach</v>
      </c>
      <c r="AL17" s="81" t="str">
        <f>VLOOKUP(D17,'2.Bookinglist'!A:CW,101,FALSE)</f>
        <v>2026-10-13</v>
      </c>
      <c r="AM17" s="81" t="str">
        <f>VLOOKUP(D17,'2.Bookinglist'!A:BK,63,FALSE)</f>
        <v>BKK27</v>
      </c>
      <c r="AN17" s="80" t="str">
        <f>VLOOKUP(D17,'2.Bookinglist'!A:AZ,52,FALSE)</f>
        <v>CY -RTN DD.07/10 -09/10/2026 = 20x40'hq   RQST CNTR UPGRADE 32.50 TONS
CY -RTN DD.09/ 10 -09/10/2026 =10X40'HQ 
RTN CNTR DD.09/10 WITHOUT RENT</v>
      </c>
      <c r="AO17" s="80">
        <f>VLOOKUP(D17,'2.Bookinglist'!A:CY,103,FALSE)</f>
        <v>0</v>
      </c>
    </row>
    <row r="18" ht="12.95" customHeight="1" spans="1:41" x14ac:dyDescent="0.25">
      <c r="A18" s="3" t="s">
        <v>96</v>
      </c>
      <c r="B18" s="78" t="str">
        <f>IF(C18=Charge!$M$1,Charge!$J$1,IF(C18=Charge!$M$23,Charge!$J$23,IF(C18=Charge!$M$17,Charge!$J$17,IF(C18=Charge!$N$17,Charge!$J$17,Charge!$J$7))))</f>
        <v>G4</v>
      </c>
      <c r="C18" s="79" t="str">
        <f>VLOOKUP(A18,'1.Loading'!A:R,14,FALSE)</f>
        <v>BKK02</v>
      </c>
      <c r="D18" s="79" t="str">
        <f>VLOOKUP(A18,'1.Loading'!A:R,17,FALSE)</f>
        <v>HASLS22260902194</v>
      </c>
      <c r="E18" s="80" t="str">
        <f>VLOOKUP(D18,'2.Bookinglist'!A:CT,27,FALSE)</f>
        <v>METRO PARTICLE CO., LTD.</v>
      </c>
      <c r="F18" s="80" t="str">
        <f>VLOOKUP(D18,'2.Bookinglist'!A:CT,28,FALSE)</f>
        <v>METRO PARTICLE CO., LTD.</v>
      </c>
      <c r="G18" s="81">
        <f>VLOOKUP(D18,'2.Bookinglist'!A:E,5,FALSE)</f>
        <v>0</v>
      </c>
      <c r="H18" s="79" t="str">
        <f>VLOOKUP(D18,'2.Bookinglist'!A:CT,15,FALSE)</f>
        <v>THBKK</v>
      </c>
      <c r="I18" s="79" t="str">
        <f>VLOOKUP(D18,'2.Bookinglist'!A:CT,19,FALSE)</f>
        <v>VNSGN</v>
      </c>
      <c r="J18" s="79">
        <f>VLOOKUP(D18,'2.Bookinglist'!A:CT,26,FALSE)</f>
        <v>0</v>
      </c>
      <c r="K18" s="79" t="str">
        <f>VLOOKUP(A18,'1.Loading'!A:R,5,FALSE)</f>
        <v>45GP</v>
      </c>
      <c r="L18" s="81" t="str">
        <f>VLOOKUP(D18,'2.Bookinglist'!A:CT,85,FALSE)</f>
        <v>CY/CY</v>
      </c>
      <c r="M18" s="81" t="str">
        <f>IF(VLOOKUP(D18,'2.Bookinglist'!A:CT,43,FALSE)=0,"","DG")</f>
        <v/>
      </c>
      <c r="N18" s="81" t="str">
        <f>IF(RIGHT(K18,2)="RE","RF","")</f>
        <v/>
      </c>
      <c r="O18" s="79" t="str">
        <f>VLOOKUP(A18,'1.Loading'!A:R,3,FALSE)</f>
        <v>PGPO</v>
      </c>
      <c r="P18" s="79" t="str">
        <f>VLOOKUP(A18,'1.Loading'!A:R,4,FALSE)</f>
        <v>2612N</v>
      </c>
      <c r="Q18" s="79" t="str">
        <f>VLOOKUP(D18,'2.Bookinglist'!A:CT,12,FALSE)</f>
        <v>NTX</v>
      </c>
      <c r="R18" s="81" t="str">
        <f>IF(LEFT(K18,2)="22","20'","40'")</f>
        <v>40'</v>
      </c>
      <c r="S18" s="63"/>
      <c r="T18" s="79" t="str">
        <f>VLOOKUP(A18,'1.Loading'!A:R,2,FALSE)</f>
        <v>2026-10-15</v>
      </c>
      <c r="U18" s="82">
        <f>T18-S18</f>
        <v>46310</v>
      </c>
      <c r="V18" s="83"/>
      <c r="W18" s="79" t="str">
        <f>VLOOKUP(A18,'3.GateMove'!A:D,4,FALSE)</f>
        <v>2026-10-09</v>
      </c>
      <c r="X18" s="82">
        <f>((T18-W18)+1)</f>
        <v>7</v>
      </c>
      <c r="Y18" s="84">
        <f>IF(AND(OR(C18="BKK01",C18="BKK04"),L18="CFS/CY"),0,IF(M18="DG",1,IF(LEFT(C18,3)="LCH",7,IF(C18="BKK02",5,3))))</f>
        <v>5</v>
      </c>
      <c r="Z18" s="82">
        <f>IF(IF(AND(AC18="TML",AB18&gt;0),((T18-W18)+1)-AB18,((T18-W18)+1)-Y18)&gt;0,IF(AND(AC18="TML",AB18&gt;0),((T18-W18)+1)-AB18,((T18-W18)+1)-Y18),0)</f>
        <v>2</v>
      </c>
      <c r="AA18" s="73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200</v>
      </c>
      <c r="AB18" s="78"/>
      <c r="AC18" s="78"/>
      <c r="AD18" s="81">
        <f>IF(M18="DG",3,IF(N18="RF",3,5))+IF(AND(LEFT(C18,3)="BKK",N18="RF",Q18="KTS"),1,0)+IF(Q18="KHS",1,0)</f>
        <v>5</v>
      </c>
      <c r="AE18" s="82">
        <f>(T18-V18)+1</f>
        <v>46311</v>
      </c>
      <c r="AF18" s="82">
        <f>IF(AB18&gt;IF((V18-W18)&gt;0,V18-W18,0),0,IF(AB18&lt;IF((V18-W18)&gt;0,V18-W18,0),IF((V18-W18)&gt;0,V18-W18,0)-AB18,IF((V18-W18)&gt;0,V18-W18,0)))</f>
        <v>0</v>
      </c>
      <c r="AG18" s="73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85"/>
      <c r="AI18" s="85">
        <f>AA18-AH18</f>
        <v>200</v>
      </c>
      <c r="AJ18" s="86"/>
      <c r="AK18" s="80" t="str">
        <f>VLOOKUP(D18,'2.Bookinglist'!A:CT,40,FALSE)</f>
        <v>Nustsireerach</v>
      </c>
      <c r="AL18" s="81" t="str">
        <f>VLOOKUP(D18,'2.Bookinglist'!A:CW,101,FALSE)</f>
        <v>2026-10-13</v>
      </c>
      <c r="AM18" s="81" t="str">
        <f>VLOOKUP(D18,'2.Bookinglist'!A:BK,63,FALSE)</f>
        <v>BKK27</v>
      </c>
      <c r="AN18" s="80" t="str">
        <f>VLOOKUP(D18,'2.Bookinglist'!A:AZ,52,FALSE)</f>
        <v>CY -RTN DD.07/10 -09/10/2026 = 20x40'hq   RQST CNTR UPGRADE 32.50 TONS
CY -RTN DD.09/ 10 -09/10/2026 =10X40'HQ 
RTN CNTR DD.09/10 WITHOUT RENT</v>
      </c>
      <c r="AO18" s="80">
        <f>VLOOKUP(D18,'2.Bookinglist'!A:CY,103,FALSE)</f>
        <v>0</v>
      </c>
    </row>
    <row r="19" ht="12.95" customHeight="1" spans="1:41" x14ac:dyDescent="0.25">
      <c r="A19" s="3" t="s">
        <v>98</v>
      </c>
      <c r="B19" s="78" t="str">
        <f>IF(C19=Charge!$M$1,Charge!$J$1,IF(C19=Charge!$M$23,Charge!$J$23,IF(C19=Charge!$M$17,Charge!$J$17,IF(C19=Charge!$N$17,Charge!$J$17,Charge!$J$7))))</f>
        <v>G4</v>
      </c>
      <c r="C19" s="79" t="str">
        <f>VLOOKUP(A19,'1.Loading'!A:R,14,FALSE)</f>
        <v>BKK02</v>
      </c>
      <c r="D19" s="79" t="str">
        <f>VLOOKUP(A19,'1.Loading'!A:R,17,FALSE)</f>
        <v>HASLS22260902194</v>
      </c>
      <c r="E19" s="80" t="str">
        <f>VLOOKUP(D19,'2.Bookinglist'!A:CT,27,FALSE)</f>
        <v>METRO PARTICLE CO., LTD.</v>
      </c>
      <c r="F19" s="80" t="str">
        <f>VLOOKUP(D19,'2.Bookinglist'!A:CT,28,FALSE)</f>
        <v>METRO PARTICLE CO., LTD.</v>
      </c>
      <c r="G19" s="81">
        <f>VLOOKUP(D19,'2.Bookinglist'!A:E,5,FALSE)</f>
        <v>0</v>
      </c>
      <c r="H19" s="79" t="str">
        <f>VLOOKUP(D19,'2.Bookinglist'!A:CT,15,FALSE)</f>
        <v>THBKK</v>
      </c>
      <c r="I19" s="79" t="str">
        <f>VLOOKUP(D19,'2.Bookinglist'!A:CT,19,FALSE)</f>
        <v>VNSGN</v>
      </c>
      <c r="J19" s="79">
        <f>VLOOKUP(D19,'2.Bookinglist'!A:CT,26,FALSE)</f>
        <v>0</v>
      </c>
      <c r="K19" s="79" t="str">
        <f>VLOOKUP(A19,'1.Loading'!A:R,5,FALSE)</f>
        <v>45GP</v>
      </c>
      <c r="L19" s="81" t="str">
        <f>VLOOKUP(D19,'2.Bookinglist'!A:CT,85,FALSE)</f>
        <v>CY/CY</v>
      </c>
      <c r="M19" s="81" t="str">
        <f>IF(VLOOKUP(D19,'2.Bookinglist'!A:CT,43,FALSE)=0,"","DG")</f>
        <v/>
      </c>
      <c r="N19" s="81" t="str">
        <f>IF(RIGHT(K19,2)="RE","RF","")</f>
        <v/>
      </c>
      <c r="O19" s="79" t="str">
        <f>VLOOKUP(A19,'1.Loading'!A:R,3,FALSE)</f>
        <v>PGPO</v>
      </c>
      <c r="P19" s="79" t="str">
        <f>VLOOKUP(A19,'1.Loading'!A:R,4,FALSE)</f>
        <v>2612N</v>
      </c>
      <c r="Q19" s="79" t="str">
        <f>VLOOKUP(D19,'2.Bookinglist'!A:CT,12,FALSE)</f>
        <v>NTX</v>
      </c>
      <c r="R19" s="81" t="str">
        <f>IF(LEFT(K19,2)="22","20'","40'")</f>
        <v>40'</v>
      </c>
      <c r="S19" s="63"/>
      <c r="T19" s="79" t="str">
        <f>VLOOKUP(A19,'1.Loading'!A:R,2,FALSE)</f>
        <v>2026-10-15</v>
      </c>
      <c r="U19" s="82">
        <f>T19-S19</f>
        <v>46310</v>
      </c>
      <c r="V19" s="83"/>
      <c r="W19" s="79" t="str">
        <f>VLOOKUP(A19,'3.GateMove'!A:D,4,FALSE)</f>
        <v>2026-10-09</v>
      </c>
      <c r="X19" s="82">
        <f>((T19-W19)+1)</f>
        <v>7</v>
      </c>
      <c r="Y19" s="84">
        <f>IF(AND(OR(C19="BKK01",C19="BKK04"),L19="CFS/CY"),0,IF(M19="DG",1,IF(LEFT(C19,3)="LCH",7,IF(C19="BKK02",5,3))))</f>
        <v>5</v>
      </c>
      <c r="Z19" s="82">
        <f>IF(IF(AND(AC19="TML",AB19&gt;0),((T19-W19)+1)-AB19,((T19-W19)+1)-Y19)&gt;0,IF(AND(AC19="TML",AB19&gt;0),((T19-W19)+1)-AB19,((T19-W19)+1)-Y19),0)</f>
        <v>2</v>
      </c>
      <c r="AA19" s="73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200</v>
      </c>
      <c r="AB19" s="78"/>
      <c r="AC19" s="78"/>
      <c r="AD19" s="81">
        <f>IF(M19="DG",3,IF(N19="RF",3,5))+IF(AND(LEFT(C19,3)="BKK",N19="RF",Q19="KTS"),1,0)+IF(Q19="KHS",1,0)</f>
        <v>5</v>
      </c>
      <c r="AE19" s="82">
        <f>(T19-V19)+1</f>
        <v>46311</v>
      </c>
      <c r="AF19" s="82">
        <f>IF(AB19&gt;IF((V19-W19)&gt;0,V19-W19,0),0,IF(AB19&lt;IF((V19-W19)&gt;0,V19-W19,0),IF((V19-W19)&gt;0,V19-W19,0)-AB19,IF((V19-W19)&gt;0,V19-W19,0)))</f>
        <v>0</v>
      </c>
      <c r="AG19" s="73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85"/>
      <c r="AI19" s="85">
        <f>AA19-AH19</f>
        <v>200</v>
      </c>
      <c r="AJ19" s="86"/>
      <c r="AK19" s="80" t="str">
        <f>VLOOKUP(D19,'2.Bookinglist'!A:CT,40,FALSE)</f>
        <v>Nustsireerach</v>
      </c>
      <c r="AL19" s="81" t="str">
        <f>VLOOKUP(D19,'2.Bookinglist'!A:CW,101,FALSE)</f>
        <v>2026-10-13</v>
      </c>
      <c r="AM19" s="81" t="str">
        <f>VLOOKUP(D19,'2.Bookinglist'!A:BK,63,FALSE)</f>
        <v>BKK27</v>
      </c>
      <c r="AN19" s="80" t="str">
        <f>VLOOKUP(D19,'2.Bookinglist'!A:AZ,52,FALSE)</f>
        <v>CY -RTN DD.07/10 -09/10/2026 = 20x40'hq   RQST CNTR UPGRADE 32.50 TONS
CY -RTN DD.09/ 10 -09/10/2026 =10X40'HQ 
RTN CNTR DD.09/10 WITHOUT RENT</v>
      </c>
      <c r="AO19" s="80">
        <f>VLOOKUP(D19,'2.Bookinglist'!A:CY,103,FALSE)</f>
        <v>0</v>
      </c>
    </row>
    <row r="20" ht="12.95" customHeight="1" spans="1:41" x14ac:dyDescent="0.25">
      <c r="A20" s="3" t="s">
        <v>100</v>
      </c>
      <c r="B20" s="78" t="str">
        <f>IF(C20=Charge!$M$1,Charge!$J$1,IF(C20=Charge!$M$23,Charge!$J$23,IF(C20=Charge!$M$17,Charge!$J$17,IF(C20=Charge!$N$17,Charge!$J$17,Charge!$J$7))))</f>
        <v>G4</v>
      </c>
      <c r="C20" s="79" t="str">
        <f>VLOOKUP(A20,'1.Loading'!A:R,14,FALSE)</f>
        <v>BKK02</v>
      </c>
      <c r="D20" s="79" t="str">
        <f>VLOOKUP(A20,'1.Loading'!A:R,17,FALSE)</f>
        <v>HASLS22260902194</v>
      </c>
      <c r="E20" s="80" t="str">
        <f>VLOOKUP(D20,'2.Bookinglist'!A:CT,27,FALSE)</f>
        <v>METRO PARTICLE CO., LTD.</v>
      </c>
      <c r="F20" s="80" t="str">
        <f>VLOOKUP(D20,'2.Bookinglist'!A:CT,28,FALSE)</f>
        <v>METRO PARTICLE CO., LTD.</v>
      </c>
      <c r="G20" s="81">
        <f>VLOOKUP(D20,'2.Bookinglist'!A:E,5,FALSE)</f>
        <v>0</v>
      </c>
      <c r="H20" s="79" t="str">
        <f>VLOOKUP(D20,'2.Bookinglist'!A:CT,15,FALSE)</f>
        <v>THBKK</v>
      </c>
      <c r="I20" s="79" t="str">
        <f>VLOOKUP(D20,'2.Bookinglist'!A:CT,19,FALSE)</f>
        <v>VNSGN</v>
      </c>
      <c r="J20" s="79">
        <f>VLOOKUP(D20,'2.Bookinglist'!A:CT,26,FALSE)</f>
        <v>0</v>
      </c>
      <c r="K20" s="79" t="str">
        <f>VLOOKUP(A20,'1.Loading'!A:R,5,FALSE)</f>
        <v>45GP</v>
      </c>
      <c r="L20" s="81" t="str">
        <f>VLOOKUP(D20,'2.Bookinglist'!A:CT,85,FALSE)</f>
        <v>CY/CY</v>
      </c>
      <c r="M20" s="81" t="str">
        <f>IF(VLOOKUP(D20,'2.Bookinglist'!A:CT,43,FALSE)=0,"","DG")</f>
        <v/>
      </c>
      <c r="N20" s="81" t="str">
        <f>IF(RIGHT(K20,2)="RE","RF","")</f>
        <v/>
      </c>
      <c r="O20" s="79" t="str">
        <f>VLOOKUP(A20,'1.Loading'!A:R,3,FALSE)</f>
        <v>PGPO</v>
      </c>
      <c r="P20" s="79" t="str">
        <f>VLOOKUP(A20,'1.Loading'!A:R,4,FALSE)</f>
        <v>2612N</v>
      </c>
      <c r="Q20" s="79" t="str">
        <f>VLOOKUP(D20,'2.Bookinglist'!A:CT,12,FALSE)</f>
        <v>NTX</v>
      </c>
      <c r="R20" s="81" t="str">
        <f>IF(LEFT(K20,2)="22","20'","40'")</f>
        <v>40'</v>
      </c>
      <c r="S20" s="63"/>
      <c r="T20" s="79" t="str">
        <f>VLOOKUP(A20,'1.Loading'!A:R,2,FALSE)</f>
        <v>2026-10-15</v>
      </c>
      <c r="U20" s="82">
        <f>T20-S20</f>
        <v>46310</v>
      </c>
      <c r="V20" s="83"/>
      <c r="W20" s="79" t="str">
        <f>VLOOKUP(A20,'3.GateMove'!A:D,4,FALSE)</f>
        <v>2026-10-09</v>
      </c>
      <c r="X20" s="82">
        <f>((T20-W20)+1)</f>
        <v>7</v>
      </c>
      <c r="Y20" s="84">
        <f>IF(AND(OR(C20="BKK01",C20="BKK04"),L20="CFS/CY"),0,IF(M20="DG",1,IF(LEFT(C20,3)="LCH",7,IF(C20="BKK02",5,3))))</f>
        <v>5</v>
      </c>
      <c r="Z20" s="82">
        <f>IF(IF(AND(AC20="TML",AB20&gt;0),((T20-W20)+1)-AB20,((T20-W20)+1)-Y20)&gt;0,IF(AND(AC20="TML",AB20&gt;0),((T20-W20)+1)-AB20,((T20-W20)+1)-Y20),0)</f>
        <v>2</v>
      </c>
      <c r="AA20" s="73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200</v>
      </c>
      <c r="AB20" s="78"/>
      <c r="AC20" s="78"/>
      <c r="AD20" s="81">
        <f>IF(M20="DG",3,IF(N20="RF",3,5))+IF(AND(LEFT(C20,3)="BKK",N20="RF",Q20="KTS"),1,0)+IF(Q20="KHS",1,0)</f>
        <v>5</v>
      </c>
      <c r="AE20" s="82">
        <f>(T20-V20)+1</f>
        <v>46311</v>
      </c>
      <c r="AF20" s="82">
        <f>IF(AB20&gt;IF((V20-W20)&gt;0,V20-W20,0),0,IF(AB20&lt;IF((V20-W20)&gt;0,V20-W20,0),IF((V20-W20)&gt;0,V20-W20,0)-AB20,IF((V20-W20)&gt;0,V20-W20,0)))</f>
        <v>0</v>
      </c>
      <c r="AG20" s="73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85"/>
      <c r="AI20" s="85">
        <f>AA20-AH20</f>
        <v>200</v>
      </c>
      <c r="AJ20" s="86"/>
      <c r="AK20" s="80" t="str">
        <f>VLOOKUP(D20,'2.Bookinglist'!A:CT,40,FALSE)</f>
        <v>Nustsireerach</v>
      </c>
      <c r="AL20" s="81" t="str">
        <f>VLOOKUP(D20,'2.Bookinglist'!A:CW,101,FALSE)</f>
        <v>2026-10-13</v>
      </c>
      <c r="AM20" s="81" t="str">
        <f>VLOOKUP(D20,'2.Bookinglist'!A:BK,63,FALSE)</f>
        <v>BKK27</v>
      </c>
      <c r="AN20" s="80" t="str">
        <f>VLOOKUP(D20,'2.Bookinglist'!A:AZ,52,FALSE)</f>
        <v>CY -RTN DD.07/10 -09/10/2026 = 20x40'hq   RQST CNTR UPGRADE 32.50 TONS
CY -RTN DD.09/ 10 -09/10/2026 =10X40'HQ 
RTN CNTR DD.09/10 WITHOUT RENT</v>
      </c>
      <c r="AO20" s="80">
        <f>VLOOKUP(D20,'2.Bookinglist'!A:CY,103,FALSE)</f>
        <v>0</v>
      </c>
    </row>
    <row r="21" ht="12.95" customHeight="1" spans="1:41" x14ac:dyDescent="0.25">
      <c r="A21" s="3" t="s">
        <v>102</v>
      </c>
      <c r="B21" s="78" t="str">
        <f>IF(C21=Charge!$M$1,Charge!$J$1,IF(C21=Charge!$M$23,Charge!$J$23,IF(C21=Charge!$M$17,Charge!$J$17,IF(C21=Charge!$N$17,Charge!$J$17,Charge!$J$7))))</f>
        <v>G4</v>
      </c>
      <c r="C21" s="79" t="str">
        <f>VLOOKUP(A21,'1.Loading'!A:R,14,FALSE)</f>
        <v>BKK02</v>
      </c>
      <c r="D21" s="79" t="str">
        <f>VLOOKUP(A21,'1.Loading'!A:R,17,FALSE)</f>
        <v>HASLS22260901659</v>
      </c>
      <c r="E21" s="80" t="str">
        <f>VLOOKUP(D21,'2.Bookinglist'!A:CT,27,FALSE)</f>
        <v>CONAIR INTERTRAFFIC CO., LTD.</v>
      </c>
      <c r="F21" s="80" t="str">
        <f>VLOOKUP(D21,'2.Bookinglist'!A:CT,28,FALSE)</f>
        <v>VET SUPERIOR CONSULTANT CO., LTD.</v>
      </c>
      <c r="G21" s="81">
        <f>VLOOKUP(D21,'2.Bookinglist'!A:E,5,FALSE)</f>
        <v>0</v>
      </c>
      <c r="H21" s="79" t="str">
        <f>VLOOKUP(D21,'2.Bookinglist'!A:CT,15,FALSE)</f>
        <v>THBKK</v>
      </c>
      <c r="I21" s="79" t="str">
        <f>VLOOKUP(D21,'2.Bookinglist'!A:CT,19,FALSE)</f>
        <v>VNSGN</v>
      </c>
      <c r="J21" s="79">
        <f>VLOOKUP(D21,'2.Bookinglist'!A:CT,26,FALSE)</f>
        <v>0</v>
      </c>
      <c r="K21" s="79" t="str">
        <f>VLOOKUP(A21,'1.Loading'!A:R,5,FALSE)</f>
        <v>45GP</v>
      </c>
      <c r="L21" s="81" t="str">
        <f>VLOOKUP(D21,'2.Bookinglist'!A:CT,85,FALSE)</f>
        <v>CY/CY</v>
      </c>
      <c r="M21" s="81" t="str">
        <f>IF(VLOOKUP(D21,'2.Bookinglist'!A:CT,43,FALSE)=0,"","DG")</f>
        <v/>
      </c>
      <c r="N21" s="81" t="str">
        <f>IF(RIGHT(K21,2)="RE","RF","")</f>
        <v/>
      </c>
      <c r="O21" s="79" t="str">
        <f>VLOOKUP(A21,'1.Loading'!A:R,3,FALSE)</f>
        <v>PGPO</v>
      </c>
      <c r="P21" s="79" t="str">
        <f>VLOOKUP(A21,'1.Loading'!A:R,4,FALSE)</f>
        <v>2612N</v>
      </c>
      <c r="Q21" s="79" t="str">
        <f>VLOOKUP(D21,'2.Bookinglist'!A:CT,12,FALSE)</f>
        <v>NTX</v>
      </c>
      <c r="R21" s="81" t="str">
        <f>IF(LEFT(K21,2)="22","20'","40'")</f>
        <v>40'</v>
      </c>
      <c r="S21" s="63"/>
      <c r="T21" s="79" t="str">
        <f>VLOOKUP(A21,'1.Loading'!A:R,2,FALSE)</f>
        <v>2026-10-15</v>
      </c>
      <c r="U21" s="82">
        <f>T21-S21</f>
        <v>46310</v>
      </c>
      <c r="V21" s="83"/>
      <c r="W21" s="79" t="str">
        <f>VLOOKUP(A21,'3.GateMove'!A:D,4,FALSE)</f>
        <v>2026-10-08</v>
      </c>
      <c r="X21" s="82">
        <f>((T21-W21)+1)</f>
        <v>8</v>
      </c>
      <c r="Y21" s="84">
        <f>IF(AND(OR(C21="BKK01",C21="BKK04"),L21="CFS/CY"),0,IF(M21="DG",1,IF(LEFT(C21,3)="LCH",7,IF(C21="BKK02",5,3))))</f>
        <v>5</v>
      </c>
      <c r="Z21" s="82">
        <f>IF(IF(AND(AC21="TML",AB21&gt;0),((T21-W21)+1)-AB21,((T21-W21)+1)-Y21)&gt;0,IF(AND(AC21="TML",AB21&gt;0),((T21-W21)+1)-AB21,((T21-W21)+1)-Y21),0)</f>
        <v>3</v>
      </c>
      <c r="AA21" s="73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300</v>
      </c>
      <c r="AB21" s="78"/>
      <c r="AC21" s="78"/>
      <c r="AD21" s="81">
        <f>IF(M21="DG",3,IF(N21="RF",3,5))+IF(AND(LEFT(C21,3)="BKK",N21="RF",Q21="KTS"),1,0)+IF(Q21="KHS",1,0)</f>
        <v>5</v>
      </c>
      <c r="AE21" s="82">
        <f>(T21-V21)+1</f>
        <v>46311</v>
      </c>
      <c r="AF21" s="82">
        <f>IF(AB21&gt;IF((V21-W21)&gt;0,V21-W21,0),0,IF(AB21&lt;IF((V21-W21)&gt;0,V21-W21,0),IF((V21-W21)&gt;0,V21-W21,0)-AB21,IF((V21-W21)&gt;0,V21-W21,0)))</f>
        <v>0</v>
      </c>
      <c r="AG21" s="73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85"/>
      <c r="AI21" s="85">
        <f>AA21-AH21</f>
        <v>300</v>
      </c>
      <c r="AJ21" s="86"/>
      <c r="AK21" s="80" t="str">
        <f>VLOOKUP(D21,'2.Bookinglist'!A:CT,40,FALSE)</f>
        <v>Sukunpoj Damrongying</v>
      </c>
      <c r="AL21" s="81" t="str">
        <f>VLOOKUP(D21,'2.Bookinglist'!A:CW,101,FALSE)</f>
        <v>2026-10-15</v>
      </c>
      <c r="AM21" s="81" t="str">
        <f>VLOOKUP(D21,'2.Bookinglist'!A:BK,63,FALSE)</f>
        <v>BKK27</v>
      </c>
      <c r="AN21" s="80" t="str">
        <f>VLOOKUP(D21,'2.Bookinglist'!A:AZ,52,FALSE)</f>
        <v>Pickup : 2026-10-06, Return : 2026-10-07</v>
      </c>
      <c r="AO21" s="80" t="str">
        <f>VLOOKUP(D21,'2.Bookinglist'!A:CY,103,FALSE)</f>
        <v>ROLL OVER FROM PREVIOUS VSL DJCF 0152N BY ALLOCATION TEAM MS.TARN APPROVED COST IS UNDER HAL DD.09/10</v>
      </c>
    </row>
    <row r="22" ht="12.95" customHeight="1" spans="1:41" x14ac:dyDescent="0.25">
      <c r="A22" s="3" t="s">
        <v>106</v>
      </c>
      <c r="B22" s="78" t="str">
        <f>IF(C22=Charge!$M$1,Charge!$J$1,IF(C22=Charge!$M$23,Charge!$J$23,IF(C22=Charge!$M$17,Charge!$J$17,IF(C22=Charge!$N$17,Charge!$J$17,Charge!$J$7))))</f>
        <v>G4</v>
      </c>
      <c r="C22" s="79" t="str">
        <f>VLOOKUP(A22,'1.Loading'!A:R,14,FALSE)</f>
        <v>BKK02</v>
      </c>
      <c r="D22" s="79" t="str">
        <f>VLOOKUP(A22,'1.Loading'!A:R,17,FALSE)</f>
        <v>HASLS22260902194</v>
      </c>
      <c r="E22" s="80" t="str">
        <f>VLOOKUP(D22,'2.Bookinglist'!A:CT,27,FALSE)</f>
        <v>METRO PARTICLE CO., LTD.</v>
      </c>
      <c r="F22" s="80" t="str">
        <f>VLOOKUP(D22,'2.Bookinglist'!A:CT,28,FALSE)</f>
        <v>METRO PARTICLE CO., LTD.</v>
      </c>
      <c r="G22" s="81">
        <f>VLOOKUP(D22,'2.Bookinglist'!A:E,5,FALSE)</f>
        <v>0</v>
      </c>
      <c r="H22" s="79" t="str">
        <f>VLOOKUP(D22,'2.Bookinglist'!A:CT,15,FALSE)</f>
        <v>THBKK</v>
      </c>
      <c r="I22" s="79" t="str">
        <f>VLOOKUP(D22,'2.Bookinglist'!A:CT,19,FALSE)</f>
        <v>VNSGN</v>
      </c>
      <c r="J22" s="79">
        <f>VLOOKUP(D22,'2.Bookinglist'!A:CT,26,FALSE)</f>
        <v>0</v>
      </c>
      <c r="K22" s="79" t="str">
        <f>VLOOKUP(A22,'1.Loading'!A:R,5,FALSE)</f>
        <v>45GP</v>
      </c>
      <c r="L22" s="81" t="str">
        <f>VLOOKUP(D22,'2.Bookinglist'!A:CT,85,FALSE)</f>
        <v>CY/CY</v>
      </c>
      <c r="M22" s="81" t="str">
        <f>IF(VLOOKUP(D22,'2.Bookinglist'!A:CT,43,FALSE)=0,"","DG")</f>
        <v/>
      </c>
      <c r="N22" s="81" t="str">
        <f>IF(RIGHT(K22,2)="RE","RF","")</f>
        <v/>
      </c>
      <c r="O22" s="79" t="str">
        <f>VLOOKUP(A22,'1.Loading'!A:R,3,FALSE)</f>
        <v>PGPO</v>
      </c>
      <c r="P22" s="79" t="str">
        <f>VLOOKUP(A22,'1.Loading'!A:R,4,FALSE)</f>
        <v>2612N</v>
      </c>
      <c r="Q22" s="79" t="str">
        <f>VLOOKUP(D22,'2.Bookinglist'!A:CT,12,FALSE)</f>
        <v>NTX</v>
      </c>
      <c r="R22" s="81" t="str">
        <f>IF(LEFT(K22,2)="22","20'","40'")</f>
        <v>40'</v>
      </c>
      <c r="S22" s="63"/>
      <c r="T22" s="79" t="str">
        <f>VLOOKUP(A22,'1.Loading'!A:R,2,FALSE)</f>
        <v>2026-10-15</v>
      </c>
      <c r="U22" s="82">
        <f>T22-S22</f>
        <v>46310</v>
      </c>
      <c r="V22" s="83"/>
      <c r="W22" s="79" t="str">
        <f>VLOOKUP(A22,'3.GateMove'!A:D,4,FALSE)</f>
        <v>2026-10-09</v>
      </c>
      <c r="X22" s="82">
        <f>((T22-W22)+1)</f>
        <v>7</v>
      </c>
      <c r="Y22" s="84">
        <f>IF(AND(OR(C22="BKK01",C22="BKK04"),L22="CFS/CY"),0,IF(M22="DG",1,IF(LEFT(C22,3)="LCH",7,IF(C22="BKK02",5,3))))</f>
        <v>5</v>
      </c>
      <c r="Z22" s="82">
        <f>IF(IF(AND(AC22="TML",AB22&gt;0),((T22-W22)+1)-AB22,((T22-W22)+1)-Y22)&gt;0,IF(AND(AC22="TML",AB22&gt;0),((T22-W22)+1)-AB22,((T22-W22)+1)-Y22),0)</f>
        <v>2</v>
      </c>
      <c r="AA22" s="73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200</v>
      </c>
      <c r="AB22" s="78"/>
      <c r="AC22" s="78"/>
      <c r="AD22" s="81">
        <f>IF(M22="DG",3,IF(N22="RF",3,5))+IF(AND(LEFT(C22,3)="BKK",N22="RF",Q22="KTS"),1,0)+IF(Q22="KHS",1,0)</f>
        <v>5</v>
      </c>
      <c r="AE22" s="82">
        <f>(T22-V22)+1</f>
        <v>46311</v>
      </c>
      <c r="AF22" s="82">
        <f>IF(AB22&gt;IF((V22-W22)&gt;0,V22-W22,0),0,IF(AB22&lt;IF((V22-W22)&gt;0,V22-W22,0),IF((V22-W22)&gt;0,V22-W22,0)-AB22,IF((V22-W22)&gt;0,V22-W22,0)))</f>
        <v>0</v>
      </c>
      <c r="AG22" s="73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85"/>
      <c r="AI22" s="85">
        <f>AA22-AH22</f>
        <v>200</v>
      </c>
      <c r="AJ22" s="86"/>
      <c r="AK22" s="80" t="str">
        <f>VLOOKUP(D22,'2.Bookinglist'!A:CT,40,FALSE)</f>
        <v>Nustsireerach</v>
      </c>
      <c r="AL22" s="81" t="str">
        <f>VLOOKUP(D22,'2.Bookinglist'!A:CW,101,FALSE)</f>
        <v>2026-10-13</v>
      </c>
      <c r="AM22" s="81" t="str">
        <f>VLOOKUP(D22,'2.Bookinglist'!A:BK,63,FALSE)</f>
        <v>BKK27</v>
      </c>
      <c r="AN22" s="80" t="str">
        <f>VLOOKUP(D22,'2.Bookinglist'!A:AZ,52,FALSE)</f>
        <v>CY -RTN DD.07/10 -09/10/2026 = 20x40'hq   RQST CNTR UPGRADE 32.50 TONS
CY -RTN DD.09/ 10 -09/10/2026 =10X40'HQ 
RTN CNTR DD.09/10 WITHOUT RENT</v>
      </c>
      <c r="AO22" s="80">
        <f>VLOOKUP(D22,'2.Bookinglist'!A:CY,103,FALSE)</f>
        <v>0</v>
      </c>
    </row>
    <row r="23" ht="12.95" customHeight="1" spans="1:41" x14ac:dyDescent="0.25">
      <c r="A23" s="3" t="s">
        <v>108</v>
      </c>
      <c r="B23" s="78" t="str">
        <f>IF(C23=Charge!$M$1,Charge!$J$1,IF(C23=Charge!$M$23,Charge!$J$23,IF(C23=Charge!$M$17,Charge!$J$17,IF(C23=Charge!$N$17,Charge!$J$17,Charge!$J$7))))</f>
        <v>G4</v>
      </c>
      <c r="C23" s="79" t="str">
        <f>VLOOKUP(A23,'1.Loading'!A:R,14,FALSE)</f>
        <v>BKK02</v>
      </c>
      <c r="D23" s="79" t="str">
        <f>VLOOKUP(A23,'1.Loading'!A:R,17,FALSE)</f>
        <v>HASLS22260902194</v>
      </c>
      <c r="E23" s="80" t="str">
        <f>VLOOKUP(D23,'2.Bookinglist'!A:CT,27,FALSE)</f>
        <v>METRO PARTICLE CO., LTD.</v>
      </c>
      <c r="F23" s="80" t="str">
        <f>VLOOKUP(D23,'2.Bookinglist'!A:CT,28,FALSE)</f>
        <v>METRO PARTICLE CO., LTD.</v>
      </c>
      <c r="G23" s="81">
        <f>VLOOKUP(D23,'2.Bookinglist'!A:E,5,FALSE)</f>
        <v>0</v>
      </c>
      <c r="H23" s="79" t="str">
        <f>VLOOKUP(D23,'2.Bookinglist'!A:CT,15,FALSE)</f>
        <v>THBKK</v>
      </c>
      <c r="I23" s="79" t="str">
        <f>VLOOKUP(D23,'2.Bookinglist'!A:CT,19,FALSE)</f>
        <v>VNSGN</v>
      </c>
      <c r="J23" s="79">
        <f>VLOOKUP(D23,'2.Bookinglist'!A:CT,26,FALSE)</f>
        <v>0</v>
      </c>
      <c r="K23" s="79" t="str">
        <f>VLOOKUP(A23,'1.Loading'!A:R,5,FALSE)</f>
        <v>45GP</v>
      </c>
      <c r="L23" s="81" t="str">
        <f>VLOOKUP(D23,'2.Bookinglist'!A:CT,85,FALSE)</f>
        <v>CY/CY</v>
      </c>
      <c r="M23" s="81" t="str">
        <f>IF(VLOOKUP(D23,'2.Bookinglist'!A:CT,43,FALSE)=0,"","DG")</f>
        <v/>
      </c>
      <c r="N23" s="81" t="str">
        <f>IF(RIGHT(K23,2)="RE","RF","")</f>
        <v/>
      </c>
      <c r="O23" s="79" t="str">
        <f>VLOOKUP(A23,'1.Loading'!A:R,3,FALSE)</f>
        <v>PGPO</v>
      </c>
      <c r="P23" s="79" t="str">
        <f>VLOOKUP(A23,'1.Loading'!A:R,4,FALSE)</f>
        <v>2612N</v>
      </c>
      <c r="Q23" s="79" t="str">
        <f>VLOOKUP(D23,'2.Bookinglist'!A:CT,12,FALSE)</f>
        <v>NTX</v>
      </c>
      <c r="R23" s="81" t="str">
        <f>IF(LEFT(K23,2)="22","20'","40'")</f>
        <v>40'</v>
      </c>
      <c r="S23" s="63"/>
      <c r="T23" s="79" t="str">
        <f>VLOOKUP(A23,'1.Loading'!A:R,2,FALSE)</f>
        <v>2026-10-15</v>
      </c>
      <c r="U23" s="82">
        <f>T23-S23</f>
        <v>46310</v>
      </c>
      <c r="V23" s="83"/>
      <c r="W23" s="79" t="str">
        <f>VLOOKUP(A23,'3.GateMove'!A:D,4,FALSE)</f>
        <v>2026-10-13</v>
      </c>
      <c r="X23" s="82">
        <f>((T23-W23)+1)</f>
        <v>3</v>
      </c>
      <c r="Y23" s="84">
        <f>IF(AND(OR(C23="BKK01",C23="BKK04"),L23="CFS/CY"),0,IF(M23="DG",1,IF(LEFT(C23,3)="LCH",7,IF(C23="BKK02",5,3))))</f>
        <v>5</v>
      </c>
      <c r="Z23" s="82">
        <f>IF(IF(AND(AC23="TML",AB23&gt;0),((T23-W23)+1)-AB23,((T23-W23)+1)-Y23)&gt;0,IF(AND(AC23="TML",AB23&gt;0),((T23-W23)+1)-AB23,((T23-W23)+1)-Y23),0)</f>
        <v>0</v>
      </c>
      <c r="AA23" s="73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0</v>
      </c>
      <c r="AB23" s="78"/>
      <c r="AC23" s="78"/>
      <c r="AD23" s="81">
        <f>IF(M23="DG",3,IF(N23="RF",3,5))+IF(AND(LEFT(C23,3)="BKK",N23="RF",Q23="KTS"),1,0)+IF(Q23="KHS",1,0)</f>
        <v>5</v>
      </c>
      <c r="AE23" s="82">
        <f>(T23-V23)+1</f>
        <v>46311</v>
      </c>
      <c r="AF23" s="82">
        <f>IF(AB23&gt;IF((V23-W23)&gt;0,V23-W23,0),0,IF(AB23&lt;IF((V23-W23)&gt;0,V23-W23,0),IF((V23-W23)&gt;0,V23-W23,0)-AB23,IF((V23-W23)&gt;0,V23-W23,0)))</f>
        <v>0</v>
      </c>
      <c r="AG23" s="73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85"/>
      <c r="AI23" s="85">
        <f>AA23-AH23</f>
        <v>0</v>
      </c>
      <c r="AJ23" s="86"/>
      <c r="AK23" s="80" t="str">
        <f>VLOOKUP(D23,'2.Bookinglist'!A:CT,40,FALSE)</f>
        <v>Nustsireerach</v>
      </c>
      <c r="AL23" s="81" t="str">
        <f>VLOOKUP(D23,'2.Bookinglist'!A:CW,101,FALSE)</f>
        <v>2026-10-13</v>
      </c>
      <c r="AM23" s="81" t="str">
        <f>VLOOKUP(D23,'2.Bookinglist'!A:BK,63,FALSE)</f>
        <v>BKK27</v>
      </c>
      <c r="AN23" s="80" t="str">
        <f>VLOOKUP(D23,'2.Bookinglist'!A:AZ,52,FALSE)</f>
        <v>CY -RTN DD.07/10 -09/10/2026 = 20x40'hq   RQST CNTR UPGRADE 32.50 TONS
CY -RTN DD.09/ 10 -09/10/2026 =10X40'HQ 
RTN CNTR DD.09/10 WITHOUT RENT</v>
      </c>
      <c r="AO23" s="80">
        <f>VLOOKUP(D23,'2.Bookinglist'!A:CY,103,FALSE)</f>
        <v>0</v>
      </c>
    </row>
    <row r="24" ht="12.95" customHeight="1" spans="1:41" x14ac:dyDescent="0.25">
      <c r="A24" s="3" t="s">
        <v>110</v>
      </c>
      <c r="B24" s="78" t="str">
        <f>IF(C24=Charge!$M$1,Charge!$J$1,IF(C24=Charge!$M$23,Charge!$J$23,IF(C24=Charge!$M$17,Charge!$J$17,IF(C24=Charge!$N$17,Charge!$J$17,Charge!$J$7))))</f>
        <v>G4</v>
      </c>
      <c r="C24" s="79" t="str">
        <f>VLOOKUP(A24,'1.Loading'!A:R,14,FALSE)</f>
        <v>BKK02</v>
      </c>
      <c r="D24" s="79" t="str">
        <f>VLOOKUP(A24,'1.Loading'!A:R,17,FALSE)</f>
        <v>HASLS22260902194</v>
      </c>
      <c r="E24" s="80" t="str">
        <f>VLOOKUP(D24,'2.Bookinglist'!A:CT,27,FALSE)</f>
        <v>METRO PARTICLE CO., LTD.</v>
      </c>
      <c r="F24" s="80" t="str">
        <f>VLOOKUP(D24,'2.Bookinglist'!A:CT,28,FALSE)</f>
        <v>METRO PARTICLE CO., LTD.</v>
      </c>
      <c r="G24" s="81">
        <f>VLOOKUP(D24,'2.Bookinglist'!A:E,5,FALSE)</f>
        <v>0</v>
      </c>
      <c r="H24" s="79" t="str">
        <f>VLOOKUP(D24,'2.Bookinglist'!A:CT,15,FALSE)</f>
        <v>THBKK</v>
      </c>
      <c r="I24" s="79" t="str">
        <f>VLOOKUP(D24,'2.Bookinglist'!A:CT,19,FALSE)</f>
        <v>VNSGN</v>
      </c>
      <c r="J24" s="79">
        <f>VLOOKUP(D24,'2.Bookinglist'!A:CT,26,FALSE)</f>
        <v>0</v>
      </c>
      <c r="K24" s="79" t="str">
        <f>VLOOKUP(A24,'1.Loading'!A:R,5,FALSE)</f>
        <v>45GP</v>
      </c>
      <c r="L24" s="81" t="str">
        <f>VLOOKUP(D24,'2.Bookinglist'!A:CT,85,FALSE)</f>
        <v>CY/CY</v>
      </c>
      <c r="M24" s="81" t="str">
        <f>IF(VLOOKUP(D24,'2.Bookinglist'!A:CT,43,FALSE)=0,"","DG")</f>
        <v/>
      </c>
      <c r="N24" s="81" t="str">
        <f>IF(RIGHT(K24,2)="RE","RF","")</f>
        <v/>
      </c>
      <c r="O24" s="79" t="str">
        <f>VLOOKUP(A24,'1.Loading'!A:R,3,FALSE)</f>
        <v>PGPO</v>
      </c>
      <c r="P24" s="79" t="str">
        <f>VLOOKUP(A24,'1.Loading'!A:R,4,FALSE)</f>
        <v>2612N</v>
      </c>
      <c r="Q24" s="79" t="str">
        <f>VLOOKUP(D24,'2.Bookinglist'!A:CT,12,FALSE)</f>
        <v>NTX</v>
      </c>
      <c r="R24" s="81" t="str">
        <f>IF(LEFT(K24,2)="22","20'","40'")</f>
        <v>40'</v>
      </c>
      <c r="S24" s="63"/>
      <c r="T24" s="79" t="str">
        <f>VLOOKUP(A24,'1.Loading'!A:R,2,FALSE)</f>
        <v>2026-10-15</v>
      </c>
      <c r="U24" s="82">
        <f>T24-S24</f>
        <v>46310</v>
      </c>
      <c r="V24" s="83"/>
      <c r="W24" s="79" t="str">
        <f>VLOOKUP(A24,'3.GateMove'!A:D,4,FALSE)</f>
        <v>2026-10-09</v>
      </c>
      <c r="X24" s="82">
        <f>((T24-W24)+1)</f>
        <v>7</v>
      </c>
      <c r="Y24" s="84">
        <f>IF(AND(OR(C24="BKK01",C24="BKK04"),L24="CFS/CY"),0,IF(M24="DG",1,IF(LEFT(C24,3)="LCH",7,IF(C24="BKK02",5,3))))</f>
        <v>5</v>
      </c>
      <c r="Z24" s="82">
        <f>IF(IF(AND(AC24="TML",AB24&gt;0),((T24-W24)+1)-AB24,((T24-W24)+1)-Y24)&gt;0,IF(AND(AC24="TML",AB24&gt;0),((T24-W24)+1)-AB24,((T24-W24)+1)-Y24),0)</f>
        <v>2</v>
      </c>
      <c r="AA24" s="73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200</v>
      </c>
      <c r="AB24" s="78"/>
      <c r="AC24" s="78"/>
      <c r="AD24" s="81">
        <f>IF(M24="DG",3,IF(N24="RF",3,5))+IF(AND(LEFT(C24,3)="BKK",N24="RF",Q24="KTS"),1,0)+IF(Q24="KHS",1,0)</f>
        <v>5</v>
      </c>
      <c r="AE24" s="82">
        <f>(T24-V24)+1</f>
        <v>46311</v>
      </c>
      <c r="AF24" s="82">
        <f>IF(AB24&gt;IF((V24-W24)&gt;0,V24-W24,0),0,IF(AB24&lt;IF((V24-W24)&gt;0,V24-W24,0),IF((V24-W24)&gt;0,V24-W24,0)-AB24,IF((V24-W24)&gt;0,V24-W24,0)))</f>
        <v>0</v>
      </c>
      <c r="AG24" s="73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85"/>
      <c r="AI24" s="85">
        <f>AA24-AH24</f>
        <v>200</v>
      </c>
      <c r="AJ24" s="86"/>
      <c r="AK24" s="80" t="str">
        <f>VLOOKUP(D24,'2.Bookinglist'!A:CT,40,FALSE)</f>
        <v>Nustsireerach</v>
      </c>
      <c r="AL24" s="81" t="str">
        <f>VLOOKUP(D24,'2.Bookinglist'!A:CW,101,FALSE)</f>
        <v>2026-10-13</v>
      </c>
      <c r="AM24" s="81" t="str">
        <f>VLOOKUP(D24,'2.Bookinglist'!A:BK,63,FALSE)</f>
        <v>BKK27</v>
      </c>
      <c r="AN24" s="80" t="str">
        <f>VLOOKUP(D24,'2.Bookinglist'!A:AZ,52,FALSE)</f>
        <v>CY -RTN DD.07/10 -09/10/2026 = 20x40'hq   RQST CNTR UPGRADE 32.50 TONS
CY -RTN DD.09/ 10 -09/10/2026 =10X40'HQ 
RTN CNTR DD.09/10 WITHOUT RENT</v>
      </c>
      <c r="AO24" s="80">
        <f>VLOOKUP(D24,'2.Bookinglist'!A:CY,103,FALSE)</f>
        <v>0</v>
      </c>
    </row>
    <row r="25" ht="12.95" customHeight="1" spans="1:41" x14ac:dyDescent="0.25">
      <c r="A25" s="3" t="s">
        <v>111</v>
      </c>
      <c r="B25" s="78" t="str">
        <f>IF(C25=Charge!$M$1,Charge!$J$1,IF(C25=Charge!$M$23,Charge!$J$23,IF(C25=Charge!$M$17,Charge!$J$17,IF(C25=Charge!$N$17,Charge!$J$17,Charge!$J$7))))</f>
        <v>G4</v>
      </c>
      <c r="C25" s="79" t="str">
        <f>VLOOKUP(A25,'1.Loading'!A:R,14,FALSE)</f>
        <v>BKK02</v>
      </c>
      <c r="D25" s="79" t="str">
        <f>VLOOKUP(A25,'1.Loading'!A:R,17,FALSE)</f>
        <v>HASLS22260902194</v>
      </c>
      <c r="E25" s="80" t="str">
        <f>VLOOKUP(D25,'2.Bookinglist'!A:CT,27,FALSE)</f>
        <v>METRO PARTICLE CO., LTD.</v>
      </c>
      <c r="F25" s="80" t="str">
        <f>VLOOKUP(D25,'2.Bookinglist'!A:CT,28,FALSE)</f>
        <v>METRO PARTICLE CO., LTD.</v>
      </c>
      <c r="G25" s="81">
        <f>VLOOKUP(D25,'2.Bookinglist'!A:E,5,FALSE)</f>
        <v>0</v>
      </c>
      <c r="H25" s="79" t="str">
        <f>VLOOKUP(D25,'2.Bookinglist'!A:CT,15,FALSE)</f>
        <v>THBKK</v>
      </c>
      <c r="I25" s="79" t="str">
        <f>VLOOKUP(D25,'2.Bookinglist'!A:CT,19,FALSE)</f>
        <v>VNSGN</v>
      </c>
      <c r="J25" s="79">
        <f>VLOOKUP(D25,'2.Bookinglist'!A:CT,26,FALSE)</f>
        <v>0</v>
      </c>
      <c r="K25" s="79" t="str">
        <f>VLOOKUP(A25,'1.Loading'!A:R,5,FALSE)</f>
        <v>45GP</v>
      </c>
      <c r="L25" s="81" t="str">
        <f>VLOOKUP(D25,'2.Bookinglist'!A:CT,85,FALSE)</f>
        <v>CY/CY</v>
      </c>
      <c r="M25" s="81" t="str">
        <f>IF(VLOOKUP(D25,'2.Bookinglist'!A:CT,43,FALSE)=0,"","DG")</f>
        <v/>
      </c>
      <c r="N25" s="81" t="str">
        <f>IF(RIGHT(K25,2)="RE","RF","")</f>
        <v/>
      </c>
      <c r="O25" s="79" t="str">
        <f>VLOOKUP(A25,'1.Loading'!A:R,3,FALSE)</f>
        <v>PGPO</v>
      </c>
      <c r="P25" s="79" t="str">
        <f>VLOOKUP(A25,'1.Loading'!A:R,4,FALSE)</f>
        <v>2612N</v>
      </c>
      <c r="Q25" s="79" t="str">
        <f>VLOOKUP(D25,'2.Bookinglist'!A:CT,12,FALSE)</f>
        <v>NTX</v>
      </c>
      <c r="R25" s="81" t="str">
        <f>IF(LEFT(K25,2)="22","20'","40'")</f>
        <v>40'</v>
      </c>
      <c r="S25" s="63"/>
      <c r="T25" s="79" t="str">
        <f>VLOOKUP(A25,'1.Loading'!A:R,2,FALSE)</f>
        <v>2026-10-15</v>
      </c>
      <c r="U25" s="82">
        <f>T25-S25</f>
        <v>46310</v>
      </c>
      <c r="V25" s="83"/>
      <c r="W25" s="79" t="str">
        <f>VLOOKUP(A25,'3.GateMove'!A:D,4,FALSE)</f>
        <v>2026-10-09</v>
      </c>
      <c r="X25" s="82">
        <f>((T25-W25)+1)</f>
        <v>7</v>
      </c>
      <c r="Y25" s="84">
        <f>IF(AND(OR(C25="BKK01",C25="BKK04"),L25="CFS/CY"),0,IF(M25="DG",1,IF(LEFT(C25,3)="LCH",7,IF(C25="BKK02",5,3))))</f>
        <v>5</v>
      </c>
      <c r="Z25" s="82">
        <f>IF(IF(AND(AC25="TML",AB25&gt;0),((T25-W25)+1)-AB25,((T25-W25)+1)-Y25)&gt;0,IF(AND(AC25="TML",AB25&gt;0),((T25-W25)+1)-AB25,((T25-W25)+1)-Y25),0)</f>
        <v>2</v>
      </c>
      <c r="AA25" s="73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200</v>
      </c>
      <c r="AB25" s="78"/>
      <c r="AC25" s="78"/>
      <c r="AD25" s="81">
        <f>IF(M25="DG",3,IF(N25="RF",3,5))+IF(AND(LEFT(C25,3)="BKK",N25="RF",Q25="KTS"),1,0)+IF(Q25="KHS",1,0)</f>
        <v>5</v>
      </c>
      <c r="AE25" s="82">
        <f>(T25-V25)+1</f>
        <v>46311</v>
      </c>
      <c r="AF25" s="82">
        <f>IF(AB25&gt;IF((V25-W25)&gt;0,V25-W25,0),0,IF(AB25&lt;IF((V25-W25)&gt;0,V25-W25,0),IF((V25-W25)&gt;0,V25-W25,0)-AB25,IF((V25-W25)&gt;0,V25-W25,0)))</f>
        <v>0</v>
      </c>
      <c r="AG25" s="73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85"/>
      <c r="AI25" s="85">
        <f>AA25-AH25</f>
        <v>200</v>
      </c>
      <c r="AJ25" s="86"/>
      <c r="AK25" s="80" t="str">
        <f>VLOOKUP(D25,'2.Bookinglist'!A:CT,40,FALSE)</f>
        <v>Nustsireerach</v>
      </c>
      <c r="AL25" s="81" t="str">
        <f>VLOOKUP(D25,'2.Bookinglist'!A:CW,101,FALSE)</f>
        <v>2026-10-13</v>
      </c>
      <c r="AM25" s="81" t="str">
        <f>VLOOKUP(D25,'2.Bookinglist'!A:BK,63,FALSE)</f>
        <v>BKK27</v>
      </c>
      <c r="AN25" s="80" t="str">
        <f>VLOOKUP(D25,'2.Bookinglist'!A:AZ,52,FALSE)</f>
        <v>CY -RTN DD.07/10 -09/10/2026 = 20x40'hq   RQST CNTR UPGRADE 32.50 TONS
CY -RTN DD.09/ 10 -09/10/2026 =10X40'HQ 
RTN CNTR DD.09/10 WITHOUT RENT</v>
      </c>
      <c r="AO25" s="80">
        <f>VLOOKUP(D25,'2.Bookinglist'!A:CY,103,FALSE)</f>
        <v>0</v>
      </c>
    </row>
    <row r="26" ht="12.95" customHeight="1" spans="1:41" x14ac:dyDescent="0.25">
      <c r="A26" s="3" t="s">
        <v>112</v>
      </c>
      <c r="B26" s="78" t="str">
        <f>IF(C26=Charge!$M$1,Charge!$J$1,IF(C26=Charge!$M$23,Charge!$J$23,IF(C26=Charge!$M$17,Charge!$J$17,IF(C26=Charge!$N$17,Charge!$J$17,Charge!$J$7))))</f>
        <v>G4</v>
      </c>
      <c r="C26" s="79" t="str">
        <f>VLOOKUP(A26,'1.Loading'!A:R,14,FALSE)</f>
        <v>BKK02</v>
      </c>
      <c r="D26" s="79" t="str">
        <f>VLOOKUP(A26,'1.Loading'!A:R,17,FALSE)</f>
        <v>HASLS22260902194</v>
      </c>
      <c r="E26" s="80" t="str">
        <f>VLOOKUP(D26,'2.Bookinglist'!A:CT,27,FALSE)</f>
        <v>METRO PARTICLE CO., LTD.</v>
      </c>
      <c r="F26" s="80" t="str">
        <f>VLOOKUP(D26,'2.Bookinglist'!A:CT,28,FALSE)</f>
        <v>METRO PARTICLE CO., LTD.</v>
      </c>
      <c r="G26" s="81">
        <f>VLOOKUP(D26,'2.Bookinglist'!A:E,5,FALSE)</f>
        <v>0</v>
      </c>
      <c r="H26" s="79" t="str">
        <f>VLOOKUP(D26,'2.Bookinglist'!A:CT,15,FALSE)</f>
        <v>THBKK</v>
      </c>
      <c r="I26" s="79" t="str">
        <f>VLOOKUP(D26,'2.Bookinglist'!A:CT,19,FALSE)</f>
        <v>VNSGN</v>
      </c>
      <c r="J26" s="79">
        <f>VLOOKUP(D26,'2.Bookinglist'!A:CT,26,FALSE)</f>
        <v>0</v>
      </c>
      <c r="K26" s="79" t="str">
        <f>VLOOKUP(A26,'1.Loading'!A:R,5,FALSE)</f>
        <v>45GP</v>
      </c>
      <c r="L26" s="81" t="str">
        <f>VLOOKUP(D26,'2.Bookinglist'!A:CT,85,FALSE)</f>
        <v>CY/CY</v>
      </c>
      <c r="M26" s="81" t="str">
        <f>IF(VLOOKUP(D26,'2.Bookinglist'!A:CT,43,FALSE)=0,"","DG")</f>
        <v/>
      </c>
      <c r="N26" s="81" t="str">
        <f>IF(RIGHT(K26,2)="RE","RF","")</f>
        <v/>
      </c>
      <c r="O26" s="79" t="str">
        <f>VLOOKUP(A26,'1.Loading'!A:R,3,FALSE)</f>
        <v>PGPO</v>
      </c>
      <c r="P26" s="79" t="str">
        <f>VLOOKUP(A26,'1.Loading'!A:R,4,FALSE)</f>
        <v>2612N</v>
      </c>
      <c r="Q26" s="79" t="str">
        <f>VLOOKUP(D26,'2.Bookinglist'!A:CT,12,FALSE)</f>
        <v>NTX</v>
      </c>
      <c r="R26" s="81" t="str">
        <f>IF(LEFT(K26,2)="22","20'","40'")</f>
        <v>40'</v>
      </c>
      <c r="S26" s="63"/>
      <c r="T26" s="79" t="str">
        <f>VLOOKUP(A26,'1.Loading'!A:R,2,FALSE)</f>
        <v>2026-10-15</v>
      </c>
      <c r="U26" s="82">
        <f>T26-S26</f>
        <v>46310</v>
      </c>
      <c r="V26" s="83"/>
      <c r="W26" s="79" t="str">
        <f>VLOOKUP(A26,'3.GateMove'!A:D,4,FALSE)</f>
        <v>2026-10-11</v>
      </c>
      <c r="X26" s="82">
        <f>((T26-W26)+1)</f>
        <v>5</v>
      </c>
      <c r="Y26" s="84">
        <f>IF(AND(OR(C26="BKK01",C26="BKK04"),L26="CFS/CY"),0,IF(M26="DG",1,IF(LEFT(C26,3)="LCH",7,IF(C26="BKK02",5,3))))</f>
        <v>5</v>
      </c>
      <c r="Z26" s="82">
        <f>IF(IF(AND(AC26="TML",AB26&gt;0),((T26-W26)+1)-AB26,((T26-W26)+1)-Y26)&gt;0,IF(AND(AC26="TML",AB26&gt;0),((T26-W26)+1)-AB26,((T26-W26)+1)-Y26),0)</f>
        <v>0</v>
      </c>
      <c r="AA26" s="73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0</v>
      </c>
      <c r="AB26" s="78"/>
      <c r="AC26" s="78"/>
      <c r="AD26" s="81">
        <f>IF(M26="DG",3,IF(N26="RF",3,5))+IF(AND(LEFT(C26,3)="BKK",N26="RF",Q26="KTS"),1,0)+IF(Q26="KHS",1,0)</f>
        <v>5</v>
      </c>
      <c r="AE26" s="82">
        <f>(T26-V26)+1</f>
        <v>46311</v>
      </c>
      <c r="AF26" s="82">
        <f>IF(AB26&gt;IF((V26-W26)&gt;0,V26-W26,0),0,IF(AB26&lt;IF((V26-W26)&gt;0,V26-W26,0),IF((V26-W26)&gt;0,V26-W26,0)-AB26,IF((V26-W26)&gt;0,V26-W26,0)))</f>
        <v>0</v>
      </c>
      <c r="AG26" s="73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85"/>
      <c r="AI26" s="85">
        <f>AA26-AH26</f>
        <v>0</v>
      </c>
      <c r="AJ26" s="86"/>
      <c r="AK26" s="80" t="str">
        <f>VLOOKUP(D26,'2.Bookinglist'!A:CT,40,FALSE)</f>
        <v>Nustsireerach</v>
      </c>
      <c r="AL26" s="81" t="str">
        <f>VLOOKUP(D26,'2.Bookinglist'!A:CW,101,FALSE)</f>
        <v>2026-10-13</v>
      </c>
      <c r="AM26" s="81" t="str">
        <f>VLOOKUP(D26,'2.Bookinglist'!A:BK,63,FALSE)</f>
        <v>BKK27</v>
      </c>
      <c r="AN26" s="80" t="str">
        <f>VLOOKUP(D26,'2.Bookinglist'!A:AZ,52,FALSE)</f>
        <v>CY -RTN DD.07/10 -09/10/2026 = 20x40'hq   RQST CNTR UPGRADE 32.50 TONS
CY -RTN DD.09/ 10 -09/10/2026 =10X40'HQ 
RTN CNTR DD.09/10 WITHOUT RENT</v>
      </c>
      <c r="AO26" s="80">
        <f>VLOOKUP(D26,'2.Bookinglist'!A:CY,103,FALSE)</f>
        <v>0</v>
      </c>
    </row>
    <row r="27" ht="12.95" customHeight="1" spans="1:41" x14ac:dyDescent="0.25">
      <c r="A27" s="3" t="s">
        <v>114</v>
      </c>
      <c r="B27" s="78" t="str">
        <f>IF(C27=Charge!$M$1,Charge!$J$1,IF(C27=Charge!$M$23,Charge!$J$23,IF(C27=Charge!$M$17,Charge!$J$17,IF(C27=Charge!$N$17,Charge!$J$17,Charge!$J$7))))</f>
        <v>G4</v>
      </c>
      <c r="C27" s="79" t="str">
        <f>VLOOKUP(A27,'1.Loading'!A:R,14,FALSE)</f>
        <v>BKK02</v>
      </c>
      <c r="D27" s="79" t="str">
        <f>VLOOKUP(A27,'1.Loading'!A:R,17,FALSE)</f>
        <v>HASLS22260802219</v>
      </c>
      <c r="E27" s="80" t="str">
        <f>VLOOKUP(D27,'2.Bookinglist'!A:CT,27,FALSE)</f>
        <v>A.S. LOGISTICS CO., LTD.</v>
      </c>
      <c r="F27" s="80" t="str">
        <f>VLOOKUP(D27,'2.Bookinglist'!A:CT,28,FALSE)</f>
        <v>INVE (THAILAND) LTD</v>
      </c>
      <c r="G27" s="81">
        <f>VLOOKUP(D27,'2.Bookinglist'!A:E,5,FALSE)</f>
        <v>0</v>
      </c>
      <c r="H27" s="79" t="str">
        <f>VLOOKUP(D27,'2.Bookinglist'!A:CT,15,FALSE)</f>
        <v>THBKK</v>
      </c>
      <c r="I27" s="79" t="str">
        <f>VLOOKUP(D27,'2.Bookinglist'!A:CT,19,FALSE)</f>
        <v>VNSGN</v>
      </c>
      <c r="J27" s="79">
        <f>VLOOKUP(D27,'2.Bookinglist'!A:CT,26,FALSE)</f>
        <v>0</v>
      </c>
      <c r="K27" s="79" t="str">
        <f>VLOOKUP(A27,'1.Loading'!A:R,5,FALSE)</f>
        <v>45GP</v>
      </c>
      <c r="L27" s="81" t="str">
        <f>VLOOKUP(D27,'2.Bookinglist'!A:CT,85,FALSE)</f>
        <v>CY/CY</v>
      </c>
      <c r="M27" s="81" t="str">
        <f>IF(VLOOKUP(D27,'2.Bookinglist'!A:CT,43,FALSE)=0,"","DG")</f>
        <v/>
      </c>
      <c r="N27" s="81" t="str">
        <f>IF(RIGHT(K27,2)="RE","RF","")</f>
        <v/>
      </c>
      <c r="O27" s="79" t="str">
        <f>VLOOKUP(A27,'1.Loading'!A:R,3,FALSE)</f>
        <v>PGPO</v>
      </c>
      <c r="P27" s="79" t="str">
        <f>VLOOKUP(A27,'1.Loading'!A:R,4,FALSE)</f>
        <v>2612N</v>
      </c>
      <c r="Q27" s="79" t="str">
        <f>VLOOKUP(D27,'2.Bookinglist'!A:CT,12,FALSE)</f>
        <v>NTX</v>
      </c>
      <c r="R27" s="81" t="str">
        <f>IF(LEFT(K27,2)="22","20'","40'")</f>
        <v>40'</v>
      </c>
      <c r="S27" s="63"/>
      <c r="T27" s="79" t="str">
        <f>VLOOKUP(A27,'1.Loading'!A:R,2,FALSE)</f>
        <v>2026-10-15</v>
      </c>
      <c r="U27" s="82">
        <f>T27-S27</f>
        <v>46310</v>
      </c>
      <c r="V27" s="83"/>
      <c r="W27" s="79" t="str">
        <f>VLOOKUP(A27,'3.GateMove'!A:D,4,FALSE)</f>
        <v>2026-10-08</v>
      </c>
      <c r="X27" s="82">
        <f>((T27-W27)+1)</f>
        <v>8</v>
      </c>
      <c r="Y27" s="84">
        <f>IF(AND(OR(C27="BKK01",C27="BKK04"),L27="CFS/CY"),0,IF(M27="DG",1,IF(LEFT(C27,3)="LCH",7,IF(C27="BKK02",5,3))))</f>
        <v>5</v>
      </c>
      <c r="Z27" s="82">
        <f>IF(IF(AND(AC27="TML",AB27&gt;0),((T27-W27)+1)-AB27,((T27-W27)+1)-Y27)&gt;0,IF(AND(AC27="TML",AB27&gt;0),((T27-W27)+1)-AB27,((T27-W27)+1)-Y27),0)</f>
        <v>3</v>
      </c>
      <c r="AA27" s="73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300</v>
      </c>
      <c r="AB27" s="78"/>
      <c r="AC27" s="78"/>
      <c r="AD27" s="81">
        <f>IF(M27="DG",3,IF(N27="RF",3,5))+IF(AND(LEFT(C27,3)="BKK",N27="RF",Q27="KTS"),1,0)+IF(Q27="KHS",1,0)</f>
        <v>5</v>
      </c>
      <c r="AE27" s="82">
        <f>(T27-V27)+1</f>
        <v>46311</v>
      </c>
      <c r="AF27" s="82">
        <f>IF(AB27&gt;IF((V27-W27)&gt;0,V27-W27,0),0,IF(AB27&lt;IF((V27-W27)&gt;0,V27-W27,0),IF((V27-W27)&gt;0,V27-W27,0)-AB27,IF((V27-W27)&gt;0,V27-W27,0)))</f>
        <v>0</v>
      </c>
      <c r="AG27" s="73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85"/>
      <c r="AI27" s="85">
        <f>AA27-AH27</f>
        <v>300</v>
      </c>
      <c r="AJ27" s="86"/>
      <c r="AK27" s="80" t="str">
        <f>VLOOKUP(D27,'2.Bookinglist'!A:CT,40,FALSE)</f>
        <v>Vilaiporn</v>
      </c>
      <c r="AL27" s="81" t="str">
        <f>VLOOKUP(D27,'2.Bookinglist'!A:CW,101,FALSE)</f>
        <v>2026-10-15</v>
      </c>
      <c r="AM27" s="81" t="str">
        <f>VLOOKUP(D27,'2.Bookinglist'!A:BK,63,FALSE)</f>
        <v>BKK25</v>
      </c>
      <c r="AN27" s="80" t="str">
        <f>VLOOKUP(D27,'2.Bookinglist'!A:AZ,52,FALSE)</f>
        <v>Pickup : 2026-10-06, Return : 2026-10-07 </v>
      </c>
      <c r="AO27" s="80" t="str">
        <f>VLOOKUP(D27,'2.Bookinglist'!A:CY,103,FALSE)</f>
        <v>ROLL OVER FROM PREVIOUS VSL DJCF 0152N BY ALLOCATION TEAM MS.TARN APPROVED COST IS UNDER HAL DD.09/10
</v>
      </c>
    </row>
    <row r="28" ht="12.95" customHeight="1" spans="1:41" x14ac:dyDescent="0.25">
      <c r="A28" s="3" t="s">
        <v>119</v>
      </c>
      <c r="B28" s="78" t="str">
        <f>IF(C28=Charge!$M$1,Charge!$J$1,IF(C28=Charge!$M$23,Charge!$J$23,IF(C28=Charge!$M$17,Charge!$J$17,IF(C28=Charge!$N$17,Charge!$J$17,Charge!$J$7))))</f>
        <v>G4</v>
      </c>
      <c r="C28" s="79" t="str">
        <f>VLOOKUP(A28,'1.Loading'!A:R,14,FALSE)</f>
        <v>BKK02</v>
      </c>
      <c r="D28" s="79" t="str">
        <f>VLOOKUP(A28,'1.Loading'!A:R,17,FALSE)</f>
        <v>HASLS22260902194</v>
      </c>
      <c r="E28" s="80" t="str">
        <f>VLOOKUP(D28,'2.Bookinglist'!A:CT,27,FALSE)</f>
        <v>METRO PARTICLE CO., LTD.</v>
      </c>
      <c r="F28" s="80" t="str">
        <f>VLOOKUP(D28,'2.Bookinglist'!A:CT,28,FALSE)</f>
        <v>METRO PARTICLE CO., LTD.</v>
      </c>
      <c r="G28" s="81">
        <f>VLOOKUP(D28,'2.Bookinglist'!A:E,5,FALSE)</f>
        <v>0</v>
      </c>
      <c r="H28" s="79" t="str">
        <f>VLOOKUP(D28,'2.Bookinglist'!A:CT,15,FALSE)</f>
        <v>THBKK</v>
      </c>
      <c r="I28" s="79" t="str">
        <f>VLOOKUP(D28,'2.Bookinglist'!A:CT,19,FALSE)</f>
        <v>VNSGN</v>
      </c>
      <c r="J28" s="79">
        <f>VLOOKUP(D28,'2.Bookinglist'!A:CT,26,FALSE)</f>
        <v>0</v>
      </c>
      <c r="K28" s="79" t="str">
        <f>VLOOKUP(A28,'1.Loading'!A:R,5,FALSE)</f>
        <v>45GP</v>
      </c>
      <c r="L28" s="81" t="str">
        <f>VLOOKUP(D28,'2.Bookinglist'!A:CT,85,FALSE)</f>
        <v>CY/CY</v>
      </c>
      <c r="M28" s="81" t="str">
        <f>IF(VLOOKUP(D28,'2.Bookinglist'!A:CT,43,FALSE)=0,"","DG")</f>
        <v/>
      </c>
      <c r="N28" s="81" t="str">
        <f>IF(RIGHT(K28,2)="RE","RF","")</f>
        <v/>
      </c>
      <c r="O28" s="79" t="str">
        <f>VLOOKUP(A28,'1.Loading'!A:R,3,FALSE)</f>
        <v>PGPO</v>
      </c>
      <c r="P28" s="79" t="str">
        <f>VLOOKUP(A28,'1.Loading'!A:R,4,FALSE)</f>
        <v>2612N</v>
      </c>
      <c r="Q28" s="79" t="str">
        <f>VLOOKUP(D28,'2.Bookinglist'!A:CT,12,FALSE)</f>
        <v>NTX</v>
      </c>
      <c r="R28" s="81" t="str">
        <f>IF(LEFT(K28,2)="22","20'","40'")</f>
        <v>40'</v>
      </c>
      <c r="S28" s="63"/>
      <c r="T28" s="79" t="str">
        <f>VLOOKUP(A28,'1.Loading'!A:R,2,FALSE)</f>
        <v>2026-10-15</v>
      </c>
      <c r="U28" s="82">
        <f>T28-S28</f>
        <v>46310</v>
      </c>
      <c r="V28" s="83"/>
      <c r="W28" s="79" t="str">
        <f>VLOOKUP(A28,'3.GateMove'!A:D,4,FALSE)</f>
        <v>2026-10-09</v>
      </c>
      <c r="X28" s="82">
        <f>((T28-W28)+1)</f>
        <v>7</v>
      </c>
      <c r="Y28" s="84">
        <f>IF(AND(OR(C28="BKK01",C28="BKK04"),L28="CFS/CY"),0,IF(M28="DG",1,IF(LEFT(C28,3)="LCH",7,IF(C28="BKK02",5,3))))</f>
        <v>5</v>
      </c>
      <c r="Z28" s="82">
        <f>IF(IF(AND(AC28="TML",AB28&gt;0),((T28-W28)+1)-AB28,((T28-W28)+1)-Y28)&gt;0,IF(AND(AC28="TML",AB28&gt;0),((T28-W28)+1)-AB28,((T28-W28)+1)-Y28),0)</f>
        <v>2</v>
      </c>
      <c r="AA28" s="73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200</v>
      </c>
      <c r="AB28" s="78"/>
      <c r="AC28" s="78"/>
      <c r="AD28" s="81">
        <f>IF(M28="DG",3,IF(N28="RF",3,5))+IF(AND(LEFT(C28,3)="BKK",N28="RF",Q28="KTS"),1,0)+IF(Q28="KHS",1,0)</f>
        <v>5</v>
      </c>
      <c r="AE28" s="82">
        <f>(T28-V28)+1</f>
        <v>46311</v>
      </c>
      <c r="AF28" s="82">
        <f>IF(AB28&gt;IF((V28-W28)&gt;0,V28-W28,0),0,IF(AB28&lt;IF((V28-W28)&gt;0,V28-W28,0),IF((V28-W28)&gt;0,V28-W28,0)-AB28,IF((V28-W28)&gt;0,V28-W28,0)))</f>
        <v>0</v>
      </c>
      <c r="AG28" s="73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85"/>
      <c r="AI28" s="85">
        <f>AA28-AH28</f>
        <v>200</v>
      </c>
      <c r="AJ28" s="86"/>
      <c r="AK28" s="80" t="str">
        <f>VLOOKUP(D28,'2.Bookinglist'!A:CT,40,FALSE)</f>
        <v>Nustsireerach</v>
      </c>
      <c r="AL28" s="81" t="str">
        <f>VLOOKUP(D28,'2.Bookinglist'!A:CW,101,FALSE)</f>
        <v>2026-10-13</v>
      </c>
      <c r="AM28" s="81" t="str">
        <f>VLOOKUP(D28,'2.Bookinglist'!A:BK,63,FALSE)</f>
        <v>BKK27</v>
      </c>
      <c r="AN28" s="80" t="str">
        <f>VLOOKUP(D28,'2.Bookinglist'!A:AZ,52,FALSE)</f>
        <v>CY -RTN DD.07/10 -09/10/2026 = 20x40'hq   RQST CNTR UPGRADE 32.50 TONS
CY -RTN DD.09/ 10 -09/10/2026 =10X40'HQ 
RTN CNTR DD.09/10 WITHOUT RENT</v>
      </c>
      <c r="AO28" s="80">
        <f>VLOOKUP(D28,'2.Bookinglist'!A:CY,103,FALSE)</f>
        <v>0</v>
      </c>
    </row>
    <row r="29" ht="12.95" customHeight="1" spans="1:41" x14ac:dyDescent="0.25">
      <c r="A29" s="3" t="s">
        <v>121</v>
      </c>
      <c r="B29" s="78" t="str">
        <f>IF(C29=Charge!$M$1,Charge!$J$1,IF(C29=Charge!$M$23,Charge!$J$23,IF(C29=Charge!$M$17,Charge!$J$17,IF(C29=Charge!$N$17,Charge!$J$17,Charge!$J$7))))</f>
        <v>G4</v>
      </c>
      <c r="C29" s="79" t="str">
        <f>VLOOKUP(A29,'1.Loading'!A:R,14,FALSE)</f>
        <v>BKK02</v>
      </c>
      <c r="D29" s="79" t="str">
        <f>VLOOKUP(A29,'1.Loading'!A:R,17,FALSE)</f>
        <v>HASLS22260902194</v>
      </c>
      <c r="E29" s="80" t="str">
        <f>VLOOKUP(D29,'2.Bookinglist'!A:CT,27,FALSE)</f>
        <v>METRO PARTICLE CO., LTD.</v>
      </c>
      <c r="F29" s="80" t="str">
        <f>VLOOKUP(D29,'2.Bookinglist'!A:CT,28,FALSE)</f>
        <v>METRO PARTICLE CO., LTD.</v>
      </c>
      <c r="G29" s="81">
        <f>VLOOKUP(D29,'2.Bookinglist'!A:E,5,FALSE)</f>
        <v>0</v>
      </c>
      <c r="H29" s="79" t="str">
        <f>VLOOKUP(D29,'2.Bookinglist'!A:CT,15,FALSE)</f>
        <v>THBKK</v>
      </c>
      <c r="I29" s="79" t="str">
        <f>VLOOKUP(D29,'2.Bookinglist'!A:CT,19,FALSE)</f>
        <v>VNSGN</v>
      </c>
      <c r="J29" s="79">
        <f>VLOOKUP(D29,'2.Bookinglist'!A:CT,26,FALSE)</f>
        <v>0</v>
      </c>
      <c r="K29" s="79" t="str">
        <f>VLOOKUP(A29,'1.Loading'!A:R,5,FALSE)</f>
        <v>45GP</v>
      </c>
      <c r="L29" s="81" t="str">
        <f>VLOOKUP(D29,'2.Bookinglist'!A:CT,85,FALSE)</f>
        <v>CY/CY</v>
      </c>
      <c r="M29" s="81" t="str">
        <f>IF(VLOOKUP(D29,'2.Bookinglist'!A:CT,43,FALSE)=0,"","DG")</f>
        <v/>
      </c>
      <c r="N29" s="81" t="str">
        <f>IF(RIGHT(K29,2)="RE","RF","")</f>
        <v/>
      </c>
      <c r="O29" s="79" t="str">
        <f>VLOOKUP(A29,'1.Loading'!A:R,3,FALSE)</f>
        <v>PGPO</v>
      </c>
      <c r="P29" s="79" t="str">
        <f>VLOOKUP(A29,'1.Loading'!A:R,4,FALSE)</f>
        <v>2612N</v>
      </c>
      <c r="Q29" s="79" t="str">
        <f>VLOOKUP(D29,'2.Bookinglist'!A:CT,12,FALSE)</f>
        <v>NTX</v>
      </c>
      <c r="R29" s="81" t="str">
        <f>IF(LEFT(K29,2)="22","20'","40'")</f>
        <v>40'</v>
      </c>
      <c r="S29" s="63"/>
      <c r="T29" s="79" t="str">
        <f>VLOOKUP(A29,'1.Loading'!A:R,2,FALSE)</f>
        <v>2026-10-15</v>
      </c>
      <c r="U29" s="82">
        <f>T29-S29</f>
        <v>46310</v>
      </c>
      <c r="V29" s="83"/>
      <c r="W29" s="79" t="str">
        <f>VLOOKUP(A29,'3.GateMove'!A:D,4,FALSE)</f>
        <v>2026-10-11</v>
      </c>
      <c r="X29" s="82">
        <f>((T29-W29)+1)</f>
        <v>5</v>
      </c>
      <c r="Y29" s="84">
        <f>IF(AND(OR(C29="BKK01",C29="BKK04"),L29="CFS/CY"),0,IF(M29="DG",1,IF(LEFT(C29,3)="LCH",7,IF(C29="BKK02",5,3))))</f>
        <v>5</v>
      </c>
      <c r="Z29" s="82">
        <f>IF(IF(AND(AC29="TML",AB29&gt;0),((T29-W29)+1)-AB29,((T29-W29)+1)-Y29)&gt;0,IF(AND(AC29="TML",AB29&gt;0),((T29-W29)+1)-AB29,((T29-W29)+1)-Y29),0)</f>
        <v>0</v>
      </c>
      <c r="AA29" s="73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0</v>
      </c>
      <c r="AB29" s="78"/>
      <c r="AC29" s="78"/>
      <c r="AD29" s="81">
        <f>IF(M29="DG",3,IF(N29="RF",3,5))+IF(AND(LEFT(C29,3)="BKK",N29="RF",Q29="KTS"),1,0)+IF(Q29="KHS",1,0)</f>
        <v>5</v>
      </c>
      <c r="AE29" s="82">
        <f>(T29-V29)+1</f>
        <v>46311</v>
      </c>
      <c r="AF29" s="82">
        <f>IF(AB29&gt;IF((V29-W29)&gt;0,V29-W29,0),0,IF(AB29&lt;IF((V29-W29)&gt;0,V29-W29,0),IF((V29-W29)&gt;0,V29-W29,0)-AB29,IF((V29-W29)&gt;0,V29-W29,0)))</f>
        <v>0</v>
      </c>
      <c r="AG29" s="73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85"/>
      <c r="AI29" s="85">
        <f>AA29-AH29</f>
        <v>0</v>
      </c>
      <c r="AJ29" s="86"/>
      <c r="AK29" s="80" t="str">
        <f>VLOOKUP(D29,'2.Bookinglist'!A:CT,40,FALSE)</f>
        <v>Nustsireerach</v>
      </c>
      <c r="AL29" s="81" t="str">
        <f>VLOOKUP(D29,'2.Bookinglist'!A:CW,101,FALSE)</f>
        <v>2026-10-13</v>
      </c>
      <c r="AM29" s="81" t="str">
        <f>VLOOKUP(D29,'2.Bookinglist'!A:BK,63,FALSE)</f>
        <v>BKK27</v>
      </c>
      <c r="AN29" s="80" t="str">
        <f>VLOOKUP(D29,'2.Bookinglist'!A:AZ,52,FALSE)</f>
        <v>CY -RTN DD.07/10 -09/10/2026 = 20x40'hq   RQST CNTR UPGRADE 32.50 TONS
CY -RTN DD.09/ 10 -09/10/2026 =10X40'HQ 
RTN CNTR DD.09/10 WITHOUT RENT</v>
      </c>
      <c r="AO29" s="80">
        <f>VLOOKUP(D29,'2.Bookinglist'!A:CY,103,FALSE)</f>
        <v>0</v>
      </c>
    </row>
    <row r="30" ht="12.95" customHeight="1" spans="1:41" x14ac:dyDescent="0.25">
      <c r="A30" s="3" t="s">
        <v>123</v>
      </c>
      <c r="B30" s="78" t="str">
        <f>IF(C30=Charge!$M$1,Charge!$J$1,IF(C30=Charge!$M$23,Charge!$J$23,IF(C30=Charge!$M$17,Charge!$J$17,IF(C30=Charge!$N$17,Charge!$J$17,Charge!$J$7))))</f>
        <v>G4</v>
      </c>
      <c r="C30" s="79" t="str">
        <f>VLOOKUP(A30,'1.Loading'!A:R,14,FALSE)</f>
        <v>BKK02</v>
      </c>
      <c r="D30" s="79" t="str">
        <f>VLOOKUP(A30,'1.Loading'!A:R,17,FALSE)</f>
        <v>HASLS22260902194</v>
      </c>
      <c r="E30" s="80" t="str">
        <f>VLOOKUP(D30,'2.Bookinglist'!A:CT,27,FALSE)</f>
        <v>METRO PARTICLE CO., LTD.</v>
      </c>
      <c r="F30" s="80" t="str">
        <f>VLOOKUP(D30,'2.Bookinglist'!A:CT,28,FALSE)</f>
        <v>METRO PARTICLE CO., LTD.</v>
      </c>
      <c r="G30" s="81">
        <f>VLOOKUP(D30,'2.Bookinglist'!A:E,5,FALSE)</f>
        <v>0</v>
      </c>
      <c r="H30" s="79" t="str">
        <f>VLOOKUP(D30,'2.Bookinglist'!A:CT,15,FALSE)</f>
        <v>THBKK</v>
      </c>
      <c r="I30" s="79" t="str">
        <f>VLOOKUP(D30,'2.Bookinglist'!A:CT,19,FALSE)</f>
        <v>VNSGN</v>
      </c>
      <c r="J30" s="79">
        <f>VLOOKUP(D30,'2.Bookinglist'!A:CT,26,FALSE)</f>
        <v>0</v>
      </c>
      <c r="K30" s="79" t="str">
        <f>VLOOKUP(A30,'1.Loading'!A:R,5,FALSE)</f>
        <v>45GP</v>
      </c>
      <c r="L30" s="81" t="str">
        <f>VLOOKUP(D30,'2.Bookinglist'!A:CT,85,FALSE)</f>
        <v>CY/CY</v>
      </c>
      <c r="M30" s="81" t="str">
        <f>IF(VLOOKUP(D30,'2.Bookinglist'!A:CT,43,FALSE)=0,"","DG")</f>
        <v/>
      </c>
      <c r="N30" s="81" t="str">
        <f>IF(RIGHT(K30,2)="RE","RF","")</f>
        <v/>
      </c>
      <c r="O30" s="79" t="str">
        <f>VLOOKUP(A30,'1.Loading'!A:R,3,FALSE)</f>
        <v>PGPO</v>
      </c>
      <c r="P30" s="79" t="str">
        <f>VLOOKUP(A30,'1.Loading'!A:R,4,FALSE)</f>
        <v>2612N</v>
      </c>
      <c r="Q30" s="79" t="str">
        <f>VLOOKUP(D30,'2.Bookinglist'!A:CT,12,FALSE)</f>
        <v>NTX</v>
      </c>
      <c r="R30" s="81" t="str">
        <f>IF(LEFT(K30,2)="22","20'","40'")</f>
        <v>40'</v>
      </c>
      <c r="S30" s="63"/>
      <c r="T30" s="79" t="str">
        <f>VLOOKUP(A30,'1.Loading'!A:R,2,FALSE)</f>
        <v>2026-10-15</v>
      </c>
      <c r="U30" s="82">
        <f>T30-S30</f>
        <v>46310</v>
      </c>
      <c r="V30" s="83"/>
      <c r="W30" s="79" t="str">
        <f>VLOOKUP(A30,'3.GateMove'!A:D,4,FALSE)</f>
        <v>2026-10-11</v>
      </c>
      <c r="X30" s="82">
        <f>((T30-W30)+1)</f>
        <v>5</v>
      </c>
      <c r="Y30" s="84">
        <f>IF(AND(OR(C30="BKK01",C30="BKK04"),L30="CFS/CY"),0,IF(M30="DG",1,IF(LEFT(C30,3)="LCH",7,IF(C30="BKK02",5,3))))</f>
        <v>5</v>
      </c>
      <c r="Z30" s="82">
        <f>IF(IF(AND(AC30="TML",AB30&gt;0),((T30-W30)+1)-AB30,((T30-W30)+1)-Y30)&gt;0,IF(AND(AC30="TML",AB30&gt;0),((T30-W30)+1)-AB30,((T30-W30)+1)-Y30),0)</f>
        <v>0</v>
      </c>
      <c r="AA30" s="73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0</v>
      </c>
      <c r="AB30" s="78"/>
      <c r="AC30" s="78"/>
      <c r="AD30" s="81">
        <f>IF(M30="DG",3,IF(N30="RF",3,5))+IF(AND(LEFT(C30,3)="BKK",N30="RF",Q30="KTS"),1,0)+IF(Q30="KHS",1,0)</f>
        <v>5</v>
      </c>
      <c r="AE30" s="82">
        <f>(T30-V30)+1</f>
        <v>46311</v>
      </c>
      <c r="AF30" s="82">
        <f>IF(AB30&gt;IF((V30-W30)&gt;0,V30-W30,0),0,IF(AB30&lt;IF((V30-W30)&gt;0,V30-W30,0),IF((V30-W30)&gt;0,V30-W30,0)-AB30,IF((V30-W30)&gt;0,V30-W30,0)))</f>
        <v>0</v>
      </c>
      <c r="AG30" s="73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85"/>
      <c r="AI30" s="85">
        <f>AA30-AH30</f>
        <v>0</v>
      </c>
      <c r="AJ30" s="86"/>
      <c r="AK30" s="80" t="str">
        <f>VLOOKUP(D30,'2.Bookinglist'!A:CT,40,FALSE)</f>
        <v>Nustsireerach</v>
      </c>
      <c r="AL30" s="81" t="str">
        <f>VLOOKUP(D30,'2.Bookinglist'!A:CW,101,FALSE)</f>
        <v>2026-10-13</v>
      </c>
      <c r="AM30" s="81" t="str">
        <f>VLOOKUP(D30,'2.Bookinglist'!A:BK,63,FALSE)</f>
        <v>BKK27</v>
      </c>
      <c r="AN30" s="80" t="str">
        <f>VLOOKUP(D30,'2.Bookinglist'!A:AZ,52,FALSE)</f>
        <v>CY -RTN DD.07/10 -09/10/2026 = 20x40'hq   RQST CNTR UPGRADE 32.50 TONS
CY -RTN DD.09/ 10 -09/10/2026 =10X40'HQ 
RTN CNTR DD.09/10 WITHOUT RENT</v>
      </c>
      <c r="AO30" s="80">
        <f>VLOOKUP(D30,'2.Bookinglist'!A:CY,103,FALSE)</f>
        <v>0</v>
      </c>
    </row>
    <row r="31" ht="12.95" customHeight="1" spans="1:41" x14ac:dyDescent="0.25">
      <c r="A31" s="3" t="s">
        <v>125</v>
      </c>
      <c r="B31" s="78" t="str">
        <f>IF(C31=Charge!$M$1,Charge!$J$1,IF(C31=Charge!$M$23,Charge!$J$23,IF(C31=Charge!$M$17,Charge!$J$17,IF(C31=Charge!$N$17,Charge!$J$17,Charge!$J$7))))</f>
        <v>G4</v>
      </c>
      <c r="C31" s="79" t="str">
        <f>VLOOKUP(A31,'1.Loading'!A:R,14,FALSE)</f>
        <v>BKK02</v>
      </c>
      <c r="D31" s="79" t="str">
        <f>VLOOKUP(A31,'1.Loading'!A:R,17,FALSE)</f>
        <v>HASLS22261000292</v>
      </c>
      <c r="E31" s="80" t="str">
        <f>VLOOKUP(D31,'2.Bookinglist'!A:CT,27,FALSE)</f>
        <v>SAI GLOBAL EXPRESS CO., LTD.</v>
      </c>
      <c r="F31" s="80" t="str">
        <f>VLOOKUP(D31,'2.Bookinglist'!A:CT,28,FALSE)</f>
        <v>CHOCKDEE SEA PRODUCTS CO., LTD.</v>
      </c>
      <c r="G31" s="81">
        <f>VLOOKUP(D31,'2.Bookinglist'!A:E,5,FALSE)</f>
        <v>0</v>
      </c>
      <c r="H31" s="79" t="str">
        <f>VLOOKUP(D31,'2.Bookinglist'!A:CT,15,FALSE)</f>
        <v>THBKK</v>
      </c>
      <c r="I31" s="79" t="str">
        <f>VLOOKUP(D31,'2.Bookinglist'!A:CT,19,FALSE)</f>
        <v>KRINC</v>
      </c>
      <c r="J31" s="79">
        <f>VLOOKUP(D31,'2.Bookinglist'!A:CT,26,FALSE)</f>
        <v>0</v>
      </c>
      <c r="K31" s="79" t="str">
        <f>VLOOKUP(A31,'1.Loading'!A:R,5,FALSE)</f>
        <v>45GP</v>
      </c>
      <c r="L31" s="81" t="str">
        <f>VLOOKUP(D31,'2.Bookinglist'!A:CT,85,FALSE)</f>
        <v>CY/CY</v>
      </c>
      <c r="M31" s="81" t="str">
        <f>IF(VLOOKUP(D31,'2.Bookinglist'!A:CT,43,FALSE)=0,"","DG")</f>
        <v/>
      </c>
      <c r="N31" s="81" t="str">
        <f>IF(RIGHT(K31,2)="RE","RF","")</f>
        <v/>
      </c>
      <c r="O31" s="79" t="str">
        <f>VLOOKUP(A31,'1.Loading'!A:R,3,FALSE)</f>
        <v>PGPO</v>
      </c>
      <c r="P31" s="79" t="str">
        <f>VLOOKUP(A31,'1.Loading'!A:R,4,FALSE)</f>
        <v>2612N</v>
      </c>
      <c r="Q31" s="79" t="str">
        <f>VLOOKUP(D31,'2.Bookinglist'!A:CT,12,FALSE)</f>
        <v>NTX</v>
      </c>
      <c r="R31" s="81" t="str">
        <f>IF(LEFT(K31,2)="22","20'","40'")</f>
        <v>40'</v>
      </c>
      <c r="S31" s="63"/>
      <c r="T31" s="79" t="str">
        <f>VLOOKUP(A31,'1.Loading'!A:R,2,FALSE)</f>
        <v>2026-10-15</v>
      </c>
      <c r="U31" s="82">
        <f>T31-S31</f>
        <v>46310</v>
      </c>
      <c r="V31" s="83"/>
      <c r="W31" s="79" t="str">
        <f>VLOOKUP(A31,'3.GateMove'!A:D,4,FALSE)</f>
        <v>2026-10-12</v>
      </c>
      <c r="X31" s="82">
        <f>((T31-W31)+1)</f>
        <v>4</v>
      </c>
      <c r="Y31" s="84">
        <f>IF(AND(OR(C31="BKK01",C31="BKK04"),L31="CFS/CY"),0,IF(M31="DG",1,IF(LEFT(C31,3)="LCH",7,IF(C31="BKK02",5,3))))</f>
        <v>5</v>
      </c>
      <c r="Z31" s="82">
        <f>IF(IF(AND(AC31="TML",AB31&gt;0),((T31-W31)+1)-AB31,((T31-W31)+1)-Y31)&gt;0,IF(AND(AC31="TML",AB31&gt;0),((T31-W31)+1)-AB31,((T31-W31)+1)-Y31),0)</f>
        <v>0</v>
      </c>
      <c r="AA31" s="73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0</v>
      </c>
      <c r="AB31" s="78"/>
      <c r="AC31" s="78"/>
      <c r="AD31" s="81">
        <f>IF(M31="DG",3,IF(N31="RF",3,5))+IF(AND(LEFT(C31,3)="BKK",N31="RF",Q31="KTS"),1,0)+IF(Q31="KHS",1,0)</f>
        <v>5</v>
      </c>
      <c r="AE31" s="82">
        <f>(T31-V31)+1</f>
        <v>46311</v>
      </c>
      <c r="AF31" s="82">
        <f>IF(AB31&gt;IF((V31-W31)&gt;0,V31-W31,0),0,IF(AB31&lt;IF((V31-W31)&gt;0,V31-W31,0),IF((V31-W31)&gt;0,V31-W31,0)-AB31,IF((V31-W31)&gt;0,V31-W31,0)))</f>
        <v>0</v>
      </c>
      <c r="AG31" s="73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85"/>
      <c r="AI31" s="85">
        <f>AA31-AH31</f>
        <v>0</v>
      </c>
      <c r="AJ31" s="86"/>
      <c r="AK31" s="80" t="str">
        <f>VLOOKUP(D31,'2.Bookinglist'!A:CT,40,FALSE)</f>
        <v>Nannaapust Sukporntaweewat</v>
      </c>
      <c r="AL31" s="81" t="str">
        <f>VLOOKUP(D31,'2.Bookinglist'!A:CW,101,FALSE)</f>
        <v>2026-10-15</v>
      </c>
      <c r="AM31" s="81" t="str">
        <f>VLOOKUP(D31,'2.Bookinglist'!A:BK,63,FALSE)</f>
        <v>BKK27</v>
      </c>
      <c r="AN31" s="80" t="str">
        <f>VLOOKUP(D31,'2.Bookinglist'!A:AZ,52,FALSE)</f>
        <v>Pickup : 2026-10-12, Return : 2026-10-12</v>
      </c>
      <c r="AO31" s="80">
        <f>VLOOKUP(D31,'2.Bookinglist'!A:CY,103,FALSE)</f>
        <v>0</v>
      </c>
    </row>
    <row r="32" ht="12.95" customHeight="1" spans="1:41" x14ac:dyDescent="0.25">
      <c r="A32" s="3" t="s">
        <v>129</v>
      </c>
      <c r="B32" s="78" t="str">
        <f>IF(C32=Charge!$M$1,Charge!$J$1,IF(C32=Charge!$M$23,Charge!$J$23,IF(C32=Charge!$M$17,Charge!$J$17,IF(C32=Charge!$N$17,Charge!$J$17,Charge!$J$7))))</f>
        <v>G4</v>
      </c>
      <c r="C32" s="79" t="str">
        <f>VLOOKUP(A32,'1.Loading'!A:R,14,FALSE)</f>
        <v>BKK02</v>
      </c>
      <c r="D32" s="79" t="str">
        <f>VLOOKUP(A32,'1.Loading'!A:R,17,FALSE)</f>
        <v>HASLS22260902194</v>
      </c>
      <c r="E32" s="80" t="str">
        <f>VLOOKUP(D32,'2.Bookinglist'!A:CT,27,FALSE)</f>
        <v>METRO PARTICLE CO., LTD.</v>
      </c>
      <c r="F32" s="80" t="str">
        <f>VLOOKUP(D32,'2.Bookinglist'!A:CT,28,FALSE)</f>
        <v>METRO PARTICLE CO., LTD.</v>
      </c>
      <c r="G32" s="81">
        <f>VLOOKUP(D32,'2.Bookinglist'!A:E,5,FALSE)</f>
        <v>0</v>
      </c>
      <c r="H32" s="79" t="str">
        <f>VLOOKUP(D32,'2.Bookinglist'!A:CT,15,FALSE)</f>
        <v>THBKK</v>
      </c>
      <c r="I32" s="79" t="str">
        <f>VLOOKUP(D32,'2.Bookinglist'!A:CT,19,FALSE)</f>
        <v>VNSGN</v>
      </c>
      <c r="J32" s="79">
        <f>VLOOKUP(D32,'2.Bookinglist'!A:CT,26,FALSE)</f>
        <v>0</v>
      </c>
      <c r="K32" s="79" t="str">
        <f>VLOOKUP(A32,'1.Loading'!A:R,5,FALSE)</f>
        <v>45GP</v>
      </c>
      <c r="L32" s="81" t="str">
        <f>VLOOKUP(D32,'2.Bookinglist'!A:CT,85,FALSE)</f>
        <v>CY/CY</v>
      </c>
      <c r="M32" s="81" t="str">
        <f>IF(VLOOKUP(D32,'2.Bookinglist'!A:CT,43,FALSE)=0,"","DG")</f>
        <v/>
      </c>
      <c r="N32" s="81" t="str">
        <f>IF(RIGHT(K32,2)="RE","RF","")</f>
        <v/>
      </c>
      <c r="O32" s="79" t="str">
        <f>VLOOKUP(A32,'1.Loading'!A:R,3,FALSE)</f>
        <v>PGPO</v>
      </c>
      <c r="P32" s="79" t="str">
        <f>VLOOKUP(A32,'1.Loading'!A:R,4,FALSE)</f>
        <v>2612N</v>
      </c>
      <c r="Q32" s="79" t="str">
        <f>VLOOKUP(D32,'2.Bookinglist'!A:CT,12,FALSE)</f>
        <v>NTX</v>
      </c>
      <c r="R32" s="81" t="str">
        <f>IF(LEFT(K32,2)="22","20'","40'")</f>
        <v>40'</v>
      </c>
      <c r="S32" s="63"/>
      <c r="T32" s="79" t="str">
        <f>VLOOKUP(A32,'1.Loading'!A:R,2,FALSE)</f>
        <v>2026-10-15</v>
      </c>
      <c r="U32" s="82">
        <f>T32-S32</f>
        <v>46310</v>
      </c>
      <c r="V32" s="83"/>
      <c r="W32" s="79" t="str">
        <f>VLOOKUP(A32,'3.GateMove'!A:D,4,FALSE)</f>
        <v>2026-10-09</v>
      </c>
      <c r="X32" s="82">
        <f>((T32-W32)+1)</f>
        <v>7</v>
      </c>
      <c r="Y32" s="84">
        <f>IF(AND(OR(C32="BKK01",C32="BKK04"),L32="CFS/CY"),0,IF(M32="DG",1,IF(LEFT(C32,3)="LCH",7,IF(C32="BKK02",5,3))))</f>
        <v>5</v>
      </c>
      <c r="Z32" s="82">
        <f>IF(IF(AND(AC32="TML",AB32&gt;0),((T32-W32)+1)-AB32,((T32-W32)+1)-Y32)&gt;0,IF(AND(AC32="TML",AB32&gt;0),((T32-W32)+1)-AB32,((T32-W32)+1)-Y32),0)</f>
        <v>2</v>
      </c>
      <c r="AA32" s="73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200</v>
      </c>
      <c r="AB32" s="78"/>
      <c r="AC32" s="78"/>
      <c r="AD32" s="81">
        <f>IF(M32="DG",3,IF(N32="RF",3,5))+IF(AND(LEFT(C32,3)="BKK",N32="RF",Q32="KTS"),1,0)+IF(Q32="KHS",1,0)</f>
        <v>5</v>
      </c>
      <c r="AE32" s="82">
        <f>(T32-V32)+1</f>
        <v>46311</v>
      </c>
      <c r="AF32" s="82">
        <f>IF(AB32&gt;IF((V32-W32)&gt;0,V32-W32,0),0,IF(AB32&lt;IF((V32-W32)&gt;0,V32-W32,0),IF((V32-W32)&gt;0,V32-W32,0)-AB32,IF((V32-W32)&gt;0,V32-W32,0)))</f>
        <v>0</v>
      </c>
      <c r="AG32" s="73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85"/>
      <c r="AI32" s="85">
        <f>AA32-AH32</f>
        <v>200</v>
      </c>
      <c r="AJ32" s="86"/>
      <c r="AK32" s="80" t="str">
        <f>VLOOKUP(D32,'2.Bookinglist'!A:CT,40,FALSE)</f>
        <v>Nustsireerach</v>
      </c>
      <c r="AL32" s="81" t="str">
        <f>VLOOKUP(D32,'2.Bookinglist'!A:CW,101,FALSE)</f>
        <v>2026-10-13</v>
      </c>
      <c r="AM32" s="81" t="str">
        <f>VLOOKUP(D32,'2.Bookinglist'!A:BK,63,FALSE)</f>
        <v>BKK27</v>
      </c>
      <c r="AN32" s="80" t="str">
        <f>VLOOKUP(D32,'2.Bookinglist'!A:AZ,52,FALSE)</f>
        <v>CY -RTN DD.07/10 -09/10/2026 = 20x40'hq   RQST CNTR UPGRADE 32.50 TONS
CY -RTN DD.09/ 10 -09/10/2026 =10X40'HQ 
RTN CNTR DD.09/10 WITHOUT RENT</v>
      </c>
      <c r="AO32" s="80">
        <f>VLOOKUP(D32,'2.Bookinglist'!A:CY,103,FALSE)</f>
        <v>0</v>
      </c>
    </row>
    <row r="33" ht="12.95" customHeight="1" spans="1:41" x14ac:dyDescent="0.25">
      <c r="A33" s="3" t="s">
        <v>130</v>
      </c>
      <c r="B33" s="78" t="str">
        <f>IF(C33=Charge!$M$1,Charge!$J$1,IF(C33=Charge!$M$23,Charge!$J$23,IF(C33=Charge!$M$17,Charge!$J$17,IF(C33=Charge!$N$17,Charge!$J$17,Charge!$J$7))))</f>
        <v>G4</v>
      </c>
      <c r="C33" s="79" t="str">
        <f>VLOOKUP(A33,'1.Loading'!A:R,14,FALSE)</f>
        <v>BKK02</v>
      </c>
      <c r="D33" s="79" t="str">
        <f>VLOOKUP(A33,'1.Loading'!A:R,17,FALSE)</f>
        <v>HASLS22260902194</v>
      </c>
      <c r="E33" s="80" t="str">
        <f>VLOOKUP(D33,'2.Bookinglist'!A:CT,27,FALSE)</f>
        <v>METRO PARTICLE CO., LTD.</v>
      </c>
      <c r="F33" s="80" t="str">
        <f>VLOOKUP(D33,'2.Bookinglist'!A:CT,28,FALSE)</f>
        <v>METRO PARTICLE CO., LTD.</v>
      </c>
      <c r="G33" s="81">
        <f>VLOOKUP(D33,'2.Bookinglist'!A:E,5,FALSE)</f>
        <v>0</v>
      </c>
      <c r="H33" s="79" t="str">
        <f>VLOOKUP(D33,'2.Bookinglist'!A:CT,15,FALSE)</f>
        <v>THBKK</v>
      </c>
      <c r="I33" s="79" t="str">
        <f>VLOOKUP(D33,'2.Bookinglist'!A:CT,19,FALSE)</f>
        <v>VNSGN</v>
      </c>
      <c r="J33" s="79">
        <f>VLOOKUP(D33,'2.Bookinglist'!A:CT,26,FALSE)</f>
        <v>0</v>
      </c>
      <c r="K33" s="79" t="str">
        <f>VLOOKUP(A33,'1.Loading'!A:R,5,FALSE)</f>
        <v>45GP</v>
      </c>
      <c r="L33" s="81" t="str">
        <f>VLOOKUP(D33,'2.Bookinglist'!A:CT,85,FALSE)</f>
        <v>CY/CY</v>
      </c>
      <c r="M33" s="81" t="str">
        <f>IF(VLOOKUP(D33,'2.Bookinglist'!A:CT,43,FALSE)=0,"","DG")</f>
        <v/>
      </c>
      <c r="N33" s="81" t="str">
        <f>IF(RIGHT(K33,2)="RE","RF","")</f>
        <v/>
      </c>
      <c r="O33" s="79" t="str">
        <f>VLOOKUP(A33,'1.Loading'!A:R,3,FALSE)</f>
        <v>PGPO</v>
      </c>
      <c r="P33" s="79" t="str">
        <f>VLOOKUP(A33,'1.Loading'!A:R,4,FALSE)</f>
        <v>2612N</v>
      </c>
      <c r="Q33" s="79" t="str">
        <f>VLOOKUP(D33,'2.Bookinglist'!A:CT,12,FALSE)</f>
        <v>NTX</v>
      </c>
      <c r="R33" s="81" t="str">
        <f>IF(LEFT(K33,2)="22","20'","40'")</f>
        <v>40'</v>
      </c>
      <c r="S33" s="63"/>
      <c r="T33" s="79" t="str">
        <f>VLOOKUP(A33,'1.Loading'!A:R,2,FALSE)</f>
        <v>2026-10-15</v>
      </c>
      <c r="U33" s="82">
        <f>T33-S33</f>
        <v>46310</v>
      </c>
      <c r="V33" s="83"/>
      <c r="W33" s="79" t="str">
        <f>VLOOKUP(A33,'3.GateMove'!A:D,4,FALSE)</f>
        <v>2026-10-09</v>
      </c>
      <c r="X33" s="82">
        <f>((T33-W33)+1)</f>
        <v>7</v>
      </c>
      <c r="Y33" s="84">
        <f>IF(AND(OR(C33="BKK01",C33="BKK04"),L33="CFS/CY"),0,IF(M33="DG",1,IF(LEFT(C33,3)="LCH",7,IF(C33="BKK02",5,3))))</f>
        <v>5</v>
      </c>
      <c r="Z33" s="82">
        <f>IF(IF(AND(AC33="TML",AB33&gt;0),((T33-W33)+1)-AB33,((T33-W33)+1)-Y33)&gt;0,IF(AND(AC33="TML",AB33&gt;0),((T33-W33)+1)-AB33,((T33-W33)+1)-Y33),0)</f>
        <v>2</v>
      </c>
      <c r="AA33" s="73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200</v>
      </c>
      <c r="AB33" s="78"/>
      <c r="AC33" s="78"/>
      <c r="AD33" s="81">
        <f>IF(M33="DG",3,IF(N33="RF",3,5))+IF(AND(LEFT(C33,3)="BKK",N33="RF",Q33="KTS"),1,0)+IF(Q33="KHS",1,0)</f>
        <v>5</v>
      </c>
      <c r="AE33" s="82">
        <f>(T33-V33)+1</f>
        <v>46311</v>
      </c>
      <c r="AF33" s="82">
        <f>IF(AB33&gt;IF((V33-W33)&gt;0,V33-W33,0),0,IF(AB33&lt;IF((V33-W33)&gt;0,V33-W33,0),IF((V33-W33)&gt;0,V33-W33,0)-AB33,IF((V33-W33)&gt;0,V33-W33,0)))</f>
        <v>0</v>
      </c>
      <c r="AG33" s="73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85"/>
      <c r="AI33" s="85">
        <f>AA33-AH33</f>
        <v>200</v>
      </c>
      <c r="AJ33" s="86"/>
      <c r="AK33" s="80" t="str">
        <f>VLOOKUP(D33,'2.Bookinglist'!A:CT,40,FALSE)</f>
        <v>Nustsireerach</v>
      </c>
      <c r="AL33" s="81" t="str">
        <f>VLOOKUP(D33,'2.Bookinglist'!A:CW,101,FALSE)</f>
        <v>2026-10-13</v>
      </c>
      <c r="AM33" s="81" t="str">
        <f>VLOOKUP(D33,'2.Bookinglist'!A:BK,63,FALSE)</f>
        <v>BKK27</v>
      </c>
      <c r="AN33" s="80" t="str">
        <f>VLOOKUP(D33,'2.Bookinglist'!A:AZ,52,FALSE)</f>
        <v>CY -RTN DD.07/10 -09/10/2026 = 20x40'hq   RQST CNTR UPGRADE 32.50 TONS
CY -RTN DD.09/ 10 -09/10/2026 =10X40'HQ 
RTN CNTR DD.09/10 WITHOUT RENT</v>
      </c>
      <c r="AO33" s="80">
        <f>VLOOKUP(D33,'2.Bookinglist'!A:CY,103,FALSE)</f>
        <v>0</v>
      </c>
    </row>
    <row r="34" ht="12.95" customHeight="1" spans="1:41" x14ac:dyDescent="0.25">
      <c r="A34" s="3" t="s">
        <v>131</v>
      </c>
      <c r="B34" s="78" t="str">
        <f>IF(C34=Charge!$M$1,Charge!$J$1,IF(C34=Charge!$M$23,Charge!$J$23,IF(C34=Charge!$M$17,Charge!$J$17,IF(C34=Charge!$N$17,Charge!$J$17,Charge!$J$7))))</f>
        <v>G4</v>
      </c>
      <c r="C34" s="79" t="str">
        <f>VLOOKUP(A34,'1.Loading'!A:R,14,FALSE)</f>
        <v>BKK02</v>
      </c>
      <c r="D34" s="79" t="str">
        <f>VLOOKUP(A34,'1.Loading'!A:R,17,FALSE)</f>
        <v>HASLS22260902194</v>
      </c>
      <c r="E34" s="80" t="str">
        <f>VLOOKUP(D34,'2.Bookinglist'!A:CT,27,FALSE)</f>
        <v>METRO PARTICLE CO., LTD.</v>
      </c>
      <c r="F34" s="80" t="str">
        <f>VLOOKUP(D34,'2.Bookinglist'!A:CT,28,FALSE)</f>
        <v>METRO PARTICLE CO., LTD.</v>
      </c>
      <c r="G34" s="81">
        <f>VLOOKUP(D34,'2.Bookinglist'!A:E,5,FALSE)</f>
        <v>0</v>
      </c>
      <c r="H34" s="79" t="str">
        <f>VLOOKUP(D34,'2.Bookinglist'!A:CT,15,FALSE)</f>
        <v>THBKK</v>
      </c>
      <c r="I34" s="79" t="str">
        <f>VLOOKUP(D34,'2.Bookinglist'!A:CT,19,FALSE)</f>
        <v>VNSGN</v>
      </c>
      <c r="J34" s="79">
        <f>VLOOKUP(D34,'2.Bookinglist'!A:CT,26,FALSE)</f>
        <v>0</v>
      </c>
      <c r="K34" s="79" t="str">
        <f>VLOOKUP(A34,'1.Loading'!A:R,5,FALSE)</f>
        <v>45GP</v>
      </c>
      <c r="L34" s="81" t="str">
        <f>VLOOKUP(D34,'2.Bookinglist'!A:CT,85,FALSE)</f>
        <v>CY/CY</v>
      </c>
      <c r="M34" s="81" t="str">
        <f>IF(VLOOKUP(D34,'2.Bookinglist'!A:CT,43,FALSE)=0,"","DG")</f>
        <v/>
      </c>
      <c r="N34" s="81" t="str">
        <f>IF(RIGHT(K34,2)="RE","RF","")</f>
        <v/>
      </c>
      <c r="O34" s="79" t="str">
        <f>VLOOKUP(A34,'1.Loading'!A:R,3,FALSE)</f>
        <v>PGPO</v>
      </c>
      <c r="P34" s="79" t="str">
        <f>VLOOKUP(A34,'1.Loading'!A:R,4,FALSE)</f>
        <v>2612N</v>
      </c>
      <c r="Q34" s="79" t="str">
        <f>VLOOKUP(D34,'2.Bookinglist'!A:CT,12,FALSE)</f>
        <v>NTX</v>
      </c>
      <c r="R34" s="81" t="str">
        <f>IF(LEFT(K34,2)="22","20'","40'")</f>
        <v>40'</v>
      </c>
      <c r="S34" s="63"/>
      <c r="T34" s="79" t="str">
        <f>VLOOKUP(A34,'1.Loading'!A:R,2,FALSE)</f>
        <v>2026-10-15</v>
      </c>
      <c r="U34" s="82">
        <f>T34-S34</f>
        <v>46310</v>
      </c>
      <c r="V34" s="83"/>
      <c r="W34" s="79" t="str">
        <f>VLOOKUP(A34,'3.GateMove'!A:D,4,FALSE)</f>
        <v>2026-10-09</v>
      </c>
      <c r="X34" s="82">
        <f>((T34-W34)+1)</f>
        <v>7</v>
      </c>
      <c r="Y34" s="84">
        <f>IF(AND(OR(C34="BKK01",C34="BKK04"),L34="CFS/CY"),0,IF(M34="DG",1,IF(LEFT(C34,3)="LCH",7,IF(C34="BKK02",5,3))))</f>
        <v>5</v>
      </c>
      <c r="Z34" s="82">
        <f>IF(IF(AND(AC34="TML",AB34&gt;0),((T34-W34)+1)-AB34,((T34-W34)+1)-Y34)&gt;0,IF(AND(AC34="TML",AB34&gt;0),((T34-W34)+1)-AB34,((T34-W34)+1)-Y34),0)</f>
        <v>2</v>
      </c>
      <c r="AA34" s="73">
        <f>IF(AND(B34="G1",M34=""),IF(R34="20'",
VLOOKUP(Z34,Charge!$K$2:$M$5,2,TRUE)+(Z34-VLOOKUP(Z34,Charge!$K$2:$M$5,1,TRUE))*VLOOKUP(Z34,Charge!$K$2:$M$5,3,TRUE),
VLOOKUP(Z34,Charge!$N$2:$P$5,2,TRUE)+(Z34-VLOOKUP(Z34,Charge!$N$2:$P$5,1,TRUE))*VLOOKUP(Z34,Charge!$N$2:$P$5,3,TRUE)),
IF(AND(B34="G1",M34="DG"),IF(R34="20'",
VLOOKUP(Z34,Charge!$R$2:$T$5,2,TRUE)+(Z34-VLOOKUP(Z34,Charge!$R$2:$T$5,1,TRUE))*VLOOKUP(Z34,Charge!$R$2:$T$5,3,TRUE),
VLOOKUP(Z34,Charge!$U$2:$W$5,2,TRUE)+(Z34-VLOOKUP(Z34,Charge!$U$2:$W$5,1,TRUE))*VLOOKUP(Z34,Charge!$U$2:$W$5,3,TRUE)),
IF(AND(B34="G3",M34=""),IF(R34="20'",
VLOOKUP(Z34,Charge!$K$18:$M$21,2,TRUE)+(Z34-VLOOKUP(Z34,Charge!$K$18:$M$21,1,TRUE))*VLOOKUP(Z34,Charge!$K$18:$M$21,3,TRUE),
VLOOKUP(Z34,Charge!$N$18:$P$21,2,TRUE)+(Z34-VLOOKUP(Z34,Charge!$N$18:$P$21,1,TRUE))*VLOOKUP(Z34,Charge!$N$18:$P$21,3,TRUE)),
IF(AND(B34="G3",M34="DG"),IF(R34="20'",
VLOOKUP(Z34,Charge!$R$18:$T$21,2,TRUE)+(Z34-VLOOKUP(Z34,Charge!$R$18:$T$21,1,TRUE))*VLOOKUP(Z34,Charge!$R$18:$T$21,3,TRUE),
VLOOKUP(Z34,Charge!$U$18:$W$21,2,TRUE)+(Z34-VLOOKUP(Z34,Charge!$U$18:$W$21,1,TRUE))*VLOOKUP(Z34,Charge!$U$18:$W$21,3,TRUE)),
IF(AND(B34="G2",M34=""),IF(R34="20'",
VLOOKUP(Z34,Charge!$K$9:$M$12,2,TRUE)+(Z34-VLOOKUP(Z34,Charge!$K$9:$M$12,1,TRUE))*VLOOKUP(Z34,Charge!$K$9:$M$12,3,TRUE),
VLOOKUP(Z34,Charge!$N$9:$P$12,2,TRUE)+(Z34-VLOOKUP(Z34,Charge!$N$9:$P$12,1,TRUE))*VLOOKUP(Z34,Charge!$N$9:$P$12,3,TRUE)),
IF(AND(B34="G2",M34="DG"),IF(R34="20'",
VLOOKUP(Z34,Charge!$R$9:$T$12,2,TRUE)+(Z34-VLOOKUP(Z34,Charge!$R$9:$T$12,1,TRUE))*VLOOKUP(Z34,Charge!$R$9:$T$12,3,TRUE),
VLOOKUP(Z34,Charge!$U$9:$W$12,2,TRUE)+(Z34-VLOOKUP(Z34,Charge!$U$9:$W$12,1,TRUE))*VLOOKUP(Z34,Charge!$U$9:$W$12,3,TRUE)),IF(AND(B34="G4",M34=""),IF(R34="20'",Z34*Charge!$M$25,Z34*Charge!$P$25),IF(AND(B34="G4",M34="DG"),IF(R34="20'",Z34*Charge!$T$25,Z34*Charge!$W$25),0))))))))</f>
        <v>200</v>
      </c>
      <c r="AB34" s="78"/>
      <c r="AC34" s="78"/>
      <c r="AD34" s="81">
        <f>IF(M34="DG",3,IF(N34="RF",3,5))+IF(AND(LEFT(C34,3)="BKK",N34="RF",Q34="KTS"),1,0)+IF(Q34="KHS",1,0)</f>
        <v>5</v>
      </c>
      <c r="AE34" s="82">
        <f>(T34-V34)+1</f>
        <v>46311</v>
      </c>
      <c r="AF34" s="82">
        <f>IF(AB34&gt;IF((V34-W34)&gt;0,V34-W34,0),0,IF(AB34&lt;IF((V34-W34)&gt;0,V34-W34,0),IF((V34-W34)&gt;0,V34-W34,0)-AB34,IF((V34-W34)&gt;0,V34-W34,0)))</f>
        <v>0</v>
      </c>
      <c r="AG34" s="73">
        <f>IF(AND(M34=""),IF(R34="20'",
VLOOKUP(AF34,Charge!$K$31:$M$34,2,TRUE)+(AF34-VLOOKUP(AF34,Charge!$K$31:$M$34,1,TRUE))*VLOOKUP(AF34,Charge!$K$31:$M$34,3,TRUE),
VLOOKUP(AF34,Charge!$N$31:$P$34,2,TRUE)+(AF34-VLOOKUP(AF34,Charge!$N$31:$P$34,1,TRUE))*VLOOKUP(AF34,Charge!$N$31:$P$34,3,TRUE)),
IF(AND(M34="DG"),IF(R34="20'",
VLOOKUP(AF34,Charge!$R$31:$T$34,2,TRUE)+(AF34-VLOOKUP(AF34,Charge!$R$31:$T$34,1,TRUE))*VLOOKUP(AF34,Charge!$R$31:$T$34,3,TRUE),
VLOOKUP(AF34,Charge!$U$31:$W$34,2,TRUE)+(AF34-VLOOKUP(AF34,Charge!$U$31:$W$34,1,TRUE))*VLOOKUP(AF34,Charge!$U$31:$W$34,3,TRUE)),0))</f>
        <v>0</v>
      </c>
      <c r="AH34" s="85"/>
      <c r="AI34" s="85">
        <f>AA34-AH34</f>
        <v>200</v>
      </c>
      <c r="AJ34" s="86"/>
      <c r="AK34" s="80" t="str">
        <f>VLOOKUP(D34,'2.Bookinglist'!A:CT,40,FALSE)</f>
        <v>Nustsireerach</v>
      </c>
      <c r="AL34" s="81" t="str">
        <f>VLOOKUP(D34,'2.Bookinglist'!A:CW,101,FALSE)</f>
        <v>2026-10-13</v>
      </c>
      <c r="AM34" s="81" t="str">
        <f>VLOOKUP(D34,'2.Bookinglist'!A:BK,63,FALSE)</f>
        <v>BKK27</v>
      </c>
      <c r="AN34" s="80" t="str">
        <f>VLOOKUP(D34,'2.Bookinglist'!A:AZ,52,FALSE)</f>
        <v>CY -RTN DD.07/10 -09/10/2026 = 20x40'hq   RQST CNTR UPGRADE 32.50 TONS
CY -RTN DD.09/ 10 -09/10/2026 =10X40'HQ 
RTN CNTR DD.09/10 WITHOUT RENT</v>
      </c>
      <c r="AO34" s="80">
        <f>VLOOKUP(D34,'2.Bookinglist'!A:CY,103,FALSE)</f>
        <v>0</v>
      </c>
    </row>
    <row r="35" ht="12.95" customHeight="1" spans="1:41" x14ac:dyDescent="0.25">
      <c r="A35" s="3" t="s">
        <v>132</v>
      </c>
      <c r="B35" s="78" t="str">
        <f>IF(C35=Charge!$M$1,Charge!$J$1,IF(C35=Charge!$M$23,Charge!$J$23,IF(C35=Charge!$M$17,Charge!$J$17,IF(C35=Charge!$N$17,Charge!$J$17,Charge!$J$7))))</f>
        <v>G4</v>
      </c>
      <c r="C35" s="79" t="str">
        <f>VLOOKUP(A35,'1.Loading'!A:R,14,FALSE)</f>
        <v>BKK02</v>
      </c>
      <c r="D35" s="79" t="str">
        <f>VLOOKUP(A35,'1.Loading'!A:R,17,FALSE)</f>
        <v>HASLS22260902194</v>
      </c>
      <c r="E35" s="80" t="str">
        <f>VLOOKUP(D35,'2.Bookinglist'!A:CT,27,FALSE)</f>
        <v>METRO PARTICLE CO., LTD.</v>
      </c>
      <c r="F35" s="80" t="str">
        <f>VLOOKUP(D35,'2.Bookinglist'!A:CT,28,FALSE)</f>
        <v>METRO PARTICLE CO., LTD.</v>
      </c>
      <c r="G35" s="81">
        <f>VLOOKUP(D35,'2.Bookinglist'!A:E,5,FALSE)</f>
        <v>0</v>
      </c>
      <c r="H35" s="79" t="str">
        <f>VLOOKUP(D35,'2.Bookinglist'!A:CT,15,FALSE)</f>
        <v>THBKK</v>
      </c>
      <c r="I35" s="79" t="str">
        <f>VLOOKUP(D35,'2.Bookinglist'!A:CT,19,FALSE)</f>
        <v>VNSGN</v>
      </c>
      <c r="J35" s="79">
        <f>VLOOKUP(D35,'2.Bookinglist'!A:CT,26,FALSE)</f>
        <v>0</v>
      </c>
      <c r="K35" s="79" t="str">
        <f>VLOOKUP(A35,'1.Loading'!A:R,5,FALSE)</f>
        <v>45GP</v>
      </c>
      <c r="L35" s="81" t="str">
        <f>VLOOKUP(D35,'2.Bookinglist'!A:CT,85,FALSE)</f>
        <v>CY/CY</v>
      </c>
      <c r="M35" s="81" t="str">
        <f>IF(VLOOKUP(D35,'2.Bookinglist'!A:CT,43,FALSE)=0,"","DG")</f>
        <v/>
      </c>
      <c r="N35" s="81" t="str">
        <f>IF(RIGHT(K35,2)="RE","RF","")</f>
        <v/>
      </c>
      <c r="O35" s="79" t="str">
        <f>VLOOKUP(A35,'1.Loading'!A:R,3,FALSE)</f>
        <v>PGPO</v>
      </c>
      <c r="P35" s="79" t="str">
        <f>VLOOKUP(A35,'1.Loading'!A:R,4,FALSE)</f>
        <v>2612N</v>
      </c>
      <c r="Q35" s="79" t="str">
        <f>VLOOKUP(D35,'2.Bookinglist'!A:CT,12,FALSE)</f>
        <v>NTX</v>
      </c>
      <c r="R35" s="81" t="str">
        <f>IF(LEFT(K35,2)="22","20'","40'")</f>
        <v>40'</v>
      </c>
      <c r="S35" s="63"/>
      <c r="T35" s="79" t="str">
        <f>VLOOKUP(A35,'1.Loading'!A:R,2,FALSE)</f>
        <v>2026-10-15</v>
      </c>
      <c r="U35" s="82">
        <f>T35-S35</f>
        <v>46310</v>
      </c>
      <c r="V35" s="83"/>
      <c r="W35" s="79" t="str">
        <f>VLOOKUP(A35,'3.GateMove'!A:D,4,FALSE)</f>
        <v>2026-10-09</v>
      </c>
      <c r="X35" s="82">
        <f>((T35-W35)+1)</f>
        <v>7</v>
      </c>
      <c r="Y35" s="84">
        <f>IF(AND(OR(C35="BKK01",C35="BKK04"),L35="CFS/CY"),0,IF(M35="DG",1,IF(LEFT(C35,3)="LCH",7,IF(C35="BKK02",5,3))))</f>
        <v>5</v>
      </c>
      <c r="Z35" s="82">
        <f>IF(IF(AND(AC35="TML",AB35&gt;0),((T35-W35)+1)-AB35,((T35-W35)+1)-Y35)&gt;0,IF(AND(AC35="TML",AB35&gt;0),((T35-W35)+1)-AB35,((T35-W35)+1)-Y35),0)</f>
        <v>2</v>
      </c>
      <c r="AA35" s="73">
        <f>IF(AND(B35="G1",M35=""),IF(R35="20'",
VLOOKUP(Z35,Charge!$K$2:$M$5,2,TRUE)+(Z35-VLOOKUP(Z35,Charge!$K$2:$M$5,1,TRUE))*VLOOKUP(Z35,Charge!$K$2:$M$5,3,TRUE),
VLOOKUP(Z35,Charge!$N$2:$P$5,2,TRUE)+(Z35-VLOOKUP(Z35,Charge!$N$2:$P$5,1,TRUE))*VLOOKUP(Z35,Charge!$N$2:$P$5,3,TRUE)),
IF(AND(B35="G1",M35="DG"),IF(R35="20'",
VLOOKUP(Z35,Charge!$R$2:$T$5,2,TRUE)+(Z35-VLOOKUP(Z35,Charge!$R$2:$T$5,1,TRUE))*VLOOKUP(Z35,Charge!$R$2:$T$5,3,TRUE),
VLOOKUP(Z35,Charge!$U$2:$W$5,2,TRUE)+(Z35-VLOOKUP(Z35,Charge!$U$2:$W$5,1,TRUE))*VLOOKUP(Z35,Charge!$U$2:$W$5,3,TRUE)),
IF(AND(B35="G3",M35=""),IF(R35="20'",
VLOOKUP(Z35,Charge!$K$18:$M$21,2,TRUE)+(Z35-VLOOKUP(Z35,Charge!$K$18:$M$21,1,TRUE))*VLOOKUP(Z35,Charge!$K$18:$M$21,3,TRUE),
VLOOKUP(Z35,Charge!$N$18:$P$21,2,TRUE)+(Z35-VLOOKUP(Z35,Charge!$N$18:$P$21,1,TRUE))*VLOOKUP(Z35,Charge!$N$18:$P$21,3,TRUE)),
IF(AND(B35="G3",M35="DG"),IF(R35="20'",
VLOOKUP(Z35,Charge!$R$18:$T$21,2,TRUE)+(Z35-VLOOKUP(Z35,Charge!$R$18:$T$21,1,TRUE))*VLOOKUP(Z35,Charge!$R$18:$T$21,3,TRUE),
VLOOKUP(Z35,Charge!$U$18:$W$21,2,TRUE)+(Z35-VLOOKUP(Z35,Charge!$U$18:$W$21,1,TRUE))*VLOOKUP(Z35,Charge!$U$18:$W$21,3,TRUE)),
IF(AND(B35="G2",M35=""),IF(R35="20'",
VLOOKUP(Z35,Charge!$K$9:$M$12,2,TRUE)+(Z35-VLOOKUP(Z35,Charge!$K$9:$M$12,1,TRUE))*VLOOKUP(Z35,Charge!$K$9:$M$12,3,TRUE),
VLOOKUP(Z35,Charge!$N$9:$P$12,2,TRUE)+(Z35-VLOOKUP(Z35,Charge!$N$9:$P$12,1,TRUE))*VLOOKUP(Z35,Charge!$N$9:$P$12,3,TRUE)),
IF(AND(B35="G2",M35="DG"),IF(R35="20'",
VLOOKUP(Z35,Charge!$R$9:$T$12,2,TRUE)+(Z35-VLOOKUP(Z35,Charge!$R$9:$T$12,1,TRUE))*VLOOKUP(Z35,Charge!$R$9:$T$12,3,TRUE),
VLOOKUP(Z35,Charge!$U$9:$W$12,2,TRUE)+(Z35-VLOOKUP(Z35,Charge!$U$9:$W$12,1,TRUE))*VLOOKUP(Z35,Charge!$U$9:$W$12,3,TRUE)),IF(AND(B35="G4",M35=""),IF(R35="20'",Z35*Charge!$M$25,Z35*Charge!$P$25),IF(AND(B35="G4",M35="DG"),IF(R35="20'",Z35*Charge!$T$25,Z35*Charge!$W$25),0))))))))</f>
        <v>200</v>
      </c>
      <c r="AB35" s="78"/>
      <c r="AC35" s="78"/>
      <c r="AD35" s="81">
        <f>IF(M35="DG",3,IF(N35="RF",3,5))+IF(AND(LEFT(C35,3)="BKK",N35="RF",Q35="KTS"),1,0)+IF(Q35="KHS",1,0)</f>
        <v>5</v>
      </c>
      <c r="AE35" s="82">
        <f>(T35-V35)+1</f>
        <v>46311</v>
      </c>
      <c r="AF35" s="82">
        <f>IF(AB35&gt;IF((V35-W35)&gt;0,V35-W35,0),0,IF(AB35&lt;IF((V35-W35)&gt;0,V35-W35,0),IF((V35-W35)&gt;0,V35-W35,0)-AB35,IF((V35-W35)&gt;0,V35-W35,0)))</f>
        <v>0</v>
      </c>
      <c r="AG35" s="73">
        <f>IF(AND(M35=""),IF(R35="20'",
VLOOKUP(AF35,Charge!$K$31:$M$34,2,TRUE)+(AF35-VLOOKUP(AF35,Charge!$K$31:$M$34,1,TRUE))*VLOOKUP(AF35,Charge!$K$31:$M$34,3,TRUE),
VLOOKUP(AF35,Charge!$N$31:$P$34,2,TRUE)+(AF35-VLOOKUP(AF35,Charge!$N$31:$P$34,1,TRUE))*VLOOKUP(AF35,Charge!$N$31:$P$34,3,TRUE)),
IF(AND(M35="DG"),IF(R35="20'",
VLOOKUP(AF35,Charge!$R$31:$T$34,2,TRUE)+(AF35-VLOOKUP(AF35,Charge!$R$31:$T$34,1,TRUE))*VLOOKUP(AF35,Charge!$R$31:$T$34,3,TRUE),
VLOOKUP(AF35,Charge!$U$31:$W$34,2,TRUE)+(AF35-VLOOKUP(AF35,Charge!$U$31:$W$34,1,TRUE))*VLOOKUP(AF35,Charge!$U$31:$W$34,3,TRUE)),0))</f>
        <v>0</v>
      </c>
      <c r="AH35" s="85"/>
      <c r="AI35" s="85">
        <f>AA35-AH35</f>
        <v>200</v>
      </c>
      <c r="AJ35" s="86"/>
      <c r="AK35" s="80" t="str">
        <f>VLOOKUP(D35,'2.Bookinglist'!A:CT,40,FALSE)</f>
        <v>Nustsireerach</v>
      </c>
      <c r="AL35" s="81" t="str">
        <f>VLOOKUP(D35,'2.Bookinglist'!A:CW,101,FALSE)</f>
        <v>2026-10-13</v>
      </c>
      <c r="AM35" s="81" t="str">
        <f>VLOOKUP(D35,'2.Bookinglist'!A:BK,63,FALSE)</f>
        <v>BKK27</v>
      </c>
      <c r="AN35" s="80" t="str">
        <f>VLOOKUP(D35,'2.Bookinglist'!A:AZ,52,FALSE)</f>
        <v>CY -RTN DD.07/10 -09/10/2026 = 20x40'hq   RQST CNTR UPGRADE 32.50 TONS
CY -RTN DD.09/ 10 -09/10/2026 =10X40'HQ 
RTN CNTR DD.09/10 WITHOUT RENT</v>
      </c>
      <c r="AO35" s="80">
        <f>VLOOKUP(D35,'2.Bookinglist'!A:CY,103,FALSE)</f>
        <v>0</v>
      </c>
    </row>
    <row r="36" ht="12.95" customHeight="1" spans="1:41" x14ac:dyDescent="0.25">
      <c r="A36" s="3" t="s">
        <v>133</v>
      </c>
      <c r="B36" s="78" t="str">
        <f>IF(C36=Charge!$M$1,Charge!$J$1,IF(C36=Charge!$M$23,Charge!$J$23,IF(C36=Charge!$M$17,Charge!$J$17,IF(C36=Charge!$N$17,Charge!$J$17,Charge!$J$7))))</f>
        <v>G4</v>
      </c>
      <c r="C36" s="79" t="str">
        <f>VLOOKUP(A36,'1.Loading'!A:R,14,FALSE)</f>
        <v>BKK02</v>
      </c>
      <c r="D36" s="79" t="str">
        <f>VLOOKUP(A36,'1.Loading'!A:R,17,FALSE)</f>
        <v>HASLS22260802364</v>
      </c>
      <c r="E36" s="80" t="str">
        <f>VLOOKUP(D36,'2.Bookinglist'!A:CT,27,FALSE)</f>
        <v>WORLD NET LOGISTICS (THAILAND) CO.,LTD.</v>
      </c>
      <c r="F36" s="80" t="str">
        <f>VLOOKUP(D36,'2.Bookinglist'!A:CT,28,FALSE)</f>
        <v>SAMWON LAMLUKA (THAI LAND) CO., LTD.</v>
      </c>
      <c r="G36" s="81">
        <f>VLOOKUP(D36,'2.Bookinglist'!A:E,5,FALSE)</f>
        <v>0</v>
      </c>
      <c r="H36" s="79" t="str">
        <f>VLOOKUP(D36,'2.Bookinglist'!A:CT,15,FALSE)</f>
        <v>THBKK</v>
      </c>
      <c r="I36" s="79" t="str">
        <f>VLOOKUP(D36,'2.Bookinglist'!A:CT,19,FALSE)</f>
        <v>KRINC</v>
      </c>
      <c r="J36" s="79">
        <f>VLOOKUP(D36,'2.Bookinglist'!A:CT,26,FALSE)</f>
        <v>0</v>
      </c>
      <c r="K36" s="79" t="str">
        <f>VLOOKUP(A36,'1.Loading'!A:R,5,FALSE)</f>
        <v>45GP</v>
      </c>
      <c r="L36" s="81" t="str">
        <f>VLOOKUP(D36,'2.Bookinglist'!A:CT,85,FALSE)</f>
        <v>CY/CY</v>
      </c>
      <c r="M36" s="81" t="str">
        <f>IF(VLOOKUP(D36,'2.Bookinglist'!A:CT,43,FALSE)=0,"","DG")</f>
        <v/>
      </c>
      <c r="N36" s="81" t="str">
        <f>IF(RIGHT(K36,2)="RE","RF","")</f>
        <v/>
      </c>
      <c r="O36" s="79" t="str">
        <f>VLOOKUP(A36,'1.Loading'!A:R,3,FALSE)</f>
        <v>PGPO</v>
      </c>
      <c r="P36" s="79" t="str">
        <f>VLOOKUP(A36,'1.Loading'!A:R,4,FALSE)</f>
        <v>2612N</v>
      </c>
      <c r="Q36" s="79" t="str">
        <f>VLOOKUP(D36,'2.Bookinglist'!A:CT,12,FALSE)</f>
        <v>NTX</v>
      </c>
      <c r="R36" s="81" t="str">
        <f>IF(LEFT(K36,2)="22","20'","40'")</f>
        <v>40'</v>
      </c>
      <c r="S36" s="63"/>
      <c r="T36" s="79" t="str">
        <f>VLOOKUP(A36,'1.Loading'!A:R,2,FALSE)</f>
        <v>2026-10-15</v>
      </c>
      <c r="U36" s="82">
        <f>T36-S36</f>
        <v>46310</v>
      </c>
      <c r="V36" s="83"/>
      <c r="W36" s="79" t="str">
        <f>VLOOKUP(A36,'3.GateMove'!A:D,4,FALSE)</f>
        <v>2026-10-09</v>
      </c>
      <c r="X36" s="82">
        <f>((T36-W36)+1)</f>
        <v>7</v>
      </c>
      <c r="Y36" s="84">
        <f>IF(AND(OR(C36="BKK01",C36="BKK04"),L36="CFS/CY"),0,IF(M36="DG",1,IF(LEFT(C36,3)="LCH",7,IF(C36="BKK02",5,3))))</f>
        <v>5</v>
      </c>
      <c r="Z36" s="82">
        <f>IF(IF(AND(AC36="TML",AB36&gt;0),((T36-W36)+1)-AB36,((T36-W36)+1)-Y36)&gt;0,IF(AND(AC36="TML",AB36&gt;0),((T36-W36)+1)-AB36,((T36-W36)+1)-Y36),0)</f>
        <v>2</v>
      </c>
      <c r="AA36" s="73">
        <f>IF(AND(B36="G1",M36=""),IF(R36="20'",
VLOOKUP(Z36,Charge!$K$2:$M$5,2,TRUE)+(Z36-VLOOKUP(Z36,Charge!$K$2:$M$5,1,TRUE))*VLOOKUP(Z36,Charge!$K$2:$M$5,3,TRUE),
VLOOKUP(Z36,Charge!$N$2:$P$5,2,TRUE)+(Z36-VLOOKUP(Z36,Charge!$N$2:$P$5,1,TRUE))*VLOOKUP(Z36,Charge!$N$2:$P$5,3,TRUE)),
IF(AND(B36="G1",M36="DG"),IF(R36="20'",
VLOOKUP(Z36,Charge!$R$2:$T$5,2,TRUE)+(Z36-VLOOKUP(Z36,Charge!$R$2:$T$5,1,TRUE))*VLOOKUP(Z36,Charge!$R$2:$T$5,3,TRUE),
VLOOKUP(Z36,Charge!$U$2:$W$5,2,TRUE)+(Z36-VLOOKUP(Z36,Charge!$U$2:$W$5,1,TRUE))*VLOOKUP(Z36,Charge!$U$2:$W$5,3,TRUE)),
IF(AND(B36="G3",M36=""),IF(R36="20'",
VLOOKUP(Z36,Charge!$K$18:$M$21,2,TRUE)+(Z36-VLOOKUP(Z36,Charge!$K$18:$M$21,1,TRUE))*VLOOKUP(Z36,Charge!$K$18:$M$21,3,TRUE),
VLOOKUP(Z36,Charge!$N$18:$P$21,2,TRUE)+(Z36-VLOOKUP(Z36,Charge!$N$18:$P$21,1,TRUE))*VLOOKUP(Z36,Charge!$N$18:$P$21,3,TRUE)),
IF(AND(B36="G3",M36="DG"),IF(R36="20'",
VLOOKUP(Z36,Charge!$R$18:$T$21,2,TRUE)+(Z36-VLOOKUP(Z36,Charge!$R$18:$T$21,1,TRUE))*VLOOKUP(Z36,Charge!$R$18:$T$21,3,TRUE),
VLOOKUP(Z36,Charge!$U$18:$W$21,2,TRUE)+(Z36-VLOOKUP(Z36,Charge!$U$18:$W$21,1,TRUE))*VLOOKUP(Z36,Charge!$U$18:$W$21,3,TRUE)),
IF(AND(B36="G2",M36=""),IF(R36="20'",
VLOOKUP(Z36,Charge!$K$9:$M$12,2,TRUE)+(Z36-VLOOKUP(Z36,Charge!$K$9:$M$12,1,TRUE))*VLOOKUP(Z36,Charge!$K$9:$M$12,3,TRUE),
VLOOKUP(Z36,Charge!$N$9:$P$12,2,TRUE)+(Z36-VLOOKUP(Z36,Charge!$N$9:$P$12,1,TRUE))*VLOOKUP(Z36,Charge!$N$9:$P$12,3,TRUE)),
IF(AND(B36="G2",M36="DG"),IF(R36="20'",
VLOOKUP(Z36,Charge!$R$9:$T$12,2,TRUE)+(Z36-VLOOKUP(Z36,Charge!$R$9:$T$12,1,TRUE))*VLOOKUP(Z36,Charge!$R$9:$T$12,3,TRUE),
VLOOKUP(Z36,Charge!$U$9:$W$12,2,TRUE)+(Z36-VLOOKUP(Z36,Charge!$U$9:$W$12,1,TRUE))*VLOOKUP(Z36,Charge!$U$9:$W$12,3,TRUE)),IF(AND(B36="G4",M36=""),IF(R36="20'",Z36*Charge!$M$25,Z36*Charge!$P$25),IF(AND(B36="G4",M36="DG"),IF(R36="20'",Z36*Charge!$T$25,Z36*Charge!$W$25),0))))))))</f>
        <v>200</v>
      </c>
      <c r="AB36" s="78"/>
      <c r="AC36" s="78"/>
      <c r="AD36" s="81">
        <f>IF(M36="DG",3,IF(N36="RF",3,5))+IF(AND(LEFT(C36,3)="BKK",N36="RF",Q36="KTS"),1,0)+IF(Q36="KHS",1,0)</f>
        <v>5</v>
      </c>
      <c r="AE36" s="82">
        <f>(T36-V36)+1</f>
        <v>46311</v>
      </c>
      <c r="AF36" s="82">
        <f>IF(AB36&gt;IF((V36-W36)&gt;0,V36-W36,0),0,IF(AB36&lt;IF((V36-W36)&gt;0,V36-W36,0),IF((V36-W36)&gt;0,V36-W36,0)-AB36,IF((V36-W36)&gt;0,V36-W36,0)))</f>
        <v>0</v>
      </c>
      <c r="AG36" s="73">
        <f>IF(AND(M36=""),IF(R36="20'",
VLOOKUP(AF36,Charge!$K$31:$M$34,2,TRUE)+(AF36-VLOOKUP(AF36,Charge!$K$31:$M$34,1,TRUE))*VLOOKUP(AF36,Charge!$K$31:$M$34,3,TRUE),
VLOOKUP(AF36,Charge!$N$31:$P$34,2,TRUE)+(AF36-VLOOKUP(AF36,Charge!$N$31:$P$34,1,TRUE))*VLOOKUP(AF36,Charge!$N$31:$P$34,3,TRUE)),
IF(AND(M36="DG"),IF(R36="20'",
VLOOKUP(AF36,Charge!$R$31:$T$34,2,TRUE)+(AF36-VLOOKUP(AF36,Charge!$R$31:$T$34,1,TRUE))*VLOOKUP(AF36,Charge!$R$31:$T$34,3,TRUE),
VLOOKUP(AF36,Charge!$U$31:$W$34,2,TRUE)+(AF36-VLOOKUP(AF36,Charge!$U$31:$W$34,1,TRUE))*VLOOKUP(AF36,Charge!$U$31:$W$34,3,TRUE)),0))</f>
        <v>0</v>
      </c>
      <c r="AH36" s="85"/>
      <c r="AI36" s="85">
        <f>AA36-AH36</f>
        <v>200</v>
      </c>
      <c r="AJ36" s="86"/>
      <c r="AK36" s="80" t="str">
        <f>VLOOKUP(D36,'2.Bookinglist'!A:CT,40,FALSE)</f>
        <v>Kanokporn</v>
      </c>
      <c r="AL36" s="81" t="str">
        <f>VLOOKUP(D36,'2.Bookinglist'!A:CW,101,FALSE)</f>
        <v>2026-10-15</v>
      </c>
      <c r="AM36" s="81" t="str">
        <f>VLOOKUP(D36,'2.Bookinglist'!A:BK,63,FALSE)</f>
        <v>BKK25</v>
      </c>
      <c r="AN36" s="80" t="str">
        <f>VLOOKUP(D36,'2.Bookinglist'!A:AZ,52,FALSE)</f>
        <v>Pickup : 2026-10-08, Return : 2026-10-09</v>
      </c>
      <c r="AO36" s="80" t="str">
        <f>VLOOKUP(D36,'2.Bookinglist'!A:CY,103,FALSE)</f>
        <v>ROLL OVER FORM PREVIOUS VSL SWBT 2616N BY ALLOCATION TEAM MS.TARN DD.14/10</v>
      </c>
    </row>
    <row r="37" ht="12.95" customHeight="1" spans="1:41" x14ac:dyDescent="0.25">
      <c r="A37" s="3" t="s">
        <v>137</v>
      </c>
      <c r="B37" s="78" t="str">
        <f>IF(C37=Charge!$M$1,Charge!$J$1,IF(C37=Charge!$M$23,Charge!$J$23,IF(C37=Charge!$M$17,Charge!$J$17,IF(C37=Charge!$N$17,Charge!$J$17,Charge!$J$7))))</f>
        <v>G4</v>
      </c>
      <c r="C37" s="79" t="str">
        <f>VLOOKUP(A37,'1.Loading'!A:R,14,FALSE)</f>
        <v>BKK02</v>
      </c>
      <c r="D37" s="79" t="str">
        <f>VLOOKUP(A37,'1.Loading'!A:R,17,FALSE)</f>
        <v>HASLS22260902194</v>
      </c>
      <c r="E37" s="80" t="str">
        <f>VLOOKUP(D37,'2.Bookinglist'!A:CT,27,FALSE)</f>
        <v>METRO PARTICLE CO., LTD.</v>
      </c>
      <c r="F37" s="80" t="str">
        <f>VLOOKUP(D37,'2.Bookinglist'!A:CT,28,FALSE)</f>
        <v>METRO PARTICLE CO., LTD.</v>
      </c>
      <c r="G37" s="81">
        <f>VLOOKUP(D37,'2.Bookinglist'!A:E,5,FALSE)</f>
        <v>0</v>
      </c>
      <c r="H37" s="79" t="str">
        <f>VLOOKUP(D37,'2.Bookinglist'!A:CT,15,FALSE)</f>
        <v>THBKK</v>
      </c>
      <c r="I37" s="79" t="str">
        <f>VLOOKUP(D37,'2.Bookinglist'!A:CT,19,FALSE)</f>
        <v>VNSGN</v>
      </c>
      <c r="J37" s="79">
        <f>VLOOKUP(D37,'2.Bookinglist'!A:CT,26,FALSE)</f>
        <v>0</v>
      </c>
      <c r="K37" s="79" t="str">
        <f>VLOOKUP(A37,'1.Loading'!A:R,5,FALSE)</f>
        <v>45GP</v>
      </c>
      <c r="L37" s="81" t="str">
        <f>VLOOKUP(D37,'2.Bookinglist'!A:CT,85,FALSE)</f>
        <v>CY/CY</v>
      </c>
      <c r="M37" s="81" t="str">
        <f>IF(VLOOKUP(D37,'2.Bookinglist'!A:CT,43,FALSE)=0,"","DG")</f>
        <v/>
      </c>
      <c r="N37" s="81" t="str">
        <f>IF(RIGHT(K37,2)="RE","RF","")</f>
        <v/>
      </c>
      <c r="O37" s="79" t="str">
        <f>VLOOKUP(A37,'1.Loading'!A:R,3,FALSE)</f>
        <v>PGPO</v>
      </c>
      <c r="P37" s="79" t="str">
        <f>VLOOKUP(A37,'1.Loading'!A:R,4,FALSE)</f>
        <v>2612N</v>
      </c>
      <c r="Q37" s="79" t="str">
        <f>VLOOKUP(D37,'2.Bookinglist'!A:CT,12,FALSE)</f>
        <v>NTX</v>
      </c>
      <c r="R37" s="81" t="str">
        <f>IF(LEFT(K37,2)="22","20'","40'")</f>
        <v>40'</v>
      </c>
      <c r="S37" s="63"/>
      <c r="T37" s="79" t="str">
        <f>VLOOKUP(A37,'1.Loading'!A:R,2,FALSE)</f>
        <v>2026-10-15</v>
      </c>
      <c r="U37" s="82">
        <f>T37-S37</f>
        <v>46310</v>
      </c>
      <c r="V37" s="83"/>
      <c r="W37" s="79" t="str">
        <f>VLOOKUP(A37,'3.GateMove'!A:D,4,FALSE)</f>
        <v>2026-10-11</v>
      </c>
      <c r="X37" s="82">
        <f>((T37-W37)+1)</f>
        <v>5</v>
      </c>
      <c r="Y37" s="84">
        <f>IF(AND(OR(C37="BKK01",C37="BKK04"),L37="CFS/CY"),0,IF(M37="DG",1,IF(LEFT(C37,3)="LCH",7,IF(C37="BKK02",5,3))))</f>
        <v>5</v>
      </c>
      <c r="Z37" s="82">
        <f>IF(IF(AND(AC37="TML",AB37&gt;0),((T37-W37)+1)-AB37,((T37-W37)+1)-Y37)&gt;0,IF(AND(AC37="TML",AB37&gt;0),((T37-W37)+1)-AB37,((T37-W37)+1)-Y37),0)</f>
        <v>0</v>
      </c>
      <c r="AA37" s="73">
        <f>IF(AND(B37="G1",M37=""),IF(R37="20'",
VLOOKUP(Z37,Charge!$K$2:$M$5,2,TRUE)+(Z37-VLOOKUP(Z37,Charge!$K$2:$M$5,1,TRUE))*VLOOKUP(Z37,Charge!$K$2:$M$5,3,TRUE),
VLOOKUP(Z37,Charge!$N$2:$P$5,2,TRUE)+(Z37-VLOOKUP(Z37,Charge!$N$2:$P$5,1,TRUE))*VLOOKUP(Z37,Charge!$N$2:$P$5,3,TRUE)),
IF(AND(B37="G1",M37="DG"),IF(R37="20'",
VLOOKUP(Z37,Charge!$R$2:$T$5,2,TRUE)+(Z37-VLOOKUP(Z37,Charge!$R$2:$T$5,1,TRUE))*VLOOKUP(Z37,Charge!$R$2:$T$5,3,TRUE),
VLOOKUP(Z37,Charge!$U$2:$W$5,2,TRUE)+(Z37-VLOOKUP(Z37,Charge!$U$2:$W$5,1,TRUE))*VLOOKUP(Z37,Charge!$U$2:$W$5,3,TRUE)),
IF(AND(B37="G3",M37=""),IF(R37="20'",
VLOOKUP(Z37,Charge!$K$18:$M$21,2,TRUE)+(Z37-VLOOKUP(Z37,Charge!$K$18:$M$21,1,TRUE))*VLOOKUP(Z37,Charge!$K$18:$M$21,3,TRUE),
VLOOKUP(Z37,Charge!$N$18:$P$21,2,TRUE)+(Z37-VLOOKUP(Z37,Charge!$N$18:$P$21,1,TRUE))*VLOOKUP(Z37,Charge!$N$18:$P$21,3,TRUE)),
IF(AND(B37="G3",M37="DG"),IF(R37="20'",
VLOOKUP(Z37,Charge!$R$18:$T$21,2,TRUE)+(Z37-VLOOKUP(Z37,Charge!$R$18:$T$21,1,TRUE))*VLOOKUP(Z37,Charge!$R$18:$T$21,3,TRUE),
VLOOKUP(Z37,Charge!$U$18:$W$21,2,TRUE)+(Z37-VLOOKUP(Z37,Charge!$U$18:$W$21,1,TRUE))*VLOOKUP(Z37,Charge!$U$18:$W$21,3,TRUE)),
IF(AND(B37="G2",M37=""),IF(R37="20'",
VLOOKUP(Z37,Charge!$K$9:$M$12,2,TRUE)+(Z37-VLOOKUP(Z37,Charge!$K$9:$M$12,1,TRUE))*VLOOKUP(Z37,Charge!$K$9:$M$12,3,TRUE),
VLOOKUP(Z37,Charge!$N$9:$P$12,2,TRUE)+(Z37-VLOOKUP(Z37,Charge!$N$9:$P$12,1,TRUE))*VLOOKUP(Z37,Charge!$N$9:$P$12,3,TRUE)),
IF(AND(B37="G2",M37="DG"),IF(R37="20'",
VLOOKUP(Z37,Charge!$R$9:$T$12,2,TRUE)+(Z37-VLOOKUP(Z37,Charge!$R$9:$T$12,1,TRUE))*VLOOKUP(Z37,Charge!$R$9:$T$12,3,TRUE),
VLOOKUP(Z37,Charge!$U$9:$W$12,2,TRUE)+(Z37-VLOOKUP(Z37,Charge!$U$9:$W$12,1,TRUE))*VLOOKUP(Z37,Charge!$U$9:$W$12,3,TRUE)),IF(AND(B37="G4",M37=""),IF(R37="20'",Z37*Charge!$M$25,Z37*Charge!$P$25),IF(AND(B37="G4",M37="DG"),IF(R37="20'",Z37*Charge!$T$25,Z37*Charge!$W$25),0))))))))</f>
        <v>0</v>
      </c>
      <c r="AB37" s="78"/>
      <c r="AC37" s="78"/>
      <c r="AD37" s="81">
        <f>IF(M37="DG",3,IF(N37="RF",3,5))+IF(AND(LEFT(C37,3)="BKK",N37="RF",Q37="KTS"),1,0)+IF(Q37="KHS",1,0)</f>
        <v>5</v>
      </c>
      <c r="AE37" s="82">
        <f>(T37-V37)+1</f>
        <v>46311</v>
      </c>
      <c r="AF37" s="82">
        <f>IF(AB37&gt;IF((V37-W37)&gt;0,V37-W37,0),0,IF(AB37&lt;IF((V37-W37)&gt;0,V37-W37,0),IF((V37-W37)&gt;0,V37-W37,0)-AB37,IF((V37-W37)&gt;0,V37-W37,0)))</f>
        <v>0</v>
      </c>
      <c r="AG37" s="73">
        <f>IF(AND(M37=""),IF(R37="20'",
VLOOKUP(AF37,Charge!$K$31:$M$34,2,TRUE)+(AF37-VLOOKUP(AF37,Charge!$K$31:$M$34,1,TRUE))*VLOOKUP(AF37,Charge!$K$31:$M$34,3,TRUE),
VLOOKUP(AF37,Charge!$N$31:$P$34,2,TRUE)+(AF37-VLOOKUP(AF37,Charge!$N$31:$P$34,1,TRUE))*VLOOKUP(AF37,Charge!$N$31:$P$34,3,TRUE)),
IF(AND(M37="DG"),IF(R37="20'",
VLOOKUP(AF37,Charge!$R$31:$T$34,2,TRUE)+(AF37-VLOOKUP(AF37,Charge!$R$31:$T$34,1,TRUE))*VLOOKUP(AF37,Charge!$R$31:$T$34,3,TRUE),
VLOOKUP(AF37,Charge!$U$31:$W$34,2,TRUE)+(AF37-VLOOKUP(AF37,Charge!$U$31:$W$34,1,TRUE))*VLOOKUP(AF37,Charge!$U$31:$W$34,3,TRUE)),0))</f>
        <v>0</v>
      </c>
      <c r="AH37" s="85"/>
      <c r="AI37" s="85">
        <f>AA37-AH37</f>
        <v>0</v>
      </c>
      <c r="AJ37" s="86"/>
      <c r="AK37" s="80" t="str">
        <f>VLOOKUP(D37,'2.Bookinglist'!A:CT,40,FALSE)</f>
        <v>Nustsireerach</v>
      </c>
      <c r="AL37" s="81" t="str">
        <f>VLOOKUP(D37,'2.Bookinglist'!A:CW,101,FALSE)</f>
        <v>2026-10-13</v>
      </c>
      <c r="AM37" s="81" t="str">
        <f>VLOOKUP(D37,'2.Bookinglist'!A:BK,63,FALSE)</f>
        <v>BKK27</v>
      </c>
      <c r="AN37" s="80" t="str">
        <f>VLOOKUP(D37,'2.Bookinglist'!A:AZ,52,FALSE)</f>
        <v>CY -RTN DD.07/10 -09/10/2026 = 20x40'hq   RQST CNTR UPGRADE 32.50 TONS
CY -RTN DD.09/ 10 -09/10/2026 =10X40'HQ 
RTN CNTR DD.09/10 WITHOUT RENT</v>
      </c>
      <c r="AO37" s="80">
        <f>VLOOKUP(D37,'2.Bookinglist'!A:CY,103,FALSE)</f>
        <v>0</v>
      </c>
    </row>
    <row r="38" ht="12.95" customHeight="1" spans="1:41" x14ac:dyDescent="0.25">
      <c r="A38" s="3" t="s">
        <v>138</v>
      </c>
      <c r="B38" s="78" t="str">
        <f>IF(C38=Charge!$M$1,Charge!$J$1,IF(C38=Charge!$M$23,Charge!$J$23,IF(C38=Charge!$M$17,Charge!$J$17,IF(C38=Charge!$N$17,Charge!$J$17,Charge!$J$7))))</f>
        <v>G4</v>
      </c>
      <c r="C38" s="79" t="str">
        <f>VLOOKUP(A38,'1.Loading'!A:R,14,FALSE)</f>
        <v>BKK02</v>
      </c>
      <c r="D38" s="79" t="str">
        <f>VLOOKUP(A38,'1.Loading'!A:R,17,FALSE)</f>
        <v>HASLS22260902194</v>
      </c>
      <c r="E38" s="80" t="str">
        <f>VLOOKUP(D38,'2.Bookinglist'!A:CT,27,FALSE)</f>
        <v>METRO PARTICLE CO., LTD.</v>
      </c>
      <c r="F38" s="80" t="str">
        <f>VLOOKUP(D38,'2.Bookinglist'!A:CT,28,FALSE)</f>
        <v>METRO PARTICLE CO., LTD.</v>
      </c>
      <c r="G38" s="81">
        <f>VLOOKUP(D38,'2.Bookinglist'!A:E,5,FALSE)</f>
        <v>0</v>
      </c>
      <c r="H38" s="79" t="str">
        <f>VLOOKUP(D38,'2.Bookinglist'!A:CT,15,FALSE)</f>
        <v>THBKK</v>
      </c>
      <c r="I38" s="79" t="str">
        <f>VLOOKUP(D38,'2.Bookinglist'!A:CT,19,FALSE)</f>
        <v>VNSGN</v>
      </c>
      <c r="J38" s="79">
        <f>VLOOKUP(D38,'2.Bookinglist'!A:CT,26,FALSE)</f>
        <v>0</v>
      </c>
      <c r="K38" s="79" t="str">
        <f>VLOOKUP(A38,'1.Loading'!A:R,5,FALSE)</f>
        <v>45GP</v>
      </c>
      <c r="L38" s="81" t="str">
        <f>VLOOKUP(D38,'2.Bookinglist'!A:CT,85,FALSE)</f>
        <v>CY/CY</v>
      </c>
      <c r="M38" s="81" t="str">
        <f>IF(VLOOKUP(D38,'2.Bookinglist'!A:CT,43,FALSE)=0,"","DG")</f>
        <v/>
      </c>
      <c r="N38" s="81" t="str">
        <f>IF(RIGHT(K38,2)="RE","RF","")</f>
        <v/>
      </c>
      <c r="O38" s="79" t="str">
        <f>VLOOKUP(A38,'1.Loading'!A:R,3,FALSE)</f>
        <v>PGPO</v>
      </c>
      <c r="P38" s="79" t="str">
        <f>VLOOKUP(A38,'1.Loading'!A:R,4,FALSE)</f>
        <v>2612N</v>
      </c>
      <c r="Q38" s="79" t="str">
        <f>VLOOKUP(D38,'2.Bookinglist'!A:CT,12,FALSE)</f>
        <v>NTX</v>
      </c>
      <c r="R38" s="81" t="str">
        <f>IF(LEFT(K38,2)="22","20'","40'")</f>
        <v>40'</v>
      </c>
      <c r="S38" s="63"/>
      <c r="T38" s="79" t="str">
        <f>VLOOKUP(A38,'1.Loading'!A:R,2,FALSE)</f>
        <v>2026-10-15</v>
      </c>
      <c r="U38" s="82">
        <f>T38-S38</f>
        <v>46310</v>
      </c>
      <c r="V38" s="83"/>
      <c r="W38" s="79" t="str">
        <f>VLOOKUP(A38,'3.GateMove'!A:D,4,FALSE)</f>
        <v>2026-10-12</v>
      </c>
      <c r="X38" s="82">
        <f>((T38-W38)+1)</f>
        <v>4</v>
      </c>
      <c r="Y38" s="84">
        <f>IF(AND(OR(C38="BKK01",C38="BKK04"),L38="CFS/CY"),0,IF(M38="DG",1,IF(LEFT(C38,3)="LCH",7,IF(C38="BKK02",5,3))))</f>
        <v>5</v>
      </c>
      <c r="Z38" s="82">
        <f>IF(IF(AND(AC38="TML",AB38&gt;0),((T38-W38)+1)-AB38,((T38-W38)+1)-Y38)&gt;0,IF(AND(AC38="TML",AB38&gt;0),((T38-W38)+1)-AB38,((T38-W38)+1)-Y38),0)</f>
        <v>0</v>
      </c>
      <c r="AA38" s="73">
        <f>IF(AND(B38="G1",M38=""),IF(R38="20'",
VLOOKUP(Z38,Charge!$K$2:$M$5,2,TRUE)+(Z38-VLOOKUP(Z38,Charge!$K$2:$M$5,1,TRUE))*VLOOKUP(Z38,Charge!$K$2:$M$5,3,TRUE),
VLOOKUP(Z38,Charge!$N$2:$P$5,2,TRUE)+(Z38-VLOOKUP(Z38,Charge!$N$2:$P$5,1,TRUE))*VLOOKUP(Z38,Charge!$N$2:$P$5,3,TRUE)),
IF(AND(B38="G1",M38="DG"),IF(R38="20'",
VLOOKUP(Z38,Charge!$R$2:$T$5,2,TRUE)+(Z38-VLOOKUP(Z38,Charge!$R$2:$T$5,1,TRUE))*VLOOKUP(Z38,Charge!$R$2:$T$5,3,TRUE),
VLOOKUP(Z38,Charge!$U$2:$W$5,2,TRUE)+(Z38-VLOOKUP(Z38,Charge!$U$2:$W$5,1,TRUE))*VLOOKUP(Z38,Charge!$U$2:$W$5,3,TRUE)),
IF(AND(B38="G3",M38=""),IF(R38="20'",
VLOOKUP(Z38,Charge!$K$18:$M$21,2,TRUE)+(Z38-VLOOKUP(Z38,Charge!$K$18:$M$21,1,TRUE))*VLOOKUP(Z38,Charge!$K$18:$M$21,3,TRUE),
VLOOKUP(Z38,Charge!$N$18:$P$21,2,TRUE)+(Z38-VLOOKUP(Z38,Charge!$N$18:$P$21,1,TRUE))*VLOOKUP(Z38,Charge!$N$18:$P$21,3,TRUE)),
IF(AND(B38="G3",M38="DG"),IF(R38="20'",
VLOOKUP(Z38,Charge!$R$18:$T$21,2,TRUE)+(Z38-VLOOKUP(Z38,Charge!$R$18:$T$21,1,TRUE))*VLOOKUP(Z38,Charge!$R$18:$T$21,3,TRUE),
VLOOKUP(Z38,Charge!$U$18:$W$21,2,TRUE)+(Z38-VLOOKUP(Z38,Charge!$U$18:$W$21,1,TRUE))*VLOOKUP(Z38,Charge!$U$18:$W$21,3,TRUE)),
IF(AND(B38="G2",M38=""),IF(R38="20'",
VLOOKUP(Z38,Charge!$K$9:$M$12,2,TRUE)+(Z38-VLOOKUP(Z38,Charge!$K$9:$M$12,1,TRUE))*VLOOKUP(Z38,Charge!$K$9:$M$12,3,TRUE),
VLOOKUP(Z38,Charge!$N$9:$P$12,2,TRUE)+(Z38-VLOOKUP(Z38,Charge!$N$9:$P$12,1,TRUE))*VLOOKUP(Z38,Charge!$N$9:$P$12,3,TRUE)),
IF(AND(B38="G2",M38="DG"),IF(R38="20'",
VLOOKUP(Z38,Charge!$R$9:$T$12,2,TRUE)+(Z38-VLOOKUP(Z38,Charge!$R$9:$T$12,1,TRUE))*VLOOKUP(Z38,Charge!$R$9:$T$12,3,TRUE),
VLOOKUP(Z38,Charge!$U$9:$W$12,2,TRUE)+(Z38-VLOOKUP(Z38,Charge!$U$9:$W$12,1,TRUE))*VLOOKUP(Z38,Charge!$U$9:$W$12,3,TRUE)),IF(AND(B38="G4",M38=""),IF(R38="20'",Z38*Charge!$M$25,Z38*Charge!$P$25),IF(AND(B38="G4",M38="DG"),IF(R38="20'",Z38*Charge!$T$25,Z38*Charge!$W$25),0))))))))</f>
        <v>0</v>
      </c>
      <c r="AB38" s="78"/>
      <c r="AC38" s="78"/>
      <c r="AD38" s="81">
        <f>IF(M38="DG",3,IF(N38="RF",3,5))+IF(AND(LEFT(C38,3)="BKK",N38="RF",Q38="KTS"),1,0)+IF(Q38="KHS",1,0)</f>
        <v>5</v>
      </c>
      <c r="AE38" s="82">
        <f>(T38-V38)+1</f>
        <v>46311</v>
      </c>
      <c r="AF38" s="82">
        <f>IF(AB38&gt;IF((V38-W38)&gt;0,V38-W38,0),0,IF(AB38&lt;IF((V38-W38)&gt;0,V38-W38,0),IF((V38-W38)&gt;0,V38-W38,0)-AB38,IF((V38-W38)&gt;0,V38-W38,0)))</f>
        <v>0</v>
      </c>
      <c r="AG38" s="73">
        <f>IF(AND(M38=""),IF(R38="20'",
VLOOKUP(AF38,Charge!$K$31:$M$34,2,TRUE)+(AF38-VLOOKUP(AF38,Charge!$K$31:$M$34,1,TRUE))*VLOOKUP(AF38,Charge!$K$31:$M$34,3,TRUE),
VLOOKUP(AF38,Charge!$N$31:$P$34,2,TRUE)+(AF38-VLOOKUP(AF38,Charge!$N$31:$P$34,1,TRUE))*VLOOKUP(AF38,Charge!$N$31:$P$34,3,TRUE)),
IF(AND(M38="DG"),IF(R38="20'",
VLOOKUP(AF38,Charge!$R$31:$T$34,2,TRUE)+(AF38-VLOOKUP(AF38,Charge!$R$31:$T$34,1,TRUE))*VLOOKUP(AF38,Charge!$R$31:$T$34,3,TRUE),
VLOOKUP(AF38,Charge!$U$31:$W$34,2,TRUE)+(AF38-VLOOKUP(AF38,Charge!$U$31:$W$34,1,TRUE))*VLOOKUP(AF38,Charge!$U$31:$W$34,3,TRUE)),0))</f>
        <v>0</v>
      </c>
      <c r="AH38" s="85"/>
      <c r="AI38" s="85">
        <f>AA38-AH38</f>
        <v>0</v>
      </c>
      <c r="AJ38" s="86"/>
      <c r="AK38" s="80" t="str">
        <f>VLOOKUP(D38,'2.Bookinglist'!A:CT,40,FALSE)</f>
        <v>Nustsireerach</v>
      </c>
      <c r="AL38" s="81" t="str">
        <f>VLOOKUP(D38,'2.Bookinglist'!A:CW,101,FALSE)</f>
        <v>2026-10-13</v>
      </c>
      <c r="AM38" s="81" t="str">
        <f>VLOOKUP(D38,'2.Bookinglist'!A:BK,63,FALSE)</f>
        <v>BKK27</v>
      </c>
      <c r="AN38" s="80" t="str">
        <f>VLOOKUP(D38,'2.Bookinglist'!A:AZ,52,FALSE)</f>
        <v>CY -RTN DD.07/10 -09/10/2026 = 20x40'hq   RQST CNTR UPGRADE 32.50 TONS
CY -RTN DD.09/ 10 -09/10/2026 =10X40'HQ 
RTN CNTR DD.09/10 WITHOUT RENT</v>
      </c>
      <c r="AO38" s="80">
        <f>VLOOKUP(D38,'2.Bookinglist'!A:CY,103,FALSE)</f>
        <v>0</v>
      </c>
    </row>
    <row r="39" ht="12.95" customHeight="1" spans="1:41" x14ac:dyDescent="0.25">
      <c r="A39" s="3" t="s">
        <v>139</v>
      </c>
      <c r="B39" s="78" t="str">
        <f>IF(C39=Charge!$M$1,Charge!$J$1,IF(C39=Charge!$M$23,Charge!$J$23,IF(C39=Charge!$M$17,Charge!$J$17,IF(C39=Charge!$N$17,Charge!$J$17,Charge!$J$7))))</f>
        <v>G4</v>
      </c>
      <c r="C39" s="79" t="str">
        <f>VLOOKUP(A39,'1.Loading'!A:R,14,FALSE)</f>
        <v>BKK02</v>
      </c>
      <c r="D39" s="79" t="str">
        <f>VLOOKUP(A39,'1.Loading'!A:R,17,FALSE)</f>
        <v>HASLS22260902194</v>
      </c>
      <c r="E39" s="80" t="str">
        <f>VLOOKUP(D39,'2.Bookinglist'!A:CT,27,FALSE)</f>
        <v>METRO PARTICLE CO., LTD.</v>
      </c>
      <c r="F39" s="80" t="str">
        <f>VLOOKUP(D39,'2.Bookinglist'!A:CT,28,FALSE)</f>
        <v>METRO PARTICLE CO., LTD.</v>
      </c>
      <c r="G39" s="81">
        <f>VLOOKUP(D39,'2.Bookinglist'!A:E,5,FALSE)</f>
        <v>0</v>
      </c>
      <c r="H39" s="79" t="str">
        <f>VLOOKUP(D39,'2.Bookinglist'!A:CT,15,FALSE)</f>
        <v>THBKK</v>
      </c>
      <c r="I39" s="79" t="str">
        <f>VLOOKUP(D39,'2.Bookinglist'!A:CT,19,FALSE)</f>
        <v>VNSGN</v>
      </c>
      <c r="J39" s="79">
        <f>VLOOKUP(D39,'2.Bookinglist'!A:CT,26,FALSE)</f>
        <v>0</v>
      </c>
      <c r="K39" s="79" t="str">
        <f>VLOOKUP(A39,'1.Loading'!A:R,5,FALSE)</f>
        <v>45GP</v>
      </c>
      <c r="L39" s="81" t="str">
        <f>VLOOKUP(D39,'2.Bookinglist'!A:CT,85,FALSE)</f>
        <v>CY/CY</v>
      </c>
      <c r="M39" s="81" t="str">
        <f>IF(VLOOKUP(D39,'2.Bookinglist'!A:CT,43,FALSE)=0,"","DG")</f>
        <v/>
      </c>
      <c r="N39" s="81" t="str">
        <f>IF(RIGHT(K39,2)="RE","RF","")</f>
        <v/>
      </c>
      <c r="O39" s="79" t="str">
        <f>VLOOKUP(A39,'1.Loading'!A:R,3,FALSE)</f>
        <v>PGPO</v>
      </c>
      <c r="P39" s="79" t="str">
        <f>VLOOKUP(A39,'1.Loading'!A:R,4,FALSE)</f>
        <v>2612N</v>
      </c>
      <c r="Q39" s="79" t="str">
        <f>VLOOKUP(D39,'2.Bookinglist'!A:CT,12,FALSE)</f>
        <v>NTX</v>
      </c>
      <c r="R39" s="81" t="str">
        <f>IF(LEFT(K39,2)="22","20'","40'")</f>
        <v>40'</v>
      </c>
      <c r="S39" s="63"/>
      <c r="T39" s="79" t="str">
        <f>VLOOKUP(A39,'1.Loading'!A:R,2,FALSE)</f>
        <v>2026-10-15</v>
      </c>
      <c r="U39" s="82">
        <f>T39-S39</f>
        <v>46310</v>
      </c>
      <c r="V39" s="83"/>
      <c r="W39" s="79" t="str">
        <f>VLOOKUP(A39,'3.GateMove'!A:D,4,FALSE)</f>
        <v>2026-10-12</v>
      </c>
      <c r="X39" s="82">
        <f>((T39-W39)+1)</f>
        <v>4</v>
      </c>
      <c r="Y39" s="84">
        <f>IF(AND(OR(C39="BKK01",C39="BKK04"),L39="CFS/CY"),0,IF(M39="DG",1,IF(LEFT(C39,3)="LCH",7,IF(C39="BKK02",5,3))))</f>
        <v>5</v>
      </c>
      <c r="Z39" s="82">
        <f>IF(IF(AND(AC39="TML",AB39&gt;0),((T39-W39)+1)-AB39,((T39-W39)+1)-Y39)&gt;0,IF(AND(AC39="TML",AB39&gt;0),((T39-W39)+1)-AB39,((T39-W39)+1)-Y39),0)</f>
        <v>0</v>
      </c>
      <c r="AA39" s="73">
        <f>IF(AND(B39="G1",M39=""),IF(R39="20'",
VLOOKUP(Z39,Charge!$K$2:$M$5,2,TRUE)+(Z39-VLOOKUP(Z39,Charge!$K$2:$M$5,1,TRUE))*VLOOKUP(Z39,Charge!$K$2:$M$5,3,TRUE),
VLOOKUP(Z39,Charge!$N$2:$P$5,2,TRUE)+(Z39-VLOOKUP(Z39,Charge!$N$2:$P$5,1,TRUE))*VLOOKUP(Z39,Charge!$N$2:$P$5,3,TRUE)),
IF(AND(B39="G1",M39="DG"),IF(R39="20'",
VLOOKUP(Z39,Charge!$R$2:$T$5,2,TRUE)+(Z39-VLOOKUP(Z39,Charge!$R$2:$T$5,1,TRUE))*VLOOKUP(Z39,Charge!$R$2:$T$5,3,TRUE),
VLOOKUP(Z39,Charge!$U$2:$W$5,2,TRUE)+(Z39-VLOOKUP(Z39,Charge!$U$2:$W$5,1,TRUE))*VLOOKUP(Z39,Charge!$U$2:$W$5,3,TRUE)),
IF(AND(B39="G3",M39=""),IF(R39="20'",
VLOOKUP(Z39,Charge!$K$18:$M$21,2,TRUE)+(Z39-VLOOKUP(Z39,Charge!$K$18:$M$21,1,TRUE))*VLOOKUP(Z39,Charge!$K$18:$M$21,3,TRUE),
VLOOKUP(Z39,Charge!$N$18:$P$21,2,TRUE)+(Z39-VLOOKUP(Z39,Charge!$N$18:$P$21,1,TRUE))*VLOOKUP(Z39,Charge!$N$18:$P$21,3,TRUE)),
IF(AND(B39="G3",M39="DG"),IF(R39="20'",
VLOOKUP(Z39,Charge!$R$18:$T$21,2,TRUE)+(Z39-VLOOKUP(Z39,Charge!$R$18:$T$21,1,TRUE))*VLOOKUP(Z39,Charge!$R$18:$T$21,3,TRUE),
VLOOKUP(Z39,Charge!$U$18:$W$21,2,TRUE)+(Z39-VLOOKUP(Z39,Charge!$U$18:$W$21,1,TRUE))*VLOOKUP(Z39,Charge!$U$18:$W$21,3,TRUE)),
IF(AND(B39="G2",M39=""),IF(R39="20'",
VLOOKUP(Z39,Charge!$K$9:$M$12,2,TRUE)+(Z39-VLOOKUP(Z39,Charge!$K$9:$M$12,1,TRUE))*VLOOKUP(Z39,Charge!$K$9:$M$12,3,TRUE),
VLOOKUP(Z39,Charge!$N$9:$P$12,2,TRUE)+(Z39-VLOOKUP(Z39,Charge!$N$9:$P$12,1,TRUE))*VLOOKUP(Z39,Charge!$N$9:$P$12,3,TRUE)),
IF(AND(B39="G2",M39="DG"),IF(R39="20'",
VLOOKUP(Z39,Charge!$R$9:$T$12,2,TRUE)+(Z39-VLOOKUP(Z39,Charge!$R$9:$T$12,1,TRUE))*VLOOKUP(Z39,Charge!$R$9:$T$12,3,TRUE),
VLOOKUP(Z39,Charge!$U$9:$W$12,2,TRUE)+(Z39-VLOOKUP(Z39,Charge!$U$9:$W$12,1,TRUE))*VLOOKUP(Z39,Charge!$U$9:$W$12,3,TRUE)),IF(AND(B39="G4",M39=""),IF(R39="20'",Z39*Charge!$M$25,Z39*Charge!$P$25),IF(AND(B39="G4",M39="DG"),IF(R39="20'",Z39*Charge!$T$25,Z39*Charge!$W$25),0))))))))</f>
        <v>0</v>
      </c>
      <c r="AB39" s="78"/>
      <c r="AC39" s="78"/>
      <c r="AD39" s="81">
        <f>IF(M39="DG",3,IF(N39="RF",3,5))+IF(AND(LEFT(C39,3)="BKK",N39="RF",Q39="KTS"),1,0)+IF(Q39="KHS",1,0)</f>
        <v>5</v>
      </c>
      <c r="AE39" s="82">
        <f>(T39-V39)+1</f>
        <v>46311</v>
      </c>
      <c r="AF39" s="82">
        <f>IF(AB39&gt;IF((V39-W39)&gt;0,V39-W39,0),0,IF(AB39&lt;IF((V39-W39)&gt;0,V39-W39,0),IF((V39-W39)&gt;0,V39-W39,0)-AB39,IF((V39-W39)&gt;0,V39-W39,0)))</f>
        <v>0</v>
      </c>
      <c r="AG39" s="73">
        <f>IF(AND(M39=""),IF(R39="20'",
VLOOKUP(AF39,Charge!$K$31:$M$34,2,TRUE)+(AF39-VLOOKUP(AF39,Charge!$K$31:$M$34,1,TRUE))*VLOOKUP(AF39,Charge!$K$31:$M$34,3,TRUE),
VLOOKUP(AF39,Charge!$N$31:$P$34,2,TRUE)+(AF39-VLOOKUP(AF39,Charge!$N$31:$P$34,1,TRUE))*VLOOKUP(AF39,Charge!$N$31:$P$34,3,TRUE)),
IF(AND(M39="DG"),IF(R39="20'",
VLOOKUP(AF39,Charge!$R$31:$T$34,2,TRUE)+(AF39-VLOOKUP(AF39,Charge!$R$31:$T$34,1,TRUE))*VLOOKUP(AF39,Charge!$R$31:$T$34,3,TRUE),
VLOOKUP(AF39,Charge!$U$31:$W$34,2,TRUE)+(AF39-VLOOKUP(AF39,Charge!$U$31:$W$34,1,TRUE))*VLOOKUP(AF39,Charge!$U$31:$W$34,3,TRUE)),0))</f>
        <v>0</v>
      </c>
      <c r="AH39" s="85"/>
      <c r="AI39" s="85">
        <f>AA39-AH39</f>
        <v>0</v>
      </c>
      <c r="AJ39" s="86"/>
      <c r="AK39" s="80" t="str">
        <f>VLOOKUP(D39,'2.Bookinglist'!A:CT,40,FALSE)</f>
        <v>Nustsireerach</v>
      </c>
      <c r="AL39" s="81" t="str">
        <f>VLOOKUP(D39,'2.Bookinglist'!A:CW,101,FALSE)</f>
        <v>2026-10-13</v>
      </c>
      <c r="AM39" s="81" t="str">
        <f>VLOOKUP(D39,'2.Bookinglist'!A:BK,63,FALSE)</f>
        <v>BKK27</v>
      </c>
      <c r="AN39" s="80" t="str">
        <f>VLOOKUP(D39,'2.Bookinglist'!A:AZ,52,FALSE)</f>
        <v>CY -RTN DD.07/10 -09/10/2026 = 20x40'hq   RQST CNTR UPGRADE 32.50 TONS
CY -RTN DD.09/ 10 -09/10/2026 =10X40'HQ 
RTN CNTR DD.09/10 WITHOUT RENT</v>
      </c>
      <c r="AO39" s="80">
        <f>VLOOKUP(D39,'2.Bookinglist'!A:CY,103,FALSE)</f>
        <v>0</v>
      </c>
    </row>
    <row r="40" ht="12.95" customHeight="1" spans="1:41" x14ac:dyDescent="0.25">
      <c r="A40" s="3" t="s">
        <v>140</v>
      </c>
      <c r="B40" s="78" t="str">
        <f>IF(C40=Charge!$M$1,Charge!$J$1,IF(C40=Charge!$M$23,Charge!$J$23,IF(C40=Charge!$M$17,Charge!$J$17,IF(C40=Charge!$N$17,Charge!$J$17,Charge!$J$7))))</f>
        <v>G4</v>
      </c>
      <c r="C40" s="79" t="str">
        <f>VLOOKUP(A40,'1.Loading'!A:R,14,FALSE)</f>
        <v>BKK02</v>
      </c>
      <c r="D40" s="79" t="str">
        <f>VLOOKUP(A40,'1.Loading'!A:R,17,FALSE)</f>
        <v>HASLS22260900365</v>
      </c>
      <c r="E40" s="80" t="str">
        <f>VLOOKUP(D40,'2.Bookinglist'!A:CT,27,FALSE)</f>
        <v>ASIA-PACIFIC LOGISTICS CO., LTD.</v>
      </c>
      <c r="F40" s="80" t="str">
        <f>VLOOKUP(D40,'2.Bookinglist'!A:CT,28,FALSE)</f>
        <v>VESTA DISTRIBUTION</v>
      </c>
      <c r="G40" s="81">
        <f>VLOOKUP(D40,'2.Bookinglist'!A:E,5,FALSE)</f>
        <v>0</v>
      </c>
      <c r="H40" s="79" t="str">
        <f>VLOOKUP(D40,'2.Bookinglist'!A:CT,15,FALSE)</f>
        <v>THBKK</v>
      </c>
      <c r="I40" s="79" t="str">
        <f>VLOOKUP(D40,'2.Bookinglist'!A:CT,19,FALSE)</f>
        <v>VNSGN</v>
      </c>
      <c r="J40" s="79">
        <f>VLOOKUP(D40,'2.Bookinglist'!A:CT,26,FALSE)</f>
        <v>0</v>
      </c>
      <c r="K40" s="79" t="str">
        <f>VLOOKUP(A40,'1.Loading'!A:R,5,FALSE)</f>
        <v>45GP</v>
      </c>
      <c r="L40" s="81" t="str">
        <f>VLOOKUP(D40,'2.Bookinglist'!A:CT,85,FALSE)</f>
        <v>CY/CY</v>
      </c>
      <c r="M40" s="81" t="str">
        <f>IF(VLOOKUP(D40,'2.Bookinglist'!A:CT,43,FALSE)=0,"","DG")</f>
        <v/>
      </c>
      <c r="N40" s="81" t="str">
        <f>IF(RIGHT(K40,2)="RE","RF","")</f>
        <v/>
      </c>
      <c r="O40" s="79" t="str">
        <f>VLOOKUP(A40,'1.Loading'!A:R,3,FALSE)</f>
        <v>PGPO</v>
      </c>
      <c r="P40" s="79" t="str">
        <f>VLOOKUP(A40,'1.Loading'!A:R,4,FALSE)</f>
        <v>2612N</v>
      </c>
      <c r="Q40" s="79" t="str">
        <f>VLOOKUP(D40,'2.Bookinglist'!A:CT,12,FALSE)</f>
        <v>NTX</v>
      </c>
      <c r="R40" s="81" t="str">
        <f>IF(LEFT(K40,2)="22","20'","40'")</f>
        <v>40'</v>
      </c>
      <c r="S40" s="63"/>
      <c r="T40" s="79" t="str">
        <f>VLOOKUP(A40,'1.Loading'!A:R,2,FALSE)</f>
        <v>2026-10-15</v>
      </c>
      <c r="U40" s="82">
        <f>T40-S40</f>
        <v>46310</v>
      </c>
      <c r="V40" s="83"/>
      <c r="W40" s="79" t="str">
        <f>VLOOKUP(A40,'3.GateMove'!A:D,4,FALSE)</f>
        <v>2026-10-08</v>
      </c>
      <c r="X40" s="82">
        <f>((T40-W40)+1)</f>
        <v>8</v>
      </c>
      <c r="Y40" s="84">
        <f>IF(AND(OR(C40="BKK01",C40="BKK04"),L40="CFS/CY"),0,IF(M40="DG",1,IF(LEFT(C40,3)="LCH",7,IF(C40="BKK02",5,3))))</f>
        <v>5</v>
      </c>
      <c r="Z40" s="82">
        <f>IF(IF(AND(AC40="TML",AB40&gt;0),((T40-W40)+1)-AB40,((T40-W40)+1)-Y40)&gt;0,IF(AND(AC40="TML",AB40&gt;0),((T40-W40)+1)-AB40,((T40-W40)+1)-Y40),0)</f>
        <v>3</v>
      </c>
      <c r="AA40" s="73">
        <f>IF(AND(B40="G1",M40=""),IF(R40="20'",
VLOOKUP(Z40,Charge!$K$2:$M$5,2,TRUE)+(Z40-VLOOKUP(Z40,Charge!$K$2:$M$5,1,TRUE))*VLOOKUP(Z40,Charge!$K$2:$M$5,3,TRUE),
VLOOKUP(Z40,Charge!$N$2:$P$5,2,TRUE)+(Z40-VLOOKUP(Z40,Charge!$N$2:$P$5,1,TRUE))*VLOOKUP(Z40,Charge!$N$2:$P$5,3,TRUE)),
IF(AND(B40="G1",M40="DG"),IF(R40="20'",
VLOOKUP(Z40,Charge!$R$2:$T$5,2,TRUE)+(Z40-VLOOKUP(Z40,Charge!$R$2:$T$5,1,TRUE))*VLOOKUP(Z40,Charge!$R$2:$T$5,3,TRUE),
VLOOKUP(Z40,Charge!$U$2:$W$5,2,TRUE)+(Z40-VLOOKUP(Z40,Charge!$U$2:$W$5,1,TRUE))*VLOOKUP(Z40,Charge!$U$2:$W$5,3,TRUE)),
IF(AND(B40="G3",M40=""),IF(R40="20'",
VLOOKUP(Z40,Charge!$K$18:$M$21,2,TRUE)+(Z40-VLOOKUP(Z40,Charge!$K$18:$M$21,1,TRUE))*VLOOKUP(Z40,Charge!$K$18:$M$21,3,TRUE),
VLOOKUP(Z40,Charge!$N$18:$P$21,2,TRUE)+(Z40-VLOOKUP(Z40,Charge!$N$18:$P$21,1,TRUE))*VLOOKUP(Z40,Charge!$N$18:$P$21,3,TRUE)),
IF(AND(B40="G3",M40="DG"),IF(R40="20'",
VLOOKUP(Z40,Charge!$R$18:$T$21,2,TRUE)+(Z40-VLOOKUP(Z40,Charge!$R$18:$T$21,1,TRUE))*VLOOKUP(Z40,Charge!$R$18:$T$21,3,TRUE),
VLOOKUP(Z40,Charge!$U$18:$W$21,2,TRUE)+(Z40-VLOOKUP(Z40,Charge!$U$18:$W$21,1,TRUE))*VLOOKUP(Z40,Charge!$U$18:$W$21,3,TRUE)),
IF(AND(B40="G2",M40=""),IF(R40="20'",
VLOOKUP(Z40,Charge!$K$9:$M$12,2,TRUE)+(Z40-VLOOKUP(Z40,Charge!$K$9:$M$12,1,TRUE))*VLOOKUP(Z40,Charge!$K$9:$M$12,3,TRUE),
VLOOKUP(Z40,Charge!$N$9:$P$12,2,TRUE)+(Z40-VLOOKUP(Z40,Charge!$N$9:$P$12,1,TRUE))*VLOOKUP(Z40,Charge!$N$9:$P$12,3,TRUE)),
IF(AND(B40="G2",M40="DG"),IF(R40="20'",
VLOOKUP(Z40,Charge!$R$9:$T$12,2,TRUE)+(Z40-VLOOKUP(Z40,Charge!$R$9:$T$12,1,TRUE))*VLOOKUP(Z40,Charge!$R$9:$T$12,3,TRUE),
VLOOKUP(Z40,Charge!$U$9:$W$12,2,TRUE)+(Z40-VLOOKUP(Z40,Charge!$U$9:$W$12,1,TRUE))*VLOOKUP(Z40,Charge!$U$9:$W$12,3,TRUE)),IF(AND(B40="G4",M40=""),IF(R40="20'",Z40*Charge!$M$25,Z40*Charge!$P$25),IF(AND(B40="G4",M40="DG"),IF(R40="20'",Z40*Charge!$T$25,Z40*Charge!$W$25),0))))))))</f>
        <v>300</v>
      </c>
      <c r="AB40" s="78"/>
      <c r="AC40" s="78"/>
      <c r="AD40" s="81">
        <f>IF(M40="DG",3,IF(N40="RF",3,5))+IF(AND(LEFT(C40,3)="BKK",N40="RF",Q40="KTS"),1,0)+IF(Q40="KHS",1,0)</f>
        <v>5</v>
      </c>
      <c r="AE40" s="82">
        <f>(T40-V40)+1</f>
        <v>46311</v>
      </c>
      <c r="AF40" s="82">
        <f>IF(AB40&gt;IF((V40-W40)&gt;0,V40-W40,0),0,IF(AB40&lt;IF((V40-W40)&gt;0,V40-W40,0),IF((V40-W40)&gt;0,V40-W40,0)-AB40,IF((V40-W40)&gt;0,V40-W40,0)))</f>
        <v>0</v>
      </c>
      <c r="AG40" s="73">
        <f>IF(AND(M40=""),IF(R40="20'",
VLOOKUP(AF40,Charge!$K$31:$M$34,2,TRUE)+(AF40-VLOOKUP(AF40,Charge!$K$31:$M$34,1,TRUE))*VLOOKUP(AF40,Charge!$K$31:$M$34,3,TRUE),
VLOOKUP(AF40,Charge!$N$31:$P$34,2,TRUE)+(AF40-VLOOKUP(AF40,Charge!$N$31:$P$34,1,TRUE))*VLOOKUP(AF40,Charge!$N$31:$P$34,3,TRUE)),
IF(AND(M40="DG"),IF(R40="20'",
VLOOKUP(AF40,Charge!$R$31:$T$34,2,TRUE)+(AF40-VLOOKUP(AF40,Charge!$R$31:$T$34,1,TRUE))*VLOOKUP(AF40,Charge!$R$31:$T$34,3,TRUE),
VLOOKUP(AF40,Charge!$U$31:$W$34,2,TRUE)+(AF40-VLOOKUP(AF40,Charge!$U$31:$W$34,1,TRUE))*VLOOKUP(AF40,Charge!$U$31:$W$34,3,TRUE)),0))</f>
        <v>0</v>
      </c>
      <c r="AH40" s="85"/>
      <c r="AI40" s="85">
        <f>AA40-AH40</f>
        <v>300</v>
      </c>
      <c r="AJ40" s="86"/>
      <c r="AK40" s="80" t="str">
        <f>VLOOKUP(D40,'2.Bookinglist'!A:CT,40,FALSE)</f>
        <v>Kanokporn</v>
      </c>
      <c r="AL40" s="81" t="str">
        <f>VLOOKUP(D40,'2.Bookinglist'!A:CW,101,FALSE)</f>
        <v>2026-10-15</v>
      </c>
      <c r="AM40" s="81" t="str">
        <f>VLOOKUP(D40,'2.Bookinglist'!A:BK,63,FALSE)</f>
        <v>BKK25</v>
      </c>
      <c r="AN40" s="80" t="str">
        <f>VLOOKUP(D40,'2.Bookinglist'!A:AZ,52,FALSE)</f>
        <v>Pickup : 2026-10-06, Return : 2026-10-07  </v>
      </c>
      <c r="AO40" s="80" t="str">
        <f>VLOOKUP(D40,'2.Bookinglist'!A:CY,103,FALSE)</f>
        <v>ROLL OVER FROM PREVIOUS VSL DJCF 0152N BY ALLOCATION TEAM MS.TARN APPROVED COST IS UNDER HAL DD.09/10</v>
      </c>
    </row>
    <row r="41" ht="12.95" customHeight="1" spans="1:41" x14ac:dyDescent="0.25">
      <c r="A41" s="3" t="s">
        <v>144</v>
      </c>
      <c r="B41" s="78" t="str">
        <f>IF(C41=Charge!$M$1,Charge!$J$1,IF(C41=Charge!$M$23,Charge!$J$23,IF(C41=Charge!$M$17,Charge!$J$17,IF(C41=Charge!$N$17,Charge!$J$17,Charge!$J$7))))</f>
        <v>G4</v>
      </c>
      <c r="C41" s="79" t="str">
        <f>VLOOKUP(A41,'1.Loading'!A:R,14,FALSE)</f>
        <v>BKK02</v>
      </c>
      <c r="D41" s="79" t="str">
        <f>VLOOKUP(A41,'1.Loading'!A:R,17,FALSE)</f>
        <v>HASLS22260902194</v>
      </c>
      <c r="E41" s="80" t="str">
        <f>VLOOKUP(D41,'2.Bookinglist'!A:CT,27,FALSE)</f>
        <v>METRO PARTICLE CO., LTD.</v>
      </c>
      <c r="F41" s="80" t="str">
        <f>VLOOKUP(D41,'2.Bookinglist'!A:CT,28,FALSE)</f>
        <v>METRO PARTICLE CO., LTD.</v>
      </c>
      <c r="G41" s="81">
        <f>VLOOKUP(D41,'2.Bookinglist'!A:E,5,FALSE)</f>
        <v>0</v>
      </c>
      <c r="H41" s="79" t="str">
        <f>VLOOKUP(D41,'2.Bookinglist'!A:CT,15,FALSE)</f>
        <v>THBKK</v>
      </c>
      <c r="I41" s="79" t="str">
        <f>VLOOKUP(D41,'2.Bookinglist'!A:CT,19,FALSE)</f>
        <v>VNSGN</v>
      </c>
      <c r="J41" s="79">
        <f>VLOOKUP(D41,'2.Bookinglist'!A:CT,26,FALSE)</f>
        <v>0</v>
      </c>
      <c r="K41" s="79" t="str">
        <f>VLOOKUP(A41,'1.Loading'!A:R,5,FALSE)</f>
        <v>45GP</v>
      </c>
      <c r="L41" s="81" t="str">
        <f>VLOOKUP(D41,'2.Bookinglist'!A:CT,85,FALSE)</f>
        <v>CY/CY</v>
      </c>
      <c r="M41" s="81" t="str">
        <f>IF(VLOOKUP(D41,'2.Bookinglist'!A:CT,43,FALSE)=0,"","DG")</f>
        <v/>
      </c>
      <c r="N41" s="81" t="str">
        <f>IF(RIGHT(K41,2)="RE","RF","")</f>
        <v/>
      </c>
      <c r="O41" s="79" t="str">
        <f>VLOOKUP(A41,'1.Loading'!A:R,3,FALSE)</f>
        <v>PGPO</v>
      </c>
      <c r="P41" s="79" t="str">
        <f>VLOOKUP(A41,'1.Loading'!A:R,4,FALSE)</f>
        <v>2612N</v>
      </c>
      <c r="Q41" s="79" t="str">
        <f>VLOOKUP(D41,'2.Bookinglist'!A:CT,12,FALSE)</f>
        <v>NTX</v>
      </c>
      <c r="R41" s="81" t="str">
        <f>IF(LEFT(K41,2)="22","20'","40'")</f>
        <v>40'</v>
      </c>
      <c r="S41" s="63"/>
      <c r="T41" s="79" t="str">
        <f>VLOOKUP(A41,'1.Loading'!A:R,2,FALSE)</f>
        <v>2026-10-15</v>
      </c>
      <c r="U41" s="82">
        <f>T41-S41</f>
        <v>46310</v>
      </c>
      <c r="V41" s="83"/>
      <c r="W41" s="79" t="str">
        <f>VLOOKUP(A41,'3.GateMove'!A:D,4,FALSE)</f>
        <v>2026-10-09</v>
      </c>
      <c r="X41" s="82">
        <f>((T41-W41)+1)</f>
        <v>7</v>
      </c>
      <c r="Y41" s="84">
        <f>IF(AND(OR(C41="BKK01",C41="BKK04"),L41="CFS/CY"),0,IF(M41="DG",1,IF(LEFT(C41,3)="LCH",7,IF(C41="BKK02",5,3))))</f>
        <v>5</v>
      </c>
      <c r="Z41" s="82">
        <f>IF(IF(AND(AC41="TML",AB41&gt;0),((T41-W41)+1)-AB41,((T41-W41)+1)-Y41)&gt;0,IF(AND(AC41="TML",AB41&gt;0),((T41-W41)+1)-AB41,((T41-W41)+1)-Y41),0)</f>
        <v>2</v>
      </c>
      <c r="AA41" s="73">
        <f>IF(AND(B41="G1",M41=""),IF(R41="20'",
VLOOKUP(Z41,Charge!$K$2:$M$5,2,TRUE)+(Z41-VLOOKUP(Z41,Charge!$K$2:$M$5,1,TRUE))*VLOOKUP(Z41,Charge!$K$2:$M$5,3,TRUE),
VLOOKUP(Z41,Charge!$N$2:$P$5,2,TRUE)+(Z41-VLOOKUP(Z41,Charge!$N$2:$P$5,1,TRUE))*VLOOKUP(Z41,Charge!$N$2:$P$5,3,TRUE)),
IF(AND(B41="G1",M41="DG"),IF(R41="20'",
VLOOKUP(Z41,Charge!$R$2:$T$5,2,TRUE)+(Z41-VLOOKUP(Z41,Charge!$R$2:$T$5,1,TRUE))*VLOOKUP(Z41,Charge!$R$2:$T$5,3,TRUE),
VLOOKUP(Z41,Charge!$U$2:$W$5,2,TRUE)+(Z41-VLOOKUP(Z41,Charge!$U$2:$W$5,1,TRUE))*VLOOKUP(Z41,Charge!$U$2:$W$5,3,TRUE)),
IF(AND(B41="G3",M41=""),IF(R41="20'",
VLOOKUP(Z41,Charge!$K$18:$M$21,2,TRUE)+(Z41-VLOOKUP(Z41,Charge!$K$18:$M$21,1,TRUE))*VLOOKUP(Z41,Charge!$K$18:$M$21,3,TRUE),
VLOOKUP(Z41,Charge!$N$18:$P$21,2,TRUE)+(Z41-VLOOKUP(Z41,Charge!$N$18:$P$21,1,TRUE))*VLOOKUP(Z41,Charge!$N$18:$P$21,3,TRUE)),
IF(AND(B41="G3",M41="DG"),IF(R41="20'",
VLOOKUP(Z41,Charge!$R$18:$T$21,2,TRUE)+(Z41-VLOOKUP(Z41,Charge!$R$18:$T$21,1,TRUE))*VLOOKUP(Z41,Charge!$R$18:$T$21,3,TRUE),
VLOOKUP(Z41,Charge!$U$18:$W$21,2,TRUE)+(Z41-VLOOKUP(Z41,Charge!$U$18:$W$21,1,TRUE))*VLOOKUP(Z41,Charge!$U$18:$W$21,3,TRUE)),
IF(AND(B41="G2",M41=""),IF(R41="20'",
VLOOKUP(Z41,Charge!$K$9:$M$12,2,TRUE)+(Z41-VLOOKUP(Z41,Charge!$K$9:$M$12,1,TRUE))*VLOOKUP(Z41,Charge!$K$9:$M$12,3,TRUE),
VLOOKUP(Z41,Charge!$N$9:$P$12,2,TRUE)+(Z41-VLOOKUP(Z41,Charge!$N$9:$P$12,1,TRUE))*VLOOKUP(Z41,Charge!$N$9:$P$12,3,TRUE)),
IF(AND(B41="G2",M41="DG"),IF(R41="20'",
VLOOKUP(Z41,Charge!$R$9:$T$12,2,TRUE)+(Z41-VLOOKUP(Z41,Charge!$R$9:$T$12,1,TRUE))*VLOOKUP(Z41,Charge!$R$9:$T$12,3,TRUE),
VLOOKUP(Z41,Charge!$U$9:$W$12,2,TRUE)+(Z41-VLOOKUP(Z41,Charge!$U$9:$W$12,1,TRUE))*VLOOKUP(Z41,Charge!$U$9:$W$12,3,TRUE)),IF(AND(B41="G4",M41=""),IF(R41="20'",Z41*Charge!$M$25,Z41*Charge!$P$25),IF(AND(B41="G4",M41="DG"),IF(R41="20'",Z41*Charge!$T$25,Z41*Charge!$W$25),0))))))))</f>
        <v>200</v>
      </c>
      <c r="AB41" s="78"/>
      <c r="AC41" s="78"/>
      <c r="AD41" s="81">
        <f>IF(M41="DG",3,IF(N41="RF",3,5))+IF(AND(LEFT(C41,3)="BKK",N41="RF",Q41="KTS"),1,0)+IF(Q41="KHS",1,0)</f>
        <v>5</v>
      </c>
      <c r="AE41" s="82">
        <f>(T41-V41)+1</f>
        <v>46311</v>
      </c>
      <c r="AF41" s="82">
        <f>IF(AB41&gt;IF((V41-W41)&gt;0,V41-W41,0),0,IF(AB41&lt;IF((V41-W41)&gt;0,V41-W41,0),IF((V41-W41)&gt;0,V41-W41,0)-AB41,IF((V41-W41)&gt;0,V41-W41,0)))</f>
        <v>0</v>
      </c>
      <c r="AG41" s="73">
        <f>IF(AND(M41=""),IF(R41="20'",
VLOOKUP(AF41,Charge!$K$31:$M$34,2,TRUE)+(AF41-VLOOKUP(AF41,Charge!$K$31:$M$34,1,TRUE))*VLOOKUP(AF41,Charge!$K$31:$M$34,3,TRUE),
VLOOKUP(AF41,Charge!$N$31:$P$34,2,TRUE)+(AF41-VLOOKUP(AF41,Charge!$N$31:$P$34,1,TRUE))*VLOOKUP(AF41,Charge!$N$31:$P$34,3,TRUE)),
IF(AND(M41="DG"),IF(R41="20'",
VLOOKUP(AF41,Charge!$R$31:$T$34,2,TRUE)+(AF41-VLOOKUP(AF41,Charge!$R$31:$T$34,1,TRUE))*VLOOKUP(AF41,Charge!$R$31:$T$34,3,TRUE),
VLOOKUP(AF41,Charge!$U$31:$W$34,2,TRUE)+(AF41-VLOOKUP(AF41,Charge!$U$31:$W$34,1,TRUE))*VLOOKUP(AF41,Charge!$U$31:$W$34,3,TRUE)),0))</f>
        <v>0</v>
      </c>
      <c r="AH41" s="85"/>
      <c r="AI41" s="85">
        <f>AA41-AH41</f>
        <v>200</v>
      </c>
      <c r="AJ41" s="86"/>
      <c r="AK41" s="80" t="str">
        <f>VLOOKUP(D41,'2.Bookinglist'!A:CT,40,FALSE)</f>
        <v>Nustsireerach</v>
      </c>
      <c r="AL41" s="81" t="str">
        <f>VLOOKUP(D41,'2.Bookinglist'!A:CW,101,FALSE)</f>
        <v>2026-10-13</v>
      </c>
      <c r="AM41" s="81" t="str">
        <f>VLOOKUP(D41,'2.Bookinglist'!A:BK,63,FALSE)</f>
        <v>BKK27</v>
      </c>
      <c r="AN41" s="80" t="str">
        <f>VLOOKUP(D41,'2.Bookinglist'!A:AZ,52,FALSE)</f>
        <v>CY -RTN DD.07/10 -09/10/2026 = 20x40'hq   RQST CNTR UPGRADE 32.50 TONS
CY -RTN DD.09/ 10 -09/10/2026 =10X40'HQ 
RTN CNTR DD.09/10 WITHOUT RENT</v>
      </c>
      <c r="AO41" s="80">
        <f>VLOOKUP(D41,'2.Bookinglist'!A:CY,103,FALSE)</f>
        <v>0</v>
      </c>
    </row>
    <row r="42" ht="12.95" customHeight="1" spans="1:41" x14ac:dyDescent="0.25">
      <c r="A42" s="3" t="s">
        <v>145</v>
      </c>
      <c r="B42" s="78" t="str">
        <f>IF(C42=Charge!$M$1,Charge!$J$1,IF(C42=Charge!$M$23,Charge!$J$23,IF(C42=Charge!$M$17,Charge!$J$17,IF(C42=Charge!$N$17,Charge!$J$17,Charge!$J$7))))</f>
        <v>G4</v>
      </c>
      <c r="C42" s="79" t="str">
        <f>VLOOKUP(A42,'1.Loading'!A:R,14,FALSE)</f>
        <v>BKK02</v>
      </c>
      <c r="D42" s="79" t="str">
        <f>VLOOKUP(A42,'1.Loading'!A:R,17,FALSE)</f>
        <v>HASLS22260900914</v>
      </c>
      <c r="E42" s="80" t="str">
        <f>VLOOKUP(D42,'2.Bookinglist'!A:CT,27,FALSE)</f>
        <v>ASIA MODIFIED STARCH CO., LTD.</v>
      </c>
      <c r="F42" s="80" t="str">
        <f>VLOOKUP(D42,'2.Bookinglist'!A:CT,28,FALSE)</f>
        <v>ASIA MODIFIED STARCH CO., LTD.</v>
      </c>
      <c r="G42" s="81">
        <f>VLOOKUP(D42,'2.Bookinglist'!A:E,5,FALSE)</f>
        <v>0</v>
      </c>
      <c r="H42" s="79" t="str">
        <f>VLOOKUP(D42,'2.Bookinglist'!A:CT,15,FALSE)</f>
        <v>THBKK</v>
      </c>
      <c r="I42" s="79" t="str">
        <f>VLOOKUP(D42,'2.Bookinglist'!A:CT,19,FALSE)</f>
        <v>JPTMK</v>
      </c>
      <c r="J42" s="79" t="str">
        <f>VLOOKUP(D42,'2.Bookinglist'!A:CT,26,FALSE)</f>
        <v>KRPUS</v>
      </c>
      <c r="K42" s="79" t="str">
        <f>VLOOKUP(A42,'1.Loading'!A:R,5,FALSE)</f>
        <v>22GP</v>
      </c>
      <c r="L42" s="81" t="str">
        <f>VLOOKUP(D42,'2.Bookinglist'!A:CT,85,FALSE)</f>
        <v>CY/CY</v>
      </c>
      <c r="M42" s="81" t="str">
        <f>IF(VLOOKUP(D42,'2.Bookinglist'!A:CT,43,FALSE)=0,"","DG")</f>
        <v/>
      </c>
      <c r="N42" s="81" t="str">
        <f>IF(RIGHT(K42,2)="RE","RF","")</f>
        <v/>
      </c>
      <c r="O42" s="79" t="str">
        <f>VLOOKUP(A42,'1.Loading'!A:R,3,FALSE)</f>
        <v>PGPO</v>
      </c>
      <c r="P42" s="79" t="str">
        <f>VLOOKUP(A42,'1.Loading'!A:R,4,FALSE)</f>
        <v>2612N</v>
      </c>
      <c r="Q42" s="79" t="str">
        <f>VLOOKUP(D42,'2.Bookinglist'!A:CT,12,FALSE)</f>
        <v>NTX</v>
      </c>
      <c r="R42" s="81" t="str">
        <f>IF(LEFT(K42,2)="22","20'","40'")</f>
        <v>20'</v>
      </c>
      <c r="S42" s="63"/>
      <c r="T42" s="79" t="str">
        <f>VLOOKUP(A42,'1.Loading'!A:R,2,FALSE)</f>
        <v>2026-10-15</v>
      </c>
      <c r="U42" s="82">
        <f>T42-S42</f>
        <v>46310</v>
      </c>
      <c r="V42" s="83"/>
      <c r="W42" s="79" t="str">
        <f>VLOOKUP(A42,'3.GateMove'!A:D,4,FALSE)</f>
        <v>2026-10-13</v>
      </c>
      <c r="X42" s="82">
        <f>((T42-W42)+1)</f>
        <v>3</v>
      </c>
      <c r="Y42" s="84">
        <f>IF(AND(OR(C42="BKK01",C42="BKK04"),L42="CFS/CY"),0,IF(M42="DG",1,IF(LEFT(C42,3)="LCH",7,IF(C42="BKK02",5,3))))</f>
        <v>5</v>
      </c>
      <c r="Z42" s="82">
        <f>IF(IF(AND(AC42="TML",AB42&gt;0),((T42-W42)+1)-AB42,((T42-W42)+1)-Y42)&gt;0,IF(AND(AC42="TML",AB42&gt;0),((T42-W42)+1)-AB42,((T42-W42)+1)-Y42),0)</f>
        <v>0</v>
      </c>
      <c r="AA42" s="73">
        <f>IF(AND(B42="G1",M42=""),IF(R42="20'",
VLOOKUP(Z42,Charge!$K$2:$M$5,2,TRUE)+(Z42-VLOOKUP(Z42,Charge!$K$2:$M$5,1,TRUE))*VLOOKUP(Z42,Charge!$K$2:$M$5,3,TRUE),
VLOOKUP(Z42,Charge!$N$2:$P$5,2,TRUE)+(Z42-VLOOKUP(Z42,Charge!$N$2:$P$5,1,TRUE))*VLOOKUP(Z42,Charge!$N$2:$P$5,3,TRUE)),
IF(AND(B42="G1",M42="DG"),IF(R42="20'",
VLOOKUP(Z42,Charge!$R$2:$T$5,2,TRUE)+(Z42-VLOOKUP(Z42,Charge!$R$2:$T$5,1,TRUE))*VLOOKUP(Z42,Charge!$R$2:$T$5,3,TRUE),
VLOOKUP(Z42,Charge!$U$2:$W$5,2,TRUE)+(Z42-VLOOKUP(Z42,Charge!$U$2:$W$5,1,TRUE))*VLOOKUP(Z42,Charge!$U$2:$W$5,3,TRUE)),
IF(AND(B42="G3",M42=""),IF(R42="20'",
VLOOKUP(Z42,Charge!$K$18:$M$21,2,TRUE)+(Z42-VLOOKUP(Z42,Charge!$K$18:$M$21,1,TRUE))*VLOOKUP(Z42,Charge!$K$18:$M$21,3,TRUE),
VLOOKUP(Z42,Charge!$N$18:$P$21,2,TRUE)+(Z42-VLOOKUP(Z42,Charge!$N$18:$P$21,1,TRUE))*VLOOKUP(Z42,Charge!$N$18:$P$21,3,TRUE)),
IF(AND(B42="G3",M42="DG"),IF(R42="20'",
VLOOKUP(Z42,Charge!$R$18:$T$21,2,TRUE)+(Z42-VLOOKUP(Z42,Charge!$R$18:$T$21,1,TRUE))*VLOOKUP(Z42,Charge!$R$18:$T$21,3,TRUE),
VLOOKUP(Z42,Charge!$U$18:$W$21,2,TRUE)+(Z42-VLOOKUP(Z42,Charge!$U$18:$W$21,1,TRUE))*VLOOKUP(Z42,Charge!$U$18:$W$21,3,TRUE)),
IF(AND(B42="G2",M42=""),IF(R42="20'",
VLOOKUP(Z42,Charge!$K$9:$M$12,2,TRUE)+(Z42-VLOOKUP(Z42,Charge!$K$9:$M$12,1,TRUE))*VLOOKUP(Z42,Charge!$K$9:$M$12,3,TRUE),
VLOOKUP(Z42,Charge!$N$9:$P$12,2,TRUE)+(Z42-VLOOKUP(Z42,Charge!$N$9:$P$12,1,TRUE))*VLOOKUP(Z42,Charge!$N$9:$P$12,3,TRUE)),
IF(AND(B42="G2",M42="DG"),IF(R42="20'",
VLOOKUP(Z42,Charge!$R$9:$T$12,2,TRUE)+(Z42-VLOOKUP(Z42,Charge!$R$9:$T$12,1,TRUE))*VLOOKUP(Z42,Charge!$R$9:$T$12,3,TRUE),
VLOOKUP(Z42,Charge!$U$9:$W$12,2,TRUE)+(Z42-VLOOKUP(Z42,Charge!$U$9:$W$12,1,TRUE))*VLOOKUP(Z42,Charge!$U$9:$W$12,3,TRUE)),IF(AND(B42="G4",M42=""),IF(R42="20'",Z42*Charge!$M$25,Z42*Charge!$P$25),IF(AND(B42="G4",M42="DG"),IF(R42="20'",Z42*Charge!$T$25,Z42*Charge!$W$25),0))))))))</f>
        <v>0</v>
      </c>
      <c r="AB42" s="78"/>
      <c r="AC42" s="78"/>
      <c r="AD42" s="81">
        <f>IF(M42="DG",3,IF(N42="RF",3,5))+IF(AND(LEFT(C42,3)="BKK",N42="RF",Q42="KTS"),1,0)+IF(Q42="KHS",1,0)</f>
        <v>5</v>
      </c>
      <c r="AE42" s="82">
        <f>(T42-V42)+1</f>
        <v>46311</v>
      </c>
      <c r="AF42" s="82">
        <f>IF(AB42&gt;IF((V42-W42)&gt;0,V42-W42,0),0,IF(AB42&lt;IF((V42-W42)&gt;0,V42-W42,0),IF((V42-W42)&gt;0,V42-W42,0)-AB42,IF((V42-W42)&gt;0,V42-W42,0)))</f>
        <v>0</v>
      </c>
      <c r="AG42" s="73">
        <f>IF(AND(M42=""),IF(R42="20'",
VLOOKUP(AF42,Charge!$K$31:$M$34,2,TRUE)+(AF42-VLOOKUP(AF42,Charge!$K$31:$M$34,1,TRUE))*VLOOKUP(AF42,Charge!$K$31:$M$34,3,TRUE),
VLOOKUP(AF42,Charge!$N$31:$P$34,2,TRUE)+(AF42-VLOOKUP(AF42,Charge!$N$31:$P$34,1,TRUE))*VLOOKUP(AF42,Charge!$N$31:$P$34,3,TRUE)),
IF(AND(M42="DG"),IF(R42="20'",
VLOOKUP(AF42,Charge!$R$31:$T$34,2,TRUE)+(AF42-VLOOKUP(AF42,Charge!$R$31:$T$34,1,TRUE))*VLOOKUP(AF42,Charge!$R$31:$T$34,3,TRUE),
VLOOKUP(AF42,Charge!$U$31:$W$34,2,TRUE)+(AF42-VLOOKUP(AF42,Charge!$U$31:$W$34,1,TRUE))*VLOOKUP(AF42,Charge!$U$31:$W$34,3,TRUE)),0))</f>
        <v>0</v>
      </c>
      <c r="AH42" s="85"/>
      <c r="AI42" s="85">
        <f>AA42-AH42</f>
        <v>0</v>
      </c>
      <c r="AJ42" s="86"/>
      <c r="AK42" s="80" t="str">
        <f>VLOOKUP(D42,'2.Bookinglist'!A:CT,40,FALSE)</f>
        <v>AYA YAMANAKA</v>
      </c>
      <c r="AL42" s="81" t="str">
        <f>VLOOKUP(D42,'2.Bookinglist'!A:CW,101,FALSE)</f>
        <v>2026-10-15</v>
      </c>
      <c r="AM42" s="81" t="str">
        <f>VLOOKUP(D42,'2.Bookinglist'!A:BK,63,FALSE)</f>
        <v>BKK25</v>
      </c>
      <c r="AN42" s="80" t="str">
        <f>VLOOKUP(D42,'2.Bookinglist'!A:AZ,52,FALSE)</f>
        <v>Pickup : 2026-10-10, Return : 2026-10-13</v>
      </c>
      <c r="AO42" s="80">
        <f>VLOOKUP(D42,'2.Bookinglist'!A:CY,103,FALSE)</f>
        <v>0</v>
      </c>
    </row>
    <row r="43" ht="12.95" customHeight="1" spans="1:41" x14ac:dyDescent="0.25">
      <c r="A43" s="3" t="s">
        <v>147</v>
      </c>
      <c r="B43" s="78" t="str">
        <f>IF(C43=Charge!$M$1,Charge!$J$1,IF(C43=Charge!$M$23,Charge!$J$23,IF(C43=Charge!$M$17,Charge!$J$17,IF(C43=Charge!$N$17,Charge!$J$17,Charge!$J$7))))</f>
        <v>G4</v>
      </c>
      <c r="C43" s="79" t="str">
        <f>VLOOKUP(A43,'1.Loading'!A:R,14,FALSE)</f>
        <v>BKK02</v>
      </c>
      <c r="D43" s="79" t="str">
        <f>VLOOKUP(A43,'1.Loading'!A:R,17,FALSE)</f>
        <v>HASLS22260801064</v>
      </c>
      <c r="E43" s="80" t="str">
        <f>VLOOKUP(D43,'2.Bookinglist'!A:CT,27,FALSE)</f>
        <v>KORCHINA FREIGHT (THAILAND) CO., LTD.</v>
      </c>
      <c r="F43" s="80" t="str">
        <f>VLOOKUP(D43,'2.Bookinglist'!A:CT,28,FALSE)</f>
        <v>RIVER KWAI INTERNATIONAL FOOD INDUSTRY CO., LTD.</v>
      </c>
      <c r="G43" s="81">
        <f>VLOOKUP(D43,'2.Bookinglist'!A:E,5,FALSE)</f>
        <v>0</v>
      </c>
      <c r="H43" s="79" t="str">
        <f>VLOOKUP(D43,'2.Bookinglist'!A:CT,15,FALSE)</f>
        <v>THBKK</v>
      </c>
      <c r="I43" s="79" t="str">
        <f>VLOOKUP(D43,'2.Bookinglist'!A:CT,19,FALSE)</f>
        <v>KRINC</v>
      </c>
      <c r="J43" s="79">
        <f>VLOOKUP(D43,'2.Bookinglist'!A:CT,26,FALSE)</f>
        <v>0</v>
      </c>
      <c r="K43" s="79" t="str">
        <f>VLOOKUP(A43,'1.Loading'!A:R,5,FALSE)</f>
        <v>22GP</v>
      </c>
      <c r="L43" s="81" t="str">
        <f>VLOOKUP(D43,'2.Bookinglist'!A:CT,85,FALSE)</f>
        <v>CY/CY</v>
      </c>
      <c r="M43" s="81" t="str">
        <f>IF(VLOOKUP(D43,'2.Bookinglist'!A:CT,43,FALSE)=0,"","DG")</f>
        <v/>
      </c>
      <c r="N43" s="81" t="str">
        <f>IF(RIGHT(K43,2)="RE","RF","")</f>
        <v/>
      </c>
      <c r="O43" s="79" t="str">
        <f>VLOOKUP(A43,'1.Loading'!A:R,3,FALSE)</f>
        <v>PGPO</v>
      </c>
      <c r="P43" s="79" t="str">
        <f>VLOOKUP(A43,'1.Loading'!A:R,4,FALSE)</f>
        <v>2612N</v>
      </c>
      <c r="Q43" s="79" t="str">
        <f>VLOOKUP(D43,'2.Bookinglist'!A:CT,12,FALSE)</f>
        <v>NTX</v>
      </c>
      <c r="R43" s="81" t="str">
        <f>IF(LEFT(K43,2)="22","20'","40'")</f>
        <v>20'</v>
      </c>
      <c r="S43" s="63"/>
      <c r="T43" s="79" t="str">
        <f>VLOOKUP(A43,'1.Loading'!A:R,2,FALSE)</f>
        <v>2026-10-15</v>
      </c>
      <c r="U43" s="82">
        <f>T43-S43</f>
        <v>46310</v>
      </c>
      <c r="V43" s="83"/>
      <c r="W43" s="79" t="str">
        <f>VLOOKUP(A43,'3.GateMove'!A:D,4,FALSE)</f>
        <v>2026-10-10</v>
      </c>
      <c r="X43" s="82">
        <f>((T43-W43)+1)</f>
        <v>6</v>
      </c>
      <c r="Y43" s="84">
        <f>IF(AND(OR(C43="BKK01",C43="BKK04"),L43="CFS/CY"),0,IF(M43="DG",1,IF(LEFT(C43,3)="LCH",7,IF(C43="BKK02",5,3))))</f>
        <v>5</v>
      </c>
      <c r="Z43" s="82">
        <f>IF(IF(AND(AC43="TML",AB43&gt;0),((T43-W43)+1)-AB43,((T43-W43)+1)-Y43)&gt;0,IF(AND(AC43="TML",AB43&gt;0),((T43-W43)+1)-AB43,((T43-W43)+1)-Y43),0)</f>
        <v>1</v>
      </c>
      <c r="AA43" s="73">
        <f>IF(AND(B43="G1",M43=""),IF(R43="20'",
VLOOKUP(Z43,Charge!$K$2:$M$5,2,TRUE)+(Z43-VLOOKUP(Z43,Charge!$K$2:$M$5,1,TRUE))*VLOOKUP(Z43,Charge!$K$2:$M$5,3,TRUE),
VLOOKUP(Z43,Charge!$N$2:$P$5,2,TRUE)+(Z43-VLOOKUP(Z43,Charge!$N$2:$P$5,1,TRUE))*VLOOKUP(Z43,Charge!$N$2:$P$5,3,TRUE)),
IF(AND(B43="G1",M43="DG"),IF(R43="20'",
VLOOKUP(Z43,Charge!$R$2:$T$5,2,TRUE)+(Z43-VLOOKUP(Z43,Charge!$R$2:$T$5,1,TRUE))*VLOOKUP(Z43,Charge!$R$2:$T$5,3,TRUE),
VLOOKUP(Z43,Charge!$U$2:$W$5,2,TRUE)+(Z43-VLOOKUP(Z43,Charge!$U$2:$W$5,1,TRUE))*VLOOKUP(Z43,Charge!$U$2:$W$5,3,TRUE)),
IF(AND(B43="G3",M43=""),IF(R43="20'",
VLOOKUP(Z43,Charge!$K$18:$M$21,2,TRUE)+(Z43-VLOOKUP(Z43,Charge!$K$18:$M$21,1,TRUE))*VLOOKUP(Z43,Charge!$K$18:$M$21,3,TRUE),
VLOOKUP(Z43,Charge!$N$18:$P$21,2,TRUE)+(Z43-VLOOKUP(Z43,Charge!$N$18:$P$21,1,TRUE))*VLOOKUP(Z43,Charge!$N$18:$P$21,3,TRUE)),
IF(AND(B43="G3",M43="DG"),IF(R43="20'",
VLOOKUP(Z43,Charge!$R$18:$T$21,2,TRUE)+(Z43-VLOOKUP(Z43,Charge!$R$18:$T$21,1,TRUE))*VLOOKUP(Z43,Charge!$R$18:$T$21,3,TRUE),
VLOOKUP(Z43,Charge!$U$18:$W$21,2,TRUE)+(Z43-VLOOKUP(Z43,Charge!$U$18:$W$21,1,TRUE))*VLOOKUP(Z43,Charge!$U$18:$W$21,3,TRUE)),
IF(AND(B43="G2",M43=""),IF(R43="20'",
VLOOKUP(Z43,Charge!$K$9:$M$12,2,TRUE)+(Z43-VLOOKUP(Z43,Charge!$K$9:$M$12,1,TRUE))*VLOOKUP(Z43,Charge!$K$9:$M$12,3,TRUE),
VLOOKUP(Z43,Charge!$N$9:$P$12,2,TRUE)+(Z43-VLOOKUP(Z43,Charge!$N$9:$P$12,1,TRUE))*VLOOKUP(Z43,Charge!$N$9:$P$12,3,TRUE)),
IF(AND(B43="G2",M43="DG"),IF(R43="20'",
VLOOKUP(Z43,Charge!$R$9:$T$12,2,TRUE)+(Z43-VLOOKUP(Z43,Charge!$R$9:$T$12,1,TRUE))*VLOOKUP(Z43,Charge!$R$9:$T$12,3,TRUE),
VLOOKUP(Z43,Charge!$U$9:$W$12,2,TRUE)+(Z43-VLOOKUP(Z43,Charge!$U$9:$W$12,1,TRUE))*VLOOKUP(Z43,Charge!$U$9:$W$12,3,TRUE)),IF(AND(B43="G4",M43=""),IF(R43="20'",Z43*Charge!$M$25,Z43*Charge!$P$25),IF(AND(B43="G4",M43="DG"),IF(R43="20'",Z43*Charge!$T$25,Z43*Charge!$W$25),0))))))))</f>
        <v>50</v>
      </c>
      <c r="AB43" s="78"/>
      <c r="AC43" s="78"/>
      <c r="AD43" s="81">
        <f>IF(M43="DG",3,IF(N43="RF",3,5))+IF(AND(LEFT(C43,3)="BKK",N43="RF",Q43="KTS"),1,0)+IF(Q43="KHS",1,0)</f>
        <v>5</v>
      </c>
      <c r="AE43" s="82">
        <f>(T43-V43)+1</f>
        <v>46311</v>
      </c>
      <c r="AF43" s="82">
        <f>IF(AB43&gt;IF((V43-W43)&gt;0,V43-W43,0),0,IF(AB43&lt;IF((V43-W43)&gt;0,V43-W43,0),IF((V43-W43)&gt;0,V43-W43,0)-AB43,IF((V43-W43)&gt;0,V43-W43,0)))</f>
        <v>0</v>
      </c>
      <c r="AG43" s="73">
        <f>IF(AND(M43=""),IF(R43="20'",
VLOOKUP(AF43,Charge!$K$31:$M$34,2,TRUE)+(AF43-VLOOKUP(AF43,Charge!$K$31:$M$34,1,TRUE))*VLOOKUP(AF43,Charge!$K$31:$M$34,3,TRUE),
VLOOKUP(AF43,Charge!$N$31:$P$34,2,TRUE)+(AF43-VLOOKUP(AF43,Charge!$N$31:$P$34,1,TRUE))*VLOOKUP(AF43,Charge!$N$31:$P$34,3,TRUE)),
IF(AND(M43="DG"),IF(R43="20'",
VLOOKUP(AF43,Charge!$R$31:$T$34,2,TRUE)+(AF43-VLOOKUP(AF43,Charge!$R$31:$T$34,1,TRUE))*VLOOKUP(AF43,Charge!$R$31:$T$34,3,TRUE),
VLOOKUP(AF43,Charge!$U$31:$W$34,2,TRUE)+(AF43-VLOOKUP(AF43,Charge!$U$31:$W$34,1,TRUE))*VLOOKUP(AF43,Charge!$U$31:$W$34,3,TRUE)),0))</f>
        <v>0</v>
      </c>
      <c r="AH43" s="85"/>
      <c r="AI43" s="85">
        <f>AA43-AH43</f>
        <v>50</v>
      </c>
      <c r="AJ43" s="86"/>
      <c r="AK43" s="80" t="str">
        <f>VLOOKUP(D43,'2.Bookinglist'!A:CT,40,FALSE)</f>
        <v>Pattarapong Saengthong</v>
      </c>
      <c r="AL43" s="81" t="str">
        <f>VLOOKUP(D43,'2.Bookinglist'!A:CW,101,FALSE)</f>
        <v>2026-10-15</v>
      </c>
      <c r="AM43" s="81" t="str">
        <f>VLOOKUP(D43,'2.Bookinglist'!A:BK,63,FALSE)</f>
        <v>BKK27</v>
      </c>
      <c r="AN43" s="80" t="str">
        <f>VLOOKUP(D43,'2.Bookinglist'!A:AZ,52,FALSE)</f>
        <v>Pickup : 2026-10-08, Return : 2026-10-10 /FIRST DATE CAN RETURN CNTR DD.10/10 WITHOUT RENT</v>
      </c>
      <c r="AO43" s="80">
        <f>VLOOKUP(D43,'2.Bookinglist'!A:CY,103,FALSE)</f>
        <v>0</v>
      </c>
    </row>
    <row r="44" ht="12.95" customHeight="1" spans="1:41" x14ac:dyDescent="0.25">
      <c r="A44" s="3" t="s">
        <v>148</v>
      </c>
      <c r="B44" s="78" t="str">
        <f>IF(C44=Charge!$M$1,Charge!$J$1,IF(C44=Charge!$M$23,Charge!$J$23,IF(C44=Charge!$M$17,Charge!$J$17,IF(C44=Charge!$N$17,Charge!$J$17,Charge!$J$7))))</f>
        <v>G4</v>
      </c>
      <c r="C44" s="79" t="str">
        <f>VLOOKUP(A44,'1.Loading'!A:R,14,FALSE)</f>
        <v>BKK02</v>
      </c>
      <c r="D44" s="79" t="str">
        <f>VLOOKUP(A44,'1.Loading'!A:R,17,FALSE)</f>
        <v>HASLS22260801064</v>
      </c>
      <c r="E44" s="80" t="str">
        <f>VLOOKUP(D44,'2.Bookinglist'!A:CT,27,FALSE)</f>
        <v>KORCHINA FREIGHT (THAILAND) CO., LTD.</v>
      </c>
      <c r="F44" s="80" t="str">
        <f>VLOOKUP(D44,'2.Bookinglist'!A:CT,28,FALSE)</f>
        <v>RIVER KWAI INTERNATIONAL FOOD INDUSTRY CO., LTD.</v>
      </c>
      <c r="G44" s="81">
        <f>VLOOKUP(D44,'2.Bookinglist'!A:E,5,FALSE)</f>
        <v>0</v>
      </c>
      <c r="H44" s="79" t="str">
        <f>VLOOKUP(D44,'2.Bookinglist'!A:CT,15,FALSE)</f>
        <v>THBKK</v>
      </c>
      <c r="I44" s="79" t="str">
        <f>VLOOKUP(D44,'2.Bookinglist'!A:CT,19,FALSE)</f>
        <v>KRINC</v>
      </c>
      <c r="J44" s="79">
        <f>VLOOKUP(D44,'2.Bookinglist'!A:CT,26,FALSE)</f>
        <v>0</v>
      </c>
      <c r="K44" s="79" t="str">
        <f>VLOOKUP(A44,'1.Loading'!A:R,5,FALSE)</f>
        <v>22GP</v>
      </c>
      <c r="L44" s="81" t="str">
        <f>VLOOKUP(D44,'2.Bookinglist'!A:CT,85,FALSE)</f>
        <v>CY/CY</v>
      </c>
      <c r="M44" s="81" t="str">
        <f>IF(VLOOKUP(D44,'2.Bookinglist'!A:CT,43,FALSE)=0,"","DG")</f>
        <v/>
      </c>
      <c r="N44" s="81" t="str">
        <f>IF(RIGHT(K44,2)="RE","RF","")</f>
        <v/>
      </c>
      <c r="O44" s="79" t="str">
        <f>VLOOKUP(A44,'1.Loading'!A:R,3,FALSE)</f>
        <v>PGPO</v>
      </c>
      <c r="P44" s="79" t="str">
        <f>VLOOKUP(A44,'1.Loading'!A:R,4,FALSE)</f>
        <v>2612N</v>
      </c>
      <c r="Q44" s="79" t="str">
        <f>VLOOKUP(D44,'2.Bookinglist'!A:CT,12,FALSE)</f>
        <v>NTX</v>
      </c>
      <c r="R44" s="81" t="str">
        <f>IF(LEFT(K44,2)="22","20'","40'")</f>
        <v>20'</v>
      </c>
      <c r="S44" s="63"/>
      <c r="T44" s="79" t="str">
        <f>VLOOKUP(A44,'1.Loading'!A:R,2,FALSE)</f>
        <v>2026-10-15</v>
      </c>
      <c r="U44" s="82">
        <f>T44-S44</f>
        <v>46310</v>
      </c>
      <c r="V44" s="83"/>
      <c r="W44" s="79" t="str">
        <f>VLOOKUP(A44,'3.GateMove'!A:D,4,FALSE)</f>
        <v>2026-10-10</v>
      </c>
      <c r="X44" s="82">
        <f>((T44-W44)+1)</f>
        <v>6</v>
      </c>
      <c r="Y44" s="84">
        <f>IF(AND(OR(C44="BKK01",C44="BKK04"),L44="CFS/CY"),0,IF(M44="DG",1,IF(LEFT(C44,3)="LCH",7,IF(C44="BKK02",5,3))))</f>
        <v>5</v>
      </c>
      <c r="Z44" s="82">
        <f>IF(IF(AND(AC44="TML",AB44&gt;0),((T44-W44)+1)-AB44,((T44-W44)+1)-Y44)&gt;0,IF(AND(AC44="TML",AB44&gt;0),((T44-W44)+1)-AB44,((T44-W44)+1)-Y44),0)</f>
        <v>1</v>
      </c>
      <c r="AA44" s="73">
        <f>IF(AND(B44="G1",M44=""),IF(R44="20'",
VLOOKUP(Z44,Charge!$K$2:$M$5,2,TRUE)+(Z44-VLOOKUP(Z44,Charge!$K$2:$M$5,1,TRUE))*VLOOKUP(Z44,Charge!$K$2:$M$5,3,TRUE),
VLOOKUP(Z44,Charge!$N$2:$P$5,2,TRUE)+(Z44-VLOOKUP(Z44,Charge!$N$2:$P$5,1,TRUE))*VLOOKUP(Z44,Charge!$N$2:$P$5,3,TRUE)),
IF(AND(B44="G1",M44="DG"),IF(R44="20'",
VLOOKUP(Z44,Charge!$R$2:$T$5,2,TRUE)+(Z44-VLOOKUP(Z44,Charge!$R$2:$T$5,1,TRUE))*VLOOKUP(Z44,Charge!$R$2:$T$5,3,TRUE),
VLOOKUP(Z44,Charge!$U$2:$W$5,2,TRUE)+(Z44-VLOOKUP(Z44,Charge!$U$2:$W$5,1,TRUE))*VLOOKUP(Z44,Charge!$U$2:$W$5,3,TRUE)),
IF(AND(B44="G3",M44=""),IF(R44="20'",
VLOOKUP(Z44,Charge!$K$18:$M$21,2,TRUE)+(Z44-VLOOKUP(Z44,Charge!$K$18:$M$21,1,TRUE))*VLOOKUP(Z44,Charge!$K$18:$M$21,3,TRUE),
VLOOKUP(Z44,Charge!$N$18:$P$21,2,TRUE)+(Z44-VLOOKUP(Z44,Charge!$N$18:$P$21,1,TRUE))*VLOOKUP(Z44,Charge!$N$18:$P$21,3,TRUE)),
IF(AND(B44="G3",M44="DG"),IF(R44="20'",
VLOOKUP(Z44,Charge!$R$18:$T$21,2,TRUE)+(Z44-VLOOKUP(Z44,Charge!$R$18:$T$21,1,TRUE))*VLOOKUP(Z44,Charge!$R$18:$T$21,3,TRUE),
VLOOKUP(Z44,Charge!$U$18:$W$21,2,TRUE)+(Z44-VLOOKUP(Z44,Charge!$U$18:$W$21,1,TRUE))*VLOOKUP(Z44,Charge!$U$18:$W$21,3,TRUE)),
IF(AND(B44="G2",M44=""),IF(R44="20'",
VLOOKUP(Z44,Charge!$K$9:$M$12,2,TRUE)+(Z44-VLOOKUP(Z44,Charge!$K$9:$M$12,1,TRUE))*VLOOKUP(Z44,Charge!$K$9:$M$12,3,TRUE),
VLOOKUP(Z44,Charge!$N$9:$P$12,2,TRUE)+(Z44-VLOOKUP(Z44,Charge!$N$9:$P$12,1,TRUE))*VLOOKUP(Z44,Charge!$N$9:$P$12,3,TRUE)),
IF(AND(B44="G2",M44="DG"),IF(R44="20'",
VLOOKUP(Z44,Charge!$R$9:$T$12,2,TRUE)+(Z44-VLOOKUP(Z44,Charge!$R$9:$T$12,1,TRUE))*VLOOKUP(Z44,Charge!$R$9:$T$12,3,TRUE),
VLOOKUP(Z44,Charge!$U$9:$W$12,2,TRUE)+(Z44-VLOOKUP(Z44,Charge!$U$9:$W$12,1,TRUE))*VLOOKUP(Z44,Charge!$U$9:$W$12,3,TRUE)),IF(AND(B44="G4",M44=""),IF(R44="20'",Z44*Charge!$M$25,Z44*Charge!$P$25),IF(AND(B44="G4",M44="DG"),IF(R44="20'",Z44*Charge!$T$25,Z44*Charge!$W$25),0))))))))</f>
        <v>50</v>
      </c>
      <c r="AB44" s="78"/>
      <c r="AC44" s="78"/>
      <c r="AD44" s="81">
        <f>IF(M44="DG",3,IF(N44="RF",3,5))+IF(AND(LEFT(C44,3)="BKK",N44="RF",Q44="KTS"),1,0)+IF(Q44="KHS",1,0)</f>
        <v>5</v>
      </c>
      <c r="AE44" s="82">
        <f>(T44-V44)+1</f>
        <v>46311</v>
      </c>
      <c r="AF44" s="82">
        <f>IF(AB44&gt;IF((V44-W44)&gt;0,V44-W44,0),0,IF(AB44&lt;IF((V44-W44)&gt;0,V44-W44,0),IF((V44-W44)&gt;0,V44-W44,0)-AB44,IF((V44-W44)&gt;0,V44-W44,0)))</f>
        <v>0</v>
      </c>
      <c r="AG44" s="73">
        <f>IF(AND(M44=""),IF(R44="20'",
VLOOKUP(AF44,Charge!$K$31:$M$34,2,TRUE)+(AF44-VLOOKUP(AF44,Charge!$K$31:$M$34,1,TRUE))*VLOOKUP(AF44,Charge!$K$31:$M$34,3,TRUE),
VLOOKUP(AF44,Charge!$N$31:$P$34,2,TRUE)+(AF44-VLOOKUP(AF44,Charge!$N$31:$P$34,1,TRUE))*VLOOKUP(AF44,Charge!$N$31:$P$34,3,TRUE)),
IF(AND(M44="DG"),IF(R44="20'",
VLOOKUP(AF44,Charge!$R$31:$T$34,2,TRUE)+(AF44-VLOOKUP(AF44,Charge!$R$31:$T$34,1,TRUE))*VLOOKUP(AF44,Charge!$R$31:$T$34,3,TRUE),
VLOOKUP(AF44,Charge!$U$31:$W$34,2,TRUE)+(AF44-VLOOKUP(AF44,Charge!$U$31:$W$34,1,TRUE))*VLOOKUP(AF44,Charge!$U$31:$W$34,3,TRUE)),0))</f>
        <v>0</v>
      </c>
      <c r="AH44" s="85"/>
      <c r="AI44" s="85">
        <f>AA44-AH44</f>
        <v>50</v>
      </c>
      <c r="AJ44" s="86"/>
      <c r="AK44" s="80" t="str">
        <f>VLOOKUP(D44,'2.Bookinglist'!A:CT,40,FALSE)</f>
        <v>Pattarapong Saengthong</v>
      </c>
      <c r="AL44" s="81" t="str">
        <f>VLOOKUP(D44,'2.Bookinglist'!A:CW,101,FALSE)</f>
        <v>2026-10-15</v>
      </c>
      <c r="AM44" s="81" t="str">
        <f>VLOOKUP(D44,'2.Bookinglist'!A:BK,63,FALSE)</f>
        <v>BKK27</v>
      </c>
      <c r="AN44" s="80" t="str">
        <f>VLOOKUP(D44,'2.Bookinglist'!A:AZ,52,FALSE)</f>
        <v>Pickup : 2026-10-08, Return : 2026-10-10 /FIRST DATE CAN RETURN CNTR DD.10/10 WITHOUT RENT</v>
      </c>
      <c r="AO44" s="80">
        <f>VLOOKUP(D44,'2.Bookinglist'!A:CY,103,FALSE)</f>
        <v>0</v>
      </c>
    </row>
    <row r="45" ht="12.95" customHeight="1" spans="1:41" x14ac:dyDescent="0.25">
      <c r="A45" s="3" t="s">
        <v>149</v>
      </c>
      <c r="B45" s="78" t="str">
        <f>IF(C45=Charge!$M$1,Charge!$J$1,IF(C45=Charge!$M$23,Charge!$J$23,IF(C45=Charge!$M$17,Charge!$J$17,IF(C45=Charge!$N$17,Charge!$J$17,Charge!$J$7))))</f>
        <v>G4</v>
      </c>
      <c r="C45" s="79" t="str">
        <f>VLOOKUP(A45,'1.Loading'!A:R,14,FALSE)</f>
        <v>BKK02</v>
      </c>
      <c r="D45" s="79" t="str">
        <f>VLOOKUP(A45,'1.Loading'!A:R,17,FALSE)</f>
        <v>HASLS22260801064</v>
      </c>
      <c r="E45" s="80" t="str">
        <f>VLOOKUP(D45,'2.Bookinglist'!A:CT,27,FALSE)</f>
        <v>KORCHINA FREIGHT (THAILAND) CO., LTD.</v>
      </c>
      <c r="F45" s="80" t="str">
        <f>VLOOKUP(D45,'2.Bookinglist'!A:CT,28,FALSE)</f>
        <v>RIVER KWAI INTERNATIONAL FOOD INDUSTRY CO., LTD.</v>
      </c>
      <c r="G45" s="81">
        <f>VLOOKUP(D45,'2.Bookinglist'!A:E,5,FALSE)</f>
        <v>0</v>
      </c>
      <c r="H45" s="79" t="str">
        <f>VLOOKUP(D45,'2.Bookinglist'!A:CT,15,FALSE)</f>
        <v>THBKK</v>
      </c>
      <c r="I45" s="79" t="str">
        <f>VLOOKUP(D45,'2.Bookinglist'!A:CT,19,FALSE)</f>
        <v>KRINC</v>
      </c>
      <c r="J45" s="79">
        <f>VLOOKUP(D45,'2.Bookinglist'!A:CT,26,FALSE)</f>
        <v>0</v>
      </c>
      <c r="K45" s="79" t="str">
        <f>VLOOKUP(A45,'1.Loading'!A:R,5,FALSE)</f>
        <v>22GP</v>
      </c>
      <c r="L45" s="81" t="str">
        <f>VLOOKUP(D45,'2.Bookinglist'!A:CT,85,FALSE)</f>
        <v>CY/CY</v>
      </c>
      <c r="M45" s="81" t="str">
        <f>IF(VLOOKUP(D45,'2.Bookinglist'!A:CT,43,FALSE)=0,"","DG")</f>
        <v/>
      </c>
      <c r="N45" s="81" t="str">
        <f>IF(RIGHT(K45,2)="RE","RF","")</f>
        <v/>
      </c>
      <c r="O45" s="79" t="str">
        <f>VLOOKUP(A45,'1.Loading'!A:R,3,FALSE)</f>
        <v>PGPO</v>
      </c>
      <c r="P45" s="79" t="str">
        <f>VLOOKUP(A45,'1.Loading'!A:R,4,FALSE)</f>
        <v>2612N</v>
      </c>
      <c r="Q45" s="79" t="str">
        <f>VLOOKUP(D45,'2.Bookinglist'!A:CT,12,FALSE)</f>
        <v>NTX</v>
      </c>
      <c r="R45" s="81" t="str">
        <f>IF(LEFT(K45,2)="22","20'","40'")</f>
        <v>20'</v>
      </c>
      <c r="S45" s="63"/>
      <c r="T45" s="79" t="str">
        <f>VLOOKUP(A45,'1.Loading'!A:R,2,FALSE)</f>
        <v>2026-10-15</v>
      </c>
      <c r="U45" s="82">
        <f>T45-S45</f>
        <v>46310</v>
      </c>
      <c r="V45" s="83"/>
      <c r="W45" s="79" t="str">
        <f>VLOOKUP(A45,'3.GateMove'!A:D,4,FALSE)</f>
        <v>2026-10-09</v>
      </c>
      <c r="X45" s="82">
        <f>((T45-W45)+1)</f>
        <v>7</v>
      </c>
      <c r="Y45" s="84">
        <f>IF(AND(OR(C45="BKK01",C45="BKK04"),L45="CFS/CY"),0,IF(M45="DG",1,IF(LEFT(C45,3)="LCH",7,IF(C45="BKK02",5,3))))</f>
        <v>5</v>
      </c>
      <c r="Z45" s="82">
        <f>IF(IF(AND(AC45="TML",AB45&gt;0),((T45-W45)+1)-AB45,((T45-W45)+1)-Y45)&gt;0,IF(AND(AC45="TML",AB45&gt;0),((T45-W45)+1)-AB45,((T45-W45)+1)-Y45),0)</f>
        <v>2</v>
      </c>
      <c r="AA45" s="73">
        <f>IF(AND(B45="G1",M45=""),IF(R45="20'",
VLOOKUP(Z45,Charge!$K$2:$M$5,2,TRUE)+(Z45-VLOOKUP(Z45,Charge!$K$2:$M$5,1,TRUE))*VLOOKUP(Z45,Charge!$K$2:$M$5,3,TRUE),
VLOOKUP(Z45,Charge!$N$2:$P$5,2,TRUE)+(Z45-VLOOKUP(Z45,Charge!$N$2:$P$5,1,TRUE))*VLOOKUP(Z45,Charge!$N$2:$P$5,3,TRUE)),
IF(AND(B45="G1",M45="DG"),IF(R45="20'",
VLOOKUP(Z45,Charge!$R$2:$T$5,2,TRUE)+(Z45-VLOOKUP(Z45,Charge!$R$2:$T$5,1,TRUE))*VLOOKUP(Z45,Charge!$R$2:$T$5,3,TRUE),
VLOOKUP(Z45,Charge!$U$2:$W$5,2,TRUE)+(Z45-VLOOKUP(Z45,Charge!$U$2:$W$5,1,TRUE))*VLOOKUP(Z45,Charge!$U$2:$W$5,3,TRUE)),
IF(AND(B45="G3",M45=""),IF(R45="20'",
VLOOKUP(Z45,Charge!$K$18:$M$21,2,TRUE)+(Z45-VLOOKUP(Z45,Charge!$K$18:$M$21,1,TRUE))*VLOOKUP(Z45,Charge!$K$18:$M$21,3,TRUE),
VLOOKUP(Z45,Charge!$N$18:$P$21,2,TRUE)+(Z45-VLOOKUP(Z45,Charge!$N$18:$P$21,1,TRUE))*VLOOKUP(Z45,Charge!$N$18:$P$21,3,TRUE)),
IF(AND(B45="G3",M45="DG"),IF(R45="20'",
VLOOKUP(Z45,Charge!$R$18:$T$21,2,TRUE)+(Z45-VLOOKUP(Z45,Charge!$R$18:$T$21,1,TRUE))*VLOOKUP(Z45,Charge!$R$18:$T$21,3,TRUE),
VLOOKUP(Z45,Charge!$U$18:$W$21,2,TRUE)+(Z45-VLOOKUP(Z45,Charge!$U$18:$W$21,1,TRUE))*VLOOKUP(Z45,Charge!$U$18:$W$21,3,TRUE)),
IF(AND(B45="G2",M45=""),IF(R45="20'",
VLOOKUP(Z45,Charge!$K$9:$M$12,2,TRUE)+(Z45-VLOOKUP(Z45,Charge!$K$9:$M$12,1,TRUE))*VLOOKUP(Z45,Charge!$K$9:$M$12,3,TRUE),
VLOOKUP(Z45,Charge!$N$9:$P$12,2,TRUE)+(Z45-VLOOKUP(Z45,Charge!$N$9:$P$12,1,TRUE))*VLOOKUP(Z45,Charge!$N$9:$P$12,3,TRUE)),
IF(AND(B45="G2",M45="DG"),IF(R45="20'",
VLOOKUP(Z45,Charge!$R$9:$T$12,2,TRUE)+(Z45-VLOOKUP(Z45,Charge!$R$9:$T$12,1,TRUE))*VLOOKUP(Z45,Charge!$R$9:$T$12,3,TRUE),
VLOOKUP(Z45,Charge!$U$9:$W$12,2,TRUE)+(Z45-VLOOKUP(Z45,Charge!$U$9:$W$12,1,TRUE))*VLOOKUP(Z45,Charge!$U$9:$W$12,3,TRUE)),IF(AND(B45="G4",M45=""),IF(R45="20'",Z45*Charge!$M$25,Z45*Charge!$P$25),IF(AND(B45="G4",M45="DG"),IF(R45="20'",Z45*Charge!$T$25,Z45*Charge!$W$25),0))))))))</f>
        <v>100</v>
      </c>
      <c r="AB45" s="78"/>
      <c r="AC45" s="78"/>
      <c r="AD45" s="81">
        <f>IF(M45="DG",3,IF(N45="RF",3,5))+IF(AND(LEFT(C45,3)="BKK",N45="RF",Q45="KTS"),1,0)+IF(Q45="KHS",1,0)</f>
        <v>5</v>
      </c>
      <c r="AE45" s="82">
        <f>(T45-V45)+1</f>
        <v>46311</v>
      </c>
      <c r="AF45" s="82">
        <f>IF(AB45&gt;IF((V45-W45)&gt;0,V45-W45,0),0,IF(AB45&lt;IF((V45-W45)&gt;0,V45-W45,0),IF((V45-W45)&gt;0,V45-W45,0)-AB45,IF((V45-W45)&gt;0,V45-W45,0)))</f>
        <v>0</v>
      </c>
      <c r="AG45" s="73">
        <f>IF(AND(M45=""),IF(R45="20'",
VLOOKUP(AF45,Charge!$K$31:$M$34,2,TRUE)+(AF45-VLOOKUP(AF45,Charge!$K$31:$M$34,1,TRUE))*VLOOKUP(AF45,Charge!$K$31:$M$34,3,TRUE),
VLOOKUP(AF45,Charge!$N$31:$P$34,2,TRUE)+(AF45-VLOOKUP(AF45,Charge!$N$31:$P$34,1,TRUE))*VLOOKUP(AF45,Charge!$N$31:$P$34,3,TRUE)),
IF(AND(M45="DG"),IF(R45="20'",
VLOOKUP(AF45,Charge!$R$31:$T$34,2,TRUE)+(AF45-VLOOKUP(AF45,Charge!$R$31:$T$34,1,TRUE))*VLOOKUP(AF45,Charge!$R$31:$T$34,3,TRUE),
VLOOKUP(AF45,Charge!$U$31:$W$34,2,TRUE)+(AF45-VLOOKUP(AF45,Charge!$U$31:$W$34,1,TRUE))*VLOOKUP(AF45,Charge!$U$31:$W$34,3,TRUE)),0))</f>
        <v>0</v>
      </c>
      <c r="AH45" s="85"/>
      <c r="AI45" s="85">
        <f>AA45-AH45</f>
        <v>100</v>
      </c>
      <c r="AJ45" s="86"/>
      <c r="AK45" s="80" t="str">
        <f>VLOOKUP(D45,'2.Bookinglist'!A:CT,40,FALSE)</f>
        <v>Pattarapong Saengthong</v>
      </c>
      <c r="AL45" s="81" t="str">
        <f>VLOOKUP(D45,'2.Bookinglist'!A:CW,101,FALSE)</f>
        <v>2026-10-15</v>
      </c>
      <c r="AM45" s="81" t="str">
        <f>VLOOKUP(D45,'2.Bookinglist'!A:BK,63,FALSE)</f>
        <v>BKK27</v>
      </c>
      <c r="AN45" s="80" t="str">
        <f>VLOOKUP(D45,'2.Bookinglist'!A:AZ,52,FALSE)</f>
        <v>Pickup : 2026-10-08, Return : 2026-10-10 /FIRST DATE CAN RETURN CNTR DD.10/10 WITHOUT RENT</v>
      </c>
      <c r="AO45" s="80">
        <f>VLOOKUP(D45,'2.Bookinglist'!A:CY,103,FALSE)</f>
        <v>0</v>
      </c>
    </row>
    <row r="46" ht="12.95" customHeight="1" spans="1:41" x14ac:dyDescent="0.25">
      <c r="A46" s="3" t="s">
        <v>150</v>
      </c>
      <c r="B46" s="78" t="str">
        <f>IF(C46=Charge!$M$1,Charge!$J$1,IF(C46=Charge!$M$23,Charge!$J$23,IF(C46=Charge!$M$17,Charge!$J$17,IF(C46=Charge!$N$17,Charge!$J$17,Charge!$J$7))))</f>
        <v>G4</v>
      </c>
      <c r="C46" s="79" t="str">
        <f>VLOOKUP(A46,'1.Loading'!A:R,14,FALSE)</f>
        <v>BKK02</v>
      </c>
      <c r="D46" s="79" t="str">
        <f>VLOOKUP(A46,'1.Loading'!A:R,17,FALSE)</f>
        <v>HASLS22260902194</v>
      </c>
      <c r="E46" s="80" t="str">
        <f>VLOOKUP(D46,'2.Bookinglist'!A:CT,27,FALSE)</f>
        <v>METRO PARTICLE CO., LTD.</v>
      </c>
      <c r="F46" s="80" t="str">
        <f>VLOOKUP(D46,'2.Bookinglist'!A:CT,28,FALSE)</f>
        <v>METRO PARTICLE CO., LTD.</v>
      </c>
      <c r="G46" s="81">
        <f>VLOOKUP(D46,'2.Bookinglist'!A:E,5,FALSE)</f>
        <v>0</v>
      </c>
      <c r="H46" s="79" t="str">
        <f>VLOOKUP(D46,'2.Bookinglist'!A:CT,15,FALSE)</f>
        <v>THBKK</v>
      </c>
      <c r="I46" s="79" t="str">
        <f>VLOOKUP(D46,'2.Bookinglist'!A:CT,19,FALSE)</f>
        <v>VNSGN</v>
      </c>
      <c r="J46" s="79">
        <f>VLOOKUP(D46,'2.Bookinglist'!A:CT,26,FALSE)</f>
        <v>0</v>
      </c>
      <c r="K46" s="79" t="str">
        <f>VLOOKUP(A46,'1.Loading'!A:R,5,FALSE)</f>
        <v>45GP</v>
      </c>
      <c r="L46" s="81" t="str">
        <f>VLOOKUP(D46,'2.Bookinglist'!A:CT,85,FALSE)</f>
        <v>CY/CY</v>
      </c>
      <c r="M46" s="81" t="str">
        <f>IF(VLOOKUP(D46,'2.Bookinglist'!A:CT,43,FALSE)=0,"","DG")</f>
        <v/>
      </c>
      <c r="N46" s="81" t="str">
        <f>IF(RIGHT(K46,2)="RE","RF","")</f>
        <v/>
      </c>
      <c r="O46" s="79" t="str">
        <f>VLOOKUP(A46,'1.Loading'!A:R,3,FALSE)</f>
        <v>PGPO</v>
      </c>
      <c r="P46" s="79" t="str">
        <f>VLOOKUP(A46,'1.Loading'!A:R,4,FALSE)</f>
        <v>2612N</v>
      </c>
      <c r="Q46" s="79" t="str">
        <f>VLOOKUP(D46,'2.Bookinglist'!A:CT,12,FALSE)</f>
        <v>NTX</v>
      </c>
      <c r="R46" s="81" t="str">
        <f>IF(LEFT(K46,2)="22","20'","40'")</f>
        <v>40'</v>
      </c>
      <c r="S46" s="63"/>
      <c r="T46" s="79" t="str">
        <f>VLOOKUP(A46,'1.Loading'!A:R,2,FALSE)</f>
        <v>2026-10-15</v>
      </c>
      <c r="U46" s="82">
        <f>T46-S46</f>
        <v>46310</v>
      </c>
      <c r="V46" s="83"/>
      <c r="W46" s="79" t="str">
        <f>VLOOKUP(A46,'3.GateMove'!A:D,4,FALSE)</f>
        <v>2026-10-11</v>
      </c>
      <c r="X46" s="82">
        <f>((T46-W46)+1)</f>
        <v>5</v>
      </c>
      <c r="Y46" s="84">
        <f>IF(AND(OR(C46="BKK01",C46="BKK04"),L46="CFS/CY"),0,IF(M46="DG",1,IF(LEFT(C46,3)="LCH",7,IF(C46="BKK02",5,3))))</f>
        <v>5</v>
      </c>
      <c r="Z46" s="82">
        <f>IF(IF(AND(AC46="TML",AB46&gt;0),((T46-W46)+1)-AB46,((T46-W46)+1)-Y46)&gt;0,IF(AND(AC46="TML",AB46&gt;0),((T46-W46)+1)-AB46,((T46-W46)+1)-Y46),0)</f>
        <v>0</v>
      </c>
      <c r="AA46" s="73">
        <f>IF(AND(B46="G1",M46=""),IF(R46="20'",
VLOOKUP(Z46,Charge!$K$2:$M$5,2,TRUE)+(Z46-VLOOKUP(Z46,Charge!$K$2:$M$5,1,TRUE))*VLOOKUP(Z46,Charge!$K$2:$M$5,3,TRUE),
VLOOKUP(Z46,Charge!$N$2:$P$5,2,TRUE)+(Z46-VLOOKUP(Z46,Charge!$N$2:$P$5,1,TRUE))*VLOOKUP(Z46,Charge!$N$2:$P$5,3,TRUE)),
IF(AND(B46="G1",M46="DG"),IF(R46="20'",
VLOOKUP(Z46,Charge!$R$2:$T$5,2,TRUE)+(Z46-VLOOKUP(Z46,Charge!$R$2:$T$5,1,TRUE))*VLOOKUP(Z46,Charge!$R$2:$T$5,3,TRUE),
VLOOKUP(Z46,Charge!$U$2:$W$5,2,TRUE)+(Z46-VLOOKUP(Z46,Charge!$U$2:$W$5,1,TRUE))*VLOOKUP(Z46,Charge!$U$2:$W$5,3,TRUE)),
IF(AND(B46="G3",M46=""),IF(R46="20'",
VLOOKUP(Z46,Charge!$K$18:$M$21,2,TRUE)+(Z46-VLOOKUP(Z46,Charge!$K$18:$M$21,1,TRUE))*VLOOKUP(Z46,Charge!$K$18:$M$21,3,TRUE),
VLOOKUP(Z46,Charge!$N$18:$P$21,2,TRUE)+(Z46-VLOOKUP(Z46,Charge!$N$18:$P$21,1,TRUE))*VLOOKUP(Z46,Charge!$N$18:$P$21,3,TRUE)),
IF(AND(B46="G3",M46="DG"),IF(R46="20'",
VLOOKUP(Z46,Charge!$R$18:$T$21,2,TRUE)+(Z46-VLOOKUP(Z46,Charge!$R$18:$T$21,1,TRUE))*VLOOKUP(Z46,Charge!$R$18:$T$21,3,TRUE),
VLOOKUP(Z46,Charge!$U$18:$W$21,2,TRUE)+(Z46-VLOOKUP(Z46,Charge!$U$18:$W$21,1,TRUE))*VLOOKUP(Z46,Charge!$U$18:$W$21,3,TRUE)),
IF(AND(B46="G2",M46=""),IF(R46="20'",
VLOOKUP(Z46,Charge!$K$9:$M$12,2,TRUE)+(Z46-VLOOKUP(Z46,Charge!$K$9:$M$12,1,TRUE))*VLOOKUP(Z46,Charge!$K$9:$M$12,3,TRUE),
VLOOKUP(Z46,Charge!$N$9:$P$12,2,TRUE)+(Z46-VLOOKUP(Z46,Charge!$N$9:$P$12,1,TRUE))*VLOOKUP(Z46,Charge!$N$9:$P$12,3,TRUE)),
IF(AND(B46="G2",M46="DG"),IF(R46="20'",
VLOOKUP(Z46,Charge!$R$9:$T$12,2,TRUE)+(Z46-VLOOKUP(Z46,Charge!$R$9:$T$12,1,TRUE))*VLOOKUP(Z46,Charge!$R$9:$T$12,3,TRUE),
VLOOKUP(Z46,Charge!$U$9:$W$12,2,TRUE)+(Z46-VLOOKUP(Z46,Charge!$U$9:$W$12,1,TRUE))*VLOOKUP(Z46,Charge!$U$9:$W$12,3,TRUE)),IF(AND(B46="G4",M46=""),IF(R46="20'",Z46*Charge!$M$25,Z46*Charge!$P$25),IF(AND(B46="G4",M46="DG"),IF(R46="20'",Z46*Charge!$T$25,Z46*Charge!$W$25),0))))))))</f>
        <v>0</v>
      </c>
      <c r="AB46" s="78"/>
      <c r="AC46" s="78"/>
      <c r="AD46" s="81">
        <f>IF(M46="DG",3,IF(N46="RF",3,5))+IF(AND(LEFT(C46,3)="BKK",N46="RF",Q46="KTS"),1,0)+IF(Q46="KHS",1,0)</f>
        <v>5</v>
      </c>
      <c r="AE46" s="82">
        <f>(T46-V46)+1</f>
        <v>46311</v>
      </c>
      <c r="AF46" s="82">
        <f>IF(AB46&gt;IF((V46-W46)&gt;0,V46-W46,0),0,IF(AB46&lt;IF((V46-W46)&gt;0,V46-W46,0),IF((V46-W46)&gt;0,V46-W46,0)-AB46,IF((V46-W46)&gt;0,V46-W46,0)))</f>
        <v>0</v>
      </c>
      <c r="AG46" s="73">
        <f>IF(AND(M46=""),IF(R46="20'",
VLOOKUP(AF46,Charge!$K$31:$M$34,2,TRUE)+(AF46-VLOOKUP(AF46,Charge!$K$31:$M$34,1,TRUE))*VLOOKUP(AF46,Charge!$K$31:$M$34,3,TRUE),
VLOOKUP(AF46,Charge!$N$31:$P$34,2,TRUE)+(AF46-VLOOKUP(AF46,Charge!$N$31:$P$34,1,TRUE))*VLOOKUP(AF46,Charge!$N$31:$P$34,3,TRUE)),
IF(AND(M46="DG"),IF(R46="20'",
VLOOKUP(AF46,Charge!$R$31:$T$34,2,TRUE)+(AF46-VLOOKUP(AF46,Charge!$R$31:$T$34,1,TRUE))*VLOOKUP(AF46,Charge!$R$31:$T$34,3,TRUE),
VLOOKUP(AF46,Charge!$U$31:$W$34,2,TRUE)+(AF46-VLOOKUP(AF46,Charge!$U$31:$W$34,1,TRUE))*VLOOKUP(AF46,Charge!$U$31:$W$34,3,TRUE)),0))</f>
        <v>0</v>
      </c>
      <c r="AH46" s="85"/>
      <c r="AI46" s="85">
        <f>AA46-AH46</f>
        <v>0</v>
      </c>
      <c r="AJ46" s="86"/>
      <c r="AK46" s="80" t="str">
        <f>VLOOKUP(D46,'2.Bookinglist'!A:CT,40,FALSE)</f>
        <v>Nustsireerach</v>
      </c>
      <c r="AL46" s="81" t="str">
        <f>VLOOKUP(D46,'2.Bookinglist'!A:CW,101,FALSE)</f>
        <v>2026-10-13</v>
      </c>
      <c r="AM46" s="81" t="str">
        <f>VLOOKUP(D46,'2.Bookinglist'!A:BK,63,FALSE)</f>
        <v>BKK27</v>
      </c>
      <c r="AN46" s="80" t="str">
        <f>VLOOKUP(D46,'2.Bookinglist'!A:AZ,52,FALSE)</f>
        <v>CY -RTN DD.07/10 -09/10/2026 = 20x40'hq   RQST CNTR UPGRADE 32.50 TONS
CY -RTN DD.09/ 10 -09/10/2026 =10X40'HQ 
RTN CNTR DD.09/10 WITHOUT RENT</v>
      </c>
      <c r="AO46" s="80">
        <f>VLOOKUP(D46,'2.Bookinglist'!A:CY,103,FALSE)</f>
        <v>0</v>
      </c>
    </row>
    <row r="47" ht="12.95" customHeight="1" spans="1:41" x14ac:dyDescent="0.25">
      <c r="A47" s="3" t="s">
        <v>151</v>
      </c>
      <c r="B47" s="78" t="str">
        <f>IF(C47=Charge!$M$1,Charge!$J$1,IF(C47=Charge!$M$23,Charge!$J$23,IF(C47=Charge!$M$17,Charge!$J$17,IF(C47=Charge!$N$17,Charge!$J$17,Charge!$J$7))))</f>
        <v>G4</v>
      </c>
      <c r="C47" s="79" t="str">
        <f>VLOOKUP(A47,'1.Loading'!A:R,14,FALSE)</f>
        <v>BKK02</v>
      </c>
      <c r="D47" s="79" t="str">
        <f>VLOOKUP(A47,'1.Loading'!A:R,17,FALSE)</f>
        <v>HASLS22260902194</v>
      </c>
      <c r="E47" s="80" t="str">
        <f>VLOOKUP(D47,'2.Bookinglist'!A:CT,27,FALSE)</f>
        <v>METRO PARTICLE CO., LTD.</v>
      </c>
      <c r="F47" s="80" t="str">
        <f>VLOOKUP(D47,'2.Bookinglist'!A:CT,28,FALSE)</f>
        <v>METRO PARTICLE CO., LTD.</v>
      </c>
      <c r="G47" s="81">
        <f>VLOOKUP(D47,'2.Bookinglist'!A:E,5,FALSE)</f>
        <v>0</v>
      </c>
      <c r="H47" s="79" t="str">
        <f>VLOOKUP(D47,'2.Bookinglist'!A:CT,15,FALSE)</f>
        <v>THBKK</v>
      </c>
      <c r="I47" s="79" t="str">
        <f>VLOOKUP(D47,'2.Bookinglist'!A:CT,19,FALSE)</f>
        <v>VNSGN</v>
      </c>
      <c r="J47" s="79">
        <f>VLOOKUP(D47,'2.Bookinglist'!A:CT,26,FALSE)</f>
        <v>0</v>
      </c>
      <c r="K47" s="79" t="str">
        <f>VLOOKUP(A47,'1.Loading'!A:R,5,FALSE)</f>
        <v>45GP</v>
      </c>
      <c r="L47" s="81" t="str">
        <f>VLOOKUP(D47,'2.Bookinglist'!A:CT,85,FALSE)</f>
        <v>CY/CY</v>
      </c>
      <c r="M47" s="81" t="str">
        <f>IF(VLOOKUP(D47,'2.Bookinglist'!A:CT,43,FALSE)=0,"","DG")</f>
        <v/>
      </c>
      <c r="N47" s="81" t="str">
        <f>IF(RIGHT(K47,2)="RE","RF","")</f>
        <v/>
      </c>
      <c r="O47" s="79" t="str">
        <f>VLOOKUP(A47,'1.Loading'!A:R,3,FALSE)</f>
        <v>PGPO</v>
      </c>
      <c r="P47" s="79" t="str">
        <f>VLOOKUP(A47,'1.Loading'!A:R,4,FALSE)</f>
        <v>2612N</v>
      </c>
      <c r="Q47" s="79" t="str">
        <f>VLOOKUP(D47,'2.Bookinglist'!A:CT,12,FALSE)</f>
        <v>NTX</v>
      </c>
      <c r="R47" s="81" t="str">
        <f>IF(LEFT(K47,2)="22","20'","40'")</f>
        <v>40'</v>
      </c>
      <c r="S47" s="63"/>
      <c r="T47" s="79" t="str">
        <f>VLOOKUP(A47,'1.Loading'!A:R,2,FALSE)</f>
        <v>2026-10-15</v>
      </c>
      <c r="U47" s="82">
        <f>T47-S47</f>
        <v>46310</v>
      </c>
      <c r="V47" s="83"/>
      <c r="W47" s="79" t="str">
        <f>VLOOKUP(A47,'3.GateMove'!A:D,4,FALSE)</f>
        <v>2026-10-09</v>
      </c>
      <c r="X47" s="82">
        <f>((T47-W47)+1)</f>
        <v>7</v>
      </c>
      <c r="Y47" s="84">
        <f>IF(AND(OR(C47="BKK01",C47="BKK04"),L47="CFS/CY"),0,IF(M47="DG",1,IF(LEFT(C47,3)="LCH",7,IF(C47="BKK02",5,3))))</f>
        <v>5</v>
      </c>
      <c r="Z47" s="82">
        <f>IF(IF(AND(AC47="TML",AB47&gt;0),((T47-W47)+1)-AB47,((T47-W47)+1)-Y47)&gt;0,IF(AND(AC47="TML",AB47&gt;0),((T47-W47)+1)-AB47,((T47-W47)+1)-Y47),0)</f>
        <v>2</v>
      </c>
      <c r="AA47" s="73">
        <f>IF(AND(B47="G1",M47=""),IF(R47="20'",
VLOOKUP(Z47,Charge!$K$2:$M$5,2,TRUE)+(Z47-VLOOKUP(Z47,Charge!$K$2:$M$5,1,TRUE))*VLOOKUP(Z47,Charge!$K$2:$M$5,3,TRUE),
VLOOKUP(Z47,Charge!$N$2:$P$5,2,TRUE)+(Z47-VLOOKUP(Z47,Charge!$N$2:$P$5,1,TRUE))*VLOOKUP(Z47,Charge!$N$2:$P$5,3,TRUE)),
IF(AND(B47="G1",M47="DG"),IF(R47="20'",
VLOOKUP(Z47,Charge!$R$2:$T$5,2,TRUE)+(Z47-VLOOKUP(Z47,Charge!$R$2:$T$5,1,TRUE))*VLOOKUP(Z47,Charge!$R$2:$T$5,3,TRUE),
VLOOKUP(Z47,Charge!$U$2:$W$5,2,TRUE)+(Z47-VLOOKUP(Z47,Charge!$U$2:$W$5,1,TRUE))*VLOOKUP(Z47,Charge!$U$2:$W$5,3,TRUE)),
IF(AND(B47="G3",M47=""),IF(R47="20'",
VLOOKUP(Z47,Charge!$K$18:$M$21,2,TRUE)+(Z47-VLOOKUP(Z47,Charge!$K$18:$M$21,1,TRUE))*VLOOKUP(Z47,Charge!$K$18:$M$21,3,TRUE),
VLOOKUP(Z47,Charge!$N$18:$P$21,2,TRUE)+(Z47-VLOOKUP(Z47,Charge!$N$18:$P$21,1,TRUE))*VLOOKUP(Z47,Charge!$N$18:$P$21,3,TRUE)),
IF(AND(B47="G3",M47="DG"),IF(R47="20'",
VLOOKUP(Z47,Charge!$R$18:$T$21,2,TRUE)+(Z47-VLOOKUP(Z47,Charge!$R$18:$T$21,1,TRUE))*VLOOKUP(Z47,Charge!$R$18:$T$21,3,TRUE),
VLOOKUP(Z47,Charge!$U$18:$W$21,2,TRUE)+(Z47-VLOOKUP(Z47,Charge!$U$18:$W$21,1,TRUE))*VLOOKUP(Z47,Charge!$U$18:$W$21,3,TRUE)),
IF(AND(B47="G2",M47=""),IF(R47="20'",
VLOOKUP(Z47,Charge!$K$9:$M$12,2,TRUE)+(Z47-VLOOKUP(Z47,Charge!$K$9:$M$12,1,TRUE))*VLOOKUP(Z47,Charge!$K$9:$M$12,3,TRUE),
VLOOKUP(Z47,Charge!$N$9:$P$12,2,TRUE)+(Z47-VLOOKUP(Z47,Charge!$N$9:$P$12,1,TRUE))*VLOOKUP(Z47,Charge!$N$9:$P$12,3,TRUE)),
IF(AND(B47="G2",M47="DG"),IF(R47="20'",
VLOOKUP(Z47,Charge!$R$9:$T$12,2,TRUE)+(Z47-VLOOKUP(Z47,Charge!$R$9:$T$12,1,TRUE))*VLOOKUP(Z47,Charge!$R$9:$T$12,3,TRUE),
VLOOKUP(Z47,Charge!$U$9:$W$12,2,TRUE)+(Z47-VLOOKUP(Z47,Charge!$U$9:$W$12,1,TRUE))*VLOOKUP(Z47,Charge!$U$9:$W$12,3,TRUE)),IF(AND(B47="G4",M47=""),IF(R47="20'",Z47*Charge!$M$25,Z47*Charge!$P$25),IF(AND(B47="G4",M47="DG"),IF(R47="20'",Z47*Charge!$T$25,Z47*Charge!$W$25),0))))))))</f>
        <v>200</v>
      </c>
      <c r="AB47" s="78"/>
      <c r="AC47" s="78"/>
      <c r="AD47" s="81">
        <f>IF(M47="DG",3,IF(N47="RF",3,5))+IF(AND(LEFT(C47,3)="BKK",N47="RF",Q47="KTS"),1,0)+IF(Q47="KHS",1,0)</f>
        <v>5</v>
      </c>
      <c r="AE47" s="82">
        <f>(T47-V47)+1</f>
        <v>46311</v>
      </c>
      <c r="AF47" s="82">
        <f>IF(AB47&gt;IF((V47-W47)&gt;0,V47-W47,0),0,IF(AB47&lt;IF((V47-W47)&gt;0,V47-W47,0),IF((V47-W47)&gt;0,V47-W47,0)-AB47,IF((V47-W47)&gt;0,V47-W47,0)))</f>
        <v>0</v>
      </c>
      <c r="AG47" s="73">
        <f>IF(AND(M47=""),IF(R47="20'",
VLOOKUP(AF47,Charge!$K$31:$M$34,2,TRUE)+(AF47-VLOOKUP(AF47,Charge!$K$31:$M$34,1,TRUE))*VLOOKUP(AF47,Charge!$K$31:$M$34,3,TRUE),
VLOOKUP(AF47,Charge!$N$31:$P$34,2,TRUE)+(AF47-VLOOKUP(AF47,Charge!$N$31:$P$34,1,TRUE))*VLOOKUP(AF47,Charge!$N$31:$P$34,3,TRUE)),
IF(AND(M47="DG"),IF(R47="20'",
VLOOKUP(AF47,Charge!$R$31:$T$34,2,TRUE)+(AF47-VLOOKUP(AF47,Charge!$R$31:$T$34,1,TRUE))*VLOOKUP(AF47,Charge!$R$31:$T$34,3,TRUE),
VLOOKUP(AF47,Charge!$U$31:$W$34,2,TRUE)+(AF47-VLOOKUP(AF47,Charge!$U$31:$W$34,1,TRUE))*VLOOKUP(AF47,Charge!$U$31:$W$34,3,TRUE)),0))</f>
        <v>0</v>
      </c>
      <c r="AH47" s="85"/>
      <c r="AI47" s="85">
        <f>AA47-AH47</f>
        <v>200</v>
      </c>
      <c r="AJ47" s="86"/>
      <c r="AK47" s="80" t="str">
        <f>VLOOKUP(D47,'2.Bookinglist'!A:CT,40,FALSE)</f>
        <v>Nustsireerach</v>
      </c>
      <c r="AL47" s="81" t="str">
        <f>VLOOKUP(D47,'2.Bookinglist'!A:CW,101,FALSE)</f>
        <v>2026-10-13</v>
      </c>
      <c r="AM47" s="81" t="str">
        <f>VLOOKUP(D47,'2.Bookinglist'!A:BK,63,FALSE)</f>
        <v>BKK27</v>
      </c>
      <c r="AN47" s="80" t="str">
        <f>VLOOKUP(D47,'2.Bookinglist'!A:AZ,52,FALSE)</f>
        <v>CY -RTN DD.07/10 -09/10/2026 = 20x40'hq   RQST CNTR UPGRADE 32.50 TONS
CY -RTN DD.09/ 10 -09/10/2026 =10X40'HQ 
RTN CNTR DD.09/10 WITHOUT RENT</v>
      </c>
      <c r="AO47" s="80">
        <f>VLOOKUP(D47,'2.Bookinglist'!A:CY,103,FALSE)</f>
        <v>0</v>
      </c>
    </row>
    <row r="48" ht="12.95" customHeight="1" spans="1:41" x14ac:dyDescent="0.25">
      <c r="A48" s="3"/>
      <c r="B48" s="78"/>
      <c r="C48" s="79"/>
      <c r="D48" s="79"/>
      <c r="E48" s="80"/>
      <c r="F48" s="80"/>
      <c r="G48" s="81"/>
      <c r="H48" s="79"/>
      <c r="I48" s="79"/>
      <c r="J48" s="79"/>
      <c r="K48" s="79"/>
      <c r="L48" s="81"/>
      <c r="M48" s="81"/>
      <c r="N48" s="81"/>
      <c r="O48" s="79"/>
      <c r="P48" s="79"/>
      <c r="Q48" s="79"/>
      <c r="R48" s="81"/>
      <c r="S48" s="63"/>
      <c r="T48" s="79"/>
      <c r="U48" s="82"/>
      <c r="V48" s="83"/>
      <c r="W48" s="79"/>
      <c r="X48" s="82"/>
      <c r="Y48" s="84"/>
      <c r="Z48" s="82"/>
      <c r="AA48" s="73"/>
      <c r="AB48" s="78"/>
      <c r="AC48" s="78"/>
      <c r="AD48" s="81"/>
      <c r="AE48" s="82"/>
      <c r="AF48" s="82"/>
      <c r="AG48" s="73"/>
      <c r="AH48" s="85"/>
      <c r="AI48" s="85"/>
      <c r="AJ48" s="86"/>
      <c r="AK48" s="80"/>
      <c r="AL48" s="81"/>
      <c r="AM48" s="81"/>
      <c r="AN48" s="80"/>
      <c r="AO48" s="80"/>
    </row>
    <row r="49" ht="12.95" customHeight="1" spans="1:41" x14ac:dyDescent="0.25">
      <c r="A49" s="3"/>
      <c r="B49" s="78"/>
      <c r="C49" s="79"/>
      <c r="D49" s="79"/>
      <c r="E49" s="80"/>
      <c r="F49" s="80"/>
      <c r="G49" s="81"/>
      <c r="H49" s="79"/>
      <c r="I49" s="79"/>
      <c r="J49" s="79"/>
      <c r="K49" s="79"/>
      <c r="L49" s="81"/>
      <c r="M49" s="81"/>
      <c r="N49" s="81"/>
      <c r="O49" s="79"/>
      <c r="P49" s="79"/>
      <c r="Q49" s="79"/>
      <c r="R49" s="81"/>
      <c r="S49" s="63"/>
      <c r="T49" s="79"/>
      <c r="U49" s="82"/>
      <c r="V49" s="83"/>
      <c r="W49" s="79"/>
      <c r="X49" s="82"/>
      <c r="Y49" s="84"/>
      <c r="Z49" s="82"/>
      <c r="AA49" s="73"/>
      <c r="AB49" s="78"/>
      <c r="AC49" s="78"/>
      <c r="AD49" s="81"/>
      <c r="AE49" s="82"/>
      <c r="AF49" s="82"/>
      <c r="AG49" s="73"/>
      <c r="AH49" s="85"/>
      <c r="AI49" s="85"/>
      <c r="AJ49" s="86"/>
      <c r="AK49" s="80"/>
      <c r="AL49" s="81"/>
      <c r="AM49" s="81"/>
      <c r="AN49" s="80"/>
      <c r="AO49" s="80"/>
    </row>
    <row r="50" ht="12.95" customHeight="1" spans="1:41" x14ac:dyDescent="0.25">
      <c r="A50" s="3"/>
      <c r="B50" s="78"/>
      <c r="C50" s="79"/>
      <c r="D50" s="79"/>
      <c r="E50" s="80"/>
      <c r="F50" s="80"/>
      <c r="G50" s="81"/>
      <c r="H50" s="79"/>
      <c r="I50" s="79"/>
      <c r="J50" s="79"/>
      <c r="K50" s="79"/>
      <c r="L50" s="81"/>
      <c r="M50" s="81"/>
      <c r="N50" s="81"/>
      <c r="O50" s="79"/>
      <c r="P50" s="79"/>
      <c r="Q50" s="79"/>
      <c r="R50" s="81"/>
      <c r="S50" s="63"/>
      <c r="T50" s="79"/>
      <c r="U50" s="82"/>
      <c r="V50" s="83"/>
      <c r="W50" s="79"/>
      <c r="X50" s="82"/>
      <c r="Y50" s="84"/>
      <c r="Z50" s="82"/>
      <c r="AA50" s="73"/>
      <c r="AB50" s="78"/>
      <c r="AC50" s="78"/>
      <c r="AD50" s="81"/>
      <c r="AE50" s="82"/>
      <c r="AF50" s="82"/>
      <c r="AG50" s="73"/>
      <c r="AH50" s="85"/>
      <c r="AI50" s="85"/>
      <c r="AJ50" s="86"/>
      <c r="AK50" s="80"/>
      <c r="AL50" s="81"/>
      <c r="AM50" s="81"/>
      <c r="AN50" s="80"/>
      <c r="AO50" s="80"/>
    </row>
    <row r="51" ht="12.95" customHeight="1" spans="1:41" x14ac:dyDescent="0.25">
      <c r="A51" s="3"/>
      <c r="B51" s="78"/>
      <c r="C51" s="79"/>
      <c r="D51" s="79"/>
      <c r="E51" s="80"/>
      <c r="F51" s="80"/>
      <c r="G51" s="81"/>
      <c r="H51" s="79"/>
      <c r="I51" s="79"/>
      <c r="J51" s="79"/>
      <c r="K51" s="79"/>
      <c r="L51" s="81"/>
      <c r="M51" s="81"/>
      <c r="N51" s="81"/>
      <c r="O51" s="79"/>
      <c r="P51" s="79"/>
      <c r="Q51" s="79"/>
      <c r="R51" s="81"/>
      <c r="S51" s="63"/>
      <c r="T51" s="79"/>
      <c r="U51" s="82"/>
      <c r="V51" s="83"/>
      <c r="W51" s="79"/>
      <c r="X51" s="82"/>
      <c r="Y51" s="84"/>
      <c r="Z51" s="82"/>
      <c r="AA51" s="73"/>
      <c r="AB51" s="78"/>
      <c r="AC51" s="78"/>
      <c r="AD51" s="81"/>
      <c r="AE51" s="82"/>
      <c r="AF51" s="82"/>
      <c r="AG51" s="73"/>
      <c r="AH51" s="85"/>
      <c r="AI51" s="85"/>
      <c r="AJ51" s="86"/>
      <c r="AK51" s="80"/>
      <c r="AL51" s="81"/>
      <c r="AM51" s="81"/>
      <c r="AN51" s="80"/>
      <c r="AO51" s="80"/>
    </row>
    <row r="52" ht="12.95" customHeight="1" spans="1:41" x14ac:dyDescent="0.25">
      <c r="A52" s="3"/>
      <c r="B52" s="78"/>
      <c r="C52" s="79"/>
      <c r="D52" s="79"/>
      <c r="E52" s="80"/>
      <c r="F52" s="80"/>
      <c r="G52" s="81"/>
      <c r="H52" s="79"/>
      <c r="I52" s="79"/>
      <c r="J52" s="79"/>
      <c r="K52" s="79"/>
      <c r="L52" s="81"/>
      <c r="M52" s="81"/>
      <c r="N52" s="81"/>
      <c r="O52" s="79"/>
      <c r="P52" s="79"/>
      <c r="Q52" s="79"/>
      <c r="R52" s="81"/>
      <c r="S52" s="63"/>
      <c r="T52" s="79"/>
      <c r="U52" s="82"/>
      <c r="V52" s="83"/>
      <c r="W52" s="79"/>
      <c r="X52" s="82"/>
      <c r="Y52" s="84"/>
      <c r="Z52" s="82"/>
      <c r="AA52" s="73"/>
      <c r="AB52" s="78"/>
      <c r="AC52" s="78"/>
      <c r="AD52" s="81"/>
      <c r="AE52" s="82"/>
      <c r="AF52" s="82"/>
      <c r="AG52" s="73"/>
      <c r="AH52" s="85"/>
      <c r="AI52" s="85"/>
      <c r="AJ52" s="86"/>
      <c r="AK52" s="80"/>
      <c r="AL52" s="81"/>
      <c r="AM52" s="81"/>
      <c r="AN52" s="80"/>
      <c r="AO52" s="80"/>
    </row>
    <row r="53" ht="12.95" customHeight="1" x14ac:dyDescent="0.25"/>
    <row r="54" ht="12.95" customHeight="1" x14ac:dyDescent="0.25"/>
    <row r="55" ht="12.95" customHeight="1" x14ac:dyDescent="0.25"/>
    <row r="56" ht="12.95" customHeight="1" x14ac:dyDescent="0.25"/>
    <row r="57" ht="12.95" customHeight="1" x14ac:dyDescent="0.25"/>
    <row r="58" ht="12.95" customHeight="1" x14ac:dyDescent="0.25"/>
    <row r="59" ht="12.95" customHeight="1" x14ac:dyDescent="0.25"/>
    <row r="60" ht="12.95" customHeight="1" x14ac:dyDescent="0.25"/>
    <row r="61" ht="12.95" customHeight="1" x14ac:dyDescent="0.25"/>
    <row r="62" ht="12.95" customHeight="1" x14ac:dyDescent="0.25"/>
    <row r="63" ht="12.95" customHeight="1" x14ac:dyDescent="0.25"/>
    <row r="64" ht="12.95" customHeight="1" x14ac:dyDescent="0.25"/>
    <row r="65" ht="12.95" customHeight="1" x14ac:dyDescent="0.25"/>
    <row r="66" ht="12.95" customHeight="1" x14ac:dyDescent="0.25"/>
    <row r="67" ht="12.95" customHeight="1" x14ac:dyDescent="0.25"/>
    <row r="68" ht="12.95" customHeight="1" x14ac:dyDescent="0.25"/>
    <row r="69" ht="12.95" customHeight="1" x14ac:dyDescent="0.25"/>
    <row r="70" ht="12.95" customHeight="1" x14ac:dyDescent="0.25"/>
    <row r="71" ht="12.95" customHeight="1" x14ac:dyDescent="0.25"/>
    <row r="72" ht="12.95" customHeight="1" x14ac:dyDescent="0.25"/>
    <row r="73" ht="12.95" customHeight="1" x14ac:dyDescent="0.25"/>
    <row r="74" ht="12.95" customHeight="1" x14ac:dyDescent="0.25"/>
    <row r="75" ht="12.95" customHeight="1" x14ac:dyDescent="0.25"/>
    <row r="76" ht="12.95" customHeight="1" x14ac:dyDescent="0.25"/>
    <row r="77" ht="12.95" customHeight="1" x14ac:dyDescent="0.25"/>
    <row r="78" ht="12.95" customHeight="1" x14ac:dyDescent="0.25"/>
    <row r="79" ht="12.95" customHeight="1" x14ac:dyDescent="0.25"/>
    <row r="80" ht="12.95" customHeight="1" x14ac:dyDescent="0.25"/>
    <row r="81" ht="12.95" customHeight="1" x14ac:dyDescent="0.25"/>
    <row r="82" ht="12.95" customHeight="1" x14ac:dyDescent="0.25"/>
    <row r="83" ht="12.95" customHeight="1" x14ac:dyDescent="0.25"/>
    <row r="84" ht="12.95" customHeight="1" x14ac:dyDescent="0.25"/>
    <row r="85" ht="12.95" customHeight="1" x14ac:dyDescent="0.25"/>
    <row r="86" ht="12.95" customHeight="1" x14ac:dyDescent="0.25"/>
    <row r="87" ht="12.95" customHeight="1" x14ac:dyDescent="0.25"/>
    <row r="88" ht="12.95" customHeight="1" x14ac:dyDescent="0.25"/>
    <row r="89" ht="12.95" customHeight="1" x14ac:dyDescent="0.25"/>
    <row r="90" ht="12.95" customHeight="1" x14ac:dyDescent="0.25"/>
    <row r="91" ht="12.95" customHeight="1" x14ac:dyDescent="0.25"/>
    <row r="92" ht="12.95" customHeight="1" x14ac:dyDescent="0.25"/>
    <row r="93" ht="12.95" customHeight="1" x14ac:dyDescent="0.25"/>
    <row r="94" ht="12.95" customHeight="1" x14ac:dyDescent="0.25"/>
    <row r="95" ht="12.95" customHeight="1" x14ac:dyDescent="0.25"/>
    <row r="96" ht="12.95" customHeight="1" x14ac:dyDescent="0.25"/>
    <row r="97" ht="12.95" customHeight="1" x14ac:dyDescent="0.25"/>
    <row r="98" ht="12.95" customHeight="1" x14ac:dyDescent="0.25"/>
    <row r="99" ht="12.95" customHeight="1" x14ac:dyDescent="0.25"/>
    <row r="100" ht="12.95" customHeight="1" x14ac:dyDescent="0.25"/>
    <row r="101" ht="12.95" customHeight="1" x14ac:dyDescent="0.25"/>
    <row r="102" ht="12.95" customHeight="1" x14ac:dyDescent="0.25"/>
    <row r="103" ht="12.95" customHeight="1" x14ac:dyDescent="0.25"/>
    <row r="104" ht="12.95" customHeight="1" x14ac:dyDescent="0.25"/>
    <row r="105" ht="12.95" customHeight="1" x14ac:dyDescent="0.25"/>
    <row r="106" ht="12.95" customHeight="1" x14ac:dyDescent="0.25"/>
    <row r="107" ht="12.95" customHeight="1" x14ac:dyDescent="0.25"/>
    <row r="108" ht="12.95" customHeight="1" x14ac:dyDescent="0.25"/>
    <row r="109" ht="12.95" customHeight="1" x14ac:dyDescent="0.25"/>
    <row r="110" ht="12.95" customHeight="1" x14ac:dyDescent="0.25"/>
    <row r="111" ht="12.95" customHeight="1" x14ac:dyDescent="0.25"/>
    <row r="112" ht="12.95" customHeight="1" x14ac:dyDescent="0.25"/>
    <row r="113" ht="12.95" customHeight="1" x14ac:dyDescent="0.25"/>
    <row r="114" ht="12.95" customHeight="1" x14ac:dyDescent="0.25"/>
    <row r="115" ht="12.95" customHeight="1" x14ac:dyDescent="0.25"/>
    <row r="116" ht="12.95" customHeight="1" x14ac:dyDescent="0.25"/>
    <row r="117" ht="12.95" customHeight="1" x14ac:dyDescent="0.25"/>
    <row r="118" ht="12.95" customHeight="1" x14ac:dyDescent="0.25"/>
    <row r="119" ht="12.95" customHeight="1" x14ac:dyDescent="0.25"/>
    <row r="120" ht="12.95" customHeight="1" x14ac:dyDescent="0.25"/>
    <row r="121" ht="12.95" customHeight="1" x14ac:dyDescent="0.25"/>
    <row r="122" ht="12.95" customHeight="1" x14ac:dyDescent="0.25"/>
    <row r="123" ht="12.95" customHeight="1" x14ac:dyDescent="0.25"/>
    <row r="124" ht="12.95" customHeight="1" x14ac:dyDescent="0.25"/>
    <row r="125" ht="12.95" customHeight="1" x14ac:dyDescent="0.25"/>
    <row r="126" ht="12.95" customHeight="1" x14ac:dyDescent="0.25"/>
    <row r="127" ht="12.95" customHeight="1" x14ac:dyDescent="0.25"/>
    <row r="128" ht="12.95" customHeight="1" x14ac:dyDescent="0.25"/>
    <row r="129" ht="12.95" customHeight="1" x14ac:dyDescent="0.25"/>
    <row r="130" ht="12.95" customHeight="1" x14ac:dyDescent="0.25"/>
    <row r="131" ht="12.95" customHeight="1" x14ac:dyDescent="0.25"/>
    <row r="132" ht="12.95" customHeight="1" x14ac:dyDescent="0.25"/>
    <row r="133" ht="12.95" customHeight="1" x14ac:dyDescent="0.25"/>
    <row r="134" ht="12.95" customHeight="1" x14ac:dyDescent="0.25"/>
    <row r="135" ht="12.95" customHeight="1" x14ac:dyDescent="0.25"/>
    <row r="136" ht="12.95" customHeight="1" x14ac:dyDescent="0.25"/>
    <row r="137" ht="12.95" customHeight="1" x14ac:dyDescent="0.25"/>
    <row r="138" ht="12.95" customHeight="1" x14ac:dyDescent="0.25"/>
    <row r="139" ht="12.95" customHeight="1" x14ac:dyDescent="0.25"/>
    <row r="140" ht="12.95" customHeight="1" x14ac:dyDescent="0.25"/>
    <row r="141" ht="12.95" customHeight="1" x14ac:dyDescent="0.25"/>
    <row r="142" ht="12.95" customHeight="1" x14ac:dyDescent="0.25"/>
    <row r="143" ht="12.95" customHeight="1" x14ac:dyDescent="0.25"/>
    <row r="144" ht="12.95" customHeight="1" x14ac:dyDescent="0.25"/>
    <row r="145" ht="12.95" customHeight="1" x14ac:dyDescent="0.25"/>
    <row r="146" ht="12.95" customHeight="1" x14ac:dyDescent="0.25"/>
    <row r="147" ht="12.95" customHeight="1" x14ac:dyDescent="0.25"/>
    <row r="148" ht="12.95" customHeight="1" x14ac:dyDescent="0.25"/>
    <row r="149" ht="12.95" customHeight="1" x14ac:dyDescent="0.25"/>
    <row r="150" ht="12.95" customHeight="1" x14ac:dyDescent="0.25"/>
    <row r="151" ht="12.95" customHeight="1" x14ac:dyDescent="0.25"/>
    <row r="152" ht="12.95" customHeight="1" x14ac:dyDescent="0.25"/>
    <row r="153" ht="12.95" customHeight="1" x14ac:dyDescent="0.25"/>
    <row r="154" ht="12.95" customHeight="1" x14ac:dyDescent="0.25"/>
    <row r="155" ht="12.95" customHeight="1" x14ac:dyDescent="0.25"/>
    <row r="156" ht="12.95" customHeight="1" x14ac:dyDescent="0.25"/>
    <row r="157" ht="12.95" customHeight="1" x14ac:dyDescent="0.25"/>
    <row r="158" ht="12.95" customHeight="1" x14ac:dyDescent="0.25"/>
    <row r="159" ht="12.95" customHeight="1" x14ac:dyDescent="0.25"/>
    <row r="160" ht="12.95" customHeight="1" x14ac:dyDescent="0.25"/>
    <row r="161" ht="12.95" customHeight="1" x14ac:dyDescent="0.25"/>
    <row r="162" ht="12.95" customHeight="1" x14ac:dyDescent="0.25"/>
    <row r="163" ht="12.95" customHeight="1" x14ac:dyDescent="0.25"/>
    <row r="164" ht="12.95" customHeight="1" x14ac:dyDescent="0.25"/>
    <row r="165" ht="12.95" customHeight="1" x14ac:dyDescent="0.25"/>
    <row r="166" ht="12.95" customHeight="1" x14ac:dyDescent="0.25"/>
    <row r="167" ht="12.95" customHeight="1" x14ac:dyDescent="0.25"/>
    <row r="168" ht="12.95" customHeight="1" x14ac:dyDescent="0.25"/>
    <row r="169" ht="12.95" customHeight="1" x14ac:dyDescent="0.25"/>
    <row r="170" ht="12.95" customHeight="1" x14ac:dyDescent="0.25"/>
    <row r="171" ht="12.95" customHeight="1" x14ac:dyDescent="0.25"/>
    <row r="172" ht="12.95" customHeight="1" x14ac:dyDescent="0.25"/>
    <row r="173" ht="12.95" customHeight="1" x14ac:dyDescent="0.25"/>
    <row r="174" ht="12.95" customHeight="1" x14ac:dyDescent="0.25"/>
    <row r="175" ht="12.95" customHeight="1" x14ac:dyDescent="0.25"/>
    <row r="176" ht="12.95" customHeight="1" x14ac:dyDescent="0.25"/>
    <row r="177" ht="12.95" customHeight="1" x14ac:dyDescent="0.25"/>
    <row r="178" ht="12.95" customHeight="1" x14ac:dyDescent="0.25"/>
    <row r="179" ht="12.95" customHeight="1" x14ac:dyDescent="0.25"/>
    <row r="180" ht="12.95" customHeight="1" x14ac:dyDescent="0.25"/>
    <row r="181" ht="12.95" customHeight="1" x14ac:dyDescent="0.25"/>
    <row r="182" ht="12.95" customHeight="1" x14ac:dyDescent="0.25"/>
    <row r="183" ht="12.95" customHeight="1" x14ac:dyDescent="0.25"/>
    <row r="184" ht="12.95" customHeight="1" x14ac:dyDescent="0.25"/>
    <row r="185" ht="12.95" customHeight="1" x14ac:dyDescent="0.25"/>
    <row r="186" ht="12.95" customHeight="1" x14ac:dyDescent="0.25"/>
    <row r="187" ht="12.95" customHeight="1" x14ac:dyDescent="0.25"/>
    <row r="188" ht="12.95" customHeight="1" x14ac:dyDescent="0.25"/>
    <row r="189" ht="12.95" customHeight="1" x14ac:dyDescent="0.25"/>
    <row r="190" ht="12.95" customHeight="1" x14ac:dyDescent="0.25"/>
    <row r="191" ht="12.95" customHeight="1" x14ac:dyDescent="0.25"/>
    <row r="192" ht="12.95" customHeight="1" x14ac:dyDescent="0.25"/>
    <row r="193" ht="12.95" customHeight="1" x14ac:dyDescent="0.25"/>
    <row r="194" ht="12.95" customHeight="1" x14ac:dyDescent="0.25"/>
    <row r="195" ht="12.95" customHeight="1" x14ac:dyDescent="0.25"/>
    <row r="196" ht="12.95" customHeight="1" x14ac:dyDescent="0.25"/>
    <row r="197" ht="12.95" customHeight="1" x14ac:dyDescent="0.25"/>
    <row r="198" ht="12.95" customHeight="1" x14ac:dyDescent="0.25"/>
    <row r="199" ht="12.95" customHeight="1" x14ac:dyDescent="0.25"/>
    <row r="200" ht="12.95" customHeight="1" x14ac:dyDescent="0.25"/>
    <row r="201" ht="12.95" customHeight="1" x14ac:dyDescent="0.25"/>
    <row r="202" ht="12.95" customHeight="1" x14ac:dyDescent="0.25"/>
    <row r="203" ht="12.95" customHeight="1" x14ac:dyDescent="0.25"/>
    <row r="204" ht="12.95" customHeight="1" x14ac:dyDescent="0.25"/>
    <row r="205" ht="12.95" customHeight="1" x14ac:dyDescent="0.25"/>
    <row r="206" ht="12.95" customHeight="1" x14ac:dyDescent="0.25"/>
    <row r="207" ht="12.95" customHeight="1" x14ac:dyDescent="0.25"/>
    <row r="208" ht="12.95" customHeight="1" x14ac:dyDescent="0.25"/>
    <row r="209" ht="12.95" customHeight="1" x14ac:dyDescent="0.25"/>
    <row r="210" ht="12.95" customHeight="1" x14ac:dyDescent="0.25"/>
    <row r="211" ht="12.95" customHeight="1" x14ac:dyDescent="0.25"/>
    <row r="212" ht="12.95" customHeight="1" x14ac:dyDescent="0.25"/>
    <row r="213" ht="12.95" customHeight="1" x14ac:dyDescent="0.25"/>
    <row r="214" ht="12.95" customHeight="1" x14ac:dyDescent="0.25"/>
    <row r="215" ht="12.95" customHeight="1" x14ac:dyDescent="0.25"/>
    <row r="216" ht="12.95" customHeight="1" x14ac:dyDescent="0.25"/>
    <row r="217" ht="12.95" customHeight="1" x14ac:dyDescent="0.25"/>
    <row r="218" ht="12.95" customHeight="1" x14ac:dyDescent="0.25"/>
    <row r="219" ht="12.95" customHeight="1" x14ac:dyDescent="0.25"/>
    <row r="220" ht="12.95" customHeight="1" x14ac:dyDescent="0.25"/>
    <row r="221" ht="12.95" customHeight="1" x14ac:dyDescent="0.25"/>
    <row r="222" ht="12.95" customHeight="1" x14ac:dyDescent="0.25"/>
    <row r="223" ht="12.95" customHeight="1" x14ac:dyDescent="0.25"/>
    <row r="224" ht="12.95" customHeight="1" x14ac:dyDescent="0.25"/>
    <row r="225" ht="12.95" customHeight="1" x14ac:dyDescent="0.25"/>
    <row r="226" ht="12.95" customHeight="1" x14ac:dyDescent="0.25"/>
    <row r="227" ht="12.95" customHeight="1" x14ac:dyDescent="0.25"/>
    <row r="228" ht="12.95" customHeight="1" x14ac:dyDescent="0.25"/>
    <row r="229" ht="12.95" customHeight="1" x14ac:dyDescent="0.25"/>
    <row r="230" ht="12.95" customHeight="1" x14ac:dyDescent="0.25"/>
    <row r="231" ht="12.95" customHeight="1" x14ac:dyDescent="0.25"/>
    <row r="232" ht="12.95" customHeight="1" x14ac:dyDescent="0.25"/>
    <row r="233" ht="12.95" customHeight="1" x14ac:dyDescent="0.25"/>
    <row r="234" ht="12.95" customHeight="1" x14ac:dyDescent="0.25"/>
    <row r="235" ht="12.95" customHeight="1" x14ac:dyDescent="0.25"/>
    <row r="236" ht="12.95" customHeight="1" x14ac:dyDescent="0.25"/>
    <row r="237" ht="12.95" customHeight="1" x14ac:dyDescent="0.25"/>
    <row r="238" ht="12.95" customHeight="1" x14ac:dyDescent="0.25"/>
    <row r="239" ht="12.95" customHeight="1" x14ac:dyDescent="0.25"/>
    <row r="240" ht="12.95" customHeight="1" x14ac:dyDescent="0.25"/>
    <row r="241" ht="12.95" customHeight="1" x14ac:dyDescent="0.25"/>
    <row r="242" ht="12.95" customHeight="1" x14ac:dyDescent="0.25"/>
    <row r="243" ht="12.95" customHeight="1" x14ac:dyDescent="0.25"/>
    <row r="244" ht="12.95" customHeight="1" x14ac:dyDescent="0.25"/>
    <row r="245" ht="12.95" customHeight="1" x14ac:dyDescent="0.25"/>
    <row r="246" ht="12.95" customHeight="1" x14ac:dyDescent="0.25"/>
    <row r="247" ht="12.95" customHeight="1" x14ac:dyDescent="0.25"/>
    <row r="248" ht="12.95" customHeight="1" x14ac:dyDescent="0.25"/>
    <row r="249" ht="12.95" customHeight="1" x14ac:dyDescent="0.25"/>
    <row r="250" ht="12.95" customHeight="1" x14ac:dyDescent="0.25"/>
    <row r="251" ht="12.95" customHeight="1" x14ac:dyDescent="0.25"/>
    <row r="252" ht="12.95" customHeight="1" x14ac:dyDescent="0.25"/>
    <row r="253" ht="12.95" customHeight="1" x14ac:dyDescent="0.25"/>
    <row r="254" ht="12.95" customHeight="1" x14ac:dyDescent="0.25"/>
    <row r="255" ht="12.95" customHeight="1" x14ac:dyDescent="0.25"/>
    <row r="256" ht="12.95" customHeight="1" x14ac:dyDescent="0.25"/>
    <row r="257" ht="12.95" customHeight="1" x14ac:dyDescent="0.25"/>
    <row r="258" ht="12.95" customHeight="1" x14ac:dyDescent="0.25"/>
    <row r="259" ht="12.95" customHeight="1" x14ac:dyDescent="0.25"/>
    <row r="260" ht="12.95" customHeight="1" x14ac:dyDescent="0.25"/>
    <row r="261" ht="12.95" customHeight="1" x14ac:dyDescent="0.25"/>
    <row r="262" ht="12.95" customHeight="1" x14ac:dyDescent="0.25"/>
    <row r="263" ht="12.95" customHeight="1" x14ac:dyDescent="0.25"/>
    <row r="264" ht="12.95" customHeight="1" x14ac:dyDescent="0.25"/>
    <row r="265" ht="12.95" customHeight="1" x14ac:dyDescent="0.25"/>
    <row r="266" ht="12.95" customHeight="1" x14ac:dyDescent="0.25"/>
    <row r="267" ht="12.95" customHeight="1" x14ac:dyDescent="0.25"/>
    <row r="268" ht="12.95" customHeight="1" x14ac:dyDescent="0.25"/>
    <row r="269" ht="12.95" customHeight="1" x14ac:dyDescent="0.25"/>
    <row r="270" ht="12.95" customHeight="1" x14ac:dyDescent="0.25"/>
    <row r="271" ht="12.95" customHeight="1" x14ac:dyDescent="0.25"/>
    <row r="272" ht="12.95" customHeight="1" x14ac:dyDescent="0.25"/>
    <row r="273" ht="12.95" customHeight="1" x14ac:dyDescent="0.25"/>
    <row r="274" ht="12.95" customHeight="1" x14ac:dyDescent="0.25"/>
    <row r="275" ht="12.95" customHeight="1" x14ac:dyDescent="0.25"/>
    <row r="276" ht="12.95" customHeight="1" x14ac:dyDescent="0.25"/>
    <row r="277" ht="12.95" customHeight="1" x14ac:dyDescent="0.25"/>
    <row r="278" ht="12.95" customHeight="1" x14ac:dyDescent="0.25"/>
    <row r="279" ht="12.95" customHeight="1" x14ac:dyDescent="0.25"/>
    <row r="280" ht="12.95" customHeight="1" x14ac:dyDescent="0.25"/>
    <row r="281" ht="12.95" customHeight="1" x14ac:dyDescent="0.25"/>
    <row r="282" ht="12.95" customHeight="1" x14ac:dyDescent="0.25"/>
    <row r="283" ht="12.95" customHeight="1" x14ac:dyDescent="0.25"/>
    <row r="284" ht="12.95" customHeight="1" x14ac:dyDescent="0.25"/>
    <row r="285" ht="12.95" customHeight="1" x14ac:dyDescent="0.25"/>
    <row r="286" ht="12.95" customHeight="1" x14ac:dyDescent="0.25"/>
    <row r="287" ht="12.95" customHeight="1" x14ac:dyDescent="0.25"/>
    <row r="288" ht="12.95" customHeight="1" x14ac:dyDescent="0.25"/>
    <row r="289" ht="12.95" customHeight="1" x14ac:dyDescent="0.25"/>
    <row r="290" ht="12.95" customHeight="1" x14ac:dyDescent="0.25"/>
    <row r="291" ht="12.95" customHeight="1" x14ac:dyDescent="0.25"/>
    <row r="292" ht="12.95" customHeight="1" x14ac:dyDescent="0.25"/>
    <row r="293" ht="12.95" customHeight="1" x14ac:dyDescent="0.25"/>
    <row r="294" ht="12.95" customHeight="1" x14ac:dyDescent="0.25"/>
    <row r="295" ht="12.95" customHeight="1" x14ac:dyDescent="0.25"/>
    <row r="296" ht="12.95" customHeight="1" x14ac:dyDescent="0.25"/>
    <row r="297" ht="12.95" customHeight="1" x14ac:dyDescent="0.25"/>
    <row r="298" ht="12.95" customHeight="1" x14ac:dyDescent="0.25"/>
    <row r="299" ht="12.95" customHeight="1" x14ac:dyDescent="0.25"/>
    <row r="300" ht="12.95" customHeight="1" x14ac:dyDescent="0.25"/>
  </sheetData>
  <autoFilter ref="A2:AO2"/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paperSize="9" orientation="landscape" horizontalDpi="4294967295" verticalDpi="4294967295" scale="35" fitToWidth="1" fitToHeight="0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X661"/>
  <sheetViews>
    <sheetView workbookViewId="0" zoomScale="100" zoomScaleNormal="100">
      <selection activeCell="A4" sqref="A4"/>
    </sheetView>
  </sheetViews>
  <sheetFormatPr defaultRowHeight="10.5" outlineLevelRow="0" outlineLevelCol="0" x14ac:dyDescent="0" defaultColWidth="9.125" customHeight="1"/>
  <cols>
    <col min="1" max="1" width="12.25" style="44" customWidth="1"/>
    <col min="2" max="2" width="6.75" style="44" customWidth="1"/>
    <col min="3" max="3" width="16.375" style="44" customWidth="1"/>
    <col min="4" max="4" width="29.75" style="44" customWidth="1"/>
    <col min="5" max="7" width="6" style="44" customWidth="1"/>
    <col min="8" max="9" width="5.25" style="44" customWidth="1"/>
    <col min="10" max="10" width="10.875" style="44" customWidth="1"/>
    <col min="11" max="11" width="10.125" style="44" customWidth="1"/>
    <col min="12" max="12" width="6" style="44" customWidth="1"/>
    <col min="13" max="14" width="10.375" style="44" customWidth="1"/>
    <col min="15" max="15" width="7.875" style="44" customWidth="1"/>
    <col min="16" max="16" width="12.625" style="44" customWidth="1"/>
    <col min="17" max="17" width="12.125" style="44" customWidth="1"/>
    <col min="18" max="18" width="14.375" style="44" customWidth="1"/>
    <col min="19" max="19" width="9.875" style="44" customWidth="1"/>
    <col min="20" max="20" width="12.75" style="47" customWidth="1"/>
    <col min="21" max="21" width="12.75" style="44" customWidth="1"/>
    <col min="22" max="22" width="27.375" style="46" customWidth="1"/>
    <col min="23" max="23" width="21.625" style="46" customWidth="1"/>
    <col min="24" max="24" width="6" style="46" customWidth="1"/>
    <col min="25" max="16384" width="9.125" style="44" customWidth="1"/>
  </cols>
  <sheetData>
    <row r="1" ht="27" customHeight="1" spans="10:10" x14ac:dyDescent="0.25">
      <c r="J1" s="44"/>
    </row>
    <row r="2" ht="27.75" customHeight="1" spans="10:24" s="49" customFormat="1" x14ac:dyDescent="0.25">
      <c r="J2" s="55"/>
      <c r="L2" s="55"/>
      <c r="O2" s="55"/>
      <c r="P2" s="55"/>
      <c r="Q2" s="57"/>
      <c r="R2" s="57">
        <f>SUM(R4:R661)</f>
      </c>
      <c r="S2" s="46" t="s">
        <v>545</v>
      </c>
      <c r="T2" s="57">
        <f>SUM(T4:T661)</f>
      </c>
      <c r="U2" s="57">
        <f>SUM(U4:U661)</f>
      </c>
      <c r="W2" s="51"/>
      <c r="X2" s="51"/>
    </row>
    <row r="3" ht="35.25" customHeight="1" spans="1:24" s="61" customFormat="1" x14ac:dyDescent="0.25">
      <c r="A3" s="65" t="s">
        <v>0</v>
      </c>
      <c r="B3" s="65" t="s">
        <v>13</v>
      </c>
      <c r="C3" s="65" t="s">
        <v>16</v>
      </c>
      <c r="D3" s="65" t="s">
        <v>22</v>
      </c>
      <c r="E3" s="65" t="s">
        <v>166</v>
      </c>
      <c r="F3" s="65" t="s">
        <v>170</v>
      </c>
      <c r="G3" s="68" t="s">
        <v>4</v>
      </c>
      <c r="H3" s="65" t="s">
        <v>2</v>
      </c>
      <c r="I3" s="65" t="s">
        <v>3</v>
      </c>
      <c r="J3" s="69" t="s">
        <v>526</v>
      </c>
      <c r="K3" s="87" t="s">
        <v>546</v>
      </c>
      <c r="L3" s="69" t="s">
        <v>527</v>
      </c>
      <c r="M3" s="88" t="s">
        <v>529</v>
      </c>
      <c r="N3" s="88" t="s">
        <v>547</v>
      </c>
      <c r="O3" s="71" t="s">
        <v>530</v>
      </c>
      <c r="P3" s="71" t="s">
        <v>548</v>
      </c>
      <c r="Q3" s="71" t="s">
        <v>549</v>
      </c>
      <c r="R3" s="89" t="s">
        <v>550</v>
      </c>
      <c r="S3" s="71" t="s">
        <v>536</v>
      </c>
      <c r="T3" s="74" t="s">
        <v>551</v>
      </c>
      <c r="U3" s="89" t="s">
        <v>552</v>
      </c>
      <c r="V3" s="79" t="s">
        <v>20</v>
      </c>
      <c r="W3" s="90" t="s">
        <v>190</v>
      </c>
      <c r="X3" s="91"/>
    </row>
    <row r="4" ht="16.5" customHeight="1" spans="1:23" x14ac:dyDescent="0.25">
      <c r="A4" s="3"/>
      <c r="B4" s="79">
        <f>IFERROR(VLOOKUP($A:$A,CS!$A:$AK,3,FALSE),"")</f>
      </c>
      <c r="C4" s="79">
        <f>IFERROR(VLOOKUP($A:$A,CS!$A:$AK,4,FALSE),"")</f>
      </c>
      <c r="D4" s="79">
        <f>IFERROR(VLOOKUP($A:$A,CS!$A:$AK,5,FALSE),"")</f>
      </c>
      <c r="E4" s="79">
        <f>IFERROR(VLOOKUP($A:$A,CS!$A:$AK,7,FALSE),"")</f>
      </c>
      <c r="F4" s="79">
        <f>IFERROR(VLOOKUP($A:$A,CS!$A:$AK,8,FALSE),"")</f>
      </c>
      <c r="G4" s="79">
        <f>IFERROR(VLOOKUP($A:$A,CS!$A:$AK,10,FALSE),"")</f>
      </c>
      <c r="H4" s="79">
        <f>IFERROR(VLOOKUP($A:$A,CS!$A:$AK,14,FALSE),"")</f>
      </c>
      <c r="I4" s="79">
        <f>IFERROR(VLOOKUP($A:$A,CS!$A:$AK,15,FALSE),"")</f>
      </c>
      <c r="J4" s="79">
        <f>IFERROR(VLOOKUP($A:$A,CS!$A:$AK,18,FALSE),"")</f>
      </c>
      <c r="K4" s="79">
        <f>IFERROR(VLOOKUP($A:$A,CS!$A:$AK,19,FALSE),"")</f>
      </c>
      <c r="L4" s="79">
        <f>IFERROR(VLOOKUP($A:$A,CS!$A:$AK,20,FALSE),"")</f>
      </c>
      <c r="M4" s="79">
        <f>IFERROR(VLOOKUP($A:$A,CS!$A:$AK,22,FALSE),"")</f>
      </c>
      <c r="N4" s="79">
        <f>IFERROR(VLOOKUP($A:$A,CS!$A:$AK,19,FALSE),"")</f>
      </c>
      <c r="O4" s="79">
        <f>IFERROR(VLOOKUP($A:$A,CS!$A:$AK,23,FALSE),"")</f>
      </c>
      <c r="P4" s="79">
        <f>IFERROR(VLOOKUP($A:$A,CS!$A:$AK,24,FALSE),"")</f>
      </c>
      <c r="Q4" s="79">
        <f>IFERROR(VLOOKUP($A:$A,CS!$A:$AK,25,FALSE),"")</f>
      </c>
      <c r="R4" s="79">
        <f>IFERROR(VLOOKUP($A:$A,CS!$A:$AK,26,FALSE),"")</f>
      </c>
      <c r="S4" s="79">
        <f>IFERROR(VLOOKUP($A:$A,CS!$A:$AK,29,FALSE),"")</f>
      </c>
      <c r="T4" s="79">
        <f>IFERROR(VLOOKUP($A:$A,CS!$A:$AK,33,FALSE),"")</f>
      </c>
      <c r="U4" s="79">
        <f>IFERROR(VLOOKUP($A:$A,CS!$A:$AK,34,FALSE),"")</f>
      </c>
      <c r="V4" s="79">
        <f>IFERROR(VLOOKUP($A:$A,CS!$A:$AK,35,FALSE),"")</f>
      </c>
      <c r="W4" s="79">
        <f>IFERROR(VLOOKUP($A:$A,CS!$A:$AK,36,FALSE),"")</f>
      </c>
    </row>
    <row r="5" ht="16.5" customHeight="1" spans="1:23" x14ac:dyDescent="0.25">
      <c r="A5" s="3"/>
      <c r="B5" s="79">
        <f>IFERROR(VLOOKUP($A:$A,CS!$A:$AK,3,FALSE),"")</f>
      </c>
      <c r="C5" s="79">
        <f>IFERROR(VLOOKUP($A:$A,CS!$A:$AK,4,FALSE),"")</f>
      </c>
      <c r="D5" s="79">
        <f>IFERROR(VLOOKUP($A:$A,CS!$A:$AK,5,FALSE),"")</f>
      </c>
      <c r="E5" s="79">
        <f>IFERROR(VLOOKUP($A:$A,CS!$A:$AK,7,FALSE),"")</f>
      </c>
      <c r="F5" s="79">
        <f>IFERROR(VLOOKUP($A:$A,CS!$A:$AK,8,FALSE),"")</f>
      </c>
      <c r="G5" s="79">
        <f>IFERROR(VLOOKUP($A:$A,CS!$A:$AK,10,FALSE),"")</f>
      </c>
      <c r="H5" s="79">
        <f>IFERROR(VLOOKUP($A:$A,CS!$A:$AK,14,FALSE),"")</f>
      </c>
      <c r="I5" s="79">
        <f>IFERROR(VLOOKUP($A:$A,CS!$A:$AK,15,FALSE),"")</f>
      </c>
      <c r="J5" s="79">
        <f>IFERROR(VLOOKUP($A:$A,CS!$A:$AK,18,FALSE),"")</f>
      </c>
      <c r="K5" s="79">
        <f>IFERROR(VLOOKUP($A:$A,CS!$A:$AK,19,FALSE),"")</f>
      </c>
      <c r="L5" s="79">
        <f>IFERROR(VLOOKUP($A:$A,CS!$A:$AK,20,FALSE),"")</f>
      </c>
      <c r="M5" s="79">
        <f>IFERROR(VLOOKUP($A:$A,CS!$A:$AK,22,FALSE),"")</f>
      </c>
      <c r="N5" s="79">
        <f>IFERROR(VLOOKUP($A:$A,CS!$A:$AK,19,FALSE),"")</f>
      </c>
      <c r="O5" s="79">
        <f>IFERROR(VLOOKUP($A:$A,CS!$A:$AK,23,FALSE),"")</f>
      </c>
      <c r="P5" s="79">
        <f>IFERROR(VLOOKUP($A:$A,CS!$A:$AK,24,FALSE),"")</f>
      </c>
      <c r="Q5" s="79">
        <f>IFERROR(VLOOKUP($A:$A,CS!$A:$AK,25,FALSE),"")</f>
      </c>
      <c r="R5" s="79">
        <f>IFERROR(VLOOKUP($A:$A,CS!$A:$AK,26,FALSE),"")</f>
      </c>
      <c r="S5" s="79">
        <f>IFERROR(VLOOKUP($A:$A,CS!$A:$AK,29,FALSE),"")</f>
      </c>
      <c r="T5" s="79">
        <f>IFERROR(VLOOKUP($A:$A,CS!$A:$AK,33,FALSE),"")</f>
      </c>
      <c r="U5" s="79">
        <f>IFERROR(VLOOKUP($A:$A,CS!$A:$AK,34,FALSE),"")</f>
      </c>
      <c r="V5" s="79">
        <f>IFERROR(VLOOKUP($A:$A,CS!$A:$AK,35,FALSE),"")</f>
      </c>
      <c r="W5" s="79">
        <f>IFERROR(VLOOKUP($A:$A,CS!$A:$AK,36,FALSE),"")</f>
      </c>
    </row>
    <row r="6" ht="16.5" customHeight="1" spans="1:23" x14ac:dyDescent="0.25">
      <c r="A6" s="3"/>
      <c r="B6" s="79">
        <f>IFERROR(VLOOKUP($A:$A,CS!$A:$AK,3,FALSE),"")</f>
      </c>
      <c r="C6" s="79">
        <f>IFERROR(VLOOKUP($A:$A,CS!$A:$AK,4,FALSE),"")</f>
      </c>
      <c r="D6" s="79">
        <f>IFERROR(VLOOKUP($A:$A,CS!$A:$AK,5,FALSE),"")</f>
      </c>
      <c r="E6" s="79">
        <f>IFERROR(VLOOKUP($A:$A,CS!$A:$AK,7,FALSE),"")</f>
      </c>
      <c r="F6" s="79">
        <f>IFERROR(VLOOKUP($A:$A,CS!$A:$AK,8,FALSE),"")</f>
      </c>
      <c r="G6" s="79">
        <f>IFERROR(VLOOKUP($A:$A,CS!$A:$AK,10,FALSE),"")</f>
      </c>
      <c r="H6" s="79">
        <f>IFERROR(VLOOKUP($A:$A,CS!$A:$AK,14,FALSE),"")</f>
      </c>
      <c r="I6" s="79">
        <f>IFERROR(VLOOKUP($A:$A,CS!$A:$AK,15,FALSE),"")</f>
      </c>
      <c r="J6" s="79">
        <f>IFERROR(VLOOKUP($A:$A,CS!$A:$AK,18,FALSE),"")</f>
      </c>
      <c r="K6" s="79">
        <f>IFERROR(VLOOKUP($A:$A,CS!$A:$AK,19,FALSE),"")</f>
      </c>
      <c r="L6" s="79">
        <f>IFERROR(VLOOKUP($A:$A,CS!$A:$AK,20,FALSE),"")</f>
      </c>
      <c r="M6" s="79">
        <f>IFERROR(VLOOKUP($A:$A,CS!$A:$AK,22,FALSE),"")</f>
      </c>
      <c r="N6" s="79">
        <f>IFERROR(VLOOKUP($A:$A,CS!$A:$AK,19,FALSE),"")</f>
      </c>
      <c r="O6" s="79">
        <f>IFERROR(VLOOKUP($A:$A,CS!$A:$AK,23,FALSE),"")</f>
      </c>
      <c r="P6" s="79">
        <f>IFERROR(VLOOKUP($A:$A,CS!$A:$AK,24,FALSE),"")</f>
      </c>
      <c r="Q6" s="79">
        <f>IFERROR(VLOOKUP($A:$A,CS!$A:$AK,25,FALSE),"")</f>
      </c>
      <c r="R6" s="79">
        <f>IFERROR(VLOOKUP($A:$A,CS!$A:$AK,26,FALSE),"")</f>
      </c>
      <c r="S6" s="79">
        <f>IFERROR(VLOOKUP($A:$A,CS!$A:$AK,29,FALSE),"")</f>
      </c>
      <c r="T6" s="79">
        <f>IFERROR(VLOOKUP($A:$A,CS!$A:$AK,33,FALSE),"")</f>
      </c>
      <c r="U6" s="79">
        <f>IFERROR(VLOOKUP($A:$A,CS!$A:$AK,34,FALSE),"")</f>
      </c>
      <c r="V6" s="79">
        <f>IFERROR(VLOOKUP($A:$A,CS!$A:$AK,35,FALSE),"")</f>
      </c>
      <c r="W6" s="79">
        <f>IFERROR(VLOOKUP($A:$A,CS!$A:$AK,36,FALSE),"")</f>
      </c>
    </row>
    <row r="7" ht="16.5" customHeight="1" spans="1:23" x14ac:dyDescent="0.25">
      <c r="A7" s="3"/>
      <c r="B7" s="79">
        <f>IFERROR(VLOOKUP($A:$A,CS!$A:$AK,3,FALSE),"")</f>
      </c>
      <c r="C7" s="79">
        <f>IFERROR(VLOOKUP($A:$A,CS!$A:$AK,4,FALSE),"")</f>
      </c>
      <c r="D7" s="79">
        <f>IFERROR(VLOOKUP($A:$A,CS!$A:$AK,5,FALSE),"")</f>
      </c>
      <c r="E7" s="79">
        <f>IFERROR(VLOOKUP($A:$A,CS!$A:$AK,7,FALSE),"")</f>
      </c>
      <c r="F7" s="79">
        <f>IFERROR(VLOOKUP($A:$A,CS!$A:$AK,8,FALSE),"")</f>
      </c>
      <c r="G7" s="79">
        <f>IFERROR(VLOOKUP($A:$A,CS!$A:$AK,10,FALSE),"")</f>
      </c>
      <c r="H7" s="79">
        <f>IFERROR(VLOOKUP($A:$A,CS!$A:$AK,14,FALSE),"")</f>
      </c>
      <c r="I7" s="79">
        <f>IFERROR(VLOOKUP($A:$A,CS!$A:$AK,15,FALSE),"")</f>
      </c>
      <c r="J7" s="79">
        <f>IFERROR(VLOOKUP($A:$A,CS!$A:$AK,18,FALSE),"")</f>
      </c>
      <c r="K7" s="79">
        <f>IFERROR(VLOOKUP($A:$A,CS!$A:$AK,19,FALSE),"")</f>
      </c>
      <c r="L7" s="79">
        <f>IFERROR(VLOOKUP($A:$A,CS!$A:$AK,20,FALSE),"")</f>
      </c>
      <c r="M7" s="79">
        <f>IFERROR(VLOOKUP($A:$A,CS!$A:$AK,22,FALSE),"")</f>
      </c>
      <c r="N7" s="79">
        <f>IFERROR(VLOOKUP($A:$A,CS!$A:$AK,19,FALSE),"")</f>
      </c>
      <c r="O7" s="79">
        <f>IFERROR(VLOOKUP($A:$A,CS!$A:$AK,23,FALSE),"")</f>
      </c>
      <c r="P7" s="79">
        <f>IFERROR(VLOOKUP($A:$A,CS!$A:$AK,24,FALSE),"")</f>
      </c>
      <c r="Q7" s="79">
        <f>IFERROR(VLOOKUP($A:$A,CS!$A:$AK,25,FALSE),"")</f>
      </c>
      <c r="R7" s="79">
        <f>IFERROR(VLOOKUP($A:$A,CS!$A:$AK,26,FALSE),"")</f>
      </c>
      <c r="S7" s="79">
        <f>IFERROR(VLOOKUP($A:$A,CS!$A:$AK,29,FALSE),"")</f>
      </c>
      <c r="T7" s="79">
        <f>IFERROR(VLOOKUP($A:$A,CS!$A:$AK,33,FALSE),"")</f>
      </c>
      <c r="U7" s="79">
        <f>IFERROR(VLOOKUP($A:$A,CS!$A:$AK,34,FALSE),"")</f>
      </c>
      <c r="V7" s="79">
        <f>IFERROR(VLOOKUP($A:$A,CS!$A:$AK,35,FALSE),"")</f>
      </c>
      <c r="W7" s="79">
        <f>IFERROR(VLOOKUP($A:$A,CS!$A:$AK,36,FALSE),"")</f>
      </c>
    </row>
    <row r="8" ht="16.5" customHeight="1" spans="1:23" x14ac:dyDescent="0.25">
      <c r="A8" s="3"/>
      <c r="B8" s="79">
        <f>IFERROR(VLOOKUP($A:$A,CS!$A:$AK,3,FALSE),"")</f>
      </c>
      <c r="C8" s="79">
        <f>IFERROR(VLOOKUP($A:$A,CS!$A:$AK,4,FALSE),"")</f>
      </c>
      <c r="D8" s="79">
        <f>IFERROR(VLOOKUP($A:$A,CS!$A:$AK,5,FALSE),"")</f>
      </c>
      <c r="E8" s="79">
        <f>IFERROR(VLOOKUP($A:$A,CS!$A:$AK,7,FALSE),"")</f>
      </c>
      <c r="F8" s="79">
        <f>IFERROR(VLOOKUP($A:$A,CS!$A:$AK,8,FALSE),"")</f>
      </c>
      <c r="G8" s="79">
        <f>IFERROR(VLOOKUP($A:$A,CS!$A:$AK,10,FALSE),"")</f>
      </c>
      <c r="H8" s="79">
        <f>IFERROR(VLOOKUP($A:$A,CS!$A:$AK,14,FALSE),"")</f>
      </c>
      <c r="I8" s="79">
        <f>IFERROR(VLOOKUP($A:$A,CS!$A:$AK,15,FALSE),"")</f>
      </c>
      <c r="J8" s="79">
        <f>IFERROR(VLOOKUP($A:$A,CS!$A:$AK,18,FALSE),"")</f>
      </c>
      <c r="K8" s="79">
        <f>IFERROR(VLOOKUP($A:$A,CS!$A:$AK,19,FALSE),"")</f>
      </c>
      <c r="L8" s="79">
        <f>IFERROR(VLOOKUP($A:$A,CS!$A:$AK,20,FALSE),"")</f>
      </c>
      <c r="M8" s="79">
        <f>IFERROR(VLOOKUP($A:$A,CS!$A:$AK,22,FALSE),"")</f>
      </c>
      <c r="N8" s="79">
        <f>IFERROR(VLOOKUP($A:$A,CS!$A:$AK,19,FALSE),"")</f>
      </c>
      <c r="O8" s="79">
        <f>IFERROR(VLOOKUP($A:$A,CS!$A:$AK,23,FALSE),"")</f>
      </c>
      <c r="P8" s="79">
        <f>IFERROR(VLOOKUP($A:$A,CS!$A:$AK,24,FALSE),"")</f>
      </c>
      <c r="Q8" s="79">
        <f>IFERROR(VLOOKUP($A:$A,CS!$A:$AK,25,FALSE),"")</f>
      </c>
      <c r="R8" s="79">
        <f>IFERROR(VLOOKUP($A:$A,CS!$A:$AK,26,FALSE),"")</f>
      </c>
      <c r="S8" s="79">
        <f>IFERROR(VLOOKUP($A:$A,CS!$A:$AK,29,FALSE),"")</f>
      </c>
      <c r="T8" s="79">
        <f>IFERROR(VLOOKUP($A:$A,CS!$A:$AK,33,FALSE),"")</f>
      </c>
      <c r="U8" s="79">
        <f>IFERROR(VLOOKUP($A:$A,CS!$A:$AK,34,FALSE),"")</f>
      </c>
      <c r="V8" s="79">
        <f>IFERROR(VLOOKUP($A:$A,CS!$A:$AK,35,FALSE),"")</f>
      </c>
      <c r="W8" s="79">
        <f>IFERROR(VLOOKUP($A:$A,CS!$A:$AK,36,FALSE),"")</f>
      </c>
    </row>
    <row r="9" ht="16.5" customHeight="1" spans="1:23" x14ac:dyDescent="0.25">
      <c r="A9" s="3"/>
      <c r="B9" s="79">
        <f>IFERROR(VLOOKUP($A:$A,CS!$A:$AK,3,FALSE),"")</f>
      </c>
      <c r="C9" s="79">
        <f>IFERROR(VLOOKUP($A:$A,CS!$A:$AK,4,FALSE),"")</f>
      </c>
      <c r="D9" s="79">
        <f>IFERROR(VLOOKUP($A:$A,CS!$A:$AK,5,FALSE),"")</f>
      </c>
      <c r="E9" s="79">
        <f>IFERROR(VLOOKUP($A:$A,CS!$A:$AK,7,FALSE),"")</f>
      </c>
      <c r="F9" s="79">
        <f>IFERROR(VLOOKUP($A:$A,CS!$A:$AK,8,FALSE),"")</f>
      </c>
      <c r="G9" s="79">
        <f>IFERROR(VLOOKUP($A:$A,CS!$A:$AK,10,FALSE),"")</f>
      </c>
      <c r="H9" s="79">
        <f>IFERROR(VLOOKUP($A:$A,CS!$A:$AK,14,FALSE),"")</f>
      </c>
      <c r="I9" s="79">
        <f>IFERROR(VLOOKUP($A:$A,CS!$A:$AK,15,FALSE),"")</f>
      </c>
      <c r="J9" s="79">
        <f>IFERROR(VLOOKUP($A:$A,CS!$A:$AK,18,FALSE),"")</f>
      </c>
      <c r="K9" s="79">
        <f>IFERROR(VLOOKUP($A:$A,CS!$A:$AK,19,FALSE),"")</f>
      </c>
      <c r="L9" s="79">
        <f>IFERROR(VLOOKUP($A:$A,CS!$A:$AK,20,FALSE),"")</f>
      </c>
      <c r="M9" s="79">
        <f>IFERROR(VLOOKUP($A:$A,CS!$A:$AK,22,FALSE),"")</f>
      </c>
      <c r="N9" s="79">
        <f>IFERROR(VLOOKUP($A:$A,CS!$A:$AK,19,FALSE),"")</f>
      </c>
      <c r="O9" s="79">
        <f>IFERROR(VLOOKUP($A:$A,CS!$A:$AK,23,FALSE),"")</f>
      </c>
      <c r="P9" s="79">
        <f>IFERROR(VLOOKUP($A:$A,CS!$A:$AK,24,FALSE),"")</f>
      </c>
      <c r="Q9" s="79">
        <f>IFERROR(VLOOKUP($A:$A,CS!$A:$AK,25,FALSE),"")</f>
      </c>
      <c r="R9" s="79">
        <f>IFERROR(VLOOKUP($A:$A,CS!$A:$AK,26,FALSE),"")</f>
      </c>
      <c r="S9" s="79">
        <f>IFERROR(VLOOKUP($A:$A,CS!$A:$AK,29,FALSE),"")</f>
      </c>
      <c r="T9" s="79">
        <f>IFERROR(VLOOKUP($A:$A,CS!$A:$AK,33,FALSE),"")</f>
      </c>
      <c r="U9" s="79">
        <f>IFERROR(VLOOKUP($A:$A,CS!$A:$AK,34,FALSE),"")</f>
      </c>
      <c r="V9" s="79">
        <f>IFERROR(VLOOKUP($A:$A,CS!$A:$AK,35,FALSE),"")</f>
      </c>
      <c r="W9" s="79">
        <f>IFERROR(VLOOKUP($A:$A,CS!$A:$AK,36,FALSE),"")</f>
      </c>
    </row>
    <row r="10" ht="16.5" customHeight="1" spans="1:23" x14ac:dyDescent="0.25">
      <c r="A10" s="3"/>
      <c r="B10" s="79">
        <f>IFERROR(VLOOKUP($A:$A,CS!$A:$AK,3,FALSE),"")</f>
      </c>
      <c r="C10" s="79">
        <f>IFERROR(VLOOKUP($A:$A,CS!$A:$AK,4,FALSE),"")</f>
      </c>
      <c r="D10" s="79">
        <f>IFERROR(VLOOKUP($A:$A,CS!$A:$AK,5,FALSE),"")</f>
      </c>
      <c r="E10" s="79">
        <f>IFERROR(VLOOKUP($A:$A,CS!$A:$AK,7,FALSE),"")</f>
      </c>
      <c r="F10" s="79">
        <f>IFERROR(VLOOKUP($A:$A,CS!$A:$AK,8,FALSE),"")</f>
      </c>
      <c r="G10" s="79">
        <f>IFERROR(VLOOKUP($A:$A,CS!$A:$AK,10,FALSE),"")</f>
      </c>
      <c r="H10" s="79">
        <f>IFERROR(VLOOKUP($A:$A,CS!$A:$AK,14,FALSE),"")</f>
      </c>
      <c r="I10" s="79">
        <f>IFERROR(VLOOKUP($A:$A,CS!$A:$AK,15,FALSE),"")</f>
      </c>
      <c r="J10" s="79">
        <f>IFERROR(VLOOKUP($A:$A,CS!$A:$AK,18,FALSE),"")</f>
      </c>
      <c r="K10" s="79">
        <f>IFERROR(VLOOKUP($A:$A,CS!$A:$AK,19,FALSE),"")</f>
      </c>
      <c r="L10" s="79">
        <f>IFERROR(VLOOKUP($A:$A,CS!$A:$AK,20,FALSE),"")</f>
      </c>
      <c r="M10" s="79">
        <f>IFERROR(VLOOKUP($A:$A,CS!$A:$AK,22,FALSE),"")</f>
      </c>
      <c r="N10" s="79">
        <f>IFERROR(VLOOKUP($A:$A,CS!$A:$AK,19,FALSE),"")</f>
      </c>
      <c r="O10" s="79">
        <f>IFERROR(VLOOKUP($A:$A,CS!$A:$AK,23,FALSE),"")</f>
      </c>
      <c r="P10" s="79">
        <f>IFERROR(VLOOKUP($A:$A,CS!$A:$AK,24,FALSE),"")</f>
      </c>
      <c r="Q10" s="79">
        <f>IFERROR(VLOOKUP($A:$A,CS!$A:$AK,25,FALSE),"")</f>
      </c>
      <c r="R10" s="79">
        <f>IFERROR(VLOOKUP($A:$A,CS!$A:$AK,26,FALSE),"")</f>
      </c>
      <c r="S10" s="79">
        <f>IFERROR(VLOOKUP($A:$A,CS!$A:$AK,29,FALSE),"")</f>
      </c>
      <c r="T10" s="79">
        <f>IFERROR(VLOOKUP($A:$A,CS!$A:$AK,33,FALSE),"")</f>
      </c>
      <c r="U10" s="79">
        <f>IFERROR(VLOOKUP($A:$A,CS!$A:$AK,34,FALSE),"")</f>
      </c>
      <c r="V10" s="79">
        <f>IFERROR(VLOOKUP($A:$A,CS!$A:$AK,35,FALSE),"")</f>
      </c>
      <c r="W10" s="79">
        <f>IFERROR(VLOOKUP($A:$A,CS!$A:$AK,36,FALSE),"")</f>
      </c>
    </row>
    <row r="11" ht="16.5" customHeight="1" spans="1:23" x14ac:dyDescent="0.25">
      <c r="A11" s="3"/>
      <c r="B11" s="79">
        <f>IFERROR(VLOOKUP($A:$A,CS!$A:$AK,3,FALSE),"")</f>
      </c>
      <c r="C11" s="79">
        <f>IFERROR(VLOOKUP($A:$A,CS!$A:$AK,4,FALSE),"")</f>
      </c>
      <c r="D11" s="79">
        <f>IFERROR(VLOOKUP($A:$A,CS!$A:$AK,5,FALSE),"")</f>
      </c>
      <c r="E11" s="79">
        <f>IFERROR(VLOOKUP($A:$A,CS!$A:$AK,7,FALSE),"")</f>
      </c>
      <c r="F11" s="79">
        <f>IFERROR(VLOOKUP($A:$A,CS!$A:$AK,8,FALSE),"")</f>
      </c>
      <c r="G11" s="79">
        <f>IFERROR(VLOOKUP($A:$A,CS!$A:$AK,10,FALSE),"")</f>
      </c>
      <c r="H11" s="79">
        <f>IFERROR(VLOOKUP($A:$A,CS!$A:$AK,14,FALSE),"")</f>
      </c>
      <c r="I11" s="79">
        <f>IFERROR(VLOOKUP($A:$A,CS!$A:$AK,15,FALSE),"")</f>
      </c>
      <c r="J11" s="79">
        <f>IFERROR(VLOOKUP($A:$A,CS!$A:$AK,18,FALSE),"")</f>
      </c>
      <c r="K11" s="79">
        <f>IFERROR(VLOOKUP($A:$A,CS!$A:$AK,19,FALSE),"")</f>
      </c>
      <c r="L11" s="79">
        <f>IFERROR(VLOOKUP($A:$A,CS!$A:$AK,20,FALSE),"")</f>
      </c>
      <c r="M11" s="79">
        <f>IFERROR(VLOOKUP($A:$A,CS!$A:$AK,22,FALSE),"")</f>
      </c>
      <c r="N11" s="79">
        <f>IFERROR(VLOOKUP($A:$A,CS!$A:$AK,19,FALSE),"")</f>
      </c>
      <c r="O11" s="79">
        <f>IFERROR(VLOOKUP($A:$A,CS!$A:$AK,23,FALSE),"")</f>
      </c>
      <c r="P11" s="79">
        <f>IFERROR(VLOOKUP($A:$A,CS!$A:$AK,24,FALSE),"")</f>
      </c>
      <c r="Q11" s="79">
        <f>IFERROR(VLOOKUP($A:$A,CS!$A:$AK,25,FALSE),"")</f>
      </c>
      <c r="R11" s="79">
        <f>IFERROR(VLOOKUP($A:$A,CS!$A:$AK,26,FALSE),"")</f>
      </c>
      <c r="S11" s="79">
        <f>IFERROR(VLOOKUP($A:$A,CS!$A:$AK,29,FALSE),"")</f>
      </c>
      <c r="T11" s="79">
        <f>IFERROR(VLOOKUP($A:$A,CS!$A:$AK,33,FALSE),"")</f>
      </c>
      <c r="U11" s="79">
        <f>IFERROR(VLOOKUP($A:$A,CS!$A:$AK,34,FALSE),"")</f>
      </c>
      <c r="V11" s="79">
        <f>IFERROR(VLOOKUP($A:$A,CS!$A:$AK,35,FALSE),"")</f>
      </c>
      <c r="W11" s="79">
        <f>IFERROR(VLOOKUP($A:$A,CS!$A:$AK,36,FALSE),"")</f>
      </c>
    </row>
    <row r="12" ht="16.5" customHeight="1" spans="1:23" x14ac:dyDescent="0.25">
      <c r="A12" s="3"/>
      <c r="B12" s="79">
        <f>IFERROR(VLOOKUP($A:$A,CS!$A:$AK,3,FALSE),"")</f>
      </c>
      <c r="C12" s="79">
        <f>IFERROR(VLOOKUP($A:$A,CS!$A:$AK,4,FALSE),"")</f>
      </c>
      <c r="D12" s="79">
        <f>IFERROR(VLOOKUP($A:$A,CS!$A:$AK,5,FALSE),"")</f>
      </c>
      <c r="E12" s="79">
        <f>IFERROR(VLOOKUP($A:$A,CS!$A:$AK,7,FALSE),"")</f>
      </c>
      <c r="F12" s="79">
        <f>IFERROR(VLOOKUP($A:$A,CS!$A:$AK,8,FALSE),"")</f>
      </c>
      <c r="G12" s="79">
        <f>IFERROR(VLOOKUP($A:$A,CS!$A:$AK,10,FALSE),"")</f>
      </c>
      <c r="H12" s="79">
        <f>IFERROR(VLOOKUP($A:$A,CS!$A:$AK,14,FALSE),"")</f>
      </c>
      <c r="I12" s="79">
        <f>IFERROR(VLOOKUP($A:$A,CS!$A:$AK,15,FALSE),"")</f>
      </c>
      <c r="J12" s="79">
        <f>IFERROR(VLOOKUP($A:$A,CS!$A:$AK,18,FALSE),"")</f>
      </c>
      <c r="K12" s="79">
        <f>IFERROR(VLOOKUP($A:$A,CS!$A:$AK,19,FALSE),"")</f>
      </c>
      <c r="L12" s="79">
        <f>IFERROR(VLOOKUP($A:$A,CS!$A:$AK,20,FALSE),"")</f>
      </c>
      <c r="M12" s="79">
        <f>IFERROR(VLOOKUP($A:$A,CS!$A:$AK,22,FALSE),"")</f>
      </c>
      <c r="N12" s="79">
        <f>IFERROR(VLOOKUP($A:$A,CS!$A:$AK,19,FALSE),"")</f>
      </c>
      <c r="O12" s="79">
        <f>IFERROR(VLOOKUP($A:$A,CS!$A:$AK,23,FALSE),"")</f>
      </c>
      <c r="P12" s="79">
        <f>IFERROR(VLOOKUP($A:$A,CS!$A:$AK,24,FALSE),"")</f>
      </c>
      <c r="Q12" s="79">
        <f>IFERROR(VLOOKUP($A:$A,CS!$A:$AK,25,FALSE),"")</f>
      </c>
      <c r="R12" s="79">
        <f>IFERROR(VLOOKUP($A:$A,CS!$A:$AK,26,FALSE),"")</f>
      </c>
      <c r="S12" s="79">
        <f>IFERROR(VLOOKUP($A:$A,CS!$A:$AK,29,FALSE),"")</f>
      </c>
      <c r="T12" s="79">
        <f>IFERROR(VLOOKUP($A:$A,CS!$A:$AK,33,FALSE),"")</f>
      </c>
      <c r="U12" s="79">
        <f>IFERROR(VLOOKUP($A:$A,CS!$A:$AK,34,FALSE),"")</f>
      </c>
      <c r="V12" s="79">
        <f>IFERROR(VLOOKUP($A:$A,CS!$A:$AK,35,FALSE),"")</f>
      </c>
      <c r="W12" s="79">
        <f>IFERROR(VLOOKUP($A:$A,CS!$A:$AK,36,FALSE),"")</f>
      </c>
    </row>
    <row r="13" ht="16.5" customHeight="1" spans="1:23" x14ac:dyDescent="0.25">
      <c r="A13" s="3"/>
      <c r="B13" s="79">
        <f>IFERROR(VLOOKUP($A:$A,CS!$A:$AK,3,FALSE),"")</f>
      </c>
      <c r="C13" s="79">
        <f>IFERROR(VLOOKUP($A:$A,CS!$A:$AK,4,FALSE),"")</f>
      </c>
      <c r="D13" s="79">
        <f>IFERROR(VLOOKUP($A:$A,CS!$A:$AK,5,FALSE),"")</f>
      </c>
      <c r="E13" s="79">
        <f>IFERROR(VLOOKUP($A:$A,CS!$A:$AK,7,FALSE),"")</f>
      </c>
      <c r="F13" s="79">
        <f>IFERROR(VLOOKUP($A:$A,CS!$A:$AK,8,FALSE),"")</f>
      </c>
      <c r="G13" s="79">
        <f>IFERROR(VLOOKUP($A:$A,CS!$A:$AK,10,FALSE),"")</f>
      </c>
      <c r="H13" s="79">
        <f>IFERROR(VLOOKUP($A:$A,CS!$A:$AK,14,FALSE),"")</f>
      </c>
      <c r="I13" s="79">
        <f>IFERROR(VLOOKUP($A:$A,CS!$A:$AK,15,FALSE),"")</f>
      </c>
      <c r="J13" s="79">
        <f>IFERROR(VLOOKUP($A:$A,CS!$A:$AK,18,FALSE),"")</f>
      </c>
      <c r="K13" s="79">
        <f>IFERROR(VLOOKUP($A:$A,CS!$A:$AK,19,FALSE),"")</f>
      </c>
      <c r="L13" s="79">
        <f>IFERROR(VLOOKUP($A:$A,CS!$A:$AK,20,FALSE),"")</f>
      </c>
      <c r="M13" s="79">
        <f>IFERROR(VLOOKUP($A:$A,CS!$A:$AK,22,FALSE),"")</f>
      </c>
      <c r="N13" s="79">
        <f>IFERROR(VLOOKUP($A:$A,CS!$A:$AK,19,FALSE),"")</f>
      </c>
      <c r="O13" s="79">
        <f>IFERROR(VLOOKUP($A:$A,CS!$A:$AK,23,FALSE),"")</f>
      </c>
      <c r="P13" s="79">
        <f>IFERROR(VLOOKUP($A:$A,CS!$A:$AK,24,FALSE),"")</f>
      </c>
      <c r="Q13" s="79">
        <f>IFERROR(VLOOKUP($A:$A,CS!$A:$AK,25,FALSE),"")</f>
      </c>
      <c r="R13" s="79">
        <f>IFERROR(VLOOKUP($A:$A,CS!$A:$AK,26,FALSE),"")</f>
      </c>
      <c r="S13" s="79">
        <f>IFERROR(VLOOKUP($A:$A,CS!$A:$AK,29,FALSE),"")</f>
      </c>
      <c r="T13" s="79">
        <f>IFERROR(VLOOKUP($A:$A,CS!$A:$AK,33,FALSE),"")</f>
      </c>
      <c r="U13" s="79">
        <f>IFERROR(VLOOKUP($A:$A,CS!$A:$AK,34,FALSE),"")</f>
      </c>
      <c r="V13" s="79">
        <f>IFERROR(VLOOKUP($A:$A,CS!$A:$AK,35,FALSE),"")</f>
      </c>
      <c r="W13" s="79">
        <f>IFERROR(VLOOKUP($A:$A,CS!$A:$AK,36,FALSE),"")</f>
      </c>
    </row>
    <row r="14" ht="16.5" customHeight="1" spans="1:23" x14ac:dyDescent="0.25">
      <c r="A14" s="3"/>
      <c r="B14" s="79">
        <f>IFERROR(VLOOKUP($A:$A,CS!$A:$AK,3,FALSE),"")</f>
      </c>
      <c r="C14" s="79">
        <f>IFERROR(VLOOKUP($A:$A,CS!$A:$AK,4,FALSE),"")</f>
      </c>
      <c r="D14" s="79">
        <f>IFERROR(VLOOKUP($A:$A,CS!$A:$AK,5,FALSE),"")</f>
      </c>
      <c r="E14" s="79">
        <f>IFERROR(VLOOKUP($A:$A,CS!$A:$AK,7,FALSE),"")</f>
      </c>
      <c r="F14" s="79">
        <f>IFERROR(VLOOKUP($A:$A,CS!$A:$AK,8,FALSE),"")</f>
      </c>
      <c r="G14" s="79">
        <f>IFERROR(VLOOKUP($A:$A,CS!$A:$AK,10,FALSE),"")</f>
      </c>
      <c r="H14" s="79">
        <f>IFERROR(VLOOKUP($A:$A,CS!$A:$AK,14,FALSE),"")</f>
      </c>
      <c r="I14" s="79">
        <f>IFERROR(VLOOKUP($A:$A,CS!$A:$AK,15,FALSE),"")</f>
      </c>
      <c r="J14" s="79">
        <f>IFERROR(VLOOKUP($A:$A,CS!$A:$AK,18,FALSE),"")</f>
      </c>
      <c r="K14" s="79">
        <f>IFERROR(VLOOKUP($A:$A,CS!$A:$AK,19,FALSE),"")</f>
      </c>
      <c r="L14" s="79">
        <f>IFERROR(VLOOKUP($A:$A,CS!$A:$AK,20,FALSE),"")</f>
      </c>
      <c r="M14" s="79">
        <f>IFERROR(VLOOKUP($A:$A,CS!$A:$AK,22,FALSE),"")</f>
      </c>
      <c r="N14" s="79">
        <f>IFERROR(VLOOKUP($A:$A,CS!$A:$AK,19,FALSE),"")</f>
      </c>
      <c r="O14" s="79">
        <f>IFERROR(VLOOKUP($A:$A,CS!$A:$AK,23,FALSE),"")</f>
      </c>
      <c r="P14" s="79">
        <f>IFERROR(VLOOKUP($A:$A,CS!$A:$AK,24,FALSE),"")</f>
      </c>
      <c r="Q14" s="79">
        <f>IFERROR(VLOOKUP($A:$A,CS!$A:$AK,25,FALSE),"")</f>
      </c>
      <c r="R14" s="79">
        <f>IFERROR(VLOOKUP($A:$A,CS!$A:$AK,26,FALSE),"")</f>
      </c>
      <c r="S14" s="79">
        <f>IFERROR(VLOOKUP($A:$A,CS!$A:$AK,29,FALSE),"")</f>
      </c>
      <c r="T14" s="79">
        <f>IFERROR(VLOOKUP($A:$A,CS!$A:$AK,33,FALSE),"")</f>
      </c>
      <c r="U14" s="79">
        <f>IFERROR(VLOOKUP($A:$A,CS!$A:$AK,34,FALSE),"")</f>
      </c>
      <c r="V14" s="79">
        <f>IFERROR(VLOOKUP($A:$A,CS!$A:$AK,35,FALSE),"")</f>
      </c>
      <c r="W14" s="79">
        <f>IFERROR(VLOOKUP($A:$A,CS!$A:$AK,36,FALSE),"")</f>
      </c>
    </row>
    <row r="15" ht="16.5" customHeight="1" spans="1:23" x14ac:dyDescent="0.25">
      <c r="A15" s="3"/>
      <c r="B15" s="79">
        <f>IFERROR(VLOOKUP($A:$A,CS!$A:$AK,3,FALSE),"")</f>
      </c>
      <c r="C15" s="79">
        <f>IFERROR(VLOOKUP($A:$A,CS!$A:$AK,4,FALSE),"")</f>
      </c>
      <c r="D15" s="79">
        <f>IFERROR(VLOOKUP($A:$A,CS!$A:$AK,5,FALSE),"")</f>
      </c>
      <c r="E15" s="79">
        <f>IFERROR(VLOOKUP($A:$A,CS!$A:$AK,7,FALSE),"")</f>
      </c>
      <c r="F15" s="79">
        <f>IFERROR(VLOOKUP($A:$A,CS!$A:$AK,8,FALSE),"")</f>
      </c>
      <c r="G15" s="79">
        <f>IFERROR(VLOOKUP($A:$A,CS!$A:$AK,10,FALSE),"")</f>
      </c>
      <c r="H15" s="79">
        <f>IFERROR(VLOOKUP($A:$A,CS!$A:$AK,14,FALSE),"")</f>
      </c>
      <c r="I15" s="79">
        <f>IFERROR(VLOOKUP($A:$A,CS!$A:$AK,15,FALSE),"")</f>
      </c>
      <c r="J15" s="79">
        <f>IFERROR(VLOOKUP($A:$A,CS!$A:$AK,18,FALSE),"")</f>
      </c>
      <c r="K15" s="79">
        <f>IFERROR(VLOOKUP($A:$A,CS!$A:$AK,19,FALSE),"")</f>
      </c>
      <c r="L15" s="79">
        <f>IFERROR(VLOOKUP($A:$A,CS!$A:$AK,20,FALSE),"")</f>
      </c>
      <c r="M15" s="79">
        <f>IFERROR(VLOOKUP($A:$A,CS!$A:$AK,22,FALSE),"")</f>
      </c>
      <c r="N15" s="79">
        <f>IFERROR(VLOOKUP($A:$A,CS!$A:$AK,19,FALSE),"")</f>
      </c>
      <c r="O15" s="79">
        <f>IFERROR(VLOOKUP($A:$A,CS!$A:$AK,23,FALSE),"")</f>
      </c>
      <c r="P15" s="79">
        <f>IFERROR(VLOOKUP($A:$A,CS!$A:$AK,24,FALSE),"")</f>
      </c>
      <c r="Q15" s="79">
        <f>IFERROR(VLOOKUP($A:$A,CS!$A:$AK,25,FALSE),"")</f>
      </c>
      <c r="R15" s="79">
        <f>IFERROR(VLOOKUP($A:$A,CS!$A:$AK,26,FALSE),"")</f>
      </c>
      <c r="S15" s="79">
        <f>IFERROR(VLOOKUP($A:$A,CS!$A:$AK,29,FALSE),"")</f>
      </c>
      <c r="T15" s="79">
        <f>IFERROR(VLOOKUP($A:$A,CS!$A:$AK,33,FALSE),"")</f>
      </c>
      <c r="U15" s="79">
        <f>IFERROR(VLOOKUP($A:$A,CS!$A:$AK,34,FALSE),"")</f>
      </c>
      <c r="V15" s="79">
        <f>IFERROR(VLOOKUP($A:$A,CS!$A:$AK,35,FALSE),"")</f>
      </c>
      <c r="W15" s="79">
        <f>IFERROR(VLOOKUP($A:$A,CS!$A:$AK,36,FALSE),"")</f>
      </c>
    </row>
    <row r="16" ht="16.5" customHeight="1" spans="1:23" x14ac:dyDescent="0.25">
      <c r="A16" s="3"/>
      <c r="B16" s="79">
        <f>IFERROR(VLOOKUP($A:$A,CS!$A:$AK,3,FALSE),"")</f>
      </c>
      <c r="C16" s="79">
        <f>IFERROR(VLOOKUP($A:$A,CS!$A:$AK,4,FALSE),"")</f>
      </c>
      <c r="D16" s="79">
        <f>IFERROR(VLOOKUP($A:$A,CS!$A:$AK,5,FALSE),"")</f>
      </c>
      <c r="E16" s="79">
        <f>IFERROR(VLOOKUP($A:$A,CS!$A:$AK,7,FALSE),"")</f>
      </c>
      <c r="F16" s="79">
        <f>IFERROR(VLOOKUP($A:$A,CS!$A:$AK,8,FALSE),"")</f>
      </c>
      <c r="G16" s="79">
        <f>IFERROR(VLOOKUP($A:$A,CS!$A:$AK,10,FALSE),"")</f>
      </c>
      <c r="H16" s="79">
        <f>IFERROR(VLOOKUP($A:$A,CS!$A:$AK,14,FALSE),"")</f>
      </c>
      <c r="I16" s="79">
        <f>IFERROR(VLOOKUP($A:$A,CS!$A:$AK,15,FALSE),"")</f>
      </c>
      <c r="J16" s="79">
        <f>IFERROR(VLOOKUP($A:$A,CS!$A:$AK,18,FALSE),"")</f>
      </c>
      <c r="K16" s="79">
        <f>IFERROR(VLOOKUP($A:$A,CS!$A:$AK,19,FALSE),"")</f>
      </c>
      <c r="L16" s="79">
        <f>IFERROR(VLOOKUP($A:$A,CS!$A:$AK,20,FALSE),"")</f>
      </c>
      <c r="M16" s="79">
        <f>IFERROR(VLOOKUP($A:$A,CS!$A:$AK,22,FALSE),"")</f>
      </c>
      <c r="N16" s="79">
        <f>IFERROR(VLOOKUP($A:$A,CS!$A:$AK,19,FALSE),"")</f>
      </c>
      <c r="O16" s="79">
        <f>IFERROR(VLOOKUP($A:$A,CS!$A:$AK,23,FALSE),"")</f>
      </c>
      <c r="P16" s="79">
        <f>IFERROR(VLOOKUP($A:$A,CS!$A:$AK,24,FALSE),"")</f>
      </c>
      <c r="Q16" s="79">
        <f>IFERROR(VLOOKUP($A:$A,CS!$A:$AK,25,FALSE),"")</f>
      </c>
      <c r="R16" s="79">
        <f>IFERROR(VLOOKUP($A:$A,CS!$A:$AK,26,FALSE),"")</f>
      </c>
      <c r="S16" s="79">
        <f>IFERROR(VLOOKUP($A:$A,CS!$A:$AK,29,FALSE),"")</f>
      </c>
      <c r="T16" s="79">
        <f>IFERROR(VLOOKUP($A:$A,CS!$A:$AK,33,FALSE),"")</f>
      </c>
      <c r="U16" s="79">
        <f>IFERROR(VLOOKUP($A:$A,CS!$A:$AK,34,FALSE),"")</f>
      </c>
      <c r="V16" s="79">
        <f>IFERROR(VLOOKUP($A:$A,CS!$A:$AK,35,FALSE),"")</f>
      </c>
      <c r="W16" s="79">
        <f>IFERROR(VLOOKUP($A:$A,CS!$A:$AK,36,FALSE),"")</f>
      </c>
    </row>
    <row r="17" ht="16.5" customHeight="1" spans="1:23" x14ac:dyDescent="0.25">
      <c r="A17" s="3"/>
      <c r="B17" s="79">
        <f>IFERROR(VLOOKUP($A:$A,CS!$A:$AK,3,FALSE),"")</f>
      </c>
      <c r="C17" s="79">
        <f>IFERROR(VLOOKUP($A:$A,CS!$A:$AK,4,FALSE),"")</f>
      </c>
      <c r="D17" s="79">
        <f>IFERROR(VLOOKUP($A:$A,CS!$A:$AK,5,FALSE),"")</f>
      </c>
      <c r="E17" s="79">
        <f>IFERROR(VLOOKUP($A:$A,CS!$A:$AK,7,FALSE),"")</f>
      </c>
      <c r="F17" s="79">
        <f>IFERROR(VLOOKUP($A:$A,CS!$A:$AK,8,FALSE),"")</f>
      </c>
      <c r="G17" s="79">
        <f>IFERROR(VLOOKUP($A:$A,CS!$A:$AK,10,FALSE),"")</f>
      </c>
      <c r="H17" s="79">
        <f>IFERROR(VLOOKUP($A:$A,CS!$A:$AK,14,FALSE),"")</f>
      </c>
      <c r="I17" s="79">
        <f>IFERROR(VLOOKUP($A:$A,CS!$A:$AK,15,FALSE),"")</f>
      </c>
      <c r="J17" s="79">
        <f>IFERROR(VLOOKUP($A:$A,CS!$A:$AK,18,FALSE),"")</f>
      </c>
      <c r="K17" s="79">
        <f>IFERROR(VLOOKUP($A:$A,CS!$A:$AK,19,FALSE),"")</f>
      </c>
      <c r="L17" s="79">
        <f>IFERROR(VLOOKUP($A:$A,CS!$A:$AK,20,FALSE),"")</f>
      </c>
      <c r="M17" s="79">
        <f>IFERROR(VLOOKUP($A:$A,CS!$A:$AK,22,FALSE),"")</f>
      </c>
      <c r="N17" s="79">
        <f>IFERROR(VLOOKUP($A:$A,CS!$A:$AK,19,FALSE),"")</f>
      </c>
      <c r="O17" s="79">
        <f>IFERROR(VLOOKUP($A:$A,CS!$A:$AK,23,FALSE),"")</f>
      </c>
      <c r="P17" s="79">
        <f>IFERROR(VLOOKUP($A:$A,CS!$A:$AK,24,FALSE),"")</f>
      </c>
      <c r="Q17" s="79">
        <f>IFERROR(VLOOKUP($A:$A,CS!$A:$AK,25,FALSE),"")</f>
      </c>
      <c r="R17" s="79">
        <f>IFERROR(VLOOKUP($A:$A,CS!$A:$AK,26,FALSE),"")</f>
      </c>
      <c r="S17" s="79">
        <f>IFERROR(VLOOKUP($A:$A,CS!$A:$AK,29,FALSE),"")</f>
      </c>
      <c r="T17" s="79">
        <f>IFERROR(VLOOKUP($A:$A,CS!$A:$AK,33,FALSE),"")</f>
      </c>
      <c r="U17" s="79">
        <f>IFERROR(VLOOKUP($A:$A,CS!$A:$AK,34,FALSE),"")</f>
      </c>
      <c r="V17" s="79">
        <f>IFERROR(VLOOKUP($A:$A,CS!$A:$AK,35,FALSE),"")</f>
      </c>
      <c r="W17" s="79">
        <f>IFERROR(VLOOKUP($A:$A,CS!$A:$AK,36,FALSE),"")</f>
      </c>
    </row>
    <row r="18" ht="16.5" customHeight="1" spans="1:23" x14ac:dyDescent="0.25">
      <c r="A18" s="3"/>
      <c r="B18" s="79">
        <f>IFERROR(VLOOKUP($A:$A,CS!$A:$AK,3,FALSE),"")</f>
      </c>
      <c r="C18" s="79">
        <f>IFERROR(VLOOKUP($A:$A,CS!$A:$AK,4,FALSE),"")</f>
      </c>
      <c r="D18" s="79">
        <f>IFERROR(VLOOKUP($A:$A,CS!$A:$AK,5,FALSE),"")</f>
      </c>
      <c r="E18" s="79">
        <f>IFERROR(VLOOKUP($A:$A,CS!$A:$AK,7,FALSE),"")</f>
      </c>
      <c r="F18" s="79">
        <f>IFERROR(VLOOKUP($A:$A,CS!$A:$AK,8,FALSE),"")</f>
      </c>
      <c r="G18" s="79">
        <f>IFERROR(VLOOKUP($A:$A,CS!$A:$AK,10,FALSE),"")</f>
      </c>
      <c r="H18" s="79">
        <f>IFERROR(VLOOKUP($A:$A,CS!$A:$AK,14,FALSE),"")</f>
      </c>
      <c r="I18" s="79">
        <f>IFERROR(VLOOKUP($A:$A,CS!$A:$AK,15,FALSE),"")</f>
      </c>
      <c r="J18" s="79">
        <f>IFERROR(VLOOKUP($A:$A,CS!$A:$AK,18,FALSE),"")</f>
      </c>
      <c r="K18" s="79">
        <f>IFERROR(VLOOKUP($A:$A,CS!$A:$AK,19,FALSE),"")</f>
      </c>
      <c r="L18" s="79">
        <f>IFERROR(VLOOKUP($A:$A,CS!$A:$AK,20,FALSE),"")</f>
      </c>
      <c r="M18" s="79">
        <f>IFERROR(VLOOKUP($A:$A,CS!$A:$AK,22,FALSE),"")</f>
      </c>
      <c r="N18" s="79">
        <f>IFERROR(VLOOKUP($A:$A,CS!$A:$AK,19,FALSE),"")</f>
      </c>
      <c r="O18" s="79">
        <f>IFERROR(VLOOKUP($A:$A,CS!$A:$AK,23,FALSE),"")</f>
      </c>
      <c r="P18" s="79">
        <f>IFERROR(VLOOKUP($A:$A,CS!$A:$AK,24,FALSE),"")</f>
      </c>
      <c r="Q18" s="79">
        <f>IFERROR(VLOOKUP($A:$A,CS!$A:$AK,25,FALSE),"")</f>
      </c>
      <c r="R18" s="79">
        <f>IFERROR(VLOOKUP($A:$A,CS!$A:$AK,26,FALSE),"")</f>
      </c>
      <c r="S18" s="79">
        <f>IFERROR(VLOOKUP($A:$A,CS!$A:$AK,29,FALSE),"")</f>
      </c>
      <c r="T18" s="79">
        <f>IFERROR(VLOOKUP($A:$A,CS!$A:$AK,33,FALSE),"")</f>
      </c>
      <c r="U18" s="79">
        <f>IFERROR(VLOOKUP($A:$A,CS!$A:$AK,34,FALSE),"")</f>
      </c>
      <c r="V18" s="79">
        <f>IFERROR(VLOOKUP($A:$A,CS!$A:$AK,35,FALSE),"")</f>
      </c>
      <c r="W18" s="79">
        <f>IFERROR(VLOOKUP($A:$A,CS!$A:$AK,36,FALSE),"")</f>
      </c>
    </row>
    <row r="19" ht="16.5" customHeight="1" spans="1:23" x14ac:dyDescent="0.25">
      <c r="A19" s="3"/>
      <c r="B19" s="79">
        <f>IFERROR(VLOOKUP($A:$A,CS!$A:$AK,3,FALSE),"")</f>
      </c>
      <c r="C19" s="79">
        <f>IFERROR(VLOOKUP($A:$A,CS!$A:$AK,4,FALSE),"")</f>
      </c>
      <c r="D19" s="79">
        <f>IFERROR(VLOOKUP($A:$A,CS!$A:$AK,5,FALSE),"")</f>
      </c>
      <c r="E19" s="79">
        <f>IFERROR(VLOOKUP($A:$A,CS!$A:$AK,7,FALSE),"")</f>
      </c>
      <c r="F19" s="79">
        <f>IFERROR(VLOOKUP($A:$A,CS!$A:$AK,8,FALSE),"")</f>
      </c>
      <c r="G19" s="79">
        <f>IFERROR(VLOOKUP($A:$A,CS!$A:$AK,10,FALSE),"")</f>
      </c>
      <c r="H19" s="79">
        <f>IFERROR(VLOOKUP($A:$A,CS!$A:$AK,14,FALSE),"")</f>
      </c>
      <c r="I19" s="79">
        <f>IFERROR(VLOOKUP($A:$A,CS!$A:$AK,15,FALSE),"")</f>
      </c>
      <c r="J19" s="79">
        <f>IFERROR(VLOOKUP($A:$A,CS!$A:$AK,18,FALSE),"")</f>
      </c>
      <c r="K19" s="79">
        <f>IFERROR(VLOOKUP($A:$A,CS!$A:$AK,19,FALSE),"")</f>
      </c>
      <c r="L19" s="79">
        <f>IFERROR(VLOOKUP($A:$A,CS!$A:$AK,20,FALSE),"")</f>
      </c>
      <c r="M19" s="79">
        <f>IFERROR(VLOOKUP($A:$A,CS!$A:$AK,22,FALSE),"")</f>
      </c>
      <c r="N19" s="79">
        <f>IFERROR(VLOOKUP($A:$A,CS!$A:$AK,19,FALSE),"")</f>
      </c>
      <c r="O19" s="79">
        <f>IFERROR(VLOOKUP($A:$A,CS!$A:$AK,23,FALSE),"")</f>
      </c>
      <c r="P19" s="79">
        <f>IFERROR(VLOOKUP($A:$A,CS!$A:$AK,24,FALSE),"")</f>
      </c>
      <c r="Q19" s="79">
        <f>IFERROR(VLOOKUP($A:$A,CS!$A:$AK,25,FALSE),"")</f>
      </c>
      <c r="R19" s="79">
        <f>IFERROR(VLOOKUP($A:$A,CS!$A:$AK,26,FALSE),"")</f>
      </c>
      <c r="S19" s="79">
        <f>IFERROR(VLOOKUP($A:$A,CS!$A:$AK,29,FALSE),"")</f>
      </c>
      <c r="T19" s="79">
        <f>IFERROR(VLOOKUP($A:$A,CS!$A:$AK,33,FALSE),"")</f>
      </c>
      <c r="U19" s="79">
        <f>IFERROR(VLOOKUP($A:$A,CS!$A:$AK,34,FALSE),"")</f>
      </c>
      <c r="V19" s="79">
        <f>IFERROR(VLOOKUP($A:$A,CS!$A:$AK,35,FALSE),"")</f>
      </c>
      <c r="W19" s="79">
        <f>IFERROR(VLOOKUP($A:$A,CS!$A:$AK,36,FALSE),"")</f>
      </c>
    </row>
    <row r="20" ht="16.5" customHeight="1" spans="1:23" x14ac:dyDescent="0.25">
      <c r="A20" s="3"/>
      <c r="B20" s="79">
        <f>IFERROR(VLOOKUP($A:$A,CS!$A:$AK,3,FALSE),"")</f>
      </c>
      <c r="C20" s="79">
        <f>IFERROR(VLOOKUP($A:$A,CS!$A:$AK,4,FALSE),"")</f>
      </c>
      <c r="D20" s="79">
        <f>IFERROR(VLOOKUP($A:$A,CS!$A:$AK,5,FALSE),"")</f>
      </c>
      <c r="E20" s="79">
        <f>IFERROR(VLOOKUP($A:$A,CS!$A:$AK,7,FALSE),"")</f>
      </c>
      <c r="F20" s="79">
        <f>IFERROR(VLOOKUP($A:$A,CS!$A:$AK,8,FALSE),"")</f>
      </c>
      <c r="G20" s="79">
        <f>IFERROR(VLOOKUP($A:$A,CS!$A:$AK,10,FALSE),"")</f>
      </c>
      <c r="H20" s="79">
        <f>IFERROR(VLOOKUP($A:$A,CS!$A:$AK,14,FALSE),"")</f>
      </c>
      <c r="I20" s="79">
        <f>IFERROR(VLOOKUP($A:$A,CS!$A:$AK,15,FALSE),"")</f>
      </c>
      <c r="J20" s="79">
        <f>IFERROR(VLOOKUP($A:$A,CS!$A:$AK,18,FALSE),"")</f>
      </c>
      <c r="K20" s="79">
        <f>IFERROR(VLOOKUP($A:$A,CS!$A:$AK,19,FALSE),"")</f>
      </c>
      <c r="L20" s="79">
        <f>IFERROR(VLOOKUP($A:$A,CS!$A:$AK,20,FALSE),"")</f>
      </c>
      <c r="M20" s="79">
        <f>IFERROR(VLOOKUP($A:$A,CS!$A:$AK,22,FALSE),"")</f>
      </c>
      <c r="N20" s="79">
        <f>IFERROR(VLOOKUP($A:$A,CS!$A:$AK,19,FALSE),"")</f>
      </c>
      <c r="O20" s="79">
        <f>IFERROR(VLOOKUP($A:$A,CS!$A:$AK,23,FALSE),"")</f>
      </c>
      <c r="P20" s="79">
        <f>IFERROR(VLOOKUP($A:$A,CS!$A:$AK,24,FALSE),"")</f>
      </c>
      <c r="Q20" s="79">
        <f>IFERROR(VLOOKUP($A:$A,CS!$A:$AK,25,FALSE),"")</f>
      </c>
      <c r="R20" s="79">
        <f>IFERROR(VLOOKUP($A:$A,CS!$A:$AK,26,FALSE),"")</f>
      </c>
      <c r="S20" s="79">
        <f>IFERROR(VLOOKUP($A:$A,CS!$A:$AK,29,FALSE),"")</f>
      </c>
      <c r="T20" s="79">
        <f>IFERROR(VLOOKUP($A:$A,CS!$A:$AK,33,FALSE),"")</f>
      </c>
      <c r="U20" s="79">
        <f>IFERROR(VLOOKUP($A:$A,CS!$A:$AK,34,FALSE),"")</f>
      </c>
      <c r="V20" s="79">
        <f>IFERROR(VLOOKUP($A:$A,CS!$A:$AK,35,FALSE),"")</f>
      </c>
      <c r="W20" s="79">
        <f>IFERROR(VLOOKUP($A:$A,CS!$A:$AK,36,FALSE),"")</f>
      </c>
    </row>
    <row r="21" ht="16.5" customHeight="1" spans="1:23" x14ac:dyDescent="0.25">
      <c r="A21" s="3"/>
      <c r="B21" s="79">
        <f>IFERROR(VLOOKUP($A:$A,CS!$A:$AK,3,FALSE),"")</f>
      </c>
      <c r="C21" s="79">
        <f>IFERROR(VLOOKUP($A:$A,CS!$A:$AK,4,FALSE),"")</f>
      </c>
      <c r="D21" s="79">
        <f>IFERROR(VLOOKUP($A:$A,CS!$A:$AK,5,FALSE),"")</f>
      </c>
      <c r="E21" s="79">
        <f>IFERROR(VLOOKUP($A:$A,CS!$A:$AK,7,FALSE),"")</f>
      </c>
      <c r="F21" s="79">
        <f>IFERROR(VLOOKUP($A:$A,CS!$A:$AK,8,FALSE),"")</f>
      </c>
      <c r="G21" s="79">
        <f>IFERROR(VLOOKUP($A:$A,CS!$A:$AK,10,FALSE),"")</f>
      </c>
      <c r="H21" s="79">
        <f>IFERROR(VLOOKUP($A:$A,CS!$A:$AK,14,FALSE),"")</f>
      </c>
      <c r="I21" s="79">
        <f>IFERROR(VLOOKUP($A:$A,CS!$A:$AK,15,FALSE),"")</f>
      </c>
      <c r="J21" s="79">
        <f>IFERROR(VLOOKUP($A:$A,CS!$A:$AK,18,FALSE),"")</f>
      </c>
      <c r="K21" s="79">
        <f>IFERROR(VLOOKUP($A:$A,CS!$A:$AK,19,FALSE),"")</f>
      </c>
      <c r="L21" s="79">
        <f>IFERROR(VLOOKUP($A:$A,CS!$A:$AK,20,FALSE),"")</f>
      </c>
      <c r="M21" s="79">
        <f>IFERROR(VLOOKUP($A:$A,CS!$A:$AK,22,FALSE),"")</f>
      </c>
      <c r="N21" s="79">
        <f>IFERROR(VLOOKUP($A:$A,CS!$A:$AK,19,FALSE),"")</f>
      </c>
      <c r="O21" s="79">
        <f>IFERROR(VLOOKUP($A:$A,CS!$A:$AK,23,FALSE),"")</f>
      </c>
      <c r="P21" s="79">
        <f>IFERROR(VLOOKUP($A:$A,CS!$A:$AK,24,FALSE),"")</f>
      </c>
      <c r="Q21" s="79">
        <f>IFERROR(VLOOKUP($A:$A,CS!$A:$AK,25,FALSE),"")</f>
      </c>
      <c r="R21" s="79">
        <f>IFERROR(VLOOKUP($A:$A,CS!$A:$AK,26,FALSE),"")</f>
      </c>
      <c r="S21" s="79">
        <f>IFERROR(VLOOKUP($A:$A,CS!$A:$AK,29,FALSE),"")</f>
      </c>
      <c r="T21" s="79">
        <f>IFERROR(VLOOKUP($A:$A,CS!$A:$AK,33,FALSE),"")</f>
      </c>
      <c r="U21" s="79">
        <f>IFERROR(VLOOKUP($A:$A,CS!$A:$AK,34,FALSE),"")</f>
      </c>
      <c r="V21" s="79">
        <f>IFERROR(VLOOKUP($A:$A,CS!$A:$AK,35,FALSE),"")</f>
      </c>
      <c r="W21" s="79">
        <f>IFERROR(VLOOKUP($A:$A,CS!$A:$AK,36,FALSE),"")</f>
      </c>
    </row>
    <row r="22" ht="16.5" customHeight="1" spans="1:23" x14ac:dyDescent="0.25">
      <c r="A22" s="3"/>
      <c r="B22" s="79">
        <f>IFERROR(VLOOKUP($A:$A,CS!$A:$AK,3,FALSE),"")</f>
      </c>
      <c r="C22" s="79">
        <f>IFERROR(VLOOKUP($A:$A,CS!$A:$AK,4,FALSE),"")</f>
      </c>
      <c r="D22" s="79">
        <f>IFERROR(VLOOKUP($A:$A,CS!$A:$AK,5,FALSE),"")</f>
      </c>
      <c r="E22" s="79">
        <f>IFERROR(VLOOKUP($A:$A,CS!$A:$AK,7,FALSE),"")</f>
      </c>
      <c r="F22" s="79">
        <f>IFERROR(VLOOKUP($A:$A,CS!$A:$AK,8,FALSE),"")</f>
      </c>
      <c r="G22" s="79">
        <f>IFERROR(VLOOKUP($A:$A,CS!$A:$AK,10,FALSE),"")</f>
      </c>
      <c r="H22" s="79">
        <f>IFERROR(VLOOKUP($A:$A,CS!$A:$AK,14,FALSE),"")</f>
      </c>
      <c r="I22" s="79">
        <f>IFERROR(VLOOKUP($A:$A,CS!$A:$AK,15,FALSE),"")</f>
      </c>
      <c r="J22" s="79">
        <f>IFERROR(VLOOKUP($A:$A,CS!$A:$AK,18,FALSE),"")</f>
      </c>
      <c r="K22" s="79">
        <f>IFERROR(VLOOKUP($A:$A,CS!$A:$AK,19,FALSE),"")</f>
      </c>
      <c r="L22" s="79">
        <f>IFERROR(VLOOKUP($A:$A,CS!$A:$AK,20,FALSE),"")</f>
      </c>
      <c r="M22" s="79">
        <f>IFERROR(VLOOKUP($A:$A,CS!$A:$AK,22,FALSE),"")</f>
      </c>
      <c r="N22" s="79">
        <f>IFERROR(VLOOKUP($A:$A,CS!$A:$AK,19,FALSE),"")</f>
      </c>
      <c r="O22" s="79">
        <f>IFERROR(VLOOKUP($A:$A,CS!$A:$AK,23,FALSE),"")</f>
      </c>
      <c r="P22" s="79">
        <f>IFERROR(VLOOKUP($A:$A,CS!$A:$AK,24,FALSE),"")</f>
      </c>
      <c r="Q22" s="79">
        <f>IFERROR(VLOOKUP($A:$A,CS!$A:$AK,25,FALSE),"")</f>
      </c>
      <c r="R22" s="79">
        <f>IFERROR(VLOOKUP($A:$A,CS!$A:$AK,26,FALSE),"")</f>
      </c>
      <c r="S22" s="79">
        <f>IFERROR(VLOOKUP($A:$A,CS!$A:$AK,29,FALSE),"")</f>
      </c>
      <c r="T22" s="79">
        <f>IFERROR(VLOOKUP($A:$A,CS!$A:$AK,33,FALSE),"")</f>
      </c>
      <c r="U22" s="79">
        <f>IFERROR(VLOOKUP($A:$A,CS!$A:$AK,34,FALSE),"")</f>
      </c>
      <c r="V22" s="79">
        <f>IFERROR(VLOOKUP($A:$A,CS!$A:$AK,35,FALSE),"")</f>
      </c>
      <c r="W22" s="79">
        <f>IFERROR(VLOOKUP($A:$A,CS!$A:$AK,36,FALSE),"")</f>
      </c>
    </row>
    <row r="23" ht="16.5" customHeight="1" spans="1:23" x14ac:dyDescent="0.25">
      <c r="A23" s="92"/>
      <c r="B23" s="79">
        <f>IFERROR(VLOOKUP($A:$A,CS!$A:$AK,3,FALSE),"")</f>
      </c>
      <c r="C23" s="79">
        <f>IFERROR(VLOOKUP($A:$A,CS!$A:$AK,4,FALSE),"")</f>
      </c>
      <c r="D23" s="79">
        <f>IFERROR(VLOOKUP($A:$A,CS!$A:$AK,5,FALSE),"")</f>
      </c>
      <c r="E23" s="79">
        <f>IFERROR(VLOOKUP($A:$A,CS!$A:$AK,7,FALSE),"")</f>
      </c>
      <c r="F23" s="79">
        <f>IFERROR(VLOOKUP($A:$A,CS!$A:$AK,8,FALSE),"")</f>
      </c>
      <c r="G23" s="79">
        <f>IFERROR(VLOOKUP($A:$A,CS!$A:$AK,10,FALSE),"")</f>
      </c>
      <c r="H23" s="79">
        <f>IFERROR(VLOOKUP($A:$A,CS!$A:$AK,14,FALSE),"")</f>
      </c>
      <c r="I23" s="79">
        <f>IFERROR(VLOOKUP($A:$A,CS!$A:$AK,15,FALSE),"")</f>
      </c>
      <c r="J23" s="79">
        <f>IFERROR(VLOOKUP($A:$A,CS!$A:$AK,18,FALSE),"")</f>
      </c>
      <c r="K23" s="79">
        <f>IFERROR(VLOOKUP($A:$A,CS!$A:$AK,19,FALSE),"")</f>
      </c>
      <c r="L23" s="79">
        <f>IFERROR(VLOOKUP($A:$A,CS!$A:$AK,20,FALSE),"")</f>
      </c>
      <c r="M23" s="79">
        <f>IFERROR(VLOOKUP($A:$A,CS!$A:$AK,22,FALSE),"")</f>
      </c>
      <c r="N23" s="79">
        <f>IFERROR(VLOOKUP($A:$A,CS!$A:$AK,19,FALSE),"")</f>
      </c>
      <c r="O23" s="79">
        <f>IFERROR(VLOOKUP($A:$A,CS!$A:$AK,23,FALSE),"")</f>
      </c>
      <c r="P23" s="79">
        <f>IFERROR(VLOOKUP($A:$A,CS!$A:$AK,24,FALSE),"")</f>
      </c>
      <c r="Q23" s="79">
        <f>IFERROR(VLOOKUP($A:$A,CS!$A:$AK,25,FALSE),"")</f>
      </c>
      <c r="R23" s="79">
        <f>IFERROR(VLOOKUP($A:$A,CS!$A:$AK,26,FALSE),"")</f>
      </c>
      <c r="S23" s="79">
        <f>IFERROR(VLOOKUP($A:$A,CS!$A:$AK,29,FALSE),"")</f>
      </c>
      <c r="T23" s="79">
        <f>IFERROR(VLOOKUP($A:$A,CS!$A:$AK,33,FALSE),"")</f>
      </c>
      <c r="U23" s="79">
        <f>IFERROR(VLOOKUP($A:$A,CS!$A:$AK,34,FALSE),"")</f>
      </c>
      <c r="V23" s="79">
        <f>IFERROR(VLOOKUP($A:$A,CS!$A:$AK,35,FALSE),"")</f>
      </c>
      <c r="W23" s="79">
        <f>IFERROR(VLOOKUP($A:$A,CS!$A:$AK,36,FALSE),"")</f>
      </c>
    </row>
    <row r="24" ht="16.5" customHeight="1" spans="1:23" x14ac:dyDescent="0.25">
      <c r="A24" s="3"/>
      <c r="B24" s="79">
        <f>IFERROR(VLOOKUP($A:$A,CS!$A:$AK,3,FALSE),"")</f>
      </c>
      <c r="C24" s="79">
        <f>IFERROR(VLOOKUP($A:$A,CS!$A:$AK,4,FALSE),"")</f>
      </c>
      <c r="D24" s="79">
        <f>IFERROR(VLOOKUP($A:$A,CS!$A:$AK,5,FALSE),"")</f>
      </c>
      <c r="E24" s="79">
        <f>IFERROR(VLOOKUP($A:$A,CS!$A:$AK,7,FALSE),"")</f>
      </c>
      <c r="F24" s="79">
        <f>IFERROR(VLOOKUP($A:$A,CS!$A:$AK,8,FALSE),"")</f>
      </c>
      <c r="G24" s="79">
        <f>IFERROR(VLOOKUP($A:$A,CS!$A:$AK,10,FALSE),"")</f>
      </c>
      <c r="H24" s="79">
        <f>IFERROR(VLOOKUP($A:$A,CS!$A:$AK,14,FALSE),"")</f>
      </c>
      <c r="I24" s="79">
        <f>IFERROR(VLOOKUP($A:$A,CS!$A:$AK,15,FALSE),"")</f>
      </c>
      <c r="J24" s="79">
        <f>IFERROR(VLOOKUP($A:$A,CS!$A:$AK,18,FALSE),"")</f>
      </c>
      <c r="K24" s="79">
        <f>IFERROR(VLOOKUP($A:$A,CS!$A:$AK,19,FALSE),"")</f>
      </c>
      <c r="L24" s="79">
        <f>IFERROR(VLOOKUP($A:$A,CS!$A:$AK,20,FALSE),"")</f>
      </c>
      <c r="M24" s="79">
        <f>IFERROR(VLOOKUP($A:$A,CS!$A:$AK,22,FALSE),"")</f>
      </c>
      <c r="N24" s="79">
        <f>IFERROR(VLOOKUP($A:$A,CS!$A:$AK,19,FALSE),"")</f>
      </c>
      <c r="O24" s="79">
        <f>IFERROR(VLOOKUP($A:$A,CS!$A:$AK,23,FALSE),"")</f>
      </c>
      <c r="P24" s="79">
        <f>IFERROR(VLOOKUP($A:$A,CS!$A:$AK,24,FALSE),"")</f>
      </c>
      <c r="Q24" s="79">
        <f>IFERROR(VLOOKUP($A:$A,CS!$A:$AK,25,FALSE),"")</f>
      </c>
      <c r="R24" s="79">
        <f>IFERROR(VLOOKUP($A:$A,CS!$A:$AK,26,FALSE),"")</f>
      </c>
      <c r="S24" s="79">
        <f>IFERROR(VLOOKUP($A:$A,CS!$A:$AK,29,FALSE),"")</f>
      </c>
      <c r="T24" s="79">
        <f>IFERROR(VLOOKUP($A:$A,CS!$A:$AK,33,FALSE),"")</f>
      </c>
      <c r="U24" s="79">
        <f>IFERROR(VLOOKUP($A:$A,CS!$A:$AK,34,FALSE),"")</f>
      </c>
      <c r="V24" s="79">
        <f>IFERROR(VLOOKUP($A:$A,CS!$A:$AK,35,FALSE),"")</f>
      </c>
      <c r="W24" s="79">
        <f>IFERROR(VLOOKUP($A:$A,CS!$A:$AK,36,FALSE),"")</f>
      </c>
    </row>
    <row r="25" ht="16.5" customHeight="1" spans="1:23" x14ac:dyDescent="0.25">
      <c r="A25" s="3"/>
      <c r="B25" s="79">
        <f>IFERROR(VLOOKUP($A:$A,CS!$A:$AK,3,FALSE),"")</f>
      </c>
      <c r="C25" s="79">
        <f>IFERROR(VLOOKUP($A:$A,CS!$A:$AK,4,FALSE),"")</f>
      </c>
      <c r="D25" s="79">
        <f>IFERROR(VLOOKUP($A:$A,CS!$A:$AK,5,FALSE),"")</f>
      </c>
      <c r="E25" s="79">
        <f>IFERROR(VLOOKUP($A:$A,CS!$A:$AK,7,FALSE),"")</f>
      </c>
      <c r="F25" s="79">
        <f>IFERROR(VLOOKUP($A:$A,CS!$A:$AK,8,FALSE),"")</f>
      </c>
      <c r="G25" s="79">
        <f>IFERROR(VLOOKUP($A:$A,CS!$A:$AK,10,FALSE),"")</f>
      </c>
      <c r="H25" s="79">
        <f>IFERROR(VLOOKUP($A:$A,CS!$A:$AK,14,FALSE),"")</f>
      </c>
      <c r="I25" s="79">
        <f>IFERROR(VLOOKUP($A:$A,CS!$A:$AK,15,FALSE),"")</f>
      </c>
      <c r="J25" s="79">
        <f>IFERROR(VLOOKUP($A:$A,CS!$A:$AK,18,FALSE),"")</f>
      </c>
      <c r="K25" s="79">
        <f>IFERROR(VLOOKUP($A:$A,CS!$A:$AK,19,FALSE),"")</f>
      </c>
      <c r="L25" s="79">
        <f>IFERROR(VLOOKUP($A:$A,CS!$A:$AK,20,FALSE),"")</f>
      </c>
      <c r="M25" s="79">
        <f>IFERROR(VLOOKUP($A:$A,CS!$A:$AK,22,FALSE),"")</f>
      </c>
      <c r="N25" s="79">
        <f>IFERROR(VLOOKUP($A:$A,CS!$A:$AK,19,FALSE),"")</f>
      </c>
      <c r="O25" s="79">
        <f>IFERROR(VLOOKUP($A:$A,CS!$A:$AK,23,FALSE),"")</f>
      </c>
      <c r="P25" s="79">
        <f>IFERROR(VLOOKUP($A:$A,CS!$A:$AK,24,FALSE),"")</f>
      </c>
      <c r="Q25" s="79">
        <f>IFERROR(VLOOKUP($A:$A,CS!$A:$AK,25,FALSE),"")</f>
      </c>
      <c r="R25" s="79">
        <f>IFERROR(VLOOKUP($A:$A,CS!$A:$AK,26,FALSE),"")</f>
      </c>
      <c r="S25" s="79">
        <f>IFERROR(VLOOKUP($A:$A,CS!$A:$AK,29,FALSE),"")</f>
      </c>
      <c r="T25" s="79">
        <f>IFERROR(VLOOKUP($A:$A,CS!$A:$AK,33,FALSE),"")</f>
      </c>
      <c r="U25" s="79">
        <f>IFERROR(VLOOKUP($A:$A,CS!$A:$AK,34,FALSE),"")</f>
      </c>
      <c r="V25" s="79">
        <f>IFERROR(VLOOKUP($A:$A,CS!$A:$AK,35,FALSE),"")</f>
      </c>
      <c r="W25" s="79">
        <f>IFERROR(VLOOKUP($A:$A,CS!$A:$AK,36,FALSE),"")</f>
      </c>
    </row>
    <row r="26" ht="16.5" customHeight="1" spans="1:23" x14ac:dyDescent="0.25">
      <c r="A26" s="3"/>
      <c r="B26" s="79">
        <f>IFERROR(VLOOKUP($A:$A,CS!$A:$AK,3,FALSE),"")</f>
      </c>
      <c r="C26" s="79">
        <f>IFERROR(VLOOKUP($A:$A,CS!$A:$AK,4,FALSE),"")</f>
      </c>
      <c r="D26" s="79">
        <f>IFERROR(VLOOKUP($A:$A,CS!$A:$AK,5,FALSE),"")</f>
      </c>
      <c r="E26" s="79">
        <f>IFERROR(VLOOKUP($A:$A,CS!$A:$AK,7,FALSE),"")</f>
      </c>
      <c r="F26" s="79">
        <f>IFERROR(VLOOKUP($A:$A,CS!$A:$AK,8,FALSE),"")</f>
      </c>
      <c r="G26" s="79">
        <f>IFERROR(VLOOKUP($A:$A,CS!$A:$AK,10,FALSE),"")</f>
      </c>
      <c r="H26" s="79">
        <f>IFERROR(VLOOKUP($A:$A,CS!$A:$AK,14,FALSE),"")</f>
      </c>
      <c r="I26" s="79">
        <f>IFERROR(VLOOKUP($A:$A,CS!$A:$AK,15,FALSE),"")</f>
      </c>
      <c r="J26" s="79">
        <f>IFERROR(VLOOKUP($A:$A,CS!$A:$AK,18,FALSE),"")</f>
      </c>
      <c r="K26" s="79">
        <f>IFERROR(VLOOKUP($A:$A,CS!$A:$AK,19,FALSE),"")</f>
      </c>
      <c r="L26" s="79">
        <f>IFERROR(VLOOKUP($A:$A,CS!$A:$AK,20,FALSE),"")</f>
      </c>
      <c r="M26" s="79">
        <f>IFERROR(VLOOKUP($A:$A,CS!$A:$AK,22,FALSE),"")</f>
      </c>
      <c r="N26" s="79">
        <f>IFERROR(VLOOKUP($A:$A,CS!$A:$AK,19,FALSE),"")</f>
      </c>
      <c r="O26" s="79">
        <f>IFERROR(VLOOKUP($A:$A,CS!$A:$AK,23,FALSE),"")</f>
      </c>
      <c r="P26" s="79">
        <f>IFERROR(VLOOKUP($A:$A,CS!$A:$AK,24,FALSE),"")</f>
      </c>
      <c r="Q26" s="79">
        <f>IFERROR(VLOOKUP($A:$A,CS!$A:$AK,25,FALSE),"")</f>
      </c>
      <c r="R26" s="79">
        <f>IFERROR(VLOOKUP($A:$A,CS!$A:$AK,26,FALSE),"")</f>
      </c>
      <c r="S26" s="79">
        <f>IFERROR(VLOOKUP($A:$A,CS!$A:$AK,29,FALSE),"")</f>
      </c>
      <c r="T26" s="79">
        <f>IFERROR(VLOOKUP($A:$A,CS!$A:$AK,33,FALSE),"")</f>
      </c>
      <c r="U26" s="79">
        <f>IFERROR(VLOOKUP($A:$A,CS!$A:$AK,34,FALSE),"")</f>
      </c>
      <c r="V26" s="79">
        <f>IFERROR(VLOOKUP($A:$A,CS!$A:$AK,35,FALSE),"")</f>
      </c>
      <c r="W26" s="79">
        <f>IFERROR(VLOOKUP($A:$A,CS!$A:$AK,36,FALSE),"")</f>
      </c>
    </row>
    <row r="27" ht="16.5" customHeight="1" spans="1:23" x14ac:dyDescent="0.25">
      <c r="A27" s="3"/>
      <c r="B27" s="79">
        <f>IFERROR(VLOOKUP($A:$A,CS!$A:$AK,3,FALSE),"")</f>
      </c>
      <c r="C27" s="79">
        <f>IFERROR(VLOOKUP($A:$A,CS!$A:$AK,4,FALSE),"")</f>
      </c>
      <c r="D27" s="79">
        <f>IFERROR(VLOOKUP($A:$A,CS!$A:$AK,5,FALSE),"")</f>
      </c>
      <c r="E27" s="79">
        <f>IFERROR(VLOOKUP($A:$A,CS!$A:$AK,7,FALSE),"")</f>
      </c>
      <c r="F27" s="79">
        <f>IFERROR(VLOOKUP($A:$A,CS!$A:$AK,8,FALSE),"")</f>
      </c>
      <c r="G27" s="79">
        <f>IFERROR(VLOOKUP($A:$A,CS!$A:$AK,10,FALSE),"")</f>
      </c>
      <c r="H27" s="79">
        <f>IFERROR(VLOOKUP($A:$A,CS!$A:$AK,14,FALSE),"")</f>
      </c>
      <c r="I27" s="79">
        <f>IFERROR(VLOOKUP($A:$A,CS!$A:$AK,15,FALSE),"")</f>
      </c>
      <c r="J27" s="79">
        <f>IFERROR(VLOOKUP($A:$A,CS!$A:$AK,18,FALSE),"")</f>
      </c>
      <c r="K27" s="79">
        <f>IFERROR(VLOOKUP($A:$A,CS!$A:$AK,19,FALSE),"")</f>
      </c>
      <c r="L27" s="79">
        <f>IFERROR(VLOOKUP($A:$A,CS!$A:$AK,20,FALSE),"")</f>
      </c>
      <c r="M27" s="79">
        <f>IFERROR(VLOOKUP($A:$A,CS!$A:$AK,22,FALSE),"")</f>
      </c>
      <c r="N27" s="79">
        <f>IFERROR(VLOOKUP($A:$A,CS!$A:$AK,19,FALSE),"")</f>
      </c>
      <c r="O27" s="79">
        <f>IFERROR(VLOOKUP($A:$A,CS!$A:$AK,23,FALSE),"")</f>
      </c>
      <c r="P27" s="79">
        <f>IFERROR(VLOOKUP($A:$A,CS!$A:$AK,24,FALSE),"")</f>
      </c>
      <c r="Q27" s="79">
        <f>IFERROR(VLOOKUP($A:$A,CS!$A:$AK,25,FALSE),"")</f>
      </c>
      <c r="R27" s="79">
        <f>IFERROR(VLOOKUP($A:$A,CS!$A:$AK,26,FALSE),"")</f>
      </c>
      <c r="S27" s="79">
        <f>IFERROR(VLOOKUP($A:$A,CS!$A:$AK,29,FALSE),"")</f>
      </c>
      <c r="T27" s="79">
        <f>IFERROR(VLOOKUP($A:$A,CS!$A:$AK,33,FALSE),"")</f>
      </c>
      <c r="U27" s="79">
        <f>IFERROR(VLOOKUP($A:$A,CS!$A:$AK,34,FALSE),"")</f>
      </c>
      <c r="V27" s="79">
        <f>IFERROR(VLOOKUP($A:$A,CS!$A:$AK,35,FALSE),"")</f>
      </c>
      <c r="W27" s="79">
        <f>IFERROR(VLOOKUP($A:$A,CS!$A:$AK,36,FALSE),"")</f>
      </c>
    </row>
    <row r="28" ht="16.5" customHeight="1" spans="1:23" x14ac:dyDescent="0.25">
      <c r="A28" s="3"/>
      <c r="B28" s="79">
        <f>IFERROR(VLOOKUP($A:$A,CS!$A:$AK,3,FALSE),"")</f>
      </c>
      <c r="C28" s="79">
        <f>IFERROR(VLOOKUP($A:$A,CS!$A:$AK,4,FALSE),"")</f>
      </c>
      <c r="D28" s="79">
        <f>IFERROR(VLOOKUP($A:$A,CS!$A:$AK,5,FALSE),"")</f>
      </c>
      <c r="E28" s="79">
        <f>IFERROR(VLOOKUP($A:$A,CS!$A:$AK,7,FALSE),"")</f>
      </c>
      <c r="F28" s="79">
        <f>IFERROR(VLOOKUP($A:$A,CS!$A:$AK,8,FALSE),"")</f>
      </c>
      <c r="G28" s="79">
        <f>IFERROR(VLOOKUP($A:$A,CS!$A:$AK,10,FALSE),"")</f>
      </c>
      <c r="H28" s="79">
        <f>IFERROR(VLOOKUP($A:$A,CS!$A:$AK,14,FALSE),"")</f>
      </c>
      <c r="I28" s="79">
        <f>IFERROR(VLOOKUP($A:$A,CS!$A:$AK,15,FALSE),"")</f>
      </c>
      <c r="J28" s="79">
        <f>IFERROR(VLOOKUP($A:$A,CS!$A:$AK,18,FALSE),"")</f>
      </c>
      <c r="K28" s="79">
        <f>IFERROR(VLOOKUP($A:$A,CS!$A:$AK,19,FALSE),"")</f>
      </c>
      <c r="L28" s="79">
        <f>IFERROR(VLOOKUP($A:$A,CS!$A:$AK,20,FALSE),"")</f>
      </c>
      <c r="M28" s="79">
        <f>IFERROR(VLOOKUP($A:$A,CS!$A:$AK,22,FALSE),"")</f>
      </c>
      <c r="N28" s="79">
        <f>IFERROR(VLOOKUP($A:$A,CS!$A:$AK,19,FALSE),"")</f>
      </c>
      <c r="O28" s="79">
        <f>IFERROR(VLOOKUP($A:$A,CS!$A:$AK,23,FALSE),"")</f>
      </c>
      <c r="P28" s="79">
        <f>IFERROR(VLOOKUP($A:$A,CS!$A:$AK,24,FALSE),"")</f>
      </c>
      <c r="Q28" s="79">
        <f>IFERROR(VLOOKUP($A:$A,CS!$A:$AK,25,FALSE),"")</f>
      </c>
      <c r="R28" s="79">
        <f>IFERROR(VLOOKUP($A:$A,CS!$A:$AK,26,FALSE),"")</f>
      </c>
      <c r="S28" s="79">
        <f>IFERROR(VLOOKUP($A:$A,CS!$A:$AK,29,FALSE),"")</f>
      </c>
      <c r="T28" s="79">
        <f>IFERROR(VLOOKUP($A:$A,CS!$A:$AK,33,FALSE),"")</f>
      </c>
      <c r="U28" s="79">
        <f>IFERROR(VLOOKUP($A:$A,CS!$A:$AK,34,FALSE),"")</f>
      </c>
      <c r="V28" s="79">
        <f>IFERROR(VLOOKUP($A:$A,CS!$A:$AK,35,FALSE),"")</f>
      </c>
      <c r="W28" s="79">
        <f>IFERROR(VLOOKUP($A:$A,CS!$A:$AK,36,FALSE),"")</f>
      </c>
    </row>
    <row r="29" ht="16.5" customHeight="1" spans="1:23" x14ac:dyDescent="0.25">
      <c r="A29" s="93"/>
      <c r="B29" s="79">
        <f>IFERROR(VLOOKUP($A:$A,CS!$A:$AK,3,FALSE),"")</f>
      </c>
      <c r="C29" s="79">
        <f>IFERROR(VLOOKUP($A:$A,CS!$A:$AK,4,FALSE),"")</f>
      </c>
      <c r="D29" s="79">
        <f>IFERROR(VLOOKUP($A:$A,CS!$A:$AK,5,FALSE),"")</f>
      </c>
      <c r="E29" s="79">
        <f>IFERROR(VLOOKUP($A:$A,CS!$A:$AK,7,FALSE),"")</f>
      </c>
      <c r="F29" s="79">
        <f>IFERROR(VLOOKUP($A:$A,CS!$A:$AK,8,FALSE),"")</f>
      </c>
      <c r="G29" s="79">
        <f>IFERROR(VLOOKUP($A:$A,CS!$A:$AK,10,FALSE),"")</f>
      </c>
      <c r="H29" s="79">
        <f>IFERROR(VLOOKUP($A:$A,CS!$A:$AK,14,FALSE),"")</f>
      </c>
      <c r="I29" s="79">
        <f>IFERROR(VLOOKUP($A:$A,CS!$A:$AK,15,FALSE),"")</f>
      </c>
      <c r="J29" s="79">
        <f>IFERROR(VLOOKUP($A:$A,CS!$A:$AK,18,FALSE),"")</f>
      </c>
      <c r="K29" s="79">
        <f>IFERROR(VLOOKUP($A:$A,CS!$A:$AK,19,FALSE),"")</f>
      </c>
      <c r="L29" s="79">
        <f>IFERROR(VLOOKUP($A:$A,CS!$A:$AK,20,FALSE),"")</f>
      </c>
      <c r="M29" s="79">
        <f>IFERROR(VLOOKUP($A:$A,CS!$A:$AK,22,FALSE),"")</f>
      </c>
      <c r="N29" s="79">
        <f>IFERROR(VLOOKUP($A:$A,CS!$A:$AK,19,FALSE),"")</f>
      </c>
      <c r="O29" s="79">
        <f>IFERROR(VLOOKUP($A:$A,CS!$A:$AK,23,FALSE),"")</f>
      </c>
      <c r="P29" s="79">
        <f>IFERROR(VLOOKUP($A:$A,CS!$A:$AK,24,FALSE),"")</f>
      </c>
      <c r="Q29" s="79">
        <f>IFERROR(VLOOKUP($A:$A,CS!$A:$AK,25,FALSE),"")</f>
      </c>
      <c r="R29" s="79">
        <f>IFERROR(VLOOKUP($A:$A,CS!$A:$AK,26,FALSE),"")</f>
      </c>
      <c r="S29" s="79">
        <f>IFERROR(VLOOKUP($A:$A,CS!$A:$AK,29,FALSE),"")</f>
      </c>
      <c r="T29" s="79">
        <f>IFERROR(VLOOKUP($A:$A,CS!$A:$AK,33,FALSE),"")</f>
      </c>
      <c r="U29" s="79">
        <f>IFERROR(VLOOKUP($A:$A,CS!$A:$AK,34,FALSE),"")</f>
      </c>
      <c r="V29" s="79">
        <f>IFERROR(VLOOKUP($A:$A,CS!$A:$AK,35,FALSE),"")</f>
      </c>
      <c r="W29" s="79">
        <f>IFERROR(VLOOKUP($A:$A,CS!$A:$AK,36,FALSE),"")</f>
      </c>
    </row>
    <row r="30" ht="16.5" customHeight="1" spans="1:23" x14ac:dyDescent="0.25">
      <c r="A30" s="93"/>
      <c r="B30" s="79">
        <f>IFERROR(VLOOKUP($A:$A,CS!$A:$AK,3,FALSE),"")</f>
      </c>
      <c r="C30" s="79">
        <f>IFERROR(VLOOKUP($A:$A,CS!$A:$AK,4,FALSE),"")</f>
      </c>
      <c r="D30" s="79">
        <f>IFERROR(VLOOKUP($A:$A,CS!$A:$AK,5,FALSE),"")</f>
      </c>
      <c r="E30" s="79">
        <f>IFERROR(VLOOKUP($A:$A,CS!$A:$AK,7,FALSE),"")</f>
      </c>
      <c r="F30" s="79">
        <f>IFERROR(VLOOKUP($A:$A,CS!$A:$AK,8,FALSE),"")</f>
      </c>
      <c r="G30" s="79">
        <f>IFERROR(VLOOKUP($A:$A,CS!$A:$AK,10,FALSE),"")</f>
      </c>
      <c r="H30" s="79">
        <f>IFERROR(VLOOKUP($A:$A,CS!$A:$AK,14,FALSE),"")</f>
      </c>
      <c r="I30" s="79">
        <f>IFERROR(VLOOKUP($A:$A,CS!$A:$AK,15,FALSE),"")</f>
      </c>
      <c r="J30" s="79">
        <f>IFERROR(VLOOKUP($A:$A,CS!$A:$AK,18,FALSE),"")</f>
      </c>
      <c r="K30" s="79">
        <f>IFERROR(VLOOKUP($A:$A,CS!$A:$AK,19,FALSE),"")</f>
      </c>
      <c r="L30" s="79">
        <f>IFERROR(VLOOKUP($A:$A,CS!$A:$AK,20,FALSE),"")</f>
      </c>
      <c r="M30" s="79">
        <f>IFERROR(VLOOKUP($A:$A,CS!$A:$AK,22,FALSE),"")</f>
      </c>
      <c r="N30" s="79">
        <f>IFERROR(VLOOKUP($A:$A,CS!$A:$AK,19,FALSE),"")</f>
      </c>
      <c r="O30" s="79">
        <f>IFERROR(VLOOKUP($A:$A,CS!$A:$AK,23,FALSE),"")</f>
      </c>
      <c r="P30" s="79">
        <f>IFERROR(VLOOKUP($A:$A,CS!$A:$AK,24,FALSE),"")</f>
      </c>
      <c r="Q30" s="79">
        <f>IFERROR(VLOOKUP($A:$A,CS!$A:$AK,25,FALSE),"")</f>
      </c>
      <c r="R30" s="79">
        <f>IFERROR(VLOOKUP($A:$A,CS!$A:$AK,26,FALSE),"")</f>
      </c>
      <c r="S30" s="79">
        <f>IFERROR(VLOOKUP($A:$A,CS!$A:$AK,29,FALSE),"")</f>
      </c>
      <c r="T30" s="79">
        <f>IFERROR(VLOOKUP($A:$A,CS!$A:$AK,33,FALSE),"")</f>
      </c>
      <c r="U30" s="79">
        <f>IFERROR(VLOOKUP($A:$A,CS!$A:$AK,34,FALSE),"")</f>
      </c>
      <c r="V30" s="79">
        <f>IFERROR(VLOOKUP($A:$A,CS!$A:$AK,35,FALSE),"")</f>
      </c>
      <c r="W30" s="79">
        <f>IFERROR(VLOOKUP($A:$A,CS!$A:$AK,36,FALSE),"")</f>
      </c>
    </row>
    <row r="31" ht="16.5" customHeight="1" spans="1:23" x14ac:dyDescent="0.25">
      <c r="A31" s="93"/>
      <c r="B31" s="79">
        <f>IFERROR(VLOOKUP($A:$A,CS!$A:$AK,3,FALSE),"")</f>
      </c>
      <c r="C31" s="79">
        <f>IFERROR(VLOOKUP($A:$A,CS!$A:$AK,4,FALSE),"")</f>
      </c>
      <c r="D31" s="79">
        <f>IFERROR(VLOOKUP($A:$A,CS!$A:$AK,5,FALSE),"")</f>
      </c>
      <c r="E31" s="79">
        <f>IFERROR(VLOOKUP($A:$A,CS!$A:$AK,7,FALSE),"")</f>
      </c>
      <c r="F31" s="79">
        <f>IFERROR(VLOOKUP($A:$A,CS!$A:$AK,8,FALSE),"")</f>
      </c>
      <c r="G31" s="79">
        <f>IFERROR(VLOOKUP($A:$A,CS!$A:$AK,10,FALSE),"")</f>
      </c>
      <c r="H31" s="79">
        <f>IFERROR(VLOOKUP($A:$A,CS!$A:$AK,14,FALSE),"")</f>
      </c>
      <c r="I31" s="79">
        <f>IFERROR(VLOOKUP($A:$A,CS!$A:$AK,15,FALSE),"")</f>
      </c>
      <c r="J31" s="79">
        <f>IFERROR(VLOOKUP($A:$A,CS!$A:$AK,18,FALSE),"")</f>
      </c>
      <c r="K31" s="79">
        <f>IFERROR(VLOOKUP($A:$A,CS!$A:$AK,19,FALSE),"")</f>
      </c>
      <c r="L31" s="79">
        <f>IFERROR(VLOOKUP($A:$A,CS!$A:$AK,20,FALSE),"")</f>
      </c>
      <c r="M31" s="79">
        <f>IFERROR(VLOOKUP($A:$A,CS!$A:$AK,22,FALSE),"")</f>
      </c>
      <c r="N31" s="79">
        <f>IFERROR(VLOOKUP($A:$A,CS!$A:$AK,19,FALSE),"")</f>
      </c>
      <c r="O31" s="79">
        <f>IFERROR(VLOOKUP($A:$A,CS!$A:$AK,23,FALSE),"")</f>
      </c>
      <c r="P31" s="79">
        <f>IFERROR(VLOOKUP($A:$A,CS!$A:$AK,24,FALSE),"")</f>
      </c>
      <c r="Q31" s="79">
        <f>IFERROR(VLOOKUP($A:$A,CS!$A:$AK,25,FALSE),"")</f>
      </c>
      <c r="R31" s="79">
        <f>IFERROR(VLOOKUP($A:$A,CS!$A:$AK,26,FALSE),"")</f>
      </c>
      <c r="S31" s="79">
        <f>IFERROR(VLOOKUP($A:$A,CS!$A:$AK,29,FALSE),"")</f>
      </c>
      <c r="T31" s="79">
        <f>IFERROR(VLOOKUP($A:$A,CS!$A:$AK,33,FALSE),"")</f>
      </c>
      <c r="U31" s="79">
        <f>IFERROR(VLOOKUP($A:$A,CS!$A:$AK,34,FALSE),"")</f>
      </c>
      <c r="V31" s="79">
        <f>IFERROR(VLOOKUP($A:$A,CS!$A:$AK,35,FALSE),"")</f>
      </c>
      <c r="W31" s="79">
        <f>IFERROR(VLOOKUP($A:$A,CS!$A:$AK,36,FALSE),"")</f>
      </c>
    </row>
    <row r="32" ht="16.5" customHeight="1" spans="1:23" x14ac:dyDescent="0.25">
      <c r="A32" s="93"/>
      <c r="B32" s="79">
        <f>IFERROR(VLOOKUP($A:$A,CS!$A:$AK,3,FALSE),"")</f>
      </c>
      <c r="C32" s="79">
        <f>IFERROR(VLOOKUP($A:$A,CS!$A:$AK,4,FALSE),"")</f>
      </c>
      <c r="D32" s="79">
        <f>IFERROR(VLOOKUP($A:$A,CS!$A:$AK,5,FALSE),"")</f>
      </c>
      <c r="E32" s="79">
        <f>IFERROR(VLOOKUP($A:$A,CS!$A:$AK,7,FALSE),"")</f>
      </c>
      <c r="F32" s="79">
        <f>IFERROR(VLOOKUP($A:$A,CS!$A:$AK,8,FALSE),"")</f>
      </c>
      <c r="G32" s="79">
        <f>IFERROR(VLOOKUP($A:$A,CS!$A:$AK,10,FALSE),"")</f>
      </c>
      <c r="H32" s="79">
        <f>IFERROR(VLOOKUP($A:$A,CS!$A:$AK,14,FALSE),"")</f>
      </c>
      <c r="I32" s="79">
        <f>IFERROR(VLOOKUP($A:$A,CS!$A:$AK,15,FALSE),"")</f>
      </c>
      <c r="J32" s="79">
        <f>IFERROR(VLOOKUP($A:$A,CS!$A:$AK,18,FALSE),"")</f>
      </c>
      <c r="K32" s="79">
        <f>IFERROR(VLOOKUP($A:$A,CS!$A:$AK,19,FALSE),"")</f>
      </c>
      <c r="L32" s="79">
        <f>IFERROR(VLOOKUP($A:$A,CS!$A:$AK,20,FALSE),"")</f>
      </c>
      <c r="M32" s="79">
        <f>IFERROR(VLOOKUP($A:$A,CS!$A:$AK,22,FALSE),"")</f>
      </c>
      <c r="N32" s="79">
        <f>IFERROR(VLOOKUP($A:$A,CS!$A:$AK,19,FALSE),"")</f>
      </c>
      <c r="O32" s="79">
        <f>IFERROR(VLOOKUP($A:$A,CS!$A:$AK,23,FALSE),"")</f>
      </c>
      <c r="P32" s="79">
        <f>IFERROR(VLOOKUP($A:$A,CS!$A:$AK,24,FALSE),"")</f>
      </c>
      <c r="Q32" s="79">
        <f>IFERROR(VLOOKUP($A:$A,CS!$A:$AK,25,FALSE),"")</f>
      </c>
      <c r="R32" s="79">
        <f>IFERROR(VLOOKUP($A:$A,CS!$A:$AK,26,FALSE),"")</f>
      </c>
      <c r="S32" s="79">
        <f>IFERROR(VLOOKUP($A:$A,CS!$A:$AK,29,FALSE),"")</f>
      </c>
      <c r="T32" s="79">
        <f>IFERROR(VLOOKUP($A:$A,CS!$A:$AK,33,FALSE),"")</f>
      </c>
      <c r="U32" s="79">
        <f>IFERROR(VLOOKUP($A:$A,CS!$A:$AK,34,FALSE),"")</f>
      </c>
      <c r="V32" s="79">
        <f>IFERROR(VLOOKUP($A:$A,CS!$A:$AK,35,FALSE),"")</f>
      </c>
      <c r="W32" s="79">
        <f>IFERROR(VLOOKUP($A:$A,CS!$A:$AK,36,FALSE),"")</f>
      </c>
    </row>
    <row r="33" ht="16.5" customHeight="1" spans="1:23" x14ac:dyDescent="0.25">
      <c r="A33" s="93"/>
      <c r="B33" s="79">
        <f>IFERROR(VLOOKUP($A:$A,CS!$A:$AK,3,FALSE),"")</f>
      </c>
      <c r="C33" s="79">
        <f>IFERROR(VLOOKUP($A:$A,CS!$A:$AK,4,FALSE),"")</f>
      </c>
      <c r="D33" s="79">
        <f>IFERROR(VLOOKUP($A:$A,CS!$A:$AK,5,FALSE),"")</f>
      </c>
      <c r="E33" s="79">
        <f>IFERROR(VLOOKUP($A:$A,CS!$A:$AK,7,FALSE),"")</f>
      </c>
      <c r="F33" s="79">
        <f>IFERROR(VLOOKUP($A:$A,CS!$A:$AK,8,FALSE),"")</f>
      </c>
      <c r="G33" s="79">
        <f>IFERROR(VLOOKUP($A:$A,CS!$A:$AK,10,FALSE),"")</f>
      </c>
      <c r="H33" s="79">
        <f>IFERROR(VLOOKUP($A:$A,CS!$A:$AK,14,FALSE),"")</f>
      </c>
      <c r="I33" s="79">
        <f>IFERROR(VLOOKUP($A:$A,CS!$A:$AK,15,FALSE),"")</f>
      </c>
      <c r="J33" s="79">
        <f>IFERROR(VLOOKUP($A:$A,CS!$A:$AK,18,FALSE),"")</f>
      </c>
      <c r="K33" s="79">
        <f>IFERROR(VLOOKUP($A:$A,CS!$A:$AK,19,FALSE),"")</f>
      </c>
      <c r="L33" s="79">
        <f>IFERROR(VLOOKUP($A:$A,CS!$A:$AK,20,FALSE),"")</f>
      </c>
      <c r="M33" s="79">
        <f>IFERROR(VLOOKUP($A:$A,CS!$A:$AK,22,FALSE),"")</f>
      </c>
      <c r="N33" s="79">
        <f>IFERROR(VLOOKUP($A:$A,CS!$A:$AK,19,FALSE),"")</f>
      </c>
      <c r="O33" s="79">
        <f>IFERROR(VLOOKUP($A:$A,CS!$A:$AK,23,FALSE),"")</f>
      </c>
      <c r="P33" s="79">
        <f>IFERROR(VLOOKUP($A:$A,CS!$A:$AK,24,FALSE),"")</f>
      </c>
      <c r="Q33" s="79">
        <f>IFERROR(VLOOKUP($A:$A,CS!$A:$AK,25,FALSE),"")</f>
      </c>
      <c r="R33" s="79">
        <f>IFERROR(VLOOKUP($A:$A,CS!$A:$AK,26,FALSE),"")</f>
      </c>
      <c r="S33" s="79">
        <f>IFERROR(VLOOKUP($A:$A,CS!$A:$AK,29,FALSE),"")</f>
      </c>
      <c r="T33" s="79">
        <f>IFERROR(VLOOKUP($A:$A,CS!$A:$AK,33,FALSE),"")</f>
      </c>
      <c r="U33" s="79">
        <f>IFERROR(VLOOKUP($A:$A,CS!$A:$AK,34,FALSE),"")</f>
      </c>
      <c r="V33" s="79">
        <f>IFERROR(VLOOKUP($A:$A,CS!$A:$AK,35,FALSE),"")</f>
      </c>
      <c r="W33" s="79">
        <f>IFERROR(VLOOKUP($A:$A,CS!$A:$AK,36,FALSE),"")</f>
      </c>
    </row>
    <row r="34" ht="16.5" customHeight="1" spans="1:23" x14ac:dyDescent="0.25">
      <c r="A34" s="93"/>
      <c r="B34" s="79">
        <f>IFERROR(VLOOKUP($A:$A,CS!$A:$AK,3,FALSE),"")</f>
      </c>
      <c r="C34" s="79">
        <f>IFERROR(VLOOKUP($A:$A,CS!$A:$AK,4,FALSE),"")</f>
      </c>
      <c r="D34" s="79">
        <f>IFERROR(VLOOKUP($A:$A,CS!$A:$AK,5,FALSE),"")</f>
      </c>
      <c r="E34" s="79">
        <f>IFERROR(VLOOKUP($A:$A,CS!$A:$AK,7,FALSE),"")</f>
      </c>
      <c r="F34" s="79">
        <f>IFERROR(VLOOKUP($A:$A,CS!$A:$AK,8,FALSE),"")</f>
      </c>
      <c r="G34" s="79">
        <f>IFERROR(VLOOKUP($A:$A,CS!$A:$AK,10,FALSE),"")</f>
      </c>
      <c r="H34" s="79">
        <f>IFERROR(VLOOKUP($A:$A,CS!$A:$AK,14,FALSE),"")</f>
      </c>
      <c r="I34" s="79">
        <f>IFERROR(VLOOKUP($A:$A,CS!$A:$AK,15,FALSE),"")</f>
      </c>
      <c r="J34" s="79">
        <f>IFERROR(VLOOKUP($A:$A,CS!$A:$AK,18,FALSE),"")</f>
      </c>
      <c r="K34" s="79">
        <f>IFERROR(VLOOKUP($A:$A,CS!$A:$AK,19,FALSE),"")</f>
      </c>
      <c r="L34" s="79">
        <f>IFERROR(VLOOKUP($A:$A,CS!$A:$AK,20,FALSE),"")</f>
      </c>
      <c r="M34" s="79">
        <f>IFERROR(VLOOKUP($A:$A,CS!$A:$AK,22,FALSE),"")</f>
      </c>
      <c r="N34" s="79">
        <f>IFERROR(VLOOKUP($A:$A,CS!$A:$AK,19,FALSE),"")</f>
      </c>
      <c r="O34" s="79">
        <f>IFERROR(VLOOKUP($A:$A,CS!$A:$AK,23,FALSE),"")</f>
      </c>
      <c r="P34" s="79">
        <f>IFERROR(VLOOKUP($A:$A,CS!$A:$AK,24,FALSE),"")</f>
      </c>
      <c r="Q34" s="79">
        <f>IFERROR(VLOOKUP($A:$A,CS!$A:$AK,25,FALSE),"")</f>
      </c>
      <c r="R34" s="79">
        <f>IFERROR(VLOOKUP($A:$A,CS!$A:$AK,26,FALSE),"")</f>
      </c>
      <c r="S34" s="79">
        <f>IFERROR(VLOOKUP($A:$A,CS!$A:$AK,29,FALSE),"")</f>
      </c>
      <c r="T34" s="79">
        <f>IFERROR(VLOOKUP($A:$A,CS!$A:$AK,33,FALSE),"")</f>
      </c>
      <c r="U34" s="79">
        <f>IFERROR(VLOOKUP($A:$A,CS!$A:$AK,34,FALSE),"")</f>
      </c>
      <c r="V34" s="79">
        <f>IFERROR(VLOOKUP($A:$A,CS!$A:$AK,35,FALSE),"")</f>
      </c>
      <c r="W34" s="79">
        <f>IFERROR(VLOOKUP($A:$A,CS!$A:$AK,36,FALSE),"")</f>
      </c>
    </row>
    <row r="35" ht="16.5" customHeight="1" spans="1:23" x14ac:dyDescent="0.25">
      <c r="A35" s="93"/>
      <c r="B35" s="79">
        <f>IFERROR(VLOOKUP($A:$A,CS!$A:$AK,3,FALSE),"")</f>
      </c>
      <c r="C35" s="79">
        <f>IFERROR(VLOOKUP($A:$A,CS!$A:$AK,4,FALSE),"")</f>
      </c>
      <c r="D35" s="79">
        <f>IFERROR(VLOOKUP($A:$A,CS!$A:$AK,5,FALSE),"")</f>
      </c>
      <c r="E35" s="79">
        <f>IFERROR(VLOOKUP($A:$A,CS!$A:$AK,7,FALSE),"")</f>
      </c>
      <c r="F35" s="79">
        <f>IFERROR(VLOOKUP($A:$A,CS!$A:$AK,8,FALSE),"")</f>
      </c>
      <c r="G35" s="79">
        <f>IFERROR(VLOOKUP($A:$A,CS!$A:$AK,10,FALSE),"")</f>
      </c>
      <c r="H35" s="79">
        <f>IFERROR(VLOOKUP($A:$A,CS!$A:$AK,14,FALSE),"")</f>
      </c>
      <c r="I35" s="79">
        <f>IFERROR(VLOOKUP($A:$A,CS!$A:$AK,15,FALSE),"")</f>
      </c>
      <c r="J35" s="79">
        <f>IFERROR(VLOOKUP($A:$A,CS!$A:$AK,18,FALSE),"")</f>
      </c>
      <c r="K35" s="79">
        <f>IFERROR(VLOOKUP($A:$A,CS!$A:$AK,19,FALSE),"")</f>
      </c>
      <c r="L35" s="79">
        <f>IFERROR(VLOOKUP($A:$A,CS!$A:$AK,20,FALSE),"")</f>
      </c>
      <c r="M35" s="79">
        <f>IFERROR(VLOOKUP($A:$A,CS!$A:$AK,22,FALSE),"")</f>
      </c>
      <c r="N35" s="79">
        <f>IFERROR(VLOOKUP($A:$A,CS!$A:$AK,19,FALSE),"")</f>
      </c>
      <c r="O35" s="79">
        <f>IFERROR(VLOOKUP($A:$A,CS!$A:$AK,23,FALSE),"")</f>
      </c>
      <c r="P35" s="79">
        <f>IFERROR(VLOOKUP($A:$A,CS!$A:$AK,24,FALSE),"")</f>
      </c>
      <c r="Q35" s="79">
        <f>IFERROR(VLOOKUP($A:$A,CS!$A:$AK,25,FALSE),"")</f>
      </c>
      <c r="R35" s="79">
        <f>IFERROR(VLOOKUP($A:$A,CS!$A:$AK,26,FALSE),"")</f>
      </c>
      <c r="S35" s="79">
        <f>IFERROR(VLOOKUP($A:$A,CS!$A:$AK,29,FALSE),"")</f>
      </c>
      <c r="T35" s="79">
        <f>IFERROR(VLOOKUP($A:$A,CS!$A:$AK,33,FALSE),"")</f>
      </c>
      <c r="U35" s="79">
        <f>IFERROR(VLOOKUP($A:$A,CS!$A:$AK,34,FALSE),"")</f>
      </c>
      <c r="V35" s="79">
        <f>IFERROR(VLOOKUP($A:$A,CS!$A:$AK,35,FALSE),"")</f>
      </c>
      <c r="W35" s="79">
        <f>IFERROR(VLOOKUP($A:$A,CS!$A:$AK,36,FALSE),"")</f>
      </c>
    </row>
    <row r="36" ht="16.5" customHeight="1" spans="1:23" x14ac:dyDescent="0.25">
      <c r="A36" s="93"/>
      <c r="B36" s="79">
        <f>IFERROR(VLOOKUP($A:$A,CS!$A:$AK,3,FALSE),"")</f>
      </c>
      <c r="C36" s="79">
        <f>IFERROR(VLOOKUP($A:$A,CS!$A:$AK,4,FALSE),"")</f>
      </c>
      <c r="D36" s="79">
        <f>IFERROR(VLOOKUP($A:$A,CS!$A:$AK,5,FALSE),"")</f>
      </c>
      <c r="E36" s="79">
        <f>IFERROR(VLOOKUP($A:$A,CS!$A:$AK,7,FALSE),"")</f>
      </c>
      <c r="F36" s="79">
        <f>IFERROR(VLOOKUP($A:$A,CS!$A:$AK,8,FALSE),"")</f>
      </c>
      <c r="G36" s="79">
        <f>IFERROR(VLOOKUP($A:$A,CS!$A:$AK,10,FALSE),"")</f>
      </c>
      <c r="H36" s="79">
        <f>IFERROR(VLOOKUP($A:$A,CS!$A:$AK,14,FALSE),"")</f>
      </c>
      <c r="I36" s="79">
        <f>IFERROR(VLOOKUP($A:$A,CS!$A:$AK,15,FALSE),"")</f>
      </c>
      <c r="J36" s="79">
        <f>IFERROR(VLOOKUP($A:$A,CS!$A:$AK,18,FALSE),"")</f>
      </c>
      <c r="K36" s="79">
        <f>IFERROR(VLOOKUP($A:$A,CS!$A:$AK,19,FALSE),"")</f>
      </c>
      <c r="L36" s="79">
        <f>IFERROR(VLOOKUP($A:$A,CS!$A:$AK,20,FALSE),"")</f>
      </c>
      <c r="M36" s="79">
        <f>IFERROR(VLOOKUP($A:$A,CS!$A:$AK,22,FALSE),"")</f>
      </c>
      <c r="N36" s="79">
        <f>IFERROR(VLOOKUP($A:$A,CS!$A:$AK,19,FALSE),"")</f>
      </c>
      <c r="O36" s="79">
        <f>IFERROR(VLOOKUP($A:$A,CS!$A:$AK,23,FALSE),"")</f>
      </c>
      <c r="P36" s="79">
        <f>IFERROR(VLOOKUP($A:$A,CS!$A:$AK,24,FALSE),"")</f>
      </c>
      <c r="Q36" s="79">
        <f>IFERROR(VLOOKUP($A:$A,CS!$A:$AK,25,FALSE),"")</f>
      </c>
      <c r="R36" s="79">
        <f>IFERROR(VLOOKUP($A:$A,CS!$A:$AK,26,FALSE),"")</f>
      </c>
      <c r="S36" s="79">
        <f>IFERROR(VLOOKUP($A:$A,CS!$A:$AK,29,FALSE),"")</f>
      </c>
      <c r="T36" s="79">
        <f>IFERROR(VLOOKUP($A:$A,CS!$A:$AK,33,FALSE),"")</f>
      </c>
      <c r="U36" s="79">
        <f>IFERROR(VLOOKUP($A:$A,CS!$A:$AK,34,FALSE),"")</f>
      </c>
      <c r="V36" s="79">
        <f>IFERROR(VLOOKUP($A:$A,CS!$A:$AK,35,FALSE),"")</f>
      </c>
      <c r="W36" s="79">
        <f>IFERROR(VLOOKUP($A:$A,CS!$A:$AK,36,FALSE),"")</f>
      </c>
    </row>
    <row r="37" ht="16.5" customHeight="1" spans="1:23" x14ac:dyDescent="0.25">
      <c r="A37" s="93"/>
      <c r="B37" s="79">
        <f>IFERROR(VLOOKUP($A:$A,CS!$A:$AK,3,FALSE),"")</f>
      </c>
      <c r="C37" s="79">
        <f>IFERROR(VLOOKUP($A:$A,CS!$A:$AK,4,FALSE),"")</f>
      </c>
      <c r="D37" s="79">
        <f>IFERROR(VLOOKUP($A:$A,CS!$A:$AK,5,FALSE),"")</f>
      </c>
      <c r="E37" s="79">
        <f>IFERROR(VLOOKUP($A:$A,CS!$A:$AK,7,FALSE),"")</f>
      </c>
      <c r="F37" s="79">
        <f>IFERROR(VLOOKUP($A:$A,CS!$A:$AK,8,FALSE),"")</f>
      </c>
      <c r="G37" s="79">
        <f>IFERROR(VLOOKUP($A:$A,CS!$A:$AK,10,FALSE),"")</f>
      </c>
      <c r="H37" s="79">
        <f>IFERROR(VLOOKUP($A:$A,CS!$A:$AK,14,FALSE),"")</f>
      </c>
      <c r="I37" s="79">
        <f>IFERROR(VLOOKUP($A:$A,CS!$A:$AK,15,FALSE),"")</f>
      </c>
      <c r="J37" s="79">
        <f>IFERROR(VLOOKUP($A:$A,CS!$A:$AK,18,FALSE),"")</f>
      </c>
      <c r="K37" s="79">
        <f>IFERROR(VLOOKUP($A:$A,CS!$A:$AK,19,FALSE),"")</f>
      </c>
      <c r="L37" s="79">
        <f>IFERROR(VLOOKUP($A:$A,CS!$A:$AK,20,FALSE),"")</f>
      </c>
      <c r="M37" s="79">
        <f>IFERROR(VLOOKUP($A:$A,CS!$A:$AK,22,FALSE),"")</f>
      </c>
      <c r="N37" s="79">
        <f>IFERROR(VLOOKUP($A:$A,CS!$A:$AK,19,FALSE),"")</f>
      </c>
      <c r="O37" s="79">
        <f>IFERROR(VLOOKUP($A:$A,CS!$A:$AK,23,FALSE),"")</f>
      </c>
      <c r="P37" s="79">
        <f>IFERROR(VLOOKUP($A:$A,CS!$A:$AK,24,FALSE),"")</f>
      </c>
      <c r="Q37" s="79">
        <f>IFERROR(VLOOKUP($A:$A,CS!$A:$AK,25,FALSE),"")</f>
      </c>
      <c r="R37" s="79">
        <f>IFERROR(VLOOKUP($A:$A,CS!$A:$AK,26,FALSE),"")</f>
      </c>
      <c r="S37" s="79">
        <f>IFERROR(VLOOKUP($A:$A,CS!$A:$AK,29,FALSE),"")</f>
      </c>
      <c r="T37" s="79">
        <f>IFERROR(VLOOKUP($A:$A,CS!$A:$AK,33,FALSE),"")</f>
      </c>
      <c r="U37" s="79">
        <f>IFERROR(VLOOKUP($A:$A,CS!$A:$AK,34,FALSE),"")</f>
      </c>
      <c r="V37" s="79">
        <f>IFERROR(VLOOKUP($A:$A,CS!$A:$AK,35,FALSE),"")</f>
      </c>
      <c r="W37" s="79">
        <f>IFERROR(VLOOKUP($A:$A,CS!$A:$AK,36,FALSE),"")</f>
      </c>
    </row>
    <row r="38" ht="16.5" customHeight="1" spans="1:23" x14ac:dyDescent="0.25">
      <c r="A38" s="93"/>
      <c r="B38" s="79">
        <f>IFERROR(VLOOKUP($A:$A,CS!$A:$AK,3,FALSE),"")</f>
      </c>
      <c r="C38" s="79">
        <f>IFERROR(VLOOKUP($A:$A,CS!$A:$AK,4,FALSE),"")</f>
      </c>
      <c r="D38" s="79">
        <f>IFERROR(VLOOKUP($A:$A,CS!$A:$AK,5,FALSE),"")</f>
      </c>
      <c r="E38" s="79">
        <f>IFERROR(VLOOKUP($A:$A,CS!$A:$AK,7,FALSE),"")</f>
      </c>
      <c r="F38" s="79">
        <f>IFERROR(VLOOKUP($A:$A,CS!$A:$AK,8,FALSE),"")</f>
      </c>
      <c r="G38" s="79">
        <f>IFERROR(VLOOKUP($A:$A,CS!$A:$AK,10,FALSE),"")</f>
      </c>
      <c r="H38" s="79">
        <f>IFERROR(VLOOKUP($A:$A,CS!$A:$AK,14,FALSE),"")</f>
      </c>
      <c r="I38" s="79">
        <f>IFERROR(VLOOKUP($A:$A,CS!$A:$AK,15,FALSE),"")</f>
      </c>
      <c r="J38" s="79">
        <f>IFERROR(VLOOKUP($A:$A,CS!$A:$AK,18,FALSE),"")</f>
      </c>
      <c r="K38" s="79">
        <f>IFERROR(VLOOKUP($A:$A,CS!$A:$AK,19,FALSE),"")</f>
      </c>
      <c r="L38" s="79">
        <f>IFERROR(VLOOKUP($A:$A,CS!$A:$AK,20,FALSE),"")</f>
      </c>
      <c r="M38" s="79">
        <f>IFERROR(VLOOKUP($A:$A,CS!$A:$AK,22,FALSE),"")</f>
      </c>
      <c r="N38" s="79">
        <f>IFERROR(VLOOKUP($A:$A,CS!$A:$AK,19,FALSE),"")</f>
      </c>
      <c r="O38" s="79">
        <f>IFERROR(VLOOKUP($A:$A,CS!$A:$AK,23,FALSE),"")</f>
      </c>
      <c r="P38" s="79">
        <f>IFERROR(VLOOKUP($A:$A,CS!$A:$AK,24,FALSE),"")</f>
      </c>
      <c r="Q38" s="79">
        <f>IFERROR(VLOOKUP($A:$A,CS!$A:$AK,25,FALSE),"")</f>
      </c>
      <c r="R38" s="79">
        <f>IFERROR(VLOOKUP($A:$A,CS!$A:$AK,26,FALSE),"")</f>
      </c>
      <c r="S38" s="79">
        <f>IFERROR(VLOOKUP($A:$A,CS!$A:$AK,29,FALSE),"")</f>
      </c>
      <c r="T38" s="79">
        <f>IFERROR(VLOOKUP($A:$A,CS!$A:$AK,33,FALSE),"")</f>
      </c>
      <c r="U38" s="79">
        <f>IFERROR(VLOOKUP($A:$A,CS!$A:$AK,34,FALSE),"")</f>
      </c>
      <c r="V38" s="79">
        <f>IFERROR(VLOOKUP($A:$A,CS!$A:$AK,35,FALSE),"")</f>
      </c>
      <c r="W38" s="79">
        <f>IFERROR(VLOOKUP($A:$A,CS!$A:$AK,36,FALSE),"")</f>
      </c>
    </row>
    <row r="39" ht="16.5" customHeight="1" spans="1:23" x14ac:dyDescent="0.25">
      <c r="A39" s="93"/>
      <c r="B39" s="79">
        <f>IFERROR(VLOOKUP($A:$A,CS!$A:$AK,3,FALSE),"")</f>
      </c>
      <c r="C39" s="79">
        <f>IFERROR(VLOOKUP($A:$A,CS!$A:$AK,4,FALSE),"")</f>
      </c>
      <c r="D39" s="79">
        <f>IFERROR(VLOOKUP($A:$A,CS!$A:$AK,5,FALSE),"")</f>
      </c>
      <c r="E39" s="79">
        <f>IFERROR(VLOOKUP($A:$A,CS!$A:$AK,7,FALSE),"")</f>
      </c>
      <c r="F39" s="79">
        <f>IFERROR(VLOOKUP($A:$A,CS!$A:$AK,8,FALSE),"")</f>
      </c>
      <c r="G39" s="79">
        <f>IFERROR(VLOOKUP($A:$A,CS!$A:$AK,10,FALSE),"")</f>
      </c>
      <c r="H39" s="79">
        <f>IFERROR(VLOOKUP($A:$A,CS!$A:$AK,14,FALSE),"")</f>
      </c>
      <c r="I39" s="79">
        <f>IFERROR(VLOOKUP($A:$A,CS!$A:$AK,15,FALSE),"")</f>
      </c>
      <c r="J39" s="79">
        <f>IFERROR(VLOOKUP($A:$A,CS!$A:$AK,18,FALSE),"")</f>
      </c>
      <c r="K39" s="79">
        <f>IFERROR(VLOOKUP($A:$A,CS!$A:$AK,19,FALSE),"")</f>
      </c>
      <c r="L39" s="79">
        <f>IFERROR(VLOOKUP($A:$A,CS!$A:$AK,20,FALSE),"")</f>
      </c>
      <c r="M39" s="79">
        <f>IFERROR(VLOOKUP($A:$A,CS!$A:$AK,22,FALSE),"")</f>
      </c>
      <c r="N39" s="79">
        <f>IFERROR(VLOOKUP($A:$A,CS!$A:$AK,19,FALSE),"")</f>
      </c>
      <c r="O39" s="79">
        <f>IFERROR(VLOOKUP($A:$A,CS!$A:$AK,23,FALSE),"")</f>
      </c>
      <c r="P39" s="79">
        <f>IFERROR(VLOOKUP($A:$A,CS!$A:$AK,24,FALSE),"")</f>
      </c>
      <c r="Q39" s="79">
        <f>IFERROR(VLOOKUP($A:$A,CS!$A:$AK,25,FALSE),"")</f>
      </c>
      <c r="R39" s="79">
        <f>IFERROR(VLOOKUP($A:$A,CS!$A:$AK,26,FALSE),"")</f>
      </c>
      <c r="S39" s="79">
        <f>IFERROR(VLOOKUP($A:$A,CS!$A:$AK,29,FALSE),"")</f>
      </c>
      <c r="T39" s="79">
        <f>IFERROR(VLOOKUP($A:$A,CS!$A:$AK,33,FALSE),"")</f>
      </c>
      <c r="U39" s="79">
        <f>IFERROR(VLOOKUP($A:$A,CS!$A:$AK,34,FALSE),"")</f>
      </c>
      <c r="V39" s="79">
        <f>IFERROR(VLOOKUP($A:$A,CS!$A:$AK,35,FALSE),"")</f>
      </c>
      <c r="W39" s="79">
        <f>IFERROR(VLOOKUP($A:$A,CS!$A:$AK,36,FALSE),"")</f>
      </c>
    </row>
    <row r="40" ht="16.5" customHeight="1" spans="1:23" x14ac:dyDescent="0.25">
      <c r="A40" s="93"/>
      <c r="B40" s="79">
        <f>IFERROR(VLOOKUP($A:$A,CS!$A:$AK,3,FALSE),"")</f>
      </c>
      <c r="C40" s="79">
        <f>IFERROR(VLOOKUP($A:$A,CS!$A:$AK,4,FALSE),"")</f>
      </c>
      <c r="D40" s="79">
        <f>IFERROR(VLOOKUP($A:$A,CS!$A:$AK,5,FALSE),"")</f>
      </c>
      <c r="E40" s="79">
        <f>IFERROR(VLOOKUP($A:$A,CS!$A:$AK,7,FALSE),"")</f>
      </c>
      <c r="F40" s="79">
        <f>IFERROR(VLOOKUP($A:$A,CS!$A:$AK,8,FALSE),"")</f>
      </c>
      <c r="G40" s="79">
        <f>IFERROR(VLOOKUP($A:$A,CS!$A:$AK,10,FALSE),"")</f>
      </c>
      <c r="H40" s="79">
        <f>IFERROR(VLOOKUP($A:$A,CS!$A:$AK,14,FALSE),"")</f>
      </c>
      <c r="I40" s="79">
        <f>IFERROR(VLOOKUP($A:$A,CS!$A:$AK,15,FALSE),"")</f>
      </c>
      <c r="J40" s="79">
        <f>IFERROR(VLOOKUP($A:$A,CS!$A:$AK,18,FALSE),"")</f>
      </c>
      <c r="K40" s="79">
        <f>IFERROR(VLOOKUP($A:$A,CS!$A:$AK,19,FALSE),"")</f>
      </c>
      <c r="L40" s="79">
        <f>IFERROR(VLOOKUP($A:$A,CS!$A:$AK,20,FALSE),"")</f>
      </c>
      <c r="M40" s="79">
        <f>IFERROR(VLOOKUP($A:$A,CS!$A:$AK,22,FALSE),"")</f>
      </c>
      <c r="N40" s="79">
        <f>IFERROR(VLOOKUP($A:$A,CS!$A:$AK,19,FALSE),"")</f>
      </c>
      <c r="O40" s="79">
        <f>IFERROR(VLOOKUP($A:$A,CS!$A:$AK,23,FALSE),"")</f>
      </c>
      <c r="P40" s="79">
        <f>IFERROR(VLOOKUP($A:$A,CS!$A:$AK,24,FALSE),"")</f>
      </c>
      <c r="Q40" s="79">
        <f>IFERROR(VLOOKUP($A:$A,CS!$A:$AK,25,FALSE),"")</f>
      </c>
      <c r="R40" s="79">
        <f>IFERROR(VLOOKUP($A:$A,CS!$A:$AK,26,FALSE),"")</f>
      </c>
      <c r="S40" s="79">
        <f>IFERROR(VLOOKUP($A:$A,CS!$A:$AK,29,FALSE),"")</f>
      </c>
      <c r="T40" s="79">
        <f>IFERROR(VLOOKUP($A:$A,CS!$A:$AK,33,FALSE),"")</f>
      </c>
      <c r="U40" s="79">
        <f>IFERROR(VLOOKUP($A:$A,CS!$A:$AK,34,FALSE),"")</f>
      </c>
      <c r="V40" s="79">
        <f>IFERROR(VLOOKUP($A:$A,CS!$A:$AK,35,FALSE),"")</f>
      </c>
      <c r="W40" s="79">
        <f>IFERROR(VLOOKUP($A:$A,CS!$A:$AK,36,FALSE),"")</f>
      </c>
    </row>
    <row r="41" ht="16.5" customHeight="1" spans="1:23" x14ac:dyDescent="0.25">
      <c r="A41" s="93"/>
      <c r="B41" s="79">
        <f>IFERROR(VLOOKUP($A:$A,CS!$A:$AK,3,FALSE),"")</f>
      </c>
      <c r="C41" s="79">
        <f>IFERROR(VLOOKUP($A:$A,CS!$A:$AK,4,FALSE),"")</f>
      </c>
      <c r="D41" s="79">
        <f>IFERROR(VLOOKUP($A:$A,CS!$A:$AK,5,FALSE),"")</f>
      </c>
      <c r="E41" s="79">
        <f>IFERROR(VLOOKUP($A:$A,CS!$A:$AK,7,FALSE),"")</f>
      </c>
      <c r="F41" s="79">
        <f>IFERROR(VLOOKUP($A:$A,CS!$A:$AK,8,FALSE),"")</f>
      </c>
      <c r="G41" s="79">
        <f>IFERROR(VLOOKUP($A:$A,CS!$A:$AK,10,FALSE),"")</f>
      </c>
      <c r="H41" s="79">
        <f>IFERROR(VLOOKUP($A:$A,CS!$A:$AK,14,FALSE),"")</f>
      </c>
      <c r="I41" s="79">
        <f>IFERROR(VLOOKUP($A:$A,CS!$A:$AK,15,FALSE),"")</f>
      </c>
      <c r="J41" s="79">
        <f>IFERROR(VLOOKUP($A:$A,CS!$A:$AK,18,FALSE),"")</f>
      </c>
      <c r="K41" s="79">
        <f>IFERROR(VLOOKUP($A:$A,CS!$A:$AK,19,FALSE),"")</f>
      </c>
      <c r="L41" s="79">
        <f>IFERROR(VLOOKUP($A:$A,CS!$A:$AK,20,FALSE),"")</f>
      </c>
      <c r="M41" s="79">
        <f>IFERROR(VLOOKUP($A:$A,CS!$A:$AK,22,FALSE),"")</f>
      </c>
      <c r="N41" s="79">
        <f>IFERROR(VLOOKUP($A:$A,CS!$A:$AK,19,FALSE),"")</f>
      </c>
      <c r="O41" s="79">
        <f>IFERROR(VLOOKUP($A:$A,CS!$A:$AK,23,FALSE),"")</f>
      </c>
      <c r="P41" s="79">
        <f>IFERROR(VLOOKUP($A:$A,CS!$A:$AK,24,FALSE),"")</f>
      </c>
      <c r="Q41" s="79">
        <f>IFERROR(VLOOKUP($A:$A,CS!$A:$AK,25,FALSE),"")</f>
      </c>
      <c r="R41" s="79">
        <f>IFERROR(VLOOKUP($A:$A,CS!$A:$AK,26,FALSE),"")</f>
      </c>
      <c r="S41" s="79">
        <f>IFERROR(VLOOKUP($A:$A,CS!$A:$AK,29,FALSE),"")</f>
      </c>
      <c r="T41" s="79">
        <f>IFERROR(VLOOKUP($A:$A,CS!$A:$AK,33,FALSE),"")</f>
      </c>
      <c r="U41" s="79">
        <f>IFERROR(VLOOKUP($A:$A,CS!$A:$AK,34,FALSE),"")</f>
      </c>
      <c r="V41" s="79">
        <f>IFERROR(VLOOKUP($A:$A,CS!$A:$AK,35,FALSE),"")</f>
      </c>
      <c r="W41" s="79">
        <f>IFERROR(VLOOKUP($A:$A,CS!$A:$AK,36,FALSE),"")</f>
      </c>
    </row>
    <row r="42" ht="16.5" customHeight="1" spans="1:23" x14ac:dyDescent="0.25">
      <c r="A42" s="93"/>
      <c r="B42" s="79">
        <f>IFERROR(VLOOKUP($A:$A,CS!$A:$AK,3,FALSE),"")</f>
      </c>
      <c r="C42" s="79">
        <f>IFERROR(VLOOKUP($A:$A,CS!$A:$AK,4,FALSE),"")</f>
      </c>
      <c r="D42" s="79">
        <f>IFERROR(VLOOKUP($A:$A,CS!$A:$AK,5,FALSE),"")</f>
      </c>
      <c r="E42" s="79">
        <f>IFERROR(VLOOKUP($A:$A,CS!$A:$AK,7,FALSE),"")</f>
      </c>
      <c r="F42" s="79">
        <f>IFERROR(VLOOKUP($A:$A,CS!$A:$AK,8,FALSE),"")</f>
      </c>
      <c r="G42" s="79">
        <f>IFERROR(VLOOKUP($A:$A,CS!$A:$AK,10,FALSE),"")</f>
      </c>
      <c r="H42" s="79">
        <f>IFERROR(VLOOKUP($A:$A,CS!$A:$AK,14,FALSE),"")</f>
      </c>
      <c r="I42" s="79">
        <f>IFERROR(VLOOKUP($A:$A,CS!$A:$AK,15,FALSE),"")</f>
      </c>
      <c r="J42" s="79">
        <f>IFERROR(VLOOKUP($A:$A,CS!$A:$AK,18,FALSE),"")</f>
      </c>
      <c r="K42" s="79">
        <f>IFERROR(VLOOKUP($A:$A,CS!$A:$AK,19,FALSE),"")</f>
      </c>
      <c r="L42" s="79">
        <f>IFERROR(VLOOKUP($A:$A,CS!$A:$AK,20,FALSE),"")</f>
      </c>
      <c r="M42" s="79">
        <f>IFERROR(VLOOKUP($A:$A,CS!$A:$AK,22,FALSE),"")</f>
      </c>
      <c r="N42" s="79">
        <f>IFERROR(VLOOKUP($A:$A,CS!$A:$AK,19,FALSE),"")</f>
      </c>
      <c r="O42" s="79">
        <f>IFERROR(VLOOKUP($A:$A,CS!$A:$AK,23,FALSE),"")</f>
      </c>
      <c r="P42" s="79">
        <f>IFERROR(VLOOKUP($A:$A,CS!$A:$AK,24,FALSE),"")</f>
      </c>
      <c r="Q42" s="79">
        <f>IFERROR(VLOOKUP($A:$A,CS!$A:$AK,25,FALSE),"")</f>
      </c>
      <c r="R42" s="79">
        <f>IFERROR(VLOOKUP($A:$A,CS!$A:$AK,26,FALSE),"")</f>
      </c>
      <c r="S42" s="79">
        <f>IFERROR(VLOOKUP($A:$A,CS!$A:$AK,29,FALSE),"")</f>
      </c>
      <c r="T42" s="79">
        <f>IFERROR(VLOOKUP($A:$A,CS!$A:$AK,33,FALSE),"")</f>
      </c>
      <c r="U42" s="79">
        <f>IFERROR(VLOOKUP($A:$A,CS!$A:$AK,34,FALSE),"")</f>
      </c>
      <c r="V42" s="79">
        <f>IFERROR(VLOOKUP($A:$A,CS!$A:$AK,35,FALSE),"")</f>
      </c>
      <c r="W42" s="79">
        <f>IFERROR(VLOOKUP($A:$A,CS!$A:$AK,36,FALSE),"")</f>
      </c>
    </row>
    <row r="43" ht="16.5" customHeight="1" spans="1:23" x14ac:dyDescent="0.25">
      <c r="A43" s="93"/>
      <c r="B43" s="79">
        <f>IFERROR(VLOOKUP($A:$A,CS!$A:$AK,3,FALSE),"")</f>
      </c>
      <c r="C43" s="79">
        <f>IFERROR(VLOOKUP($A:$A,CS!$A:$AK,4,FALSE),"")</f>
      </c>
      <c r="D43" s="79">
        <f>IFERROR(VLOOKUP($A:$A,CS!$A:$AK,5,FALSE),"")</f>
      </c>
      <c r="E43" s="79">
        <f>IFERROR(VLOOKUP($A:$A,CS!$A:$AK,7,FALSE),"")</f>
      </c>
      <c r="F43" s="79">
        <f>IFERROR(VLOOKUP($A:$A,CS!$A:$AK,8,FALSE),"")</f>
      </c>
      <c r="G43" s="79">
        <f>IFERROR(VLOOKUP($A:$A,CS!$A:$AK,10,FALSE),"")</f>
      </c>
      <c r="H43" s="79">
        <f>IFERROR(VLOOKUP($A:$A,CS!$A:$AK,14,FALSE),"")</f>
      </c>
      <c r="I43" s="79">
        <f>IFERROR(VLOOKUP($A:$A,CS!$A:$AK,15,FALSE),"")</f>
      </c>
      <c r="J43" s="79">
        <f>IFERROR(VLOOKUP($A:$A,CS!$A:$AK,18,FALSE),"")</f>
      </c>
      <c r="K43" s="79">
        <f>IFERROR(VLOOKUP($A:$A,CS!$A:$AK,19,FALSE),"")</f>
      </c>
      <c r="L43" s="79">
        <f>IFERROR(VLOOKUP($A:$A,CS!$A:$AK,20,FALSE),"")</f>
      </c>
      <c r="M43" s="79">
        <f>IFERROR(VLOOKUP($A:$A,CS!$A:$AK,22,FALSE),"")</f>
      </c>
      <c r="N43" s="79">
        <f>IFERROR(VLOOKUP($A:$A,CS!$A:$AK,19,FALSE),"")</f>
      </c>
      <c r="O43" s="79">
        <f>IFERROR(VLOOKUP($A:$A,CS!$A:$AK,23,FALSE),"")</f>
      </c>
      <c r="P43" s="79">
        <f>IFERROR(VLOOKUP($A:$A,CS!$A:$AK,24,FALSE),"")</f>
      </c>
      <c r="Q43" s="79">
        <f>IFERROR(VLOOKUP($A:$A,CS!$A:$AK,25,FALSE),"")</f>
      </c>
      <c r="R43" s="79">
        <f>IFERROR(VLOOKUP($A:$A,CS!$A:$AK,26,FALSE),"")</f>
      </c>
      <c r="S43" s="79">
        <f>IFERROR(VLOOKUP($A:$A,CS!$A:$AK,29,FALSE),"")</f>
      </c>
      <c r="T43" s="79">
        <f>IFERROR(VLOOKUP($A:$A,CS!$A:$AK,33,FALSE),"")</f>
      </c>
      <c r="U43" s="79">
        <f>IFERROR(VLOOKUP($A:$A,CS!$A:$AK,34,FALSE),"")</f>
      </c>
      <c r="V43" s="79">
        <f>IFERROR(VLOOKUP($A:$A,CS!$A:$AK,35,FALSE),"")</f>
      </c>
      <c r="W43" s="79">
        <f>IFERROR(VLOOKUP($A:$A,CS!$A:$AK,36,FALSE),"")</f>
      </c>
    </row>
    <row r="44" ht="16.5" customHeight="1" spans="1:23" x14ac:dyDescent="0.25">
      <c r="A44" s="93"/>
      <c r="B44" s="79">
        <f>IFERROR(VLOOKUP($A:$A,CS!$A:$AK,3,FALSE),"")</f>
      </c>
      <c r="C44" s="79">
        <f>IFERROR(VLOOKUP($A:$A,CS!$A:$AK,4,FALSE),"")</f>
      </c>
      <c r="D44" s="79">
        <f>IFERROR(VLOOKUP($A:$A,CS!$A:$AK,5,FALSE),"")</f>
      </c>
      <c r="E44" s="79">
        <f>IFERROR(VLOOKUP($A:$A,CS!$A:$AK,7,FALSE),"")</f>
      </c>
      <c r="F44" s="79">
        <f>IFERROR(VLOOKUP($A:$A,CS!$A:$AK,8,FALSE),"")</f>
      </c>
      <c r="G44" s="79">
        <f>IFERROR(VLOOKUP($A:$A,CS!$A:$AK,10,FALSE),"")</f>
      </c>
      <c r="H44" s="79">
        <f>IFERROR(VLOOKUP($A:$A,CS!$A:$AK,14,FALSE),"")</f>
      </c>
      <c r="I44" s="79">
        <f>IFERROR(VLOOKUP($A:$A,CS!$A:$AK,15,FALSE),"")</f>
      </c>
      <c r="J44" s="79">
        <f>IFERROR(VLOOKUP($A:$A,CS!$A:$AK,18,FALSE),"")</f>
      </c>
      <c r="K44" s="79">
        <f>IFERROR(VLOOKUP($A:$A,CS!$A:$AK,19,FALSE),"")</f>
      </c>
      <c r="L44" s="79">
        <f>IFERROR(VLOOKUP($A:$A,CS!$A:$AK,20,FALSE),"")</f>
      </c>
      <c r="M44" s="79">
        <f>IFERROR(VLOOKUP($A:$A,CS!$A:$AK,22,FALSE),"")</f>
      </c>
      <c r="N44" s="79">
        <f>IFERROR(VLOOKUP($A:$A,CS!$A:$AK,19,FALSE),"")</f>
      </c>
      <c r="O44" s="79">
        <f>IFERROR(VLOOKUP($A:$A,CS!$A:$AK,23,FALSE),"")</f>
      </c>
      <c r="P44" s="79">
        <f>IFERROR(VLOOKUP($A:$A,CS!$A:$AK,24,FALSE),"")</f>
      </c>
      <c r="Q44" s="79">
        <f>IFERROR(VLOOKUP($A:$A,CS!$A:$AK,25,FALSE),"")</f>
      </c>
      <c r="R44" s="79">
        <f>IFERROR(VLOOKUP($A:$A,CS!$A:$AK,26,FALSE),"")</f>
      </c>
      <c r="S44" s="79">
        <f>IFERROR(VLOOKUP($A:$A,CS!$A:$AK,29,FALSE),"")</f>
      </c>
      <c r="T44" s="79">
        <f>IFERROR(VLOOKUP($A:$A,CS!$A:$AK,33,FALSE),"")</f>
      </c>
      <c r="U44" s="79">
        <f>IFERROR(VLOOKUP($A:$A,CS!$A:$AK,34,FALSE),"")</f>
      </c>
      <c r="V44" s="79">
        <f>IFERROR(VLOOKUP($A:$A,CS!$A:$AK,35,FALSE),"")</f>
      </c>
      <c r="W44" s="79">
        <f>IFERROR(VLOOKUP($A:$A,CS!$A:$AK,36,FALSE),"")</f>
      </c>
    </row>
    <row r="45" ht="16.5" customHeight="1" spans="1:23" x14ac:dyDescent="0.25">
      <c r="A45" s="93"/>
      <c r="B45" s="79">
        <f>IFERROR(VLOOKUP($A:$A,CS!$A:$AK,3,FALSE),"")</f>
      </c>
      <c r="C45" s="79">
        <f>IFERROR(VLOOKUP($A:$A,CS!$A:$AK,4,FALSE),"")</f>
      </c>
      <c r="D45" s="79">
        <f>IFERROR(VLOOKUP($A:$A,CS!$A:$AK,5,FALSE),"")</f>
      </c>
      <c r="E45" s="79">
        <f>IFERROR(VLOOKUP($A:$A,CS!$A:$AK,7,FALSE),"")</f>
      </c>
      <c r="F45" s="79">
        <f>IFERROR(VLOOKUP($A:$A,CS!$A:$AK,8,FALSE),"")</f>
      </c>
      <c r="G45" s="79">
        <f>IFERROR(VLOOKUP($A:$A,CS!$A:$AK,10,FALSE),"")</f>
      </c>
      <c r="H45" s="79">
        <f>IFERROR(VLOOKUP($A:$A,CS!$A:$AK,14,FALSE),"")</f>
      </c>
      <c r="I45" s="79">
        <f>IFERROR(VLOOKUP($A:$A,CS!$A:$AK,15,FALSE),"")</f>
      </c>
      <c r="J45" s="79">
        <f>IFERROR(VLOOKUP($A:$A,CS!$A:$AK,18,FALSE),"")</f>
      </c>
      <c r="K45" s="79">
        <f>IFERROR(VLOOKUP($A:$A,CS!$A:$AK,19,FALSE),"")</f>
      </c>
      <c r="L45" s="79">
        <f>IFERROR(VLOOKUP($A:$A,CS!$A:$AK,20,FALSE),"")</f>
      </c>
      <c r="M45" s="79">
        <f>IFERROR(VLOOKUP($A:$A,CS!$A:$AK,22,FALSE),"")</f>
      </c>
      <c r="N45" s="79">
        <f>IFERROR(VLOOKUP($A:$A,CS!$A:$AK,19,FALSE),"")</f>
      </c>
      <c r="O45" s="79">
        <f>IFERROR(VLOOKUP($A:$A,CS!$A:$AK,23,FALSE),"")</f>
      </c>
      <c r="P45" s="79">
        <f>IFERROR(VLOOKUP($A:$A,CS!$A:$AK,24,FALSE),"")</f>
      </c>
      <c r="Q45" s="79">
        <f>IFERROR(VLOOKUP($A:$A,CS!$A:$AK,25,FALSE),"")</f>
      </c>
      <c r="R45" s="79">
        <f>IFERROR(VLOOKUP($A:$A,CS!$A:$AK,26,FALSE),"")</f>
      </c>
      <c r="S45" s="79">
        <f>IFERROR(VLOOKUP($A:$A,CS!$A:$AK,29,FALSE),"")</f>
      </c>
      <c r="T45" s="79">
        <f>IFERROR(VLOOKUP($A:$A,CS!$A:$AK,33,FALSE),"")</f>
      </c>
      <c r="U45" s="79">
        <f>IFERROR(VLOOKUP($A:$A,CS!$A:$AK,34,FALSE),"")</f>
      </c>
      <c r="V45" s="79">
        <f>IFERROR(VLOOKUP($A:$A,CS!$A:$AK,35,FALSE),"")</f>
      </c>
      <c r="W45" s="79">
        <f>IFERROR(VLOOKUP($A:$A,CS!$A:$AK,36,FALSE),"")</f>
      </c>
    </row>
    <row r="46" ht="16.5" customHeight="1" spans="1:23" x14ac:dyDescent="0.25">
      <c r="A46" s="93"/>
      <c r="B46" s="79">
        <f>IFERROR(VLOOKUP($A:$A,CS!$A:$AK,3,FALSE),"")</f>
      </c>
      <c r="C46" s="79">
        <f>IFERROR(VLOOKUP($A:$A,CS!$A:$AK,4,FALSE),"")</f>
      </c>
      <c r="D46" s="79">
        <f>IFERROR(VLOOKUP($A:$A,CS!$A:$AK,5,FALSE),"")</f>
      </c>
      <c r="E46" s="79">
        <f>IFERROR(VLOOKUP($A:$A,CS!$A:$AK,7,FALSE),"")</f>
      </c>
      <c r="F46" s="79">
        <f>IFERROR(VLOOKUP($A:$A,CS!$A:$AK,8,FALSE),"")</f>
      </c>
      <c r="G46" s="79">
        <f>IFERROR(VLOOKUP($A:$A,CS!$A:$AK,10,FALSE),"")</f>
      </c>
      <c r="H46" s="79">
        <f>IFERROR(VLOOKUP($A:$A,CS!$A:$AK,14,FALSE),"")</f>
      </c>
      <c r="I46" s="79">
        <f>IFERROR(VLOOKUP($A:$A,CS!$A:$AK,15,FALSE),"")</f>
      </c>
      <c r="J46" s="79">
        <f>IFERROR(VLOOKUP($A:$A,CS!$A:$AK,18,FALSE),"")</f>
      </c>
      <c r="K46" s="79">
        <f>IFERROR(VLOOKUP($A:$A,CS!$A:$AK,19,FALSE),"")</f>
      </c>
      <c r="L46" s="79">
        <f>IFERROR(VLOOKUP($A:$A,CS!$A:$AK,20,FALSE),"")</f>
      </c>
      <c r="M46" s="79">
        <f>IFERROR(VLOOKUP($A:$A,CS!$A:$AK,22,FALSE),"")</f>
      </c>
      <c r="N46" s="79">
        <f>IFERROR(VLOOKUP($A:$A,CS!$A:$AK,19,FALSE),"")</f>
      </c>
      <c r="O46" s="79">
        <f>IFERROR(VLOOKUP($A:$A,CS!$A:$AK,23,FALSE),"")</f>
      </c>
      <c r="P46" s="79">
        <f>IFERROR(VLOOKUP($A:$A,CS!$A:$AK,24,FALSE),"")</f>
      </c>
      <c r="Q46" s="79">
        <f>IFERROR(VLOOKUP($A:$A,CS!$A:$AK,25,FALSE),"")</f>
      </c>
      <c r="R46" s="79">
        <f>IFERROR(VLOOKUP($A:$A,CS!$A:$AK,26,FALSE),"")</f>
      </c>
      <c r="S46" s="79">
        <f>IFERROR(VLOOKUP($A:$A,CS!$A:$AK,29,FALSE),"")</f>
      </c>
      <c r="T46" s="79">
        <f>IFERROR(VLOOKUP($A:$A,CS!$A:$AK,33,FALSE),"")</f>
      </c>
      <c r="U46" s="79">
        <f>IFERROR(VLOOKUP($A:$A,CS!$A:$AK,34,FALSE),"")</f>
      </c>
      <c r="V46" s="79">
        <f>IFERROR(VLOOKUP($A:$A,CS!$A:$AK,35,FALSE),"")</f>
      </c>
      <c r="W46" s="79">
        <f>IFERROR(VLOOKUP($A:$A,CS!$A:$AK,36,FALSE),"")</f>
      </c>
    </row>
    <row r="47" ht="16.5" customHeight="1" spans="1:23" x14ac:dyDescent="0.25">
      <c r="A47" s="93"/>
      <c r="B47" s="79">
        <f>IFERROR(VLOOKUP($A:$A,CS!$A:$AK,3,FALSE),"")</f>
      </c>
      <c r="C47" s="79">
        <f>IFERROR(VLOOKUP($A:$A,CS!$A:$AK,4,FALSE),"")</f>
      </c>
      <c r="D47" s="79">
        <f>IFERROR(VLOOKUP($A:$A,CS!$A:$AK,5,FALSE),"")</f>
      </c>
      <c r="E47" s="79">
        <f>IFERROR(VLOOKUP($A:$A,CS!$A:$AK,7,FALSE),"")</f>
      </c>
      <c r="F47" s="79">
        <f>IFERROR(VLOOKUP($A:$A,CS!$A:$AK,8,FALSE),"")</f>
      </c>
      <c r="G47" s="79">
        <f>IFERROR(VLOOKUP($A:$A,CS!$A:$AK,10,FALSE),"")</f>
      </c>
      <c r="H47" s="79">
        <f>IFERROR(VLOOKUP($A:$A,CS!$A:$AK,14,FALSE),"")</f>
      </c>
      <c r="I47" s="79">
        <f>IFERROR(VLOOKUP($A:$A,CS!$A:$AK,15,FALSE),"")</f>
      </c>
      <c r="J47" s="79">
        <f>IFERROR(VLOOKUP($A:$A,CS!$A:$AK,18,FALSE),"")</f>
      </c>
      <c r="K47" s="79">
        <f>IFERROR(VLOOKUP($A:$A,CS!$A:$AK,19,FALSE),"")</f>
      </c>
      <c r="L47" s="79">
        <f>IFERROR(VLOOKUP($A:$A,CS!$A:$AK,20,FALSE),"")</f>
      </c>
      <c r="M47" s="79">
        <f>IFERROR(VLOOKUP($A:$A,CS!$A:$AK,22,FALSE),"")</f>
      </c>
      <c r="N47" s="79">
        <f>IFERROR(VLOOKUP($A:$A,CS!$A:$AK,19,FALSE),"")</f>
      </c>
      <c r="O47" s="79">
        <f>IFERROR(VLOOKUP($A:$A,CS!$A:$AK,23,FALSE),"")</f>
      </c>
      <c r="P47" s="79">
        <f>IFERROR(VLOOKUP($A:$A,CS!$A:$AK,24,FALSE),"")</f>
      </c>
      <c r="Q47" s="79">
        <f>IFERROR(VLOOKUP($A:$A,CS!$A:$AK,25,FALSE),"")</f>
      </c>
      <c r="R47" s="79">
        <f>IFERROR(VLOOKUP($A:$A,CS!$A:$AK,26,FALSE),"")</f>
      </c>
      <c r="S47" s="79">
        <f>IFERROR(VLOOKUP($A:$A,CS!$A:$AK,29,FALSE),"")</f>
      </c>
      <c r="T47" s="79">
        <f>IFERROR(VLOOKUP($A:$A,CS!$A:$AK,33,FALSE),"")</f>
      </c>
      <c r="U47" s="79">
        <f>IFERROR(VLOOKUP($A:$A,CS!$A:$AK,34,FALSE),"")</f>
      </c>
      <c r="V47" s="79">
        <f>IFERROR(VLOOKUP($A:$A,CS!$A:$AK,35,FALSE),"")</f>
      </c>
      <c r="W47" s="79">
        <f>IFERROR(VLOOKUP($A:$A,CS!$A:$AK,36,FALSE),"")</f>
      </c>
    </row>
    <row r="48" ht="16.5" customHeight="1" spans="1:23" x14ac:dyDescent="0.25">
      <c r="A48" s="93"/>
      <c r="B48" s="79">
        <f>IFERROR(VLOOKUP($A:$A,CS!$A:$AK,3,FALSE),"")</f>
      </c>
      <c r="C48" s="79">
        <f>IFERROR(VLOOKUP($A:$A,CS!$A:$AK,4,FALSE),"")</f>
      </c>
      <c r="D48" s="79">
        <f>IFERROR(VLOOKUP($A:$A,CS!$A:$AK,5,FALSE),"")</f>
      </c>
      <c r="E48" s="79">
        <f>IFERROR(VLOOKUP($A:$A,CS!$A:$AK,7,FALSE),"")</f>
      </c>
      <c r="F48" s="79">
        <f>IFERROR(VLOOKUP($A:$A,CS!$A:$AK,8,FALSE),"")</f>
      </c>
      <c r="G48" s="79">
        <f>IFERROR(VLOOKUP($A:$A,CS!$A:$AK,10,FALSE),"")</f>
      </c>
      <c r="H48" s="79">
        <f>IFERROR(VLOOKUP($A:$A,CS!$A:$AK,14,FALSE),"")</f>
      </c>
      <c r="I48" s="79">
        <f>IFERROR(VLOOKUP($A:$A,CS!$A:$AK,15,FALSE),"")</f>
      </c>
      <c r="J48" s="79">
        <f>IFERROR(VLOOKUP($A:$A,CS!$A:$AK,18,FALSE),"")</f>
      </c>
      <c r="K48" s="79">
        <f>IFERROR(VLOOKUP($A:$A,CS!$A:$AK,19,FALSE),"")</f>
      </c>
      <c r="L48" s="79">
        <f>IFERROR(VLOOKUP($A:$A,CS!$A:$AK,20,FALSE),"")</f>
      </c>
      <c r="M48" s="79">
        <f>IFERROR(VLOOKUP($A:$A,CS!$A:$AK,22,FALSE),"")</f>
      </c>
      <c r="N48" s="79">
        <f>IFERROR(VLOOKUP($A:$A,CS!$A:$AK,19,FALSE),"")</f>
      </c>
      <c r="O48" s="79">
        <f>IFERROR(VLOOKUP($A:$A,CS!$A:$AK,23,FALSE),"")</f>
      </c>
      <c r="P48" s="79">
        <f>IFERROR(VLOOKUP($A:$A,CS!$A:$AK,24,FALSE),"")</f>
      </c>
      <c r="Q48" s="79">
        <f>IFERROR(VLOOKUP($A:$A,CS!$A:$AK,25,FALSE),"")</f>
      </c>
      <c r="R48" s="79">
        <f>IFERROR(VLOOKUP($A:$A,CS!$A:$AK,26,FALSE),"")</f>
      </c>
      <c r="S48" s="79">
        <f>IFERROR(VLOOKUP($A:$A,CS!$A:$AK,29,FALSE),"")</f>
      </c>
      <c r="T48" s="79">
        <f>IFERROR(VLOOKUP($A:$A,CS!$A:$AK,33,FALSE),"")</f>
      </c>
      <c r="U48" s="79">
        <f>IFERROR(VLOOKUP($A:$A,CS!$A:$AK,34,FALSE),"")</f>
      </c>
      <c r="V48" s="79">
        <f>IFERROR(VLOOKUP($A:$A,CS!$A:$AK,35,FALSE),"")</f>
      </c>
      <c r="W48" s="79">
        <f>IFERROR(VLOOKUP($A:$A,CS!$A:$AK,36,FALSE),"")</f>
      </c>
    </row>
    <row r="49" ht="16.5" customHeight="1" spans="1:23" x14ac:dyDescent="0.25">
      <c r="A49" s="93"/>
      <c r="B49" s="79">
        <f>IFERROR(VLOOKUP($A:$A,CS!$A:$AK,3,FALSE),"")</f>
      </c>
      <c r="C49" s="79">
        <f>IFERROR(VLOOKUP($A:$A,CS!$A:$AK,4,FALSE),"")</f>
      </c>
      <c r="D49" s="79">
        <f>IFERROR(VLOOKUP($A:$A,CS!$A:$AK,5,FALSE),"")</f>
      </c>
      <c r="E49" s="79">
        <f>IFERROR(VLOOKUP($A:$A,CS!$A:$AK,7,FALSE),"")</f>
      </c>
      <c r="F49" s="79">
        <f>IFERROR(VLOOKUP($A:$A,CS!$A:$AK,8,FALSE),"")</f>
      </c>
      <c r="G49" s="79">
        <f>IFERROR(VLOOKUP($A:$A,CS!$A:$AK,10,FALSE),"")</f>
      </c>
      <c r="H49" s="79">
        <f>IFERROR(VLOOKUP($A:$A,CS!$A:$AK,14,FALSE),"")</f>
      </c>
      <c r="I49" s="79">
        <f>IFERROR(VLOOKUP($A:$A,CS!$A:$AK,15,FALSE),"")</f>
      </c>
      <c r="J49" s="79">
        <f>IFERROR(VLOOKUP($A:$A,CS!$A:$AK,18,FALSE),"")</f>
      </c>
      <c r="K49" s="79">
        <f>IFERROR(VLOOKUP($A:$A,CS!$A:$AK,19,FALSE),"")</f>
      </c>
      <c r="L49" s="79">
        <f>IFERROR(VLOOKUP($A:$A,CS!$A:$AK,20,FALSE),"")</f>
      </c>
      <c r="M49" s="79">
        <f>IFERROR(VLOOKUP($A:$A,CS!$A:$AK,22,FALSE),"")</f>
      </c>
      <c r="N49" s="79">
        <f>IFERROR(VLOOKUP($A:$A,CS!$A:$AK,19,FALSE),"")</f>
      </c>
      <c r="O49" s="79">
        <f>IFERROR(VLOOKUP($A:$A,CS!$A:$AK,23,FALSE),"")</f>
      </c>
      <c r="P49" s="79">
        <f>IFERROR(VLOOKUP($A:$A,CS!$A:$AK,24,FALSE),"")</f>
      </c>
      <c r="Q49" s="79">
        <f>IFERROR(VLOOKUP($A:$A,CS!$A:$AK,25,FALSE),"")</f>
      </c>
      <c r="R49" s="79">
        <f>IFERROR(VLOOKUP($A:$A,CS!$A:$AK,26,FALSE),"")</f>
      </c>
      <c r="S49" s="79">
        <f>IFERROR(VLOOKUP($A:$A,CS!$A:$AK,29,FALSE),"")</f>
      </c>
      <c r="T49" s="79">
        <f>IFERROR(VLOOKUP($A:$A,CS!$A:$AK,33,FALSE),"")</f>
      </c>
      <c r="U49" s="79">
        <f>IFERROR(VLOOKUP($A:$A,CS!$A:$AK,34,FALSE),"")</f>
      </c>
      <c r="V49" s="79">
        <f>IFERROR(VLOOKUP($A:$A,CS!$A:$AK,35,FALSE),"")</f>
      </c>
      <c r="W49" s="79">
        <f>IFERROR(VLOOKUP($A:$A,CS!$A:$AK,36,FALSE),"")</f>
      </c>
    </row>
    <row r="50" ht="16.5" customHeight="1" spans="1:23" x14ac:dyDescent="0.25">
      <c r="A50" s="93"/>
      <c r="B50" s="79">
        <f>IFERROR(VLOOKUP($A:$A,CS!$A:$AK,3,FALSE),"")</f>
      </c>
      <c r="C50" s="79">
        <f>IFERROR(VLOOKUP($A:$A,CS!$A:$AK,4,FALSE),"")</f>
      </c>
      <c r="D50" s="79">
        <f>IFERROR(VLOOKUP($A:$A,CS!$A:$AK,5,FALSE),"")</f>
      </c>
      <c r="E50" s="79">
        <f>IFERROR(VLOOKUP($A:$A,CS!$A:$AK,7,FALSE),"")</f>
      </c>
      <c r="F50" s="79">
        <f>IFERROR(VLOOKUP($A:$A,CS!$A:$AK,8,FALSE),"")</f>
      </c>
      <c r="G50" s="79">
        <f>IFERROR(VLOOKUP($A:$A,CS!$A:$AK,10,FALSE),"")</f>
      </c>
      <c r="H50" s="79">
        <f>IFERROR(VLOOKUP($A:$A,CS!$A:$AK,14,FALSE),"")</f>
      </c>
      <c r="I50" s="79">
        <f>IFERROR(VLOOKUP($A:$A,CS!$A:$AK,15,FALSE),"")</f>
      </c>
      <c r="J50" s="79">
        <f>IFERROR(VLOOKUP($A:$A,CS!$A:$AK,18,FALSE),"")</f>
      </c>
      <c r="K50" s="79">
        <f>IFERROR(VLOOKUP($A:$A,CS!$A:$AK,19,FALSE),"")</f>
      </c>
      <c r="L50" s="79">
        <f>IFERROR(VLOOKUP($A:$A,CS!$A:$AK,20,FALSE),"")</f>
      </c>
      <c r="M50" s="79">
        <f>IFERROR(VLOOKUP($A:$A,CS!$A:$AK,22,FALSE),"")</f>
      </c>
      <c r="N50" s="79">
        <f>IFERROR(VLOOKUP($A:$A,CS!$A:$AK,19,FALSE),"")</f>
      </c>
      <c r="O50" s="79">
        <f>IFERROR(VLOOKUP($A:$A,CS!$A:$AK,23,FALSE),"")</f>
      </c>
      <c r="P50" s="79">
        <f>IFERROR(VLOOKUP($A:$A,CS!$A:$AK,24,FALSE),"")</f>
      </c>
      <c r="Q50" s="79">
        <f>IFERROR(VLOOKUP($A:$A,CS!$A:$AK,25,FALSE),"")</f>
      </c>
      <c r="R50" s="79">
        <f>IFERROR(VLOOKUP($A:$A,CS!$A:$AK,26,FALSE),"")</f>
      </c>
      <c r="S50" s="79">
        <f>IFERROR(VLOOKUP($A:$A,CS!$A:$AK,29,FALSE),"")</f>
      </c>
      <c r="T50" s="79">
        <f>IFERROR(VLOOKUP($A:$A,CS!$A:$AK,33,FALSE),"")</f>
      </c>
      <c r="U50" s="79">
        <f>IFERROR(VLOOKUP($A:$A,CS!$A:$AK,34,FALSE),"")</f>
      </c>
      <c r="V50" s="79">
        <f>IFERROR(VLOOKUP($A:$A,CS!$A:$AK,35,FALSE),"")</f>
      </c>
      <c r="W50" s="79">
        <f>IFERROR(VLOOKUP($A:$A,CS!$A:$AK,36,FALSE),"")</f>
      </c>
    </row>
    <row r="51" ht="16.5" customHeight="1" spans="1:23" x14ac:dyDescent="0.25">
      <c r="A51" s="93"/>
      <c r="B51" s="79">
        <f>IFERROR(VLOOKUP($A:$A,CS!$A:$AK,3,FALSE),"")</f>
      </c>
      <c r="C51" s="79">
        <f>IFERROR(VLOOKUP($A:$A,CS!$A:$AK,4,FALSE),"")</f>
      </c>
      <c r="D51" s="79">
        <f>IFERROR(VLOOKUP($A:$A,CS!$A:$AK,5,FALSE),"")</f>
      </c>
      <c r="E51" s="79">
        <f>IFERROR(VLOOKUP($A:$A,CS!$A:$AK,7,FALSE),"")</f>
      </c>
      <c r="F51" s="79">
        <f>IFERROR(VLOOKUP($A:$A,CS!$A:$AK,8,FALSE),"")</f>
      </c>
      <c r="G51" s="79">
        <f>IFERROR(VLOOKUP($A:$A,CS!$A:$AK,10,FALSE),"")</f>
      </c>
      <c r="H51" s="79">
        <f>IFERROR(VLOOKUP($A:$A,CS!$A:$AK,14,FALSE),"")</f>
      </c>
      <c r="I51" s="79">
        <f>IFERROR(VLOOKUP($A:$A,CS!$A:$AK,15,FALSE),"")</f>
      </c>
      <c r="J51" s="79">
        <f>IFERROR(VLOOKUP($A:$A,CS!$A:$AK,18,FALSE),"")</f>
      </c>
      <c r="K51" s="79">
        <f>IFERROR(VLOOKUP($A:$A,CS!$A:$AK,19,FALSE),"")</f>
      </c>
      <c r="L51" s="79">
        <f>IFERROR(VLOOKUP($A:$A,CS!$A:$AK,20,FALSE),"")</f>
      </c>
      <c r="M51" s="79">
        <f>IFERROR(VLOOKUP($A:$A,CS!$A:$AK,22,FALSE),"")</f>
      </c>
      <c r="N51" s="79">
        <f>IFERROR(VLOOKUP($A:$A,CS!$A:$AK,19,FALSE),"")</f>
      </c>
      <c r="O51" s="79">
        <f>IFERROR(VLOOKUP($A:$A,CS!$A:$AK,23,FALSE),"")</f>
      </c>
      <c r="P51" s="79">
        <f>IFERROR(VLOOKUP($A:$A,CS!$A:$AK,24,FALSE),"")</f>
      </c>
      <c r="Q51" s="79">
        <f>IFERROR(VLOOKUP($A:$A,CS!$A:$AK,25,FALSE),"")</f>
      </c>
      <c r="R51" s="79">
        <f>IFERROR(VLOOKUP($A:$A,CS!$A:$AK,26,FALSE),"")</f>
      </c>
      <c r="S51" s="79">
        <f>IFERROR(VLOOKUP($A:$A,CS!$A:$AK,29,FALSE),"")</f>
      </c>
      <c r="T51" s="79">
        <f>IFERROR(VLOOKUP($A:$A,CS!$A:$AK,33,FALSE),"")</f>
      </c>
      <c r="U51" s="79">
        <f>IFERROR(VLOOKUP($A:$A,CS!$A:$AK,34,FALSE),"")</f>
      </c>
      <c r="V51" s="79">
        <f>IFERROR(VLOOKUP($A:$A,CS!$A:$AK,35,FALSE),"")</f>
      </c>
      <c r="W51" s="79">
        <f>IFERROR(VLOOKUP($A:$A,CS!$A:$AK,36,FALSE),"")</f>
      </c>
    </row>
    <row r="52" ht="16.5" customHeight="1" spans="1:23" x14ac:dyDescent="0.25">
      <c r="A52" s="93"/>
      <c r="B52" s="79">
        <f>IFERROR(VLOOKUP($A:$A,CS!$A:$AK,3,FALSE),"")</f>
      </c>
      <c r="C52" s="79">
        <f>IFERROR(VLOOKUP($A:$A,CS!$A:$AK,4,FALSE),"")</f>
      </c>
      <c r="D52" s="79">
        <f>IFERROR(VLOOKUP($A:$A,CS!$A:$AK,5,FALSE),"")</f>
      </c>
      <c r="E52" s="79">
        <f>IFERROR(VLOOKUP($A:$A,CS!$A:$AK,7,FALSE),"")</f>
      </c>
      <c r="F52" s="79">
        <f>IFERROR(VLOOKUP($A:$A,CS!$A:$AK,8,FALSE),"")</f>
      </c>
      <c r="G52" s="79">
        <f>IFERROR(VLOOKUP($A:$A,CS!$A:$AK,10,FALSE),"")</f>
      </c>
      <c r="H52" s="79">
        <f>IFERROR(VLOOKUP($A:$A,CS!$A:$AK,14,FALSE),"")</f>
      </c>
      <c r="I52" s="79">
        <f>IFERROR(VLOOKUP($A:$A,CS!$A:$AK,15,FALSE),"")</f>
      </c>
      <c r="J52" s="79">
        <f>IFERROR(VLOOKUP($A:$A,CS!$A:$AK,18,FALSE),"")</f>
      </c>
      <c r="K52" s="79">
        <f>IFERROR(VLOOKUP($A:$A,CS!$A:$AK,19,FALSE),"")</f>
      </c>
      <c r="L52" s="79">
        <f>IFERROR(VLOOKUP($A:$A,CS!$A:$AK,20,FALSE),"")</f>
      </c>
      <c r="M52" s="79">
        <f>IFERROR(VLOOKUP($A:$A,CS!$A:$AK,22,FALSE),"")</f>
      </c>
      <c r="N52" s="79">
        <f>IFERROR(VLOOKUP($A:$A,CS!$A:$AK,19,FALSE),"")</f>
      </c>
      <c r="O52" s="79">
        <f>IFERROR(VLOOKUP($A:$A,CS!$A:$AK,23,FALSE),"")</f>
      </c>
      <c r="P52" s="79">
        <f>IFERROR(VLOOKUP($A:$A,CS!$A:$AK,24,FALSE),"")</f>
      </c>
      <c r="Q52" s="79">
        <f>IFERROR(VLOOKUP($A:$A,CS!$A:$AK,25,FALSE),"")</f>
      </c>
      <c r="R52" s="79">
        <f>IFERROR(VLOOKUP($A:$A,CS!$A:$AK,26,FALSE),"")</f>
      </c>
      <c r="S52" s="79">
        <f>IFERROR(VLOOKUP($A:$A,CS!$A:$AK,29,FALSE),"")</f>
      </c>
      <c r="T52" s="79">
        <f>IFERROR(VLOOKUP($A:$A,CS!$A:$AK,33,FALSE),"")</f>
      </c>
      <c r="U52" s="79">
        <f>IFERROR(VLOOKUP($A:$A,CS!$A:$AK,34,FALSE),"")</f>
      </c>
      <c r="V52" s="79">
        <f>IFERROR(VLOOKUP($A:$A,CS!$A:$AK,35,FALSE),"")</f>
      </c>
      <c r="W52" s="79">
        <f>IFERROR(VLOOKUP($A:$A,CS!$A:$AK,36,FALSE),"")</f>
      </c>
    </row>
    <row r="53" ht="16.5" customHeight="1" spans="1:23" x14ac:dyDescent="0.25">
      <c r="A53" s="93"/>
      <c r="B53" s="79">
        <f>IFERROR(VLOOKUP($A:$A,CS!$A:$AK,3,FALSE),"")</f>
      </c>
      <c r="C53" s="79">
        <f>IFERROR(VLOOKUP($A:$A,CS!$A:$AK,4,FALSE),"")</f>
      </c>
      <c r="D53" s="79">
        <f>IFERROR(VLOOKUP($A:$A,CS!$A:$AK,5,FALSE),"")</f>
      </c>
      <c r="E53" s="79">
        <f>IFERROR(VLOOKUP($A:$A,CS!$A:$AK,7,FALSE),"")</f>
      </c>
      <c r="F53" s="79">
        <f>IFERROR(VLOOKUP($A:$A,CS!$A:$AK,8,FALSE),"")</f>
      </c>
      <c r="G53" s="79">
        <f>IFERROR(VLOOKUP($A:$A,CS!$A:$AK,10,FALSE),"")</f>
      </c>
      <c r="H53" s="79">
        <f>IFERROR(VLOOKUP($A:$A,CS!$A:$AK,14,FALSE),"")</f>
      </c>
      <c r="I53" s="79">
        <f>IFERROR(VLOOKUP($A:$A,CS!$A:$AK,15,FALSE),"")</f>
      </c>
      <c r="J53" s="79">
        <f>IFERROR(VLOOKUP($A:$A,CS!$A:$AK,18,FALSE),"")</f>
      </c>
      <c r="K53" s="79">
        <f>IFERROR(VLOOKUP($A:$A,CS!$A:$AK,19,FALSE),"")</f>
      </c>
      <c r="L53" s="79">
        <f>IFERROR(VLOOKUP($A:$A,CS!$A:$AK,20,FALSE),"")</f>
      </c>
      <c r="M53" s="79">
        <f>IFERROR(VLOOKUP($A:$A,CS!$A:$AK,22,FALSE),"")</f>
      </c>
      <c r="N53" s="79">
        <f>IFERROR(VLOOKUP($A:$A,CS!$A:$AK,19,FALSE),"")</f>
      </c>
      <c r="O53" s="79">
        <f>IFERROR(VLOOKUP($A:$A,CS!$A:$AK,23,FALSE),"")</f>
      </c>
      <c r="P53" s="79">
        <f>IFERROR(VLOOKUP($A:$A,CS!$A:$AK,24,FALSE),"")</f>
      </c>
      <c r="Q53" s="79">
        <f>IFERROR(VLOOKUP($A:$A,CS!$A:$AK,25,FALSE),"")</f>
      </c>
      <c r="R53" s="79">
        <f>IFERROR(VLOOKUP($A:$A,CS!$A:$AK,26,FALSE),"")</f>
      </c>
      <c r="S53" s="79">
        <f>IFERROR(VLOOKUP($A:$A,CS!$A:$AK,29,FALSE),"")</f>
      </c>
      <c r="T53" s="79">
        <f>IFERROR(VLOOKUP($A:$A,CS!$A:$AK,33,FALSE),"")</f>
      </c>
      <c r="U53" s="79">
        <f>IFERROR(VLOOKUP($A:$A,CS!$A:$AK,34,FALSE),"")</f>
      </c>
      <c r="V53" s="79">
        <f>IFERROR(VLOOKUP($A:$A,CS!$A:$AK,35,FALSE),"")</f>
      </c>
      <c r="W53" s="79">
        <f>IFERROR(VLOOKUP($A:$A,CS!$A:$AK,36,FALSE),"")</f>
      </c>
    </row>
    <row r="54" ht="16.5" customHeight="1" spans="1:23" x14ac:dyDescent="0.25">
      <c r="A54" s="93"/>
      <c r="B54" s="79">
        <f>IFERROR(VLOOKUP($A:$A,CS!$A:$AK,3,FALSE),"")</f>
      </c>
      <c r="C54" s="79">
        <f>IFERROR(VLOOKUP($A:$A,CS!$A:$AK,4,FALSE),"")</f>
      </c>
      <c r="D54" s="79">
        <f>IFERROR(VLOOKUP($A:$A,CS!$A:$AK,5,FALSE),"")</f>
      </c>
      <c r="E54" s="79">
        <f>IFERROR(VLOOKUP($A:$A,CS!$A:$AK,7,FALSE),"")</f>
      </c>
      <c r="F54" s="79">
        <f>IFERROR(VLOOKUP($A:$A,CS!$A:$AK,8,FALSE),"")</f>
      </c>
      <c r="G54" s="79">
        <f>IFERROR(VLOOKUP($A:$A,CS!$A:$AK,10,FALSE),"")</f>
      </c>
      <c r="H54" s="79">
        <f>IFERROR(VLOOKUP($A:$A,CS!$A:$AK,14,FALSE),"")</f>
      </c>
      <c r="I54" s="79">
        <f>IFERROR(VLOOKUP($A:$A,CS!$A:$AK,15,FALSE),"")</f>
      </c>
      <c r="J54" s="79">
        <f>IFERROR(VLOOKUP($A:$A,CS!$A:$AK,18,FALSE),"")</f>
      </c>
      <c r="K54" s="79">
        <f>IFERROR(VLOOKUP($A:$A,CS!$A:$AK,19,FALSE),"")</f>
      </c>
      <c r="L54" s="79">
        <f>IFERROR(VLOOKUP($A:$A,CS!$A:$AK,20,FALSE),"")</f>
      </c>
      <c r="M54" s="79">
        <f>IFERROR(VLOOKUP($A:$A,CS!$A:$AK,22,FALSE),"")</f>
      </c>
      <c r="N54" s="79">
        <f>IFERROR(VLOOKUP($A:$A,CS!$A:$AK,19,FALSE),"")</f>
      </c>
      <c r="O54" s="79">
        <f>IFERROR(VLOOKUP($A:$A,CS!$A:$AK,23,FALSE),"")</f>
      </c>
      <c r="P54" s="79">
        <f>IFERROR(VLOOKUP($A:$A,CS!$A:$AK,24,FALSE),"")</f>
      </c>
      <c r="Q54" s="79">
        <f>IFERROR(VLOOKUP($A:$A,CS!$A:$AK,25,FALSE),"")</f>
      </c>
      <c r="R54" s="79">
        <f>IFERROR(VLOOKUP($A:$A,CS!$A:$AK,26,FALSE),"")</f>
      </c>
      <c r="S54" s="79">
        <f>IFERROR(VLOOKUP($A:$A,CS!$A:$AK,29,FALSE),"")</f>
      </c>
      <c r="T54" s="79">
        <f>IFERROR(VLOOKUP($A:$A,CS!$A:$AK,33,FALSE),"")</f>
      </c>
      <c r="U54" s="79">
        <f>IFERROR(VLOOKUP($A:$A,CS!$A:$AK,34,FALSE),"")</f>
      </c>
      <c r="V54" s="79">
        <f>IFERROR(VLOOKUP($A:$A,CS!$A:$AK,35,FALSE),"")</f>
      </c>
      <c r="W54" s="79">
        <f>IFERROR(VLOOKUP($A:$A,CS!$A:$AK,36,FALSE),"")</f>
      </c>
    </row>
    <row r="55" ht="16.5" customHeight="1" spans="1:23" x14ac:dyDescent="0.25">
      <c r="A55" s="93"/>
      <c r="B55" s="79">
        <f>IFERROR(VLOOKUP($A:$A,CS!$A:$AK,3,FALSE),"")</f>
      </c>
      <c r="C55" s="79">
        <f>IFERROR(VLOOKUP($A:$A,CS!$A:$AK,4,FALSE),"")</f>
      </c>
      <c r="D55" s="79">
        <f>IFERROR(VLOOKUP($A:$A,CS!$A:$AK,5,FALSE),"")</f>
      </c>
      <c r="E55" s="79">
        <f>IFERROR(VLOOKUP($A:$A,CS!$A:$AK,7,FALSE),"")</f>
      </c>
      <c r="F55" s="79">
        <f>IFERROR(VLOOKUP($A:$A,CS!$A:$AK,8,FALSE),"")</f>
      </c>
      <c r="G55" s="79">
        <f>IFERROR(VLOOKUP($A:$A,CS!$A:$AK,10,FALSE),"")</f>
      </c>
      <c r="H55" s="79">
        <f>IFERROR(VLOOKUP($A:$A,CS!$A:$AK,14,FALSE),"")</f>
      </c>
      <c r="I55" s="79">
        <f>IFERROR(VLOOKUP($A:$A,CS!$A:$AK,15,FALSE),"")</f>
      </c>
      <c r="J55" s="79">
        <f>IFERROR(VLOOKUP($A:$A,CS!$A:$AK,18,FALSE),"")</f>
      </c>
      <c r="K55" s="79">
        <f>IFERROR(VLOOKUP($A:$A,CS!$A:$AK,19,FALSE),"")</f>
      </c>
      <c r="L55" s="79">
        <f>IFERROR(VLOOKUP($A:$A,CS!$A:$AK,20,FALSE),"")</f>
      </c>
      <c r="M55" s="79">
        <f>IFERROR(VLOOKUP($A:$A,CS!$A:$AK,22,FALSE),"")</f>
      </c>
      <c r="N55" s="79">
        <f>IFERROR(VLOOKUP($A:$A,CS!$A:$AK,19,FALSE),"")</f>
      </c>
      <c r="O55" s="79">
        <f>IFERROR(VLOOKUP($A:$A,CS!$A:$AK,23,FALSE),"")</f>
      </c>
      <c r="P55" s="79">
        <f>IFERROR(VLOOKUP($A:$A,CS!$A:$AK,24,FALSE),"")</f>
      </c>
      <c r="Q55" s="79">
        <f>IFERROR(VLOOKUP($A:$A,CS!$A:$AK,25,FALSE),"")</f>
      </c>
      <c r="R55" s="79">
        <f>IFERROR(VLOOKUP($A:$A,CS!$A:$AK,26,FALSE),"")</f>
      </c>
      <c r="S55" s="79">
        <f>IFERROR(VLOOKUP($A:$A,CS!$A:$AK,29,FALSE),"")</f>
      </c>
      <c r="T55" s="79">
        <f>IFERROR(VLOOKUP($A:$A,CS!$A:$AK,33,FALSE),"")</f>
      </c>
      <c r="U55" s="79">
        <f>IFERROR(VLOOKUP($A:$A,CS!$A:$AK,34,FALSE),"")</f>
      </c>
      <c r="V55" s="79">
        <f>IFERROR(VLOOKUP($A:$A,CS!$A:$AK,35,FALSE),"")</f>
      </c>
      <c r="W55" s="79">
        <f>IFERROR(VLOOKUP($A:$A,CS!$A:$AK,36,FALSE),"")</f>
      </c>
    </row>
    <row r="56" ht="16.5" customHeight="1" spans="1:23" x14ac:dyDescent="0.25">
      <c r="A56" s="93"/>
      <c r="B56" s="79">
        <f>IFERROR(VLOOKUP($A:$A,CS!$A:$AK,3,FALSE),"")</f>
      </c>
      <c r="C56" s="79">
        <f>IFERROR(VLOOKUP($A:$A,CS!$A:$AK,4,FALSE),"")</f>
      </c>
      <c r="D56" s="79">
        <f>IFERROR(VLOOKUP($A:$A,CS!$A:$AK,5,FALSE),"")</f>
      </c>
      <c r="E56" s="79">
        <f>IFERROR(VLOOKUP($A:$A,CS!$A:$AK,7,FALSE),"")</f>
      </c>
      <c r="F56" s="79">
        <f>IFERROR(VLOOKUP($A:$A,CS!$A:$AK,8,FALSE),"")</f>
      </c>
      <c r="G56" s="79">
        <f>IFERROR(VLOOKUP($A:$A,CS!$A:$AK,10,FALSE),"")</f>
      </c>
      <c r="H56" s="79">
        <f>IFERROR(VLOOKUP($A:$A,CS!$A:$AK,14,FALSE),"")</f>
      </c>
      <c r="I56" s="79">
        <f>IFERROR(VLOOKUP($A:$A,CS!$A:$AK,15,FALSE),"")</f>
      </c>
      <c r="J56" s="79">
        <f>IFERROR(VLOOKUP($A:$A,CS!$A:$AK,18,FALSE),"")</f>
      </c>
      <c r="K56" s="79">
        <f>IFERROR(VLOOKUP($A:$A,CS!$A:$AK,19,FALSE),"")</f>
      </c>
      <c r="L56" s="79">
        <f>IFERROR(VLOOKUP($A:$A,CS!$A:$AK,20,FALSE),"")</f>
      </c>
      <c r="M56" s="79">
        <f>IFERROR(VLOOKUP($A:$A,CS!$A:$AK,22,FALSE),"")</f>
      </c>
      <c r="N56" s="79">
        <f>IFERROR(VLOOKUP($A:$A,CS!$A:$AK,19,FALSE),"")</f>
      </c>
      <c r="O56" s="79">
        <f>IFERROR(VLOOKUP($A:$A,CS!$A:$AK,23,FALSE),"")</f>
      </c>
      <c r="P56" s="79">
        <f>IFERROR(VLOOKUP($A:$A,CS!$A:$AK,24,FALSE),"")</f>
      </c>
      <c r="Q56" s="79">
        <f>IFERROR(VLOOKUP($A:$A,CS!$A:$AK,25,FALSE),"")</f>
      </c>
      <c r="R56" s="79">
        <f>IFERROR(VLOOKUP($A:$A,CS!$A:$AK,26,FALSE),"")</f>
      </c>
      <c r="S56" s="79">
        <f>IFERROR(VLOOKUP($A:$A,CS!$A:$AK,29,FALSE),"")</f>
      </c>
      <c r="T56" s="79">
        <f>IFERROR(VLOOKUP($A:$A,CS!$A:$AK,33,FALSE),"")</f>
      </c>
      <c r="U56" s="79">
        <f>IFERROR(VLOOKUP($A:$A,CS!$A:$AK,34,FALSE),"")</f>
      </c>
      <c r="V56" s="79">
        <f>IFERROR(VLOOKUP($A:$A,CS!$A:$AK,35,FALSE),"")</f>
      </c>
      <c r="W56" s="79">
        <f>IFERROR(VLOOKUP($A:$A,CS!$A:$AK,36,FALSE),"")</f>
      </c>
    </row>
    <row r="57" ht="16.5" customHeight="1" spans="1:23" x14ac:dyDescent="0.25">
      <c r="A57" s="93"/>
      <c r="B57" s="79">
        <f>IFERROR(VLOOKUP($A:$A,CS!$A:$AK,3,FALSE),"")</f>
      </c>
      <c r="C57" s="79">
        <f>IFERROR(VLOOKUP($A:$A,CS!$A:$AK,4,FALSE),"")</f>
      </c>
      <c r="D57" s="79">
        <f>IFERROR(VLOOKUP($A:$A,CS!$A:$AK,5,FALSE),"")</f>
      </c>
      <c r="E57" s="79">
        <f>IFERROR(VLOOKUP($A:$A,CS!$A:$AK,7,FALSE),"")</f>
      </c>
      <c r="F57" s="79">
        <f>IFERROR(VLOOKUP($A:$A,CS!$A:$AK,8,FALSE),"")</f>
      </c>
      <c r="G57" s="79">
        <f>IFERROR(VLOOKUP($A:$A,CS!$A:$AK,10,FALSE),"")</f>
      </c>
      <c r="H57" s="79">
        <f>IFERROR(VLOOKUP($A:$A,CS!$A:$AK,14,FALSE),"")</f>
      </c>
      <c r="I57" s="79">
        <f>IFERROR(VLOOKUP($A:$A,CS!$A:$AK,15,FALSE),"")</f>
      </c>
      <c r="J57" s="79">
        <f>IFERROR(VLOOKUP($A:$A,CS!$A:$AK,18,FALSE),"")</f>
      </c>
      <c r="K57" s="79">
        <f>IFERROR(VLOOKUP($A:$A,CS!$A:$AK,19,FALSE),"")</f>
      </c>
      <c r="L57" s="79">
        <f>IFERROR(VLOOKUP($A:$A,CS!$A:$AK,20,FALSE),"")</f>
      </c>
      <c r="M57" s="79">
        <f>IFERROR(VLOOKUP($A:$A,CS!$A:$AK,22,FALSE),"")</f>
      </c>
      <c r="N57" s="79">
        <f>IFERROR(VLOOKUP($A:$A,CS!$A:$AK,19,FALSE),"")</f>
      </c>
      <c r="O57" s="79">
        <f>IFERROR(VLOOKUP($A:$A,CS!$A:$AK,23,FALSE),"")</f>
      </c>
      <c r="P57" s="79">
        <f>IFERROR(VLOOKUP($A:$A,CS!$A:$AK,24,FALSE),"")</f>
      </c>
      <c r="Q57" s="79">
        <f>IFERROR(VLOOKUP($A:$A,CS!$A:$AK,25,FALSE),"")</f>
      </c>
      <c r="R57" s="79">
        <f>IFERROR(VLOOKUP($A:$A,CS!$A:$AK,26,FALSE),"")</f>
      </c>
      <c r="S57" s="79">
        <f>IFERROR(VLOOKUP($A:$A,CS!$A:$AK,29,FALSE),"")</f>
      </c>
      <c r="T57" s="79">
        <f>IFERROR(VLOOKUP($A:$A,CS!$A:$AK,33,FALSE),"")</f>
      </c>
      <c r="U57" s="79">
        <f>IFERROR(VLOOKUP($A:$A,CS!$A:$AK,34,FALSE),"")</f>
      </c>
      <c r="V57" s="79">
        <f>IFERROR(VLOOKUP($A:$A,CS!$A:$AK,35,FALSE),"")</f>
      </c>
      <c r="W57" s="79">
        <f>IFERROR(VLOOKUP($A:$A,CS!$A:$AK,36,FALSE),"")</f>
      </c>
    </row>
    <row r="58" ht="16.5" customHeight="1" spans="1:23" x14ac:dyDescent="0.25">
      <c r="A58" s="93"/>
      <c r="B58" s="79">
        <f>IFERROR(VLOOKUP($A:$A,CS!$A:$AK,3,FALSE),"")</f>
      </c>
      <c r="C58" s="79">
        <f>IFERROR(VLOOKUP($A:$A,CS!$A:$AK,4,FALSE),"")</f>
      </c>
      <c r="D58" s="79">
        <f>IFERROR(VLOOKUP($A:$A,CS!$A:$AK,5,FALSE),"")</f>
      </c>
      <c r="E58" s="79">
        <f>IFERROR(VLOOKUP($A:$A,CS!$A:$AK,7,FALSE),"")</f>
      </c>
      <c r="F58" s="79">
        <f>IFERROR(VLOOKUP($A:$A,CS!$A:$AK,8,FALSE),"")</f>
      </c>
      <c r="G58" s="79">
        <f>IFERROR(VLOOKUP($A:$A,CS!$A:$AK,10,FALSE),"")</f>
      </c>
      <c r="H58" s="79">
        <f>IFERROR(VLOOKUP($A:$A,CS!$A:$AK,14,FALSE),"")</f>
      </c>
      <c r="I58" s="79">
        <f>IFERROR(VLOOKUP($A:$A,CS!$A:$AK,15,FALSE),"")</f>
      </c>
      <c r="J58" s="79">
        <f>IFERROR(VLOOKUP($A:$A,CS!$A:$AK,18,FALSE),"")</f>
      </c>
      <c r="K58" s="79">
        <f>IFERROR(VLOOKUP($A:$A,CS!$A:$AK,19,FALSE),"")</f>
      </c>
      <c r="L58" s="79">
        <f>IFERROR(VLOOKUP($A:$A,CS!$A:$AK,20,FALSE),"")</f>
      </c>
      <c r="M58" s="79">
        <f>IFERROR(VLOOKUP($A:$A,CS!$A:$AK,22,FALSE),"")</f>
      </c>
      <c r="N58" s="79">
        <f>IFERROR(VLOOKUP($A:$A,CS!$A:$AK,19,FALSE),"")</f>
      </c>
      <c r="O58" s="79">
        <f>IFERROR(VLOOKUP($A:$A,CS!$A:$AK,23,FALSE),"")</f>
      </c>
      <c r="P58" s="79">
        <f>IFERROR(VLOOKUP($A:$A,CS!$A:$AK,24,FALSE),"")</f>
      </c>
      <c r="Q58" s="79">
        <f>IFERROR(VLOOKUP($A:$A,CS!$A:$AK,25,FALSE),"")</f>
      </c>
      <c r="R58" s="79">
        <f>IFERROR(VLOOKUP($A:$A,CS!$A:$AK,26,FALSE),"")</f>
      </c>
      <c r="S58" s="79">
        <f>IFERROR(VLOOKUP($A:$A,CS!$A:$AK,29,FALSE),"")</f>
      </c>
      <c r="T58" s="79">
        <f>IFERROR(VLOOKUP($A:$A,CS!$A:$AK,33,FALSE),"")</f>
      </c>
      <c r="U58" s="79">
        <f>IFERROR(VLOOKUP($A:$A,CS!$A:$AK,34,FALSE),"")</f>
      </c>
      <c r="V58" s="79">
        <f>IFERROR(VLOOKUP($A:$A,CS!$A:$AK,35,FALSE),"")</f>
      </c>
      <c r="W58" s="79">
        <f>IFERROR(VLOOKUP($A:$A,CS!$A:$AK,36,FALSE),"")</f>
      </c>
    </row>
    <row r="59" ht="16.5" customHeight="1" spans="1:23" x14ac:dyDescent="0.25">
      <c r="A59" s="93"/>
      <c r="B59" s="79">
        <f>IFERROR(VLOOKUP($A:$A,CS!$A:$AK,3,FALSE),"")</f>
      </c>
      <c r="C59" s="79">
        <f>IFERROR(VLOOKUP($A:$A,CS!$A:$AK,4,FALSE),"")</f>
      </c>
      <c r="D59" s="79">
        <f>IFERROR(VLOOKUP($A:$A,CS!$A:$AK,5,FALSE),"")</f>
      </c>
      <c r="E59" s="79">
        <f>IFERROR(VLOOKUP($A:$A,CS!$A:$AK,7,FALSE),"")</f>
      </c>
      <c r="F59" s="79">
        <f>IFERROR(VLOOKUP($A:$A,CS!$A:$AK,8,FALSE),"")</f>
      </c>
      <c r="G59" s="79">
        <f>IFERROR(VLOOKUP($A:$A,CS!$A:$AK,10,FALSE),"")</f>
      </c>
      <c r="H59" s="79">
        <f>IFERROR(VLOOKUP($A:$A,CS!$A:$AK,14,FALSE),"")</f>
      </c>
      <c r="I59" s="79">
        <f>IFERROR(VLOOKUP($A:$A,CS!$A:$AK,15,FALSE),"")</f>
      </c>
      <c r="J59" s="79">
        <f>IFERROR(VLOOKUP($A:$A,CS!$A:$AK,18,FALSE),"")</f>
      </c>
      <c r="K59" s="79">
        <f>IFERROR(VLOOKUP($A:$A,CS!$A:$AK,19,FALSE),"")</f>
      </c>
      <c r="L59" s="79">
        <f>IFERROR(VLOOKUP($A:$A,CS!$A:$AK,20,FALSE),"")</f>
      </c>
      <c r="M59" s="79">
        <f>IFERROR(VLOOKUP($A:$A,CS!$A:$AK,22,FALSE),"")</f>
      </c>
      <c r="N59" s="79">
        <f>IFERROR(VLOOKUP($A:$A,CS!$A:$AK,19,FALSE),"")</f>
      </c>
      <c r="O59" s="79">
        <f>IFERROR(VLOOKUP($A:$A,CS!$A:$AK,23,FALSE),"")</f>
      </c>
      <c r="P59" s="79">
        <f>IFERROR(VLOOKUP($A:$A,CS!$A:$AK,24,FALSE),"")</f>
      </c>
      <c r="Q59" s="79">
        <f>IFERROR(VLOOKUP($A:$A,CS!$A:$AK,25,FALSE),"")</f>
      </c>
      <c r="R59" s="79">
        <f>IFERROR(VLOOKUP($A:$A,CS!$A:$AK,26,FALSE),"")</f>
      </c>
      <c r="S59" s="79">
        <f>IFERROR(VLOOKUP($A:$A,CS!$A:$AK,29,FALSE),"")</f>
      </c>
      <c r="T59" s="79">
        <f>IFERROR(VLOOKUP($A:$A,CS!$A:$AK,33,FALSE),"")</f>
      </c>
      <c r="U59" s="79">
        <f>IFERROR(VLOOKUP($A:$A,CS!$A:$AK,34,FALSE),"")</f>
      </c>
      <c r="V59" s="79">
        <f>IFERROR(VLOOKUP($A:$A,CS!$A:$AK,35,FALSE),"")</f>
      </c>
      <c r="W59" s="79">
        <f>IFERROR(VLOOKUP($A:$A,CS!$A:$AK,36,FALSE),"")</f>
      </c>
    </row>
    <row r="60" ht="16.5" customHeight="1" spans="1:23" x14ac:dyDescent="0.25">
      <c r="A60" s="93"/>
      <c r="B60" s="79">
        <f>IFERROR(VLOOKUP($A:$A,CS!$A:$AK,3,FALSE),"")</f>
      </c>
      <c r="C60" s="79">
        <f>IFERROR(VLOOKUP($A:$A,CS!$A:$AK,4,FALSE),"")</f>
      </c>
      <c r="D60" s="79">
        <f>IFERROR(VLOOKUP($A:$A,CS!$A:$AK,5,FALSE),"")</f>
      </c>
      <c r="E60" s="79">
        <f>IFERROR(VLOOKUP($A:$A,CS!$A:$AK,7,FALSE),"")</f>
      </c>
      <c r="F60" s="79">
        <f>IFERROR(VLOOKUP($A:$A,CS!$A:$AK,8,FALSE),"")</f>
      </c>
      <c r="G60" s="79">
        <f>IFERROR(VLOOKUP($A:$A,CS!$A:$AK,10,FALSE),"")</f>
      </c>
      <c r="H60" s="79">
        <f>IFERROR(VLOOKUP($A:$A,CS!$A:$AK,14,FALSE),"")</f>
      </c>
      <c r="I60" s="79">
        <f>IFERROR(VLOOKUP($A:$A,CS!$A:$AK,15,FALSE),"")</f>
      </c>
      <c r="J60" s="79">
        <f>IFERROR(VLOOKUP($A:$A,CS!$A:$AK,18,FALSE),"")</f>
      </c>
      <c r="K60" s="79">
        <f>IFERROR(VLOOKUP($A:$A,CS!$A:$AK,19,FALSE),"")</f>
      </c>
      <c r="L60" s="79">
        <f>IFERROR(VLOOKUP($A:$A,CS!$A:$AK,20,FALSE),"")</f>
      </c>
      <c r="M60" s="79">
        <f>IFERROR(VLOOKUP($A:$A,CS!$A:$AK,22,FALSE),"")</f>
      </c>
      <c r="N60" s="79">
        <f>IFERROR(VLOOKUP($A:$A,CS!$A:$AK,19,FALSE),"")</f>
      </c>
      <c r="O60" s="79">
        <f>IFERROR(VLOOKUP($A:$A,CS!$A:$AK,23,FALSE),"")</f>
      </c>
      <c r="P60" s="79">
        <f>IFERROR(VLOOKUP($A:$A,CS!$A:$AK,24,FALSE),"")</f>
      </c>
      <c r="Q60" s="79">
        <f>IFERROR(VLOOKUP($A:$A,CS!$A:$AK,25,FALSE),"")</f>
      </c>
      <c r="R60" s="79">
        <f>IFERROR(VLOOKUP($A:$A,CS!$A:$AK,26,FALSE),"")</f>
      </c>
      <c r="S60" s="79">
        <f>IFERROR(VLOOKUP($A:$A,CS!$A:$AK,29,FALSE),"")</f>
      </c>
      <c r="T60" s="79">
        <f>IFERROR(VLOOKUP($A:$A,CS!$A:$AK,33,FALSE),"")</f>
      </c>
      <c r="U60" s="79">
        <f>IFERROR(VLOOKUP($A:$A,CS!$A:$AK,34,FALSE),"")</f>
      </c>
      <c r="V60" s="79">
        <f>IFERROR(VLOOKUP($A:$A,CS!$A:$AK,35,FALSE),"")</f>
      </c>
      <c r="W60" s="79">
        <f>IFERROR(VLOOKUP($A:$A,CS!$A:$AK,36,FALSE),"")</f>
      </c>
    </row>
    <row r="61" ht="16.5" customHeight="1" spans="1:23" x14ac:dyDescent="0.25">
      <c r="A61" s="93"/>
      <c r="B61" s="79">
        <f>IFERROR(VLOOKUP($A:$A,CS!$A:$AK,3,FALSE),"")</f>
      </c>
      <c r="C61" s="79">
        <f>IFERROR(VLOOKUP($A:$A,CS!$A:$AK,4,FALSE),"")</f>
      </c>
      <c r="D61" s="79">
        <f>IFERROR(VLOOKUP($A:$A,CS!$A:$AK,5,FALSE),"")</f>
      </c>
      <c r="E61" s="79">
        <f>IFERROR(VLOOKUP($A:$A,CS!$A:$AK,7,FALSE),"")</f>
      </c>
      <c r="F61" s="79">
        <f>IFERROR(VLOOKUP($A:$A,CS!$A:$AK,8,FALSE),"")</f>
      </c>
      <c r="G61" s="79">
        <f>IFERROR(VLOOKUP($A:$A,CS!$A:$AK,10,FALSE),"")</f>
      </c>
      <c r="H61" s="79">
        <f>IFERROR(VLOOKUP($A:$A,CS!$A:$AK,14,FALSE),"")</f>
      </c>
      <c r="I61" s="79">
        <f>IFERROR(VLOOKUP($A:$A,CS!$A:$AK,15,FALSE),"")</f>
      </c>
      <c r="J61" s="79">
        <f>IFERROR(VLOOKUP($A:$A,CS!$A:$AK,18,FALSE),"")</f>
      </c>
      <c r="K61" s="79">
        <f>IFERROR(VLOOKUP($A:$A,CS!$A:$AK,19,FALSE),"")</f>
      </c>
      <c r="L61" s="79">
        <f>IFERROR(VLOOKUP($A:$A,CS!$A:$AK,20,FALSE),"")</f>
      </c>
      <c r="M61" s="79">
        <f>IFERROR(VLOOKUP($A:$A,CS!$A:$AK,22,FALSE),"")</f>
      </c>
      <c r="N61" s="79">
        <f>IFERROR(VLOOKUP($A:$A,CS!$A:$AK,19,FALSE),"")</f>
      </c>
      <c r="O61" s="79">
        <f>IFERROR(VLOOKUP($A:$A,CS!$A:$AK,23,FALSE),"")</f>
      </c>
      <c r="P61" s="79">
        <f>IFERROR(VLOOKUP($A:$A,CS!$A:$AK,24,FALSE),"")</f>
      </c>
      <c r="Q61" s="79">
        <f>IFERROR(VLOOKUP($A:$A,CS!$A:$AK,25,FALSE),"")</f>
      </c>
      <c r="R61" s="79">
        <f>IFERROR(VLOOKUP($A:$A,CS!$A:$AK,26,FALSE),"")</f>
      </c>
      <c r="S61" s="79">
        <f>IFERROR(VLOOKUP($A:$A,CS!$A:$AK,29,FALSE),"")</f>
      </c>
      <c r="T61" s="79">
        <f>IFERROR(VLOOKUP($A:$A,CS!$A:$AK,33,FALSE),"")</f>
      </c>
      <c r="U61" s="79">
        <f>IFERROR(VLOOKUP($A:$A,CS!$A:$AK,34,FALSE),"")</f>
      </c>
      <c r="V61" s="79">
        <f>IFERROR(VLOOKUP($A:$A,CS!$A:$AK,35,FALSE),"")</f>
      </c>
      <c r="W61" s="79">
        <f>IFERROR(VLOOKUP($A:$A,CS!$A:$AK,36,FALSE),"")</f>
      </c>
    </row>
    <row r="62" ht="16.5" customHeight="1" spans="1:23" x14ac:dyDescent="0.25">
      <c r="A62" s="93"/>
      <c r="B62" s="79">
        <f>IFERROR(VLOOKUP($A:$A,CS!$A:$AK,3,FALSE),"")</f>
      </c>
      <c r="C62" s="79">
        <f>IFERROR(VLOOKUP($A:$A,CS!$A:$AK,4,FALSE),"")</f>
      </c>
      <c r="D62" s="79">
        <f>IFERROR(VLOOKUP($A:$A,CS!$A:$AK,5,FALSE),"")</f>
      </c>
      <c r="E62" s="79">
        <f>IFERROR(VLOOKUP($A:$A,CS!$A:$AK,7,FALSE),"")</f>
      </c>
      <c r="F62" s="79">
        <f>IFERROR(VLOOKUP($A:$A,CS!$A:$AK,8,FALSE),"")</f>
      </c>
      <c r="G62" s="79">
        <f>IFERROR(VLOOKUP($A:$A,CS!$A:$AK,10,FALSE),"")</f>
      </c>
      <c r="H62" s="79">
        <f>IFERROR(VLOOKUP($A:$A,CS!$A:$AK,14,FALSE),"")</f>
      </c>
      <c r="I62" s="79">
        <f>IFERROR(VLOOKUP($A:$A,CS!$A:$AK,15,FALSE),"")</f>
      </c>
      <c r="J62" s="79">
        <f>IFERROR(VLOOKUP($A:$A,CS!$A:$AK,18,FALSE),"")</f>
      </c>
      <c r="K62" s="79">
        <f>IFERROR(VLOOKUP($A:$A,CS!$A:$AK,19,FALSE),"")</f>
      </c>
      <c r="L62" s="79">
        <f>IFERROR(VLOOKUP($A:$A,CS!$A:$AK,20,FALSE),"")</f>
      </c>
      <c r="M62" s="79">
        <f>IFERROR(VLOOKUP($A:$A,CS!$A:$AK,22,FALSE),"")</f>
      </c>
      <c r="N62" s="79">
        <f>IFERROR(VLOOKUP($A:$A,CS!$A:$AK,19,FALSE),"")</f>
      </c>
      <c r="O62" s="79">
        <f>IFERROR(VLOOKUP($A:$A,CS!$A:$AK,23,FALSE),"")</f>
      </c>
      <c r="P62" s="79">
        <f>IFERROR(VLOOKUP($A:$A,CS!$A:$AK,24,FALSE),"")</f>
      </c>
      <c r="Q62" s="79">
        <f>IFERROR(VLOOKUP($A:$A,CS!$A:$AK,25,FALSE),"")</f>
      </c>
      <c r="R62" s="79">
        <f>IFERROR(VLOOKUP($A:$A,CS!$A:$AK,26,FALSE),"")</f>
      </c>
      <c r="S62" s="79">
        <f>IFERROR(VLOOKUP($A:$A,CS!$A:$AK,29,FALSE),"")</f>
      </c>
      <c r="T62" s="79">
        <f>IFERROR(VLOOKUP($A:$A,CS!$A:$AK,33,FALSE),"")</f>
      </c>
      <c r="U62" s="79">
        <f>IFERROR(VLOOKUP($A:$A,CS!$A:$AK,34,FALSE),"")</f>
      </c>
      <c r="V62" s="79">
        <f>IFERROR(VLOOKUP($A:$A,CS!$A:$AK,35,FALSE),"")</f>
      </c>
      <c r="W62" s="79">
        <f>IFERROR(VLOOKUP($A:$A,CS!$A:$AK,36,FALSE),"")</f>
      </c>
    </row>
    <row r="63" ht="16.5" customHeight="1" spans="1:23" x14ac:dyDescent="0.25">
      <c r="A63" s="93"/>
      <c r="B63" s="79">
        <f>IFERROR(VLOOKUP($A:$A,CS!$A:$AK,3,FALSE),"")</f>
      </c>
      <c r="C63" s="79">
        <f>IFERROR(VLOOKUP($A:$A,CS!$A:$AK,4,FALSE),"")</f>
      </c>
      <c r="D63" s="79">
        <f>IFERROR(VLOOKUP($A:$A,CS!$A:$AK,5,FALSE),"")</f>
      </c>
      <c r="E63" s="79">
        <f>IFERROR(VLOOKUP($A:$A,CS!$A:$AK,7,FALSE),"")</f>
      </c>
      <c r="F63" s="79">
        <f>IFERROR(VLOOKUP($A:$A,CS!$A:$AK,8,FALSE),"")</f>
      </c>
      <c r="G63" s="79">
        <f>IFERROR(VLOOKUP($A:$A,CS!$A:$AK,10,FALSE),"")</f>
      </c>
      <c r="H63" s="79">
        <f>IFERROR(VLOOKUP($A:$A,CS!$A:$AK,14,FALSE),"")</f>
      </c>
      <c r="I63" s="79">
        <f>IFERROR(VLOOKUP($A:$A,CS!$A:$AK,15,FALSE),"")</f>
      </c>
      <c r="J63" s="79">
        <f>IFERROR(VLOOKUP($A:$A,CS!$A:$AK,18,FALSE),"")</f>
      </c>
      <c r="K63" s="79">
        <f>IFERROR(VLOOKUP($A:$A,CS!$A:$AK,19,FALSE),"")</f>
      </c>
      <c r="L63" s="79">
        <f>IFERROR(VLOOKUP($A:$A,CS!$A:$AK,20,FALSE),"")</f>
      </c>
      <c r="M63" s="79">
        <f>IFERROR(VLOOKUP($A:$A,CS!$A:$AK,22,FALSE),"")</f>
      </c>
      <c r="N63" s="79">
        <f>IFERROR(VLOOKUP($A:$A,CS!$A:$AK,19,FALSE),"")</f>
      </c>
      <c r="O63" s="79">
        <f>IFERROR(VLOOKUP($A:$A,CS!$A:$AK,23,FALSE),"")</f>
      </c>
      <c r="P63" s="79">
        <f>IFERROR(VLOOKUP($A:$A,CS!$A:$AK,24,FALSE),"")</f>
      </c>
      <c r="Q63" s="79">
        <f>IFERROR(VLOOKUP($A:$A,CS!$A:$AK,25,FALSE),"")</f>
      </c>
      <c r="R63" s="79">
        <f>IFERROR(VLOOKUP($A:$A,CS!$A:$AK,26,FALSE),"")</f>
      </c>
      <c r="S63" s="79">
        <f>IFERROR(VLOOKUP($A:$A,CS!$A:$AK,29,FALSE),"")</f>
      </c>
      <c r="T63" s="79">
        <f>IFERROR(VLOOKUP($A:$A,CS!$A:$AK,33,FALSE),"")</f>
      </c>
      <c r="U63" s="79">
        <f>IFERROR(VLOOKUP($A:$A,CS!$A:$AK,34,FALSE),"")</f>
      </c>
      <c r="V63" s="79">
        <f>IFERROR(VLOOKUP($A:$A,CS!$A:$AK,35,FALSE),"")</f>
      </c>
      <c r="W63" s="79">
        <f>IFERROR(VLOOKUP($A:$A,CS!$A:$AK,36,FALSE),"")</f>
      </c>
    </row>
    <row r="64" ht="16.5" customHeight="1" spans="1:23" x14ac:dyDescent="0.25">
      <c r="A64" s="93"/>
      <c r="B64" s="79">
        <f>IFERROR(VLOOKUP($A:$A,CS!$A:$AK,3,FALSE),"")</f>
      </c>
      <c r="C64" s="79">
        <f>IFERROR(VLOOKUP($A:$A,CS!$A:$AK,4,FALSE),"")</f>
      </c>
      <c r="D64" s="79">
        <f>IFERROR(VLOOKUP($A:$A,CS!$A:$AK,5,FALSE),"")</f>
      </c>
      <c r="E64" s="79">
        <f>IFERROR(VLOOKUP($A:$A,CS!$A:$AK,7,FALSE),"")</f>
      </c>
      <c r="F64" s="79">
        <f>IFERROR(VLOOKUP($A:$A,CS!$A:$AK,8,FALSE),"")</f>
      </c>
      <c r="G64" s="79">
        <f>IFERROR(VLOOKUP($A:$A,CS!$A:$AK,10,FALSE),"")</f>
      </c>
      <c r="H64" s="79">
        <f>IFERROR(VLOOKUP($A:$A,CS!$A:$AK,14,FALSE),"")</f>
      </c>
      <c r="I64" s="79">
        <f>IFERROR(VLOOKUP($A:$A,CS!$A:$AK,15,FALSE),"")</f>
      </c>
      <c r="J64" s="79">
        <f>IFERROR(VLOOKUP($A:$A,CS!$A:$AK,18,FALSE),"")</f>
      </c>
      <c r="K64" s="79">
        <f>IFERROR(VLOOKUP($A:$A,CS!$A:$AK,19,FALSE),"")</f>
      </c>
      <c r="L64" s="79">
        <f>IFERROR(VLOOKUP($A:$A,CS!$A:$AK,20,FALSE),"")</f>
      </c>
      <c r="M64" s="79">
        <f>IFERROR(VLOOKUP($A:$A,CS!$A:$AK,22,FALSE),"")</f>
      </c>
      <c r="N64" s="79">
        <f>IFERROR(VLOOKUP($A:$A,CS!$A:$AK,19,FALSE),"")</f>
      </c>
      <c r="O64" s="79">
        <f>IFERROR(VLOOKUP($A:$A,CS!$A:$AK,23,FALSE),"")</f>
      </c>
      <c r="P64" s="79">
        <f>IFERROR(VLOOKUP($A:$A,CS!$A:$AK,24,FALSE),"")</f>
      </c>
      <c r="Q64" s="79">
        <f>IFERROR(VLOOKUP($A:$A,CS!$A:$AK,25,FALSE),"")</f>
      </c>
      <c r="R64" s="79">
        <f>IFERROR(VLOOKUP($A:$A,CS!$A:$AK,26,FALSE),"")</f>
      </c>
      <c r="S64" s="79">
        <f>IFERROR(VLOOKUP($A:$A,CS!$A:$AK,29,FALSE),"")</f>
      </c>
      <c r="T64" s="79">
        <f>IFERROR(VLOOKUP($A:$A,CS!$A:$AK,33,FALSE),"")</f>
      </c>
      <c r="U64" s="79">
        <f>IFERROR(VLOOKUP($A:$A,CS!$A:$AK,34,FALSE),"")</f>
      </c>
      <c r="V64" s="79">
        <f>IFERROR(VLOOKUP($A:$A,CS!$A:$AK,35,FALSE),"")</f>
      </c>
      <c r="W64" s="79">
        <f>IFERROR(VLOOKUP($A:$A,CS!$A:$AK,36,FALSE),"")</f>
      </c>
    </row>
    <row r="65" ht="16.5" customHeight="1" spans="1:23" x14ac:dyDescent="0.25">
      <c r="A65" s="93"/>
      <c r="B65" s="79">
        <f>IFERROR(VLOOKUP($A:$A,CS!$A:$AK,3,FALSE),"")</f>
      </c>
      <c r="C65" s="79">
        <f>IFERROR(VLOOKUP($A:$A,CS!$A:$AK,4,FALSE),"")</f>
      </c>
      <c r="D65" s="79">
        <f>IFERROR(VLOOKUP($A:$A,CS!$A:$AK,5,FALSE),"")</f>
      </c>
      <c r="E65" s="79">
        <f>IFERROR(VLOOKUP($A:$A,CS!$A:$AK,7,FALSE),"")</f>
      </c>
      <c r="F65" s="79">
        <f>IFERROR(VLOOKUP($A:$A,CS!$A:$AK,8,FALSE),"")</f>
      </c>
      <c r="G65" s="79">
        <f>IFERROR(VLOOKUP($A:$A,CS!$A:$AK,10,FALSE),"")</f>
      </c>
      <c r="H65" s="79">
        <f>IFERROR(VLOOKUP($A:$A,CS!$A:$AK,14,FALSE),"")</f>
      </c>
      <c r="I65" s="79">
        <f>IFERROR(VLOOKUP($A:$A,CS!$A:$AK,15,FALSE),"")</f>
      </c>
      <c r="J65" s="79">
        <f>IFERROR(VLOOKUP($A:$A,CS!$A:$AK,18,FALSE),"")</f>
      </c>
      <c r="K65" s="79">
        <f>IFERROR(VLOOKUP($A:$A,CS!$A:$AK,19,FALSE),"")</f>
      </c>
      <c r="L65" s="79">
        <f>IFERROR(VLOOKUP($A:$A,CS!$A:$AK,20,FALSE),"")</f>
      </c>
      <c r="M65" s="79">
        <f>IFERROR(VLOOKUP($A:$A,CS!$A:$AK,22,FALSE),"")</f>
      </c>
      <c r="N65" s="79">
        <f>IFERROR(VLOOKUP($A:$A,CS!$A:$AK,19,FALSE),"")</f>
      </c>
      <c r="O65" s="79">
        <f>IFERROR(VLOOKUP($A:$A,CS!$A:$AK,23,FALSE),"")</f>
      </c>
      <c r="P65" s="79">
        <f>IFERROR(VLOOKUP($A:$A,CS!$A:$AK,24,FALSE),"")</f>
      </c>
      <c r="Q65" s="79">
        <f>IFERROR(VLOOKUP($A:$A,CS!$A:$AK,25,FALSE),"")</f>
      </c>
      <c r="R65" s="79">
        <f>IFERROR(VLOOKUP($A:$A,CS!$A:$AK,26,FALSE),"")</f>
      </c>
      <c r="S65" s="79">
        <f>IFERROR(VLOOKUP($A:$A,CS!$A:$AK,29,FALSE),"")</f>
      </c>
      <c r="T65" s="79">
        <f>IFERROR(VLOOKUP($A:$A,CS!$A:$AK,33,FALSE),"")</f>
      </c>
      <c r="U65" s="79">
        <f>IFERROR(VLOOKUP($A:$A,CS!$A:$AK,34,FALSE),"")</f>
      </c>
      <c r="V65" s="79">
        <f>IFERROR(VLOOKUP($A:$A,CS!$A:$AK,35,FALSE),"")</f>
      </c>
      <c r="W65" s="79">
        <f>IFERROR(VLOOKUP($A:$A,CS!$A:$AK,36,FALSE),"")</f>
      </c>
    </row>
    <row r="66" ht="16.5" customHeight="1" spans="1:23" x14ac:dyDescent="0.25">
      <c r="A66" s="93"/>
      <c r="B66" s="79">
        <f>IFERROR(VLOOKUP($A:$A,CS!$A:$AK,3,FALSE),"")</f>
      </c>
      <c r="C66" s="79">
        <f>IFERROR(VLOOKUP($A:$A,CS!$A:$AK,4,FALSE),"")</f>
      </c>
      <c r="D66" s="79">
        <f>IFERROR(VLOOKUP($A:$A,CS!$A:$AK,5,FALSE),"")</f>
      </c>
      <c r="E66" s="79">
        <f>IFERROR(VLOOKUP($A:$A,CS!$A:$AK,7,FALSE),"")</f>
      </c>
      <c r="F66" s="79">
        <f>IFERROR(VLOOKUP($A:$A,CS!$A:$AK,8,FALSE),"")</f>
      </c>
      <c r="G66" s="79">
        <f>IFERROR(VLOOKUP($A:$A,CS!$A:$AK,10,FALSE),"")</f>
      </c>
      <c r="H66" s="79">
        <f>IFERROR(VLOOKUP($A:$A,CS!$A:$AK,14,FALSE),"")</f>
      </c>
      <c r="I66" s="79">
        <f>IFERROR(VLOOKUP($A:$A,CS!$A:$AK,15,FALSE),"")</f>
      </c>
      <c r="J66" s="79">
        <f>IFERROR(VLOOKUP($A:$A,CS!$A:$AK,18,FALSE),"")</f>
      </c>
      <c r="K66" s="79">
        <f>IFERROR(VLOOKUP($A:$A,CS!$A:$AK,19,FALSE),"")</f>
      </c>
      <c r="L66" s="79">
        <f>IFERROR(VLOOKUP($A:$A,CS!$A:$AK,20,FALSE),"")</f>
      </c>
      <c r="M66" s="79">
        <f>IFERROR(VLOOKUP($A:$A,CS!$A:$AK,22,FALSE),"")</f>
      </c>
      <c r="N66" s="79">
        <f>IFERROR(VLOOKUP($A:$A,CS!$A:$AK,19,FALSE),"")</f>
      </c>
      <c r="O66" s="79">
        <f>IFERROR(VLOOKUP($A:$A,CS!$A:$AK,23,FALSE),"")</f>
      </c>
      <c r="P66" s="79">
        <f>IFERROR(VLOOKUP($A:$A,CS!$A:$AK,24,FALSE),"")</f>
      </c>
      <c r="Q66" s="79">
        <f>IFERROR(VLOOKUP($A:$A,CS!$A:$AK,25,FALSE),"")</f>
      </c>
      <c r="R66" s="79">
        <f>IFERROR(VLOOKUP($A:$A,CS!$A:$AK,26,FALSE),"")</f>
      </c>
      <c r="S66" s="79">
        <f>IFERROR(VLOOKUP($A:$A,CS!$A:$AK,29,FALSE),"")</f>
      </c>
      <c r="T66" s="79">
        <f>IFERROR(VLOOKUP($A:$A,CS!$A:$AK,33,FALSE),"")</f>
      </c>
      <c r="U66" s="79">
        <f>IFERROR(VLOOKUP($A:$A,CS!$A:$AK,34,FALSE),"")</f>
      </c>
      <c r="V66" s="79">
        <f>IFERROR(VLOOKUP($A:$A,CS!$A:$AK,35,FALSE),"")</f>
      </c>
      <c r="W66" s="79">
        <f>IFERROR(VLOOKUP($A:$A,CS!$A:$AK,36,FALSE),"")</f>
      </c>
    </row>
    <row r="67" ht="16.5" customHeight="1" spans="1:23" x14ac:dyDescent="0.25">
      <c r="A67" s="93"/>
      <c r="B67" s="79">
        <f>IFERROR(VLOOKUP($A:$A,CS!$A:$AK,3,FALSE),"")</f>
      </c>
      <c r="C67" s="79">
        <f>IFERROR(VLOOKUP($A:$A,CS!$A:$AK,4,FALSE),"")</f>
      </c>
      <c r="D67" s="79">
        <f>IFERROR(VLOOKUP($A:$A,CS!$A:$AK,5,FALSE),"")</f>
      </c>
      <c r="E67" s="79">
        <f>IFERROR(VLOOKUP($A:$A,CS!$A:$AK,7,FALSE),"")</f>
      </c>
      <c r="F67" s="79">
        <f>IFERROR(VLOOKUP($A:$A,CS!$A:$AK,8,FALSE),"")</f>
      </c>
      <c r="G67" s="79">
        <f>IFERROR(VLOOKUP($A:$A,CS!$A:$AK,10,FALSE),"")</f>
      </c>
      <c r="H67" s="79">
        <f>IFERROR(VLOOKUP($A:$A,CS!$A:$AK,14,FALSE),"")</f>
      </c>
      <c r="I67" s="79">
        <f>IFERROR(VLOOKUP($A:$A,CS!$A:$AK,15,FALSE),"")</f>
      </c>
      <c r="J67" s="79">
        <f>IFERROR(VLOOKUP($A:$A,CS!$A:$AK,18,FALSE),"")</f>
      </c>
      <c r="K67" s="79">
        <f>IFERROR(VLOOKUP($A:$A,CS!$A:$AK,19,FALSE),"")</f>
      </c>
      <c r="L67" s="79">
        <f>IFERROR(VLOOKUP($A:$A,CS!$A:$AK,20,FALSE),"")</f>
      </c>
      <c r="M67" s="79">
        <f>IFERROR(VLOOKUP($A:$A,CS!$A:$AK,22,FALSE),"")</f>
      </c>
      <c r="N67" s="79">
        <f>IFERROR(VLOOKUP($A:$A,CS!$A:$AK,19,FALSE),"")</f>
      </c>
      <c r="O67" s="79">
        <f>IFERROR(VLOOKUP($A:$A,CS!$A:$AK,23,FALSE),"")</f>
      </c>
      <c r="P67" s="79">
        <f>IFERROR(VLOOKUP($A:$A,CS!$A:$AK,24,FALSE),"")</f>
      </c>
      <c r="Q67" s="79">
        <f>IFERROR(VLOOKUP($A:$A,CS!$A:$AK,25,FALSE),"")</f>
      </c>
      <c r="R67" s="79">
        <f>IFERROR(VLOOKUP($A:$A,CS!$A:$AK,26,FALSE),"")</f>
      </c>
      <c r="S67" s="79">
        <f>IFERROR(VLOOKUP($A:$A,CS!$A:$AK,29,FALSE),"")</f>
      </c>
      <c r="T67" s="79">
        <f>IFERROR(VLOOKUP($A:$A,CS!$A:$AK,33,FALSE),"")</f>
      </c>
      <c r="U67" s="79">
        <f>IFERROR(VLOOKUP($A:$A,CS!$A:$AK,34,FALSE),"")</f>
      </c>
      <c r="V67" s="79">
        <f>IFERROR(VLOOKUP($A:$A,CS!$A:$AK,35,FALSE),"")</f>
      </c>
      <c r="W67" s="79">
        <f>IFERROR(VLOOKUP($A:$A,CS!$A:$AK,36,FALSE),"")</f>
      </c>
    </row>
    <row r="68" ht="16.5" customHeight="1" spans="1:23" x14ac:dyDescent="0.25">
      <c r="A68" s="93"/>
      <c r="B68" s="79">
        <f>IFERROR(VLOOKUP($A:$A,CS!$A:$AK,3,FALSE),"")</f>
      </c>
      <c r="C68" s="79">
        <f>IFERROR(VLOOKUP($A:$A,CS!$A:$AK,4,FALSE),"")</f>
      </c>
      <c r="D68" s="79">
        <f>IFERROR(VLOOKUP($A:$A,CS!$A:$AK,5,FALSE),"")</f>
      </c>
      <c r="E68" s="79">
        <f>IFERROR(VLOOKUP($A:$A,CS!$A:$AK,7,FALSE),"")</f>
      </c>
      <c r="F68" s="79">
        <f>IFERROR(VLOOKUP($A:$A,CS!$A:$AK,8,FALSE),"")</f>
      </c>
      <c r="G68" s="79">
        <f>IFERROR(VLOOKUP($A:$A,CS!$A:$AK,10,FALSE),"")</f>
      </c>
      <c r="H68" s="79">
        <f>IFERROR(VLOOKUP($A:$A,CS!$A:$AK,14,FALSE),"")</f>
      </c>
      <c r="I68" s="79">
        <f>IFERROR(VLOOKUP($A:$A,CS!$A:$AK,15,FALSE),"")</f>
      </c>
      <c r="J68" s="79">
        <f>IFERROR(VLOOKUP($A:$A,CS!$A:$AK,18,FALSE),"")</f>
      </c>
      <c r="K68" s="79">
        <f>IFERROR(VLOOKUP($A:$A,CS!$A:$AK,19,FALSE),"")</f>
      </c>
      <c r="L68" s="79">
        <f>IFERROR(VLOOKUP($A:$A,CS!$A:$AK,20,FALSE),"")</f>
      </c>
      <c r="M68" s="79">
        <f>IFERROR(VLOOKUP($A:$A,CS!$A:$AK,22,FALSE),"")</f>
      </c>
      <c r="N68" s="79">
        <f>IFERROR(VLOOKUP($A:$A,CS!$A:$AK,19,FALSE),"")</f>
      </c>
      <c r="O68" s="79">
        <f>IFERROR(VLOOKUP($A:$A,CS!$A:$AK,23,FALSE),"")</f>
      </c>
      <c r="P68" s="79">
        <f>IFERROR(VLOOKUP($A:$A,CS!$A:$AK,24,FALSE),"")</f>
      </c>
      <c r="Q68" s="79">
        <f>IFERROR(VLOOKUP($A:$A,CS!$A:$AK,25,FALSE),"")</f>
      </c>
      <c r="R68" s="79">
        <f>IFERROR(VLOOKUP($A:$A,CS!$A:$AK,26,FALSE),"")</f>
      </c>
      <c r="S68" s="79">
        <f>IFERROR(VLOOKUP($A:$A,CS!$A:$AK,29,FALSE),"")</f>
      </c>
      <c r="T68" s="79">
        <f>IFERROR(VLOOKUP($A:$A,CS!$A:$AK,33,FALSE),"")</f>
      </c>
      <c r="U68" s="79">
        <f>IFERROR(VLOOKUP($A:$A,CS!$A:$AK,34,FALSE),"")</f>
      </c>
      <c r="V68" s="79">
        <f>IFERROR(VLOOKUP($A:$A,CS!$A:$AK,35,FALSE),"")</f>
      </c>
      <c r="W68" s="79">
        <f>IFERROR(VLOOKUP($A:$A,CS!$A:$AK,36,FALSE),"")</f>
      </c>
    </row>
    <row r="69" ht="16.5" customHeight="1" spans="1:23" x14ac:dyDescent="0.25">
      <c r="A69" s="93"/>
      <c r="B69" s="79">
        <f>IFERROR(VLOOKUP($A:$A,CS!$A:$AK,3,FALSE),"")</f>
      </c>
      <c r="C69" s="79">
        <f>IFERROR(VLOOKUP($A:$A,CS!$A:$AK,4,FALSE),"")</f>
      </c>
      <c r="D69" s="79">
        <f>IFERROR(VLOOKUP($A:$A,CS!$A:$AK,5,FALSE),"")</f>
      </c>
      <c r="E69" s="79">
        <f>IFERROR(VLOOKUP($A:$A,CS!$A:$AK,7,FALSE),"")</f>
      </c>
      <c r="F69" s="79">
        <f>IFERROR(VLOOKUP($A:$A,CS!$A:$AK,8,FALSE),"")</f>
      </c>
      <c r="G69" s="79">
        <f>IFERROR(VLOOKUP($A:$A,CS!$A:$AK,10,FALSE),"")</f>
      </c>
      <c r="H69" s="79">
        <f>IFERROR(VLOOKUP($A:$A,CS!$A:$AK,14,FALSE),"")</f>
      </c>
      <c r="I69" s="79">
        <f>IFERROR(VLOOKUP($A:$A,CS!$A:$AK,15,FALSE),"")</f>
      </c>
      <c r="J69" s="79">
        <f>IFERROR(VLOOKUP($A:$A,CS!$A:$AK,18,FALSE),"")</f>
      </c>
      <c r="K69" s="79">
        <f>IFERROR(VLOOKUP($A:$A,CS!$A:$AK,19,FALSE),"")</f>
      </c>
      <c r="L69" s="79">
        <f>IFERROR(VLOOKUP($A:$A,CS!$A:$AK,20,FALSE),"")</f>
      </c>
      <c r="M69" s="79">
        <f>IFERROR(VLOOKUP($A:$A,CS!$A:$AK,22,FALSE),"")</f>
      </c>
      <c r="N69" s="79">
        <f>IFERROR(VLOOKUP($A:$A,CS!$A:$AK,19,FALSE),"")</f>
      </c>
      <c r="O69" s="79">
        <f>IFERROR(VLOOKUP($A:$A,CS!$A:$AK,23,FALSE),"")</f>
      </c>
      <c r="P69" s="79">
        <f>IFERROR(VLOOKUP($A:$A,CS!$A:$AK,24,FALSE),"")</f>
      </c>
      <c r="Q69" s="79">
        <f>IFERROR(VLOOKUP($A:$A,CS!$A:$AK,25,FALSE),"")</f>
      </c>
      <c r="R69" s="79">
        <f>IFERROR(VLOOKUP($A:$A,CS!$A:$AK,26,FALSE),"")</f>
      </c>
      <c r="S69" s="79">
        <f>IFERROR(VLOOKUP($A:$A,CS!$A:$AK,29,FALSE),"")</f>
      </c>
      <c r="T69" s="79">
        <f>IFERROR(VLOOKUP($A:$A,CS!$A:$AK,33,FALSE),"")</f>
      </c>
      <c r="U69" s="79">
        <f>IFERROR(VLOOKUP($A:$A,CS!$A:$AK,34,FALSE),"")</f>
      </c>
      <c r="V69" s="79">
        <f>IFERROR(VLOOKUP($A:$A,CS!$A:$AK,35,FALSE),"")</f>
      </c>
      <c r="W69" s="79">
        <f>IFERROR(VLOOKUP($A:$A,CS!$A:$AK,36,FALSE),"")</f>
      </c>
    </row>
    <row r="70" ht="16.5" customHeight="1" spans="1:23" x14ac:dyDescent="0.25">
      <c r="A70" s="93"/>
      <c r="B70" s="79">
        <f>IFERROR(VLOOKUP($A:$A,CS!$A:$AK,3,FALSE),"")</f>
      </c>
      <c r="C70" s="79">
        <f>IFERROR(VLOOKUP($A:$A,CS!$A:$AK,4,FALSE),"")</f>
      </c>
      <c r="D70" s="79">
        <f>IFERROR(VLOOKUP($A:$A,CS!$A:$AK,5,FALSE),"")</f>
      </c>
      <c r="E70" s="79">
        <f>IFERROR(VLOOKUP($A:$A,CS!$A:$AK,7,FALSE),"")</f>
      </c>
      <c r="F70" s="79">
        <f>IFERROR(VLOOKUP($A:$A,CS!$A:$AK,8,FALSE),"")</f>
      </c>
      <c r="G70" s="79">
        <f>IFERROR(VLOOKUP($A:$A,CS!$A:$AK,10,FALSE),"")</f>
      </c>
      <c r="H70" s="79">
        <f>IFERROR(VLOOKUP($A:$A,CS!$A:$AK,14,FALSE),"")</f>
      </c>
      <c r="I70" s="79">
        <f>IFERROR(VLOOKUP($A:$A,CS!$A:$AK,15,FALSE),"")</f>
      </c>
      <c r="J70" s="79">
        <f>IFERROR(VLOOKUP($A:$A,CS!$A:$AK,18,FALSE),"")</f>
      </c>
      <c r="K70" s="79">
        <f>IFERROR(VLOOKUP($A:$A,CS!$A:$AK,19,FALSE),"")</f>
      </c>
      <c r="L70" s="79">
        <f>IFERROR(VLOOKUP($A:$A,CS!$A:$AK,20,FALSE),"")</f>
      </c>
      <c r="M70" s="79">
        <f>IFERROR(VLOOKUP($A:$A,CS!$A:$AK,22,FALSE),"")</f>
      </c>
      <c r="N70" s="79">
        <f>IFERROR(VLOOKUP($A:$A,CS!$A:$AK,19,FALSE),"")</f>
      </c>
      <c r="O70" s="79">
        <f>IFERROR(VLOOKUP($A:$A,CS!$A:$AK,23,FALSE),"")</f>
      </c>
      <c r="P70" s="79">
        <f>IFERROR(VLOOKUP($A:$A,CS!$A:$AK,24,FALSE),"")</f>
      </c>
      <c r="Q70" s="79">
        <f>IFERROR(VLOOKUP($A:$A,CS!$A:$AK,25,FALSE),"")</f>
      </c>
      <c r="R70" s="79">
        <f>IFERROR(VLOOKUP($A:$A,CS!$A:$AK,26,FALSE),"")</f>
      </c>
      <c r="S70" s="79">
        <f>IFERROR(VLOOKUP($A:$A,CS!$A:$AK,29,FALSE),"")</f>
      </c>
      <c r="T70" s="79">
        <f>IFERROR(VLOOKUP($A:$A,CS!$A:$AK,33,FALSE),"")</f>
      </c>
      <c r="U70" s="79">
        <f>IFERROR(VLOOKUP($A:$A,CS!$A:$AK,34,FALSE),"")</f>
      </c>
      <c r="V70" s="79">
        <f>IFERROR(VLOOKUP($A:$A,CS!$A:$AK,35,FALSE),"")</f>
      </c>
      <c r="W70" s="79">
        <f>IFERROR(VLOOKUP($A:$A,CS!$A:$AK,36,FALSE),"")</f>
      </c>
    </row>
    <row r="71" ht="16.5" customHeight="1" spans="1:23" x14ac:dyDescent="0.25">
      <c r="A71" s="93"/>
      <c r="B71" s="79">
        <f>IFERROR(VLOOKUP($A:$A,CS!$A:$AK,3,FALSE),"")</f>
      </c>
      <c r="C71" s="79">
        <f>IFERROR(VLOOKUP($A:$A,CS!$A:$AK,4,FALSE),"")</f>
      </c>
      <c r="D71" s="79">
        <f>IFERROR(VLOOKUP($A:$A,CS!$A:$AK,5,FALSE),"")</f>
      </c>
      <c r="E71" s="79">
        <f>IFERROR(VLOOKUP($A:$A,CS!$A:$AK,7,FALSE),"")</f>
      </c>
      <c r="F71" s="79">
        <f>IFERROR(VLOOKUP($A:$A,CS!$A:$AK,8,FALSE),"")</f>
      </c>
      <c r="G71" s="79">
        <f>IFERROR(VLOOKUP($A:$A,CS!$A:$AK,10,FALSE),"")</f>
      </c>
      <c r="H71" s="79">
        <f>IFERROR(VLOOKUP($A:$A,CS!$A:$AK,14,FALSE),"")</f>
      </c>
      <c r="I71" s="79">
        <f>IFERROR(VLOOKUP($A:$A,CS!$A:$AK,15,FALSE),"")</f>
      </c>
      <c r="J71" s="79">
        <f>IFERROR(VLOOKUP($A:$A,CS!$A:$AK,18,FALSE),"")</f>
      </c>
      <c r="K71" s="79">
        <f>IFERROR(VLOOKUP($A:$A,CS!$A:$AK,19,FALSE),"")</f>
      </c>
      <c r="L71" s="79">
        <f>IFERROR(VLOOKUP($A:$A,CS!$A:$AK,20,FALSE),"")</f>
      </c>
      <c r="M71" s="79">
        <f>IFERROR(VLOOKUP($A:$A,CS!$A:$AK,22,FALSE),"")</f>
      </c>
      <c r="N71" s="79">
        <f>IFERROR(VLOOKUP($A:$A,CS!$A:$AK,19,FALSE),"")</f>
      </c>
      <c r="O71" s="79">
        <f>IFERROR(VLOOKUP($A:$A,CS!$A:$AK,23,FALSE),"")</f>
      </c>
      <c r="P71" s="79">
        <f>IFERROR(VLOOKUP($A:$A,CS!$A:$AK,24,FALSE),"")</f>
      </c>
      <c r="Q71" s="79">
        <f>IFERROR(VLOOKUP($A:$A,CS!$A:$AK,25,FALSE),"")</f>
      </c>
      <c r="R71" s="79">
        <f>IFERROR(VLOOKUP($A:$A,CS!$A:$AK,26,FALSE),"")</f>
      </c>
      <c r="S71" s="79">
        <f>IFERROR(VLOOKUP($A:$A,CS!$A:$AK,29,FALSE),"")</f>
      </c>
      <c r="T71" s="79">
        <f>IFERROR(VLOOKUP($A:$A,CS!$A:$AK,33,FALSE),"")</f>
      </c>
      <c r="U71" s="79">
        <f>IFERROR(VLOOKUP($A:$A,CS!$A:$AK,34,FALSE),"")</f>
      </c>
      <c r="V71" s="79">
        <f>IFERROR(VLOOKUP($A:$A,CS!$A:$AK,35,FALSE),"")</f>
      </c>
      <c r="W71" s="79">
        <f>IFERROR(VLOOKUP($A:$A,CS!$A:$AK,36,FALSE),"")</f>
      </c>
    </row>
    <row r="72" ht="16.5" customHeight="1" spans="1:23" x14ac:dyDescent="0.25">
      <c r="A72" s="93"/>
      <c r="B72" s="79">
        <f>IFERROR(VLOOKUP($A:$A,CS!$A:$AK,3,FALSE),"")</f>
      </c>
      <c r="C72" s="79">
        <f>IFERROR(VLOOKUP($A:$A,CS!$A:$AK,4,FALSE),"")</f>
      </c>
      <c r="D72" s="79">
        <f>IFERROR(VLOOKUP($A:$A,CS!$A:$AK,5,FALSE),"")</f>
      </c>
      <c r="E72" s="79">
        <f>IFERROR(VLOOKUP($A:$A,CS!$A:$AK,7,FALSE),"")</f>
      </c>
      <c r="F72" s="79">
        <f>IFERROR(VLOOKUP($A:$A,CS!$A:$AK,8,FALSE),"")</f>
      </c>
      <c r="G72" s="79">
        <f>IFERROR(VLOOKUP($A:$A,CS!$A:$AK,10,FALSE),"")</f>
      </c>
      <c r="H72" s="79">
        <f>IFERROR(VLOOKUP($A:$A,CS!$A:$AK,14,FALSE),"")</f>
      </c>
      <c r="I72" s="79">
        <f>IFERROR(VLOOKUP($A:$A,CS!$A:$AK,15,FALSE),"")</f>
      </c>
      <c r="J72" s="79">
        <f>IFERROR(VLOOKUP($A:$A,CS!$A:$AK,18,FALSE),"")</f>
      </c>
      <c r="K72" s="79">
        <f>IFERROR(VLOOKUP($A:$A,CS!$A:$AK,19,FALSE),"")</f>
      </c>
      <c r="L72" s="79">
        <f>IFERROR(VLOOKUP($A:$A,CS!$A:$AK,20,FALSE),"")</f>
      </c>
      <c r="M72" s="79">
        <f>IFERROR(VLOOKUP($A:$A,CS!$A:$AK,22,FALSE),"")</f>
      </c>
      <c r="N72" s="79">
        <f>IFERROR(VLOOKUP($A:$A,CS!$A:$AK,19,FALSE),"")</f>
      </c>
      <c r="O72" s="79">
        <f>IFERROR(VLOOKUP($A:$A,CS!$A:$AK,23,FALSE),"")</f>
      </c>
      <c r="P72" s="79">
        <f>IFERROR(VLOOKUP($A:$A,CS!$A:$AK,24,FALSE),"")</f>
      </c>
      <c r="Q72" s="79">
        <f>IFERROR(VLOOKUP($A:$A,CS!$A:$AK,25,FALSE),"")</f>
      </c>
      <c r="R72" s="79">
        <f>IFERROR(VLOOKUP($A:$A,CS!$A:$AK,26,FALSE),"")</f>
      </c>
      <c r="S72" s="79">
        <f>IFERROR(VLOOKUP($A:$A,CS!$A:$AK,29,FALSE),"")</f>
      </c>
      <c r="T72" s="79">
        <f>IFERROR(VLOOKUP($A:$A,CS!$A:$AK,33,FALSE),"")</f>
      </c>
      <c r="U72" s="79">
        <f>IFERROR(VLOOKUP($A:$A,CS!$A:$AK,34,FALSE),"")</f>
      </c>
      <c r="V72" s="79">
        <f>IFERROR(VLOOKUP($A:$A,CS!$A:$AK,35,FALSE),"")</f>
      </c>
      <c r="W72" s="79">
        <f>IFERROR(VLOOKUP($A:$A,CS!$A:$AK,36,FALSE),"")</f>
      </c>
    </row>
    <row r="73" ht="16.5" customHeight="1" spans="1:23" x14ac:dyDescent="0.25">
      <c r="A73" s="93"/>
      <c r="B73" s="79">
        <f>IFERROR(VLOOKUP($A:$A,CS!$A:$AK,3,FALSE),"")</f>
      </c>
      <c r="C73" s="79">
        <f>IFERROR(VLOOKUP($A:$A,CS!$A:$AK,4,FALSE),"")</f>
      </c>
      <c r="D73" s="79">
        <f>IFERROR(VLOOKUP($A:$A,CS!$A:$AK,5,FALSE),"")</f>
      </c>
      <c r="E73" s="79">
        <f>IFERROR(VLOOKUP($A:$A,CS!$A:$AK,7,FALSE),"")</f>
      </c>
      <c r="F73" s="79">
        <f>IFERROR(VLOOKUP($A:$A,CS!$A:$AK,8,FALSE),"")</f>
      </c>
      <c r="G73" s="79">
        <f>IFERROR(VLOOKUP($A:$A,CS!$A:$AK,10,FALSE),"")</f>
      </c>
      <c r="H73" s="79">
        <f>IFERROR(VLOOKUP($A:$A,CS!$A:$AK,14,FALSE),"")</f>
      </c>
      <c r="I73" s="79">
        <f>IFERROR(VLOOKUP($A:$A,CS!$A:$AK,15,FALSE),"")</f>
      </c>
      <c r="J73" s="79">
        <f>IFERROR(VLOOKUP($A:$A,CS!$A:$AK,18,FALSE),"")</f>
      </c>
      <c r="K73" s="79">
        <f>IFERROR(VLOOKUP($A:$A,CS!$A:$AK,19,FALSE),"")</f>
      </c>
      <c r="L73" s="79">
        <f>IFERROR(VLOOKUP($A:$A,CS!$A:$AK,20,FALSE),"")</f>
      </c>
      <c r="M73" s="79">
        <f>IFERROR(VLOOKUP($A:$A,CS!$A:$AK,22,FALSE),"")</f>
      </c>
      <c r="N73" s="79">
        <f>IFERROR(VLOOKUP($A:$A,CS!$A:$AK,19,FALSE),"")</f>
      </c>
      <c r="O73" s="79">
        <f>IFERROR(VLOOKUP($A:$A,CS!$A:$AK,23,FALSE),"")</f>
      </c>
      <c r="P73" s="79">
        <f>IFERROR(VLOOKUP($A:$A,CS!$A:$AK,24,FALSE),"")</f>
      </c>
      <c r="Q73" s="79">
        <f>IFERROR(VLOOKUP($A:$A,CS!$A:$AK,25,FALSE),"")</f>
      </c>
      <c r="R73" s="79">
        <f>IFERROR(VLOOKUP($A:$A,CS!$A:$AK,26,FALSE),"")</f>
      </c>
      <c r="S73" s="79">
        <f>IFERROR(VLOOKUP($A:$A,CS!$A:$AK,29,FALSE),"")</f>
      </c>
      <c r="T73" s="79">
        <f>IFERROR(VLOOKUP($A:$A,CS!$A:$AK,33,FALSE),"")</f>
      </c>
      <c r="U73" s="79">
        <f>IFERROR(VLOOKUP($A:$A,CS!$A:$AK,34,FALSE),"")</f>
      </c>
      <c r="V73" s="79">
        <f>IFERROR(VLOOKUP($A:$A,CS!$A:$AK,35,FALSE),"")</f>
      </c>
      <c r="W73" s="79">
        <f>IFERROR(VLOOKUP($A:$A,CS!$A:$AK,36,FALSE),"")</f>
      </c>
    </row>
    <row r="74" ht="16.5" customHeight="1" spans="1:23" x14ac:dyDescent="0.25">
      <c r="A74" s="93"/>
      <c r="B74" s="79">
        <f>IFERROR(VLOOKUP($A:$A,CS!$A:$AK,3,FALSE),"")</f>
      </c>
      <c r="C74" s="79">
        <f>IFERROR(VLOOKUP($A:$A,CS!$A:$AK,4,FALSE),"")</f>
      </c>
      <c r="D74" s="79">
        <f>IFERROR(VLOOKUP($A:$A,CS!$A:$AK,5,FALSE),"")</f>
      </c>
      <c r="E74" s="79">
        <f>IFERROR(VLOOKUP($A:$A,CS!$A:$AK,7,FALSE),"")</f>
      </c>
      <c r="F74" s="79">
        <f>IFERROR(VLOOKUP($A:$A,CS!$A:$AK,8,FALSE),"")</f>
      </c>
      <c r="G74" s="79">
        <f>IFERROR(VLOOKUP($A:$A,CS!$A:$AK,10,FALSE),"")</f>
      </c>
      <c r="H74" s="79">
        <f>IFERROR(VLOOKUP($A:$A,CS!$A:$AK,14,FALSE),"")</f>
      </c>
      <c r="I74" s="79">
        <f>IFERROR(VLOOKUP($A:$A,CS!$A:$AK,15,FALSE),"")</f>
      </c>
      <c r="J74" s="79">
        <f>IFERROR(VLOOKUP($A:$A,CS!$A:$AK,18,FALSE),"")</f>
      </c>
      <c r="K74" s="79">
        <f>IFERROR(VLOOKUP($A:$A,CS!$A:$AK,19,FALSE),"")</f>
      </c>
      <c r="L74" s="79">
        <f>IFERROR(VLOOKUP($A:$A,CS!$A:$AK,20,FALSE),"")</f>
      </c>
      <c r="M74" s="79">
        <f>IFERROR(VLOOKUP($A:$A,CS!$A:$AK,22,FALSE),"")</f>
      </c>
      <c r="N74" s="79">
        <f>IFERROR(VLOOKUP($A:$A,CS!$A:$AK,19,FALSE),"")</f>
      </c>
      <c r="O74" s="79">
        <f>IFERROR(VLOOKUP($A:$A,CS!$A:$AK,23,FALSE),"")</f>
      </c>
      <c r="P74" s="79">
        <f>IFERROR(VLOOKUP($A:$A,CS!$A:$AK,24,FALSE),"")</f>
      </c>
      <c r="Q74" s="79">
        <f>IFERROR(VLOOKUP($A:$A,CS!$A:$AK,25,FALSE),"")</f>
      </c>
      <c r="R74" s="79">
        <f>IFERROR(VLOOKUP($A:$A,CS!$A:$AK,26,FALSE),"")</f>
      </c>
      <c r="S74" s="79">
        <f>IFERROR(VLOOKUP($A:$A,CS!$A:$AK,29,FALSE),"")</f>
      </c>
      <c r="T74" s="79">
        <f>IFERROR(VLOOKUP($A:$A,CS!$A:$AK,33,FALSE),"")</f>
      </c>
      <c r="U74" s="79">
        <f>IFERROR(VLOOKUP($A:$A,CS!$A:$AK,34,FALSE),"")</f>
      </c>
      <c r="V74" s="79">
        <f>IFERROR(VLOOKUP($A:$A,CS!$A:$AK,35,FALSE),"")</f>
      </c>
      <c r="W74" s="79">
        <f>IFERROR(VLOOKUP($A:$A,CS!$A:$AK,36,FALSE),"")</f>
      </c>
    </row>
    <row r="75" ht="16.5" customHeight="1" spans="1:23" x14ac:dyDescent="0.25">
      <c r="A75" s="93"/>
      <c r="B75" s="79">
        <f>IFERROR(VLOOKUP($A:$A,CS!$A:$AK,3,FALSE),"")</f>
      </c>
      <c r="C75" s="79">
        <f>IFERROR(VLOOKUP($A:$A,CS!$A:$AK,4,FALSE),"")</f>
      </c>
      <c r="D75" s="79">
        <f>IFERROR(VLOOKUP($A:$A,CS!$A:$AK,5,FALSE),"")</f>
      </c>
      <c r="E75" s="79">
        <f>IFERROR(VLOOKUP($A:$A,CS!$A:$AK,7,FALSE),"")</f>
      </c>
      <c r="F75" s="79">
        <f>IFERROR(VLOOKUP($A:$A,CS!$A:$AK,8,FALSE),"")</f>
      </c>
      <c r="G75" s="79">
        <f>IFERROR(VLOOKUP($A:$A,CS!$A:$AK,10,FALSE),"")</f>
      </c>
      <c r="H75" s="79">
        <f>IFERROR(VLOOKUP($A:$A,CS!$A:$AK,14,FALSE),"")</f>
      </c>
      <c r="I75" s="79">
        <f>IFERROR(VLOOKUP($A:$A,CS!$A:$AK,15,FALSE),"")</f>
      </c>
      <c r="J75" s="79">
        <f>IFERROR(VLOOKUP($A:$A,CS!$A:$AK,18,FALSE),"")</f>
      </c>
      <c r="K75" s="79">
        <f>IFERROR(VLOOKUP($A:$A,CS!$A:$AK,19,FALSE),"")</f>
      </c>
      <c r="L75" s="79">
        <f>IFERROR(VLOOKUP($A:$A,CS!$A:$AK,20,FALSE),"")</f>
      </c>
      <c r="M75" s="79">
        <f>IFERROR(VLOOKUP($A:$A,CS!$A:$AK,22,FALSE),"")</f>
      </c>
      <c r="N75" s="79">
        <f>IFERROR(VLOOKUP($A:$A,CS!$A:$AK,19,FALSE),"")</f>
      </c>
      <c r="O75" s="79">
        <f>IFERROR(VLOOKUP($A:$A,CS!$A:$AK,23,FALSE),"")</f>
      </c>
      <c r="P75" s="79">
        <f>IFERROR(VLOOKUP($A:$A,CS!$A:$AK,24,FALSE),"")</f>
      </c>
      <c r="Q75" s="79">
        <f>IFERROR(VLOOKUP($A:$A,CS!$A:$AK,25,FALSE),"")</f>
      </c>
      <c r="R75" s="79">
        <f>IFERROR(VLOOKUP($A:$A,CS!$A:$AK,26,FALSE),"")</f>
      </c>
      <c r="S75" s="79">
        <f>IFERROR(VLOOKUP($A:$A,CS!$A:$AK,29,FALSE),"")</f>
      </c>
      <c r="T75" s="79">
        <f>IFERROR(VLOOKUP($A:$A,CS!$A:$AK,33,FALSE),"")</f>
      </c>
      <c r="U75" s="79">
        <f>IFERROR(VLOOKUP($A:$A,CS!$A:$AK,34,FALSE),"")</f>
      </c>
      <c r="V75" s="79">
        <f>IFERROR(VLOOKUP($A:$A,CS!$A:$AK,35,FALSE),"")</f>
      </c>
      <c r="W75" s="79">
        <f>IFERROR(VLOOKUP($A:$A,CS!$A:$AK,36,FALSE),"")</f>
      </c>
    </row>
    <row r="76" ht="16.5" customHeight="1" spans="1:23" x14ac:dyDescent="0.25">
      <c r="A76" s="93"/>
      <c r="B76" s="79">
        <f>IFERROR(VLOOKUP($A:$A,CS!$A:$AK,3,FALSE),"")</f>
      </c>
      <c r="C76" s="79">
        <f>IFERROR(VLOOKUP($A:$A,CS!$A:$AK,4,FALSE),"")</f>
      </c>
      <c r="D76" s="79">
        <f>IFERROR(VLOOKUP($A:$A,CS!$A:$AK,5,FALSE),"")</f>
      </c>
      <c r="E76" s="79">
        <f>IFERROR(VLOOKUP($A:$A,CS!$A:$AK,7,FALSE),"")</f>
      </c>
      <c r="F76" s="79">
        <f>IFERROR(VLOOKUP($A:$A,CS!$A:$AK,8,FALSE),"")</f>
      </c>
      <c r="G76" s="79">
        <f>IFERROR(VLOOKUP($A:$A,CS!$A:$AK,10,FALSE),"")</f>
      </c>
      <c r="H76" s="79">
        <f>IFERROR(VLOOKUP($A:$A,CS!$A:$AK,14,FALSE),"")</f>
      </c>
      <c r="I76" s="79">
        <f>IFERROR(VLOOKUP($A:$A,CS!$A:$AK,15,FALSE),"")</f>
      </c>
      <c r="J76" s="79">
        <f>IFERROR(VLOOKUP($A:$A,CS!$A:$AK,18,FALSE),"")</f>
      </c>
      <c r="K76" s="79">
        <f>IFERROR(VLOOKUP($A:$A,CS!$A:$AK,19,FALSE),"")</f>
      </c>
      <c r="L76" s="79">
        <f>IFERROR(VLOOKUP($A:$A,CS!$A:$AK,20,FALSE),"")</f>
      </c>
      <c r="M76" s="79">
        <f>IFERROR(VLOOKUP($A:$A,CS!$A:$AK,22,FALSE),"")</f>
      </c>
      <c r="N76" s="79">
        <f>IFERROR(VLOOKUP($A:$A,CS!$A:$AK,19,FALSE),"")</f>
      </c>
      <c r="O76" s="79">
        <f>IFERROR(VLOOKUP($A:$A,CS!$A:$AK,23,FALSE),"")</f>
      </c>
      <c r="P76" s="79">
        <f>IFERROR(VLOOKUP($A:$A,CS!$A:$AK,24,FALSE),"")</f>
      </c>
      <c r="Q76" s="79">
        <f>IFERROR(VLOOKUP($A:$A,CS!$A:$AK,25,FALSE),"")</f>
      </c>
      <c r="R76" s="79">
        <f>IFERROR(VLOOKUP($A:$A,CS!$A:$AK,26,FALSE),"")</f>
      </c>
      <c r="S76" s="79">
        <f>IFERROR(VLOOKUP($A:$A,CS!$A:$AK,29,FALSE),"")</f>
      </c>
      <c r="T76" s="79">
        <f>IFERROR(VLOOKUP($A:$A,CS!$A:$AK,33,FALSE),"")</f>
      </c>
      <c r="U76" s="79">
        <f>IFERROR(VLOOKUP($A:$A,CS!$A:$AK,34,FALSE),"")</f>
      </c>
      <c r="V76" s="79">
        <f>IFERROR(VLOOKUP($A:$A,CS!$A:$AK,35,FALSE),"")</f>
      </c>
      <c r="W76" s="79">
        <f>IFERROR(VLOOKUP($A:$A,CS!$A:$AK,36,FALSE),"")</f>
      </c>
    </row>
    <row r="77" ht="16.5" customHeight="1" spans="1:23" x14ac:dyDescent="0.25">
      <c r="A77" s="93"/>
      <c r="B77" s="79">
        <f>IFERROR(VLOOKUP($A:$A,CS!$A:$AK,3,FALSE),"")</f>
      </c>
      <c r="C77" s="79">
        <f>IFERROR(VLOOKUP($A:$A,CS!$A:$AK,4,FALSE),"")</f>
      </c>
      <c r="D77" s="79">
        <f>IFERROR(VLOOKUP($A:$A,CS!$A:$AK,5,FALSE),"")</f>
      </c>
      <c r="E77" s="79">
        <f>IFERROR(VLOOKUP($A:$A,CS!$A:$AK,7,FALSE),"")</f>
      </c>
      <c r="F77" s="79">
        <f>IFERROR(VLOOKUP($A:$A,CS!$A:$AK,8,FALSE),"")</f>
      </c>
      <c r="G77" s="79">
        <f>IFERROR(VLOOKUP($A:$A,CS!$A:$AK,10,FALSE),"")</f>
      </c>
      <c r="H77" s="79">
        <f>IFERROR(VLOOKUP($A:$A,CS!$A:$AK,14,FALSE),"")</f>
      </c>
      <c r="I77" s="79">
        <f>IFERROR(VLOOKUP($A:$A,CS!$A:$AK,15,FALSE),"")</f>
      </c>
      <c r="J77" s="79">
        <f>IFERROR(VLOOKUP($A:$A,CS!$A:$AK,18,FALSE),"")</f>
      </c>
      <c r="K77" s="79">
        <f>IFERROR(VLOOKUP($A:$A,CS!$A:$AK,19,FALSE),"")</f>
      </c>
      <c r="L77" s="79">
        <f>IFERROR(VLOOKUP($A:$A,CS!$A:$AK,20,FALSE),"")</f>
      </c>
      <c r="M77" s="79">
        <f>IFERROR(VLOOKUP($A:$A,CS!$A:$AK,22,FALSE),"")</f>
      </c>
      <c r="N77" s="79">
        <f>IFERROR(VLOOKUP($A:$A,CS!$A:$AK,19,FALSE),"")</f>
      </c>
      <c r="O77" s="79">
        <f>IFERROR(VLOOKUP($A:$A,CS!$A:$AK,23,FALSE),"")</f>
      </c>
      <c r="P77" s="79">
        <f>IFERROR(VLOOKUP($A:$A,CS!$A:$AK,24,FALSE),"")</f>
      </c>
      <c r="Q77" s="79">
        <f>IFERROR(VLOOKUP($A:$A,CS!$A:$AK,25,FALSE),"")</f>
      </c>
      <c r="R77" s="79">
        <f>IFERROR(VLOOKUP($A:$A,CS!$A:$AK,26,FALSE),"")</f>
      </c>
      <c r="S77" s="79">
        <f>IFERROR(VLOOKUP($A:$A,CS!$A:$AK,29,FALSE),"")</f>
      </c>
      <c r="T77" s="79">
        <f>IFERROR(VLOOKUP($A:$A,CS!$A:$AK,33,FALSE),"")</f>
      </c>
      <c r="U77" s="79">
        <f>IFERROR(VLOOKUP($A:$A,CS!$A:$AK,34,FALSE),"")</f>
      </c>
      <c r="V77" s="79">
        <f>IFERROR(VLOOKUP($A:$A,CS!$A:$AK,35,FALSE),"")</f>
      </c>
      <c r="W77" s="79">
        <f>IFERROR(VLOOKUP($A:$A,CS!$A:$AK,36,FALSE),"")</f>
      </c>
    </row>
    <row r="78" ht="16.5" customHeight="1" spans="1:23" x14ac:dyDescent="0.25">
      <c r="A78" s="93"/>
      <c r="B78" s="79">
        <f>IFERROR(VLOOKUP($A:$A,CS!$A:$AK,3,FALSE),"")</f>
      </c>
      <c r="C78" s="79">
        <f>IFERROR(VLOOKUP($A:$A,CS!$A:$AK,4,FALSE),"")</f>
      </c>
      <c r="D78" s="79">
        <f>IFERROR(VLOOKUP($A:$A,CS!$A:$AK,5,FALSE),"")</f>
      </c>
      <c r="E78" s="79">
        <f>IFERROR(VLOOKUP($A:$A,CS!$A:$AK,7,FALSE),"")</f>
      </c>
      <c r="F78" s="79">
        <f>IFERROR(VLOOKUP($A:$A,CS!$A:$AK,8,FALSE),"")</f>
      </c>
      <c r="G78" s="79">
        <f>IFERROR(VLOOKUP($A:$A,CS!$A:$AK,10,FALSE),"")</f>
      </c>
      <c r="H78" s="79">
        <f>IFERROR(VLOOKUP($A:$A,CS!$A:$AK,14,FALSE),"")</f>
      </c>
      <c r="I78" s="79">
        <f>IFERROR(VLOOKUP($A:$A,CS!$A:$AK,15,FALSE),"")</f>
      </c>
      <c r="J78" s="79">
        <f>IFERROR(VLOOKUP($A:$A,CS!$A:$AK,18,FALSE),"")</f>
      </c>
      <c r="K78" s="79">
        <f>IFERROR(VLOOKUP($A:$A,CS!$A:$AK,19,FALSE),"")</f>
      </c>
      <c r="L78" s="79">
        <f>IFERROR(VLOOKUP($A:$A,CS!$A:$AK,20,FALSE),"")</f>
      </c>
      <c r="M78" s="79">
        <f>IFERROR(VLOOKUP($A:$A,CS!$A:$AK,22,FALSE),"")</f>
      </c>
      <c r="N78" s="79">
        <f>IFERROR(VLOOKUP($A:$A,CS!$A:$AK,19,FALSE),"")</f>
      </c>
      <c r="O78" s="79">
        <f>IFERROR(VLOOKUP($A:$A,CS!$A:$AK,23,FALSE),"")</f>
      </c>
      <c r="P78" s="79">
        <f>IFERROR(VLOOKUP($A:$A,CS!$A:$AK,24,FALSE),"")</f>
      </c>
      <c r="Q78" s="79">
        <f>IFERROR(VLOOKUP($A:$A,CS!$A:$AK,25,FALSE),"")</f>
      </c>
      <c r="R78" s="79">
        <f>IFERROR(VLOOKUP($A:$A,CS!$A:$AK,26,FALSE),"")</f>
      </c>
      <c r="S78" s="79">
        <f>IFERROR(VLOOKUP($A:$A,CS!$A:$AK,29,FALSE),"")</f>
      </c>
      <c r="T78" s="79">
        <f>IFERROR(VLOOKUP($A:$A,CS!$A:$AK,33,FALSE),"")</f>
      </c>
      <c r="U78" s="79">
        <f>IFERROR(VLOOKUP($A:$A,CS!$A:$AK,34,FALSE),"")</f>
      </c>
      <c r="V78" s="79">
        <f>IFERROR(VLOOKUP($A:$A,CS!$A:$AK,35,FALSE),"")</f>
      </c>
      <c r="W78" s="79">
        <f>IFERROR(VLOOKUP($A:$A,CS!$A:$AK,36,FALSE),"")</f>
      </c>
    </row>
    <row r="79" ht="16.5" customHeight="1" spans="1:23" x14ac:dyDescent="0.25">
      <c r="A79" s="93"/>
      <c r="B79" s="79">
        <f>IFERROR(VLOOKUP($A:$A,CS!$A:$AK,3,FALSE),"")</f>
      </c>
      <c r="C79" s="79">
        <f>IFERROR(VLOOKUP($A:$A,CS!$A:$AK,4,FALSE),"")</f>
      </c>
      <c r="D79" s="79">
        <f>IFERROR(VLOOKUP($A:$A,CS!$A:$AK,5,FALSE),"")</f>
      </c>
      <c r="E79" s="79">
        <f>IFERROR(VLOOKUP($A:$A,CS!$A:$AK,7,FALSE),"")</f>
      </c>
      <c r="F79" s="79">
        <f>IFERROR(VLOOKUP($A:$A,CS!$A:$AK,8,FALSE),"")</f>
      </c>
      <c r="G79" s="79">
        <f>IFERROR(VLOOKUP($A:$A,CS!$A:$AK,10,FALSE),"")</f>
      </c>
      <c r="H79" s="79">
        <f>IFERROR(VLOOKUP($A:$A,CS!$A:$AK,14,FALSE),"")</f>
      </c>
      <c r="I79" s="79">
        <f>IFERROR(VLOOKUP($A:$A,CS!$A:$AK,15,FALSE),"")</f>
      </c>
      <c r="J79" s="79">
        <f>IFERROR(VLOOKUP($A:$A,CS!$A:$AK,18,FALSE),"")</f>
      </c>
      <c r="K79" s="79">
        <f>IFERROR(VLOOKUP($A:$A,CS!$A:$AK,19,FALSE),"")</f>
      </c>
      <c r="L79" s="79">
        <f>IFERROR(VLOOKUP($A:$A,CS!$A:$AK,20,FALSE),"")</f>
      </c>
      <c r="M79" s="79">
        <f>IFERROR(VLOOKUP($A:$A,CS!$A:$AK,22,FALSE),"")</f>
      </c>
      <c r="N79" s="79">
        <f>IFERROR(VLOOKUP($A:$A,CS!$A:$AK,19,FALSE),"")</f>
      </c>
      <c r="O79" s="79">
        <f>IFERROR(VLOOKUP($A:$A,CS!$A:$AK,23,FALSE),"")</f>
      </c>
      <c r="P79" s="79">
        <f>IFERROR(VLOOKUP($A:$A,CS!$A:$AK,24,FALSE),"")</f>
      </c>
      <c r="Q79" s="79">
        <f>IFERROR(VLOOKUP($A:$A,CS!$A:$AK,25,FALSE),"")</f>
      </c>
      <c r="R79" s="79">
        <f>IFERROR(VLOOKUP($A:$A,CS!$A:$AK,26,FALSE),"")</f>
      </c>
      <c r="S79" s="79">
        <f>IFERROR(VLOOKUP($A:$A,CS!$A:$AK,29,FALSE),"")</f>
      </c>
      <c r="T79" s="79">
        <f>IFERROR(VLOOKUP($A:$A,CS!$A:$AK,33,FALSE),"")</f>
      </c>
      <c r="U79" s="79">
        <f>IFERROR(VLOOKUP($A:$A,CS!$A:$AK,34,FALSE),"")</f>
      </c>
      <c r="V79" s="79">
        <f>IFERROR(VLOOKUP($A:$A,CS!$A:$AK,35,FALSE),"")</f>
      </c>
      <c r="W79" s="79">
        <f>IFERROR(VLOOKUP($A:$A,CS!$A:$AK,36,FALSE),"")</f>
      </c>
    </row>
    <row r="80" ht="16.5" customHeight="1" spans="1:23" x14ac:dyDescent="0.25">
      <c r="A80" s="93"/>
      <c r="B80" s="79">
        <f>IFERROR(VLOOKUP($A:$A,CS!$A:$AK,3,FALSE),"")</f>
      </c>
      <c r="C80" s="79">
        <f>IFERROR(VLOOKUP($A:$A,CS!$A:$AK,4,FALSE),"")</f>
      </c>
      <c r="D80" s="79">
        <f>IFERROR(VLOOKUP($A:$A,CS!$A:$AK,5,FALSE),"")</f>
      </c>
      <c r="E80" s="79">
        <f>IFERROR(VLOOKUP($A:$A,CS!$A:$AK,7,FALSE),"")</f>
      </c>
      <c r="F80" s="79">
        <f>IFERROR(VLOOKUP($A:$A,CS!$A:$AK,8,FALSE),"")</f>
      </c>
      <c r="G80" s="79">
        <f>IFERROR(VLOOKUP($A:$A,CS!$A:$AK,10,FALSE),"")</f>
      </c>
      <c r="H80" s="79">
        <f>IFERROR(VLOOKUP($A:$A,CS!$A:$AK,14,FALSE),"")</f>
      </c>
      <c r="I80" s="79">
        <f>IFERROR(VLOOKUP($A:$A,CS!$A:$AK,15,FALSE),"")</f>
      </c>
      <c r="J80" s="79">
        <f>IFERROR(VLOOKUP($A:$A,CS!$A:$AK,18,FALSE),"")</f>
      </c>
      <c r="K80" s="79">
        <f>IFERROR(VLOOKUP($A:$A,CS!$A:$AK,19,FALSE),"")</f>
      </c>
      <c r="L80" s="79">
        <f>IFERROR(VLOOKUP($A:$A,CS!$A:$AK,20,FALSE),"")</f>
      </c>
      <c r="M80" s="79">
        <f>IFERROR(VLOOKUP($A:$A,CS!$A:$AK,22,FALSE),"")</f>
      </c>
      <c r="N80" s="79">
        <f>IFERROR(VLOOKUP($A:$A,CS!$A:$AK,19,FALSE),"")</f>
      </c>
      <c r="O80" s="79">
        <f>IFERROR(VLOOKUP($A:$A,CS!$A:$AK,23,FALSE),"")</f>
      </c>
      <c r="P80" s="79">
        <f>IFERROR(VLOOKUP($A:$A,CS!$A:$AK,24,FALSE),"")</f>
      </c>
      <c r="Q80" s="79">
        <f>IFERROR(VLOOKUP($A:$A,CS!$A:$AK,25,FALSE),"")</f>
      </c>
      <c r="R80" s="79">
        <f>IFERROR(VLOOKUP($A:$A,CS!$A:$AK,26,FALSE),"")</f>
      </c>
      <c r="S80" s="79">
        <f>IFERROR(VLOOKUP($A:$A,CS!$A:$AK,29,FALSE),"")</f>
      </c>
      <c r="T80" s="79">
        <f>IFERROR(VLOOKUP($A:$A,CS!$A:$AK,33,FALSE),"")</f>
      </c>
      <c r="U80" s="79">
        <f>IFERROR(VLOOKUP($A:$A,CS!$A:$AK,34,FALSE),"")</f>
      </c>
      <c r="V80" s="79">
        <f>IFERROR(VLOOKUP($A:$A,CS!$A:$AK,35,FALSE),"")</f>
      </c>
      <c r="W80" s="79">
        <f>IFERROR(VLOOKUP($A:$A,CS!$A:$AK,36,FALSE),"")</f>
      </c>
    </row>
    <row r="81" ht="16.5" customHeight="1" spans="1:23" x14ac:dyDescent="0.25">
      <c r="A81" s="93"/>
      <c r="B81" s="79">
        <f>IFERROR(VLOOKUP($A:$A,CS!$A:$AK,3,FALSE),"")</f>
      </c>
      <c r="C81" s="79">
        <f>IFERROR(VLOOKUP($A:$A,CS!$A:$AK,4,FALSE),"")</f>
      </c>
      <c r="D81" s="79">
        <f>IFERROR(VLOOKUP($A:$A,CS!$A:$AK,5,FALSE),"")</f>
      </c>
      <c r="E81" s="79">
        <f>IFERROR(VLOOKUP($A:$A,CS!$A:$AK,7,FALSE),"")</f>
      </c>
      <c r="F81" s="79">
        <f>IFERROR(VLOOKUP($A:$A,CS!$A:$AK,8,FALSE),"")</f>
      </c>
      <c r="G81" s="79">
        <f>IFERROR(VLOOKUP($A:$A,CS!$A:$AK,10,FALSE),"")</f>
      </c>
      <c r="H81" s="79">
        <f>IFERROR(VLOOKUP($A:$A,CS!$A:$AK,14,FALSE),"")</f>
      </c>
      <c r="I81" s="79">
        <f>IFERROR(VLOOKUP($A:$A,CS!$A:$AK,15,FALSE),"")</f>
      </c>
      <c r="J81" s="79">
        <f>IFERROR(VLOOKUP($A:$A,CS!$A:$AK,18,FALSE),"")</f>
      </c>
      <c r="K81" s="79">
        <f>IFERROR(VLOOKUP($A:$A,CS!$A:$AK,19,FALSE),"")</f>
      </c>
      <c r="L81" s="79">
        <f>IFERROR(VLOOKUP($A:$A,CS!$A:$AK,20,FALSE),"")</f>
      </c>
      <c r="M81" s="79">
        <f>IFERROR(VLOOKUP($A:$A,CS!$A:$AK,22,FALSE),"")</f>
      </c>
      <c r="N81" s="79">
        <f>IFERROR(VLOOKUP($A:$A,CS!$A:$AK,19,FALSE),"")</f>
      </c>
      <c r="O81" s="79">
        <f>IFERROR(VLOOKUP($A:$A,CS!$A:$AK,23,FALSE),"")</f>
      </c>
      <c r="P81" s="79">
        <f>IFERROR(VLOOKUP($A:$A,CS!$A:$AK,24,FALSE),"")</f>
      </c>
      <c r="Q81" s="79">
        <f>IFERROR(VLOOKUP($A:$A,CS!$A:$AK,25,FALSE),"")</f>
      </c>
      <c r="R81" s="79">
        <f>IFERROR(VLOOKUP($A:$A,CS!$A:$AK,26,FALSE),"")</f>
      </c>
      <c r="S81" s="79">
        <f>IFERROR(VLOOKUP($A:$A,CS!$A:$AK,29,FALSE),"")</f>
      </c>
      <c r="T81" s="79">
        <f>IFERROR(VLOOKUP($A:$A,CS!$A:$AK,33,FALSE),"")</f>
      </c>
      <c r="U81" s="79">
        <f>IFERROR(VLOOKUP($A:$A,CS!$A:$AK,34,FALSE),"")</f>
      </c>
      <c r="V81" s="79">
        <f>IFERROR(VLOOKUP($A:$A,CS!$A:$AK,35,FALSE),"")</f>
      </c>
      <c r="W81" s="79">
        <f>IFERROR(VLOOKUP($A:$A,CS!$A:$AK,36,FALSE),"")</f>
      </c>
    </row>
    <row r="82" ht="16.5" customHeight="1" spans="1:23" x14ac:dyDescent="0.25">
      <c r="A82" s="93"/>
      <c r="B82" s="79">
        <f>IFERROR(VLOOKUP($A:$A,CS!$A:$AK,3,FALSE),"")</f>
      </c>
      <c r="C82" s="79">
        <f>IFERROR(VLOOKUP($A:$A,CS!$A:$AK,4,FALSE),"")</f>
      </c>
      <c r="D82" s="79">
        <f>IFERROR(VLOOKUP($A:$A,CS!$A:$AK,5,FALSE),"")</f>
      </c>
      <c r="E82" s="79">
        <f>IFERROR(VLOOKUP($A:$A,CS!$A:$AK,7,FALSE),"")</f>
      </c>
      <c r="F82" s="79">
        <f>IFERROR(VLOOKUP($A:$A,CS!$A:$AK,8,FALSE),"")</f>
      </c>
      <c r="G82" s="79">
        <f>IFERROR(VLOOKUP($A:$A,CS!$A:$AK,10,FALSE),"")</f>
      </c>
      <c r="H82" s="79">
        <f>IFERROR(VLOOKUP($A:$A,CS!$A:$AK,14,FALSE),"")</f>
      </c>
      <c r="I82" s="79">
        <f>IFERROR(VLOOKUP($A:$A,CS!$A:$AK,15,FALSE),"")</f>
      </c>
      <c r="J82" s="79">
        <f>IFERROR(VLOOKUP($A:$A,CS!$A:$AK,18,FALSE),"")</f>
      </c>
      <c r="K82" s="79">
        <f>IFERROR(VLOOKUP($A:$A,CS!$A:$AK,19,FALSE),"")</f>
      </c>
      <c r="L82" s="79">
        <f>IFERROR(VLOOKUP($A:$A,CS!$A:$AK,20,FALSE),"")</f>
      </c>
      <c r="M82" s="79">
        <f>IFERROR(VLOOKUP($A:$A,CS!$A:$AK,22,FALSE),"")</f>
      </c>
      <c r="N82" s="79">
        <f>IFERROR(VLOOKUP($A:$A,CS!$A:$AK,19,FALSE),"")</f>
      </c>
      <c r="O82" s="79">
        <f>IFERROR(VLOOKUP($A:$A,CS!$A:$AK,23,FALSE),"")</f>
      </c>
      <c r="P82" s="79">
        <f>IFERROR(VLOOKUP($A:$A,CS!$A:$AK,24,FALSE),"")</f>
      </c>
      <c r="Q82" s="79">
        <f>IFERROR(VLOOKUP($A:$A,CS!$A:$AK,25,FALSE),"")</f>
      </c>
      <c r="R82" s="79">
        <f>IFERROR(VLOOKUP($A:$A,CS!$A:$AK,26,FALSE),"")</f>
      </c>
      <c r="S82" s="79">
        <f>IFERROR(VLOOKUP($A:$A,CS!$A:$AK,29,FALSE),"")</f>
      </c>
      <c r="T82" s="79">
        <f>IFERROR(VLOOKUP($A:$A,CS!$A:$AK,33,FALSE),"")</f>
      </c>
      <c r="U82" s="79">
        <f>IFERROR(VLOOKUP($A:$A,CS!$A:$AK,34,FALSE),"")</f>
      </c>
      <c r="V82" s="79">
        <f>IFERROR(VLOOKUP($A:$A,CS!$A:$AK,35,FALSE),"")</f>
      </c>
      <c r="W82" s="79">
        <f>IFERROR(VLOOKUP($A:$A,CS!$A:$AK,36,FALSE),"")</f>
      </c>
    </row>
    <row r="83" ht="16.5" customHeight="1" spans="1:23" x14ac:dyDescent="0.25">
      <c r="A83" s="93"/>
      <c r="B83" s="79">
        <f>IFERROR(VLOOKUP($A:$A,CS!$A:$AK,3,FALSE),"")</f>
      </c>
      <c r="C83" s="79">
        <f>IFERROR(VLOOKUP($A:$A,CS!$A:$AK,4,FALSE),"")</f>
      </c>
      <c r="D83" s="79">
        <f>IFERROR(VLOOKUP($A:$A,CS!$A:$AK,5,FALSE),"")</f>
      </c>
      <c r="E83" s="79">
        <f>IFERROR(VLOOKUP($A:$A,CS!$A:$AK,7,FALSE),"")</f>
      </c>
      <c r="F83" s="79">
        <f>IFERROR(VLOOKUP($A:$A,CS!$A:$AK,8,FALSE),"")</f>
      </c>
      <c r="G83" s="79">
        <f>IFERROR(VLOOKUP($A:$A,CS!$A:$AK,10,FALSE),"")</f>
      </c>
      <c r="H83" s="79">
        <f>IFERROR(VLOOKUP($A:$A,CS!$A:$AK,14,FALSE),"")</f>
      </c>
      <c r="I83" s="79">
        <f>IFERROR(VLOOKUP($A:$A,CS!$A:$AK,15,FALSE),"")</f>
      </c>
      <c r="J83" s="79">
        <f>IFERROR(VLOOKUP($A:$A,CS!$A:$AK,18,FALSE),"")</f>
      </c>
      <c r="K83" s="79">
        <f>IFERROR(VLOOKUP($A:$A,CS!$A:$AK,19,FALSE),"")</f>
      </c>
      <c r="L83" s="79">
        <f>IFERROR(VLOOKUP($A:$A,CS!$A:$AK,20,FALSE),"")</f>
      </c>
      <c r="M83" s="79">
        <f>IFERROR(VLOOKUP($A:$A,CS!$A:$AK,22,FALSE),"")</f>
      </c>
      <c r="N83" s="79">
        <f>IFERROR(VLOOKUP($A:$A,CS!$A:$AK,19,FALSE),"")</f>
      </c>
      <c r="O83" s="79">
        <f>IFERROR(VLOOKUP($A:$A,CS!$A:$AK,23,FALSE),"")</f>
      </c>
      <c r="P83" s="79">
        <f>IFERROR(VLOOKUP($A:$A,CS!$A:$AK,24,FALSE),"")</f>
      </c>
      <c r="Q83" s="79">
        <f>IFERROR(VLOOKUP($A:$A,CS!$A:$AK,25,FALSE),"")</f>
      </c>
      <c r="R83" s="79">
        <f>IFERROR(VLOOKUP($A:$A,CS!$A:$AK,26,FALSE),"")</f>
      </c>
      <c r="S83" s="79">
        <f>IFERROR(VLOOKUP($A:$A,CS!$A:$AK,29,FALSE),"")</f>
      </c>
      <c r="T83" s="79">
        <f>IFERROR(VLOOKUP($A:$A,CS!$A:$AK,33,FALSE),"")</f>
      </c>
      <c r="U83" s="79">
        <f>IFERROR(VLOOKUP($A:$A,CS!$A:$AK,34,FALSE),"")</f>
      </c>
      <c r="V83" s="79">
        <f>IFERROR(VLOOKUP($A:$A,CS!$A:$AK,35,FALSE),"")</f>
      </c>
      <c r="W83" s="79">
        <f>IFERROR(VLOOKUP($A:$A,CS!$A:$AK,36,FALSE),"")</f>
      </c>
    </row>
    <row r="84" ht="16.5" customHeight="1" spans="1:23" x14ac:dyDescent="0.25">
      <c r="A84" s="93"/>
      <c r="B84" s="79">
        <f>IFERROR(VLOOKUP($A:$A,CS!$A:$AK,3,FALSE),"")</f>
      </c>
      <c r="C84" s="79">
        <f>IFERROR(VLOOKUP($A:$A,CS!$A:$AK,4,FALSE),"")</f>
      </c>
      <c r="D84" s="79">
        <f>IFERROR(VLOOKUP($A:$A,CS!$A:$AK,5,FALSE),"")</f>
      </c>
      <c r="E84" s="79">
        <f>IFERROR(VLOOKUP($A:$A,CS!$A:$AK,7,FALSE),"")</f>
      </c>
      <c r="F84" s="79">
        <f>IFERROR(VLOOKUP($A:$A,CS!$A:$AK,8,FALSE),"")</f>
      </c>
      <c r="G84" s="79">
        <f>IFERROR(VLOOKUP($A:$A,CS!$A:$AK,10,FALSE),"")</f>
      </c>
      <c r="H84" s="79">
        <f>IFERROR(VLOOKUP($A:$A,CS!$A:$AK,14,FALSE),"")</f>
      </c>
      <c r="I84" s="79">
        <f>IFERROR(VLOOKUP($A:$A,CS!$A:$AK,15,FALSE),"")</f>
      </c>
      <c r="J84" s="79">
        <f>IFERROR(VLOOKUP($A:$A,CS!$A:$AK,18,FALSE),"")</f>
      </c>
      <c r="K84" s="79">
        <f>IFERROR(VLOOKUP($A:$A,CS!$A:$AK,19,FALSE),"")</f>
      </c>
      <c r="L84" s="79">
        <f>IFERROR(VLOOKUP($A:$A,CS!$A:$AK,20,FALSE),"")</f>
      </c>
      <c r="M84" s="79">
        <f>IFERROR(VLOOKUP($A:$A,CS!$A:$AK,22,FALSE),"")</f>
      </c>
      <c r="N84" s="79">
        <f>IFERROR(VLOOKUP($A:$A,CS!$A:$AK,19,FALSE),"")</f>
      </c>
      <c r="O84" s="79">
        <f>IFERROR(VLOOKUP($A:$A,CS!$A:$AK,23,FALSE),"")</f>
      </c>
      <c r="P84" s="79">
        <f>IFERROR(VLOOKUP($A:$A,CS!$A:$AK,24,FALSE),"")</f>
      </c>
      <c r="Q84" s="79">
        <f>IFERROR(VLOOKUP($A:$A,CS!$A:$AK,25,FALSE),"")</f>
      </c>
      <c r="R84" s="79">
        <f>IFERROR(VLOOKUP($A:$A,CS!$A:$AK,26,FALSE),"")</f>
      </c>
      <c r="S84" s="79">
        <f>IFERROR(VLOOKUP($A:$A,CS!$A:$AK,29,FALSE),"")</f>
      </c>
      <c r="T84" s="79">
        <f>IFERROR(VLOOKUP($A:$A,CS!$A:$AK,33,FALSE),"")</f>
      </c>
      <c r="U84" s="79">
        <f>IFERROR(VLOOKUP($A:$A,CS!$A:$AK,34,FALSE),"")</f>
      </c>
      <c r="V84" s="79">
        <f>IFERROR(VLOOKUP($A:$A,CS!$A:$AK,35,FALSE),"")</f>
      </c>
      <c r="W84" s="79">
        <f>IFERROR(VLOOKUP($A:$A,CS!$A:$AK,36,FALSE),"")</f>
      </c>
    </row>
    <row r="85" ht="16.5" customHeight="1" spans="1:23" x14ac:dyDescent="0.25">
      <c r="A85" s="93"/>
      <c r="B85" s="79">
        <f>IFERROR(VLOOKUP($A:$A,CS!$A:$AK,3,FALSE),"")</f>
      </c>
      <c r="C85" s="79">
        <f>IFERROR(VLOOKUP($A:$A,CS!$A:$AK,4,FALSE),"")</f>
      </c>
      <c r="D85" s="79">
        <f>IFERROR(VLOOKUP($A:$A,CS!$A:$AK,5,FALSE),"")</f>
      </c>
      <c r="E85" s="79">
        <f>IFERROR(VLOOKUP($A:$A,CS!$A:$AK,7,FALSE),"")</f>
      </c>
      <c r="F85" s="79">
        <f>IFERROR(VLOOKUP($A:$A,CS!$A:$AK,8,FALSE),"")</f>
      </c>
      <c r="G85" s="79">
        <f>IFERROR(VLOOKUP($A:$A,CS!$A:$AK,10,FALSE),"")</f>
      </c>
      <c r="H85" s="79">
        <f>IFERROR(VLOOKUP($A:$A,CS!$A:$AK,14,FALSE),"")</f>
      </c>
      <c r="I85" s="79">
        <f>IFERROR(VLOOKUP($A:$A,CS!$A:$AK,15,FALSE),"")</f>
      </c>
      <c r="J85" s="79">
        <f>IFERROR(VLOOKUP($A:$A,CS!$A:$AK,18,FALSE),"")</f>
      </c>
      <c r="K85" s="79">
        <f>IFERROR(VLOOKUP($A:$A,CS!$A:$AK,19,FALSE),"")</f>
      </c>
      <c r="L85" s="79">
        <f>IFERROR(VLOOKUP($A:$A,CS!$A:$AK,20,FALSE),"")</f>
      </c>
      <c r="M85" s="79">
        <f>IFERROR(VLOOKUP($A:$A,CS!$A:$AK,22,FALSE),"")</f>
      </c>
      <c r="N85" s="79">
        <f>IFERROR(VLOOKUP($A:$A,CS!$A:$AK,19,FALSE),"")</f>
      </c>
      <c r="O85" s="79">
        <f>IFERROR(VLOOKUP($A:$A,CS!$A:$AK,23,FALSE),"")</f>
      </c>
      <c r="P85" s="79">
        <f>IFERROR(VLOOKUP($A:$A,CS!$A:$AK,24,FALSE),"")</f>
      </c>
      <c r="Q85" s="79">
        <f>IFERROR(VLOOKUP($A:$A,CS!$A:$AK,25,FALSE),"")</f>
      </c>
      <c r="R85" s="79">
        <f>IFERROR(VLOOKUP($A:$A,CS!$A:$AK,26,FALSE),"")</f>
      </c>
      <c r="S85" s="79">
        <f>IFERROR(VLOOKUP($A:$A,CS!$A:$AK,29,FALSE),"")</f>
      </c>
      <c r="T85" s="79">
        <f>IFERROR(VLOOKUP($A:$A,CS!$A:$AK,33,FALSE),"")</f>
      </c>
      <c r="U85" s="79">
        <f>IFERROR(VLOOKUP($A:$A,CS!$A:$AK,34,FALSE),"")</f>
      </c>
      <c r="V85" s="79">
        <f>IFERROR(VLOOKUP($A:$A,CS!$A:$AK,35,FALSE),"")</f>
      </c>
      <c r="W85" s="79">
        <f>IFERROR(VLOOKUP($A:$A,CS!$A:$AK,36,FALSE),"")</f>
      </c>
    </row>
    <row r="86" ht="16.5" customHeight="1" spans="1:23" x14ac:dyDescent="0.25">
      <c r="A86" s="93"/>
      <c r="B86" s="79">
        <f>IFERROR(VLOOKUP($A:$A,CS!$A:$AK,3,FALSE),"")</f>
      </c>
      <c r="C86" s="79">
        <f>IFERROR(VLOOKUP($A:$A,CS!$A:$AK,4,FALSE),"")</f>
      </c>
      <c r="D86" s="79">
        <f>IFERROR(VLOOKUP($A:$A,CS!$A:$AK,5,FALSE),"")</f>
      </c>
      <c r="E86" s="79">
        <f>IFERROR(VLOOKUP($A:$A,CS!$A:$AK,7,FALSE),"")</f>
      </c>
      <c r="F86" s="79">
        <f>IFERROR(VLOOKUP($A:$A,CS!$A:$AK,8,FALSE),"")</f>
      </c>
      <c r="G86" s="79">
        <f>IFERROR(VLOOKUP($A:$A,CS!$A:$AK,10,FALSE),"")</f>
      </c>
      <c r="H86" s="79">
        <f>IFERROR(VLOOKUP($A:$A,CS!$A:$AK,14,FALSE),"")</f>
      </c>
      <c r="I86" s="79">
        <f>IFERROR(VLOOKUP($A:$A,CS!$A:$AK,15,FALSE),"")</f>
      </c>
      <c r="J86" s="79">
        <f>IFERROR(VLOOKUP($A:$A,CS!$A:$AK,18,FALSE),"")</f>
      </c>
      <c r="K86" s="79">
        <f>IFERROR(VLOOKUP($A:$A,CS!$A:$AK,19,FALSE),"")</f>
      </c>
      <c r="L86" s="79">
        <f>IFERROR(VLOOKUP($A:$A,CS!$A:$AK,20,FALSE),"")</f>
      </c>
      <c r="M86" s="79">
        <f>IFERROR(VLOOKUP($A:$A,CS!$A:$AK,22,FALSE),"")</f>
      </c>
      <c r="N86" s="79">
        <f>IFERROR(VLOOKUP($A:$A,CS!$A:$AK,19,FALSE),"")</f>
      </c>
      <c r="O86" s="79">
        <f>IFERROR(VLOOKUP($A:$A,CS!$A:$AK,23,FALSE),"")</f>
      </c>
      <c r="P86" s="79">
        <f>IFERROR(VLOOKUP($A:$A,CS!$A:$AK,24,FALSE),"")</f>
      </c>
      <c r="Q86" s="79">
        <f>IFERROR(VLOOKUP($A:$A,CS!$A:$AK,25,FALSE),"")</f>
      </c>
      <c r="R86" s="79">
        <f>IFERROR(VLOOKUP($A:$A,CS!$A:$AK,26,FALSE),"")</f>
      </c>
      <c r="S86" s="79">
        <f>IFERROR(VLOOKUP($A:$A,CS!$A:$AK,29,FALSE),"")</f>
      </c>
      <c r="T86" s="79">
        <f>IFERROR(VLOOKUP($A:$A,CS!$A:$AK,33,FALSE),"")</f>
      </c>
      <c r="U86" s="79">
        <f>IFERROR(VLOOKUP($A:$A,CS!$A:$AK,34,FALSE),"")</f>
      </c>
      <c r="V86" s="79">
        <f>IFERROR(VLOOKUP($A:$A,CS!$A:$AK,35,FALSE),"")</f>
      </c>
      <c r="W86" s="79">
        <f>IFERROR(VLOOKUP($A:$A,CS!$A:$AK,36,FALSE),"")</f>
      </c>
    </row>
    <row r="87" ht="16.5" customHeight="1" spans="1:23" x14ac:dyDescent="0.25">
      <c r="A87" s="93"/>
      <c r="B87" s="79">
        <f>IFERROR(VLOOKUP($A:$A,CS!$A:$AK,3,FALSE),"")</f>
      </c>
      <c r="C87" s="79">
        <f>IFERROR(VLOOKUP($A:$A,CS!$A:$AK,4,FALSE),"")</f>
      </c>
      <c r="D87" s="79">
        <f>IFERROR(VLOOKUP($A:$A,CS!$A:$AK,5,FALSE),"")</f>
      </c>
      <c r="E87" s="79">
        <f>IFERROR(VLOOKUP($A:$A,CS!$A:$AK,7,FALSE),"")</f>
      </c>
      <c r="F87" s="79">
        <f>IFERROR(VLOOKUP($A:$A,CS!$A:$AK,8,FALSE),"")</f>
      </c>
      <c r="G87" s="79">
        <f>IFERROR(VLOOKUP($A:$A,CS!$A:$AK,10,FALSE),"")</f>
      </c>
      <c r="H87" s="79">
        <f>IFERROR(VLOOKUP($A:$A,CS!$A:$AK,14,FALSE),"")</f>
      </c>
      <c r="I87" s="79">
        <f>IFERROR(VLOOKUP($A:$A,CS!$A:$AK,15,FALSE),"")</f>
      </c>
      <c r="J87" s="79">
        <f>IFERROR(VLOOKUP($A:$A,CS!$A:$AK,18,FALSE),"")</f>
      </c>
      <c r="K87" s="79">
        <f>IFERROR(VLOOKUP($A:$A,CS!$A:$AK,19,FALSE),"")</f>
      </c>
      <c r="L87" s="79">
        <f>IFERROR(VLOOKUP($A:$A,CS!$A:$AK,20,FALSE),"")</f>
      </c>
      <c r="M87" s="79">
        <f>IFERROR(VLOOKUP($A:$A,CS!$A:$AK,22,FALSE),"")</f>
      </c>
      <c r="N87" s="79">
        <f>IFERROR(VLOOKUP($A:$A,CS!$A:$AK,19,FALSE),"")</f>
      </c>
      <c r="O87" s="79">
        <f>IFERROR(VLOOKUP($A:$A,CS!$A:$AK,23,FALSE),"")</f>
      </c>
      <c r="P87" s="79">
        <f>IFERROR(VLOOKUP($A:$A,CS!$A:$AK,24,FALSE),"")</f>
      </c>
      <c r="Q87" s="79">
        <f>IFERROR(VLOOKUP($A:$A,CS!$A:$AK,25,FALSE),"")</f>
      </c>
      <c r="R87" s="79">
        <f>IFERROR(VLOOKUP($A:$A,CS!$A:$AK,26,FALSE),"")</f>
      </c>
      <c r="S87" s="79">
        <f>IFERROR(VLOOKUP($A:$A,CS!$A:$AK,29,FALSE),"")</f>
      </c>
      <c r="T87" s="79">
        <f>IFERROR(VLOOKUP($A:$A,CS!$A:$AK,33,FALSE),"")</f>
      </c>
      <c r="U87" s="79">
        <f>IFERROR(VLOOKUP($A:$A,CS!$A:$AK,34,FALSE),"")</f>
      </c>
      <c r="V87" s="79">
        <f>IFERROR(VLOOKUP($A:$A,CS!$A:$AK,35,FALSE),"")</f>
      </c>
      <c r="W87" s="79">
        <f>IFERROR(VLOOKUP($A:$A,CS!$A:$AK,36,FALSE),"")</f>
      </c>
    </row>
    <row r="88" ht="16.5" customHeight="1" spans="1:23" x14ac:dyDescent="0.25">
      <c r="A88" s="93"/>
      <c r="B88" s="79">
        <f>IFERROR(VLOOKUP($A:$A,CS!$A:$AK,3,FALSE),"")</f>
      </c>
      <c r="C88" s="79">
        <f>IFERROR(VLOOKUP($A:$A,CS!$A:$AK,4,FALSE),"")</f>
      </c>
      <c r="D88" s="79">
        <f>IFERROR(VLOOKUP($A:$A,CS!$A:$AK,5,FALSE),"")</f>
      </c>
      <c r="E88" s="79">
        <f>IFERROR(VLOOKUP($A:$A,CS!$A:$AK,7,FALSE),"")</f>
      </c>
      <c r="F88" s="79">
        <f>IFERROR(VLOOKUP($A:$A,CS!$A:$AK,8,FALSE),"")</f>
      </c>
      <c r="G88" s="79">
        <f>IFERROR(VLOOKUP($A:$A,CS!$A:$AK,10,FALSE),"")</f>
      </c>
      <c r="H88" s="79">
        <f>IFERROR(VLOOKUP($A:$A,CS!$A:$AK,14,FALSE),"")</f>
      </c>
      <c r="I88" s="79">
        <f>IFERROR(VLOOKUP($A:$A,CS!$A:$AK,15,FALSE),"")</f>
      </c>
      <c r="J88" s="79">
        <f>IFERROR(VLOOKUP($A:$A,CS!$A:$AK,18,FALSE),"")</f>
      </c>
      <c r="K88" s="79">
        <f>IFERROR(VLOOKUP($A:$A,CS!$A:$AK,19,FALSE),"")</f>
      </c>
      <c r="L88" s="79">
        <f>IFERROR(VLOOKUP($A:$A,CS!$A:$AK,20,FALSE),"")</f>
      </c>
      <c r="M88" s="79">
        <f>IFERROR(VLOOKUP($A:$A,CS!$A:$AK,22,FALSE),"")</f>
      </c>
      <c r="N88" s="79">
        <f>IFERROR(VLOOKUP($A:$A,CS!$A:$AK,19,FALSE),"")</f>
      </c>
      <c r="O88" s="79">
        <f>IFERROR(VLOOKUP($A:$A,CS!$A:$AK,23,FALSE),"")</f>
      </c>
      <c r="P88" s="79">
        <f>IFERROR(VLOOKUP($A:$A,CS!$A:$AK,24,FALSE),"")</f>
      </c>
      <c r="Q88" s="79">
        <f>IFERROR(VLOOKUP($A:$A,CS!$A:$AK,25,FALSE),"")</f>
      </c>
      <c r="R88" s="79">
        <f>IFERROR(VLOOKUP($A:$A,CS!$A:$AK,26,FALSE),"")</f>
      </c>
      <c r="S88" s="79">
        <f>IFERROR(VLOOKUP($A:$A,CS!$A:$AK,29,FALSE),"")</f>
      </c>
      <c r="T88" s="79">
        <f>IFERROR(VLOOKUP($A:$A,CS!$A:$AK,33,FALSE),"")</f>
      </c>
      <c r="U88" s="79">
        <f>IFERROR(VLOOKUP($A:$A,CS!$A:$AK,34,FALSE),"")</f>
      </c>
      <c r="V88" s="79">
        <f>IFERROR(VLOOKUP($A:$A,CS!$A:$AK,35,FALSE),"")</f>
      </c>
      <c r="W88" s="79">
        <f>IFERROR(VLOOKUP($A:$A,CS!$A:$AK,36,FALSE),"")</f>
      </c>
    </row>
    <row r="89" ht="16.5" customHeight="1" spans="1:23" x14ac:dyDescent="0.25">
      <c r="A89" s="93"/>
      <c r="B89" s="79">
        <f>IFERROR(VLOOKUP($A:$A,CS!$A:$AK,3,FALSE),"")</f>
      </c>
      <c r="C89" s="79">
        <f>IFERROR(VLOOKUP($A:$A,CS!$A:$AK,4,FALSE),"")</f>
      </c>
      <c r="D89" s="79">
        <f>IFERROR(VLOOKUP($A:$A,CS!$A:$AK,5,FALSE),"")</f>
      </c>
      <c r="E89" s="79">
        <f>IFERROR(VLOOKUP($A:$A,CS!$A:$AK,7,FALSE),"")</f>
      </c>
      <c r="F89" s="79">
        <f>IFERROR(VLOOKUP($A:$A,CS!$A:$AK,8,FALSE),"")</f>
      </c>
      <c r="G89" s="79">
        <f>IFERROR(VLOOKUP($A:$A,CS!$A:$AK,10,FALSE),"")</f>
      </c>
      <c r="H89" s="79">
        <f>IFERROR(VLOOKUP($A:$A,CS!$A:$AK,14,FALSE),"")</f>
      </c>
      <c r="I89" s="79">
        <f>IFERROR(VLOOKUP($A:$A,CS!$A:$AK,15,FALSE),"")</f>
      </c>
      <c r="J89" s="79">
        <f>IFERROR(VLOOKUP($A:$A,CS!$A:$AK,18,FALSE),"")</f>
      </c>
      <c r="K89" s="79">
        <f>IFERROR(VLOOKUP($A:$A,CS!$A:$AK,19,FALSE),"")</f>
      </c>
      <c r="L89" s="79">
        <f>IFERROR(VLOOKUP($A:$A,CS!$A:$AK,20,FALSE),"")</f>
      </c>
      <c r="M89" s="79">
        <f>IFERROR(VLOOKUP($A:$A,CS!$A:$AK,22,FALSE),"")</f>
      </c>
      <c r="N89" s="79">
        <f>IFERROR(VLOOKUP($A:$A,CS!$A:$AK,19,FALSE),"")</f>
      </c>
      <c r="O89" s="79">
        <f>IFERROR(VLOOKUP($A:$A,CS!$A:$AK,23,FALSE),"")</f>
      </c>
      <c r="P89" s="79">
        <f>IFERROR(VLOOKUP($A:$A,CS!$A:$AK,24,FALSE),"")</f>
      </c>
      <c r="Q89" s="79">
        <f>IFERROR(VLOOKUP($A:$A,CS!$A:$AK,25,FALSE),"")</f>
      </c>
      <c r="R89" s="79">
        <f>IFERROR(VLOOKUP($A:$A,CS!$A:$AK,26,FALSE),"")</f>
      </c>
      <c r="S89" s="79">
        <f>IFERROR(VLOOKUP($A:$A,CS!$A:$AK,29,FALSE),"")</f>
      </c>
      <c r="T89" s="79">
        <f>IFERROR(VLOOKUP($A:$A,CS!$A:$AK,33,FALSE),"")</f>
      </c>
      <c r="U89" s="79">
        <f>IFERROR(VLOOKUP($A:$A,CS!$A:$AK,34,FALSE),"")</f>
      </c>
      <c r="V89" s="79">
        <f>IFERROR(VLOOKUP($A:$A,CS!$A:$AK,35,FALSE),"")</f>
      </c>
      <c r="W89" s="79">
        <f>IFERROR(VLOOKUP($A:$A,CS!$A:$AK,36,FALSE),"")</f>
      </c>
    </row>
    <row r="90" ht="16.5" customHeight="1" spans="1:23" x14ac:dyDescent="0.25">
      <c r="A90" s="93"/>
      <c r="B90" s="79">
        <f>IFERROR(VLOOKUP($A:$A,CS!$A:$AK,3,FALSE),"")</f>
      </c>
      <c r="C90" s="79">
        <f>IFERROR(VLOOKUP($A:$A,CS!$A:$AK,4,FALSE),"")</f>
      </c>
      <c r="D90" s="79">
        <f>IFERROR(VLOOKUP($A:$A,CS!$A:$AK,5,FALSE),"")</f>
      </c>
      <c r="E90" s="79">
        <f>IFERROR(VLOOKUP($A:$A,CS!$A:$AK,7,FALSE),"")</f>
      </c>
      <c r="F90" s="79">
        <f>IFERROR(VLOOKUP($A:$A,CS!$A:$AK,8,FALSE),"")</f>
      </c>
      <c r="G90" s="79">
        <f>IFERROR(VLOOKUP($A:$A,CS!$A:$AK,10,FALSE),"")</f>
      </c>
      <c r="H90" s="79">
        <f>IFERROR(VLOOKUP($A:$A,CS!$A:$AK,14,FALSE),"")</f>
      </c>
      <c r="I90" s="79">
        <f>IFERROR(VLOOKUP($A:$A,CS!$A:$AK,15,FALSE),"")</f>
      </c>
      <c r="J90" s="79">
        <f>IFERROR(VLOOKUP($A:$A,CS!$A:$AK,18,FALSE),"")</f>
      </c>
      <c r="K90" s="79">
        <f>IFERROR(VLOOKUP($A:$A,CS!$A:$AK,19,FALSE),"")</f>
      </c>
      <c r="L90" s="79">
        <f>IFERROR(VLOOKUP($A:$A,CS!$A:$AK,20,FALSE),"")</f>
      </c>
      <c r="M90" s="79">
        <f>IFERROR(VLOOKUP($A:$A,CS!$A:$AK,22,FALSE),"")</f>
      </c>
      <c r="N90" s="79">
        <f>IFERROR(VLOOKUP($A:$A,CS!$A:$AK,19,FALSE),"")</f>
      </c>
      <c r="O90" s="79">
        <f>IFERROR(VLOOKUP($A:$A,CS!$A:$AK,23,FALSE),"")</f>
      </c>
      <c r="P90" s="79">
        <f>IFERROR(VLOOKUP($A:$A,CS!$A:$AK,24,FALSE),"")</f>
      </c>
      <c r="Q90" s="79">
        <f>IFERROR(VLOOKUP($A:$A,CS!$A:$AK,25,FALSE),"")</f>
      </c>
      <c r="R90" s="79">
        <f>IFERROR(VLOOKUP($A:$A,CS!$A:$AK,26,FALSE),"")</f>
      </c>
      <c r="S90" s="79">
        <f>IFERROR(VLOOKUP($A:$A,CS!$A:$AK,29,FALSE),"")</f>
      </c>
      <c r="T90" s="79">
        <f>IFERROR(VLOOKUP($A:$A,CS!$A:$AK,33,FALSE),"")</f>
      </c>
      <c r="U90" s="79">
        <f>IFERROR(VLOOKUP($A:$A,CS!$A:$AK,34,FALSE),"")</f>
      </c>
      <c r="V90" s="79">
        <f>IFERROR(VLOOKUP($A:$A,CS!$A:$AK,35,FALSE),"")</f>
      </c>
      <c r="W90" s="79">
        <f>IFERROR(VLOOKUP($A:$A,CS!$A:$AK,36,FALSE),"")</f>
      </c>
    </row>
    <row r="91" ht="16.5" customHeight="1" spans="1:23" x14ac:dyDescent="0.25">
      <c r="A91" s="93"/>
      <c r="B91" s="79">
        <f>IFERROR(VLOOKUP($A:$A,CS!$A:$AK,3,FALSE),"")</f>
      </c>
      <c r="C91" s="79">
        <f>IFERROR(VLOOKUP($A:$A,CS!$A:$AK,4,FALSE),"")</f>
      </c>
      <c r="D91" s="79">
        <f>IFERROR(VLOOKUP($A:$A,CS!$A:$AK,5,FALSE),"")</f>
      </c>
      <c r="E91" s="79">
        <f>IFERROR(VLOOKUP($A:$A,CS!$A:$AK,7,FALSE),"")</f>
      </c>
      <c r="F91" s="79">
        <f>IFERROR(VLOOKUP($A:$A,CS!$A:$AK,8,FALSE),"")</f>
      </c>
      <c r="G91" s="79">
        <f>IFERROR(VLOOKUP($A:$A,CS!$A:$AK,10,FALSE),"")</f>
      </c>
      <c r="H91" s="79">
        <f>IFERROR(VLOOKUP($A:$A,CS!$A:$AK,14,FALSE),"")</f>
      </c>
      <c r="I91" s="79">
        <f>IFERROR(VLOOKUP($A:$A,CS!$A:$AK,15,FALSE),"")</f>
      </c>
      <c r="J91" s="79">
        <f>IFERROR(VLOOKUP($A:$A,CS!$A:$AK,18,FALSE),"")</f>
      </c>
      <c r="K91" s="79">
        <f>IFERROR(VLOOKUP($A:$A,CS!$A:$AK,19,FALSE),"")</f>
      </c>
      <c r="L91" s="79">
        <f>IFERROR(VLOOKUP($A:$A,CS!$A:$AK,20,FALSE),"")</f>
      </c>
      <c r="M91" s="79">
        <f>IFERROR(VLOOKUP($A:$A,CS!$A:$AK,22,FALSE),"")</f>
      </c>
      <c r="N91" s="79">
        <f>IFERROR(VLOOKUP($A:$A,CS!$A:$AK,19,FALSE),"")</f>
      </c>
      <c r="O91" s="79">
        <f>IFERROR(VLOOKUP($A:$A,CS!$A:$AK,23,FALSE),"")</f>
      </c>
      <c r="P91" s="79">
        <f>IFERROR(VLOOKUP($A:$A,CS!$A:$AK,24,FALSE),"")</f>
      </c>
      <c r="Q91" s="79">
        <f>IFERROR(VLOOKUP($A:$A,CS!$A:$AK,25,FALSE),"")</f>
      </c>
      <c r="R91" s="79">
        <f>IFERROR(VLOOKUP($A:$A,CS!$A:$AK,26,FALSE),"")</f>
      </c>
      <c r="S91" s="79">
        <f>IFERROR(VLOOKUP($A:$A,CS!$A:$AK,29,FALSE),"")</f>
      </c>
      <c r="T91" s="79">
        <f>IFERROR(VLOOKUP($A:$A,CS!$A:$AK,33,FALSE),"")</f>
      </c>
      <c r="U91" s="79">
        <f>IFERROR(VLOOKUP($A:$A,CS!$A:$AK,34,FALSE),"")</f>
      </c>
      <c r="V91" s="79">
        <f>IFERROR(VLOOKUP($A:$A,CS!$A:$AK,35,FALSE),"")</f>
      </c>
      <c r="W91" s="79">
        <f>IFERROR(VLOOKUP($A:$A,CS!$A:$AK,36,FALSE),"")</f>
      </c>
    </row>
    <row r="92" ht="16.5" customHeight="1" spans="1:23" x14ac:dyDescent="0.25">
      <c r="A92" s="93"/>
      <c r="B92" s="79">
        <f>IFERROR(VLOOKUP($A:$A,CS!$A:$AK,3,FALSE),"")</f>
      </c>
      <c r="C92" s="79">
        <f>IFERROR(VLOOKUP($A:$A,CS!$A:$AK,4,FALSE),"")</f>
      </c>
      <c r="D92" s="79">
        <f>IFERROR(VLOOKUP($A:$A,CS!$A:$AK,5,FALSE),"")</f>
      </c>
      <c r="E92" s="79">
        <f>IFERROR(VLOOKUP($A:$A,CS!$A:$AK,7,FALSE),"")</f>
      </c>
      <c r="F92" s="79">
        <f>IFERROR(VLOOKUP($A:$A,CS!$A:$AK,8,FALSE),"")</f>
      </c>
      <c r="G92" s="79">
        <f>IFERROR(VLOOKUP($A:$A,CS!$A:$AK,10,FALSE),"")</f>
      </c>
      <c r="H92" s="79">
        <f>IFERROR(VLOOKUP($A:$A,CS!$A:$AK,14,FALSE),"")</f>
      </c>
      <c r="I92" s="79">
        <f>IFERROR(VLOOKUP($A:$A,CS!$A:$AK,15,FALSE),"")</f>
      </c>
      <c r="J92" s="79">
        <f>IFERROR(VLOOKUP($A:$A,CS!$A:$AK,18,FALSE),"")</f>
      </c>
      <c r="K92" s="79">
        <f>IFERROR(VLOOKUP($A:$A,CS!$A:$AK,19,FALSE),"")</f>
      </c>
      <c r="L92" s="79">
        <f>IFERROR(VLOOKUP($A:$A,CS!$A:$AK,20,FALSE),"")</f>
      </c>
      <c r="M92" s="79">
        <f>IFERROR(VLOOKUP($A:$A,CS!$A:$AK,22,FALSE),"")</f>
      </c>
      <c r="N92" s="79">
        <f>IFERROR(VLOOKUP($A:$A,CS!$A:$AK,19,FALSE),"")</f>
      </c>
      <c r="O92" s="79">
        <f>IFERROR(VLOOKUP($A:$A,CS!$A:$AK,23,FALSE),"")</f>
      </c>
      <c r="P92" s="79">
        <f>IFERROR(VLOOKUP($A:$A,CS!$A:$AK,24,FALSE),"")</f>
      </c>
      <c r="Q92" s="79">
        <f>IFERROR(VLOOKUP($A:$A,CS!$A:$AK,25,FALSE),"")</f>
      </c>
      <c r="R92" s="79">
        <f>IFERROR(VLOOKUP($A:$A,CS!$A:$AK,26,FALSE),"")</f>
      </c>
      <c r="S92" s="79">
        <f>IFERROR(VLOOKUP($A:$A,CS!$A:$AK,29,FALSE),"")</f>
      </c>
      <c r="T92" s="79">
        <f>IFERROR(VLOOKUP($A:$A,CS!$A:$AK,33,FALSE),"")</f>
      </c>
      <c r="U92" s="79">
        <f>IFERROR(VLOOKUP($A:$A,CS!$A:$AK,34,FALSE),"")</f>
      </c>
      <c r="V92" s="79">
        <f>IFERROR(VLOOKUP($A:$A,CS!$A:$AK,35,FALSE),"")</f>
      </c>
      <c r="W92" s="79">
        <f>IFERROR(VLOOKUP($A:$A,CS!$A:$AK,36,FALSE),"")</f>
      </c>
    </row>
    <row r="93" ht="16.5" customHeight="1" spans="1:23" x14ac:dyDescent="0.25">
      <c r="A93" s="93"/>
      <c r="B93" s="79">
        <f>IFERROR(VLOOKUP($A:$A,CS!$A:$AK,3,FALSE),"")</f>
      </c>
      <c r="C93" s="79">
        <f>IFERROR(VLOOKUP($A:$A,CS!$A:$AK,4,FALSE),"")</f>
      </c>
      <c r="D93" s="79">
        <f>IFERROR(VLOOKUP($A:$A,CS!$A:$AK,5,FALSE),"")</f>
      </c>
      <c r="E93" s="79">
        <f>IFERROR(VLOOKUP($A:$A,CS!$A:$AK,7,FALSE),"")</f>
      </c>
      <c r="F93" s="79">
        <f>IFERROR(VLOOKUP($A:$A,CS!$A:$AK,8,FALSE),"")</f>
      </c>
      <c r="G93" s="79">
        <f>IFERROR(VLOOKUP($A:$A,CS!$A:$AK,10,FALSE),"")</f>
      </c>
      <c r="H93" s="79">
        <f>IFERROR(VLOOKUP($A:$A,CS!$A:$AK,14,FALSE),"")</f>
      </c>
      <c r="I93" s="79">
        <f>IFERROR(VLOOKUP($A:$A,CS!$A:$AK,15,FALSE),"")</f>
      </c>
      <c r="J93" s="79">
        <f>IFERROR(VLOOKUP($A:$A,CS!$A:$AK,18,FALSE),"")</f>
      </c>
      <c r="K93" s="79">
        <f>IFERROR(VLOOKUP($A:$A,CS!$A:$AK,19,FALSE),"")</f>
      </c>
      <c r="L93" s="79">
        <f>IFERROR(VLOOKUP($A:$A,CS!$A:$AK,20,FALSE),"")</f>
      </c>
      <c r="M93" s="79">
        <f>IFERROR(VLOOKUP($A:$A,CS!$A:$AK,22,FALSE),"")</f>
      </c>
      <c r="N93" s="79">
        <f>IFERROR(VLOOKUP($A:$A,CS!$A:$AK,19,FALSE),"")</f>
      </c>
      <c r="O93" s="79">
        <f>IFERROR(VLOOKUP($A:$A,CS!$A:$AK,23,FALSE),"")</f>
      </c>
      <c r="P93" s="79">
        <f>IFERROR(VLOOKUP($A:$A,CS!$A:$AK,24,FALSE),"")</f>
      </c>
      <c r="Q93" s="79">
        <f>IFERROR(VLOOKUP($A:$A,CS!$A:$AK,25,FALSE),"")</f>
      </c>
      <c r="R93" s="79">
        <f>IFERROR(VLOOKUP($A:$A,CS!$A:$AK,26,FALSE),"")</f>
      </c>
      <c r="S93" s="79">
        <f>IFERROR(VLOOKUP($A:$A,CS!$A:$AK,29,FALSE),"")</f>
      </c>
      <c r="T93" s="79">
        <f>IFERROR(VLOOKUP($A:$A,CS!$A:$AK,33,FALSE),"")</f>
      </c>
      <c r="U93" s="79">
        <f>IFERROR(VLOOKUP($A:$A,CS!$A:$AK,34,FALSE),"")</f>
      </c>
      <c r="V93" s="79">
        <f>IFERROR(VLOOKUP($A:$A,CS!$A:$AK,35,FALSE),"")</f>
      </c>
      <c r="W93" s="79">
        <f>IFERROR(VLOOKUP($A:$A,CS!$A:$AK,36,FALSE),"")</f>
      </c>
    </row>
    <row r="94" ht="16.5" customHeight="1" spans="1:23" x14ac:dyDescent="0.25">
      <c r="A94" s="93"/>
      <c r="B94" s="79">
        <f>IFERROR(VLOOKUP($A:$A,CS!$A:$AK,3,FALSE),"")</f>
      </c>
      <c r="C94" s="79">
        <f>IFERROR(VLOOKUP($A:$A,CS!$A:$AK,4,FALSE),"")</f>
      </c>
      <c r="D94" s="79">
        <f>IFERROR(VLOOKUP($A:$A,CS!$A:$AK,5,FALSE),"")</f>
      </c>
      <c r="E94" s="79">
        <f>IFERROR(VLOOKUP($A:$A,CS!$A:$AK,7,FALSE),"")</f>
      </c>
      <c r="F94" s="79">
        <f>IFERROR(VLOOKUP($A:$A,CS!$A:$AK,8,FALSE),"")</f>
      </c>
      <c r="G94" s="79">
        <f>IFERROR(VLOOKUP($A:$A,CS!$A:$AK,10,FALSE),"")</f>
      </c>
      <c r="H94" s="79">
        <f>IFERROR(VLOOKUP($A:$A,CS!$A:$AK,14,FALSE),"")</f>
      </c>
      <c r="I94" s="79">
        <f>IFERROR(VLOOKUP($A:$A,CS!$A:$AK,15,FALSE),"")</f>
      </c>
      <c r="J94" s="79">
        <f>IFERROR(VLOOKUP($A:$A,CS!$A:$AK,18,FALSE),"")</f>
      </c>
      <c r="K94" s="79">
        <f>IFERROR(VLOOKUP($A:$A,CS!$A:$AK,19,FALSE),"")</f>
      </c>
      <c r="L94" s="79">
        <f>IFERROR(VLOOKUP($A:$A,CS!$A:$AK,20,FALSE),"")</f>
      </c>
      <c r="M94" s="79">
        <f>IFERROR(VLOOKUP($A:$A,CS!$A:$AK,22,FALSE),"")</f>
      </c>
      <c r="N94" s="79">
        <f>IFERROR(VLOOKUP($A:$A,CS!$A:$AK,19,FALSE),"")</f>
      </c>
      <c r="O94" s="79">
        <f>IFERROR(VLOOKUP($A:$A,CS!$A:$AK,23,FALSE),"")</f>
      </c>
      <c r="P94" s="79">
        <f>IFERROR(VLOOKUP($A:$A,CS!$A:$AK,24,FALSE),"")</f>
      </c>
      <c r="Q94" s="79">
        <f>IFERROR(VLOOKUP($A:$A,CS!$A:$AK,25,FALSE),"")</f>
      </c>
      <c r="R94" s="79">
        <f>IFERROR(VLOOKUP($A:$A,CS!$A:$AK,26,FALSE),"")</f>
      </c>
      <c r="S94" s="79">
        <f>IFERROR(VLOOKUP($A:$A,CS!$A:$AK,29,FALSE),"")</f>
      </c>
      <c r="T94" s="79">
        <f>IFERROR(VLOOKUP($A:$A,CS!$A:$AK,33,FALSE),"")</f>
      </c>
      <c r="U94" s="79">
        <f>IFERROR(VLOOKUP($A:$A,CS!$A:$AK,34,FALSE),"")</f>
      </c>
      <c r="V94" s="79">
        <f>IFERROR(VLOOKUP($A:$A,CS!$A:$AK,35,FALSE),"")</f>
      </c>
      <c r="W94" s="79">
        <f>IFERROR(VLOOKUP($A:$A,CS!$A:$AK,36,FALSE),"")</f>
      </c>
    </row>
    <row r="95" ht="16.5" customHeight="1" spans="1:23" x14ac:dyDescent="0.25">
      <c r="A95" s="93"/>
      <c r="B95" s="79">
        <f>IFERROR(VLOOKUP($A:$A,CS!$A:$AK,3,FALSE),"")</f>
      </c>
      <c r="C95" s="79">
        <f>IFERROR(VLOOKUP($A:$A,CS!$A:$AK,4,FALSE),"")</f>
      </c>
      <c r="D95" s="79">
        <f>IFERROR(VLOOKUP($A:$A,CS!$A:$AK,5,FALSE),"")</f>
      </c>
      <c r="E95" s="79">
        <f>IFERROR(VLOOKUP($A:$A,CS!$A:$AK,7,FALSE),"")</f>
      </c>
      <c r="F95" s="79">
        <f>IFERROR(VLOOKUP($A:$A,CS!$A:$AK,8,FALSE),"")</f>
      </c>
      <c r="G95" s="79">
        <f>IFERROR(VLOOKUP($A:$A,CS!$A:$AK,10,FALSE),"")</f>
      </c>
      <c r="H95" s="79">
        <f>IFERROR(VLOOKUP($A:$A,CS!$A:$AK,14,FALSE),"")</f>
      </c>
      <c r="I95" s="79">
        <f>IFERROR(VLOOKUP($A:$A,CS!$A:$AK,15,FALSE),"")</f>
      </c>
      <c r="J95" s="79">
        <f>IFERROR(VLOOKUP($A:$A,CS!$A:$AK,18,FALSE),"")</f>
      </c>
      <c r="K95" s="79">
        <f>IFERROR(VLOOKUP($A:$A,CS!$A:$AK,19,FALSE),"")</f>
      </c>
      <c r="L95" s="79">
        <f>IFERROR(VLOOKUP($A:$A,CS!$A:$AK,20,FALSE),"")</f>
      </c>
      <c r="M95" s="79">
        <f>IFERROR(VLOOKUP($A:$A,CS!$A:$AK,22,FALSE),"")</f>
      </c>
      <c r="N95" s="79">
        <f>IFERROR(VLOOKUP($A:$A,CS!$A:$AK,19,FALSE),"")</f>
      </c>
      <c r="O95" s="79">
        <f>IFERROR(VLOOKUP($A:$A,CS!$A:$AK,23,FALSE),"")</f>
      </c>
      <c r="P95" s="79">
        <f>IFERROR(VLOOKUP($A:$A,CS!$A:$AK,24,FALSE),"")</f>
      </c>
      <c r="Q95" s="79">
        <f>IFERROR(VLOOKUP($A:$A,CS!$A:$AK,25,FALSE),"")</f>
      </c>
      <c r="R95" s="79">
        <f>IFERROR(VLOOKUP($A:$A,CS!$A:$AK,26,FALSE),"")</f>
      </c>
      <c r="S95" s="79">
        <f>IFERROR(VLOOKUP($A:$A,CS!$A:$AK,29,FALSE),"")</f>
      </c>
      <c r="T95" s="79">
        <f>IFERROR(VLOOKUP($A:$A,CS!$A:$AK,33,FALSE),"")</f>
      </c>
      <c r="U95" s="79">
        <f>IFERROR(VLOOKUP($A:$A,CS!$A:$AK,34,FALSE),"")</f>
      </c>
      <c r="V95" s="79">
        <f>IFERROR(VLOOKUP($A:$A,CS!$A:$AK,35,FALSE),"")</f>
      </c>
      <c r="W95" s="79">
        <f>IFERROR(VLOOKUP($A:$A,CS!$A:$AK,36,FALSE),"")</f>
      </c>
    </row>
    <row r="96" ht="16.5" customHeight="1" spans="1:23" x14ac:dyDescent="0.25">
      <c r="A96" s="93"/>
      <c r="B96" s="79">
        <f>IFERROR(VLOOKUP($A:$A,CS!$A:$AK,3,FALSE),"")</f>
      </c>
      <c r="C96" s="79">
        <f>IFERROR(VLOOKUP($A:$A,CS!$A:$AK,4,FALSE),"")</f>
      </c>
      <c r="D96" s="79">
        <f>IFERROR(VLOOKUP($A:$A,CS!$A:$AK,5,FALSE),"")</f>
      </c>
      <c r="E96" s="79">
        <f>IFERROR(VLOOKUP($A:$A,CS!$A:$AK,7,FALSE),"")</f>
      </c>
      <c r="F96" s="79">
        <f>IFERROR(VLOOKUP($A:$A,CS!$A:$AK,8,FALSE),"")</f>
      </c>
      <c r="G96" s="79">
        <f>IFERROR(VLOOKUP($A:$A,CS!$A:$AK,10,FALSE),"")</f>
      </c>
      <c r="H96" s="79">
        <f>IFERROR(VLOOKUP($A:$A,CS!$A:$AK,14,FALSE),"")</f>
      </c>
      <c r="I96" s="79">
        <f>IFERROR(VLOOKUP($A:$A,CS!$A:$AK,15,FALSE),"")</f>
      </c>
      <c r="J96" s="79">
        <f>IFERROR(VLOOKUP($A:$A,CS!$A:$AK,18,FALSE),"")</f>
      </c>
      <c r="K96" s="79">
        <f>IFERROR(VLOOKUP($A:$A,CS!$A:$AK,19,FALSE),"")</f>
      </c>
      <c r="L96" s="79">
        <f>IFERROR(VLOOKUP($A:$A,CS!$A:$AK,20,FALSE),"")</f>
      </c>
      <c r="M96" s="79">
        <f>IFERROR(VLOOKUP($A:$A,CS!$A:$AK,22,FALSE),"")</f>
      </c>
      <c r="N96" s="79">
        <f>IFERROR(VLOOKUP($A:$A,CS!$A:$AK,19,FALSE),"")</f>
      </c>
      <c r="O96" s="79">
        <f>IFERROR(VLOOKUP($A:$A,CS!$A:$AK,23,FALSE),"")</f>
      </c>
      <c r="P96" s="79">
        <f>IFERROR(VLOOKUP($A:$A,CS!$A:$AK,24,FALSE),"")</f>
      </c>
      <c r="Q96" s="79">
        <f>IFERROR(VLOOKUP($A:$A,CS!$A:$AK,25,FALSE),"")</f>
      </c>
      <c r="R96" s="79">
        <f>IFERROR(VLOOKUP($A:$A,CS!$A:$AK,26,FALSE),"")</f>
      </c>
      <c r="S96" s="79">
        <f>IFERROR(VLOOKUP($A:$A,CS!$A:$AK,29,FALSE),"")</f>
      </c>
      <c r="T96" s="79">
        <f>IFERROR(VLOOKUP($A:$A,CS!$A:$AK,33,FALSE),"")</f>
      </c>
      <c r="U96" s="79">
        <f>IFERROR(VLOOKUP($A:$A,CS!$A:$AK,34,FALSE),"")</f>
      </c>
      <c r="V96" s="79">
        <f>IFERROR(VLOOKUP($A:$A,CS!$A:$AK,35,FALSE),"")</f>
      </c>
      <c r="W96" s="79">
        <f>IFERROR(VLOOKUP($A:$A,CS!$A:$AK,36,FALSE),"")</f>
      </c>
    </row>
    <row r="97" ht="16.5" customHeight="1" spans="1:23" x14ac:dyDescent="0.25">
      <c r="A97" s="93"/>
      <c r="B97" s="79">
        <f>IFERROR(VLOOKUP($A:$A,CS!$A:$AK,3,FALSE),"")</f>
      </c>
      <c r="C97" s="79">
        <f>IFERROR(VLOOKUP($A:$A,CS!$A:$AK,4,FALSE),"")</f>
      </c>
      <c r="D97" s="79">
        <f>IFERROR(VLOOKUP($A:$A,CS!$A:$AK,5,FALSE),"")</f>
      </c>
      <c r="E97" s="79">
        <f>IFERROR(VLOOKUP($A:$A,CS!$A:$AK,7,FALSE),"")</f>
      </c>
      <c r="F97" s="79">
        <f>IFERROR(VLOOKUP($A:$A,CS!$A:$AK,8,FALSE),"")</f>
      </c>
      <c r="G97" s="79">
        <f>IFERROR(VLOOKUP($A:$A,CS!$A:$AK,10,FALSE),"")</f>
      </c>
      <c r="H97" s="79">
        <f>IFERROR(VLOOKUP($A:$A,CS!$A:$AK,14,FALSE),"")</f>
      </c>
      <c r="I97" s="79">
        <f>IFERROR(VLOOKUP($A:$A,CS!$A:$AK,15,FALSE),"")</f>
      </c>
      <c r="J97" s="79">
        <f>IFERROR(VLOOKUP($A:$A,CS!$A:$AK,18,FALSE),"")</f>
      </c>
      <c r="K97" s="79">
        <f>IFERROR(VLOOKUP($A:$A,CS!$A:$AK,19,FALSE),"")</f>
      </c>
      <c r="L97" s="79">
        <f>IFERROR(VLOOKUP($A:$A,CS!$A:$AK,20,FALSE),"")</f>
      </c>
      <c r="M97" s="79">
        <f>IFERROR(VLOOKUP($A:$A,CS!$A:$AK,22,FALSE),"")</f>
      </c>
      <c r="N97" s="79">
        <f>IFERROR(VLOOKUP($A:$A,CS!$A:$AK,19,FALSE),"")</f>
      </c>
      <c r="O97" s="79">
        <f>IFERROR(VLOOKUP($A:$A,CS!$A:$AK,23,FALSE),"")</f>
      </c>
      <c r="P97" s="79">
        <f>IFERROR(VLOOKUP($A:$A,CS!$A:$AK,24,FALSE),"")</f>
      </c>
      <c r="Q97" s="79">
        <f>IFERROR(VLOOKUP($A:$A,CS!$A:$AK,25,FALSE),"")</f>
      </c>
      <c r="R97" s="79">
        <f>IFERROR(VLOOKUP($A:$A,CS!$A:$AK,26,FALSE),"")</f>
      </c>
      <c r="S97" s="79">
        <f>IFERROR(VLOOKUP($A:$A,CS!$A:$AK,29,FALSE),"")</f>
      </c>
      <c r="T97" s="79">
        <f>IFERROR(VLOOKUP($A:$A,CS!$A:$AK,33,FALSE),"")</f>
      </c>
      <c r="U97" s="79">
        <f>IFERROR(VLOOKUP($A:$A,CS!$A:$AK,34,FALSE),"")</f>
      </c>
      <c r="V97" s="79">
        <f>IFERROR(VLOOKUP($A:$A,CS!$A:$AK,35,FALSE),"")</f>
      </c>
      <c r="W97" s="79">
        <f>IFERROR(VLOOKUP($A:$A,CS!$A:$AK,36,FALSE),"")</f>
      </c>
    </row>
    <row r="98" ht="16.5" customHeight="1" spans="1:23" x14ac:dyDescent="0.25">
      <c r="A98" s="93"/>
      <c r="B98" s="79">
        <f>IFERROR(VLOOKUP($A:$A,CS!$A:$AK,3,FALSE),"")</f>
      </c>
      <c r="C98" s="79">
        <f>IFERROR(VLOOKUP($A:$A,CS!$A:$AK,4,FALSE),"")</f>
      </c>
      <c r="D98" s="79">
        <f>IFERROR(VLOOKUP($A:$A,CS!$A:$AK,5,FALSE),"")</f>
      </c>
      <c r="E98" s="79">
        <f>IFERROR(VLOOKUP($A:$A,CS!$A:$AK,7,FALSE),"")</f>
      </c>
      <c r="F98" s="79">
        <f>IFERROR(VLOOKUP($A:$A,CS!$A:$AK,8,FALSE),"")</f>
      </c>
      <c r="G98" s="79">
        <f>IFERROR(VLOOKUP($A:$A,CS!$A:$AK,10,FALSE),"")</f>
      </c>
      <c r="H98" s="79">
        <f>IFERROR(VLOOKUP($A:$A,CS!$A:$AK,14,FALSE),"")</f>
      </c>
      <c r="I98" s="79">
        <f>IFERROR(VLOOKUP($A:$A,CS!$A:$AK,15,FALSE),"")</f>
      </c>
      <c r="J98" s="79">
        <f>IFERROR(VLOOKUP($A:$A,CS!$A:$AK,18,FALSE),"")</f>
      </c>
      <c r="K98" s="79">
        <f>IFERROR(VLOOKUP($A:$A,CS!$A:$AK,19,FALSE),"")</f>
      </c>
      <c r="L98" s="79">
        <f>IFERROR(VLOOKUP($A:$A,CS!$A:$AK,20,FALSE),"")</f>
      </c>
      <c r="M98" s="79">
        <f>IFERROR(VLOOKUP($A:$A,CS!$A:$AK,22,FALSE),"")</f>
      </c>
      <c r="N98" s="79">
        <f>IFERROR(VLOOKUP($A:$A,CS!$A:$AK,19,FALSE),"")</f>
      </c>
      <c r="O98" s="79">
        <f>IFERROR(VLOOKUP($A:$A,CS!$A:$AK,23,FALSE),"")</f>
      </c>
      <c r="P98" s="79">
        <f>IFERROR(VLOOKUP($A:$A,CS!$A:$AK,24,FALSE),"")</f>
      </c>
      <c r="Q98" s="79">
        <f>IFERROR(VLOOKUP($A:$A,CS!$A:$AK,25,FALSE),"")</f>
      </c>
      <c r="R98" s="79">
        <f>IFERROR(VLOOKUP($A:$A,CS!$A:$AK,26,FALSE),"")</f>
      </c>
      <c r="S98" s="79">
        <f>IFERROR(VLOOKUP($A:$A,CS!$A:$AK,29,FALSE),"")</f>
      </c>
      <c r="T98" s="79">
        <f>IFERROR(VLOOKUP($A:$A,CS!$A:$AK,33,FALSE),"")</f>
      </c>
      <c r="U98" s="79">
        <f>IFERROR(VLOOKUP($A:$A,CS!$A:$AK,34,FALSE),"")</f>
      </c>
      <c r="V98" s="79">
        <f>IFERROR(VLOOKUP($A:$A,CS!$A:$AK,35,FALSE),"")</f>
      </c>
      <c r="W98" s="79">
        <f>IFERROR(VLOOKUP($A:$A,CS!$A:$AK,36,FALSE),"")</f>
      </c>
    </row>
    <row r="99" ht="16.5" customHeight="1" spans="1:23" x14ac:dyDescent="0.25">
      <c r="A99" s="93"/>
      <c r="B99" s="79">
        <f>IFERROR(VLOOKUP($A:$A,CS!$A:$AK,3,FALSE),"")</f>
      </c>
      <c r="C99" s="79">
        <f>IFERROR(VLOOKUP($A:$A,CS!$A:$AK,4,FALSE),"")</f>
      </c>
      <c r="D99" s="79">
        <f>IFERROR(VLOOKUP($A:$A,CS!$A:$AK,5,FALSE),"")</f>
      </c>
      <c r="E99" s="79">
        <f>IFERROR(VLOOKUP($A:$A,CS!$A:$AK,7,FALSE),"")</f>
      </c>
      <c r="F99" s="79">
        <f>IFERROR(VLOOKUP($A:$A,CS!$A:$AK,8,FALSE),"")</f>
      </c>
      <c r="G99" s="79">
        <f>IFERROR(VLOOKUP($A:$A,CS!$A:$AK,10,FALSE),"")</f>
      </c>
      <c r="H99" s="79">
        <f>IFERROR(VLOOKUP($A:$A,CS!$A:$AK,14,FALSE),"")</f>
      </c>
      <c r="I99" s="79">
        <f>IFERROR(VLOOKUP($A:$A,CS!$A:$AK,15,FALSE),"")</f>
      </c>
      <c r="J99" s="79">
        <f>IFERROR(VLOOKUP($A:$A,CS!$A:$AK,18,FALSE),"")</f>
      </c>
      <c r="K99" s="79">
        <f>IFERROR(VLOOKUP($A:$A,CS!$A:$AK,19,FALSE),"")</f>
      </c>
      <c r="L99" s="79">
        <f>IFERROR(VLOOKUP($A:$A,CS!$A:$AK,20,FALSE),"")</f>
      </c>
      <c r="M99" s="79">
        <f>IFERROR(VLOOKUP($A:$A,CS!$A:$AK,22,FALSE),"")</f>
      </c>
      <c r="N99" s="79">
        <f>IFERROR(VLOOKUP($A:$A,CS!$A:$AK,19,FALSE),"")</f>
      </c>
      <c r="O99" s="79">
        <f>IFERROR(VLOOKUP($A:$A,CS!$A:$AK,23,FALSE),"")</f>
      </c>
      <c r="P99" s="79">
        <f>IFERROR(VLOOKUP($A:$A,CS!$A:$AK,24,FALSE),"")</f>
      </c>
      <c r="Q99" s="79">
        <f>IFERROR(VLOOKUP($A:$A,CS!$A:$AK,25,FALSE),"")</f>
      </c>
      <c r="R99" s="79">
        <f>IFERROR(VLOOKUP($A:$A,CS!$A:$AK,26,FALSE),"")</f>
      </c>
      <c r="S99" s="79">
        <f>IFERROR(VLOOKUP($A:$A,CS!$A:$AK,29,FALSE),"")</f>
      </c>
      <c r="T99" s="79">
        <f>IFERROR(VLOOKUP($A:$A,CS!$A:$AK,33,FALSE),"")</f>
      </c>
      <c r="U99" s="79">
        <f>IFERROR(VLOOKUP($A:$A,CS!$A:$AK,34,FALSE),"")</f>
      </c>
      <c r="V99" s="79">
        <f>IFERROR(VLOOKUP($A:$A,CS!$A:$AK,35,FALSE),"")</f>
      </c>
      <c r="W99" s="79">
        <f>IFERROR(VLOOKUP($A:$A,CS!$A:$AK,36,FALSE),"")</f>
      </c>
    </row>
    <row r="100" ht="16.5" customHeight="1" spans="1:23" x14ac:dyDescent="0.25">
      <c r="A100" s="93"/>
      <c r="B100" s="79">
        <f>IFERROR(VLOOKUP($A:$A,CS!$A:$AK,3,FALSE),"")</f>
      </c>
      <c r="C100" s="79">
        <f>IFERROR(VLOOKUP($A:$A,CS!$A:$AK,4,FALSE),"")</f>
      </c>
      <c r="D100" s="79">
        <f>IFERROR(VLOOKUP($A:$A,CS!$A:$AK,5,FALSE),"")</f>
      </c>
      <c r="E100" s="79">
        <f>IFERROR(VLOOKUP($A:$A,CS!$A:$AK,7,FALSE),"")</f>
      </c>
      <c r="F100" s="79">
        <f>IFERROR(VLOOKUP($A:$A,CS!$A:$AK,8,FALSE),"")</f>
      </c>
      <c r="G100" s="79">
        <f>IFERROR(VLOOKUP($A:$A,CS!$A:$AK,10,FALSE),"")</f>
      </c>
      <c r="H100" s="79">
        <f>IFERROR(VLOOKUP($A:$A,CS!$A:$AK,14,FALSE),"")</f>
      </c>
      <c r="I100" s="79">
        <f>IFERROR(VLOOKUP($A:$A,CS!$A:$AK,15,FALSE),"")</f>
      </c>
      <c r="J100" s="79">
        <f>IFERROR(VLOOKUP($A:$A,CS!$A:$AK,18,FALSE),"")</f>
      </c>
      <c r="K100" s="79">
        <f>IFERROR(VLOOKUP($A:$A,CS!$A:$AK,19,FALSE),"")</f>
      </c>
      <c r="L100" s="79">
        <f>IFERROR(VLOOKUP($A:$A,CS!$A:$AK,20,FALSE),"")</f>
      </c>
      <c r="M100" s="79">
        <f>IFERROR(VLOOKUP($A:$A,CS!$A:$AK,22,FALSE),"")</f>
      </c>
      <c r="N100" s="79">
        <f>IFERROR(VLOOKUP($A:$A,CS!$A:$AK,19,FALSE),"")</f>
      </c>
      <c r="O100" s="79">
        <f>IFERROR(VLOOKUP($A:$A,CS!$A:$AK,23,FALSE),"")</f>
      </c>
      <c r="P100" s="79">
        <f>IFERROR(VLOOKUP($A:$A,CS!$A:$AK,24,FALSE),"")</f>
      </c>
      <c r="Q100" s="79">
        <f>IFERROR(VLOOKUP($A:$A,CS!$A:$AK,25,FALSE),"")</f>
      </c>
      <c r="R100" s="79">
        <f>IFERROR(VLOOKUP($A:$A,CS!$A:$AK,26,FALSE),"")</f>
      </c>
      <c r="S100" s="79">
        <f>IFERROR(VLOOKUP($A:$A,CS!$A:$AK,29,FALSE),"")</f>
      </c>
      <c r="T100" s="79">
        <f>IFERROR(VLOOKUP($A:$A,CS!$A:$AK,33,FALSE),"")</f>
      </c>
      <c r="U100" s="79">
        <f>IFERROR(VLOOKUP($A:$A,CS!$A:$AK,34,FALSE),"")</f>
      </c>
      <c r="V100" s="79">
        <f>IFERROR(VLOOKUP($A:$A,CS!$A:$AK,35,FALSE),"")</f>
      </c>
      <c r="W100" s="79">
        <f>IFERROR(VLOOKUP($A:$A,CS!$A:$AK,36,FALSE),"")</f>
      </c>
    </row>
    <row r="101" ht="16.5" customHeight="1" spans="1:23" x14ac:dyDescent="0.25">
      <c r="A101" s="93"/>
      <c r="B101" s="79">
        <f>IFERROR(VLOOKUP($A:$A,CS!$A:$AK,3,FALSE),"")</f>
      </c>
      <c r="C101" s="79">
        <f>IFERROR(VLOOKUP($A:$A,CS!$A:$AK,4,FALSE),"")</f>
      </c>
      <c r="D101" s="79">
        <f>IFERROR(VLOOKUP($A:$A,CS!$A:$AK,5,FALSE),"")</f>
      </c>
      <c r="E101" s="79">
        <f>IFERROR(VLOOKUP($A:$A,CS!$A:$AK,7,FALSE),"")</f>
      </c>
      <c r="F101" s="79">
        <f>IFERROR(VLOOKUP($A:$A,CS!$A:$AK,8,FALSE),"")</f>
      </c>
      <c r="G101" s="79">
        <f>IFERROR(VLOOKUP($A:$A,CS!$A:$AK,10,FALSE),"")</f>
      </c>
      <c r="H101" s="79">
        <f>IFERROR(VLOOKUP($A:$A,CS!$A:$AK,14,FALSE),"")</f>
      </c>
      <c r="I101" s="79">
        <f>IFERROR(VLOOKUP($A:$A,CS!$A:$AK,15,FALSE),"")</f>
      </c>
      <c r="J101" s="79">
        <f>IFERROR(VLOOKUP($A:$A,CS!$A:$AK,18,FALSE),"")</f>
      </c>
      <c r="K101" s="79">
        <f>IFERROR(VLOOKUP($A:$A,CS!$A:$AK,19,FALSE),"")</f>
      </c>
      <c r="L101" s="79">
        <f>IFERROR(VLOOKUP($A:$A,CS!$A:$AK,20,FALSE),"")</f>
      </c>
      <c r="M101" s="79">
        <f>IFERROR(VLOOKUP($A:$A,CS!$A:$AK,22,FALSE),"")</f>
      </c>
      <c r="N101" s="79">
        <f>IFERROR(VLOOKUP($A:$A,CS!$A:$AK,19,FALSE),"")</f>
      </c>
      <c r="O101" s="79">
        <f>IFERROR(VLOOKUP($A:$A,CS!$A:$AK,23,FALSE),"")</f>
      </c>
      <c r="P101" s="79">
        <f>IFERROR(VLOOKUP($A:$A,CS!$A:$AK,24,FALSE),"")</f>
      </c>
      <c r="Q101" s="79">
        <f>IFERROR(VLOOKUP($A:$A,CS!$A:$AK,25,FALSE),"")</f>
      </c>
      <c r="R101" s="79">
        <f>IFERROR(VLOOKUP($A:$A,CS!$A:$AK,26,FALSE),"")</f>
      </c>
      <c r="S101" s="79">
        <f>IFERROR(VLOOKUP($A:$A,CS!$A:$AK,29,FALSE),"")</f>
      </c>
      <c r="T101" s="79">
        <f>IFERROR(VLOOKUP($A:$A,CS!$A:$AK,33,FALSE),"")</f>
      </c>
      <c r="U101" s="79">
        <f>IFERROR(VLOOKUP($A:$A,CS!$A:$AK,34,FALSE),"")</f>
      </c>
      <c r="V101" s="79">
        <f>IFERROR(VLOOKUP($A:$A,CS!$A:$AK,35,FALSE),"")</f>
      </c>
      <c r="W101" s="79">
        <f>IFERROR(VLOOKUP($A:$A,CS!$A:$AK,36,FALSE),"")</f>
      </c>
    </row>
    <row r="102" ht="16.5" customHeight="1" spans="1:23" x14ac:dyDescent="0.25">
      <c r="A102" s="93"/>
      <c r="B102" s="79">
        <f>IFERROR(VLOOKUP($A:$A,CS!$A:$AK,3,FALSE),"")</f>
      </c>
      <c r="C102" s="79">
        <f>IFERROR(VLOOKUP($A:$A,CS!$A:$AK,4,FALSE),"")</f>
      </c>
      <c r="D102" s="79">
        <f>IFERROR(VLOOKUP($A:$A,CS!$A:$AK,5,FALSE),"")</f>
      </c>
      <c r="E102" s="79">
        <f>IFERROR(VLOOKUP($A:$A,CS!$A:$AK,7,FALSE),"")</f>
      </c>
      <c r="F102" s="79">
        <f>IFERROR(VLOOKUP($A:$A,CS!$A:$AK,8,FALSE),"")</f>
      </c>
      <c r="G102" s="79">
        <f>IFERROR(VLOOKUP($A:$A,CS!$A:$AK,10,FALSE),"")</f>
      </c>
      <c r="H102" s="79">
        <f>IFERROR(VLOOKUP($A:$A,CS!$A:$AK,14,FALSE),"")</f>
      </c>
      <c r="I102" s="79">
        <f>IFERROR(VLOOKUP($A:$A,CS!$A:$AK,15,FALSE),"")</f>
      </c>
      <c r="J102" s="79">
        <f>IFERROR(VLOOKUP($A:$A,CS!$A:$AK,18,FALSE),"")</f>
      </c>
      <c r="K102" s="79">
        <f>IFERROR(VLOOKUP($A:$A,CS!$A:$AK,19,FALSE),"")</f>
      </c>
      <c r="L102" s="79">
        <f>IFERROR(VLOOKUP($A:$A,CS!$A:$AK,20,FALSE),"")</f>
      </c>
      <c r="M102" s="79">
        <f>IFERROR(VLOOKUP($A:$A,CS!$A:$AK,22,FALSE),"")</f>
      </c>
      <c r="N102" s="79">
        <f>IFERROR(VLOOKUP($A:$A,CS!$A:$AK,19,FALSE),"")</f>
      </c>
      <c r="O102" s="79">
        <f>IFERROR(VLOOKUP($A:$A,CS!$A:$AK,23,FALSE),"")</f>
      </c>
      <c r="P102" s="79">
        <f>IFERROR(VLOOKUP($A:$A,CS!$A:$AK,24,FALSE),"")</f>
      </c>
      <c r="Q102" s="79">
        <f>IFERROR(VLOOKUP($A:$A,CS!$A:$AK,25,FALSE),"")</f>
      </c>
      <c r="R102" s="79">
        <f>IFERROR(VLOOKUP($A:$A,CS!$A:$AK,26,FALSE),"")</f>
      </c>
      <c r="S102" s="79">
        <f>IFERROR(VLOOKUP($A:$A,CS!$A:$AK,29,FALSE),"")</f>
      </c>
      <c r="T102" s="79">
        <f>IFERROR(VLOOKUP($A:$A,CS!$A:$AK,33,FALSE),"")</f>
      </c>
      <c r="U102" s="79">
        <f>IFERROR(VLOOKUP($A:$A,CS!$A:$AK,34,FALSE),"")</f>
      </c>
      <c r="V102" s="79">
        <f>IFERROR(VLOOKUP($A:$A,CS!$A:$AK,35,FALSE),"")</f>
      </c>
      <c r="W102" s="79">
        <f>IFERROR(VLOOKUP($A:$A,CS!$A:$AK,36,FALSE),"")</f>
      </c>
    </row>
    <row r="103" ht="16.5" customHeight="1" spans="1:23" x14ac:dyDescent="0.25">
      <c r="A103" s="93"/>
      <c r="B103" s="79">
        <f>IFERROR(VLOOKUP($A:$A,CS!$A:$AK,3,FALSE),"")</f>
      </c>
      <c r="C103" s="79">
        <f>IFERROR(VLOOKUP($A:$A,CS!$A:$AK,4,FALSE),"")</f>
      </c>
      <c r="D103" s="79">
        <f>IFERROR(VLOOKUP($A:$A,CS!$A:$AK,5,FALSE),"")</f>
      </c>
      <c r="E103" s="79">
        <f>IFERROR(VLOOKUP($A:$A,CS!$A:$AK,7,FALSE),"")</f>
      </c>
      <c r="F103" s="79">
        <f>IFERROR(VLOOKUP($A:$A,CS!$A:$AK,8,FALSE),"")</f>
      </c>
      <c r="G103" s="79">
        <f>IFERROR(VLOOKUP($A:$A,CS!$A:$AK,10,FALSE),"")</f>
      </c>
      <c r="H103" s="79">
        <f>IFERROR(VLOOKUP($A:$A,CS!$A:$AK,14,FALSE),"")</f>
      </c>
      <c r="I103" s="79">
        <f>IFERROR(VLOOKUP($A:$A,CS!$A:$AK,15,FALSE),"")</f>
      </c>
      <c r="J103" s="79">
        <f>IFERROR(VLOOKUP($A:$A,CS!$A:$AK,18,FALSE),"")</f>
      </c>
      <c r="K103" s="79">
        <f>IFERROR(VLOOKUP($A:$A,CS!$A:$AK,19,FALSE),"")</f>
      </c>
      <c r="L103" s="79">
        <f>IFERROR(VLOOKUP($A:$A,CS!$A:$AK,20,FALSE),"")</f>
      </c>
      <c r="M103" s="79">
        <f>IFERROR(VLOOKUP($A:$A,CS!$A:$AK,22,FALSE),"")</f>
      </c>
      <c r="N103" s="79">
        <f>IFERROR(VLOOKUP($A:$A,CS!$A:$AK,19,FALSE),"")</f>
      </c>
      <c r="O103" s="79">
        <f>IFERROR(VLOOKUP($A:$A,CS!$A:$AK,23,FALSE),"")</f>
      </c>
      <c r="P103" s="79">
        <f>IFERROR(VLOOKUP($A:$A,CS!$A:$AK,24,FALSE),"")</f>
      </c>
      <c r="Q103" s="79">
        <f>IFERROR(VLOOKUP($A:$A,CS!$A:$AK,25,FALSE),"")</f>
      </c>
      <c r="R103" s="79">
        <f>IFERROR(VLOOKUP($A:$A,CS!$A:$AK,26,FALSE),"")</f>
      </c>
      <c r="S103" s="79">
        <f>IFERROR(VLOOKUP($A:$A,CS!$A:$AK,29,FALSE),"")</f>
      </c>
      <c r="T103" s="79">
        <f>IFERROR(VLOOKUP($A:$A,CS!$A:$AK,33,FALSE),"")</f>
      </c>
      <c r="U103" s="79">
        <f>IFERROR(VLOOKUP($A:$A,CS!$A:$AK,34,FALSE),"")</f>
      </c>
      <c r="V103" s="79">
        <f>IFERROR(VLOOKUP($A:$A,CS!$A:$AK,35,FALSE),"")</f>
      </c>
      <c r="W103" s="79">
        <f>IFERROR(VLOOKUP($A:$A,CS!$A:$AK,36,FALSE),"")</f>
      </c>
    </row>
    <row r="104" ht="16.5" customHeight="1" spans="1:23" x14ac:dyDescent="0.25">
      <c r="A104" s="93"/>
      <c r="B104" s="79">
        <f>IFERROR(VLOOKUP($A:$A,CS!$A:$AK,3,FALSE),"")</f>
      </c>
      <c r="C104" s="79">
        <f>IFERROR(VLOOKUP($A:$A,CS!$A:$AK,4,FALSE),"")</f>
      </c>
      <c r="D104" s="79">
        <f>IFERROR(VLOOKUP($A:$A,CS!$A:$AK,5,FALSE),"")</f>
      </c>
      <c r="E104" s="79">
        <f>IFERROR(VLOOKUP($A:$A,CS!$A:$AK,7,FALSE),"")</f>
      </c>
      <c r="F104" s="79">
        <f>IFERROR(VLOOKUP($A:$A,CS!$A:$AK,8,FALSE),"")</f>
      </c>
      <c r="G104" s="79">
        <f>IFERROR(VLOOKUP($A:$A,CS!$A:$AK,10,FALSE),"")</f>
      </c>
      <c r="H104" s="79">
        <f>IFERROR(VLOOKUP($A:$A,CS!$A:$AK,14,FALSE),"")</f>
      </c>
      <c r="I104" s="79">
        <f>IFERROR(VLOOKUP($A:$A,CS!$A:$AK,15,FALSE),"")</f>
      </c>
      <c r="J104" s="79">
        <f>IFERROR(VLOOKUP($A:$A,CS!$A:$AK,18,FALSE),"")</f>
      </c>
      <c r="K104" s="79">
        <f>IFERROR(VLOOKUP($A:$A,CS!$A:$AK,19,FALSE),"")</f>
      </c>
      <c r="L104" s="79">
        <f>IFERROR(VLOOKUP($A:$A,CS!$A:$AK,20,FALSE),"")</f>
      </c>
      <c r="M104" s="79">
        <f>IFERROR(VLOOKUP($A:$A,CS!$A:$AK,22,FALSE),"")</f>
      </c>
      <c r="N104" s="79">
        <f>IFERROR(VLOOKUP($A:$A,CS!$A:$AK,19,FALSE),"")</f>
      </c>
      <c r="O104" s="79">
        <f>IFERROR(VLOOKUP($A:$A,CS!$A:$AK,23,FALSE),"")</f>
      </c>
      <c r="P104" s="79">
        <f>IFERROR(VLOOKUP($A:$A,CS!$A:$AK,24,FALSE),"")</f>
      </c>
      <c r="Q104" s="79">
        <f>IFERROR(VLOOKUP($A:$A,CS!$A:$AK,25,FALSE),"")</f>
      </c>
      <c r="R104" s="79">
        <f>IFERROR(VLOOKUP($A:$A,CS!$A:$AK,26,FALSE),"")</f>
      </c>
      <c r="S104" s="79">
        <f>IFERROR(VLOOKUP($A:$A,CS!$A:$AK,29,FALSE),"")</f>
      </c>
      <c r="T104" s="79">
        <f>IFERROR(VLOOKUP($A:$A,CS!$A:$AK,33,FALSE),"")</f>
      </c>
      <c r="U104" s="79">
        <f>IFERROR(VLOOKUP($A:$A,CS!$A:$AK,34,FALSE),"")</f>
      </c>
      <c r="V104" s="79">
        <f>IFERROR(VLOOKUP($A:$A,CS!$A:$AK,35,FALSE),"")</f>
      </c>
      <c r="W104" s="79">
        <f>IFERROR(VLOOKUP($A:$A,CS!$A:$AK,36,FALSE),"")</f>
      </c>
    </row>
    <row r="105" ht="16.5" customHeight="1" spans="1:23" x14ac:dyDescent="0.25">
      <c r="A105" s="93"/>
      <c r="B105" s="79">
        <f>IFERROR(VLOOKUP($A:$A,CS!$A:$AK,3,FALSE),"")</f>
      </c>
      <c r="C105" s="79">
        <f>IFERROR(VLOOKUP($A:$A,CS!$A:$AK,4,FALSE),"")</f>
      </c>
      <c r="D105" s="79">
        <f>IFERROR(VLOOKUP($A:$A,CS!$A:$AK,5,FALSE),"")</f>
      </c>
      <c r="E105" s="79">
        <f>IFERROR(VLOOKUP($A:$A,CS!$A:$AK,7,FALSE),"")</f>
      </c>
      <c r="F105" s="79">
        <f>IFERROR(VLOOKUP($A:$A,CS!$A:$AK,8,FALSE),"")</f>
      </c>
      <c r="G105" s="79">
        <f>IFERROR(VLOOKUP($A:$A,CS!$A:$AK,10,FALSE),"")</f>
      </c>
      <c r="H105" s="79">
        <f>IFERROR(VLOOKUP($A:$A,CS!$A:$AK,14,FALSE),"")</f>
      </c>
      <c r="I105" s="79">
        <f>IFERROR(VLOOKUP($A:$A,CS!$A:$AK,15,FALSE),"")</f>
      </c>
      <c r="J105" s="79">
        <f>IFERROR(VLOOKUP($A:$A,CS!$A:$AK,18,FALSE),"")</f>
      </c>
      <c r="K105" s="79">
        <f>IFERROR(VLOOKUP($A:$A,CS!$A:$AK,19,FALSE),"")</f>
      </c>
      <c r="L105" s="79">
        <f>IFERROR(VLOOKUP($A:$A,CS!$A:$AK,20,FALSE),"")</f>
      </c>
      <c r="M105" s="79">
        <f>IFERROR(VLOOKUP($A:$A,CS!$A:$AK,22,FALSE),"")</f>
      </c>
      <c r="N105" s="79">
        <f>IFERROR(VLOOKUP($A:$A,CS!$A:$AK,19,FALSE),"")</f>
      </c>
      <c r="O105" s="79">
        <f>IFERROR(VLOOKUP($A:$A,CS!$A:$AK,23,FALSE),"")</f>
      </c>
      <c r="P105" s="79">
        <f>IFERROR(VLOOKUP($A:$A,CS!$A:$AK,24,FALSE),"")</f>
      </c>
      <c r="Q105" s="79">
        <f>IFERROR(VLOOKUP($A:$A,CS!$A:$AK,25,FALSE),"")</f>
      </c>
      <c r="R105" s="79">
        <f>IFERROR(VLOOKUP($A:$A,CS!$A:$AK,26,FALSE),"")</f>
      </c>
      <c r="S105" s="79">
        <f>IFERROR(VLOOKUP($A:$A,CS!$A:$AK,29,FALSE),"")</f>
      </c>
      <c r="T105" s="79">
        <f>IFERROR(VLOOKUP($A:$A,CS!$A:$AK,33,FALSE),"")</f>
      </c>
      <c r="U105" s="79">
        <f>IFERROR(VLOOKUP($A:$A,CS!$A:$AK,34,FALSE),"")</f>
      </c>
      <c r="V105" s="79">
        <f>IFERROR(VLOOKUP($A:$A,CS!$A:$AK,35,FALSE),"")</f>
      </c>
      <c r="W105" s="79">
        <f>IFERROR(VLOOKUP($A:$A,CS!$A:$AK,36,FALSE),"")</f>
      </c>
    </row>
    <row r="106" ht="16.5" customHeight="1" spans="1:23" x14ac:dyDescent="0.25">
      <c r="A106" s="93"/>
      <c r="B106" s="79">
        <f>IFERROR(VLOOKUP($A:$A,CS!$A:$AK,3,FALSE),"")</f>
      </c>
      <c r="C106" s="79">
        <f>IFERROR(VLOOKUP($A:$A,CS!$A:$AK,4,FALSE),"")</f>
      </c>
      <c r="D106" s="79">
        <f>IFERROR(VLOOKUP($A:$A,CS!$A:$AK,5,FALSE),"")</f>
      </c>
      <c r="E106" s="79">
        <f>IFERROR(VLOOKUP($A:$A,CS!$A:$AK,7,FALSE),"")</f>
      </c>
      <c r="F106" s="79">
        <f>IFERROR(VLOOKUP($A:$A,CS!$A:$AK,8,FALSE),"")</f>
      </c>
      <c r="G106" s="79">
        <f>IFERROR(VLOOKUP($A:$A,CS!$A:$AK,10,FALSE),"")</f>
      </c>
      <c r="H106" s="79">
        <f>IFERROR(VLOOKUP($A:$A,CS!$A:$AK,14,FALSE),"")</f>
      </c>
      <c r="I106" s="79">
        <f>IFERROR(VLOOKUP($A:$A,CS!$A:$AK,15,FALSE),"")</f>
      </c>
      <c r="J106" s="79">
        <f>IFERROR(VLOOKUP($A:$A,CS!$A:$AK,18,FALSE),"")</f>
      </c>
      <c r="K106" s="79">
        <f>IFERROR(VLOOKUP($A:$A,CS!$A:$AK,19,FALSE),"")</f>
      </c>
      <c r="L106" s="79">
        <f>IFERROR(VLOOKUP($A:$A,CS!$A:$AK,20,FALSE),"")</f>
      </c>
      <c r="M106" s="79">
        <f>IFERROR(VLOOKUP($A:$A,CS!$A:$AK,22,FALSE),"")</f>
      </c>
      <c r="N106" s="79">
        <f>IFERROR(VLOOKUP($A:$A,CS!$A:$AK,19,FALSE),"")</f>
      </c>
      <c r="O106" s="79">
        <f>IFERROR(VLOOKUP($A:$A,CS!$A:$AK,23,FALSE),"")</f>
      </c>
      <c r="P106" s="79">
        <f>IFERROR(VLOOKUP($A:$A,CS!$A:$AK,24,FALSE),"")</f>
      </c>
      <c r="Q106" s="79">
        <f>IFERROR(VLOOKUP($A:$A,CS!$A:$AK,25,FALSE),"")</f>
      </c>
      <c r="R106" s="79">
        <f>IFERROR(VLOOKUP($A:$A,CS!$A:$AK,26,FALSE),"")</f>
      </c>
      <c r="S106" s="79">
        <f>IFERROR(VLOOKUP($A:$A,CS!$A:$AK,29,FALSE),"")</f>
      </c>
      <c r="T106" s="79">
        <f>IFERROR(VLOOKUP($A:$A,CS!$A:$AK,33,FALSE),"")</f>
      </c>
      <c r="U106" s="79">
        <f>IFERROR(VLOOKUP($A:$A,CS!$A:$AK,34,FALSE),"")</f>
      </c>
      <c r="V106" s="79">
        <f>IFERROR(VLOOKUP($A:$A,CS!$A:$AK,35,FALSE),"")</f>
      </c>
      <c r="W106" s="79">
        <f>IFERROR(VLOOKUP($A:$A,CS!$A:$AK,36,FALSE),"")</f>
      </c>
    </row>
    <row r="107" ht="16.5" customHeight="1" spans="1:23" x14ac:dyDescent="0.25">
      <c r="A107" s="93"/>
      <c r="B107" s="79">
        <f>IFERROR(VLOOKUP($A:$A,CS!$A:$AK,3,FALSE),"")</f>
      </c>
      <c r="C107" s="79">
        <f>IFERROR(VLOOKUP($A:$A,CS!$A:$AK,4,FALSE),"")</f>
      </c>
      <c r="D107" s="79">
        <f>IFERROR(VLOOKUP($A:$A,CS!$A:$AK,5,FALSE),"")</f>
      </c>
      <c r="E107" s="79">
        <f>IFERROR(VLOOKUP($A:$A,CS!$A:$AK,7,FALSE),"")</f>
      </c>
      <c r="F107" s="79">
        <f>IFERROR(VLOOKUP($A:$A,CS!$A:$AK,8,FALSE),"")</f>
      </c>
      <c r="G107" s="79">
        <f>IFERROR(VLOOKUP($A:$A,CS!$A:$AK,10,FALSE),"")</f>
      </c>
      <c r="H107" s="79">
        <f>IFERROR(VLOOKUP($A:$A,CS!$A:$AK,14,FALSE),"")</f>
      </c>
      <c r="I107" s="79">
        <f>IFERROR(VLOOKUP($A:$A,CS!$A:$AK,15,FALSE),"")</f>
      </c>
      <c r="J107" s="79">
        <f>IFERROR(VLOOKUP($A:$A,CS!$A:$AK,18,FALSE),"")</f>
      </c>
      <c r="K107" s="79">
        <f>IFERROR(VLOOKUP($A:$A,CS!$A:$AK,19,FALSE),"")</f>
      </c>
      <c r="L107" s="79">
        <f>IFERROR(VLOOKUP($A:$A,CS!$A:$AK,20,FALSE),"")</f>
      </c>
      <c r="M107" s="79">
        <f>IFERROR(VLOOKUP($A:$A,CS!$A:$AK,22,FALSE),"")</f>
      </c>
      <c r="N107" s="79">
        <f>IFERROR(VLOOKUP($A:$A,CS!$A:$AK,19,FALSE),"")</f>
      </c>
      <c r="O107" s="79">
        <f>IFERROR(VLOOKUP($A:$A,CS!$A:$AK,23,FALSE),"")</f>
      </c>
      <c r="P107" s="79">
        <f>IFERROR(VLOOKUP($A:$A,CS!$A:$AK,24,FALSE),"")</f>
      </c>
      <c r="Q107" s="79">
        <f>IFERROR(VLOOKUP($A:$A,CS!$A:$AK,25,FALSE),"")</f>
      </c>
      <c r="R107" s="79">
        <f>IFERROR(VLOOKUP($A:$A,CS!$A:$AK,26,FALSE),"")</f>
      </c>
      <c r="S107" s="79">
        <f>IFERROR(VLOOKUP($A:$A,CS!$A:$AK,29,FALSE),"")</f>
      </c>
      <c r="T107" s="79">
        <f>IFERROR(VLOOKUP($A:$A,CS!$A:$AK,33,FALSE),"")</f>
      </c>
      <c r="U107" s="79">
        <f>IFERROR(VLOOKUP($A:$A,CS!$A:$AK,34,FALSE),"")</f>
      </c>
      <c r="V107" s="79">
        <f>IFERROR(VLOOKUP($A:$A,CS!$A:$AK,35,FALSE),"")</f>
      </c>
      <c r="W107" s="79">
        <f>IFERROR(VLOOKUP($A:$A,CS!$A:$AK,36,FALSE),"")</f>
      </c>
    </row>
    <row r="108" ht="16.5" customHeight="1" spans="1:23" x14ac:dyDescent="0.25">
      <c r="A108" s="93"/>
      <c r="B108" s="79">
        <f>IFERROR(VLOOKUP($A:$A,CS!$A:$AK,3,FALSE),"")</f>
      </c>
      <c r="C108" s="79">
        <f>IFERROR(VLOOKUP($A:$A,CS!$A:$AK,4,FALSE),"")</f>
      </c>
      <c r="D108" s="79">
        <f>IFERROR(VLOOKUP($A:$A,CS!$A:$AK,5,FALSE),"")</f>
      </c>
      <c r="E108" s="79">
        <f>IFERROR(VLOOKUP($A:$A,CS!$A:$AK,7,FALSE),"")</f>
      </c>
      <c r="F108" s="79">
        <f>IFERROR(VLOOKUP($A:$A,CS!$A:$AK,8,FALSE),"")</f>
      </c>
      <c r="G108" s="79">
        <f>IFERROR(VLOOKUP($A:$A,CS!$A:$AK,10,FALSE),"")</f>
      </c>
      <c r="H108" s="79">
        <f>IFERROR(VLOOKUP($A:$A,CS!$A:$AK,14,FALSE),"")</f>
      </c>
      <c r="I108" s="79">
        <f>IFERROR(VLOOKUP($A:$A,CS!$A:$AK,15,FALSE),"")</f>
      </c>
      <c r="J108" s="79">
        <f>IFERROR(VLOOKUP($A:$A,CS!$A:$AK,18,FALSE),"")</f>
      </c>
      <c r="K108" s="79">
        <f>IFERROR(VLOOKUP($A:$A,CS!$A:$AK,19,FALSE),"")</f>
      </c>
      <c r="L108" s="79">
        <f>IFERROR(VLOOKUP($A:$A,CS!$A:$AK,20,FALSE),"")</f>
      </c>
      <c r="M108" s="79">
        <f>IFERROR(VLOOKUP($A:$A,CS!$A:$AK,22,FALSE),"")</f>
      </c>
      <c r="N108" s="79">
        <f>IFERROR(VLOOKUP($A:$A,CS!$A:$AK,19,FALSE),"")</f>
      </c>
      <c r="O108" s="79">
        <f>IFERROR(VLOOKUP($A:$A,CS!$A:$AK,23,FALSE),"")</f>
      </c>
      <c r="P108" s="79">
        <f>IFERROR(VLOOKUP($A:$A,CS!$A:$AK,24,FALSE),"")</f>
      </c>
      <c r="Q108" s="79">
        <f>IFERROR(VLOOKUP($A:$A,CS!$A:$AK,25,FALSE),"")</f>
      </c>
      <c r="R108" s="79">
        <f>IFERROR(VLOOKUP($A:$A,CS!$A:$AK,26,FALSE),"")</f>
      </c>
      <c r="S108" s="79">
        <f>IFERROR(VLOOKUP($A:$A,CS!$A:$AK,29,FALSE),"")</f>
      </c>
      <c r="T108" s="79">
        <f>IFERROR(VLOOKUP($A:$A,CS!$A:$AK,33,FALSE),"")</f>
      </c>
      <c r="U108" s="79">
        <f>IFERROR(VLOOKUP($A:$A,CS!$A:$AK,34,FALSE),"")</f>
      </c>
      <c r="V108" s="79">
        <f>IFERROR(VLOOKUP($A:$A,CS!$A:$AK,35,FALSE),"")</f>
      </c>
      <c r="W108" s="79">
        <f>IFERROR(VLOOKUP($A:$A,CS!$A:$AK,36,FALSE),"")</f>
      </c>
    </row>
    <row r="109" ht="16.5" customHeight="1" spans="1:23" x14ac:dyDescent="0.25">
      <c r="A109" s="93"/>
      <c r="B109" s="79">
        <f>IFERROR(VLOOKUP($A:$A,CS!$A:$AK,3,FALSE),"")</f>
      </c>
      <c r="C109" s="79">
        <f>IFERROR(VLOOKUP($A:$A,CS!$A:$AK,4,FALSE),"")</f>
      </c>
      <c r="D109" s="79">
        <f>IFERROR(VLOOKUP($A:$A,CS!$A:$AK,5,FALSE),"")</f>
      </c>
      <c r="E109" s="79">
        <f>IFERROR(VLOOKUP($A:$A,CS!$A:$AK,7,FALSE),"")</f>
      </c>
      <c r="F109" s="79">
        <f>IFERROR(VLOOKUP($A:$A,CS!$A:$AK,8,FALSE),"")</f>
      </c>
      <c r="G109" s="79">
        <f>IFERROR(VLOOKUP($A:$A,CS!$A:$AK,10,FALSE),"")</f>
      </c>
      <c r="H109" s="79">
        <f>IFERROR(VLOOKUP($A:$A,CS!$A:$AK,14,FALSE),"")</f>
      </c>
      <c r="I109" s="79">
        <f>IFERROR(VLOOKUP($A:$A,CS!$A:$AK,15,FALSE),"")</f>
      </c>
      <c r="J109" s="79">
        <f>IFERROR(VLOOKUP($A:$A,CS!$A:$AK,18,FALSE),"")</f>
      </c>
      <c r="K109" s="79">
        <f>IFERROR(VLOOKUP($A:$A,CS!$A:$AK,19,FALSE),"")</f>
      </c>
      <c r="L109" s="79">
        <f>IFERROR(VLOOKUP($A:$A,CS!$A:$AK,20,FALSE),"")</f>
      </c>
      <c r="M109" s="79">
        <f>IFERROR(VLOOKUP($A:$A,CS!$A:$AK,22,FALSE),"")</f>
      </c>
      <c r="N109" s="79">
        <f>IFERROR(VLOOKUP($A:$A,CS!$A:$AK,19,FALSE),"")</f>
      </c>
      <c r="O109" s="79">
        <f>IFERROR(VLOOKUP($A:$A,CS!$A:$AK,23,FALSE),"")</f>
      </c>
      <c r="P109" s="79">
        <f>IFERROR(VLOOKUP($A:$A,CS!$A:$AK,24,FALSE),"")</f>
      </c>
      <c r="Q109" s="79">
        <f>IFERROR(VLOOKUP($A:$A,CS!$A:$AK,25,FALSE),"")</f>
      </c>
      <c r="R109" s="79">
        <f>IFERROR(VLOOKUP($A:$A,CS!$A:$AK,26,FALSE),"")</f>
      </c>
      <c r="S109" s="79">
        <f>IFERROR(VLOOKUP($A:$A,CS!$A:$AK,29,FALSE),"")</f>
      </c>
      <c r="T109" s="79">
        <f>IFERROR(VLOOKUP($A:$A,CS!$A:$AK,33,FALSE),"")</f>
      </c>
      <c r="U109" s="79">
        <f>IFERROR(VLOOKUP($A:$A,CS!$A:$AK,34,FALSE),"")</f>
      </c>
      <c r="V109" s="79">
        <f>IFERROR(VLOOKUP($A:$A,CS!$A:$AK,35,FALSE),"")</f>
      </c>
      <c r="W109" s="79">
        <f>IFERROR(VLOOKUP($A:$A,CS!$A:$AK,36,FALSE),"")</f>
      </c>
    </row>
    <row r="110" ht="16.5" customHeight="1" spans="1:23" x14ac:dyDescent="0.25">
      <c r="A110" s="93"/>
      <c r="B110" s="79">
        <f>IFERROR(VLOOKUP($A:$A,CS!$A:$AK,3,FALSE),"")</f>
      </c>
      <c r="C110" s="79">
        <f>IFERROR(VLOOKUP($A:$A,CS!$A:$AK,4,FALSE),"")</f>
      </c>
      <c r="D110" s="79">
        <f>IFERROR(VLOOKUP($A:$A,CS!$A:$AK,5,FALSE),"")</f>
      </c>
      <c r="E110" s="79">
        <f>IFERROR(VLOOKUP($A:$A,CS!$A:$AK,7,FALSE),"")</f>
      </c>
      <c r="F110" s="79">
        <f>IFERROR(VLOOKUP($A:$A,CS!$A:$AK,8,FALSE),"")</f>
      </c>
      <c r="G110" s="79">
        <f>IFERROR(VLOOKUP($A:$A,CS!$A:$AK,10,FALSE),"")</f>
      </c>
      <c r="H110" s="79">
        <f>IFERROR(VLOOKUP($A:$A,CS!$A:$AK,14,FALSE),"")</f>
      </c>
      <c r="I110" s="79">
        <f>IFERROR(VLOOKUP($A:$A,CS!$A:$AK,15,FALSE),"")</f>
      </c>
      <c r="J110" s="79">
        <f>IFERROR(VLOOKUP($A:$A,CS!$A:$AK,18,FALSE),"")</f>
      </c>
      <c r="K110" s="79">
        <f>IFERROR(VLOOKUP($A:$A,CS!$A:$AK,19,FALSE),"")</f>
      </c>
      <c r="L110" s="79">
        <f>IFERROR(VLOOKUP($A:$A,CS!$A:$AK,20,FALSE),"")</f>
      </c>
      <c r="M110" s="79">
        <f>IFERROR(VLOOKUP($A:$A,CS!$A:$AK,22,FALSE),"")</f>
      </c>
      <c r="N110" s="79">
        <f>IFERROR(VLOOKUP($A:$A,CS!$A:$AK,19,FALSE),"")</f>
      </c>
      <c r="O110" s="79">
        <f>IFERROR(VLOOKUP($A:$A,CS!$A:$AK,23,FALSE),"")</f>
      </c>
      <c r="P110" s="79">
        <f>IFERROR(VLOOKUP($A:$A,CS!$A:$AK,24,FALSE),"")</f>
      </c>
      <c r="Q110" s="79">
        <f>IFERROR(VLOOKUP($A:$A,CS!$A:$AK,25,FALSE),"")</f>
      </c>
      <c r="R110" s="79">
        <f>IFERROR(VLOOKUP($A:$A,CS!$A:$AK,26,FALSE),"")</f>
      </c>
      <c r="S110" s="79">
        <f>IFERROR(VLOOKUP($A:$A,CS!$A:$AK,29,FALSE),"")</f>
      </c>
      <c r="T110" s="79">
        <f>IFERROR(VLOOKUP($A:$A,CS!$A:$AK,33,FALSE),"")</f>
      </c>
      <c r="U110" s="79">
        <f>IFERROR(VLOOKUP($A:$A,CS!$A:$AK,34,FALSE),"")</f>
      </c>
      <c r="V110" s="79">
        <f>IFERROR(VLOOKUP($A:$A,CS!$A:$AK,35,FALSE),"")</f>
      </c>
      <c r="W110" s="79">
        <f>IFERROR(VLOOKUP($A:$A,CS!$A:$AK,36,FALSE),"")</f>
      </c>
    </row>
    <row r="111" ht="16.5" customHeight="1" spans="1:23" x14ac:dyDescent="0.25">
      <c r="A111" s="93"/>
      <c r="B111" s="79">
        <f>IFERROR(VLOOKUP($A:$A,CS!$A:$AK,3,FALSE),"")</f>
      </c>
      <c r="C111" s="79">
        <f>IFERROR(VLOOKUP($A:$A,CS!$A:$AK,4,FALSE),"")</f>
      </c>
      <c r="D111" s="79">
        <f>IFERROR(VLOOKUP($A:$A,CS!$A:$AK,5,FALSE),"")</f>
      </c>
      <c r="E111" s="79">
        <f>IFERROR(VLOOKUP($A:$A,CS!$A:$AK,7,FALSE),"")</f>
      </c>
      <c r="F111" s="79">
        <f>IFERROR(VLOOKUP($A:$A,CS!$A:$AK,8,FALSE),"")</f>
      </c>
      <c r="G111" s="79">
        <f>IFERROR(VLOOKUP($A:$A,CS!$A:$AK,10,FALSE),"")</f>
      </c>
      <c r="H111" s="79">
        <f>IFERROR(VLOOKUP($A:$A,CS!$A:$AK,14,FALSE),"")</f>
      </c>
      <c r="I111" s="79">
        <f>IFERROR(VLOOKUP($A:$A,CS!$A:$AK,15,FALSE),"")</f>
      </c>
      <c r="J111" s="79">
        <f>IFERROR(VLOOKUP($A:$A,CS!$A:$AK,18,FALSE),"")</f>
      </c>
      <c r="K111" s="79">
        <f>IFERROR(VLOOKUP($A:$A,CS!$A:$AK,19,FALSE),"")</f>
      </c>
      <c r="L111" s="79">
        <f>IFERROR(VLOOKUP($A:$A,CS!$A:$AK,20,FALSE),"")</f>
      </c>
      <c r="M111" s="79">
        <f>IFERROR(VLOOKUP($A:$A,CS!$A:$AK,22,FALSE),"")</f>
      </c>
      <c r="N111" s="79">
        <f>IFERROR(VLOOKUP($A:$A,CS!$A:$AK,19,FALSE),"")</f>
      </c>
      <c r="O111" s="79">
        <f>IFERROR(VLOOKUP($A:$A,CS!$A:$AK,23,FALSE),"")</f>
      </c>
      <c r="P111" s="79">
        <f>IFERROR(VLOOKUP($A:$A,CS!$A:$AK,24,FALSE),"")</f>
      </c>
      <c r="Q111" s="79">
        <f>IFERROR(VLOOKUP($A:$A,CS!$A:$AK,25,FALSE),"")</f>
      </c>
      <c r="R111" s="79">
        <f>IFERROR(VLOOKUP($A:$A,CS!$A:$AK,26,FALSE),"")</f>
      </c>
      <c r="S111" s="79">
        <f>IFERROR(VLOOKUP($A:$A,CS!$A:$AK,29,FALSE),"")</f>
      </c>
      <c r="T111" s="79">
        <f>IFERROR(VLOOKUP($A:$A,CS!$A:$AK,33,FALSE),"")</f>
      </c>
      <c r="U111" s="79">
        <f>IFERROR(VLOOKUP($A:$A,CS!$A:$AK,34,FALSE),"")</f>
      </c>
      <c r="V111" s="79">
        <f>IFERROR(VLOOKUP($A:$A,CS!$A:$AK,35,FALSE),"")</f>
      </c>
      <c r="W111" s="79">
        <f>IFERROR(VLOOKUP($A:$A,CS!$A:$AK,36,FALSE),"")</f>
      </c>
    </row>
    <row r="112" ht="16.5" customHeight="1" spans="1:23" x14ac:dyDescent="0.25">
      <c r="A112" s="93"/>
      <c r="B112" s="79">
        <f>IFERROR(VLOOKUP($A:$A,CS!$A:$AK,3,FALSE),"")</f>
      </c>
      <c r="C112" s="79">
        <f>IFERROR(VLOOKUP($A:$A,CS!$A:$AK,4,FALSE),"")</f>
      </c>
      <c r="D112" s="79">
        <f>IFERROR(VLOOKUP($A:$A,CS!$A:$AK,5,FALSE),"")</f>
      </c>
      <c r="E112" s="79">
        <f>IFERROR(VLOOKUP($A:$A,CS!$A:$AK,7,FALSE),"")</f>
      </c>
      <c r="F112" s="79">
        <f>IFERROR(VLOOKUP($A:$A,CS!$A:$AK,8,FALSE),"")</f>
      </c>
      <c r="G112" s="79">
        <f>IFERROR(VLOOKUP($A:$A,CS!$A:$AK,10,FALSE),"")</f>
      </c>
      <c r="H112" s="79">
        <f>IFERROR(VLOOKUP($A:$A,CS!$A:$AK,14,FALSE),"")</f>
      </c>
      <c r="I112" s="79">
        <f>IFERROR(VLOOKUP($A:$A,CS!$A:$AK,15,FALSE),"")</f>
      </c>
      <c r="J112" s="79">
        <f>IFERROR(VLOOKUP($A:$A,CS!$A:$AK,18,FALSE),"")</f>
      </c>
      <c r="K112" s="79">
        <f>IFERROR(VLOOKUP($A:$A,CS!$A:$AK,19,FALSE),"")</f>
      </c>
      <c r="L112" s="79">
        <f>IFERROR(VLOOKUP($A:$A,CS!$A:$AK,20,FALSE),"")</f>
      </c>
      <c r="M112" s="79">
        <f>IFERROR(VLOOKUP($A:$A,CS!$A:$AK,22,FALSE),"")</f>
      </c>
      <c r="N112" s="79">
        <f>IFERROR(VLOOKUP($A:$A,CS!$A:$AK,19,FALSE),"")</f>
      </c>
      <c r="O112" s="79">
        <f>IFERROR(VLOOKUP($A:$A,CS!$A:$AK,23,FALSE),"")</f>
      </c>
      <c r="P112" s="79">
        <f>IFERROR(VLOOKUP($A:$A,CS!$A:$AK,24,FALSE),"")</f>
      </c>
      <c r="Q112" s="79">
        <f>IFERROR(VLOOKUP($A:$A,CS!$A:$AK,25,FALSE),"")</f>
      </c>
      <c r="R112" s="79">
        <f>IFERROR(VLOOKUP($A:$A,CS!$A:$AK,26,FALSE),"")</f>
      </c>
      <c r="S112" s="79">
        <f>IFERROR(VLOOKUP($A:$A,CS!$A:$AK,29,FALSE),"")</f>
      </c>
      <c r="T112" s="79">
        <f>IFERROR(VLOOKUP($A:$A,CS!$A:$AK,33,FALSE),"")</f>
      </c>
      <c r="U112" s="79">
        <f>IFERROR(VLOOKUP($A:$A,CS!$A:$AK,34,FALSE),"")</f>
      </c>
      <c r="V112" s="79">
        <f>IFERROR(VLOOKUP($A:$A,CS!$A:$AK,35,FALSE),"")</f>
      </c>
      <c r="W112" s="79">
        <f>IFERROR(VLOOKUP($A:$A,CS!$A:$AK,36,FALSE),"")</f>
      </c>
    </row>
    <row r="113" ht="16.5" customHeight="1" spans="1:23" x14ac:dyDescent="0.25">
      <c r="A113" s="93"/>
      <c r="B113" s="79">
        <f>IFERROR(VLOOKUP($A:$A,CS!$A:$AK,3,FALSE),"")</f>
      </c>
      <c r="C113" s="79">
        <f>IFERROR(VLOOKUP($A:$A,CS!$A:$AK,4,FALSE),"")</f>
      </c>
      <c r="D113" s="79">
        <f>IFERROR(VLOOKUP($A:$A,CS!$A:$AK,5,FALSE),"")</f>
      </c>
      <c r="E113" s="79">
        <f>IFERROR(VLOOKUP($A:$A,CS!$A:$AK,7,FALSE),"")</f>
      </c>
      <c r="F113" s="79">
        <f>IFERROR(VLOOKUP($A:$A,CS!$A:$AK,8,FALSE),"")</f>
      </c>
      <c r="G113" s="79">
        <f>IFERROR(VLOOKUP($A:$A,CS!$A:$AK,10,FALSE),"")</f>
      </c>
      <c r="H113" s="79">
        <f>IFERROR(VLOOKUP($A:$A,CS!$A:$AK,14,FALSE),"")</f>
      </c>
      <c r="I113" s="79">
        <f>IFERROR(VLOOKUP($A:$A,CS!$A:$AK,15,FALSE),"")</f>
      </c>
      <c r="J113" s="79">
        <f>IFERROR(VLOOKUP($A:$A,CS!$A:$AK,18,FALSE),"")</f>
      </c>
      <c r="K113" s="79">
        <f>IFERROR(VLOOKUP($A:$A,CS!$A:$AK,19,FALSE),"")</f>
      </c>
      <c r="L113" s="79">
        <f>IFERROR(VLOOKUP($A:$A,CS!$A:$AK,20,FALSE),"")</f>
      </c>
      <c r="M113" s="79">
        <f>IFERROR(VLOOKUP($A:$A,CS!$A:$AK,22,FALSE),"")</f>
      </c>
      <c r="N113" s="79">
        <f>IFERROR(VLOOKUP($A:$A,CS!$A:$AK,19,FALSE),"")</f>
      </c>
      <c r="O113" s="79">
        <f>IFERROR(VLOOKUP($A:$A,CS!$A:$AK,23,FALSE),"")</f>
      </c>
      <c r="P113" s="79">
        <f>IFERROR(VLOOKUP($A:$A,CS!$A:$AK,24,FALSE),"")</f>
      </c>
      <c r="Q113" s="79">
        <f>IFERROR(VLOOKUP($A:$A,CS!$A:$AK,25,FALSE),"")</f>
      </c>
      <c r="R113" s="79">
        <f>IFERROR(VLOOKUP($A:$A,CS!$A:$AK,26,FALSE),"")</f>
      </c>
      <c r="S113" s="79">
        <f>IFERROR(VLOOKUP($A:$A,CS!$A:$AK,29,FALSE),"")</f>
      </c>
      <c r="T113" s="79">
        <f>IFERROR(VLOOKUP($A:$A,CS!$A:$AK,33,FALSE),"")</f>
      </c>
      <c r="U113" s="79">
        <f>IFERROR(VLOOKUP($A:$A,CS!$A:$AK,34,FALSE),"")</f>
      </c>
      <c r="V113" s="79">
        <f>IFERROR(VLOOKUP($A:$A,CS!$A:$AK,35,FALSE),"")</f>
      </c>
      <c r="W113" s="79">
        <f>IFERROR(VLOOKUP($A:$A,CS!$A:$AK,36,FALSE),"")</f>
      </c>
    </row>
    <row r="114" ht="16.5" customHeight="1" spans="1:23" x14ac:dyDescent="0.25">
      <c r="A114" s="93"/>
      <c r="B114" s="79">
        <f>IFERROR(VLOOKUP($A:$A,CS!$A:$AK,3,FALSE),"")</f>
      </c>
      <c r="C114" s="79">
        <f>IFERROR(VLOOKUP($A:$A,CS!$A:$AK,4,FALSE),"")</f>
      </c>
      <c r="D114" s="79">
        <f>IFERROR(VLOOKUP($A:$A,CS!$A:$AK,5,FALSE),"")</f>
      </c>
      <c r="E114" s="79">
        <f>IFERROR(VLOOKUP($A:$A,CS!$A:$AK,7,FALSE),"")</f>
      </c>
      <c r="F114" s="79">
        <f>IFERROR(VLOOKUP($A:$A,CS!$A:$AK,8,FALSE),"")</f>
      </c>
      <c r="G114" s="79">
        <f>IFERROR(VLOOKUP($A:$A,CS!$A:$AK,10,FALSE),"")</f>
      </c>
      <c r="H114" s="79">
        <f>IFERROR(VLOOKUP($A:$A,CS!$A:$AK,14,FALSE),"")</f>
      </c>
      <c r="I114" s="79">
        <f>IFERROR(VLOOKUP($A:$A,CS!$A:$AK,15,FALSE),"")</f>
      </c>
      <c r="J114" s="79">
        <f>IFERROR(VLOOKUP($A:$A,CS!$A:$AK,18,FALSE),"")</f>
      </c>
      <c r="K114" s="79">
        <f>IFERROR(VLOOKUP($A:$A,CS!$A:$AK,19,FALSE),"")</f>
      </c>
      <c r="L114" s="79">
        <f>IFERROR(VLOOKUP($A:$A,CS!$A:$AK,20,FALSE),"")</f>
      </c>
      <c r="M114" s="79">
        <f>IFERROR(VLOOKUP($A:$A,CS!$A:$AK,22,FALSE),"")</f>
      </c>
      <c r="N114" s="79">
        <f>IFERROR(VLOOKUP($A:$A,CS!$A:$AK,19,FALSE),"")</f>
      </c>
      <c r="O114" s="79">
        <f>IFERROR(VLOOKUP($A:$A,CS!$A:$AK,23,FALSE),"")</f>
      </c>
      <c r="P114" s="79">
        <f>IFERROR(VLOOKUP($A:$A,CS!$A:$AK,24,FALSE),"")</f>
      </c>
      <c r="Q114" s="79">
        <f>IFERROR(VLOOKUP($A:$A,CS!$A:$AK,25,FALSE),"")</f>
      </c>
      <c r="R114" s="79">
        <f>IFERROR(VLOOKUP($A:$A,CS!$A:$AK,26,FALSE),"")</f>
      </c>
      <c r="S114" s="79">
        <f>IFERROR(VLOOKUP($A:$A,CS!$A:$AK,29,FALSE),"")</f>
      </c>
      <c r="T114" s="79">
        <f>IFERROR(VLOOKUP($A:$A,CS!$A:$AK,33,FALSE),"")</f>
      </c>
      <c r="U114" s="79">
        <f>IFERROR(VLOOKUP($A:$A,CS!$A:$AK,34,FALSE),"")</f>
      </c>
      <c r="V114" s="79">
        <f>IFERROR(VLOOKUP($A:$A,CS!$A:$AK,35,FALSE),"")</f>
      </c>
      <c r="W114" s="79">
        <f>IFERROR(VLOOKUP($A:$A,CS!$A:$AK,36,FALSE),"")</f>
      </c>
    </row>
    <row r="115" ht="16.5" customHeight="1" spans="1:23" x14ac:dyDescent="0.25">
      <c r="A115" s="93"/>
      <c r="B115" s="79">
        <f>IFERROR(VLOOKUP($A:$A,CS!$A:$AK,3,FALSE),"")</f>
      </c>
      <c r="C115" s="79">
        <f>IFERROR(VLOOKUP($A:$A,CS!$A:$AK,4,FALSE),"")</f>
      </c>
      <c r="D115" s="79">
        <f>IFERROR(VLOOKUP($A:$A,CS!$A:$AK,5,FALSE),"")</f>
      </c>
      <c r="E115" s="79">
        <f>IFERROR(VLOOKUP($A:$A,CS!$A:$AK,7,FALSE),"")</f>
      </c>
      <c r="F115" s="79">
        <f>IFERROR(VLOOKUP($A:$A,CS!$A:$AK,8,FALSE),"")</f>
      </c>
      <c r="G115" s="79">
        <f>IFERROR(VLOOKUP($A:$A,CS!$A:$AK,10,FALSE),"")</f>
      </c>
      <c r="H115" s="79">
        <f>IFERROR(VLOOKUP($A:$A,CS!$A:$AK,14,FALSE),"")</f>
      </c>
      <c r="I115" s="79">
        <f>IFERROR(VLOOKUP($A:$A,CS!$A:$AK,15,FALSE),"")</f>
      </c>
      <c r="J115" s="79">
        <f>IFERROR(VLOOKUP($A:$A,CS!$A:$AK,18,FALSE),"")</f>
      </c>
      <c r="K115" s="79">
        <f>IFERROR(VLOOKUP($A:$A,CS!$A:$AK,19,FALSE),"")</f>
      </c>
      <c r="L115" s="79">
        <f>IFERROR(VLOOKUP($A:$A,CS!$A:$AK,20,FALSE),"")</f>
      </c>
      <c r="M115" s="79">
        <f>IFERROR(VLOOKUP($A:$A,CS!$A:$AK,22,FALSE),"")</f>
      </c>
      <c r="N115" s="79">
        <f>IFERROR(VLOOKUP($A:$A,CS!$A:$AK,19,FALSE),"")</f>
      </c>
      <c r="O115" s="79">
        <f>IFERROR(VLOOKUP($A:$A,CS!$A:$AK,23,FALSE),"")</f>
      </c>
      <c r="P115" s="79">
        <f>IFERROR(VLOOKUP($A:$A,CS!$A:$AK,24,FALSE),"")</f>
      </c>
      <c r="Q115" s="79">
        <f>IFERROR(VLOOKUP($A:$A,CS!$A:$AK,25,FALSE),"")</f>
      </c>
      <c r="R115" s="79">
        <f>IFERROR(VLOOKUP($A:$A,CS!$A:$AK,26,FALSE),"")</f>
      </c>
      <c r="S115" s="79">
        <f>IFERROR(VLOOKUP($A:$A,CS!$A:$AK,29,FALSE),"")</f>
      </c>
      <c r="T115" s="79">
        <f>IFERROR(VLOOKUP($A:$A,CS!$A:$AK,33,FALSE),"")</f>
      </c>
      <c r="U115" s="79">
        <f>IFERROR(VLOOKUP($A:$A,CS!$A:$AK,34,FALSE),"")</f>
      </c>
      <c r="V115" s="79">
        <f>IFERROR(VLOOKUP($A:$A,CS!$A:$AK,35,FALSE),"")</f>
      </c>
      <c r="W115" s="79">
        <f>IFERROR(VLOOKUP($A:$A,CS!$A:$AK,36,FALSE),"")</f>
      </c>
    </row>
    <row r="116" ht="16.5" customHeight="1" spans="1:23" x14ac:dyDescent="0.25">
      <c r="A116" s="93"/>
      <c r="B116" s="79">
        <f>IFERROR(VLOOKUP($A:$A,CS!$A:$AK,3,FALSE),"")</f>
      </c>
      <c r="C116" s="79">
        <f>IFERROR(VLOOKUP($A:$A,CS!$A:$AK,4,FALSE),"")</f>
      </c>
      <c r="D116" s="79">
        <f>IFERROR(VLOOKUP($A:$A,CS!$A:$AK,5,FALSE),"")</f>
      </c>
      <c r="E116" s="79">
        <f>IFERROR(VLOOKUP($A:$A,CS!$A:$AK,7,FALSE),"")</f>
      </c>
      <c r="F116" s="79">
        <f>IFERROR(VLOOKUP($A:$A,CS!$A:$AK,8,FALSE),"")</f>
      </c>
      <c r="G116" s="79">
        <f>IFERROR(VLOOKUP($A:$A,CS!$A:$AK,10,FALSE),"")</f>
      </c>
      <c r="H116" s="79">
        <f>IFERROR(VLOOKUP($A:$A,CS!$A:$AK,14,FALSE),"")</f>
      </c>
      <c r="I116" s="79">
        <f>IFERROR(VLOOKUP($A:$A,CS!$A:$AK,15,FALSE),"")</f>
      </c>
      <c r="J116" s="79">
        <f>IFERROR(VLOOKUP($A:$A,CS!$A:$AK,18,FALSE),"")</f>
      </c>
      <c r="K116" s="79">
        <f>IFERROR(VLOOKUP($A:$A,CS!$A:$AK,19,FALSE),"")</f>
      </c>
      <c r="L116" s="79">
        <f>IFERROR(VLOOKUP($A:$A,CS!$A:$AK,20,FALSE),"")</f>
      </c>
      <c r="M116" s="79">
        <f>IFERROR(VLOOKUP($A:$A,CS!$A:$AK,22,FALSE),"")</f>
      </c>
      <c r="N116" s="79">
        <f>IFERROR(VLOOKUP($A:$A,CS!$A:$AK,19,FALSE),"")</f>
      </c>
      <c r="O116" s="79">
        <f>IFERROR(VLOOKUP($A:$A,CS!$A:$AK,23,FALSE),"")</f>
      </c>
      <c r="P116" s="79">
        <f>IFERROR(VLOOKUP($A:$A,CS!$A:$AK,24,FALSE),"")</f>
      </c>
      <c r="Q116" s="79">
        <f>IFERROR(VLOOKUP($A:$A,CS!$A:$AK,25,FALSE),"")</f>
      </c>
      <c r="R116" s="79">
        <f>IFERROR(VLOOKUP($A:$A,CS!$A:$AK,26,FALSE),"")</f>
      </c>
      <c r="S116" s="79">
        <f>IFERROR(VLOOKUP($A:$A,CS!$A:$AK,29,FALSE),"")</f>
      </c>
      <c r="T116" s="79">
        <f>IFERROR(VLOOKUP($A:$A,CS!$A:$AK,33,FALSE),"")</f>
      </c>
      <c r="U116" s="79">
        <f>IFERROR(VLOOKUP($A:$A,CS!$A:$AK,34,FALSE),"")</f>
      </c>
      <c r="V116" s="79">
        <f>IFERROR(VLOOKUP($A:$A,CS!$A:$AK,35,FALSE),"")</f>
      </c>
      <c r="W116" s="79">
        <f>IFERROR(VLOOKUP($A:$A,CS!$A:$AK,36,FALSE),"")</f>
      </c>
    </row>
    <row r="117" ht="16.5" customHeight="1" spans="1:23" x14ac:dyDescent="0.25">
      <c r="A117" s="93"/>
      <c r="B117" s="79">
        <f>IFERROR(VLOOKUP($A:$A,CS!$A:$AK,3,FALSE),"")</f>
      </c>
      <c r="C117" s="79">
        <f>IFERROR(VLOOKUP($A:$A,CS!$A:$AK,4,FALSE),"")</f>
      </c>
      <c r="D117" s="79">
        <f>IFERROR(VLOOKUP($A:$A,CS!$A:$AK,5,FALSE),"")</f>
      </c>
      <c r="E117" s="79">
        <f>IFERROR(VLOOKUP($A:$A,CS!$A:$AK,7,FALSE),"")</f>
      </c>
      <c r="F117" s="79">
        <f>IFERROR(VLOOKUP($A:$A,CS!$A:$AK,8,FALSE),"")</f>
      </c>
      <c r="G117" s="79">
        <f>IFERROR(VLOOKUP($A:$A,CS!$A:$AK,10,FALSE),"")</f>
      </c>
      <c r="H117" s="79">
        <f>IFERROR(VLOOKUP($A:$A,CS!$A:$AK,14,FALSE),"")</f>
      </c>
      <c r="I117" s="79">
        <f>IFERROR(VLOOKUP($A:$A,CS!$A:$AK,15,FALSE),"")</f>
      </c>
      <c r="J117" s="79">
        <f>IFERROR(VLOOKUP($A:$A,CS!$A:$AK,18,FALSE),"")</f>
      </c>
      <c r="K117" s="79">
        <f>IFERROR(VLOOKUP($A:$A,CS!$A:$AK,19,FALSE),"")</f>
      </c>
      <c r="L117" s="79">
        <f>IFERROR(VLOOKUP($A:$A,CS!$A:$AK,20,FALSE),"")</f>
      </c>
      <c r="M117" s="79">
        <f>IFERROR(VLOOKUP($A:$A,CS!$A:$AK,22,FALSE),"")</f>
      </c>
      <c r="N117" s="79">
        <f>IFERROR(VLOOKUP($A:$A,CS!$A:$AK,19,FALSE),"")</f>
      </c>
      <c r="O117" s="79">
        <f>IFERROR(VLOOKUP($A:$A,CS!$A:$AK,23,FALSE),"")</f>
      </c>
      <c r="P117" s="79">
        <f>IFERROR(VLOOKUP($A:$A,CS!$A:$AK,24,FALSE),"")</f>
      </c>
      <c r="Q117" s="79">
        <f>IFERROR(VLOOKUP($A:$A,CS!$A:$AK,25,FALSE),"")</f>
      </c>
      <c r="R117" s="79">
        <f>IFERROR(VLOOKUP($A:$A,CS!$A:$AK,26,FALSE),"")</f>
      </c>
      <c r="S117" s="79">
        <f>IFERROR(VLOOKUP($A:$A,CS!$A:$AK,29,FALSE),"")</f>
      </c>
      <c r="T117" s="79">
        <f>IFERROR(VLOOKUP($A:$A,CS!$A:$AK,33,FALSE),"")</f>
      </c>
      <c r="U117" s="79">
        <f>IFERROR(VLOOKUP($A:$A,CS!$A:$AK,34,FALSE),"")</f>
      </c>
      <c r="V117" s="79">
        <f>IFERROR(VLOOKUP($A:$A,CS!$A:$AK,35,FALSE),"")</f>
      </c>
      <c r="W117" s="79">
        <f>IFERROR(VLOOKUP($A:$A,CS!$A:$AK,36,FALSE),"")</f>
      </c>
    </row>
    <row r="118" ht="16.5" customHeight="1" spans="1:23" x14ac:dyDescent="0.25">
      <c r="A118" s="93"/>
      <c r="B118" s="79">
        <f>IFERROR(VLOOKUP($A:$A,CS!$A:$AK,3,FALSE),"")</f>
      </c>
      <c r="C118" s="79">
        <f>IFERROR(VLOOKUP($A:$A,CS!$A:$AK,4,FALSE),"")</f>
      </c>
      <c r="D118" s="79">
        <f>IFERROR(VLOOKUP($A:$A,CS!$A:$AK,5,FALSE),"")</f>
      </c>
      <c r="E118" s="79">
        <f>IFERROR(VLOOKUP($A:$A,CS!$A:$AK,7,FALSE),"")</f>
      </c>
      <c r="F118" s="79">
        <f>IFERROR(VLOOKUP($A:$A,CS!$A:$AK,8,FALSE),"")</f>
      </c>
      <c r="G118" s="79">
        <f>IFERROR(VLOOKUP($A:$A,CS!$A:$AK,10,FALSE),"")</f>
      </c>
      <c r="H118" s="79">
        <f>IFERROR(VLOOKUP($A:$A,CS!$A:$AK,14,FALSE),"")</f>
      </c>
      <c r="I118" s="79">
        <f>IFERROR(VLOOKUP($A:$A,CS!$A:$AK,15,FALSE),"")</f>
      </c>
      <c r="J118" s="79">
        <f>IFERROR(VLOOKUP($A:$A,CS!$A:$AK,18,FALSE),"")</f>
      </c>
      <c r="K118" s="79">
        <f>IFERROR(VLOOKUP($A:$A,CS!$A:$AK,19,FALSE),"")</f>
      </c>
      <c r="L118" s="79">
        <f>IFERROR(VLOOKUP($A:$A,CS!$A:$AK,20,FALSE),"")</f>
      </c>
      <c r="M118" s="79">
        <f>IFERROR(VLOOKUP($A:$A,CS!$A:$AK,22,FALSE),"")</f>
      </c>
      <c r="N118" s="79">
        <f>IFERROR(VLOOKUP($A:$A,CS!$A:$AK,19,FALSE),"")</f>
      </c>
      <c r="O118" s="79">
        <f>IFERROR(VLOOKUP($A:$A,CS!$A:$AK,23,FALSE),"")</f>
      </c>
      <c r="P118" s="79">
        <f>IFERROR(VLOOKUP($A:$A,CS!$A:$AK,24,FALSE),"")</f>
      </c>
      <c r="Q118" s="79">
        <f>IFERROR(VLOOKUP($A:$A,CS!$A:$AK,25,FALSE),"")</f>
      </c>
      <c r="R118" s="79">
        <f>IFERROR(VLOOKUP($A:$A,CS!$A:$AK,26,FALSE),"")</f>
      </c>
      <c r="S118" s="79">
        <f>IFERROR(VLOOKUP($A:$A,CS!$A:$AK,29,FALSE),"")</f>
      </c>
      <c r="T118" s="79">
        <f>IFERROR(VLOOKUP($A:$A,CS!$A:$AK,33,FALSE),"")</f>
      </c>
      <c r="U118" s="79">
        <f>IFERROR(VLOOKUP($A:$A,CS!$A:$AK,34,FALSE),"")</f>
      </c>
      <c r="V118" s="79">
        <f>IFERROR(VLOOKUP($A:$A,CS!$A:$AK,35,FALSE),"")</f>
      </c>
      <c r="W118" s="79">
        <f>IFERROR(VLOOKUP($A:$A,CS!$A:$AK,36,FALSE),"")</f>
      </c>
    </row>
    <row r="119" ht="16.5" customHeight="1" spans="1:23" x14ac:dyDescent="0.25">
      <c r="A119" s="93"/>
      <c r="B119" s="79">
        <f>IFERROR(VLOOKUP($A:$A,CS!$A:$AK,3,FALSE),"")</f>
      </c>
      <c r="C119" s="79">
        <f>IFERROR(VLOOKUP($A:$A,CS!$A:$AK,4,FALSE),"")</f>
      </c>
      <c r="D119" s="79">
        <f>IFERROR(VLOOKUP($A:$A,CS!$A:$AK,5,FALSE),"")</f>
      </c>
      <c r="E119" s="79">
        <f>IFERROR(VLOOKUP($A:$A,CS!$A:$AK,7,FALSE),"")</f>
      </c>
      <c r="F119" s="79">
        <f>IFERROR(VLOOKUP($A:$A,CS!$A:$AK,8,FALSE),"")</f>
      </c>
      <c r="G119" s="79">
        <f>IFERROR(VLOOKUP($A:$A,CS!$A:$AK,10,FALSE),"")</f>
      </c>
      <c r="H119" s="79">
        <f>IFERROR(VLOOKUP($A:$A,CS!$A:$AK,14,FALSE),"")</f>
      </c>
      <c r="I119" s="79">
        <f>IFERROR(VLOOKUP($A:$A,CS!$A:$AK,15,FALSE),"")</f>
      </c>
      <c r="J119" s="79">
        <f>IFERROR(VLOOKUP($A:$A,CS!$A:$AK,18,FALSE),"")</f>
      </c>
      <c r="K119" s="79">
        <f>IFERROR(VLOOKUP($A:$A,CS!$A:$AK,19,FALSE),"")</f>
      </c>
      <c r="L119" s="79">
        <f>IFERROR(VLOOKUP($A:$A,CS!$A:$AK,20,FALSE),"")</f>
      </c>
      <c r="M119" s="79">
        <f>IFERROR(VLOOKUP($A:$A,CS!$A:$AK,22,FALSE),"")</f>
      </c>
      <c r="N119" s="79">
        <f>IFERROR(VLOOKUP($A:$A,CS!$A:$AK,19,FALSE),"")</f>
      </c>
      <c r="O119" s="79">
        <f>IFERROR(VLOOKUP($A:$A,CS!$A:$AK,23,FALSE),"")</f>
      </c>
      <c r="P119" s="79">
        <f>IFERROR(VLOOKUP($A:$A,CS!$A:$AK,24,FALSE),"")</f>
      </c>
      <c r="Q119" s="79">
        <f>IFERROR(VLOOKUP($A:$A,CS!$A:$AK,25,FALSE),"")</f>
      </c>
      <c r="R119" s="79">
        <f>IFERROR(VLOOKUP($A:$A,CS!$A:$AK,26,FALSE),"")</f>
      </c>
      <c r="S119" s="79">
        <f>IFERROR(VLOOKUP($A:$A,CS!$A:$AK,29,FALSE),"")</f>
      </c>
      <c r="T119" s="79">
        <f>IFERROR(VLOOKUP($A:$A,CS!$A:$AK,33,FALSE),"")</f>
      </c>
      <c r="U119" s="79">
        <f>IFERROR(VLOOKUP($A:$A,CS!$A:$AK,34,FALSE),"")</f>
      </c>
      <c r="V119" s="79">
        <f>IFERROR(VLOOKUP($A:$A,CS!$A:$AK,35,FALSE),"")</f>
      </c>
      <c r="W119" s="79">
        <f>IFERROR(VLOOKUP($A:$A,CS!$A:$AK,36,FALSE),"")</f>
      </c>
    </row>
    <row r="120" ht="16.5" customHeight="1" spans="1:23" x14ac:dyDescent="0.25">
      <c r="A120" s="93"/>
      <c r="B120" s="79">
        <f>IFERROR(VLOOKUP($A:$A,CS!$A:$AK,3,FALSE),"")</f>
      </c>
      <c r="C120" s="79">
        <f>IFERROR(VLOOKUP($A:$A,CS!$A:$AK,4,FALSE),"")</f>
      </c>
      <c r="D120" s="79">
        <f>IFERROR(VLOOKUP($A:$A,CS!$A:$AK,5,FALSE),"")</f>
      </c>
      <c r="E120" s="79">
        <f>IFERROR(VLOOKUP($A:$A,CS!$A:$AK,7,FALSE),"")</f>
      </c>
      <c r="F120" s="79">
        <f>IFERROR(VLOOKUP($A:$A,CS!$A:$AK,8,FALSE),"")</f>
      </c>
      <c r="G120" s="79">
        <f>IFERROR(VLOOKUP($A:$A,CS!$A:$AK,10,FALSE),"")</f>
      </c>
      <c r="H120" s="79">
        <f>IFERROR(VLOOKUP($A:$A,CS!$A:$AK,14,FALSE),"")</f>
      </c>
      <c r="I120" s="79">
        <f>IFERROR(VLOOKUP($A:$A,CS!$A:$AK,15,FALSE),"")</f>
      </c>
      <c r="J120" s="79">
        <f>IFERROR(VLOOKUP($A:$A,CS!$A:$AK,18,FALSE),"")</f>
      </c>
      <c r="K120" s="79">
        <f>IFERROR(VLOOKUP($A:$A,CS!$A:$AK,19,FALSE),"")</f>
      </c>
      <c r="L120" s="79">
        <f>IFERROR(VLOOKUP($A:$A,CS!$A:$AK,20,FALSE),"")</f>
      </c>
      <c r="M120" s="79">
        <f>IFERROR(VLOOKUP($A:$A,CS!$A:$AK,22,FALSE),"")</f>
      </c>
      <c r="N120" s="79">
        <f>IFERROR(VLOOKUP($A:$A,CS!$A:$AK,19,FALSE),"")</f>
      </c>
      <c r="O120" s="79">
        <f>IFERROR(VLOOKUP($A:$A,CS!$A:$AK,23,FALSE),"")</f>
      </c>
      <c r="P120" s="79">
        <f>IFERROR(VLOOKUP($A:$A,CS!$A:$AK,24,FALSE),"")</f>
      </c>
      <c r="Q120" s="79">
        <f>IFERROR(VLOOKUP($A:$A,CS!$A:$AK,25,FALSE),"")</f>
      </c>
      <c r="R120" s="79">
        <f>IFERROR(VLOOKUP($A:$A,CS!$A:$AK,26,FALSE),"")</f>
      </c>
      <c r="S120" s="79">
        <f>IFERROR(VLOOKUP($A:$A,CS!$A:$AK,29,FALSE),"")</f>
      </c>
      <c r="T120" s="79">
        <f>IFERROR(VLOOKUP($A:$A,CS!$A:$AK,33,FALSE),"")</f>
      </c>
      <c r="U120" s="79">
        <f>IFERROR(VLOOKUP($A:$A,CS!$A:$AK,34,FALSE),"")</f>
      </c>
      <c r="V120" s="79">
        <f>IFERROR(VLOOKUP($A:$A,CS!$A:$AK,35,FALSE),"")</f>
      </c>
      <c r="W120" s="79">
        <f>IFERROR(VLOOKUP($A:$A,CS!$A:$AK,36,FALSE),"")</f>
      </c>
    </row>
    <row r="121" ht="16.5" customHeight="1" spans="1:23" x14ac:dyDescent="0.25">
      <c r="A121" s="93"/>
      <c r="B121" s="79">
        <f>IFERROR(VLOOKUP($A:$A,CS!$A:$AK,3,FALSE),"")</f>
      </c>
      <c r="C121" s="79">
        <f>IFERROR(VLOOKUP($A:$A,CS!$A:$AK,4,FALSE),"")</f>
      </c>
      <c r="D121" s="79">
        <f>IFERROR(VLOOKUP($A:$A,CS!$A:$AK,5,FALSE),"")</f>
      </c>
      <c r="E121" s="79">
        <f>IFERROR(VLOOKUP($A:$A,CS!$A:$AK,7,FALSE),"")</f>
      </c>
      <c r="F121" s="79">
        <f>IFERROR(VLOOKUP($A:$A,CS!$A:$AK,8,FALSE),"")</f>
      </c>
      <c r="G121" s="79">
        <f>IFERROR(VLOOKUP($A:$A,CS!$A:$AK,10,FALSE),"")</f>
      </c>
      <c r="H121" s="79">
        <f>IFERROR(VLOOKUP($A:$A,CS!$A:$AK,14,FALSE),"")</f>
      </c>
      <c r="I121" s="79">
        <f>IFERROR(VLOOKUP($A:$A,CS!$A:$AK,15,FALSE),"")</f>
      </c>
      <c r="J121" s="79">
        <f>IFERROR(VLOOKUP($A:$A,CS!$A:$AK,18,FALSE),"")</f>
      </c>
      <c r="K121" s="79">
        <f>IFERROR(VLOOKUP($A:$A,CS!$A:$AK,19,FALSE),"")</f>
      </c>
      <c r="L121" s="79">
        <f>IFERROR(VLOOKUP($A:$A,CS!$A:$AK,20,FALSE),"")</f>
      </c>
      <c r="M121" s="79">
        <f>IFERROR(VLOOKUP($A:$A,CS!$A:$AK,22,FALSE),"")</f>
      </c>
      <c r="N121" s="79">
        <f>IFERROR(VLOOKUP($A:$A,CS!$A:$AK,19,FALSE),"")</f>
      </c>
      <c r="O121" s="79">
        <f>IFERROR(VLOOKUP($A:$A,CS!$A:$AK,23,FALSE),"")</f>
      </c>
      <c r="P121" s="79">
        <f>IFERROR(VLOOKUP($A:$A,CS!$A:$AK,24,FALSE),"")</f>
      </c>
      <c r="Q121" s="79">
        <f>IFERROR(VLOOKUP($A:$A,CS!$A:$AK,25,FALSE),"")</f>
      </c>
      <c r="R121" s="79">
        <f>IFERROR(VLOOKUP($A:$A,CS!$A:$AK,26,FALSE),"")</f>
      </c>
      <c r="S121" s="79">
        <f>IFERROR(VLOOKUP($A:$A,CS!$A:$AK,29,FALSE),"")</f>
      </c>
      <c r="T121" s="79">
        <f>IFERROR(VLOOKUP($A:$A,CS!$A:$AK,33,FALSE),"")</f>
      </c>
      <c r="U121" s="79">
        <f>IFERROR(VLOOKUP($A:$A,CS!$A:$AK,34,FALSE),"")</f>
      </c>
      <c r="V121" s="79">
        <f>IFERROR(VLOOKUP($A:$A,CS!$A:$AK,35,FALSE),"")</f>
      </c>
      <c r="W121" s="79">
        <f>IFERROR(VLOOKUP($A:$A,CS!$A:$AK,36,FALSE),"")</f>
      </c>
    </row>
    <row r="122" ht="16.5" customHeight="1" spans="1:23" x14ac:dyDescent="0.25">
      <c r="A122" s="93"/>
      <c r="B122" s="79">
        <f>IFERROR(VLOOKUP($A:$A,CS!$A:$AK,3,FALSE),"")</f>
      </c>
      <c r="C122" s="79">
        <f>IFERROR(VLOOKUP($A:$A,CS!$A:$AK,4,FALSE),"")</f>
      </c>
      <c r="D122" s="79">
        <f>IFERROR(VLOOKUP($A:$A,CS!$A:$AK,5,FALSE),"")</f>
      </c>
      <c r="E122" s="79">
        <f>IFERROR(VLOOKUP($A:$A,CS!$A:$AK,7,FALSE),"")</f>
      </c>
      <c r="F122" s="79">
        <f>IFERROR(VLOOKUP($A:$A,CS!$A:$AK,8,FALSE),"")</f>
      </c>
      <c r="G122" s="79">
        <f>IFERROR(VLOOKUP($A:$A,CS!$A:$AK,10,FALSE),"")</f>
      </c>
      <c r="H122" s="79">
        <f>IFERROR(VLOOKUP($A:$A,CS!$A:$AK,14,FALSE),"")</f>
      </c>
      <c r="I122" s="79">
        <f>IFERROR(VLOOKUP($A:$A,CS!$A:$AK,15,FALSE),"")</f>
      </c>
      <c r="J122" s="79">
        <f>IFERROR(VLOOKUP($A:$A,CS!$A:$AK,18,FALSE),"")</f>
      </c>
      <c r="K122" s="79">
        <f>IFERROR(VLOOKUP($A:$A,CS!$A:$AK,19,FALSE),"")</f>
      </c>
      <c r="L122" s="79">
        <f>IFERROR(VLOOKUP($A:$A,CS!$A:$AK,20,FALSE),"")</f>
      </c>
      <c r="M122" s="79">
        <f>IFERROR(VLOOKUP($A:$A,CS!$A:$AK,22,FALSE),"")</f>
      </c>
      <c r="N122" s="79">
        <f>IFERROR(VLOOKUP($A:$A,CS!$A:$AK,19,FALSE),"")</f>
      </c>
      <c r="O122" s="79">
        <f>IFERROR(VLOOKUP($A:$A,CS!$A:$AK,23,FALSE),"")</f>
      </c>
      <c r="P122" s="79">
        <f>IFERROR(VLOOKUP($A:$A,CS!$A:$AK,24,FALSE),"")</f>
      </c>
      <c r="Q122" s="79">
        <f>IFERROR(VLOOKUP($A:$A,CS!$A:$AK,25,FALSE),"")</f>
      </c>
      <c r="R122" s="79">
        <f>IFERROR(VLOOKUP($A:$A,CS!$A:$AK,26,FALSE),"")</f>
      </c>
      <c r="S122" s="79">
        <f>IFERROR(VLOOKUP($A:$A,CS!$A:$AK,29,FALSE),"")</f>
      </c>
      <c r="T122" s="79">
        <f>IFERROR(VLOOKUP($A:$A,CS!$A:$AK,33,FALSE),"")</f>
      </c>
      <c r="U122" s="79">
        <f>IFERROR(VLOOKUP($A:$A,CS!$A:$AK,34,FALSE),"")</f>
      </c>
      <c r="V122" s="79">
        <f>IFERROR(VLOOKUP($A:$A,CS!$A:$AK,35,FALSE),"")</f>
      </c>
      <c r="W122" s="79">
        <f>IFERROR(VLOOKUP($A:$A,CS!$A:$AK,36,FALSE),"")</f>
      </c>
    </row>
    <row r="123" ht="16.5" customHeight="1" spans="1:23" x14ac:dyDescent="0.25">
      <c r="A123" s="93"/>
      <c r="B123" s="79">
        <f>IFERROR(VLOOKUP($A:$A,CS!$A:$AK,3,FALSE),"")</f>
      </c>
      <c r="C123" s="79">
        <f>IFERROR(VLOOKUP($A:$A,CS!$A:$AK,4,FALSE),"")</f>
      </c>
      <c r="D123" s="79">
        <f>IFERROR(VLOOKUP($A:$A,CS!$A:$AK,5,FALSE),"")</f>
      </c>
      <c r="E123" s="79">
        <f>IFERROR(VLOOKUP($A:$A,CS!$A:$AK,7,FALSE),"")</f>
      </c>
      <c r="F123" s="79">
        <f>IFERROR(VLOOKUP($A:$A,CS!$A:$AK,8,FALSE),"")</f>
      </c>
      <c r="G123" s="79">
        <f>IFERROR(VLOOKUP($A:$A,CS!$A:$AK,10,FALSE),"")</f>
      </c>
      <c r="H123" s="79">
        <f>IFERROR(VLOOKUP($A:$A,CS!$A:$AK,14,FALSE),"")</f>
      </c>
      <c r="I123" s="79">
        <f>IFERROR(VLOOKUP($A:$A,CS!$A:$AK,15,FALSE),"")</f>
      </c>
      <c r="J123" s="79">
        <f>IFERROR(VLOOKUP($A:$A,CS!$A:$AK,18,FALSE),"")</f>
      </c>
      <c r="K123" s="79">
        <f>IFERROR(VLOOKUP($A:$A,CS!$A:$AK,19,FALSE),"")</f>
      </c>
      <c r="L123" s="79">
        <f>IFERROR(VLOOKUP($A:$A,CS!$A:$AK,20,FALSE),"")</f>
      </c>
      <c r="M123" s="79">
        <f>IFERROR(VLOOKUP($A:$A,CS!$A:$AK,22,FALSE),"")</f>
      </c>
      <c r="N123" s="79">
        <f>IFERROR(VLOOKUP($A:$A,CS!$A:$AK,19,FALSE),"")</f>
      </c>
      <c r="O123" s="79">
        <f>IFERROR(VLOOKUP($A:$A,CS!$A:$AK,23,FALSE),"")</f>
      </c>
      <c r="P123" s="79">
        <f>IFERROR(VLOOKUP($A:$A,CS!$A:$AK,24,FALSE),"")</f>
      </c>
      <c r="Q123" s="79">
        <f>IFERROR(VLOOKUP($A:$A,CS!$A:$AK,25,FALSE),"")</f>
      </c>
      <c r="R123" s="79">
        <f>IFERROR(VLOOKUP($A:$A,CS!$A:$AK,26,FALSE),"")</f>
      </c>
      <c r="S123" s="79">
        <f>IFERROR(VLOOKUP($A:$A,CS!$A:$AK,29,FALSE),"")</f>
      </c>
      <c r="T123" s="79">
        <f>IFERROR(VLOOKUP($A:$A,CS!$A:$AK,33,FALSE),"")</f>
      </c>
      <c r="U123" s="79">
        <f>IFERROR(VLOOKUP($A:$A,CS!$A:$AK,34,FALSE),"")</f>
      </c>
      <c r="V123" s="79">
        <f>IFERROR(VLOOKUP($A:$A,CS!$A:$AK,35,FALSE),"")</f>
      </c>
      <c r="W123" s="79">
        <f>IFERROR(VLOOKUP($A:$A,CS!$A:$AK,36,FALSE),"")</f>
      </c>
    </row>
    <row r="124" ht="16.5" customHeight="1" spans="1:23" x14ac:dyDescent="0.25">
      <c r="A124" s="93"/>
      <c r="B124" s="79">
        <f>IFERROR(VLOOKUP($A:$A,CS!$A:$AK,3,FALSE),"")</f>
      </c>
      <c r="C124" s="79">
        <f>IFERROR(VLOOKUP($A:$A,CS!$A:$AK,4,FALSE),"")</f>
      </c>
      <c r="D124" s="79">
        <f>IFERROR(VLOOKUP($A:$A,CS!$A:$AK,5,FALSE),"")</f>
      </c>
      <c r="E124" s="79">
        <f>IFERROR(VLOOKUP($A:$A,CS!$A:$AK,7,FALSE),"")</f>
      </c>
      <c r="F124" s="79">
        <f>IFERROR(VLOOKUP($A:$A,CS!$A:$AK,8,FALSE),"")</f>
      </c>
      <c r="G124" s="79">
        <f>IFERROR(VLOOKUP($A:$A,CS!$A:$AK,10,FALSE),"")</f>
      </c>
      <c r="H124" s="79">
        <f>IFERROR(VLOOKUP($A:$A,CS!$A:$AK,14,FALSE),"")</f>
      </c>
      <c r="I124" s="79">
        <f>IFERROR(VLOOKUP($A:$A,CS!$A:$AK,15,FALSE),"")</f>
      </c>
      <c r="J124" s="79">
        <f>IFERROR(VLOOKUP($A:$A,CS!$A:$AK,18,FALSE),"")</f>
      </c>
      <c r="K124" s="79">
        <f>IFERROR(VLOOKUP($A:$A,CS!$A:$AK,19,FALSE),"")</f>
      </c>
      <c r="L124" s="79">
        <f>IFERROR(VLOOKUP($A:$A,CS!$A:$AK,20,FALSE),"")</f>
      </c>
      <c r="M124" s="79">
        <f>IFERROR(VLOOKUP($A:$A,CS!$A:$AK,22,FALSE),"")</f>
      </c>
      <c r="N124" s="79">
        <f>IFERROR(VLOOKUP($A:$A,CS!$A:$AK,19,FALSE),"")</f>
      </c>
      <c r="O124" s="79">
        <f>IFERROR(VLOOKUP($A:$A,CS!$A:$AK,23,FALSE),"")</f>
      </c>
      <c r="P124" s="79">
        <f>IFERROR(VLOOKUP($A:$A,CS!$A:$AK,24,FALSE),"")</f>
      </c>
      <c r="Q124" s="79">
        <f>IFERROR(VLOOKUP($A:$A,CS!$A:$AK,25,FALSE),"")</f>
      </c>
      <c r="R124" s="79">
        <f>IFERROR(VLOOKUP($A:$A,CS!$A:$AK,26,FALSE),"")</f>
      </c>
      <c r="S124" s="79">
        <f>IFERROR(VLOOKUP($A:$A,CS!$A:$AK,29,FALSE),"")</f>
      </c>
      <c r="T124" s="79">
        <f>IFERROR(VLOOKUP($A:$A,CS!$A:$AK,33,FALSE),"")</f>
      </c>
      <c r="U124" s="79">
        <f>IFERROR(VLOOKUP($A:$A,CS!$A:$AK,34,FALSE),"")</f>
      </c>
      <c r="V124" s="79">
        <f>IFERROR(VLOOKUP($A:$A,CS!$A:$AK,35,FALSE),"")</f>
      </c>
      <c r="W124" s="79">
        <f>IFERROR(VLOOKUP($A:$A,CS!$A:$AK,36,FALSE),"")</f>
      </c>
    </row>
    <row r="125" ht="16.5" customHeight="1" spans="1:23" x14ac:dyDescent="0.25">
      <c r="A125" s="93"/>
      <c r="B125" s="79">
        <f>IFERROR(VLOOKUP($A:$A,CS!$A:$AK,3,FALSE),"")</f>
      </c>
      <c r="C125" s="79">
        <f>IFERROR(VLOOKUP($A:$A,CS!$A:$AK,4,FALSE),"")</f>
      </c>
      <c r="D125" s="79">
        <f>IFERROR(VLOOKUP($A:$A,CS!$A:$AK,5,FALSE),"")</f>
      </c>
      <c r="E125" s="79">
        <f>IFERROR(VLOOKUP($A:$A,CS!$A:$AK,7,FALSE),"")</f>
      </c>
      <c r="F125" s="79">
        <f>IFERROR(VLOOKUP($A:$A,CS!$A:$AK,8,FALSE),"")</f>
      </c>
      <c r="G125" s="79">
        <f>IFERROR(VLOOKUP($A:$A,CS!$A:$AK,10,FALSE),"")</f>
      </c>
      <c r="H125" s="79">
        <f>IFERROR(VLOOKUP($A:$A,CS!$A:$AK,14,FALSE),"")</f>
      </c>
      <c r="I125" s="79">
        <f>IFERROR(VLOOKUP($A:$A,CS!$A:$AK,15,FALSE),"")</f>
      </c>
      <c r="J125" s="79">
        <f>IFERROR(VLOOKUP($A:$A,CS!$A:$AK,18,FALSE),"")</f>
      </c>
      <c r="K125" s="79">
        <f>IFERROR(VLOOKUP($A:$A,CS!$A:$AK,19,FALSE),"")</f>
      </c>
      <c r="L125" s="79">
        <f>IFERROR(VLOOKUP($A:$A,CS!$A:$AK,20,FALSE),"")</f>
      </c>
      <c r="M125" s="79">
        <f>IFERROR(VLOOKUP($A:$A,CS!$A:$AK,22,FALSE),"")</f>
      </c>
      <c r="N125" s="79">
        <f>IFERROR(VLOOKUP($A:$A,CS!$A:$AK,19,FALSE),"")</f>
      </c>
      <c r="O125" s="79">
        <f>IFERROR(VLOOKUP($A:$A,CS!$A:$AK,23,FALSE),"")</f>
      </c>
      <c r="P125" s="79">
        <f>IFERROR(VLOOKUP($A:$A,CS!$A:$AK,24,FALSE),"")</f>
      </c>
      <c r="Q125" s="79">
        <f>IFERROR(VLOOKUP($A:$A,CS!$A:$AK,25,FALSE),"")</f>
      </c>
      <c r="R125" s="79">
        <f>IFERROR(VLOOKUP($A:$A,CS!$A:$AK,26,FALSE),"")</f>
      </c>
      <c r="S125" s="79">
        <f>IFERROR(VLOOKUP($A:$A,CS!$A:$AK,29,FALSE),"")</f>
      </c>
      <c r="T125" s="79">
        <f>IFERROR(VLOOKUP($A:$A,CS!$A:$AK,33,FALSE),"")</f>
      </c>
      <c r="U125" s="79">
        <f>IFERROR(VLOOKUP($A:$A,CS!$A:$AK,34,FALSE),"")</f>
      </c>
      <c r="V125" s="79">
        <f>IFERROR(VLOOKUP($A:$A,CS!$A:$AK,35,FALSE),"")</f>
      </c>
      <c r="W125" s="79">
        <f>IFERROR(VLOOKUP($A:$A,CS!$A:$AK,36,FALSE),"")</f>
      </c>
    </row>
    <row r="126" ht="16.5" customHeight="1" spans="1:23" x14ac:dyDescent="0.25">
      <c r="A126" s="93"/>
      <c r="B126" s="79">
        <f>IFERROR(VLOOKUP($A:$A,CS!$A:$AK,3,FALSE),"")</f>
      </c>
      <c r="C126" s="79">
        <f>IFERROR(VLOOKUP($A:$A,CS!$A:$AK,4,FALSE),"")</f>
      </c>
      <c r="D126" s="79">
        <f>IFERROR(VLOOKUP($A:$A,CS!$A:$AK,5,FALSE),"")</f>
      </c>
      <c r="E126" s="79">
        <f>IFERROR(VLOOKUP($A:$A,CS!$A:$AK,7,FALSE),"")</f>
      </c>
      <c r="F126" s="79">
        <f>IFERROR(VLOOKUP($A:$A,CS!$A:$AK,8,FALSE),"")</f>
      </c>
      <c r="G126" s="79">
        <f>IFERROR(VLOOKUP($A:$A,CS!$A:$AK,10,FALSE),"")</f>
      </c>
      <c r="H126" s="79">
        <f>IFERROR(VLOOKUP($A:$A,CS!$A:$AK,14,FALSE),"")</f>
      </c>
      <c r="I126" s="79">
        <f>IFERROR(VLOOKUP($A:$A,CS!$A:$AK,15,FALSE),"")</f>
      </c>
      <c r="J126" s="79">
        <f>IFERROR(VLOOKUP($A:$A,CS!$A:$AK,18,FALSE),"")</f>
      </c>
      <c r="K126" s="79">
        <f>IFERROR(VLOOKUP($A:$A,CS!$A:$AK,19,FALSE),"")</f>
      </c>
      <c r="L126" s="79">
        <f>IFERROR(VLOOKUP($A:$A,CS!$A:$AK,20,FALSE),"")</f>
      </c>
      <c r="M126" s="79">
        <f>IFERROR(VLOOKUP($A:$A,CS!$A:$AK,22,FALSE),"")</f>
      </c>
      <c r="N126" s="79">
        <f>IFERROR(VLOOKUP($A:$A,CS!$A:$AK,19,FALSE),"")</f>
      </c>
      <c r="O126" s="79">
        <f>IFERROR(VLOOKUP($A:$A,CS!$A:$AK,23,FALSE),"")</f>
      </c>
      <c r="P126" s="79">
        <f>IFERROR(VLOOKUP($A:$A,CS!$A:$AK,24,FALSE),"")</f>
      </c>
      <c r="Q126" s="79">
        <f>IFERROR(VLOOKUP($A:$A,CS!$A:$AK,25,FALSE),"")</f>
      </c>
      <c r="R126" s="79">
        <f>IFERROR(VLOOKUP($A:$A,CS!$A:$AK,26,FALSE),"")</f>
      </c>
      <c r="S126" s="79">
        <f>IFERROR(VLOOKUP($A:$A,CS!$A:$AK,29,FALSE),"")</f>
      </c>
      <c r="T126" s="79">
        <f>IFERROR(VLOOKUP($A:$A,CS!$A:$AK,33,FALSE),"")</f>
      </c>
      <c r="U126" s="79">
        <f>IFERROR(VLOOKUP($A:$A,CS!$A:$AK,34,FALSE),"")</f>
      </c>
      <c r="V126" s="79">
        <f>IFERROR(VLOOKUP($A:$A,CS!$A:$AK,35,FALSE),"")</f>
      </c>
      <c r="W126" s="79">
        <f>IFERROR(VLOOKUP($A:$A,CS!$A:$AK,36,FALSE),"")</f>
      </c>
    </row>
    <row r="127" ht="16.5" customHeight="1" spans="1:23" x14ac:dyDescent="0.25">
      <c r="A127" s="93"/>
      <c r="B127" s="79">
        <f>IFERROR(VLOOKUP($A:$A,CS!$A:$AK,3,FALSE),"")</f>
      </c>
      <c r="C127" s="79">
        <f>IFERROR(VLOOKUP($A:$A,CS!$A:$AK,4,FALSE),"")</f>
      </c>
      <c r="D127" s="79">
        <f>IFERROR(VLOOKUP($A:$A,CS!$A:$AK,5,FALSE),"")</f>
      </c>
      <c r="E127" s="79">
        <f>IFERROR(VLOOKUP($A:$A,CS!$A:$AK,7,FALSE),"")</f>
      </c>
      <c r="F127" s="79">
        <f>IFERROR(VLOOKUP($A:$A,CS!$A:$AK,8,FALSE),"")</f>
      </c>
      <c r="G127" s="79">
        <f>IFERROR(VLOOKUP($A:$A,CS!$A:$AK,10,FALSE),"")</f>
      </c>
      <c r="H127" s="79">
        <f>IFERROR(VLOOKUP($A:$A,CS!$A:$AK,14,FALSE),"")</f>
      </c>
      <c r="I127" s="79">
        <f>IFERROR(VLOOKUP($A:$A,CS!$A:$AK,15,FALSE),"")</f>
      </c>
      <c r="J127" s="79">
        <f>IFERROR(VLOOKUP($A:$A,CS!$A:$AK,18,FALSE),"")</f>
      </c>
      <c r="K127" s="79">
        <f>IFERROR(VLOOKUP($A:$A,CS!$A:$AK,19,FALSE),"")</f>
      </c>
      <c r="L127" s="79">
        <f>IFERROR(VLOOKUP($A:$A,CS!$A:$AK,20,FALSE),"")</f>
      </c>
      <c r="M127" s="79">
        <f>IFERROR(VLOOKUP($A:$A,CS!$A:$AK,22,FALSE),"")</f>
      </c>
      <c r="N127" s="79">
        <f>IFERROR(VLOOKUP($A:$A,CS!$A:$AK,19,FALSE),"")</f>
      </c>
      <c r="O127" s="79">
        <f>IFERROR(VLOOKUP($A:$A,CS!$A:$AK,23,FALSE),"")</f>
      </c>
      <c r="P127" s="79">
        <f>IFERROR(VLOOKUP($A:$A,CS!$A:$AK,24,FALSE),"")</f>
      </c>
      <c r="Q127" s="79">
        <f>IFERROR(VLOOKUP($A:$A,CS!$A:$AK,25,FALSE),"")</f>
      </c>
      <c r="R127" s="79">
        <f>IFERROR(VLOOKUP($A:$A,CS!$A:$AK,26,FALSE),"")</f>
      </c>
      <c r="S127" s="79">
        <f>IFERROR(VLOOKUP($A:$A,CS!$A:$AK,29,FALSE),"")</f>
      </c>
      <c r="T127" s="79">
        <f>IFERROR(VLOOKUP($A:$A,CS!$A:$AK,33,FALSE),"")</f>
      </c>
      <c r="U127" s="79">
        <f>IFERROR(VLOOKUP($A:$A,CS!$A:$AK,34,FALSE),"")</f>
      </c>
      <c r="V127" s="79">
        <f>IFERROR(VLOOKUP($A:$A,CS!$A:$AK,35,FALSE),"")</f>
      </c>
      <c r="W127" s="79">
        <f>IFERROR(VLOOKUP($A:$A,CS!$A:$AK,36,FALSE),"")</f>
      </c>
    </row>
    <row r="128" ht="16.5" customHeight="1" spans="1:23" x14ac:dyDescent="0.25">
      <c r="A128" s="93"/>
      <c r="B128" s="79">
        <f>IFERROR(VLOOKUP($A:$A,CS!$A:$AK,3,FALSE),"")</f>
      </c>
      <c r="C128" s="79">
        <f>IFERROR(VLOOKUP($A:$A,CS!$A:$AK,4,FALSE),"")</f>
      </c>
      <c r="D128" s="79">
        <f>IFERROR(VLOOKUP($A:$A,CS!$A:$AK,5,FALSE),"")</f>
      </c>
      <c r="E128" s="79">
        <f>IFERROR(VLOOKUP($A:$A,CS!$A:$AK,7,FALSE),"")</f>
      </c>
      <c r="F128" s="79">
        <f>IFERROR(VLOOKUP($A:$A,CS!$A:$AK,8,FALSE),"")</f>
      </c>
      <c r="G128" s="79">
        <f>IFERROR(VLOOKUP($A:$A,CS!$A:$AK,10,FALSE),"")</f>
      </c>
      <c r="H128" s="79">
        <f>IFERROR(VLOOKUP($A:$A,CS!$A:$AK,14,FALSE),"")</f>
      </c>
      <c r="I128" s="79">
        <f>IFERROR(VLOOKUP($A:$A,CS!$A:$AK,15,FALSE),"")</f>
      </c>
      <c r="J128" s="79">
        <f>IFERROR(VLOOKUP($A:$A,CS!$A:$AK,18,FALSE),"")</f>
      </c>
      <c r="K128" s="79">
        <f>IFERROR(VLOOKUP($A:$A,CS!$A:$AK,19,FALSE),"")</f>
      </c>
      <c r="L128" s="79">
        <f>IFERROR(VLOOKUP($A:$A,CS!$A:$AK,20,FALSE),"")</f>
      </c>
      <c r="M128" s="79">
        <f>IFERROR(VLOOKUP($A:$A,CS!$A:$AK,22,FALSE),"")</f>
      </c>
      <c r="N128" s="79">
        <f>IFERROR(VLOOKUP($A:$A,CS!$A:$AK,19,FALSE),"")</f>
      </c>
      <c r="O128" s="79">
        <f>IFERROR(VLOOKUP($A:$A,CS!$A:$AK,23,FALSE),"")</f>
      </c>
      <c r="P128" s="79">
        <f>IFERROR(VLOOKUP($A:$A,CS!$A:$AK,24,FALSE),"")</f>
      </c>
      <c r="Q128" s="79">
        <f>IFERROR(VLOOKUP($A:$A,CS!$A:$AK,25,FALSE),"")</f>
      </c>
      <c r="R128" s="79">
        <f>IFERROR(VLOOKUP($A:$A,CS!$A:$AK,26,FALSE),"")</f>
      </c>
      <c r="S128" s="79">
        <f>IFERROR(VLOOKUP($A:$A,CS!$A:$AK,29,FALSE),"")</f>
      </c>
      <c r="T128" s="79">
        <f>IFERROR(VLOOKUP($A:$A,CS!$A:$AK,33,FALSE),"")</f>
      </c>
      <c r="U128" s="79">
        <f>IFERROR(VLOOKUP($A:$A,CS!$A:$AK,34,FALSE),"")</f>
      </c>
      <c r="V128" s="79">
        <f>IFERROR(VLOOKUP($A:$A,CS!$A:$AK,35,FALSE),"")</f>
      </c>
      <c r="W128" s="79">
        <f>IFERROR(VLOOKUP($A:$A,CS!$A:$AK,36,FALSE),"")</f>
      </c>
    </row>
    <row r="129" ht="16.5" customHeight="1" spans="1:23" x14ac:dyDescent="0.25">
      <c r="A129" s="93"/>
      <c r="B129" s="79">
        <f>IFERROR(VLOOKUP($A:$A,CS!$A:$AK,3,FALSE),"")</f>
      </c>
      <c r="C129" s="79">
        <f>IFERROR(VLOOKUP($A:$A,CS!$A:$AK,4,FALSE),"")</f>
      </c>
      <c r="D129" s="79">
        <f>IFERROR(VLOOKUP($A:$A,CS!$A:$AK,5,FALSE),"")</f>
      </c>
      <c r="E129" s="79">
        <f>IFERROR(VLOOKUP($A:$A,CS!$A:$AK,7,FALSE),"")</f>
      </c>
      <c r="F129" s="79">
        <f>IFERROR(VLOOKUP($A:$A,CS!$A:$AK,8,FALSE),"")</f>
      </c>
      <c r="G129" s="79">
        <f>IFERROR(VLOOKUP($A:$A,CS!$A:$AK,10,FALSE),"")</f>
      </c>
      <c r="H129" s="79">
        <f>IFERROR(VLOOKUP($A:$A,CS!$A:$AK,14,FALSE),"")</f>
      </c>
      <c r="I129" s="79">
        <f>IFERROR(VLOOKUP($A:$A,CS!$A:$AK,15,FALSE),"")</f>
      </c>
      <c r="J129" s="79">
        <f>IFERROR(VLOOKUP($A:$A,CS!$A:$AK,18,FALSE),"")</f>
      </c>
      <c r="K129" s="79">
        <f>IFERROR(VLOOKUP($A:$A,CS!$A:$AK,19,FALSE),"")</f>
      </c>
      <c r="L129" s="79">
        <f>IFERROR(VLOOKUP($A:$A,CS!$A:$AK,20,FALSE),"")</f>
      </c>
      <c r="M129" s="79">
        <f>IFERROR(VLOOKUP($A:$A,CS!$A:$AK,22,FALSE),"")</f>
      </c>
      <c r="N129" s="79">
        <f>IFERROR(VLOOKUP($A:$A,CS!$A:$AK,19,FALSE),"")</f>
      </c>
      <c r="O129" s="79">
        <f>IFERROR(VLOOKUP($A:$A,CS!$A:$AK,23,FALSE),"")</f>
      </c>
      <c r="P129" s="79">
        <f>IFERROR(VLOOKUP($A:$A,CS!$A:$AK,24,FALSE),"")</f>
      </c>
      <c r="Q129" s="79">
        <f>IFERROR(VLOOKUP($A:$A,CS!$A:$AK,25,FALSE),"")</f>
      </c>
      <c r="R129" s="79">
        <f>IFERROR(VLOOKUP($A:$A,CS!$A:$AK,26,FALSE),"")</f>
      </c>
      <c r="S129" s="79">
        <f>IFERROR(VLOOKUP($A:$A,CS!$A:$AK,29,FALSE),"")</f>
      </c>
      <c r="T129" s="79">
        <f>IFERROR(VLOOKUP($A:$A,CS!$A:$AK,33,FALSE),"")</f>
      </c>
      <c r="U129" s="79">
        <f>IFERROR(VLOOKUP($A:$A,CS!$A:$AK,34,FALSE),"")</f>
      </c>
      <c r="V129" s="79">
        <f>IFERROR(VLOOKUP($A:$A,CS!$A:$AK,35,FALSE),"")</f>
      </c>
      <c r="W129" s="79">
        <f>IFERROR(VLOOKUP($A:$A,CS!$A:$AK,36,FALSE),"")</f>
      </c>
    </row>
    <row r="130" ht="16.5" customHeight="1" spans="1:23" x14ac:dyDescent="0.25">
      <c r="A130" s="93"/>
      <c r="B130" s="79">
        <f>IFERROR(VLOOKUP($A:$A,CS!$A:$AK,3,FALSE),"")</f>
      </c>
      <c r="C130" s="79">
        <f>IFERROR(VLOOKUP($A:$A,CS!$A:$AK,4,FALSE),"")</f>
      </c>
      <c r="D130" s="79">
        <f>IFERROR(VLOOKUP($A:$A,CS!$A:$AK,5,FALSE),"")</f>
      </c>
      <c r="E130" s="79">
        <f>IFERROR(VLOOKUP($A:$A,CS!$A:$AK,7,FALSE),"")</f>
      </c>
      <c r="F130" s="79">
        <f>IFERROR(VLOOKUP($A:$A,CS!$A:$AK,8,FALSE),"")</f>
      </c>
      <c r="G130" s="79">
        <f>IFERROR(VLOOKUP($A:$A,CS!$A:$AK,10,FALSE),"")</f>
      </c>
      <c r="H130" s="79">
        <f>IFERROR(VLOOKUP($A:$A,CS!$A:$AK,14,FALSE),"")</f>
      </c>
      <c r="I130" s="79">
        <f>IFERROR(VLOOKUP($A:$A,CS!$A:$AK,15,FALSE),"")</f>
      </c>
      <c r="J130" s="79">
        <f>IFERROR(VLOOKUP($A:$A,CS!$A:$AK,18,FALSE),"")</f>
      </c>
      <c r="K130" s="79">
        <f>IFERROR(VLOOKUP($A:$A,CS!$A:$AK,19,FALSE),"")</f>
      </c>
      <c r="L130" s="79">
        <f>IFERROR(VLOOKUP($A:$A,CS!$A:$AK,20,FALSE),"")</f>
      </c>
      <c r="M130" s="79">
        <f>IFERROR(VLOOKUP($A:$A,CS!$A:$AK,22,FALSE),"")</f>
      </c>
      <c r="N130" s="79">
        <f>IFERROR(VLOOKUP($A:$A,CS!$A:$AK,19,FALSE),"")</f>
      </c>
      <c r="O130" s="79">
        <f>IFERROR(VLOOKUP($A:$A,CS!$A:$AK,23,FALSE),"")</f>
      </c>
      <c r="P130" s="79">
        <f>IFERROR(VLOOKUP($A:$A,CS!$A:$AK,24,FALSE),"")</f>
      </c>
      <c r="Q130" s="79">
        <f>IFERROR(VLOOKUP($A:$A,CS!$A:$AK,25,FALSE),"")</f>
      </c>
      <c r="R130" s="79">
        <f>IFERROR(VLOOKUP($A:$A,CS!$A:$AK,26,FALSE),"")</f>
      </c>
      <c r="S130" s="79">
        <f>IFERROR(VLOOKUP($A:$A,CS!$A:$AK,29,FALSE),"")</f>
      </c>
      <c r="T130" s="79">
        <f>IFERROR(VLOOKUP($A:$A,CS!$A:$AK,33,FALSE),"")</f>
      </c>
      <c r="U130" s="79">
        <f>IFERROR(VLOOKUP($A:$A,CS!$A:$AK,34,FALSE),"")</f>
      </c>
      <c r="V130" s="79">
        <f>IFERROR(VLOOKUP($A:$A,CS!$A:$AK,35,FALSE),"")</f>
      </c>
      <c r="W130" s="79">
        <f>IFERROR(VLOOKUP($A:$A,CS!$A:$AK,36,FALSE),"")</f>
      </c>
    </row>
    <row r="131" ht="16.5" customHeight="1" spans="1:23" x14ac:dyDescent="0.25">
      <c r="A131" s="93"/>
      <c r="B131" s="79">
        <f>IFERROR(VLOOKUP($A:$A,CS!$A:$AK,3,FALSE),"")</f>
      </c>
      <c r="C131" s="79">
        <f>IFERROR(VLOOKUP($A:$A,CS!$A:$AK,4,FALSE),"")</f>
      </c>
      <c r="D131" s="79">
        <f>IFERROR(VLOOKUP($A:$A,CS!$A:$AK,5,FALSE),"")</f>
      </c>
      <c r="E131" s="79">
        <f>IFERROR(VLOOKUP($A:$A,CS!$A:$AK,7,FALSE),"")</f>
      </c>
      <c r="F131" s="79">
        <f>IFERROR(VLOOKUP($A:$A,CS!$A:$AK,8,FALSE),"")</f>
      </c>
      <c r="G131" s="79">
        <f>IFERROR(VLOOKUP($A:$A,CS!$A:$AK,10,FALSE),"")</f>
      </c>
      <c r="H131" s="79">
        <f>IFERROR(VLOOKUP($A:$A,CS!$A:$AK,14,FALSE),"")</f>
      </c>
      <c r="I131" s="79">
        <f>IFERROR(VLOOKUP($A:$A,CS!$A:$AK,15,FALSE),"")</f>
      </c>
      <c r="J131" s="79">
        <f>IFERROR(VLOOKUP($A:$A,CS!$A:$AK,18,FALSE),"")</f>
      </c>
      <c r="K131" s="79">
        <f>IFERROR(VLOOKUP($A:$A,CS!$A:$AK,19,FALSE),"")</f>
      </c>
      <c r="L131" s="79">
        <f>IFERROR(VLOOKUP($A:$A,CS!$A:$AK,20,FALSE),"")</f>
      </c>
      <c r="M131" s="79">
        <f>IFERROR(VLOOKUP($A:$A,CS!$A:$AK,22,FALSE),"")</f>
      </c>
      <c r="N131" s="79">
        <f>IFERROR(VLOOKUP($A:$A,CS!$A:$AK,19,FALSE),"")</f>
      </c>
      <c r="O131" s="79">
        <f>IFERROR(VLOOKUP($A:$A,CS!$A:$AK,23,FALSE),"")</f>
      </c>
      <c r="P131" s="79">
        <f>IFERROR(VLOOKUP($A:$A,CS!$A:$AK,24,FALSE),"")</f>
      </c>
      <c r="Q131" s="79">
        <f>IFERROR(VLOOKUP($A:$A,CS!$A:$AK,25,FALSE),"")</f>
      </c>
      <c r="R131" s="79">
        <f>IFERROR(VLOOKUP($A:$A,CS!$A:$AK,26,FALSE),"")</f>
      </c>
      <c r="S131" s="79">
        <f>IFERROR(VLOOKUP($A:$A,CS!$A:$AK,29,FALSE),"")</f>
      </c>
      <c r="T131" s="79">
        <f>IFERROR(VLOOKUP($A:$A,CS!$A:$AK,33,FALSE),"")</f>
      </c>
      <c r="U131" s="79">
        <f>IFERROR(VLOOKUP($A:$A,CS!$A:$AK,34,FALSE),"")</f>
      </c>
      <c r="V131" s="79">
        <f>IFERROR(VLOOKUP($A:$A,CS!$A:$AK,35,FALSE),"")</f>
      </c>
      <c r="W131" s="79">
        <f>IFERROR(VLOOKUP($A:$A,CS!$A:$AK,36,FALSE),"")</f>
      </c>
    </row>
    <row r="132" ht="16.5" customHeight="1" spans="1:23" x14ac:dyDescent="0.25">
      <c r="A132" s="93"/>
      <c r="B132" s="79">
        <f>IFERROR(VLOOKUP($A:$A,CS!$A:$AK,3,FALSE),"")</f>
      </c>
      <c r="C132" s="79">
        <f>IFERROR(VLOOKUP($A:$A,CS!$A:$AK,4,FALSE),"")</f>
      </c>
      <c r="D132" s="79">
        <f>IFERROR(VLOOKUP($A:$A,CS!$A:$AK,5,FALSE),"")</f>
      </c>
      <c r="E132" s="79">
        <f>IFERROR(VLOOKUP($A:$A,CS!$A:$AK,7,FALSE),"")</f>
      </c>
      <c r="F132" s="79">
        <f>IFERROR(VLOOKUP($A:$A,CS!$A:$AK,8,FALSE),"")</f>
      </c>
      <c r="G132" s="79">
        <f>IFERROR(VLOOKUP($A:$A,CS!$A:$AK,10,FALSE),"")</f>
      </c>
      <c r="H132" s="79">
        <f>IFERROR(VLOOKUP($A:$A,CS!$A:$AK,14,FALSE),"")</f>
      </c>
      <c r="I132" s="79">
        <f>IFERROR(VLOOKUP($A:$A,CS!$A:$AK,15,FALSE),"")</f>
      </c>
      <c r="J132" s="79">
        <f>IFERROR(VLOOKUP($A:$A,CS!$A:$AK,18,FALSE),"")</f>
      </c>
      <c r="K132" s="79">
        <f>IFERROR(VLOOKUP($A:$A,CS!$A:$AK,19,FALSE),"")</f>
      </c>
      <c r="L132" s="79">
        <f>IFERROR(VLOOKUP($A:$A,CS!$A:$AK,20,FALSE),"")</f>
      </c>
      <c r="M132" s="79">
        <f>IFERROR(VLOOKUP($A:$A,CS!$A:$AK,22,FALSE),"")</f>
      </c>
      <c r="N132" s="79">
        <f>IFERROR(VLOOKUP($A:$A,CS!$A:$AK,19,FALSE),"")</f>
      </c>
      <c r="O132" s="79">
        <f>IFERROR(VLOOKUP($A:$A,CS!$A:$AK,23,FALSE),"")</f>
      </c>
      <c r="P132" s="79">
        <f>IFERROR(VLOOKUP($A:$A,CS!$A:$AK,24,FALSE),"")</f>
      </c>
      <c r="Q132" s="79">
        <f>IFERROR(VLOOKUP($A:$A,CS!$A:$AK,25,FALSE),"")</f>
      </c>
      <c r="R132" s="79">
        <f>IFERROR(VLOOKUP($A:$A,CS!$A:$AK,26,FALSE),"")</f>
      </c>
      <c r="S132" s="79">
        <f>IFERROR(VLOOKUP($A:$A,CS!$A:$AK,29,FALSE),"")</f>
      </c>
      <c r="T132" s="79">
        <f>IFERROR(VLOOKUP($A:$A,CS!$A:$AK,33,FALSE),"")</f>
      </c>
      <c r="U132" s="79">
        <f>IFERROR(VLOOKUP($A:$A,CS!$A:$AK,34,FALSE),"")</f>
      </c>
      <c r="V132" s="79">
        <f>IFERROR(VLOOKUP($A:$A,CS!$A:$AK,35,FALSE),"")</f>
      </c>
      <c r="W132" s="79">
        <f>IFERROR(VLOOKUP($A:$A,CS!$A:$AK,36,FALSE),"")</f>
      </c>
    </row>
    <row r="133" ht="16.5" customHeight="1" spans="1:23" x14ac:dyDescent="0.25">
      <c r="A133" s="93"/>
      <c r="B133" s="79">
        <f>IFERROR(VLOOKUP($A:$A,CS!$A:$AK,3,FALSE),"")</f>
      </c>
      <c r="C133" s="79">
        <f>IFERROR(VLOOKUP($A:$A,CS!$A:$AK,4,FALSE),"")</f>
      </c>
      <c r="D133" s="79">
        <f>IFERROR(VLOOKUP($A:$A,CS!$A:$AK,5,FALSE),"")</f>
      </c>
      <c r="E133" s="79">
        <f>IFERROR(VLOOKUP($A:$A,CS!$A:$AK,7,FALSE),"")</f>
      </c>
      <c r="F133" s="79">
        <f>IFERROR(VLOOKUP($A:$A,CS!$A:$AK,8,FALSE),"")</f>
      </c>
      <c r="G133" s="79">
        <f>IFERROR(VLOOKUP($A:$A,CS!$A:$AK,10,FALSE),"")</f>
      </c>
      <c r="H133" s="79">
        <f>IFERROR(VLOOKUP($A:$A,CS!$A:$AK,14,FALSE),"")</f>
      </c>
      <c r="I133" s="79">
        <f>IFERROR(VLOOKUP($A:$A,CS!$A:$AK,15,FALSE),"")</f>
      </c>
      <c r="J133" s="79">
        <f>IFERROR(VLOOKUP($A:$A,CS!$A:$AK,18,FALSE),"")</f>
      </c>
      <c r="K133" s="79">
        <f>IFERROR(VLOOKUP($A:$A,CS!$A:$AK,19,FALSE),"")</f>
      </c>
      <c r="L133" s="79">
        <f>IFERROR(VLOOKUP($A:$A,CS!$A:$AK,20,FALSE),"")</f>
      </c>
      <c r="M133" s="79">
        <f>IFERROR(VLOOKUP($A:$A,CS!$A:$AK,22,FALSE),"")</f>
      </c>
      <c r="N133" s="79">
        <f>IFERROR(VLOOKUP($A:$A,CS!$A:$AK,19,FALSE),"")</f>
      </c>
      <c r="O133" s="79">
        <f>IFERROR(VLOOKUP($A:$A,CS!$A:$AK,23,FALSE),"")</f>
      </c>
      <c r="P133" s="79">
        <f>IFERROR(VLOOKUP($A:$A,CS!$A:$AK,24,FALSE),"")</f>
      </c>
      <c r="Q133" s="79">
        <f>IFERROR(VLOOKUP($A:$A,CS!$A:$AK,25,FALSE),"")</f>
      </c>
      <c r="R133" s="79">
        <f>IFERROR(VLOOKUP($A:$A,CS!$A:$AK,26,FALSE),"")</f>
      </c>
      <c r="S133" s="79">
        <f>IFERROR(VLOOKUP($A:$A,CS!$A:$AK,29,FALSE),"")</f>
      </c>
      <c r="T133" s="79">
        <f>IFERROR(VLOOKUP($A:$A,CS!$A:$AK,33,FALSE),"")</f>
      </c>
      <c r="U133" s="79">
        <f>IFERROR(VLOOKUP($A:$A,CS!$A:$AK,34,FALSE),"")</f>
      </c>
      <c r="V133" s="79">
        <f>IFERROR(VLOOKUP($A:$A,CS!$A:$AK,35,FALSE),"")</f>
      </c>
      <c r="W133" s="79">
        <f>IFERROR(VLOOKUP($A:$A,CS!$A:$AK,36,FALSE),"")</f>
      </c>
    </row>
    <row r="134" ht="16.5" customHeight="1" spans="1:23" x14ac:dyDescent="0.25">
      <c r="A134" s="93"/>
      <c r="B134" s="79">
        <f>IFERROR(VLOOKUP($A:$A,CS!$A:$AK,3,FALSE),"")</f>
      </c>
      <c r="C134" s="79">
        <f>IFERROR(VLOOKUP($A:$A,CS!$A:$AK,4,FALSE),"")</f>
      </c>
      <c r="D134" s="79">
        <f>IFERROR(VLOOKUP($A:$A,CS!$A:$AK,5,FALSE),"")</f>
      </c>
      <c r="E134" s="79">
        <f>IFERROR(VLOOKUP($A:$A,CS!$A:$AK,7,FALSE),"")</f>
      </c>
      <c r="F134" s="79">
        <f>IFERROR(VLOOKUP($A:$A,CS!$A:$AK,8,FALSE),"")</f>
      </c>
      <c r="G134" s="79">
        <f>IFERROR(VLOOKUP($A:$A,CS!$A:$AK,10,FALSE),"")</f>
      </c>
      <c r="H134" s="79">
        <f>IFERROR(VLOOKUP($A:$A,CS!$A:$AK,14,FALSE),"")</f>
      </c>
      <c r="I134" s="79">
        <f>IFERROR(VLOOKUP($A:$A,CS!$A:$AK,15,FALSE),"")</f>
      </c>
      <c r="J134" s="79">
        <f>IFERROR(VLOOKUP($A:$A,CS!$A:$AK,18,FALSE),"")</f>
      </c>
      <c r="K134" s="79">
        <f>IFERROR(VLOOKUP($A:$A,CS!$A:$AK,19,FALSE),"")</f>
      </c>
      <c r="L134" s="79">
        <f>IFERROR(VLOOKUP($A:$A,CS!$A:$AK,20,FALSE),"")</f>
      </c>
      <c r="M134" s="79">
        <f>IFERROR(VLOOKUP($A:$A,CS!$A:$AK,22,FALSE),"")</f>
      </c>
      <c r="N134" s="79">
        <f>IFERROR(VLOOKUP($A:$A,CS!$A:$AK,19,FALSE),"")</f>
      </c>
      <c r="O134" s="79">
        <f>IFERROR(VLOOKUP($A:$A,CS!$A:$AK,23,FALSE),"")</f>
      </c>
      <c r="P134" s="79">
        <f>IFERROR(VLOOKUP($A:$A,CS!$A:$AK,24,FALSE),"")</f>
      </c>
      <c r="Q134" s="79">
        <f>IFERROR(VLOOKUP($A:$A,CS!$A:$AK,25,FALSE),"")</f>
      </c>
      <c r="R134" s="79">
        <f>IFERROR(VLOOKUP($A:$A,CS!$A:$AK,26,FALSE),"")</f>
      </c>
      <c r="S134" s="79">
        <f>IFERROR(VLOOKUP($A:$A,CS!$A:$AK,29,FALSE),"")</f>
      </c>
      <c r="T134" s="79">
        <f>IFERROR(VLOOKUP($A:$A,CS!$A:$AK,33,FALSE),"")</f>
      </c>
      <c r="U134" s="79">
        <f>IFERROR(VLOOKUP($A:$A,CS!$A:$AK,34,FALSE),"")</f>
      </c>
      <c r="V134" s="79">
        <f>IFERROR(VLOOKUP($A:$A,CS!$A:$AK,35,FALSE),"")</f>
      </c>
      <c r="W134" s="79">
        <f>IFERROR(VLOOKUP($A:$A,CS!$A:$AK,36,FALSE),"")</f>
      </c>
    </row>
    <row r="135" ht="16.5" customHeight="1" spans="1:23" x14ac:dyDescent="0.25">
      <c r="A135" s="93"/>
      <c r="B135" s="79">
        <f>IFERROR(VLOOKUP($A:$A,CS!$A:$AK,3,FALSE),"")</f>
      </c>
      <c r="C135" s="79">
        <f>IFERROR(VLOOKUP($A:$A,CS!$A:$AK,4,FALSE),"")</f>
      </c>
      <c r="D135" s="79">
        <f>IFERROR(VLOOKUP($A:$A,CS!$A:$AK,5,FALSE),"")</f>
      </c>
      <c r="E135" s="79">
        <f>IFERROR(VLOOKUP($A:$A,CS!$A:$AK,7,FALSE),"")</f>
      </c>
      <c r="F135" s="79">
        <f>IFERROR(VLOOKUP($A:$A,CS!$A:$AK,8,FALSE),"")</f>
      </c>
      <c r="G135" s="79">
        <f>IFERROR(VLOOKUP($A:$A,CS!$A:$AK,10,FALSE),"")</f>
      </c>
      <c r="H135" s="79">
        <f>IFERROR(VLOOKUP($A:$A,CS!$A:$AK,14,FALSE),"")</f>
      </c>
      <c r="I135" s="79">
        <f>IFERROR(VLOOKUP($A:$A,CS!$A:$AK,15,FALSE),"")</f>
      </c>
      <c r="J135" s="79">
        <f>IFERROR(VLOOKUP($A:$A,CS!$A:$AK,18,FALSE),"")</f>
      </c>
      <c r="K135" s="79">
        <f>IFERROR(VLOOKUP($A:$A,CS!$A:$AK,19,FALSE),"")</f>
      </c>
      <c r="L135" s="79">
        <f>IFERROR(VLOOKUP($A:$A,CS!$A:$AK,20,FALSE),"")</f>
      </c>
      <c r="M135" s="79">
        <f>IFERROR(VLOOKUP($A:$A,CS!$A:$AK,22,FALSE),"")</f>
      </c>
      <c r="N135" s="79">
        <f>IFERROR(VLOOKUP($A:$A,CS!$A:$AK,19,FALSE),"")</f>
      </c>
      <c r="O135" s="79">
        <f>IFERROR(VLOOKUP($A:$A,CS!$A:$AK,23,FALSE),"")</f>
      </c>
      <c r="P135" s="79">
        <f>IFERROR(VLOOKUP($A:$A,CS!$A:$AK,24,FALSE),"")</f>
      </c>
      <c r="Q135" s="79">
        <f>IFERROR(VLOOKUP($A:$A,CS!$A:$AK,25,FALSE),"")</f>
      </c>
      <c r="R135" s="79">
        <f>IFERROR(VLOOKUP($A:$A,CS!$A:$AK,26,FALSE),"")</f>
      </c>
      <c r="S135" s="79">
        <f>IFERROR(VLOOKUP($A:$A,CS!$A:$AK,29,FALSE),"")</f>
      </c>
      <c r="T135" s="79">
        <f>IFERROR(VLOOKUP($A:$A,CS!$A:$AK,33,FALSE),"")</f>
      </c>
      <c r="U135" s="79">
        <f>IFERROR(VLOOKUP($A:$A,CS!$A:$AK,34,FALSE),"")</f>
      </c>
      <c r="V135" s="79">
        <f>IFERROR(VLOOKUP($A:$A,CS!$A:$AK,35,FALSE),"")</f>
      </c>
      <c r="W135" s="79">
        <f>IFERROR(VLOOKUP($A:$A,CS!$A:$AK,36,FALSE),"")</f>
      </c>
    </row>
    <row r="136" ht="16.5" customHeight="1" spans="1:23" x14ac:dyDescent="0.25">
      <c r="A136" s="93"/>
      <c r="B136" s="79">
        <f>IFERROR(VLOOKUP($A:$A,CS!$A:$AK,3,FALSE),"")</f>
      </c>
      <c r="C136" s="79">
        <f>IFERROR(VLOOKUP($A:$A,CS!$A:$AK,4,FALSE),"")</f>
      </c>
      <c r="D136" s="79">
        <f>IFERROR(VLOOKUP($A:$A,CS!$A:$AK,5,FALSE),"")</f>
      </c>
      <c r="E136" s="79">
        <f>IFERROR(VLOOKUP($A:$A,CS!$A:$AK,7,FALSE),"")</f>
      </c>
      <c r="F136" s="79">
        <f>IFERROR(VLOOKUP($A:$A,CS!$A:$AK,8,FALSE),"")</f>
      </c>
      <c r="G136" s="79">
        <f>IFERROR(VLOOKUP($A:$A,CS!$A:$AK,10,FALSE),"")</f>
      </c>
      <c r="H136" s="79">
        <f>IFERROR(VLOOKUP($A:$A,CS!$A:$AK,14,FALSE),"")</f>
      </c>
      <c r="I136" s="79">
        <f>IFERROR(VLOOKUP($A:$A,CS!$A:$AK,15,FALSE),"")</f>
      </c>
      <c r="J136" s="79">
        <f>IFERROR(VLOOKUP($A:$A,CS!$A:$AK,18,FALSE),"")</f>
      </c>
      <c r="K136" s="79">
        <f>IFERROR(VLOOKUP($A:$A,CS!$A:$AK,19,FALSE),"")</f>
      </c>
      <c r="L136" s="79">
        <f>IFERROR(VLOOKUP($A:$A,CS!$A:$AK,20,FALSE),"")</f>
      </c>
      <c r="M136" s="79">
        <f>IFERROR(VLOOKUP($A:$A,CS!$A:$AK,22,FALSE),"")</f>
      </c>
      <c r="N136" s="79">
        <f>IFERROR(VLOOKUP($A:$A,CS!$A:$AK,19,FALSE),"")</f>
      </c>
      <c r="O136" s="79">
        <f>IFERROR(VLOOKUP($A:$A,CS!$A:$AK,23,FALSE),"")</f>
      </c>
      <c r="P136" s="79">
        <f>IFERROR(VLOOKUP($A:$A,CS!$A:$AK,24,FALSE),"")</f>
      </c>
      <c r="Q136" s="79">
        <f>IFERROR(VLOOKUP($A:$A,CS!$A:$AK,25,FALSE),"")</f>
      </c>
      <c r="R136" s="79">
        <f>IFERROR(VLOOKUP($A:$A,CS!$A:$AK,26,FALSE),"")</f>
      </c>
      <c r="S136" s="79">
        <f>IFERROR(VLOOKUP($A:$A,CS!$A:$AK,29,FALSE),"")</f>
      </c>
      <c r="T136" s="79">
        <f>IFERROR(VLOOKUP($A:$A,CS!$A:$AK,33,FALSE),"")</f>
      </c>
      <c r="U136" s="79">
        <f>IFERROR(VLOOKUP($A:$A,CS!$A:$AK,34,FALSE),"")</f>
      </c>
      <c r="V136" s="79">
        <f>IFERROR(VLOOKUP($A:$A,CS!$A:$AK,35,FALSE),"")</f>
      </c>
      <c r="W136" s="79">
        <f>IFERROR(VLOOKUP($A:$A,CS!$A:$AK,36,FALSE),"")</f>
      </c>
    </row>
    <row r="137" ht="16.5" customHeight="1" spans="1:23" x14ac:dyDescent="0.25">
      <c r="A137" s="93"/>
      <c r="B137" s="79">
        <f>IFERROR(VLOOKUP($A:$A,CS!$A:$AK,3,FALSE),"")</f>
      </c>
      <c r="C137" s="79">
        <f>IFERROR(VLOOKUP($A:$A,CS!$A:$AK,4,FALSE),"")</f>
      </c>
      <c r="D137" s="79">
        <f>IFERROR(VLOOKUP($A:$A,CS!$A:$AK,5,FALSE),"")</f>
      </c>
      <c r="E137" s="79">
        <f>IFERROR(VLOOKUP($A:$A,CS!$A:$AK,7,FALSE),"")</f>
      </c>
      <c r="F137" s="79">
        <f>IFERROR(VLOOKUP($A:$A,CS!$A:$AK,8,FALSE),"")</f>
      </c>
      <c r="G137" s="79">
        <f>IFERROR(VLOOKUP($A:$A,CS!$A:$AK,10,FALSE),"")</f>
      </c>
      <c r="H137" s="79">
        <f>IFERROR(VLOOKUP($A:$A,CS!$A:$AK,14,FALSE),"")</f>
      </c>
      <c r="I137" s="79">
        <f>IFERROR(VLOOKUP($A:$A,CS!$A:$AK,15,FALSE),"")</f>
      </c>
      <c r="J137" s="79">
        <f>IFERROR(VLOOKUP($A:$A,CS!$A:$AK,18,FALSE),"")</f>
      </c>
      <c r="K137" s="79">
        <f>IFERROR(VLOOKUP($A:$A,CS!$A:$AK,19,FALSE),"")</f>
      </c>
      <c r="L137" s="79">
        <f>IFERROR(VLOOKUP($A:$A,CS!$A:$AK,20,FALSE),"")</f>
      </c>
      <c r="M137" s="79">
        <f>IFERROR(VLOOKUP($A:$A,CS!$A:$AK,22,FALSE),"")</f>
      </c>
      <c r="N137" s="79">
        <f>IFERROR(VLOOKUP($A:$A,CS!$A:$AK,19,FALSE),"")</f>
      </c>
      <c r="O137" s="79">
        <f>IFERROR(VLOOKUP($A:$A,CS!$A:$AK,23,FALSE),"")</f>
      </c>
      <c r="P137" s="79">
        <f>IFERROR(VLOOKUP($A:$A,CS!$A:$AK,24,FALSE),"")</f>
      </c>
      <c r="Q137" s="79">
        <f>IFERROR(VLOOKUP($A:$A,CS!$A:$AK,25,FALSE),"")</f>
      </c>
      <c r="R137" s="79">
        <f>IFERROR(VLOOKUP($A:$A,CS!$A:$AK,26,FALSE),"")</f>
      </c>
      <c r="S137" s="79">
        <f>IFERROR(VLOOKUP($A:$A,CS!$A:$AK,29,FALSE),"")</f>
      </c>
      <c r="T137" s="79">
        <f>IFERROR(VLOOKUP($A:$A,CS!$A:$AK,33,FALSE),"")</f>
      </c>
      <c r="U137" s="79">
        <f>IFERROR(VLOOKUP($A:$A,CS!$A:$AK,34,FALSE),"")</f>
      </c>
      <c r="V137" s="79">
        <f>IFERROR(VLOOKUP($A:$A,CS!$A:$AK,35,FALSE),"")</f>
      </c>
      <c r="W137" s="79">
        <f>IFERROR(VLOOKUP($A:$A,CS!$A:$AK,36,FALSE),"")</f>
      </c>
    </row>
    <row r="138" ht="16.5" customHeight="1" spans="1:23" x14ac:dyDescent="0.25">
      <c r="A138" s="93"/>
      <c r="B138" s="79">
        <f>IFERROR(VLOOKUP($A:$A,CS!$A:$AK,3,FALSE),"")</f>
      </c>
      <c r="C138" s="79">
        <f>IFERROR(VLOOKUP($A:$A,CS!$A:$AK,4,FALSE),"")</f>
      </c>
      <c r="D138" s="79">
        <f>IFERROR(VLOOKUP($A:$A,CS!$A:$AK,5,FALSE),"")</f>
      </c>
      <c r="E138" s="79">
        <f>IFERROR(VLOOKUP($A:$A,CS!$A:$AK,7,FALSE),"")</f>
      </c>
      <c r="F138" s="79">
        <f>IFERROR(VLOOKUP($A:$A,CS!$A:$AK,8,FALSE),"")</f>
      </c>
      <c r="G138" s="79">
        <f>IFERROR(VLOOKUP($A:$A,CS!$A:$AK,10,FALSE),"")</f>
      </c>
      <c r="H138" s="79">
        <f>IFERROR(VLOOKUP($A:$A,CS!$A:$AK,14,FALSE),"")</f>
      </c>
      <c r="I138" s="79">
        <f>IFERROR(VLOOKUP($A:$A,CS!$A:$AK,15,FALSE),"")</f>
      </c>
      <c r="J138" s="79">
        <f>IFERROR(VLOOKUP($A:$A,CS!$A:$AK,18,FALSE),"")</f>
      </c>
      <c r="K138" s="79">
        <f>IFERROR(VLOOKUP($A:$A,CS!$A:$AK,19,FALSE),"")</f>
      </c>
      <c r="L138" s="79">
        <f>IFERROR(VLOOKUP($A:$A,CS!$A:$AK,20,FALSE),"")</f>
      </c>
      <c r="M138" s="79">
        <f>IFERROR(VLOOKUP($A:$A,CS!$A:$AK,22,FALSE),"")</f>
      </c>
      <c r="N138" s="79">
        <f>IFERROR(VLOOKUP($A:$A,CS!$A:$AK,19,FALSE),"")</f>
      </c>
      <c r="O138" s="79">
        <f>IFERROR(VLOOKUP($A:$A,CS!$A:$AK,23,FALSE),"")</f>
      </c>
      <c r="P138" s="79">
        <f>IFERROR(VLOOKUP($A:$A,CS!$A:$AK,24,FALSE),"")</f>
      </c>
      <c r="Q138" s="79">
        <f>IFERROR(VLOOKUP($A:$A,CS!$A:$AK,25,FALSE),"")</f>
      </c>
      <c r="R138" s="79">
        <f>IFERROR(VLOOKUP($A:$A,CS!$A:$AK,26,FALSE),"")</f>
      </c>
      <c r="S138" s="79">
        <f>IFERROR(VLOOKUP($A:$A,CS!$A:$AK,29,FALSE),"")</f>
      </c>
      <c r="T138" s="79">
        <f>IFERROR(VLOOKUP($A:$A,CS!$A:$AK,33,FALSE),"")</f>
      </c>
      <c r="U138" s="79">
        <f>IFERROR(VLOOKUP($A:$A,CS!$A:$AK,34,FALSE),"")</f>
      </c>
      <c r="V138" s="79">
        <f>IFERROR(VLOOKUP($A:$A,CS!$A:$AK,35,FALSE),"")</f>
      </c>
      <c r="W138" s="79">
        <f>IFERROR(VLOOKUP($A:$A,CS!$A:$AK,36,FALSE),"")</f>
      </c>
    </row>
    <row r="139" ht="16.5" customHeight="1" spans="1:23" x14ac:dyDescent="0.25">
      <c r="A139" s="93"/>
      <c r="B139" s="79">
        <f>IFERROR(VLOOKUP($A:$A,CS!$A:$AK,3,FALSE),"")</f>
      </c>
      <c r="C139" s="79">
        <f>IFERROR(VLOOKUP($A:$A,CS!$A:$AK,4,FALSE),"")</f>
      </c>
      <c r="D139" s="79">
        <f>IFERROR(VLOOKUP($A:$A,CS!$A:$AK,5,FALSE),"")</f>
      </c>
      <c r="E139" s="79">
        <f>IFERROR(VLOOKUP($A:$A,CS!$A:$AK,7,FALSE),"")</f>
      </c>
      <c r="F139" s="79">
        <f>IFERROR(VLOOKUP($A:$A,CS!$A:$AK,8,FALSE),"")</f>
      </c>
      <c r="G139" s="79">
        <f>IFERROR(VLOOKUP($A:$A,CS!$A:$AK,10,FALSE),"")</f>
      </c>
      <c r="H139" s="79">
        <f>IFERROR(VLOOKUP($A:$A,CS!$A:$AK,14,FALSE),"")</f>
      </c>
      <c r="I139" s="79">
        <f>IFERROR(VLOOKUP($A:$A,CS!$A:$AK,15,FALSE),"")</f>
      </c>
      <c r="J139" s="79">
        <f>IFERROR(VLOOKUP($A:$A,CS!$A:$AK,18,FALSE),"")</f>
      </c>
      <c r="K139" s="79">
        <f>IFERROR(VLOOKUP($A:$A,CS!$A:$AK,19,FALSE),"")</f>
      </c>
      <c r="L139" s="79">
        <f>IFERROR(VLOOKUP($A:$A,CS!$A:$AK,20,FALSE),"")</f>
      </c>
      <c r="M139" s="79">
        <f>IFERROR(VLOOKUP($A:$A,CS!$A:$AK,22,FALSE),"")</f>
      </c>
      <c r="N139" s="79">
        <f>IFERROR(VLOOKUP($A:$A,CS!$A:$AK,19,FALSE),"")</f>
      </c>
      <c r="O139" s="79">
        <f>IFERROR(VLOOKUP($A:$A,CS!$A:$AK,23,FALSE),"")</f>
      </c>
      <c r="P139" s="79">
        <f>IFERROR(VLOOKUP($A:$A,CS!$A:$AK,24,FALSE),"")</f>
      </c>
      <c r="Q139" s="79">
        <f>IFERROR(VLOOKUP($A:$A,CS!$A:$AK,25,FALSE),"")</f>
      </c>
      <c r="R139" s="79">
        <f>IFERROR(VLOOKUP($A:$A,CS!$A:$AK,26,FALSE),"")</f>
      </c>
      <c r="S139" s="79">
        <f>IFERROR(VLOOKUP($A:$A,CS!$A:$AK,29,FALSE),"")</f>
      </c>
      <c r="T139" s="79">
        <f>IFERROR(VLOOKUP($A:$A,CS!$A:$AK,33,FALSE),"")</f>
      </c>
      <c r="U139" s="79">
        <f>IFERROR(VLOOKUP($A:$A,CS!$A:$AK,34,FALSE),"")</f>
      </c>
      <c r="V139" s="79">
        <f>IFERROR(VLOOKUP($A:$A,CS!$A:$AK,35,FALSE),"")</f>
      </c>
      <c r="W139" s="79">
        <f>IFERROR(VLOOKUP($A:$A,CS!$A:$AK,36,FALSE),"")</f>
      </c>
    </row>
    <row r="140" ht="16.5" customHeight="1" spans="1:23" x14ac:dyDescent="0.25">
      <c r="A140" s="93"/>
      <c r="B140" s="79">
        <f>IFERROR(VLOOKUP($A:$A,CS!$A:$AK,3,FALSE),"")</f>
      </c>
      <c r="C140" s="79">
        <f>IFERROR(VLOOKUP($A:$A,CS!$A:$AK,4,FALSE),"")</f>
      </c>
      <c r="D140" s="79">
        <f>IFERROR(VLOOKUP($A:$A,CS!$A:$AK,5,FALSE),"")</f>
      </c>
      <c r="E140" s="79">
        <f>IFERROR(VLOOKUP($A:$A,CS!$A:$AK,7,FALSE),"")</f>
      </c>
      <c r="F140" s="79">
        <f>IFERROR(VLOOKUP($A:$A,CS!$A:$AK,8,FALSE),"")</f>
      </c>
      <c r="G140" s="79">
        <f>IFERROR(VLOOKUP($A:$A,CS!$A:$AK,10,FALSE),"")</f>
      </c>
      <c r="H140" s="79">
        <f>IFERROR(VLOOKUP($A:$A,CS!$A:$AK,14,FALSE),"")</f>
      </c>
      <c r="I140" s="79">
        <f>IFERROR(VLOOKUP($A:$A,CS!$A:$AK,15,FALSE),"")</f>
      </c>
      <c r="J140" s="79">
        <f>IFERROR(VLOOKUP($A:$A,CS!$A:$AK,18,FALSE),"")</f>
      </c>
      <c r="K140" s="79">
        <f>IFERROR(VLOOKUP($A:$A,CS!$A:$AK,19,FALSE),"")</f>
      </c>
      <c r="L140" s="79">
        <f>IFERROR(VLOOKUP($A:$A,CS!$A:$AK,20,FALSE),"")</f>
      </c>
      <c r="M140" s="79">
        <f>IFERROR(VLOOKUP($A:$A,CS!$A:$AK,22,FALSE),"")</f>
      </c>
      <c r="N140" s="79">
        <f>IFERROR(VLOOKUP($A:$A,CS!$A:$AK,19,FALSE),"")</f>
      </c>
      <c r="O140" s="79">
        <f>IFERROR(VLOOKUP($A:$A,CS!$A:$AK,23,FALSE),"")</f>
      </c>
      <c r="P140" s="79">
        <f>IFERROR(VLOOKUP($A:$A,CS!$A:$AK,24,FALSE),"")</f>
      </c>
      <c r="Q140" s="79">
        <f>IFERROR(VLOOKUP($A:$A,CS!$A:$AK,25,FALSE),"")</f>
      </c>
      <c r="R140" s="79">
        <f>IFERROR(VLOOKUP($A:$A,CS!$A:$AK,26,FALSE),"")</f>
      </c>
      <c r="S140" s="79">
        <f>IFERROR(VLOOKUP($A:$A,CS!$A:$AK,29,FALSE),"")</f>
      </c>
      <c r="T140" s="79">
        <f>IFERROR(VLOOKUP($A:$A,CS!$A:$AK,33,FALSE),"")</f>
      </c>
      <c r="U140" s="79">
        <f>IFERROR(VLOOKUP($A:$A,CS!$A:$AK,34,FALSE),"")</f>
      </c>
      <c r="V140" s="79">
        <f>IFERROR(VLOOKUP($A:$A,CS!$A:$AK,35,FALSE),"")</f>
      </c>
      <c r="W140" s="79">
        <f>IFERROR(VLOOKUP($A:$A,CS!$A:$AK,36,FALSE),"")</f>
      </c>
    </row>
    <row r="141" ht="16.5" customHeight="1" spans="1:23" x14ac:dyDescent="0.25">
      <c r="A141" s="93"/>
      <c r="B141" s="79">
        <f>IFERROR(VLOOKUP($A:$A,CS!$A:$AK,3,FALSE),"")</f>
      </c>
      <c r="C141" s="79">
        <f>IFERROR(VLOOKUP($A:$A,CS!$A:$AK,4,FALSE),"")</f>
      </c>
      <c r="D141" s="79">
        <f>IFERROR(VLOOKUP($A:$A,CS!$A:$AK,5,FALSE),"")</f>
      </c>
      <c r="E141" s="79">
        <f>IFERROR(VLOOKUP($A:$A,CS!$A:$AK,7,FALSE),"")</f>
      </c>
      <c r="F141" s="79">
        <f>IFERROR(VLOOKUP($A:$A,CS!$A:$AK,8,FALSE),"")</f>
      </c>
      <c r="G141" s="79">
        <f>IFERROR(VLOOKUP($A:$A,CS!$A:$AK,10,FALSE),"")</f>
      </c>
      <c r="H141" s="79">
        <f>IFERROR(VLOOKUP($A:$A,CS!$A:$AK,14,FALSE),"")</f>
      </c>
      <c r="I141" s="79">
        <f>IFERROR(VLOOKUP($A:$A,CS!$A:$AK,15,FALSE),"")</f>
      </c>
      <c r="J141" s="79">
        <f>IFERROR(VLOOKUP($A:$A,CS!$A:$AK,18,FALSE),"")</f>
      </c>
      <c r="K141" s="79">
        <f>IFERROR(VLOOKUP($A:$A,CS!$A:$AK,19,FALSE),"")</f>
      </c>
      <c r="L141" s="79">
        <f>IFERROR(VLOOKUP($A:$A,CS!$A:$AK,20,FALSE),"")</f>
      </c>
      <c r="M141" s="79">
        <f>IFERROR(VLOOKUP($A:$A,CS!$A:$AK,22,FALSE),"")</f>
      </c>
      <c r="N141" s="79">
        <f>IFERROR(VLOOKUP($A:$A,CS!$A:$AK,19,FALSE),"")</f>
      </c>
      <c r="O141" s="79">
        <f>IFERROR(VLOOKUP($A:$A,CS!$A:$AK,23,FALSE),"")</f>
      </c>
      <c r="P141" s="79">
        <f>IFERROR(VLOOKUP($A:$A,CS!$A:$AK,24,FALSE),"")</f>
      </c>
      <c r="Q141" s="79">
        <f>IFERROR(VLOOKUP($A:$A,CS!$A:$AK,25,FALSE),"")</f>
      </c>
      <c r="R141" s="79">
        <f>IFERROR(VLOOKUP($A:$A,CS!$A:$AK,26,FALSE),"")</f>
      </c>
      <c r="S141" s="79">
        <f>IFERROR(VLOOKUP($A:$A,CS!$A:$AK,29,FALSE),"")</f>
      </c>
      <c r="T141" s="79">
        <f>IFERROR(VLOOKUP($A:$A,CS!$A:$AK,33,FALSE),"")</f>
      </c>
      <c r="U141" s="79">
        <f>IFERROR(VLOOKUP($A:$A,CS!$A:$AK,34,FALSE),"")</f>
      </c>
      <c r="V141" s="79">
        <f>IFERROR(VLOOKUP($A:$A,CS!$A:$AK,35,FALSE),"")</f>
      </c>
      <c r="W141" s="79">
        <f>IFERROR(VLOOKUP($A:$A,CS!$A:$AK,36,FALSE),"")</f>
      </c>
    </row>
    <row r="142" ht="16.5" customHeight="1" spans="1:23" x14ac:dyDescent="0.25">
      <c r="A142" s="93"/>
      <c r="B142" s="79">
        <f>IFERROR(VLOOKUP($A:$A,CS!$A:$AK,3,FALSE),"")</f>
      </c>
      <c r="C142" s="79">
        <f>IFERROR(VLOOKUP($A:$A,CS!$A:$AK,4,FALSE),"")</f>
      </c>
      <c r="D142" s="79">
        <f>IFERROR(VLOOKUP($A:$A,CS!$A:$AK,5,FALSE),"")</f>
      </c>
      <c r="E142" s="79">
        <f>IFERROR(VLOOKUP($A:$A,CS!$A:$AK,7,FALSE),"")</f>
      </c>
      <c r="F142" s="79">
        <f>IFERROR(VLOOKUP($A:$A,CS!$A:$AK,8,FALSE),"")</f>
      </c>
      <c r="G142" s="79">
        <f>IFERROR(VLOOKUP($A:$A,CS!$A:$AK,10,FALSE),"")</f>
      </c>
      <c r="H142" s="79">
        <f>IFERROR(VLOOKUP($A:$A,CS!$A:$AK,14,FALSE),"")</f>
      </c>
      <c r="I142" s="79">
        <f>IFERROR(VLOOKUP($A:$A,CS!$A:$AK,15,FALSE),"")</f>
      </c>
      <c r="J142" s="79">
        <f>IFERROR(VLOOKUP($A:$A,CS!$A:$AK,18,FALSE),"")</f>
      </c>
      <c r="K142" s="79">
        <f>IFERROR(VLOOKUP($A:$A,CS!$A:$AK,19,FALSE),"")</f>
      </c>
      <c r="L142" s="79">
        <f>IFERROR(VLOOKUP($A:$A,CS!$A:$AK,20,FALSE),"")</f>
      </c>
      <c r="M142" s="79">
        <f>IFERROR(VLOOKUP($A:$A,CS!$A:$AK,22,FALSE),"")</f>
      </c>
      <c r="N142" s="79">
        <f>IFERROR(VLOOKUP($A:$A,CS!$A:$AK,19,FALSE),"")</f>
      </c>
      <c r="O142" s="79">
        <f>IFERROR(VLOOKUP($A:$A,CS!$A:$AK,23,FALSE),"")</f>
      </c>
      <c r="P142" s="79">
        <f>IFERROR(VLOOKUP($A:$A,CS!$A:$AK,24,FALSE),"")</f>
      </c>
      <c r="Q142" s="79">
        <f>IFERROR(VLOOKUP($A:$A,CS!$A:$AK,25,FALSE),"")</f>
      </c>
      <c r="R142" s="79">
        <f>IFERROR(VLOOKUP($A:$A,CS!$A:$AK,26,FALSE),"")</f>
      </c>
      <c r="S142" s="79">
        <f>IFERROR(VLOOKUP($A:$A,CS!$A:$AK,29,FALSE),"")</f>
      </c>
      <c r="T142" s="79">
        <f>IFERROR(VLOOKUP($A:$A,CS!$A:$AK,33,FALSE),"")</f>
      </c>
      <c r="U142" s="79">
        <f>IFERROR(VLOOKUP($A:$A,CS!$A:$AK,34,FALSE),"")</f>
      </c>
      <c r="V142" s="79">
        <f>IFERROR(VLOOKUP($A:$A,CS!$A:$AK,35,FALSE),"")</f>
      </c>
      <c r="W142" s="79">
        <f>IFERROR(VLOOKUP($A:$A,CS!$A:$AK,36,FALSE),"")</f>
      </c>
    </row>
    <row r="143" ht="16.5" customHeight="1" spans="1:23" x14ac:dyDescent="0.25">
      <c r="A143" s="93"/>
      <c r="B143" s="79">
        <f>IFERROR(VLOOKUP($A:$A,CS!$A:$AK,3,FALSE),"")</f>
      </c>
      <c r="C143" s="79">
        <f>IFERROR(VLOOKUP($A:$A,CS!$A:$AK,4,FALSE),"")</f>
      </c>
      <c r="D143" s="79">
        <f>IFERROR(VLOOKUP($A:$A,CS!$A:$AK,5,FALSE),"")</f>
      </c>
      <c r="E143" s="79">
        <f>IFERROR(VLOOKUP($A:$A,CS!$A:$AK,7,FALSE),"")</f>
      </c>
      <c r="F143" s="79">
        <f>IFERROR(VLOOKUP($A:$A,CS!$A:$AK,8,FALSE),"")</f>
      </c>
      <c r="G143" s="79">
        <f>IFERROR(VLOOKUP($A:$A,CS!$A:$AK,10,FALSE),"")</f>
      </c>
      <c r="H143" s="79">
        <f>IFERROR(VLOOKUP($A:$A,CS!$A:$AK,14,FALSE),"")</f>
      </c>
      <c r="I143" s="79">
        <f>IFERROR(VLOOKUP($A:$A,CS!$A:$AK,15,FALSE),"")</f>
      </c>
      <c r="J143" s="79">
        <f>IFERROR(VLOOKUP($A:$A,CS!$A:$AK,18,FALSE),"")</f>
      </c>
      <c r="K143" s="79">
        <f>IFERROR(VLOOKUP($A:$A,CS!$A:$AK,19,FALSE),"")</f>
      </c>
      <c r="L143" s="79">
        <f>IFERROR(VLOOKUP($A:$A,CS!$A:$AK,20,FALSE),"")</f>
      </c>
      <c r="M143" s="79">
        <f>IFERROR(VLOOKUP($A:$A,CS!$A:$AK,22,FALSE),"")</f>
      </c>
      <c r="N143" s="79">
        <f>IFERROR(VLOOKUP($A:$A,CS!$A:$AK,19,FALSE),"")</f>
      </c>
      <c r="O143" s="79">
        <f>IFERROR(VLOOKUP($A:$A,CS!$A:$AK,23,FALSE),"")</f>
      </c>
      <c r="P143" s="79">
        <f>IFERROR(VLOOKUP($A:$A,CS!$A:$AK,24,FALSE),"")</f>
      </c>
      <c r="Q143" s="79">
        <f>IFERROR(VLOOKUP($A:$A,CS!$A:$AK,25,FALSE),"")</f>
      </c>
      <c r="R143" s="79">
        <f>IFERROR(VLOOKUP($A:$A,CS!$A:$AK,26,FALSE),"")</f>
      </c>
      <c r="S143" s="79">
        <f>IFERROR(VLOOKUP($A:$A,CS!$A:$AK,29,FALSE),"")</f>
      </c>
      <c r="T143" s="79">
        <f>IFERROR(VLOOKUP($A:$A,CS!$A:$AK,33,FALSE),"")</f>
      </c>
      <c r="U143" s="79">
        <f>IFERROR(VLOOKUP($A:$A,CS!$A:$AK,34,FALSE),"")</f>
      </c>
      <c r="V143" s="79">
        <f>IFERROR(VLOOKUP($A:$A,CS!$A:$AK,35,FALSE),"")</f>
      </c>
      <c r="W143" s="79">
        <f>IFERROR(VLOOKUP($A:$A,CS!$A:$AK,36,FALSE),"")</f>
      </c>
    </row>
    <row r="144" ht="16.5" customHeight="1" spans="1:23" x14ac:dyDescent="0.25">
      <c r="A144" s="93"/>
      <c r="B144" s="79">
        <f>IFERROR(VLOOKUP($A:$A,CS!$A:$AK,3,FALSE),"")</f>
      </c>
      <c r="C144" s="79">
        <f>IFERROR(VLOOKUP($A:$A,CS!$A:$AK,4,FALSE),"")</f>
      </c>
      <c r="D144" s="79">
        <f>IFERROR(VLOOKUP($A:$A,CS!$A:$AK,5,FALSE),"")</f>
      </c>
      <c r="E144" s="79">
        <f>IFERROR(VLOOKUP($A:$A,CS!$A:$AK,7,FALSE),"")</f>
      </c>
      <c r="F144" s="79">
        <f>IFERROR(VLOOKUP($A:$A,CS!$A:$AK,8,FALSE),"")</f>
      </c>
      <c r="G144" s="79">
        <f>IFERROR(VLOOKUP($A:$A,CS!$A:$AK,10,FALSE),"")</f>
      </c>
      <c r="H144" s="79">
        <f>IFERROR(VLOOKUP($A:$A,CS!$A:$AK,14,FALSE),"")</f>
      </c>
      <c r="I144" s="79">
        <f>IFERROR(VLOOKUP($A:$A,CS!$A:$AK,15,FALSE),"")</f>
      </c>
      <c r="J144" s="79">
        <f>IFERROR(VLOOKUP($A:$A,CS!$A:$AK,18,FALSE),"")</f>
      </c>
      <c r="K144" s="79">
        <f>IFERROR(VLOOKUP($A:$A,CS!$A:$AK,19,FALSE),"")</f>
      </c>
      <c r="L144" s="79">
        <f>IFERROR(VLOOKUP($A:$A,CS!$A:$AK,20,FALSE),"")</f>
      </c>
      <c r="M144" s="79">
        <f>IFERROR(VLOOKUP($A:$A,CS!$A:$AK,22,FALSE),"")</f>
      </c>
      <c r="N144" s="79">
        <f>IFERROR(VLOOKUP($A:$A,CS!$A:$AK,19,FALSE),"")</f>
      </c>
      <c r="O144" s="79">
        <f>IFERROR(VLOOKUP($A:$A,CS!$A:$AK,23,FALSE),"")</f>
      </c>
      <c r="P144" s="79">
        <f>IFERROR(VLOOKUP($A:$A,CS!$A:$AK,24,FALSE),"")</f>
      </c>
      <c r="Q144" s="79">
        <f>IFERROR(VLOOKUP($A:$A,CS!$A:$AK,25,FALSE),"")</f>
      </c>
      <c r="R144" s="79">
        <f>IFERROR(VLOOKUP($A:$A,CS!$A:$AK,26,FALSE),"")</f>
      </c>
      <c r="S144" s="79">
        <f>IFERROR(VLOOKUP($A:$A,CS!$A:$AK,29,FALSE),"")</f>
      </c>
      <c r="T144" s="79">
        <f>IFERROR(VLOOKUP($A:$A,CS!$A:$AK,33,FALSE),"")</f>
      </c>
      <c r="U144" s="79">
        <f>IFERROR(VLOOKUP($A:$A,CS!$A:$AK,34,FALSE),"")</f>
      </c>
      <c r="V144" s="79">
        <f>IFERROR(VLOOKUP($A:$A,CS!$A:$AK,35,FALSE),"")</f>
      </c>
      <c r="W144" s="79">
        <f>IFERROR(VLOOKUP($A:$A,CS!$A:$AK,36,FALSE),"")</f>
      </c>
    </row>
    <row r="145" ht="16.5" customHeight="1" spans="1:23" x14ac:dyDescent="0.25">
      <c r="A145" s="93"/>
      <c r="B145" s="79">
        <f>IFERROR(VLOOKUP($A:$A,CS!$A:$AK,3,FALSE),"")</f>
      </c>
      <c r="C145" s="79">
        <f>IFERROR(VLOOKUP($A:$A,CS!$A:$AK,4,FALSE),"")</f>
      </c>
      <c r="D145" s="79">
        <f>IFERROR(VLOOKUP($A:$A,CS!$A:$AK,5,FALSE),"")</f>
      </c>
      <c r="E145" s="79">
        <f>IFERROR(VLOOKUP($A:$A,CS!$A:$AK,7,FALSE),"")</f>
      </c>
      <c r="F145" s="79">
        <f>IFERROR(VLOOKUP($A:$A,CS!$A:$AK,8,FALSE),"")</f>
      </c>
      <c r="G145" s="79">
        <f>IFERROR(VLOOKUP($A:$A,CS!$A:$AK,10,FALSE),"")</f>
      </c>
      <c r="H145" s="79">
        <f>IFERROR(VLOOKUP($A:$A,CS!$A:$AK,14,FALSE),"")</f>
      </c>
      <c r="I145" s="79">
        <f>IFERROR(VLOOKUP($A:$A,CS!$A:$AK,15,FALSE),"")</f>
      </c>
      <c r="J145" s="79">
        <f>IFERROR(VLOOKUP($A:$A,CS!$A:$AK,18,FALSE),"")</f>
      </c>
      <c r="K145" s="79">
        <f>IFERROR(VLOOKUP($A:$A,CS!$A:$AK,19,FALSE),"")</f>
      </c>
      <c r="L145" s="79">
        <f>IFERROR(VLOOKUP($A:$A,CS!$A:$AK,20,FALSE),"")</f>
      </c>
      <c r="M145" s="79">
        <f>IFERROR(VLOOKUP($A:$A,CS!$A:$AK,22,FALSE),"")</f>
      </c>
      <c r="N145" s="79">
        <f>IFERROR(VLOOKUP($A:$A,CS!$A:$AK,19,FALSE),"")</f>
      </c>
      <c r="O145" s="79">
        <f>IFERROR(VLOOKUP($A:$A,CS!$A:$AK,23,FALSE),"")</f>
      </c>
      <c r="P145" s="79">
        <f>IFERROR(VLOOKUP($A:$A,CS!$A:$AK,24,FALSE),"")</f>
      </c>
      <c r="Q145" s="79">
        <f>IFERROR(VLOOKUP($A:$A,CS!$A:$AK,25,FALSE),"")</f>
      </c>
      <c r="R145" s="79">
        <f>IFERROR(VLOOKUP($A:$A,CS!$A:$AK,26,FALSE),"")</f>
      </c>
      <c r="S145" s="79">
        <f>IFERROR(VLOOKUP($A:$A,CS!$A:$AK,29,FALSE),"")</f>
      </c>
      <c r="T145" s="79">
        <f>IFERROR(VLOOKUP($A:$A,CS!$A:$AK,33,FALSE),"")</f>
      </c>
      <c r="U145" s="79">
        <f>IFERROR(VLOOKUP($A:$A,CS!$A:$AK,34,FALSE),"")</f>
      </c>
      <c r="V145" s="79">
        <f>IFERROR(VLOOKUP($A:$A,CS!$A:$AK,35,FALSE),"")</f>
      </c>
      <c r="W145" s="79">
        <f>IFERROR(VLOOKUP($A:$A,CS!$A:$AK,36,FALSE),"")</f>
      </c>
    </row>
    <row r="146" ht="16.5" customHeight="1" spans="1:23" x14ac:dyDescent="0.25">
      <c r="A146" s="93"/>
      <c r="B146" s="79">
        <f>IFERROR(VLOOKUP($A:$A,CS!$A:$AK,3,FALSE),"")</f>
      </c>
      <c r="C146" s="79">
        <f>IFERROR(VLOOKUP($A:$A,CS!$A:$AK,4,FALSE),"")</f>
      </c>
      <c r="D146" s="79">
        <f>IFERROR(VLOOKUP($A:$A,CS!$A:$AK,5,FALSE),"")</f>
      </c>
      <c r="E146" s="79">
        <f>IFERROR(VLOOKUP($A:$A,CS!$A:$AK,7,FALSE),"")</f>
      </c>
      <c r="F146" s="79">
        <f>IFERROR(VLOOKUP($A:$A,CS!$A:$AK,8,FALSE),"")</f>
      </c>
      <c r="G146" s="79">
        <f>IFERROR(VLOOKUP($A:$A,CS!$A:$AK,10,FALSE),"")</f>
      </c>
      <c r="H146" s="79">
        <f>IFERROR(VLOOKUP($A:$A,CS!$A:$AK,14,FALSE),"")</f>
      </c>
      <c r="I146" s="79">
        <f>IFERROR(VLOOKUP($A:$A,CS!$A:$AK,15,FALSE),"")</f>
      </c>
      <c r="J146" s="79">
        <f>IFERROR(VLOOKUP($A:$A,CS!$A:$AK,18,FALSE),"")</f>
      </c>
      <c r="K146" s="79">
        <f>IFERROR(VLOOKUP($A:$A,CS!$A:$AK,19,FALSE),"")</f>
      </c>
      <c r="L146" s="79">
        <f>IFERROR(VLOOKUP($A:$A,CS!$A:$AK,20,FALSE),"")</f>
      </c>
      <c r="M146" s="79">
        <f>IFERROR(VLOOKUP($A:$A,CS!$A:$AK,22,FALSE),"")</f>
      </c>
      <c r="N146" s="79">
        <f>IFERROR(VLOOKUP($A:$A,CS!$A:$AK,19,FALSE),"")</f>
      </c>
      <c r="O146" s="79">
        <f>IFERROR(VLOOKUP($A:$A,CS!$A:$AK,23,FALSE),"")</f>
      </c>
      <c r="P146" s="79">
        <f>IFERROR(VLOOKUP($A:$A,CS!$A:$AK,24,FALSE),"")</f>
      </c>
      <c r="Q146" s="79">
        <f>IFERROR(VLOOKUP($A:$A,CS!$A:$AK,25,FALSE),"")</f>
      </c>
      <c r="R146" s="79">
        <f>IFERROR(VLOOKUP($A:$A,CS!$A:$AK,26,FALSE),"")</f>
      </c>
      <c r="S146" s="79">
        <f>IFERROR(VLOOKUP($A:$A,CS!$A:$AK,29,FALSE),"")</f>
      </c>
      <c r="T146" s="79">
        <f>IFERROR(VLOOKUP($A:$A,CS!$A:$AK,33,FALSE),"")</f>
      </c>
      <c r="U146" s="79">
        <f>IFERROR(VLOOKUP($A:$A,CS!$A:$AK,34,FALSE),"")</f>
      </c>
      <c r="V146" s="79">
        <f>IFERROR(VLOOKUP($A:$A,CS!$A:$AK,35,FALSE),"")</f>
      </c>
      <c r="W146" s="79">
        <f>IFERROR(VLOOKUP($A:$A,CS!$A:$AK,36,FALSE),"")</f>
      </c>
    </row>
    <row r="147" ht="16.5" customHeight="1" spans="1:23" x14ac:dyDescent="0.25">
      <c r="A147" s="93"/>
      <c r="B147" s="79">
        <f>IFERROR(VLOOKUP($A:$A,CS!$A:$AK,3,FALSE),"")</f>
      </c>
      <c r="C147" s="79">
        <f>IFERROR(VLOOKUP($A:$A,CS!$A:$AK,4,FALSE),"")</f>
      </c>
      <c r="D147" s="79">
        <f>IFERROR(VLOOKUP($A:$A,CS!$A:$AK,5,FALSE),"")</f>
      </c>
      <c r="E147" s="79">
        <f>IFERROR(VLOOKUP($A:$A,CS!$A:$AK,7,FALSE),"")</f>
      </c>
      <c r="F147" s="79">
        <f>IFERROR(VLOOKUP($A:$A,CS!$A:$AK,8,FALSE),"")</f>
      </c>
      <c r="G147" s="79">
        <f>IFERROR(VLOOKUP($A:$A,CS!$A:$AK,10,FALSE),"")</f>
      </c>
      <c r="H147" s="79">
        <f>IFERROR(VLOOKUP($A:$A,CS!$A:$AK,14,FALSE),"")</f>
      </c>
      <c r="I147" s="79">
        <f>IFERROR(VLOOKUP($A:$A,CS!$A:$AK,15,FALSE),"")</f>
      </c>
      <c r="J147" s="79">
        <f>IFERROR(VLOOKUP($A:$A,CS!$A:$AK,18,FALSE),"")</f>
      </c>
      <c r="K147" s="79">
        <f>IFERROR(VLOOKUP($A:$A,CS!$A:$AK,19,FALSE),"")</f>
      </c>
      <c r="L147" s="79">
        <f>IFERROR(VLOOKUP($A:$A,CS!$A:$AK,20,FALSE),"")</f>
      </c>
      <c r="M147" s="79">
        <f>IFERROR(VLOOKUP($A:$A,CS!$A:$AK,22,FALSE),"")</f>
      </c>
      <c r="N147" s="79">
        <f>IFERROR(VLOOKUP($A:$A,CS!$A:$AK,19,FALSE),"")</f>
      </c>
      <c r="O147" s="79">
        <f>IFERROR(VLOOKUP($A:$A,CS!$A:$AK,23,FALSE),"")</f>
      </c>
      <c r="P147" s="79">
        <f>IFERROR(VLOOKUP($A:$A,CS!$A:$AK,24,FALSE),"")</f>
      </c>
      <c r="Q147" s="79">
        <f>IFERROR(VLOOKUP($A:$A,CS!$A:$AK,25,FALSE),"")</f>
      </c>
      <c r="R147" s="79">
        <f>IFERROR(VLOOKUP($A:$A,CS!$A:$AK,26,FALSE),"")</f>
      </c>
      <c r="S147" s="79">
        <f>IFERROR(VLOOKUP($A:$A,CS!$A:$AK,29,FALSE),"")</f>
      </c>
      <c r="T147" s="79">
        <f>IFERROR(VLOOKUP($A:$A,CS!$A:$AK,33,FALSE),"")</f>
      </c>
      <c r="U147" s="79">
        <f>IFERROR(VLOOKUP($A:$A,CS!$A:$AK,34,FALSE),"")</f>
      </c>
      <c r="V147" s="79">
        <f>IFERROR(VLOOKUP($A:$A,CS!$A:$AK,35,FALSE),"")</f>
      </c>
      <c r="W147" s="79">
        <f>IFERROR(VLOOKUP($A:$A,CS!$A:$AK,36,FALSE),"")</f>
      </c>
    </row>
    <row r="148" ht="16.5" customHeight="1" spans="1:23" x14ac:dyDescent="0.25">
      <c r="A148" s="93"/>
      <c r="B148" s="79">
        <f>IFERROR(VLOOKUP($A:$A,CS!$A:$AK,3,FALSE),"")</f>
      </c>
      <c r="C148" s="79">
        <f>IFERROR(VLOOKUP($A:$A,CS!$A:$AK,4,FALSE),"")</f>
      </c>
      <c r="D148" s="79">
        <f>IFERROR(VLOOKUP($A:$A,CS!$A:$AK,5,FALSE),"")</f>
      </c>
      <c r="E148" s="79">
        <f>IFERROR(VLOOKUP($A:$A,CS!$A:$AK,7,FALSE),"")</f>
      </c>
      <c r="F148" s="79">
        <f>IFERROR(VLOOKUP($A:$A,CS!$A:$AK,8,FALSE),"")</f>
      </c>
      <c r="G148" s="79">
        <f>IFERROR(VLOOKUP($A:$A,CS!$A:$AK,10,FALSE),"")</f>
      </c>
      <c r="H148" s="79">
        <f>IFERROR(VLOOKUP($A:$A,CS!$A:$AK,14,FALSE),"")</f>
      </c>
      <c r="I148" s="79">
        <f>IFERROR(VLOOKUP($A:$A,CS!$A:$AK,15,FALSE),"")</f>
      </c>
      <c r="J148" s="79">
        <f>IFERROR(VLOOKUP($A:$A,CS!$A:$AK,18,FALSE),"")</f>
      </c>
      <c r="K148" s="79">
        <f>IFERROR(VLOOKUP($A:$A,CS!$A:$AK,19,FALSE),"")</f>
      </c>
      <c r="L148" s="79">
        <f>IFERROR(VLOOKUP($A:$A,CS!$A:$AK,20,FALSE),"")</f>
      </c>
      <c r="M148" s="79">
        <f>IFERROR(VLOOKUP($A:$A,CS!$A:$AK,22,FALSE),"")</f>
      </c>
      <c r="N148" s="79">
        <f>IFERROR(VLOOKUP($A:$A,CS!$A:$AK,19,FALSE),"")</f>
      </c>
      <c r="O148" s="79">
        <f>IFERROR(VLOOKUP($A:$A,CS!$A:$AK,23,FALSE),"")</f>
      </c>
      <c r="P148" s="79">
        <f>IFERROR(VLOOKUP($A:$A,CS!$A:$AK,24,FALSE),"")</f>
      </c>
      <c r="Q148" s="79">
        <f>IFERROR(VLOOKUP($A:$A,CS!$A:$AK,25,FALSE),"")</f>
      </c>
      <c r="R148" s="79">
        <f>IFERROR(VLOOKUP($A:$A,CS!$A:$AK,26,FALSE),"")</f>
      </c>
      <c r="S148" s="79">
        <f>IFERROR(VLOOKUP($A:$A,CS!$A:$AK,29,FALSE),"")</f>
      </c>
      <c r="T148" s="79">
        <f>IFERROR(VLOOKUP($A:$A,CS!$A:$AK,33,FALSE),"")</f>
      </c>
      <c r="U148" s="79">
        <f>IFERROR(VLOOKUP($A:$A,CS!$A:$AK,34,FALSE),"")</f>
      </c>
      <c r="V148" s="79">
        <f>IFERROR(VLOOKUP($A:$A,CS!$A:$AK,35,FALSE),"")</f>
      </c>
      <c r="W148" s="79">
        <f>IFERROR(VLOOKUP($A:$A,CS!$A:$AK,36,FALSE),"")</f>
      </c>
    </row>
    <row r="149" ht="16.5" customHeight="1" spans="1:23" x14ac:dyDescent="0.25">
      <c r="A149" s="93"/>
      <c r="B149" s="79">
        <f>IFERROR(VLOOKUP($A:$A,CS!$A:$AK,3,FALSE),"")</f>
      </c>
      <c r="C149" s="79">
        <f>IFERROR(VLOOKUP($A:$A,CS!$A:$AK,4,FALSE),"")</f>
      </c>
      <c r="D149" s="79">
        <f>IFERROR(VLOOKUP($A:$A,CS!$A:$AK,5,FALSE),"")</f>
      </c>
      <c r="E149" s="79">
        <f>IFERROR(VLOOKUP($A:$A,CS!$A:$AK,7,FALSE),"")</f>
      </c>
      <c r="F149" s="79">
        <f>IFERROR(VLOOKUP($A:$A,CS!$A:$AK,8,FALSE),"")</f>
      </c>
      <c r="G149" s="79">
        <f>IFERROR(VLOOKUP($A:$A,CS!$A:$AK,10,FALSE),"")</f>
      </c>
      <c r="H149" s="79">
        <f>IFERROR(VLOOKUP($A:$A,CS!$A:$AK,14,FALSE),"")</f>
      </c>
      <c r="I149" s="79">
        <f>IFERROR(VLOOKUP($A:$A,CS!$A:$AK,15,FALSE),"")</f>
      </c>
      <c r="J149" s="79">
        <f>IFERROR(VLOOKUP($A:$A,CS!$A:$AK,18,FALSE),"")</f>
      </c>
      <c r="K149" s="79">
        <f>IFERROR(VLOOKUP($A:$A,CS!$A:$AK,19,FALSE),"")</f>
      </c>
      <c r="L149" s="79">
        <f>IFERROR(VLOOKUP($A:$A,CS!$A:$AK,20,FALSE),"")</f>
      </c>
      <c r="M149" s="79">
        <f>IFERROR(VLOOKUP($A:$A,CS!$A:$AK,22,FALSE),"")</f>
      </c>
      <c r="N149" s="79">
        <f>IFERROR(VLOOKUP($A:$A,CS!$A:$AK,19,FALSE),"")</f>
      </c>
      <c r="O149" s="79">
        <f>IFERROR(VLOOKUP($A:$A,CS!$A:$AK,23,FALSE),"")</f>
      </c>
      <c r="P149" s="79">
        <f>IFERROR(VLOOKUP($A:$A,CS!$A:$AK,24,FALSE),"")</f>
      </c>
      <c r="Q149" s="79">
        <f>IFERROR(VLOOKUP($A:$A,CS!$A:$AK,25,FALSE),"")</f>
      </c>
      <c r="R149" s="79">
        <f>IFERROR(VLOOKUP($A:$A,CS!$A:$AK,26,FALSE),"")</f>
      </c>
      <c r="S149" s="79">
        <f>IFERROR(VLOOKUP($A:$A,CS!$A:$AK,29,FALSE),"")</f>
      </c>
      <c r="T149" s="79">
        <f>IFERROR(VLOOKUP($A:$A,CS!$A:$AK,33,FALSE),"")</f>
      </c>
      <c r="U149" s="79">
        <f>IFERROR(VLOOKUP($A:$A,CS!$A:$AK,34,FALSE),"")</f>
      </c>
      <c r="V149" s="79">
        <f>IFERROR(VLOOKUP($A:$A,CS!$A:$AK,35,FALSE),"")</f>
      </c>
      <c r="W149" s="79">
        <f>IFERROR(VLOOKUP($A:$A,CS!$A:$AK,36,FALSE),"")</f>
      </c>
    </row>
    <row r="150" ht="16.5" customHeight="1" spans="1:23" x14ac:dyDescent="0.25">
      <c r="A150" s="93"/>
      <c r="B150" s="79">
        <f>IFERROR(VLOOKUP($A:$A,CS!$A:$AK,3,FALSE),"")</f>
      </c>
      <c r="C150" s="79">
        <f>IFERROR(VLOOKUP($A:$A,CS!$A:$AK,4,FALSE),"")</f>
      </c>
      <c r="D150" s="79">
        <f>IFERROR(VLOOKUP($A:$A,CS!$A:$AK,5,FALSE),"")</f>
      </c>
      <c r="E150" s="79">
        <f>IFERROR(VLOOKUP($A:$A,CS!$A:$AK,7,FALSE),"")</f>
      </c>
      <c r="F150" s="79">
        <f>IFERROR(VLOOKUP($A:$A,CS!$A:$AK,8,FALSE),"")</f>
      </c>
      <c r="G150" s="79">
        <f>IFERROR(VLOOKUP($A:$A,CS!$A:$AK,10,FALSE),"")</f>
      </c>
      <c r="H150" s="79">
        <f>IFERROR(VLOOKUP($A:$A,CS!$A:$AK,14,FALSE),"")</f>
      </c>
      <c r="I150" s="79">
        <f>IFERROR(VLOOKUP($A:$A,CS!$A:$AK,15,FALSE),"")</f>
      </c>
      <c r="J150" s="79">
        <f>IFERROR(VLOOKUP($A:$A,CS!$A:$AK,18,FALSE),"")</f>
      </c>
      <c r="K150" s="79">
        <f>IFERROR(VLOOKUP($A:$A,CS!$A:$AK,19,FALSE),"")</f>
      </c>
      <c r="L150" s="79">
        <f>IFERROR(VLOOKUP($A:$A,CS!$A:$AK,20,FALSE),"")</f>
      </c>
      <c r="M150" s="79">
        <f>IFERROR(VLOOKUP($A:$A,CS!$A:$AK,22,FALSE),"")</f>
      </c>
      <c r="N150" s="79">
        <f>IFERROR(VLOOKUP($A:$A,CS!$A:$AK,19,FALSE),"")</f>
      </c>
      <c r="O150" s="79">
        <f>IFERROR(VLOOKUP($A:$A,CS!$A:$AK,23,FALSE),"")</f>
      </c>
      <c r="P150" s="79">
        <f>IFERROR(VLOOKUP($A:$A,CS!$A:$AK,24,FALSE),"")</f>
      </c>
      <c r="Q150" s="79">
        <f>IFERROR(VLOOKUP($A:$A,CS!$A:$AK,25,FALSE),"")</f>
      </c>
      <c r="R150" s="79">
        <f>IFERROR(VLOOKUP($A:$A,CS!$A:$AK,26,FALSE),"")</f>
      </c>
      <c r="S150" s="79">
        <f>IFERROR(VLOOKUP($A:$A,CS!$A:$AK,29,FALSE),"")</f>
      </c>
      <c r="T150" s="79">
        <f>IFERROR(VLOOKUP($A:$A,CS!$A:$AK,33,FALSE),"")</f>
      </c>
      <c r="U150" s="79">
        <f>IFERROR(VLOOKUP($A:$A,CS!$A:$AK,34,FALSE),"")</f>
      </c>
      <c r="V150" s="79">
        <f>IFERROR(VLOOKUP($A:$A,CS!$A:$AK,35,FALSE),"")</f>
      </c>
      <c r="W150" s="79">
        <f>IFERROR(VLOOKUP($A:$A,CS!$A:$AK,36,FALSE),"")</f>
      </c>
    </row>
    <row r="151" ht="16.5" customHeight="1" spans="1:23" x14ac:dyDescent="0.25">
      <c r="A151" s="93"/>
      <c r="B151" s="79">
        <f>IFERROR(VLOOKUP($A:$A,CS!$A:$AK,3,FALSE),"")</f>
      </c>
      <c r="C151" s="79">
        <f>IFERROR(VLOOKUP($A:$A,CS!$A:$AK,4,FALSE),"")</f>
      </c>
      <c r="D151" s="79">
        <f>IFERROR(VLOOKUP($A:$A,CS!$A:$AK,5,FALSE),"")</f>
      </c>
      <c r="E151" s="79">
        <f>IFERROR(VLOOKUP($A:$A,CS!$A:$AK,7,FALSE),"")</f>
      </c>
      <c r="F151" s="79">
        <f>IFERROR(VLOOKUP($A:$A,CS!$A:$AK,8,FALSE),"")</f>
      </c>
      <c r="G151" s="79">
        <f>IFERROR(VLOOKUP($A:$A,CS!$A:$AK,10,FALSE),"")</f>
      </c>
      <c r="H151" s="79">
        <f>IFERROR(VLOOKUP($A:$A,CS!$A:$AK,14,FALSE),"")</f>
      </c>
      <c r="I151" s="79">
        <f>IFERROR(VLOOKUP($A:$A,CS!$A:$AK,15,FALSE),"")</f>
      </c>
      <c r="J151" s="79">
        <f>IFERROR(VLOOKUP($A:$A,CS!$A:$AK,18,FALSE),"")</f>
      </c>
      <c r="K151" s="79">
        <f>IFERROR(VLOOKUP($A:$A,CS!$A:$AK,19,FALSE),"")</f>
      </c>
      <c r="L151" s="79">
        <f>IFERROR(VLOOKUP($A:$A,CS!$A:$AK,20,FALSE),"")</f>
      </c>
      <c r="M151" s="79">
        <f>IFERROR(VLOOKUP($A:$A,CS!$A:$AK,22,FALSE),"")</f>
      </c>
      <c r="N151" s="79">
        <f>IFERROR(VLOOKUP($A:$A,CS!$A:$AK,19,FALSE),"")</f>
      </c>
      <c r="O151" s="79">
        <f>IFERROR(VLOOKUP($A:$A,CS!$A:$AK,23,FALSE),"")</f>
      </c>
      <c r="P151" s="79">
        <f>IFERROR(VLOOKUP($A:$A,CS!$A:$AK,24,FALSE),"")</f>
      </c>
      <c r="Q151" s="79">
        <f>IFERROR(VLOOKUP($A:$A,CS!$A:$AK,25,FALSE),"")</f>
      </c>
      <c r="R151" s="79">
        <f>IFERROR(VLOOKUP($A:$A,CS!$A:$AK,26,FALSE),"")</f>
      </c>
      <c r="S151" s="79">
        <f>IFERROR(VLOOKUP($A:$A,CS!$A:$AK,29,FALSE),"")</f>
      </c>
      <c r="T151" s="79">
        <f>IFERROR(VLOOKUP($A:$A,CS!$A:$AK,33,FALSE),"")</f>
      </c>
      <c r="U151" s="79">
        <f>IFERROR(VLOOKUP($A:$A,CS!$A:$AK,34,FALSE),"")</f>
      </c>
      <c r="V151" s="79">
        <f>IFERROR(VLOOKUP($A:$A,CS!$A:$AK,35,FALSE),"")</f>
      </c>
      <c r="W151" s="79">
        <f>IFERROR(VLOOKUP($A:$A,CS!$A:$AK,36,FALSE),"")</f>
      </c>
    </row>
    <row r="152" ht="16.5" customHeight="1" spans="1:23" x14ac:dyDescent="0.25">
      <c r="A152" s="93"/>
      <c r="B152" s="79">
        <f>IFERROR(VLOOKUP($A:$A,CS!$A:$AK,3,FALSE),"")</f>
      </c>
      <c r="C152" s="79">
        <f>IFERROR(VLOOKUP($A:$A,CS!$A:$AK,4,FALSE),"")</f>
      </c>
      <c r="D152" s="79">
        <f>IFERROR(VLOOKUP($A:$A,CS!$A:$AK,5,FALSE),"")</f>
      </c>
      <c r="E152" s="79">
        <f>IFERROR(VLOOKUP($A:$A,CS!$A:$AK,7,FALSE),"")</f>
      </c>
      <c r="F152" s="79">
        <f>IFERROR(VLOOKUP($A:$A,CS!$A:$AK,8,FALSE),"")</f>
      </c>
      <c r="G152" s="79">
        <f>IFERROR(VLOOKUP($A:$A,CS!$A:$AK,10,FALSE),"")</f>
      </c>
      <c r="H152" s="79">
        <f>IFERROR(VLOOKUP($A:$A,CS!$A:$AK,14,FALSE),"")</f>
      </c>
      <c r="I152" s="79">
        <f>IFERROR(VLOOKUP($A:$A,CS!$A:$AK,15,FALSE),"")</f>
      </c>
      <c r="J152" s="79">
        <f>IFERROR(VLOOKUP($A:$A,CS!$A:$AK,18,FALSE),"")</f>
      </c>
      <c r="K152" s="79">
        <f>IFERROR(VLOOKUP($A:$A,CS!$A:$AK,19,FALSE),"")</f>
      </c>
      <c r="L152" s="79">
        <f>IFERROR(VLOOKUP($A:$A,CS!$A:$AK,20,FALSE),"")</f>
      </c>
      <c r="M152" s="79">
        <f>IFERROR(VLOOKUP($A:$A,CS!$A:$AK,22,FALSE),"")</f>
      </c>
      <c r="N152" s="79">
        <f>IFERROR(VLOOKUP($A:$A,CS!$A:$AK,19,FALSE),"")</f>
      </c>
      <c r="O152" s="79">
        <f>IFERROR(VLOOKUP($A:$A,CS!$A:$AK,23,FALSE),"")</f>
      </c>
      <c r="P152" s="79">
        <f>IFERROR(VLOOKUP($A:$A,CS!$A:$AK,24,FALSE),"")</f>
      </c>
      <c r="Q152" s="79">
        <f>IFERROR(VLOOKUP($A:$A,CS!$A:$AK,25,FALSE),"")</f>
      </c>
      <c r="R152" s="79">
        <f>IFERROR(VLOOKUP($A:$A,CS!$A:$AK,26,FALSE),"")</f>
      </c>
      <c r="S152" s="79">
        <f>IFERROR(VLOOKUP($A:$A,CS!$A:$AK,29,FALSE),"")</f>
      </c>
      <c r="T152" s="79">
        <f>IFERROR(VLOOKUP($A:$A,CS!$A:$AK,33,FALSE),"")</f>
      </c>
      <c r="U152" s="79">
        <f>IFERROR(VLOOKUP($A:$A,CS!$A:$AK,34,FALSE),"")</f>
      </c>
      <c r="V152" s="79">
        <f>IFERROR(VLOOKUP($A:$A,CS!$A:$AK,35,FALSE),"")</f>
      </c>
      <c r="W152" s="79">
        <f>IFERROR(VLOOKUP($A:$A,CS!$A:$AK,36,FALSE),"")</f>
      </c>
    </row>
    <row r="153" ht="16.5" customHeight="1" spans="1:23" x14ac:dyDescent="0.25">
      <c r="A153" s="93"/>
      <c r="B153" s="79">
        <f>IFERROR(VLOOKUP($A:$A,CS!$A:$AK,3,FALSE),"")</f>
      </c>
      <c r="C153" s="79">
        <f>IFERROR(VLOOKUP($A:$A,CS!$A:$AK,4,FALSE),"")</f>
      </c>
      <c r="D153" s="79">
        <f>IFERROR(VLOOKUP($A:$A,CS!$A:$AK,5,FALSE),"")</f>
      </c>
      <c r="E153" s="79">
        <f>IFERROR(VLOOKUP($A:$A,CS!$A:$AK,7,FALSE),"")</f>
      </c>
      <c r="F153" s="79">
        <f>IFERROR(VLOOKUP($A:$A,CS!$A:$AK,8,FALSE),"")</f>
      </c>
      <c r="G153" s="79">
        <f>IFERROR(VLOOKUP($A:$A,CS!$A:$AK,10,FALSE),"")</f>
      </c>
      <c r="H153" s="79">
        <f>IFERROR(VLOOKUP($A:$A,CS!$A:$AK,14,FALSE),"")</f>
      </c>
      <c r="I153" s="79">
        <f>IFERROR(VLOOKUP($A:$A,CS!$A:$AK,15,FALSE),"")</f>
      </c>
      <c r="J153" s="79">
        <f>IFERROR(VLOOKUP($A:$A,CS!$A:$AK,18,FALSE),"")</f>
      </c>
      <c r="K153" s="79">
        <f>IFERROR(VLOOKUP($A:$A,CS!$A:$AK,19,FALSE),"")</f>
      </c>
      <c r="L153" s="79">
        <f>IFERROR(VLOOKUP($A:$A,CS!$A:$AK,20,FALSE),"")</f>
      </c>
      <c r="M153" s="79">
        <f>IFERROR(VLOOKUP($A:$A,CS!$A:$AK,22,FALSE),"")</f>
      </c>
      <c r="N153" s="79">
        <f>IFERROR(VLOOKUP($A:$A,CS!$A:$AK,19,FALSE),"")</f>
      </c>
      <c r="O153" s="79">
        <f>IFERROR(VLOOKUP($A:$A,CS!$A:$AK,23,FALSE),"")</f>
      </c>
      <c r="P153" s="79">
        <f>IFERROR(VLOOKUP($A:$A,CS!$A:$AK,24,FALSE),"")</f>
      </c>
      <c r="Q153" s="79">
        <f>IFERROR(VLOOKUP($A:$A,CS!$A:$AK,25,FALSE),"")</f>
      </c>
      <c r="R153" s="79">
        <f>IFERROR(VLOOKUP($A:$A,CS!$A:$AK,26,FALSE),"")</f>
      </c>
      <c r="S153" s="79">
        <f>IFERROR(VLOOKUP($A:$A,CS!$A:$AK,29,FALSE),"")</f>
      </c>
      <c r="T153" s="79">
        <f>IFERROR(VLOOKUP($A:$A,CS!$A:$AK,33,FALSE),"")</f>
      </c>
      <c r="U153" s="79">
        <f>IFERROR(VLOOKUP($A:$A,CS!$A:$AK,34,FALSE),"")</f>
      </c>
      <c r="V153" s="79">
        <f>IFERROR(VLOOKUP($A:$A,CS!$A:$AK,35,FALSE),"")</f>
      </c>
      <c r="W153" s="79">
        <f>IFERROR(VLOOKUP($A:$A,CS!$A:$AK,36,FALSE),"")</f>
      </c>
    </row>
    <row r="154" ht="16.5" customHeight="1" spans="1:23" x14ac:dyDescent="0.25">
      <c r="A154" s="93"/>
      <c r="B154" s="79">
        <f>IFERROR(VLOOKUP($A:$A,CS!$A:$AK,3,FALSE),"")</f>
      </c>
      <c r="C154" s="79">
        <f>IFERROR(VLOOKUP($A:$A,CS!$A:$AK,4,FALSE),"")</f>
      </c>
      <c r="D154" s="79">
        <f>IFERROR(VLOOKUP($A:$A,CS!$A:$AK,5,FALSE),"")</f>
      </c>
      <c r="E154" s="79">
        <f>IFERROR(VLOOKUP($A:$A,CS!$A:$AK,7,FALSE),"")</f>
      </c>
      <c r="F154" s="79">
        <f>IFERROR(VLOOKUP($A:$A,CS!$A:$AK,8,FALSE),"")</f>
      </c>
      <c r="G154" s="79">
        <f>IFERROR(VLOOKUP($A:$A,CS!$A:$AK,10,FALSE),"")</f>
      </c>
      <c r="H154" s="79">
        <f>IFERROR(VLOOKUP($A:$A,CS!$A:$AK,14,FALSE),"")</f>
      </c>
      <c r="I154" s="79">
        <f>IFERROR(VLOOKUP($A:$A,CS!$A:$AK,15,FALSE),"")</f>
      </c>
      <c r="J154" s="79">
        <f>IFERROR(VLOOKUP($A:$A,CS!$A:$AK,18,FALSE),"")</f>
      </c>
      <c r="K154" s="79">
        <f>IFERROR(VLOOKUP($A:$A,CS!$A:$AK,19,FALSE),"")</f>
      </c>
      <c r="L154" s="79">
        <f>IFERROR(VLOOKUP($A:$A,CS!$A:$AK,20,FALSE),"")</f>
      </c>
      <c r="M154" s="79">
        <f>IFERROR(VLOOKUP($A:$A,CS!$A:$AK,22,FALSE),"")</f>
      </c>
      <c r="N154" s="79">
        <f>IFERROR(VLOOKUP($A:$A,CS!$A:$AK,19,FALSE),"")</f>
      </c>
      <c r="O154" s="79">
        <f>IFERROR(VLOOKUP($A:$A,CS!$A:$AK,23,FALSE),"")</f>
      </c>
      <c r="P154" s="79">
        <f>IFERROR(VLOOKUP($A:$A,CS!$A:$AK,24,FALSE),"")</f>
      </c>
      <c r="Q154" s="79">
        <f>IFERROR(VLOOKUP($A:$A,CS!$A:$AK,25,FALSE),"")</f>
      </c>
      <c r="R154" s="79">
        <f>IFERROR(VLOOKUP($A:$A,CS!$A:$AK,26,FALSE),"")</f>
      </c>
      <c r="S154" s="79">
        <f>IFERROR(VLOOKUP($A:$A,CS!$A:$AK,29,FALSE),"")</f>
      </c>
      <c r="T154" s="79">
        <f>IFERROR(VLOOKUP($A:$A,CS!$A:$AK,33,FALSE),"")</f>
      </c>
      <c r="U154" s="79">
        <f>IFERROR(VLOOKUP($A:$A,CS!$A:$AK,34,FALSE),"")</f>
      </c>
      <c r="V154" s="79">
        <f>IFERROR(VLOOKUP($A:$A,CS!$A:$AK,35,FALSE),"")</f>
      </c>
      <c r="W154" s="79">
        <f>IFERROR(VLOOKUP($A:$A,CS!$A:$AK,36,FALSE),"")</f>
      </c>
    </row>
    <row r="155" ht="16.5" customHeight="1" spans="1:23" x14ac:dyDescent="0.25">
      <c r="A155" s="93"/>
      <c r="B155" s="79">
        <f>IFERROR(VLOOKUP($A:$A,CS!$A:$AK,3,FALSE),"")</f>
      </c>
      <c r="C155" s="79">
        <f>IFERROR(VLOOKUP($A:$A,CS!$A:$AK,4,FALSE),"")</f>
      </c>
      <c r="D155" s="79">
        <f>IFERROR(VLOOKUP($A:$A,CS!$A:$AK,5,FALSE),"")</f>
      </c>
      <c r="E155" s="79">
        <f>IFERROR(VLOOKUP($A:$A,CS!$A:$AK,7,FALSE),"")</f>
      </c>
      <c r="F155" s="79">
        <f>IFERROR(VLOOKUP($A:$A,CS!$A:$AK,8,FALSE),"")</f>
      </c>
      <c r="G155" s="79">
        <f>IFERROR(VLOOKUP($A:$A,CS!$A:$AK,10,FALSE),"")</f>
      </c>
      <c r="H155" s="79">
        <f>IFERROR(VLOOKUP($A:$A,CS!$A:$AK,14,FALSE),"")</f>
      </c>
      <c r="I155" s="79">
        <f>IFERROR(VLOOKUP($A:$A,CS!$A:$AK,15,FALSE),"")</f>
      </c>
      <c r="J155" s="79">
        <f>IFERROR(VLOOKUP($A:$A,CS!$A:$AK,18,FALSE),"")</f>
      </c>
      <c r="K155" s="79">
        <f>IFERROR(VLOOKUP($A:$A,CS!$A:$AK,19,FALSE),"")</f>
      </c>
      <c r="L155" s="79">
        <f>IFERROR(VLOOKUP($A:$A,CS!$A:$AK,20,FALSE),"")</f>
      </c>
      <c r="M155" s="79">
        <f>IFERROR(VLOOKUP($A:$A,CS!$A:$AK,22,FALSE),"")</f>
      </c>
      <c r="N155" s="79">
        <f>IFERROR(VLOOKUP($A:$A,CS!$A:$AK,19,FALSE),"")</f>
      </c>
      <c r="O155" s="79">
        <f>IFERROR(VLOOKUP($A:$A,CS!$A:$AK,23,FALSE),"")</f>
      </c>
      <c r="P155" s="79">
        <f>IFERROR(VLOOKUP($A:$A,CS!$A:$AK,24,FALSE),"")</f>
      </c>
      <c r="Q155" s="79">
        <f>IFERROR(VLOOKUP($A:$A,CS!$A:$AK,25,FALSE),"")</f>
      </c>
      <c r="R155" s="79">
        <f>IFERROR(VLOOKUP($A:$A,CS!$A:$AK,26,FALSE),"")</f>
      </c>
      <c r="S155" s="79">
        <f>IFERROR(VLOOKUP($A:$A,CS!$A:$AK,29,FALSE),"")</f>
      </c>
      <c r="T155" s="79">
        <f>IFERROR(VLOOKUP($A:$A,CS!$A:$AK,33,FALSE),"")</f>
      </c>
      <c r="U155" s="79">
        <f>IFERROR(VLOOKUP($A:$A,CS!$A:$AK,34,FALSE),"")</f>
      </c>
      <c r="V155" s="79">
        <f>IFERROR(VLOOKUP($A:$A,CS!$A:$AK,35,FALSE),"")</f>
      </c>
      <c r="W155" s="79">
        <f>IFERROR(VLOOKUP($A:$A,CS!$A:$AK,36,FALSE),"")</f>
      </c>
    </row>
    <row r="156" ht="16.5" customHeight="1" spans="1:23" x14ac:dyDescent="0.25">
      <c r="A156" s="93"/>
      <c r="B156" s="79">
        <f>IFERROR(VLOOKUP($A:$A,CS!$A:$AK,3,FALSE),"")</f>
      </c>
      <c r="C156" s="79">
        <f>IFERROR(VLOOKUP($A:$A,CS!$A:$AK,4,FALSE),"")</f>
      </c>
      <c r="D156" s="79">
        <f>IFERROR(VLOOKUP($A:$A,CS!$A:$AK,5,FALSE),"")</f>
      </c>
      <c r="E156" s="79">
        <f>IFERROR(VLOOKUP($A:$A,CS!$A:$AK,7,FALSE),"")</f>
      </c>
      <c r="F156" s="79">
        <f>IFERROR(VLOOKUP($A:$A,CS!$A:$AK,8,FALSE),"")</f>
      </c>
      <c r="G156" s="79">
        <f>IFERROR(VLOOKUP($A:$A,CS!$A:$AK,10,FALSE),"")</f>
      </c>
      <c r="H156" s="79">
        <f>IFERROR(VLOOKUP($A:$A,CS!$A:$AK,14,FALSE),"")</f>
      </c>
      <c r="I156" s="79">
        <f>IFERROR(VLOOKUP($A:$A,CS!$A:$AK,15,FALSE),"")</f>
      </c>
      <c r="J156" s="79">
        <f>IFERROR(VLOOKUP($A:$A,CS!$A:$AK,18,FALSE),"")</f>
      </c>
      <c r="K156" s="79">
        <f>IFERROR(VLOOKUP($A:$A,CS!$A:$AK,19,FALSE),"")</f>
      </c>
      <c r="L156" s="79">
        <f>IFERROR(VLOOKUP($A:$A,CS!$A:$AK,20,FALSE),"")</f>
      </c>
      <c r="M156" s="79">
        <f>IFERROR(VLOOKUP($A:$A,CS!$A:$AK,22,FALSE),"")</f>
      </c>
      <c r="N156" s="79">
        <f>IFERROR(VLOOKUP($A:$A,CS!$A:$AK,19,FALSE),"")</f>
      </c>
      <c r="O156" s="79">
        <f>IFERROR(VLOOKUP($A:$A,CS!$A:$AK,23,FALSE),"")</f>
      </c>
      <c r="P156" s="79">
        <f>IFERROR(VLOOKUP($A:$A,CS!$A:$AK,24,FALSE),"")</f>
      </c>
      <c r="Q156" s="79">
        <f>IFERROR(VLOOKUP($A:$A,CS!$A:$AK,25,FALSE),"")</f>
      </c>
      <c r="R156" s="79">
        <f>IFERROR(VLOOKUP($A:$A,CS!$A:$AK,26,FALSE),"")</f>
      </c>
      <c r="S156" s="79">
        <f>IFERROR(VLOOKUP($A:$A,CS!$A:$AK,29,FALSE),"")</f>
      </c>
      <c r="T156" s="79">
        <f>IFERROR(VLOOKUP($A:$A,CS!$A:$AK,33,FALSE),"")</f>
      </c>
      <c r="U156" s="79">
        <f>IFERROR(VLOOKUP($A:$A,CS!$A:$AK,34,FALSE),"")</f>
      </c>
      <c r="V156" s="79">
        <f>IFERROR(VLOOKUP($A:$A,CS!$A:$AK,35,FALSE),"")</f>
      </c>
      <c r="W156" s="79">
        <f>IFERROR(VLOOKUP($A:$A,CS!$A:$AK,36,FALSE),"")</f>
      </c>
    </row>
    <row r="157" ht="16.5" customHeight="1" spans="1:23" x14ac:dyDescent="0.25">
      <c r="A157" s="93"/>
      <c r="B157" s="79">
        <f>IFERROR(VLOOKUP($A:$A,CS!$A:$AK,3,FALSE),"")</f>
      </c>
      <c r="C157" s="79">
        <f>IFERROR(VLOOKUP($A:$A,CS!$A:$AK,4,FALSE),"")</f>
      </c>
      <c r="D157" s="79">
        <f>IFERROR(VLOOKUP($A:$A,CS!$A:$AK,5,FALSE),"")</f>
      </c>
      <c r="E157" s="79">
        <f>IFERROR(VLOOKUP($A:$A,CS!$A:$AK,7,FALSE),"")</f>
      </c>
      <c r="F157" s="79">
        <f>IFERROR(VLOOKUP($A:$A,CS!$A:$AK,8,FALSE),"")</f>
      </c>
      <c r="G157" s="79">
        <f>IFERROR(VLOOKUP($A:$A,CS!$A:$AK,10,FALSE),"")</f>
      </c>
      <c r="H157" s="79">
        <f>IFERROR(VLOOKUP($A:$A,CS!$A:$AK,14,FALSE),"")</f>
      </c>
      <c r="I157" s="79">
        <f>IFERROR(VLOOKUP($A:$A,CS!$A:$AK,15,FALSE),"")</f>
      </c>
      <c r="J157" s="79">
        <f>IFERROR(VLOOKUP($A:$A,CS!$A:$AK,18,FALSE),"")</f>
      </c>
      <c r="K157" s="79">
        <f>IFERROR(VLOOKUP($A:$A,CS!$A:$AK,19,FALSE),"")</f>
      </c>
      <c r="L157" s="79">
        <f>IFERROR(VLOOKUP($A:$A,CS!$A:$AK,20,FALSE),"")</f>
      </c>
      <c r="M157" s="79">
        <f>IFERROR(VLOOKUP($A:$A,CS!$A:$AK,22,FALSE),"")</f>
      </c>
      <c r="N157" s="79">
        <f>IFERROR(VLOOKUP($A:$A,CS!$A:$AK,19,FALSE),"")</f>
      </c>
      <c r="O157" s="79">
        <f>IFERROR(VLOOKUP($A:$A,CS!$A:$AK,23,FALSE),"")</f>
      </c>
      <c r="P157" s="79">
        <f>IFERROR(VLOOKUP($A:$A,CS!$A:$AK,24,FALSE),"")</f>
      </c>
      <c r="Q157" s="79">
        <f>IFERROR(VLOOKUP($A:$A,CS!$A:$AK,25,FALSE),"")</f>
      </c>
      <c r="R157" s="79">
        <f>IFERROR(VLOOKUP($A:$A,CS!$A:$AK,26,FALSE),"")</f>
      </c>
      <c r="S157" s="79">
        <f>IFERROR(VLOOKUP($A:$A,CS!$A:$AK,29,FALSE),"")</f>
      </c>
      <c r="T157" s="79">
        <f>IFERROR(VLOOKUP($A:$A,CS!$A:$AK,33,FALSE),"")</f>
      </c>
      <c r="U157" s="79">
        <f>IFERROR(VLOOKUP($A:$A,CS!$A:$AK,34,FALSE),"")</f>
      </c>
      <c r="V157" s="79">
        <f>IFERROR(VLOOKUP($A:$A,CS!$A:$AK,35,FALSE),"")</f>
      </c>
      <c r="W157" s="79">
        <f>IFERROR(VLOOKUP($A:$A,CS!$A:$AK,36,FALSE),"")</f>
      </c>
    </row>
    <row r="158" ht="16.5" customHeight="1" spans="1:23" x14ac:dyDescent="0.25">
      <c r="A158" s="93"/>
      <c r="B158" s="79">
        <f>IFERROR(VLOOKUP($A:$A,CS!$A:$AK,3,FALSE),"")</f>
      </c>
      <c r="C158" s="79">
        <f>IFERROR(VLOOKUP($A:$A,CS!$A:$AK,4,FALSE),"")</f>
      </c>
      <c r="D158" s="79">
        <f>IFERROR(VLOOKUP($A:$A,CS!$A:$AK,5,FALSE),"")</f>
      </c>
      <c r="E158" s="79">
        <f>IFERROR(VLOOKUP($A:$A,CS!$A:$AK,7,FALSE),"")</f>
      </c>
      <c r="F158" s="79">
        <f>IFERROR(VLOOKUP($A:$A,CS!$A:$AK,8,FALSE),"")</f>
      </c>
      <c r="G158" s="79">
        <f>IFERROR(VLOOKUP($A:$A,CS!$A:$AK,10,FALSE),"")</f>
      </c>
      <c r="H158" s="79">
        <f>IFERROR(VLOOKUP($A:$A,CS!$A:$AK,14,FALSE),"")</f>
      </c>
      <c r="I158" s="79">
        <f>IFERROR(VLOOKUP($A:$A,CS!$A:$AK,15,FALSE),"")</f>
      </c>
      <c r="J158" s="79">
        <f>IFERROR(VLOOKUP($A:$A,CS!$A:$AK,18,FALSE),"")</f>
      </c>
      <c r="K158" s="79">
        <f>IFERROR(VLOOKUP($A:$A,CS!$A:$AK,19,FALSE),"")</f>
      </c>
      <c r="L158" s="79">
        <f>IFERROR(VLOOKUP($A:$A,CS!$A:$AK,20,FALSE),"")</f>
      </c>
      <c r="M158" s="79">
        <f>IFERROR(VLOOKUP($A:$A,CS!$A:$AK,22,FALSE),"")</f>
      </c>
      <c r="N158" s="79">
        <f>IFERROR(VLOOKUP($A:$A,CS!$A:$AK,19,FALSE),"")</f>
      </c>
      <c r="O158" s="79">
        <f>IFERROR(VLOOKUP($A:$A,CS!$A:$AK,23,FALSE),"")</f>
      </c>
      <c r="P158" s="79">
        <f>IFERROR(VLOOKUP($A:$A,CS!$A:$AK,24,FALSE),"")</f>
      </c>
      <c r="Q158" s="79">
        <f>IFERROR(VLOOKUP($A:$A,CS!$A:$AK,25,FALSE),"")</f>
      </c>
      <c r="R158" s="79">
        <f>IFERROR(VLOOKUP($A:$A,CS!$A:$AK,26,FALSE),"")</f>
      </c>
      <c r="S158" s="79">
        <f>IFERROR(VLOOKUP($A:$A,CS!$A:$AK,29,FALSE),"")</f>
      </c>
      <c r="T158" s="79">
        <f>IFERROR(VLOOKUP($A:$A,CS!$A:$AK,33,FALSE),"")</f>
      </c>
      <c r="U158" s="79">
        <f>IFERROR(VLOOKUP($A:$A,CS!$A:$AK,34,FALSE),"")</f>
      </c>
      <c r="V158" s="79">
        <f>IFERROR(VLOOKUP($A:$A,CS!$A:$AK,35,FALSE),"")</f>
      </c>
      <c r="W158" s="79">
        <f>IFERROR(VLOOKUP($A:$A,CS!$A:$AK,36,FALSE),"")</f>
      </c>
    </row>
    <row r="159" ht="16.5" customHeight="1" spans="1:23" x14ac:dyDescent="0.25">
      <c r="A159" s="93"/>
      <c r="B159" s="79">
        <f>IFERROR(VLOOKUP($A:$A,CS!$A:$AK,3,FALSE),"")</f>
      </c>
      <c r="C159" s="79">
        <f>IFERROR(VLOOKUP($A:$A,CS!$A:$AK,4,FALSE),"")</f>
      </c>
      <c r="D159" s="79">
        <f>IFERROR(VLOOKUP($A:$A,CS!$A:$AK,5,FALSE),"")</f>
      </c>
      <c r="E159" s="79">
        <f>IFERROR(VLOOKUP($A:$A,CS!$A:$AK,7,FALSE),"")</f>
      </c>
      <c r="F159" s="79">
        <f>IFERROR(VLOOKUP($A:$A,CS!$A:$AK,8,FALSE),"")</f>
      </c>
      <c r="G159" s="79">
        <f>IFERROR(VLOOKUP($A:$A,CS!$A:$AK,10,FALSE),"")</f>
      </c>
      <c r="H159" s="79">
        <f>IFERROR(VLOOKUP($A:$A,CS!$A:$AK,14,FALSE),"")</f>
      </c>
      <c r="I159" s="79">
        <f>IFERROR(VLOOKUP($A:$A,CS!$A:$AK,15,FALSE),"")</f>
      </c>
      <c r="J159" s="79">
        <f>IFERROR(VLOOKUP($A:$A,CS!$A:$AK,18,FALSE),"")</f>
      </c>
      <c r="K159" s="79">
        <f>IFERROR(VLOOKUP($A:$A,CS!$A:$AK,19,FALSE),"")</f>
      </c>
      <c r="L159" s="79">
        <f>IFERROR(VLOOKUP($A:$A,CS!$A:$AK,20,FALSE),"")</f>
      </c>
      <c r="M159" s="79">
        <f>IFERROR(VLOOKUP($A:$A,CS!$A:$AK,22,FALSE),"")</f>
      </c>
      <c r="N159" s="79">
        <f>IFERROR(VLOOKUP($A:$A,CS!$A:$AK,19,FALSE),"")</f>
      </c>
      <c r="O159" s="79">
        <f>IFERROR(VLOOKUP($A:$A,CS!$A:$AK,23,FALSE),"")</f>
      </c>
      <c r="P159" s="79">
        <f>IFERROR(VLOOKUP($A:$A,CS!$A:$AK,24,FALSE),"")</f>
      </c>
      <c r="Q159" s="79">
        <f>IFERROR(VLOOKUP($A:$A,CS!$A:$AK,25,FALSE),"")</f>
      </c>
      <c r="R159" s="79">
        <f>IFERROR(VLOOKUP($A:$A,CS!$A:$AK,26,FALSE),"")</f>
      </c>
      <c r="S159" s="79">
        <f>IFERROR(VLOOKUP($A:$A,CS!$A:$AK,29,FALSE),"")</f>
      </c>
      <c r="T159" s="79">
        <f>IFERROR(VLOOKUP($A:$A,CS!$A:$AK,33,FALSE),"")</f>
      </c>
      <c r="U159" s="79">
        <f>IFERROR(VLOOKUP($A:$A,CS!$A:$AK,34,FALSE),"")</f>
      </c>
      <c r="V159" s="79">
        <f>IFERROR(VLOOKUP($A:$A,CS!$A:$AK,35,FALSE),"")</f>
      </c>
      <c r="W159" s="79">
        <f>IFERROR(VLOOKUP($A:$A,CS!$A:$AK,36,FALSE),"")</f>
      </c>
    </row>
    <row r="160" ht="16.5" customHeight="1" spans="1:23" x14ac:dyDescent="0.25">
      <c r="A160" s="93"/>
      <c r="B160" s="79">
        <f>IFERROR(VLOOKUP($A:$A,CS!$A:$AK,3,FALSE),"")</f>
      </c>
      <c r="C160" s="79">
        <f>IFERROR(VLOOKUP($A:$A,CS!$A:$AK,4,FALSE),"")</f>
      </c>
      <c r="D160" s="79">
        <f>IFERROR(VLOOKUP($A:$A,CS!$A:$AK,5,FALSE),"")</f>
      </c>
      <c r="E160" s="79">
        <f>IFERROR(VLOOKUP($A:$A,CS!$A:$AK,7,FALSE),"")</f>
      </c>
      <c r="F160" s="79">
        <f>IFERROR(VLOOKUP($A:$A,CS!$A:$AK,8,FALSE),"")</f>
      </c>
      <c r="G160" s="79">
        <f>IFERROR(VLOOKUP($A:$A,CS!$A:$AK,10,FALSE),"")</f>
      </c>
      <c r="H160" s="79">
        <f>IFERROR(VLOOKUP($A:$A,CS!$A:$AK,14,FALSE),"")</f>
      </c>
      <c r="I160" s="79">
        <f>IFERROR(VLOOKUP($A:$A,CS!$A:$AK,15,FALSE),"")</f>
      </c>
      <c r="J160" s="79">
        <f>IFERROR(VLOOKUP($A:$A,CS!$A:$AK,18,FALSE),"")</f>
      </c>
      <c r="K160" s="79">
        <f>IFERROR(VLOOKUP($A:$A,CS!$A:$AK,19,FALSE),"")</f>
      </c>
      <c r="L160" s="79">
        <f>IFERROR(VLOOKUP($A:$A,CS!$A:$AK,20,FALSE),"")</f>
      </c>
      <c r="M160" s="79">
        <f>IFERROR(VLOOKUP($A:$A,CS!$A:$AK,22,FALSE),"")</f>
      </c>
      <c r="N160" s="79">
        <f>IFERROR(VLOOKUP($A:$A,CS!$A:$AK,19,FALSE),"")</f>
      </c>
      <c r="O160" s="79">
        <f>IFERROR(VLOOKUP($A:$A,CS!$A:$AK,23,FALSE),"")</f>
      </c>
      <c r="P160" s="79">
        <f>IFERROR(VLOOKUP($A:$A,CS!$A:$AK,24,FALSE),"")</f>
      </c>
      <c r="Q160" s="79">
        <f>IFERROR(VLOOKUP($A:$A,CS!$A:$AK,25,FALSE),"")</f>
      </c>
      <c r="R160" s="79">
        <f>IFERROR(VLOOKUP($A:$A,CS!$A:$AK,26,FALSE),"")</f>
      </c>
      <c r="S160" s="79">
        <f>IFERROR(VLOOKUP($A:$A,CS!$A:$AK,29,FALSE),"")</f>
      </c>
      <c r="T160" s="79">
        <f>IFERROR(VLOOKUP($A:$A,CS!$A:$AK,33,FALSE),"")</f>
      </c>
      <c r="U160" s="79">
        <f>IFERROR(VLOOKUP($A:$A,CS!$A:$AK,34,FALSE),"")</f>
      </c>
      <c r="V160" s="79">
        <f>IFERROR(VLOOKUP($A:$A,CS!$A:$AK,35,FALSE),"")</f>
      </c>
      <c r="W160" s="79">
        <f>IFERROR(VLOOKUP($A:$A,CS!$A:$AK,36,FALSE),"")</f>
      </c>
    </row>
    <row r="161" ht="16.5" customHeight="1" spans="1:23" x14ac:dyDescent="0.25">
      <c r="A161" s="93"/>
      <c r="B161" s="79">
        <f>IFERROR(VLOOKUP($A:$A,CS!$A:$AK,3,FALSE),"")</f>
      </c>
      <c r="C161" s="79">
        <f>IFERROR(VLOOKUP($A:$A,CS!$A:$AK,4,FALSE),"")</f>
      </c>
      <c r="D161" s="79">
        <f>IFERROR(VLOOKUP($A:$A,CS!$A:$AK,5,FALSE),"")</f>
      </c>
      <c r="E161" s="79">
        <f>IFERROR(VLOOKUP($A:$A,CS!$A:$AK,7,FALSE),"")</f>
      </c>
      <c r="F161" s="79">
        <f>IFERROR(VLOOKUP($A:$A,CS!$A:$AK,8,FALSE),"")</f>
      </c>
      <c r="G161" s="79">
        <f>IFERROR(VLOOKUP($A:$A,CS!$A:$AK,10,FALSE),"")</f>
      </c>
      <c r="H161" s="79">
        <f>IFERROR(VLOOKUP($A:$A,CS!$A:$AK,14,FALSE),"")</f>
      </c>
      <c r="I161" s="79">
        <f>IFERROR(VLOOKUP($A:$A,CS!$A:$AK,15,FALSE),"")</f>
      </c>
      <c r="J161" s="79">
        <f>IFERROR(VLOOKUP($A:$A,CS!$A:$AK,18,FALSE),"")</f>
      </c>
      <c r="K161" s="79">
        <f>IFERROR(VLOOKUP($A:$A,CS!$A:$AK,19,FALSE),"")</f>
      </c>
      <c r="L161" s="79">
        <f>IFERROR(VLOOKUP($A:$A,CS!$A:$AK,20,FALSE),"")</f>
      </c>
      <c r="M161" s="79">
        <f>IFERROR(VLOOKUP($A:$A,CS!$A:$AK,22,FALSE),"")</f>
      </c>
      <c r="N161" s="79">
        <f>IFERROR(VLOOKUP($A:$A,CS!$A:$AK,19,FALSE),"")</f>
      </c>
      <c r="O161" s="79">
        <f>IFERROR(VLOOKUP($A:$A,CS!$A:$AK,23,FALSE),"")</f>
      </c>
      <c r="P161" s="79">
        <f>IFERROR(VLOOKUP($A:$A,CS!$A:$AK,24,FALSE),"")</f>
      </c>
      <c r="Q161" s="79">
        <f>IFERROR(VLOOKUP($A:$A,CS!$A:$AK,25,FALSE),"")</f>
      </c>
      <c r="R161" s="79">
        <f>IFERROR(VLOOKUP($A:$A,CS!$A:$AK,26,FALSE),"")</f>
      </c>
      <c r="S161" s="79">
        <f>IFERROR(VLOOKUP($A:$A,CS!$A:$AK,29,FALSE),"")</f>
      </c>
      <c r="T161" s="79">
        <f>IFERROR(VLOOKUP($A:$A,CS!$A:$AK,33,FALSE),"")</f>
      </c>
      <c r="U161" s="79">
        <f>IFERROR(VLOOKUP($A:$A,CS!$A:$AK,34,FALSE),"")</f>
      </c>
      <c r="V161" s="79">
        <f>IFERROR(VLOOKUP($A:$A,CS!$A:$AK,35,FALSE),"")</f>
      </c>
      <c r="W161" s="79">
        <f>IFERROR(VLOOKUP($A:$A,CS!$A:$AK,36,FALSE),"")</f>
      </c>
    </row>
    <row r="162" ht="16.5" customHeight="1" spans="1:23" x14ac:dyDescent="0.25">
      <c r="A162" s="93"/>
      <c r="B162" s="79">
        <f>IFERROR(VLOOKUP($A:$A,CS!$A:$AK,3,FALSE),"")</f>
      </c>
      <c r="C162" s="79">
        <f>IFERROR(VLOOKUP($A:$A,CS!$A:$AK,4,FALSE),"")</f>
      </c>
      <c r="D162" s="79">
        <f>IFERROR(VLOOKUP($A:$A,CS!$A:$AK,5,FALSE),"")</f>
      </c>
      <c r="E162" s="79">
        <f>IFERROR(VLOOKUP($A:$A,CS!$A:$AK,7,FALSE),"")</f>
      </c>
      <c r="F162" s="79">
        <f>IFERROR(VLOOKUP($A:$A,CS!$A:$AK,8,FALSE),"")</f>
      </c>
      <c r="G162" s="79">
        <f>IFERROR(VLOOKUP($A:$A,CS!$A:$AK,10,FALSE),"")</f>
      </c>
      <c r="H162" s="79">
        <f>IFERROR(VLOOKUP($A:$A,CS!$A:$AK,14,FALSE),"")</f>
      </c>
      <c r="I162" s="79">
        <f>IFERROR(VLOOKUP($A:$A,CS!$A:$AK,15,FALSE),"")</f>
      </c>
      <c r="J162" s="79">
        <f>IFERROR(VLOOKUP($A:$A,CS!$A:$AK,18,FALSE),"")</f>
      </c>
      <c r="K162" s="79">
        <f>IFERROR(VLOOKUP($A:$A,CS!$A:$AK,19,FALSE),"")</f>
      </c>
      <c r="L162" s="79">
        <f>IFERROR(VLOOKUP($A:$A,CS!$A:$AK,20,FALSE),"")</f>
      </c>
      <c r="M162" s="79">
        <f>IFERROR(VLOOKUP($A:$A,CS!$A:$AK,22,FALSE),"")</f>
      </c>
      <c r="N162" s="79">
        <f>IFERROR(VLOOKUP($A:$A,CS!$A:$AK,19,FALSE),"")</f>
      </c>
      <c r="O162" s="79">
        <f>IFERROR(VLOOKUP($A:$A,CS!$A:$AK,23,FALSE),"")</f>
      </c>
      <c r="P162" s="79">
        <f>IFERROR(VLOOKUP($A:$A,CS!$A:$AK,24,FALSE),"")</f>
      </c>
      <c r="Q162" s="79">
        <f>IFERROR(VLOOKUP($A:$A,CS!$A:$AK,25,FALSE),"")</f>
      </c>
      <c r="R162" s="79">
        <f>IFERROR(VLOOKUP($A:$A,CS!$A:$AK,26,FALSE),"")</f>
      </c>
      <c r="S162" s="79">
        <f>IFERROR(VLOOKUP($A:$A,CS!$A:$AK,29,FALSE),"")</f>
      </c>
      <c r="T162" s="79">
        <f>IFERROR(VLOOKUP($A:$A,CS!$A:$AK,33,FALSE),"")</f>
      </c>
      <c r="U162" s="79">
        <f>IFERROR(VLOOKUP($A:$A,CS!$A:$AK,34,FALSE),"")</f>
      </c>
      <c r="V162" s="79">
        <f>IFERROR(VLOOKUP($A:$A,CS!$A:$AK,35,FALSE),"")</f>
      </c>
      <c r="W162" s="79">
        <f>IFERROR(VLOOKUP($A:$A,CS!$A:$AK,36,FALSE),"")</f>
      </c>
    </row>
    <row r="163" ht="16.5" customHeight="1" spans="1:23" x14ac:dyDescent="0.25">
      <c r="A163" s="93"/>
      <c r="B163" s="79">
        <f>IFERROR(VLOOKUP($A:$A,CS!$A:$AK,3,FALSE),"")</f>
      </c>
      <c r="C163" s="79">
        <f>IFERROR(VLOOKUP($A:$A,CS!$A:$AK,4,FALSE),"")</f>
      </c>
      <c r="D163" s="79">
        <f>IFERROR(VLOOKUP($A:$A,CS!$A:$AK,5,FALSE),"")</f>
      </c>
      <c r="E163" s="79">
        <f>IFERROR(VLOOKUP($A:$A,CS!$A:$AK,7,FALSE),"")</f>
      </c>
      <c r="F163" s="79">
        <f>IFERROR(VLOOKUP($A:$A,CS!$A:$AK,8,FALSE),"")</f>
      </c>
      <c r="G163" s="79">
        <f>IFERROR(VLOOKUP($A:$A,CS!$A:$AK,10,FALSE),"")</f>
      </c>
      <c r="H163" s="79">
        <f>IFERROR(VLOOKUP($A:$A,CS!$A:$AK,14,FALSE),"")</f>
      </c>
      <c r="I163" s="79">
        <f>IFERROR(VLOOKUP($A:$A,CS!$A:$AK,15,FALSE),"")</f>
      </c>
      <c r="J163" s="79">
        <f>IFERROR(VLOOKUP($A:$A,CS!$A:$AK,18,FALSE),"")</f>
      </c>
      <c r="K163" s="79">
        <f>IFERROR(VLOOKUP($A:$A,CS!$A:$AK,19,FALSE),"")</f>
      </c>
      <c r="L163" s="79">
        <f>IFERROR(VLOOKUP($A:$A,CS!$A:$AK,20,FALSE),"")</f>
      </c>
      <c r="M163" s="79">
        <f>IFERROR(VLOOKUP($A:$A,CS!$A:$AK,22,FALSE),"")</f>
      </c>
      <c r="N163" s="79">
        <f>IFERROR(VLOOKUP($A:$A,CS!$A:$AK,19,FALSE),"")</f>
      </c>
      <c r="O163" s="79">
        <f>IFERROR(VLOOKUP($A:$A,CS!$A:$AK,23,FALSE),"")</f>
      </c>
      <c r="P163" s="79">
        <f>IFERROR(VLOOKUP($A:$A,CS!$A:$AK,24,FALSE),"")</f>
      </c>
      <c r="Q163" s="79">
        <f>IFERROR(VLOOKUP($A:$A,CS!$A:$AK,25,FALSE),"")</f>
      </c>
      <c r="R163" s="79">
        <f>IFERROR(VLOOKUP($A:$A,CS!$A:$AK,26,FALSE),"")</f>
      </c>
      <c r="S163" s="79">
        <f>IFERROR(VLOOKUP($A:$A,CS!$A:$AK,29,FALSE),"")</f>
      </c>
      <c r="T163" s="79">
        <f>IFERROR(VLOOKUP($A:$A,CS!$A:$AK,33,FALSE),"")</f>
      </c>
      <c r="U163" s="79">
        <f>IFERROR(VLOOKUP($A:$A,CS!$A:$AK,34,FALSE),"")</f>
      </c>
      <c r="V163" s="79">
        <f>IFERROR(VLOOKUP($A:$A,CS!$A:$AK,35,FALSE),"")</f>
      </c>
      <c r="W163" s="79">
        <f>IFERROR(VLOOKUP($A:$A,CS!$A:$AK,36,FALSE),"")</f>
      </c>
    </row>
    <row r="164" ht="16.5" customHeight="1" spans="1:23" x14ac:dyDescent="0.25">
      <c r="A164" s="93"/>
      <c r="B164" s="79">
        <f>IFERROR(VLOOKUP($A:$A,CS!$A:$AK,3,FALSE),"")</f>
      </c>
      <c r="C164" s="79">
        <f>IFERROR(VLOOKUP($A:$A,CS!$A:$AK,4,FALSE),"")</f>
      </c>
      <c r="D164" s="79">
        <f>IFERROR(VLOOKUP($A:$A,CS!$A:$AK,5,FALSE),"")</f>
      </c>
      <c r="E164" s="79">
        <f>IFERROR(VLOOKUP($A:$A,CS!$A:$AK,7,FALSE),"")</f>
      </c>
      <c r="F164" s="79">
        <f>IFERROR(VLOOKUP($A:$A,CS!$A:$AK,8,FALSE),"")</f>
      </c>
      <c r="G164" s="79">
        <f>IFERROR(VLOOKUP($A:$A,CS!$A:$AK,10,FALSE),"")</f>
      </c>
      <c r="H164" s="79">
        <f>IFERROR(VLOOKUP($A:$A,CS!$A:$AK,14,FALSE),"")</f>
      </c>
      <c r="I164" s="79">
        <f>IFERROR(VLOOKUP($A:$A,CS!$A:$AK,15,FALSE),"")</f>
      </c>
      <c r="J164" s="79">
        <f>IFERROR(VLOOKUP($A:$A,CS!$A:$AK,18,FALSE),"")</f>
      </c>
      <c r="K164" s="79">
        <f>IFERROR(VLOOKUP($A:$A,CS!$A:$AK,19,FALSE),"")</f>
      </c>
      <c r="L164" s="79">
        <f>IFERROR(VLOOKUP($A:$A,CS!$A:$AK,20,FALSE),"")</f>
      </c>
      <c r="M164" s="79">
        <f>IFERROR(VLOOKUP($A:$A,CS!$A:$AK,22,FALSE),"")</f>
      </c>
      <c r="N164" s="79">
        <f>IFERROR(VLOOKUP($A:$A,CS!$A:$AK,19,FALSE),"")</f>
      </c>
      <c r="O164" s="79">
        <f>IFERROR(VLOOKUP($A:$A,CS!$A:$AK,23,FALSE),"")</f>
      </c>
      <c r="P164" s="79">
        <f>IFERROR(VLOOKUP($A:$A,CS!$A:$AK,24,FALSE),"")</f>
      </c>
      <c r="Q164" s="79">
        <f>IFERROR(VLOOKUP($A:$A,CS!$A:$AK,25,FALSE),"")</f>
      </c>
      <c r="R164" s="79">
        <f>IFERROR(VLOOKUP($A:$A,CS!$A:$AK,26,FALSE),"")</f>
      </c>
      <c r="S164" s="79">
        <f>IFERROR(VLOOKUP($A:$A,CS!$A:$AK,29,FALSE),"")</f>
      </c>
      <c r="T164" s="79">
        <f>IFERROR(VLOOKUP($A:$A,CS!$A:$AK,33,FALSE),"")</f>
      </c>
      <c r="U164" s="79">
        <f>IFERROR(VLOOKUP($A:$A,CS!$A:$AK,34,FALSE),"")</f>
      </c>
      <c r="V164" s="79">
        <f>IFERROR(VLOOKUP($A:$A,CS!$A:$AK,35,FALSE),"")</f>
      </c>
      <c r="W164" s="79">
        <f>IFERROR(VLOOKUP($A:$A,CS!$A:$AK,36,FALSE),"")</f>
      </c>
    </row>
    <row r="165" ht="16.5" customHeight="1" spans="1:23" x14ac:dyDescent="0.25">
      <c r="A165" s="93"/>
      <c r="B165" s="79">
        <f>IFERROR(VLOOKUP($A:$A,CS!$A:$AK,3,FALSE),"")</f>
      </c>
      <c r="C165" s="79">
        <f>IFERROR(VLOOKUP($A:$A,CS!$A:$AK,4,FALSE),"")</f>
      </c>
      <c r="D165" s="79">
        <f>IFERROR(VLOOKUP($A:$A,CS!$A:$AK,5,FALSE),"")</f>
      </c>
      <c r="E165" s="79">
        <f>IFERROR(VLOOKUP($A:$A,CS!$A:$AK,7,FALSE),"")</f>
      </c>
      <c r="F165" s="79">
        <f>IFERROR(VLOOKUP($A:$A,CS!$A:$AK,8,FALSE),"")</f>
      </c>
      <c r="G165" s="79">
        <f>IFERROR(VLOOKUP($A:$A,CS!$A:$AK,10,FALSE),"")</f>
      </c>
      <c r="H165" s="79">
        <f>IFERROR(VLOOKUP($A:$A,CS!$A:$AK,14,FALSE),"")</f>
      </c>
      <c r="I165" s="79">
        <f>IFERROR(VLOOKUP($A:$A,CS!$A:$AK,15,FALSE),"")</f>
      </c>
      <c r="J165" s="79">
        <f>IFERROR(VLOOKUP($A:$A,CS!$A:$AK,18,FALSE),"")</f>
      </c>
      <c r="K165" s="79">
        <f>IFERROR(VLOOKUP($A:$A,CS!$A:$AK,19,FALSE),"")</f>
      </c>
      <c r="L165" s="79">
        <f>IFERROR(VLOOKUP($A:$A,CS!$A:$AK,20,FALSE),"")</f>
      </c>
      <c r="M165" s="79">
        <f>IFERROR(VLOOKUP($A:$A,CS!$A:$AK,22,FALSE),"")</f>
      </c>
      <c r="N165" s="79">
        <f>IFERROR(VLOOKUP($A:$A,CS!$A:$AK,19,FALSE),"")</f>
      </c>
      <c r="O165" s="79">
        <f>IFERROR(VLOOKUP($A:$A,CS!$A:$AK,23,FALSE),"")</f>
      </c>
      <c r="P165" s="79">
        <f>IFERROR(VLOOKUP($A:$A,CS!$A:$AK,24,FALSE),"")</f>
      </c>
      <c r="Q165" s="79">
        <f>IFERROR(VLOOKUP($A:$A,CS!$A:$AK,25,FALSE),"")</f>
      </c>
      <c r="R165" s="79">
        <f>IFERROR(VLOOKUP($A:$A,CS!$A:$AK,26,FALSE),"")</f>
      </c>
      <c r="S165" s="79">
        <f>IFERROR(VLOOKUP($A:$A,CS!$A:$AK,29,FALSE),"")</f>
      </c>
      <c r="T165" s="79">
        <f>IFERROR(VLOOKUP($A:$A,CS!$A:$AK,33,FALSE),"")</f>
      </c>
      <c r="U165" s="79">
        <f>IFERROR(VLOOKUP($A:$A,CS!$A:$AK,34,FALSE),"")</f>
      </c>
      <c r="V165" s="79">
        <f>IFERROR(VLOOKUP($A:$A,CS!$A:$AK,35,FALSE),"")</f>
      </c>
      <c r="W165" s="79">
        <f>IFERROR(VLOOKUP($A:$A,CS!$A:$AK,36,FALSE),"")</f>
      </c>
    </row>
    <row r="166" ht="16.5" customHeight="1" spans="1:23" x14ac:dyDescent="0.25">
      <c r="A166" s="93"/>
      <c r="B166" s="79">
        <f>IFERROR(VLOOKUP($A:$A,CS!$A:$AK,3,FALSE),"")</f>
      </c>
      <c r="C166" s="79">
        <f>IFERROR(VLOOKUP($A:$A,CS!$A:$AK,4,FALSE),"")</f>
      </c>
      <c r="D166" s="79">
        <f>IFERROR(VLOOKUP($A:$A,CS!$A:$AK,5,FALSE),"")</f>
      </c>
      <c r="E166" s="79">
        <f>IFERROR(VLOOKUP($A:$A,CS!$A:$AK,7,FALSE),"")</f>
      </c>
      <c r="F166" s="79">
        <f>IFERROR(VLOOKUP($A:$A,CS!$A:$AK,8,FALSE),"")</f>
      </c>
      <c r="G166" s="79">
        <f>IFERROR(VLOOKUP($A:$A,CS!$A:$AK,10,FALSE),"")</f>
      </c>
      <c r="H166" s="79">
        <f>IFERROR(VLOOKUP($A:$A,CS!$A:$AK,14,FALSE),"")</f>
      </c>
      <c r="I166" s="79">
        <f>IFERROR(VLOOKUP($A:$A,CS!$A:$AK,15,FALSE),"")</f>
      </c>
      <c r="J166" s="79">
        <f>IFERROR(VLOOKUP($A:$A,CS!$A:$AK,18,FALSE),"")</f>
      </c>
      <c r="K166" s="79">
        <f>IFERROR(VLOOKUP($A:$A,CS!$A:$AK,19,FALSE),"")</f>
      </c>
      <c r="L166" s="79">
        <f>IFERROR(VLOOKUP($A:$A,CS!$A:$AK,20,FALSE),"")</f>
      </c>
      <c r="M166" s="79">
        <f>IFERROR(VLOOKUP($A:$A,CS!$A:$AK,22,FALSE),"")</f>
      </c>
      <c r="N166" s="79">
        <f>IFERROR(VLOOKUP($A:$A,CS!$A:$AK,19,FALSE),"")</f>
      </c>
      <c r="O166" s="79">
        <f>IFERROR(VLOOKUP($A:$A,CS!$A:$AK,23,FALSE),"")</f>
      </c>
      <c r="P166" s="79">
        <f>IFERROR(VLOOKUP($A:$A,CS!$A:$AK,24,FALSE),"")</f>
      </c>
      <c r="Q166" s="79">
        <f>IFERROR(VLOOKUP($A:$A,CS!$A:$AK,25,FALSE),"")</f>
      </c>
      <c r="R166" s="79">
        <f>IFERROR(VLOOKUP($A:$A,CS!$A:$AK,26,FALSE),"")</f>
      </c>
      <c r="S166" s="79">
        <f>IFERROR(VLOOKUP($A:$A,CS!$A:$AK,29,FALSE),"")</f>
      </c>
      <c r="T166" s="79">
        <f>IFERROR(VLOOKUP($A:$A,CS!$A:$AK,33,FALSE),"")</f>
      </c>
      <c r="U166" s="79">
        <f>IFERROR(VLOOKUP($A:$A,CS!$A:$AK,34,FALSE),"")</f>
      </c>
      <c r="V166" s="79">
        <f>IFERROR(VLOOKUP($A:$A,CS!$A:$AK,35,FALSE),"")</f>
      </c>
      <c r="W166" s="79">
        <f>IFERROR(VLOOKUP($A:$A,CS!$A:$AK,36,FALSE),"")</f>
      </c>
    </row>
    <row r="167" ht="16.5" customHeight="1" spans="1:23" x14ac:dyDescent="0.25">
      <c r="A167" s="93"/>
      <c r="B167" s="79">
        <f>IFERROR(VLOOKUP($A:$A,CS!$A:$AK,3,FALSE),"")</f>
      </c>
      <c r="C167" s="79">
        <f>IFERROR(VLOOKUP($A:$A,CS!$A:$AK,4,FALSE),"")</f>
      </c>
      <c r="D167" s="79">
        <f>IFERROR(VLOOKUP($A:$A,CS!$A:$AK,5,FALSE),"")</f>
      </c>
      <c r="E167" s="79">
        <f>IFERROR(VLOOKUP($A:$A,CS!$A:$AK,7,FALSE),"")</f>
      </c>
      <c r="F167" s="79">
        <f>IFERROR(VLOOKUP($A:$A,CS!$A:$AK,8,FALSE),"")</f>
      </c>
      <c r="G167" s="79">
        <f>IFERROR(VLOOKUP($A:$A,CS!$A:$AK,10,FALSE),"")</f>
      </c>
      <c r="H167" s="79">
        <f>IFERROR(VLOOKUP($A:$A,CS!$A:$AK,14,FALSE),"")</f>
      </c>
      <c r="I167" s="79">
        <f>IFERROR(VLOOKUP($A:$A,CS!$A:$AK,15,FALSE),"")</f>
      </c>
      <c r="J167" s="79">
        <f>IFERROR(VLOOKUP($A:$A,CS!$A:$AK,18,FALSE),"")</f>
      </c>
      <c r="K167" s="79">
        <f>IFERROR(VLOOKUP($A:$A,CS!$A:$AK,19,FALSE),"")</f>
      </c>
      <c r="L167" s="79">
        <f>IFERROR(VLOOKUP($A:$A,CS!$A:$AK,20,FALSE),"")</f>
      </c>
      <c r="M167" s="79">
        <f>IFERROR(VLOOKUP($A:$A,CS!$A:$AK,22,FALSE),"")</f>
      </c>
      <c r="N167" s="79">
        <f>IFERROR(VLOOKUP($A:$A,CS!$A:$AK,19,FALSE),"")</f>
      </c>
      <c r="O167" s="79">
        <f>IFERROR(VLOOKUP($A:$A,CS!$A:$AK,23,FALSE),"")</f>
      </c>
      <c r="P167" s="79">
        <f>IFERROR(VLOOKUP($A:$A,CS!$A:$AK,24,FALSE),"")</f>
      </c>
      <c r="Q167" s="79">
        <f>IFERROR(VLOOKUP($A:$A,CS!$A:$AK,25,FALSE),"")</f>
      </c>
      <c r="R167" s="79">
        <f>IFERROR(VLOOKUP($A:$A,CS!$A:$AK,26,FALSE),"")</f>
      </c>
      <c r="S167" s="79">
        <f>IFERROR(VLOOKUP($A:$A,CS!$A:$AK,29,FALSE),"")</f>
      </c>
      <c r="T167" s="79">
        <f>IFERROR(VLOOKUP($A:$A,CS!$A:$AK,33,FALSE),"")</f>
      </c>
      <c r="U167" s="79">
        <f>IFERROR(VLOOKUP($A:$A,CS!$A:$AK,34,FALSE),"")</f>
      </c>
      <c r="V167" s="79">
        <f>IFERROR(VLOOKUP($A:$A,CS!$A:$AK,35,FALSE),"")</f>
      </c>
      <c r="W167" s="79">
        <f>IFERROR(VLOOKUP($A:$A,CS!$A:$AK,36,FALSE),"")</f>
      </c>
    </row>
    <row r="168" ht="16.5" customHeight="1" spans="1:23" x14ac:dyDescent="0.25">
      <c r="A168" s="93"/>
      <c r="B168" s="79">
        <f>IFERROR(VLOOKUP($A:$A,CS!$A:$AK,3,FALSE),"")</f>
      </c>
      <c r="C168" s="79">
        <f>IFERROR(VLOOKUP($A:$A,CS!$A:$AK,4,FALSE),"")</f>
      </c>
      <c r="D168" s="79">
        <f>IFERROR(VLOOKUP($A:$A,CS!$A:$AK,5,FALSE),"")</f>
      </c>
      <c r="E168" s="79">
        <f>IFERROR(VLOOKUP($A:$A,CS!$A:$AK,7,FALSE),"")</f>
      </c>
      <c r="F168" s="79">
        <f>IFERROR(VLOOKUP($A:$A,CS!$A:$AK,8,FALSE),"")</f>
      </c>
      <c r="G168" s="79">
        <f>IFERROR(VLOOKUP($A:$A,CS!$A:$AK,10,FALSE),"")</f>
      </c>
      <c r="H168" s="79">
        <f>IFERROR(VLOOKUP($A:$A,CS!$A:$AK,14,FALSE),"")</f>
      </c>
      <c r="I168" s="79">
        <f>IFERROR(VLOOKUP($A:$A,CS!$A:$AK,15,FALSE),"")</f>
      </c>
      <c r="J168" s="79">
        <f>IFERROR(VLOOKUP($A:$A,CS!$A:$AK,18,FALSE),"")</f>
      </c>
      <c r="K168" s="79">
        <f>IFERROR(VLOOKUP($A:$A,CS!$A:$AK,19,FALSE),"")</f>
      </c>
      <c r="L168" s="79">
        <f>IFERROR(VLOOKUP($A:$A,CS!$A:$AK,20,FALSE),"")</f>
      </c>
      <c r="M168" s="79">
        <f>IFERROR(VLOOKUP($A:$A,CS!$A:$AK,22,FALSE),"")</f>
      </c>
      <c r="N168" s="79">
        <f>IFERROR(VLOOKUP($A:$A,CS!$A:$AK,19,FALSE),"")</f>
      </c>
      <c r="O168" s="79">
        <f>IFERROR(VLOOKUP($A:$A,CS!$A:$AK,23,FALSE),"")</f>
      </c>
      <c r="P168" s="79">
        <f>IFERROR(VLOOKUP($A:$A,CS!$A:$AK,24,FALSE),"")</f>
      </c>
      <c r="Q168" s="79">
        <f>IFERROR(VLOOKUP($A:$A,CS!$A:$AK,25,FALSE),"")</f>
      </c>
      <c r="R168" s="79">
        <f>IFERROR(VLOOKUP($A:$A,CS!$A:$AK,26,FALSE),"")</f>
      </c>
      <c r="S168" s="79">
        <f>IFERROR(VLOOKUP($A:$A,CS!$A:$AK,29,FALSE),"")</f>
      </c>
      <c r="T168" s="79">
        <f>IFERROR(VLOOKUP($A:$A,CS!$A:$AK,33,FALSE),"")</f>
      </c>
      <c r="U168" s="79">
        <f>IFERROR(VLOOKUP($A:$A,CS!$A:$AK,34,FALSE),"")</f>
      </c>
      <c r="V168" s="79">
        <f>IFERROR(VLOOKUP($A:$A,CS!$A:$AK,35,FALSE),"")</f>
      </c>
      <c r="W168" s="79">
        <f>IFERROR(VLOOKUP($A:$A,CS!$A:$AK,36,FALSE),"")</f>
      </c>
    </row>
    <row r="169" ht="16.5" customHeight="1" spans="1:23" x14ac:dyDescent="0.25">
      <c r="A169" s="93"/>
      <c r="B169" s="79">
        <f>IFERROR(VLOOKUP($A:$A,CS!$A:$AK,3,FALSE),"")</f>
      </c>
      <c r="C169" s="79">
        <f>IFERROR(VLOOKUP($A:$A,CS!$A:$AK,4,FALSE),"")</f>
      </c>
      <c r="D169" s="79">
        <f>IFERROR(VLOOKUP($A:$A,CS!$A:$AK,5,FALSE),"")</f>
      </c>
      <c r="E169" s="79">
        <f>IFERROR(VLOOKUP($A:$A,CS!$A:$AK,7,FALSE),"")</f>
      </c>
      <c r="F169" s="79">
        <f>IFERROR(VLOOKUP($A:$A,CS!$A:$AK,8,FALSE),"")</f>
      </c>
      <c r="G169" s="79">
        <f>IFERROR(VLOOKUP($A:$A,CS!$A:$AK,10,FALSE),"")</f>
      </c>
      <c r="H169" s="79">
        <f>IFERROR(VLOOKUP($A:$A,CS!$A:$AK,14,FALSE),"")</f>
      </c>
      <c r="I169" s="79">
        <f>IFERROR(VLOOKUP($A:$A,CS!$A:$AK,15,FALSE),"")</f>
      </c>
      <c r="J169" s="79">
        <f>IFERROR(VLOOKUP($A:$A,CS!$A:$AK,18,FALSE),"")</f>
      </c>
      <c r="K169" s="79">
        <f>IFERROR(VLOOKUP($A:$A,CS!$A:$AK,19,FALSE),"")</f>
      </c>
      <c r="L169" s="79">
        <f>IFERROR(VLOOKUP($A:$A,CS!$A:$AK,20,FALSE),"")</f>
      </c>
      <c r="M169" s="79">
        <f>IFERROR(VLOOKUP($A:$A,CS!$A:$AK,22,FALSE),"")</f>
      </c>
      <c r="N169" s="79">
        <f>IFERROR(VLOOKUP($A:$A,CS!$A:$AK,19,FALSE),"")</f>
      </c>
      <c r="O169" s="79">
        <f>IFERROR(VLOOKUP($A:$A,CS!$A:$AK,23,FALSE),"")</f>
      </c>
      <c r="P169" s="79">
        <f>IFERROR(VLOOKUP($A:$A,CS!$A:$AK,24,FALSE),"")</f>
      </c>
      <c r="Q169" s="79">
        <f>IFERROR(VLOOKUP($A:$A,CS!$A:$AK,25,FALSE),"")</f>
      </c>
      <c r="R169" s="79">
        <f>IFERROR(VLOOKUP($A:$A,CS!$A:$AK,26,FALSE),"")</f>
      </c>
      <c r="S169" s="79">
        <f>IFERROR(VLOOKUP($A:$A,CS!$A:$AK,29,FALSE),"")</f>
      </c>
      <c r="T169" s="79">
        <f>IFERROR(VLOOKUP($A:$A,CS!$A:$AK,33,FALSE),"")</f>
      </c>
      <c r="U169" s="79">
        <f>IFERROR(VLOOKUP($A:$A,CS!$A:$AK,34,FALSE),"")</f>
      </c>
      <c r="V169" s="79">
        <f>IFERROR(VLOOKUP($A:$A,CS!$A:$AK,35,FALSE),"")</f>
      </c>
      <c r="W169" s="79">
        <f>IFERROR(VLOOKUP($A:$A,CS!$A:$AK,36,FALSE),"")</f>
      </c>
    </row>
    <row r="170" ht="16.5" customHeight="1" spans="1:23" x14ac:dyDescent="0.25">
      <c r="A170" s="93"/>
      <c r="B170" s="79">
        <f>IFERROR(VLOOKUP($A:$A,CS!$A:$AK,3,FALSE),"")</f>
      </c>
      <c r="C170" s="79">
        <f>IFERROR(VLOOKUP($A:$A,CS!$A:$AK,4,FALSE),"")</f>
      </c>
      <c r="D170" s="79">
        <f>IFERROR(VLOOKUP($A:$A,CS!$A:$AK,5,FALSE),"")</f>
      </c>
      <c r="E170" s="79">
        <f>IFERROR(VLOOKUP($A:$A,CS!$A:$AK,7,FALSE),"")</f>
      </c>
      <c r="F170" s="79">
        <f>IFERROR(VLOOKUP($A:$A,CS!$A:$AK,8,FALSE),"")</f>
      </c>
      <c r="G170" s="79">
        <f>IFERROR(VLOOKUP($A:$A,CS!$A:$AK,10,FALSE),"")</f>
      </c>
      <c r="H170" s="79">
        <f>IFERROR(VLOOKUP($A:$A,CS!$A:$AK,14,FALSE),"")</f>
      </c>
      <c r="I170" s="79">
        <f>IFERROR(VLOOKUP($A:$A,CS!$A:$AK,15,FALSE),"")</f>
      </c>
      <c r="J170" s="79">
        <f>IFERROR(VLOOKUP($A:$A,CS!$A:$AK,18,FALSE),"")</f>
      </c>
      <c r="K170" s="79">
        <f>IFERROR(VLOOKUP($A:$A,CS!$A:$AK,19,FALSE),"")</f>
      </c>
      <c r="L170" s="79">
        <f>IFERROR(VLOOKUP($A:$A,CS!$A:$AK,20,FALSE),"")</f>
      </c>
      <c r="M170" s="79">
        <f>IFERROR(VLOOKUP($A:$A,CS!$A:$AK,22,FALSE),"")</f>
      </c>
      <c r="N170" s="79">
        <f>IFERROR(VLOOKUP($A:$A,CS!$A:$AK,19,FALSE),"")</f>
      </c>
      <c r="O170" s="79">
        <f>IFERROR(VLOOKUP($A:$A,CS!$A:$AK,23,FALSE),"")</f>
      </c>
      <c r="P170" s="79">
        <f>IFERROR(VLOOKUP($A:$A,CS!$A:$AK,24,FALSE),"")</f>
      </c>
      <c r="Q170" s="79">
        <f>IFERROR(VLOOKUP($A:$A,CS!$A:$AK,25,FALSE),"")</f>
      </c>
      <c r="R170" s="79">
        <f>IFERROR(VLOOKUP($A:$A,CS!$A:$AK,26,FALSE),"")</f>
      </c>
      <c r="S170" s="79">
        <f>IFERROR(VLOOKUP($A:$A,CS!$A:$AK,29,FALSE),"")</f>
      </c>
      <c r="T170" s="79">
        <f>IFERROR(VLOOKUP($A:$A,CS!$A:$AK,33,FALSE),"")</f>
      </c>
      <c r="U170" s="79">
        <f>IFERROR(VLOOKUP($A:$A,CS!$A:$AK,34,FALSE),"")</f>
      </c>
      <c r="V170" s="79">
        <f>IFERROR(VLOOKUP($A:$A,CS!$A:$AK,35,FALSE),"")</f>
      </c>
      <c r="W170" s="79">
        <f>IFERROR(VLOOKUP($A:$A,CS!$A:$AK,36,FALSE),"")</f>
      </c>
    </row>
    <row r="171" ht="16.5" customHeight="1" spans="1:23" x14ac:dyDescent="0.25">
      <c r="A171" s="93"/>
      <c r="B171" s="79">
        <f>IFERROR(VLOOKUP($A:$A,CS!$A:$AK,3,FALSE),"")</f>
      </c>
      <c r="C171" s="79">
        <f>IFERROR(VLOOKUP($A:$A,CS!$A:$AK,4,FALSE),"")</f>
      </c>
      <c r="D171" s="79">
        <f>IFERROR(VLOOKUP($A:$A,CS!$A:$AK,5,FALSE),"")</f>
      </c>
      <c r="E171" s="79">
        <f>IFERROR(VLOOKUP($A:$A,CS!$A:$AK,7,FALSE),"")</f>
      </c>
      <c r="F171" s="79">
        <f>IFERROR(VLOOKUP($A:$A,CS!$A:$AK,8,FALSE),"")</f>
      </c>
      <c r="G171" s="79">
        <f>IFERROR(VLOOKUP($A:$A,CS!$A:$AK,10,FALSE),"")</f>
      </c>
      <c r="H171" s="79">
        <f>IFERROR(VLOOKUP($A:$A,CS!$A:$AK,14,FALSE),"")</f>
      </c>
      <c r="I171" s="79">
        <f>IFERROR(VLOOKUP($A:$A,CS!$A:$AK,15,FALSE),"")</f>
      </c>
      <c r="J171" s="79">
        <f>IFERROR(VLOOKUP($A:$A,CS!$A:$AK,18,FALSE),"")</f>
      </c>
      <c r="K171" s="79">
        <f>IFERROR(VLOOKUP($A:$A,CS!$A:$AK,19,FALSE),"")</f>
      </c>
      <c r="L171" s="79">
        <f>IFERROR(VLOOKUP($A:$A,CS!$A:$AK,20,FALSE),"")</f>
      </c>
      <c r="M171" s="79">
        <f>IFERROR(VLOOKUP($A:$A,CS!$A:$AK,22,FALSE),"")</f>
      </c>
      <c r="N171" s="79">
        <f>IFERROR(VLOOKUP($A:$A,CS!$A:$AK,19,FALSE),"")</f>
      </c>
      <c r="O171" s="79">
        <f>IFERROR(VLOOKUP($A:$A,CS!$A:$AK,23,FALSE),"")</f>
      </c>
      <c r="P171" s="79">
        <f>IFERROR(VLOOKUP($A:$A,CS!$A:$AK,24,FALSE),"")</f>
      </c>
      <c r="Q171" s="79">
        <f>IFERROR(VLOOKUP($A:$A,CS!$A:$AK,25,FALSE),"")</f>
      </c>
      <c r="R171" s="79">
        <f>IFERROR(VLOOKUP($A:$A,CS!$A:$AK,26,FALSE),"")</f>
      </c>
      <c r="S171" s="79">
        <f>IFERROR(VLOOKUP($A:$A,CS!$A:$AK,29,FALSE),"")</f>
      </c>
      <c r="T171" s="79">
        <f>IFERROR(VLOOKUP($A:$A,CS!$A:$AK,33,FALSE),"")</f>
      </c>
      <c r="U171" s="79">
        <f>IFERROR(VLOOKUP($A:$A,CS!$A:$AK,34,FALSE),"")</f>
      </c>
      <c r="V171" s="79">
        <f>IFERROR(VLOOKUP($A:$A,CS!$A:$AK,35,FALSE),"")</f>
      </c>
      <c r="W171" s="79">
        <f>IFERROR(VLOOKUP($A:$A,CS!$A:$AK,36,FALSE),"")</f>
      </c>
    </row>
    <row r="172" ht="16.5" customHeight="1" spans="1:23" x14ac:dyDescent="0.25">
      <c r="A172" s="93"/>
      <c r="B172" s="79">
        <f>IFERROR(VLOOKUP($A:$A,CS!$A:$AK,3,FALSE),"")</f>
      </c>
      <c r="C172" s="79">
        <f>IFERROR(VLOOKUP($A:$A,CS!$A:$AK,4,FALSE),"")</f>
      </c>
      <c r="D172" s="79">
        <f>IFERROR(VLOOKUP($A:$A,CS!$A:$AK,5,FALSE),"")</f>
      </c>
      <c r="E172" s="79">
        <f>IFERROR(VLOOKUP($A:$A,CS!$A:$AK,7,FALSE),"")</f>
      </c>
      <c r="F172" s="79">
        <f>IFERROR(VLOOKUP($A:$A,CS!$A:$AK,8,FALSE),"")</f>
      </c>
      <c r="G172" s="79">
        <f>IFERROR(VLOOKUP($A:$A,CS!$A:$AK,10,FALSE),"")</f>
      </c>
      <c r="H172" s="79">
        <f>IFERROR(VLOOKUP($A:$A,CS!$A:$AK,14,FALSE),"")</f>
      </c>
      <c r="I172" s="79">
        <f>IFERROR(VLOOKUP($A:$A,CS!$A:$AK,15,FALSE),"")</f>
      </c>
      <c r="J172" s="79">
        <f>IFERROR(VLOOKUP($A:$A,CS!$A:$AK,18,FALSE),"")</f>
      </c>
      <c r="K172" s="79">
        <f>IFERROR(VLOOKUP($A:$A,CS!$A:$AK,19,FALSE),"")</f>
      </c>
      <c r="L172" s="79">
        <f>IFERROR(VLOOKUP($A:$A,CS!$A:$AK,20,FALSE),"")</f>
      </c>
      <c r="M172" s="79">
        <f>IFERROR(VLOOKUP($A:$A,CS!$A:$AK,22,FALSE),"")</f>
      </c>
      <c r="N172" s="79">
        <f>IFERROR(VLOOKUP($A:$A,CS!$A:$AK,19,FALSE),"")</f>
      </c>
      <c r="O172" s="79">
        <f>IFERROR(VLOOKUP($A:$A,CS!$A:$AK,23,FALSE),"")</f>
      </c>
      <c r="P172" s="79">
        <f>IFERROR(VLOOKUP($A:$A,CS!$A:$AK,24,FALSE),"")</f>
      </c>
      <c r="Q172" s="79">
        <f>IFERROR(VLOOKUP($A:$A,CS!$A:$AK,25,FALSE),"")</f>
      </c>
      <c r="R172" s="79">
        <f>IFERROR(VLOOKUP($A:$A,CS!$A:$AK,26,FALSE),"")</f>
      </c>
      <c r="S172" s="79">
        <f>IFERROR(VLOOKUP($A:$A,CS!$A:$AK,29,FALSE),"")</f>
      </c>
      <c r="T172" s="79">
        <f>IFERROR(VLOOKUP($A:$A,CS!$A:$AK,33,FALSE),"")</f>
      </c>
      <c r="U172" s="79">
        <f>IFERROR(VLOOKUP($A:$A,CS!$A:$AK,34,FALSE),"")</f>
      </c>
      <c r="V172" s="79">
        <f>IFERROR(VLOOKUP($A:$A,CS!$A:$AK,35,FALSE),"")</f>
      </c>
      <c r="W172" s="79">
        <f>IFERROR(VLOOKUP($A:$A,CS!$A:$AK,36,FALSE),"")</f>
      </c>
    </row>
    <row r="173" ht="16.5" customHeight="1" spans="1:23" x14ac:dyDescent="0.25">
      <c r="A173" s="93"/>
      <c r="B173" s="79">
        <f>IFERROR(VLOOKUP($A:$A,CS!$A:$AK,3,FALSE),"")</f>
      </c>
      <c r="C173" s="79">
        <f>IFERROR(VLOOKUP($A:$A,CS!$A:$AK,4,FALSE),"")</f>
      </c>
      <c r="D173" s="79">
        <f>IFERROR(VLOOKUP($A:$A,CS!$A:$AK,5,FALSE),"")</f>
      </c>
      <c r="E173" s="79">
        <f>IFERROR(VLOOKUP($A:$A,CS!$A:$AK,7,FALSE),"")</f>
      </c>
      <c r="F173" s="79">
        <f>IFERROR(VLOOKUP($A:$A,CS!$A:$AK,8,FALSE),"")</f>
      </c>
      <c r="G173" s="79">
        <f>IFERROR(VLOOKUP($A:$A,CS!$A:$AK,10,FALSE),"")</f>
      </c>
      <c r="H173" s="79">
        <f>IFERROR(VLOOKUP($A:$A,CS!$A:$AK,14,FALSE),"")</f>
      </c>
      <c r="I173" s="79">
        <f>IFERROR(VLOOKUP($A:$A,CS!$A:$AK,15,FALSE),"")</f>
      </c>
      <c r="J173" s="79">
        <f>IFERROR(VLOOKUP($A:$A,CS!$A:$AK,18,FALSE),"")</f>
      </c>
      <c r="K173" s="79">
        <f>IFERROR(VLOOKUP($A:$A,CS!$A:$AK,19,FALSE),"")</f>
      </c>
      <c r="L173" s="79">
        <f>IFERROR(VLOOKUP($A:$A,CS!$A:$AK,20,FALSE),"")</f>
      </c>
      <c r="M173" s="79">
        <f>IFERROR(VLOOKUP($A:$A,CS!$A:$AK,22,FALSE),"")</f>
      </c>
      <c r="N173" s="79">
        <f>IFERROR(VLOOKUP($A:$A,CS!$A:$AK,19,FALSE),"")</f>
      </c>
      <c r="O173" s="79">
        <f>IFERROR(VLOOKUP($A:$A,CS!$A:$AK,23,FALSE),"")</f>
      </c>
      <c r="P173" s="79">
        <f>IFERROR(VLOOKUP($A:$A,CS!$A:$AK,24,FALSE),"")</f>
      </c>
      <c r="Q173" s="79">
        <f>IFERROR(VLOOKUP($A:$A,CS!$A:$AK,25,FALSE),"")</f>
      </c>
      <c r="R173" s="79">
        <f>IFERROR(VLOOKUP($A:$A,CS!$A:$AK,26,FALSE),"")</f>
      </c>
      <c r="S173" s="79">
        <f>IFERROR(VLOOKUP($A:$A,CS!$A:$AK,29,FALSE),"")</f>
      </c>
      <c r="T173" s="79">
        <f>IFERROR(VLOOKUP($A:$A,CS!$A:$AK,33,FALSE),"")</f>
      </c>
      <c r="U173" s="79">
        <f>IFERROR(VLOOKUP($A:$A,CS!$A:$AK,34,FALSE),"")</f>
      </c>
      <c r="V173" s="79">
        <f>IFERROR(VLOOKUP($A:$A,CS!$A:$AK,35,FALSE),"")</f>
      </c>
      <c r="W173" s="79">
        <f>IFERROR(VLOOKUP($A:$A,CS!$A:$AK,36,FALSE),"")</f>
      </c>
    </row>
    <row r="174" ht="16.5" customHeight="1" spans="1:23" x14ac:dyDescent="0.25">
      <c r="A174" s="93"/>
      <c r="B174" s="79">
        <f>IFERROR(VLOOKUP($A:$A,CS!$A:$AK,3,FALSE),"")</f>
      </c>
      <c r="C174" s="79">
        <f>IFERROR(VLOOKUP($A:$A,CS!$A:$AK,4,FALSE),"")</f>
      </c>
      <c r="D174" s="79">
        <f>IFERROR(VLOOKUP($A:$A,CS!$A:$AK,5,FALSE),"")</f>
      </c>
      <c r="E174" s="79">
        <f>IFERROR(VLOOKUP($A:$A,CS!$A:$AK,7,FALSE),"")</f>
      </c>
      <c r="F174" s="79">
        <f>IFERROR(VLOOKUP($A:$A,CS!$A:$AK,8,FALSE),"")</f>
      </c>
      <c r="G174" s="79">
        <f>IFERROR(VLOOKUP($A:$A,CS!$A:$AK,10,FALSE),"")</f>
      </c>
      <c r="H174" s="79">
        <f>IFERROR(VLOOKUP($A:$A,CS!$A:$AK,14,FALSE),"")</f>
      </c>
      <c r="I174" s="79">
        <f>IFERROR(VLOOKUP($A:$A,CS!$A:$AK,15,FALSE),"")</f>
      </c>
      <c r="J174" s="79">
        <f>IFERROR(VLOOKUP($A:$A,CS!$A:$AK,18,FALSE),"")</f>
      </c>
      <c r="K174" s="79">
        <f>IFERROR(VLOOKUP($A:$A,CS!$A:$AK,19,FALSE),"")</f>
      </c>
      <c r="L174" s="79">
        <f>IFERROR(VLOOKUP($A:$A,CS!$A:$AK,20,FALSE),"")</f>
      </c>
      <c r="M174" s="79">
        <f>IFERROR(VLOOKUP($A:$A,CS!$A:$AK,22,FALSE),"")</f>
      </c>
      <c r="N174" s="79">
        <f>IFERROR(VLOOKUP($A:$A,CS!$A:$AK,19,FALSE),"")</f>
      </c>
      <c r="O174" s="79">
        <f>IFERROR(VLOOKUP($A:$A,CS!$A:$AK,23,FALSE),"")</f>
      </c>
      <c r="P174" s="79">
        <f>IFERROR(VLOOKUP($A:$A,CS!$A:$AK,24,FALSE),"")</f>
      </c>
      <c r="Q174" s="79">
        <f>IFERROR(VLOOKUP($A:$A,CS!$A:$AK,25,FALSE),"")</f>
      </c>
      <c r="R174" s="79">
        <f>IFERROR(VLOOKUP($A:$A,CS!$A:$AK,26,FALSE),"")</f>
      </c>
      <c r="S174" s="79">
        <f>IFERROR(VLOOKUP($A:$A,CS!$A:$AK,29,FALSE),"")</f>
      </c>
      <c r="T174" s="79">
        <f>IFERROR(VLOOKUP($A:$A,CS!$A:$AK,33,FALSE),"")</f>
      </c>
      <c r="U174" s="79">
        <f>IFERROR(VLOOKUP($A:$A,CS!$A:$AK,34,FALSE),"")</f>
      </c>
      <c r="V174" s="79">
        <f>IFERROR(VLOOKUP($A:$A,CS!$A:$AK,35,FALSE),"")</f>
      </c>
      <c r="W174" s="79">
        <f>IFERROR(VLOOKUP($A:$A,CS!$A:$AK,36,FALSE),"")</f>
      </c>
    </row>
    <row r="175" ht="16.5" customHeight="1" spans="1:23" x14ac:dyDescent="0.25">
      <c r="A175" s="93"/>
      <c r="B175" s="79">
        <f>IFERROR(VLOOKUP($A:$A,CS!$A:$AK,3,FALSE),"")</f>
      </c>
      <c r="C175" s="79">
        <f>IFERROR(VLOOKUP($A:$A,CS!$A:$AK,4,FALSE),"")</f>
      </c>
      <c r="D175" s="79">
        <f>IFERROR(VLOOKUP($A:$A,CS!$A:$AK,5,FALSE),"")</f>
      </c>
      <c r="E175" s="79">
        <f>IFERROR(VLOOKUP($A:$A,CS!$A:$AK,7,FALSE),"")</f>
      </c>
      <c r="F175" s="79">
        <f>IFERROR(VLOOKUP($A:$A,CS!$A:$AK,8,FALSE),"")</f>
      </c>
      <c r="G175" s="79">
        <f>IFERROR(VLOOKUP($A:$A,CS!$A:$AK,10,FALSE),"")</f>
      </c>
      <c r="H175" s="79">
        <f>IFERROR(VLOOKUP($A:$A,CS!$A:$AK,14,FALSE),"")</f>
      </c>
      <c r="I175" s="79">
        <f>IFERROR(VLOOKUP($A:$A,CS!$A:$AK,15,FALSE),"")</f>
      </c>
      <c r="J175" s="79">
        <f>IFERROR(VLOOKUP($A:$A,CS!$A:$AK,18,FALSE),"")</f>
      </c>
      <c r="K175" s="79">
        <f>IFERROR(VLOOKUP($A:$A,CS!$A:$AK,19,FALSE),"")</f>
      </c>
      <c r="L175" s="79">
        <f>IFERROR(VLOOKUP($A:$A,CS!$A:$AK,20,FALSE),"")</f>
      </c>
      <c r="M175" s="79">
        <f>IFERROR(VLOOKUP($A:$A,CS!$A:$AK,22,FALSE),"")</f>
      </c>
      <c r="N175" s="79">
        <f>IFERROR(VLOOKUP($A:$A,CS!$A:$AK,19,FALSE),"")</f>
      </c>
      <c r="O175" s="79">
        <f>IFERROR(VLOOKUP($A:$A,CS!$A:$AK,23,FALSE),"")</f>
      </c>
      <c r="P175" s="79">
        <f>IFERROR(VLOOKUP($A:$A,CS!$A:$AK,24,FALSE),"")</f>
      </c>
      <c r="Q175" s="79">
        <f>IFERROR(VLOOKUP($A:$A,CS!$A:$AK,25,FALSE),"")</f>
      </c>
      <c r="R175" s="79">
        <f>IFERROR(VLOOKUP($A:$A,CS!$A:$AK,26,FALSE),"")</f>
      </c>
      <c r="S175" s="79">
        <f>IFERROR(VLOOKUP($A:$A,CS!$A:$AK,29,FALSE),"")</f>
      </c>
      <c r="T175" s="79">
        <f>IFERROR(VLOOKUP($A:$A,CS!$A:$AK,33,FALSE),"")</f>
      </c>
      <c r="U175" s="79">
        <f>IFERROR(VLOOKUP($A:$A,CS!$A:$AK,34,FALSE),"")</f>
      </c>
      <c r="V175" s="79">
        <f>IFERROR(VLOOKUP($A:$A,CS!$A:$AK,35,FALSE),"")</f>
      </c>
      <c r="W175" s="79">
        <f>IFERROR(VLOOKUP($A:$A,CS!$A:$AK,36,FALSE),"")</f>
      </c>
    </row>
    <row r="176" ht="16.5" customHeight="1" spans="1:23" x14ac:dyDescent="0.25">
      <c r="A176" s="93"/>
      <c r="B176" s="79">
        <f>IFERROR(VLOOKUP($A:$A,CS!$A:$AK,3,FALSE),"")</f>
      </c>
      <c r="C176" s="79">
        <f>IFERROR(VLOOKUP($A:$A,CS!$A:$AK,4,FALSE),"")</f>
      </c>
      <c r="D176" s="79">
        <f>IFERROR(VLOOKUP($A:$A,CS!$A:$AK,5,FALSE),"")</f>
      </c>
      <c r="E176" s="79">
        <f>IFERROR(VLOOKUP($A:$A,CS!$A:$AK,7,FALSE),"")</f>
      </c>
      <c r="F176" s="79">
        <f>IFERROR(VLOOKUP($A:$A,CS!$A:$AK,8,FALSE),"")</f>
      </c>
      <c r="G176" s="79">
        <f>IFERROR(VLOOKUP($A:$A,CS!$A:$AK,10,FALSE),"")</f>
      </c>
      <c r="H176" s="79">
        <f>IFERROR(VLOOKUP($A:$A,CS!$A:$AK,14,FALSE),"")</f>
      </c>
      <c r="I176" s="79">
        <f>IFERROR(VLOOKUP($A:$A,CS!$A:$AK,15,FALSE),"")</f>
      </c>
      <c r="J176" s="79">
        <f>IFERROR(VLOOKUP($A:$A,CS!$A:$AK,18,FALSE),"")</f>
      </c>
      <c r="K176" s="79">
        <f>IFERROR(VLOOKUP($A:$A,CS!$A:$AK,19,FALSE),"")</f>
      </c>
      <c r="L176" s="79">
        <f>IFERROR(VLOOKUP($A:$A,CS!$A:$AK,20,FALSE),"")</f>
      </c>
      <c r="M176" s="79">
        <f>IFERROR(VLOOKUP($A:$A,CS!$A:$AK,22,FALSE),"")</f>
      </c>
      <c r="N176" s="79">
        <f>IFERROR(VLOOKUP($A:$A,CS!$A:$AK,19,FALSE),"")</f>
      </c>
      <c r="O176" s="79">
        <f>IFERROR(VLOOKUP($A:$A,CS!$A:$AK,23,FALSE),"")</f>
      </c>
      <c r="P176" s="79">
        <f>IFERROR(VLOOKUP($A:$A,CS!$A:$AK,24,FALSE),"")</f>
      </c>
      <c r="Q176" s="79">
        <f>IFERROR(VLOOKUP($A:$A,CS!$A:$AK,25,FALSE),"")</f>
      </c>
      <c r="R176" s="79">
        <f>IFERROR(VLOOKUP($A:$A,CS!$A:$AK,26,FALSE),"")</f>
      </c>
      <c r="S176" s="79">
        <f>IFERROR(VLOOKUP($A:$A,CS!$A:$AK,29,FALSE),"")</f>
      </c>
      <c r="T176" s="79">
        <f>IFERROR(VLOOKUP($A:$A,CS!$A:$AK,33,FALSE),"")</f>
      </c>
      <c r="U176" s="79">
        <f>IFERROR(VLOOKUP($A:$A,CS!$A:$AK,34,FALSE),"")</f>
      </c>
      <c r="V176" s="79">
        <f>IFERROR(VLOOKUP($A:$A,CS!$A:$AK,35,FALSE),"")</f>
      </c>
      <c r="W176" s="79">
        <f>IFERROR(VLOOKUP($A:$A,CS!$A:$AK,36,FALSE),"")</f>
      </c>
    </row>
    <row r="177" ht="16.5" customHeight="1" spans="1:23" x14ac:dyDescent="0.25">
      <c r="A177" s="93"/>
      <c r="B177" s="79">
        <f>IFERROR(VLOOKUP($A:$A,CS!$A:$AK,3,FALSE),"")</f>
      </c>
      <c r="C177" s="79">
        <f>IFERROR(VLOOKUP($A:$A,CS!$A:$AK,4,FALSE),"")</f>
      </c>
      <c r="D177" s="79">
        <f>IFERROR(VLOOKUP($A:$A,CS!$A:$AK,5,FALSE),"")</f>
      </c>
      <c r="E177" s="79">
        <f>IFERROR(VLOOKUP($A:$A,CS!$A:$AK,7,FALSE),"")</f>
      </c>
      <c r="F177" s="79">
        <f>IFERROR(VLOOKUP($A:$A,CS!$A:$AK,8,FALSE),"")</f>
      </c>
      <c r="G177" s="79">
        <f>IFERROR(VLOOKUP($A:$A,CS!$A:$AK,10,FALSE),"")</f>
      </c>
      <c r="H177" s="79">
        <f>IFERROR(VLOOKUP($A:$A,CS!$A:$AK,14,FALSE),"")</f>
      </c>
      <c r="I177" s="79">
        <f>IFERROR(VLOOKUP($A:$A,CS!$A:$AK,15,FALSE),"")</f>
      </c>
      <c r="J177" s="79">
        <f>IFERROR(VLOOKUP($A:$A,CS!$A:$AK,18,FALSE),"")</f>
      </c>
      <c r="K177" s="79">
        <f>IFERROR(VLOOKUP($A:$A,CS!$A:$AK,19,FALSE),"")</f>
      </c>
      <c r="L177" s="79">
        <f>IFERROR(VLOOKUP($A:$A,CS!$A:$AK,20,FALSE),"")</f>
      </c>
      <c r="M177" s="79">
        <f>IFERROR(VLOOKUP($A:$A,CS!$A:$AK,22,FALSE),"")</f>
      </c>
      <c r="N177" s="79">
        <f>IFERROR(VLOOKUP($A:$A,CS!$A:$AK,19,FALSE),"")</f>
      </c>
      <c r="O177" s="79">
        <f>IFERROR(VLOOKUP($A:$A,CS!$A:$AK,23,FALSE),"")</f>
      </c>
      <c r="P177" s="79">
        <f>IFERROR(VLOOKUP($A:$A,CS!$A:$AK,24,FALSE),"")</f>
      </c>
      <c r="Q177" s="79">
        <f>IFERROR(VLOOKUP($A:$A,CS!$A:$AK,25,FALSE),"")</f>
      </c>
      <c r="R177" s="79">
        <f>IFERROR(VLOOKUP($A:$A,CS!$A:$AK,26,FALSE),"")</f>
      </c>
      <c r="S177" s="79">
        <f>IFERROR(VLOOKUP($A:$A,CS!$A:$AK,29,FALSE),"")</f>
      </c>
      <c r="T177" s="79">
        <f>IFERROR(VLOOKUP($A:$A,CS!$A:$AK,33,FALSE),"")</f>
      </c>
      <c r="U177" s="79">
        <f>IFERROR(VLOOKUP($A:$A,CS!$A:$AK,34,FALSE),"")</f>
      </c>
      <c r="V177" s="79">
        <f>IFERROR(VLOOKUP($A:$A,CS!$A:$AK,35,FALSE),"")</f>
      </c>
      <c r="W177" s="79">
        <f>IFERROR(VLOOKUP($A:$A,CS!$A:$AK,36,FALSE),"")</f>
      </c>
    </row>
    <row r="178" ht="16.5" customHeight="1" spans="1:23" x14ac:dyDescent="0.25">
      <c r="A178" s="93"/>
      <c r="B178" s="79">
        <f>IFERROR(VLOOKUP($A:$A,CS!$A:$AK,3,FALSE),"")</f>
      </c>
      <c r="C178" s="79">
        <f>IFERROR(VLOOKUP($A:$A,CS!$A:$AK,4,FALSE),"")</f>
      </c>
      <c r="D178" s="79">
        <f>IFERROR(VLOOKUP($A:$A,CS!$A:$AK,5,FALSE),"")</f>
      </c>
      <c r="E178" s="79">
        <f>IFERROR(VLOOKUP($A:$A,CS!$A:$AK,7,FALSE),"")</f>
      </c>
      <c r="F178" s="79">
        <f>IFERROR(VLOOKUP($A:$A,CS!$A:$AK,8,FALSE),"")</f>
      </c>
      <c r="G178" s="79">
        <f>IFERROR(VLOOKUP($A:$A,CS!$A:$AK,10,FALSE),"")</f>
      </c>
      <c r="H178" s="79">
        <f>IFERROR(VLOOKUP($A:$A,CS!$A:$AK,14,FALSE),"")</f>
      </c>
      <c r="I178" s="79">
        <f>IFERROR(VLOOKUP($A:$A,CS!$A:$AK,15,FALSE),"")</f>
      </c>
      <c r="J178" s="79">
        <f>IFERROR(VLOOKUP($A:$A,CS!$A:$AK,18,FALSE),"")</f>
      </c>
      <c r="K178" s="79">
        <f>IFERROR(VLOOKUP($A:$A,CS!$A:$AK,19,FALSE),"")</f>
      </c>
      <c r="L178" s="79">
        <f>IFERROR(VLOOKUP($A:$A,CS!$A:$AK,20,FALSE),"")</f>
      </c>
      <c r="M178" s="79">
        <f>IFERROR(VLOOKUP($A:$A,CS!$A:$AK,22,FALSE),"")</f>
      </c>
      <c r="N178" s="79">
        <f>IFERROR(VLOOKUP($A:$A,CS!$A:$AK,19,FALSE),"")</f>
      </c>
      <c r="O178" s="79">
        <f>IFERROR(VLOOKUP($A:$A,CS!$A:$AK,23,FALSE),"")</f>
      </c>
      <c r="P178" s="79">
        <f>IFERROR(VLOOKUP($A:$A,CS!$A:$AK,24,FALSE),"")</f>
      </c>
      <c r="Q178" s="79">
        <f>IFERROR(VLOOKUP($A:$A,CS!$A:$AK,25,FALSE),"")</f>
      </c>
      <c r="R178" s="79">
        <f>IFERROR(VLOOKUP($A:$A,CS!$A:$AK,26,FALSE),"")</f>
      </c>
      <c r="S178" s="79">
        <f>IFERROR(VLOOKUP($A:$A,CS!$A:$AK,29,FALSE),"")</f>
      </c>
      <c r="T178" s="79">
        <f>IFERROR(VLOOKUP($A:$A,CS!$A:$AK,33,FALSE),"")</f>
      </c>
      <c r="U178" s="79">
        <f>IFERROR(VLOOKUP($A:$A,CS!$A:$AK,34,FALSE),"")</f>
      </c>
      <c r="V178" s="79">
        <f>IFERROR(VLOOKUP($A:$A,CS!$A:$AK,35,FALSE),"")</f>
      </c>
      <c r="W178" s="79">
        <f>IFERROR(VLOOKUP($A:$A,CS!$A:$AK,36,FALSE),"")</f>
      </c>
    </row>
    <row r="179" ht="16.5" customHeight="1" spans="1:23" x14ac:dyDescent="0.25">
      <c r="A179" s="93"/>
      <c r="B179" s="79">
        <f>IFERROR(VLOOKUP($A:$A,CS!$A:$AK,3,FALSE),"")</f>
      </c>
      <c r="C179" s="79">
        <f>IFERROR(VLOOKUP($A:$A,CS!$A:$AK,4,FALSE),"")</f>
      </c>
      <c r="D179" s="79">
        <f>IFERROR(VLOOKUP($A:$A,CS!$A:$AK,5,FALSE),"")</f>
      </c>
      <c r="E179" s="79">
        <f>IFERROR(VLOOKUP($A:$A,CS!$A:$AK,7,FALSE),"")</f>
      </c>
      <c r="F179" s="79">
        <f>IFERROR(VLOOKUP($A:$A,CS!$A:$AK,8,FALSE),"")</f>
      </c>
      <c r="G179" s="79">
        <f>IFERROR(VLOOKUP($A:$A,CS!$A:$AK,10,FALSE),"")</f>
      </c>
      <c r="H179" s="79">
        <f>IFERROR(VLOOKUP($A:$A,CS!$A:$AK,14,FALSE),"")</f>
      </c>
      <c r="I179" s="79">
        <f>IFERROR(VLOOKUP($A:$A,CS!$A:$AK,15,FALSE),"")</f>
      </c>
      <c r="J179" s="79">
        <f>IFERROR(VLOOKUP($A:$A,CS!$A:$AK,18,FALSE),"")</f>
      </c>
      <c r="K179" s="79">
        <f>IFERROR(VLOOKUP($A:$A,CS!$A:$AK,19,FALSE),"")</f>
      </c>
      <c r="L179" s="79">
        <f>IFERROR(VLOOKUP($A:$A,CS!$A:$AK,20,FALSE),"")</f>
      </c>
      <c r="M179" s="79">
        <f>IFERROR(VLOOKUP($A:$A,CS!$A:$AK,22,FALSE),"")</f>
      </c>
      <c r="N179" s="79">
        <f>IFERROR(VLOOKUP($A:$A,CS!$A:$AK,19,FALSE),"")</f>
      </c>
      <c r="O179" s="79">
        <f>IFERROR(VLOOKUP($A:$A,CS!$A:$AK,23,FALSE),"")</f>
      </c>
      <c r="P179" s="79">
        <f>IFERROR(VLOOKUP($A:$A,CS!$A:$AK,24,FALSE),"")</f>
      </c>
      <c r="Q179" s="79">
        <f>IFERROR(VLOOKUP($A:$A,CS!$A:$AK,25,FALSE),"")</f>
      </c>
      <c r="R179" s="79">
        <f>IFERROR(VLOOKUP($A:$A,CS!$A:$AK,26,FALSE),"")</f>
      </c>
      <c r="S179" s="79">
        <f>IFERROR(VLOOKUP($A:$A,CS!$A:$AK,29,FALSE),"")</f>
      </c>
      <c r="T179" s="79">
        <f>IFERROR(VLOOKUP($A:$A,CS!$A:$AK,33,FALSE),"")</f>
      </c>
      <c r="U179" s="79">
        <f>IFERROR(VLOOKUP($A:$A,CS!$A:$AK,34,FALSE),"")</f>
      </c>
      <c r="V179" s="79">
        <f>IFERROR(VLOOKUP($A:$A,CS!$A:$AK,35,FALSE),"")</f>
      </c>
      <c r="W179" s="79">
        <f>IFERROR(VLOOKUP($A:$A,CS!$A:$AK,36,FALSE),"")</f>
      </c>
    </row>
    <row r="180" ht="16.5" customHeight="1" spans="1:23" x14ac:dyDescent="0.25">
      <c r="A180" s="93"/>
      <c r="B180" s="79">
        <f>IFERROR(VLOOKUP($A:$A,CS!$A:$AK,3,FALSE),"")</f>
      </c>
      <c r="C180" s="79">
        <f>IFERROR(VLOOKUP($A:$A,CS!$A:$AK,4,FALSE),"")</f>
      </c>
      <c r="D180" s="79">
        <f>IFERROR(VLOOKUP($A:$A,CS!$A:$AK,5,FALSE),"")</f>
      </c>
      <c r="E180" s="79">
        <f>IFERROR(VLOOKUP($A:$A,CS!$A:$AK,7,FALSE),"")</f>
      </c>
      <c r="F180" s="79">
        <f>IFERROR(VLOOKUP($A:$A,CS!$A:$AK,8,FALSE),"")</f>
      </c>
      <c r="G180" s="79">
        <f>IFERROR(VLOOKUP($A:$A,CS!$A:$AK,10,FALSE),"")</f>
      </c>
      <c r="H180" s="79">
        <f>IFERROR(VLOOKUP($A:$A,CS!$A:$AK,14,FALSE),"")</f>
      </c>
      <c r="I180" s="79">
        <f>IFERROR(VLOOKUP($A:$A,CS!$A:$AK,15,FALSE),"")</f>
      </c>
      <c r="J180" s="79">
        <f>IFERROR(VLOOKUP($A:$A,CS!$A:$AK,18,FALSE),"")</f>
      </c>
      <c r="K180" s="79">
        <f>IFERROR(VLOOKUP($A:$A,CS!$A:$AK,19,FALSE),"")</f>
      </c>
      <c r="L180" s="79">
        <f>IFERROR(VLOOKUP($A:$A,CS!$A:$AK,20,FALSE),"")</f>
      </c>
      <c r="M180" s="79">
        <f>IFERROR(VLOOKUP($A:$A,CS!$A:$AK,22,FALSE),"")</f>
      </c>
      <c r="N180" s="79">
        <f>IFERROR(VLOOKUP($A:$A,CS!$A:$AK,19,FALSE),"")</f>
      </c>
      <c r="O180" s="79">
        <f>IFERROR(VLOOKUP($A:$A,CS!$A:$AK,23,FALSE),"")</f>
      </c>
      <c r="P180" s="79">
        <f>IFERROR(VLOOKUP($A:$A,CS!$A:$AK,24,FALSE),"")</f>
      </c>
      <c r="Q180" s="79">
        <f>IFERROR(VLOOKUP($A:$A,CS!$A:$AK,25,FALSE),"")</f>
      </c>
      <c r="R180" s="79">
        <f>IFERROR(VLOOKUP($A:$A,CS!$A:$AK,26,FALSE),"")</f>
      </c>
      <c r="S180" s="79">
        <f>IFERROR(VLOOKUP($A:$A,CS!$A:$AK,29,FALSE),"")</f>
      </c>
      <c r="T180" s="79">
        <f>IFERROR(VLOOKUP($A:$A,CS!$A:$AK,33,FALSE),"")</f>
      </c>
      <c r="U180" s="79">
        <f>IFERROR(VLOOKUP($A:$A,CS!$A:$AK,34,FALSE),"")</f>
      </c>
      <c r="V180" s="79">
        <f>IFERROR(VLOOKUP($A:$A,CS!$A:$AK,35,FALSE),"")</f>
      </c>
      <c r="W180" s="79">
        <f>IFERROR(VLOOKUP($A:$A,CS!$A:$AK,36,FALSE),"")</f>
      </c>
    </row>
    <row r="181" ht="16.5" customHeight="1" spans="1:23" x14ac:dyDescent="0.25">
      <c r="A181" s="93"/>
      <c r="B181" s="79">
        <f>IFERROR(VLOOKUP($A:$A,CS!$A:$AK,3,FALSE),"")</f>
      </c>
      <c r="C181" s="79">
        <f>IFERROR(VLOOKUP($A:$A,CS!$A:$AK,4,FALSE),"")</f>
      </c>
      <c r="D181" s="79">
        <f>IFERROR(VLOOKUP($A:$A,CS!$A:$AK,5,FALSE),"")</f>
      </c>
      <c r="E181" s="79">
        <f>IFERROR(VLOOKUP($A:$A,CS!$A:$AK,7,FALSE),"")</f>
      </c>
      <c r="F181" s="79">
        <f>IFERROR(VLOOKUP($A:$A,CS!$A:$AK,8,FALSE),"")</f>
      </c>
      <c r="G181" s="79">
        <f>IFERROR(VLOOKUP($A:$A,CS!$A:$AK,10,FALSE),"")</f>
      </c>
      <c r="H181" s="79">
        <f>IFERROR(VLOOKUP($A:$A,CS!$A:$AK,14,FALSE),"")</f>
      </c>
      <c r="I181" s="79">
        <f>IFERROR(VLOOKUP($A:$A,CS!$A:$AK,15,FALSE),"")</f>
      </c>
      <c r="J181" s="79">
        <f>IFERROR(VLOOKUP($A:$A,CS!$A:$AK,18,FALSE),"")</f>
      </c>
      <c r="K181" s="79">
        <f>IFERROR(VLOOKUP($A:$A,CS!$A:$AK,19,FALSE),"")</f>
      </c>
      <c r="L181" s="79">
        <f>IFERROR(VLOOKUP($A:$A,CS!$A:$AK,20,FALSE),"")</f>
      </c>
      <c r="M181" s="79">
        <f>IFERROR(VLOOKUP($A:$A,CS!$A:$AK,22,FALSE),"")</f>
      </c>
      <c r="N181" s="79">
        <f>IFERROR(VLOOKUP($A:$A,CS!$A:$AK,19,FALSE),"")</f>
      </c>
      <c r="O181" s="79">
        <f>IFERROR(VLOOKUP($A:$A,CS!$A:$AK,23,FALSE),"")</f>
      </c>
      <c r="P181" s="79">
        <f>IFERROR(VLOOKUP($A:$A,CS!$A:$AK,24,FALSE),"")</f>
      </c>
      <c r="Q181" s="79">
        <f>IFERROR(VLOOKUP($A:$A,CS!$A:$AK,25,FALSE),"")</f>
      </c>
      <c r="R181" s="79">
        <f>IFERROR(VLOOKUP($A:$A,CS!$A:$AK,26,FALSE),"")</f>
      </c>
      <c r="S181" s="79">
        <f>IFERROR(VLOOKUP($A:$A,CS!$A:$AK,29,FALSE),"")</f>
      </c>
      <c r="T181" s="79">
        <f>IFERROR(VLOOKUP($A:$A,CS!$A:$AK,33,FALSE),"")</f>
      </c>
      <c r="U181" s="79">
        <f>IFERROR(VLOOKUP($A:$A,CS!$A:$AK,34,FALSE),"")</f>
      </c>
      <c r="V181" s="79">
        <f>IFERROR(VLOOKUP($A:$A,CS!$A:$AK,35,FALSE),"")</f>
      </c>
      <c r="W181" s="79">
        <f>IFERROR(VLOOKUP($A:$A,CS!$A:$AK,36,FALSE),"")</f>
      </c>
    </row>
    <row r="182" ht="16.5" customHeight="1" spans="1:23" x14ac:dyDescent="0.25">
      <c r="A182" s="93"/>
      <c r="B182" s="79">
        <f>IFERROR(VLOOKUP($A:$A,CS!$A:$AK,3,FALSE),"")</f>
      </c>
      <c r="C182" s="79">
        <f>IFERROR(VLOOKUP($A:$A,CS!$A:$AK,4,FALSE),"")</f>
      </c>
      <c r="D182" s="79">
        <f>IFERROR(VLOOKUP($A:$A,CS!$A:$AK,5,FALSE),"")</f>
      </c>
      <c r="E182" s="79">
        <f>IFERROR(VLOOKUP($A:$A,CS!$A:$AK,7,FALSE),"")</f>
      </c>
      <c r="F182" s="79">
        <f>IFERROR(VLOOKUP($A:$A,CS!$A:$AK,8,FALSE),"")</f>
      </c>
      <c r="G182" s="79">
        <f>IFERROR(VLOOKUP($A:$A,CS!$A:$AK,10,FALSE),"")</f>
      </c>
      <c r="H182" s="79">
        <f>IFERROR(VLOOKUP($A:$A,CS!$A:$AK,14,FALSE),"")</f>
      </c>
      <c r="I182" s="79">
        <f>IFERROR(VLOOKUP($A:$A,CS!$A:$AK,15,FALSE),"")</f>
      </c>
      <c r="J182" s="79">
        <f>IFERROR(VLOOKUP($A:$A,CS!$A:$AK,18,FALSE),"")</f>
      </c>
      <c r="K182" s="79">
        <f>IFERROR(VLOOKUP($A:$A,CS!$A:$AK,19,FALSE),"")</f>
      </c>
      <c r="L182" s="79">
        <f>IFERROR(VLOOKUP($A:$A,CS!$A:$AK,20,FALSE),"")</f>
      </c>
      <c r="M182" s="79">
        <f>IFERROR(VLOOKUP($A:$A,CS!$A:$AK,22,FALSE),"")</f>
      </c>
      <c r="N182" s="79">
        <f>IFERROR(VLOOKUP($A:$A,CS!$A:$AK,19,FALSE),"")</f>
      </c>
      <c r="O182" s="79">
        <f>IFERROR(VLOOKUP($A:$A,CS!$A:$AK,23,FALSE),"")</f>
      </c>
      <c r="P182" s="79">
        <f>IFERROR(VLOOKUP($A:$A,CS!$A:$AK,24,FALSE),"")</f>
      </c>
      <c r="Q182" s="79">
        <f>IFERROR(VLOOKUP($A:$A,CS!$A:$AK,25,FALSE),"")</f>
      </c>
      <c r="R182" s="79">
        <f>IFERROR(VLOOKUP($A:$A,CS!$A:$AK,26,FALSE),"")</f>
      </c>
      <c r="S182" s="79">
        <f>IFERROR(VLOOKUP($A:$A,CS!$A:$AK,29,FALSE),"")</f>
      </c>
      <c r="T182" s="79">
        <f>IFERROR(VLOOKUP($A:$A,CS!$A:$AK,33,FALSE),"")</f>
      </c>
      <c r="U182" s="79">
        <f>IFERROR(VLOOKUP($A:$A,CS!$A:$AK,34,FALSE),"")</f>
      </c>
      <c r="V182" s="79">
        <f>IFERROR(VLOOKUP($A:$A,CS!$A:$AK,35,FALSE),"")</f>
      </c>
      <c r="W182" s="79">
        <f>IFERROR(VLOOKUP($A:$A,CS!$A:$AK,36,FALSE),"")</f>
      </c>
    </row>
    <row r="183" ht="16.5" customHeight="1" spans="1:23" x14ac:dyDescent="0.25">
      <c r="A183" s="93"/>
      <c r="B183" s="79">
        <f>IFERROR(VLOOKUP($A:$A,CS!$A:$AK,3,FALSE),"")</f>
      </c>
      <c r="C183" s="79">
        <f>IFERROR(VLOOKUP($A:$A,CS!$A:$AK,4,FALSE),"")</f>
      </c>
      <c r="D183" s="79">
        <f>IFERROR(VLOOKUP($A:$A,CS!$A:$AK,5,FALSE),"")</f>
      </c>
      <c r="E183" s="79">
        <f>IFERROR(VLOOKUP($A:$A,CS!$A:$AK,7,FALSE),"")</f>
      </c>
      <c r="F183" s="79">
        <f>IFERROR(VLOOKUP($A:$A,CS!$A:$AK,8,FALSE),"")</f>
      </c>
      <c r="G183" s="79">
        <f>IFERROR(VLOOKUP($A:$A,CS!$A:$AK,10,FALSE),"")</f>
      </c>
      <c r="H183" s="79">
        <f>IFERROR(VLOOKUP($A:$A,CS!$A:$AK,14,FALSE),"")</f>
      </c>
      <c r="I183" s="79">
        <f>IFERROR(VLOOKUP($A:$A,CS!$A:$AK,15,FALSE),"")</f>
      </c>
      <c r="J183" s="79">
        <f>IFERROR(VLOOKUP($A:$A,CS!$A:$AK,18,FALSE),"")</f>
      </c>
      <c r="K183" s="79">
        <f>IFERROR(VLOOKUP($A:$A,CS!$A:$AK,19,FALSE),"")</f>
      </c>
      <c r="L183" s="79">
        <f>IFERROR(VLOOKUP($A:$A,CS!$A:$AK,20,FALSE),"")</f>
      </c>
      <c r="M183" s="79">
        <f>IFERROR(VLOOKUP($A:$A,CS!$A:$AK,22,FALSE),"")</f>
      </c>
      <c r="N183" s="79">
        <f>IFERROR(VLOOKUP($A:$A,CS!$A:$AK,19,FALSE),"")</f>
      </c>
      <c r="O183" s="79">
        <f>IFERROR(VLOOKUP($A:$A,CS!$A:$AK,23,FALSE),"")</f>
      </c>
      <c r="P183" s="79">
        <f>IFERROR(VLOOKUP($A:$A,CS!$A:$AK,24,FALSE),"")</f>
      </c>
      <c r="Q183" s="79">
        <f>IFERROR(VLOOKUP($A:$A,CS!$A:$AK,25,FALSE),"")</f>
      </c>
      <c r="R183" s="79">
        <f>IFERROR(VLOOKUP($A:$A,CS!$A:$AK,26,FALSE),"")</f>
      </c>
      <c r="S183" s="79">
        <f>IFERROR(VLOOKUP($A:$A,CS!$A:$AK,29,FALSE),"")</f>
      </c>
      <c r="T183" s="79">
        <f>IFERROR(VLOOKUP($A:$A,CS!$A:$AK,33,FALSE),"")</f>
      </c>
      <c r="U183" s="79">
        <f>IFERROR(VLOOKUP($A:$A,CS!$A:$AK,34,FALSE),"")</f>
      </c>
      <c r="V183" s="79">
        <f>IFERROR(VLOOKUP($A:$A,CS!$A:$AK,35,FALSE),"")</f>
      </c>
      <c r="W183" s="79">
        <f>IFERROR(VLOOKUP($A:$A,CS!$A:$AK,36,FALSE),"")</f>
      </c>
    </row>
    <row r="184" ht="16.5" customHeight="1" spans="1:23" x14ac:dyDescent="0.25">
      <c r="A184" s="93"/>
      <c r="B184" s="79">
        <f>IFERROR(VLOOKUP($A:$A,CS!$A:$AK,3,FALSE),"")</f>
      </c>
      <c r="C184" s="79">
        <f>IFERROR(VLOOKUP($A:$A,CS!$A:$AK,4,FALSE),"")</f>
      </c>
      <c r="D184" s="79">
        <f>IFERROR(VLOOKUP($A:$A,CS!$A:$AK,5,FALSE),"")</f>
      </c>
      <c r="E184" s="79">
        <f>IFERROR(VLOOKUP($A:$A,CS!$A:$AK,7,FALSE),"")</f>
      </c>
      <c r="F184" s="79">
        <f>IFERROR(VLOOKUP($A:$A,CS!$A:$AK,8,FALSE),"")</f>
      </c>
      <c r="G184" s="79">
        <f>IFERROR(VLOOKUP($A:$A,CS!$A:$AK,10,FALSE),"")</f>
      </c>
      <c r="H184" s="79">
        <f>IFERROR(VLOOKUP($A:$A,CS!$A:$AK,14,FALSE),"")</f>
      </c>
      <c r="I184" s="79">
        <f>IFERROR(VLOOKUP($A:$A,CS!$A:$AK,15,FALSE),"")</f>
      </c>
      <c r="J184" s="79">
        <f>IFERROR(VLOOKUP($A:$A,CS!$A:$AK,18,FALSE),"")</f>
      </c>
      <c r="K184" s="79">
        <f>IFERROR(VLOOKUP($A:$A,CS!$A:$AK,19,FALSE),"")</f>
      </c>
      <c r="L184" s="79">
        <f>IFERROR(VLOOKUP($A:$A,CS!$A:$AK,20,FALSE),"")</f>
      </c>
      <c r="M184" s="79">
        <f>IFERROR(VLOOKUP($A:$A,CS!$A:$AK,22,FALSE),"")</f>
      </c>
      <c r="N184" s="79">
        <f>IFERROR(VLOOKUP($A:$A,CS!$A:$AK,19,FALSE),"")</f>
      </c>
      <c r="O184" s="79">
        <f>IFERROR(VLOOKUP($A:$A,CS!$A:$AK,23,FALSE),"")</f>
      </c>
      <c r="P184" s="79">
        <f>IFERROR(VLOOKUP($A:$A,CS!$A:$AK,24,FALSE),"")</f>
      </c>
      <c r="Q184" s="79">
        <f>IFERROR(VLOOKUP($A:$A,CS!$A:$AK,25,FALSE),"")</f>
      </c>
      <c r="R184" s="79">
        <f>IFERROR(VLOOKUP($A:$A,CS!$A:$AK,26,FALSE),"")</f>
      </c>
      <c r="S184" s="79">
        <f>IFERROR(VLOOKUP($A:$A,CS!$A:$AK,29,FALSE),"")</f>
      </c>
      <c r="T184" s="79">
        <f>IFERROR(VLOOKUP($A:$A,CS!$A:$AK,33,FALSE),"")</f>
      </c>
      <c r="U184" s="79">
        <f>IFERROR(VLOOKUP($A:$A,CS!$A:$AK,34,FALSE),"")</f>
      </c>
      <c r="V184" s="79">
        <f>IFERROR(VLOOKUP($A:$A,CS!$A:$AK,35,FALSE),"")</f>
      </c>
      <c r="W184" s="79">
        <f>IFERROR(VLOOKUP($A:$A,CS!$A:$AK,36,FALSE),"")</f>
      </c>
    </row>
    <row r="185" ht="16.5" customHeight="1" spans="1:23" x14ac:dyDescent="0.25">
      <c r="A185" s="93"/>
      <c r="B185" s="79">
        <f>IFERROR(VLOOKUP($A:$A,CS!$A:$AK,3,FALSE),"")</f>
      </c>
      <c r="C185" s="79">
        <f>IFERROR(VLOOKUP($A:$A,CS!$A:$AK,4,FALSE),"")</f>
      </c>
      <c r="D185" s="79">
        <f>IFERROR(VLOOKUP($A:$A,CS!$A:$AK,5,FALSE),"")</f>
      </c>
      <c r="E185" s="79">
        <f>IFERROR(VLOOKUP($A:$A,CS!$A:$AK,7,FALSE),"")</f>
      </c>
      <c r="F185" s="79">
        <f>IFERROR(VLOOKUP($A:$A,CS!$A:$AK,8,FALSE),"")</f>
      </c>
      <c r="G185" s="79">
        <f>IFERROR(VLOOKUP($A:$A,CS!$A:$AK,10,FALSE),"")</f>
      </c>
      <c r="H185" s="79">
        <f>IFERROR(VLOOKUP($A:$A,CS!$A:$AK,14,FALSE),"")</f>
      </c>
      <c r="I185" s="79">
        <f>IFERROR(VLOOKUP($A:$A,CS!$A:$AK,15,FALSE),"")</f>
      </c>
      <c r="J185" s="79">
        <f>IFERROR(VLOOKUP($A:$A,CS!$A:$AK,18,FALSE),"")</f>
      </c>
      <c r="K185" s="79">
        <f>IFERROR(VLOOKUP($A:$A,CS!$A:$AK,19,FALSE),"")</f>
      </c>
      <c r="L185" s="79">
        <f>IFERROR(VLOOKUP($A:$A,CS!$A:$AK,20,FALSE),"")</f>
      </c>
      <c r="M185" s="79">
        <f>IFERROR(VLOOKUP($A:$A,CS!$A:$AK,22,FALSE),"")</f>
      </c>
      <c r="N185" s="79">
        <f>IFERROR(VLOOKUP($A:$A,CS!$A:$AK,19,FALSE),"")</f>
      </c>
      <c r="O185" s="79">
        <f>IFERROR(VLOOKUP($A:$A,CS!$A:$AK,23,FALSE),"")</f>
      </c>
      <c r="P185" s="79">
        <f>IFERROR(VLOOKUP($A:$A,CS!$A:$AK,24,FALSE),"")</f>
      </c>
      <c r="Q185" s="79">
        <f>IFERROR(VLOOKUP($A:$A,CS!$A:$AK,25,FALSE),"")</f>
      </c>
      <c r="R185" s="79">
        <f>IFERROR(VLOOKUP($A:$A,CS!$A:$AK,26,FALSE),"")</f>
      </c>
      <c r="S185" s="79">
        <f>IFERROR(VLOOKUP($A:$A,CS!$A:$AK,29,FALSE),"")</f>
      </c>
      <c r="T185" s="79">
        <f>IFERROR(VLOOKUP($A:$A,CS!$A:$AK,33,FALSE),"")</f>
      </c>
      <c r="U185" s="79">
        <f>IFERROR(VLOOKUP($A:$A,CS!$A:$AK,34,FALSE),"")</f>
      </c>
      <c r="V185" s="79">
        <f>IFERROR(VLOOKUP($A:$A,CS!$A:$AK,35,FALSE),"")</f>
      </c>
      <c r="W185" s="79">
        <f>IFERROR(VLOOKUP($A:$A,CS!$A:$AK,36,FALSE),"")</f>
      </c>
    </row>
    <row r="186" ht="16.5" customHeight="1" spans="1:23" x14ac:dyDescent="0.25">
      <c r="A186" s="93"/>
      <c r="B186" s="79">
        <f>IFERROR(VLOOKUP($A:$A,CS!$A:$AK,3,FALSE),"")</f>
      </c>
      <c r="C186" s="79">
        <f>IFERROR(VLOOKUP($A:$A,CS!$A:$AK,4,FALSE),"")</f>
      </c>
      <c r="D186" s="79">
        <f>IFERROR(VLOOKUP($A:$A,CS!$A:$AK,5,FALSE),"")</f>
      </c>
      <c r="E186" s="79">
        <f>IFERROR(VLOOKUP($A:$A,CS!$A:$AK,7,FALSE),"")</f>
      </c>
      <c r="F186" s="79">
        <f>IFERROR(VLOOKUP($A:$A,CS!$A:$AK,8,FALSE),"")</f>
      </c>
      <c r="G186" s="79">
        <f>IFERROR(VLOOKUP($A:$A,CS!$A:$AK,10,FALSE),"")</f>
      </c>
      <c r="H186" s="79">
        <f>IFERROR(VLOOKUP($A:$A,CS!$A:$AK,14,FALSE),"")</f>
      </c>
      <c r="I186" s="79">
        <f>IFERROR(VLOOKUP($A:$A,CS!$A:$AK,15,FALSE),"")</f>
      </c>
      <c r="J186" s="79">
        <f>IFERROR(VLOOKUP($A:$A,CS!$A:$AK,18,FALSE),"")</f>
      </c>
      <c r="K186" s="79">
        <f>IFERROR(VLOOKUP($A:$A,CS!$A:$AK,19,FALSE),"")</f>
      </c>
      <c r="L186" s="79">
        <f>IFERROR(VLOOKUP($A:$A,CS!$A:$AK,20,FALSE),"")</f>
      </c>
      <c r="M186" s="79">
        <f>IFERROR(VLOOKUP($A:$A,CS!$A:$AK,22,FALSE),"")</f>
      </c>
      <c r="N186" s="79">
        <f>IFERROR(VLOOKUP($A:$A,CS!$A:$AK,19,FALSE),"")</f>
      </c>
      <c r="O186" s="79">
        <f>IFERROR(VLOOKUP($A:$A,CS!$A:$AK,23,FALSE),"")</f>
      </c>
      <c r="P186" s="79">
        <f>IFERROR(VLOOKUP($A:$A,CS!$A:$AK,24,FALSE),"")</f>
      </c>
      <c r="Q186" s="79">
        <f>IFERROR(VLOOKUP($A:$A,CS!$A:$AK,25,FALSE),"")</f>
      </c>
      <c r="R186" s="79">
        <f>IFERROR(VLOOKUP($A:$A,CS!$A:$AK,26,FALSE),"")</f>
      </c>
      <c r="S186" s="79">
        <f>IFERROR(VLOOKUP($A:$A,CS!$A:$AK,29,FALSE),"")</f>
      </c>
      <c r="T186" s="79">
        <f>IFERROR(VLOOKUP($A:$A,CS!$A:$AK,33,FALSE),"")</f>
      </c>
      <c r="U186" s="79">
        <f>IFERROR(VLOOKUP($A:$A,CS!$A:$AK,34,FALSE),"")</f>
      </c>
      <c r="V186" s="79">
        <f>IFERROR(VLOOKUP($A:$A,CS!$A:$AK,35,FALSE),"")</f>
      </c>
      <c r="W186" s="79">
        <f>IFERROR(VLOOKUP($A:$A,CS!$A:$AK,36,FALSE),"")</f>
      </c>
    </row>
    <row r="187" ht="16.5" customHeight="1" spans="1:23" x14ac:dyDescent="0.25">
      <c r="A187" s="93"/>
      <c r="B187" s="79">
        <f>IFERROR(VLOOKUP($A:$A,CS!$A:$AK,3,FALSE),"")</f>
      </c>
      <c r="C187" s="79">
        <f>IFERROR(VLOOKUP($A:$A,CS!$A:$AK,4,FALSE),"")</f>
      </c>
      <c r="D187" s="79">
        <f>IFERROR(VLOOKUP($A:$A,CS!$A:$AK,5,FALSE),"")</f>
      </c>
      <c r="E187" s="79">
        <f>IFERROR(VLOOKUP($A:$A,CS!$A:$AK,7,FALSE),"")</f>
      </c>
      <c r="F187" s="79">
        <f>IFERROR(VLOOKUP($A:$A,CS!$A:$AK,8,FALSE),"")</f>
      </c>
      <c r="G187" s="79">
        <f>IFERROR(VLOOKUP($A:$A,CS!$A:$AK,10,FALSE),"")</f>
      </c>
      <c r="H187" s="79">
        <f>IFERROR(VLOOKUP($A:$A,CS!$A:$AK,14,FALSE),"")</f>
      </c>
      <c r="I187" s="79">
        <f>IFERROR(VLOOKUP($A:$A,CS!$A:$AK,15,FALSE),"")</f>
      </c>
      <c r="J187" s="79">
        <f>IFERROR(VLOOKUP($A:$A,CS!$A:$AK,18,FALSE),"")</f>
      </c>
      <c r="K187" s="79">
        <f>IFERROR(VLOOKUP($A:$A,CS!$A:$AK,19,FALSE),"")</f>
      </c>
      <c r="L187" s="79">
        <f>IFERROR(VLOOKUP($A:$A,CS!$A:$AK,20,FALSE),"")</f>
      </c>
      <c r="M187" s="79">
        <f>IFERROR(VLOOKUP($A:$A,CS!$A:$AK,22,FALSE),"")</f>
      </c>
      <c r="N187" s="79">
        <f>IFERROR(VLOOKUP($A:$A,CS!$A:$AK,19,FALSE),"")</f>
      </c>
      <c r="O187" s="79">
        <f>IFERROR(VLOOKUP($A:$A,CS!$A:$AK,23,FALSE),"")</f>
      </c>
      <c r="P187" s="79">
        <f>IFERROR(VLOOKUP($A:$A,CS!$A:$AK,24,FALSE),"")</f>
      </c>
      <c r="Q187" s="79">
        <f>IFERROR(VLOOKUP($A:$A,CS!$A:$AK,25,FALSE),"")</f>
      </c>
      <c r="R187" s="79">
        <f>IFERROR(VLOOKUP($A:$A,CS!$A:$AK,26,FALSE),"")</f>
      </c>
      <c r="S187" s="79">
        <f>IFERROR(VLOOKUP($A:$A,CS!$A:$AK,29,FALSE),"")</f>
      </c>
      <c r="T187" s="79">
        <f>IFERROR(VLOOKUP($A:$A,CS!$A:$AK,33,FALSE),"")</f>
      </c>
      <c r="U187" s="79">
        <f>IFERROR(VLOOKUP($A:$A,CS!$A:$AK,34,FALSE),"")</f>
      </c>
      <c r="V187" s="79">
        <f>IFERROR(VLOOKUP($A:$A,CS!$A:$AK,35,FALSE),"")</f>
      </c>
      <c r="W187" s="79">
        <f>IFERROR(VLOOKUP($A:$A,CS!$A:$AK,36,FALSE),"")</f>
      </c>
    </row>
    <row r="188" ht="16.5" customHeight="1" spans="1:23" x14ac:dyDescent="0.25">
      <c r="A188" s="93"/>
      <c r="B188" s="79">
        <f>IFERROR(VLOOKUP($A:$A,CS!$A:$AK,3,FALSE),"")</f>
      </c>
      <c r="C188" s="79">
        <f>IFERROR(VLOOKUP($A:$A,CS!$A:$AK,4,FALSE),"")</f>
      </c>
      <c r="D188" s="79">
        <f>IFERROR(VLOOKUP($A:$A,CS!$A:$AK,5,FALSE),"")</f>
      </c>
      <c r="E188" s="79">
        <f>IFERROR(VLOOKUP($A:$A,CS!$A:$AK,7,FALSE),"")</f>
      </c>
      <c r="F188" s="79">
        <f>IFERROR(VLOOKUP($A:$A,CS!$A:$AK,8,FALSE),"")</f>
      </c>
      <c r="G188" s="79">
        <f>IFERROR(VLOOKUP($A:$A,CS!$A:$AK,10,FALSE),"")</f>
      </c>
      <c r="H188" s="79">
        <f>IFERROR(VLOOKUP($A:$A,CS!$A:$AK,14,FALSE),"")</f>
      </c>
      <c r="I188" s="79">
        <f>IFERROR(VLOOKUP($A:$A,CS!$A:$AK,15,FALSE),"")</f>
      </c>
      <c r="J188" s="79">
        <f>IFERROR(VLOOKUP($A:$A,CS!$A:$AK,18,FALSE),"")</f>
      </c>
      <c r="K188" s="79">
        <f>IFERROR(VLOOKUP($A:$A,CS!$A:$AK,19,FALSE),"")</f>
      </c>
      <c r="L188" s="79">
        <f>IFERROR(VLOOKUP($A:$A,CS!$A:$AK,20,FALSE),"")</f>
      </c>
      <c r="M188" s="79">
        <f>IFERROR(VLOOKUP($A:$A,CS!$A:$AK,22,FALSE),"")</f>
      </c>
      <c r="N188" s="79">
        <f>IFERROR(VLOOKUP($A:$A,CS!$A:$AK,19,FALSE),"")</f>
      </c>
      <c r="O188" s="79">
        <f>IFERROR(VLOOKUP($A:$A,CS!$A:$AK,23,FALSE),"")</f>
      </c>
      <c r="P188" s="79">
        <f>IFERROR(VLOOKUP($A:$A,CS!$A:$AK,24,FALSE),"")</f>
      </c>
      <c r="Q188" s="79">
        <f>IFERROR(VLOOKUP($A:$A,CS!$A:$AK,25,FALSE),"")</f>
      </c>
      <c r="R188" s="79">
        <f>IFERROR(VLOOKUP($A:$A,CS!$A:$AK,26,FALSE),"")</f>
      </c>
      <c r="S188" s="79">
        <f>IFERROR(VLOOKUP($A:$A,CS!$A:$AK,29,FALSE),"")</f>
      </c>
      <c r="T188" s="79">
        <f>IFERROR(VLOOKUP($A:$A,CS!$A:$AK,33,FALSE),"")</f>
      </c>
      <c r="U188" s="79">
        <f>IFERROR(VLOOKUP($A:$A,CS!$A:$AK,34,FALSE),"")</f>
      </c>
      <c r="V188" s="79">
        <f>IFERROR(VLOOKUP($A:$A,CS!$A:$AK,35,FALSE),"")</f>
      </c>
      <c r="W188" s="79">
        <f>IFERROR(VLOOKUP($A:$A,CS!$A:$AK,36,FALSE),"")</f>
      </c>
    </row>
    <row r="189" ht="16.5" customHeight="1" spans="1:23" x14ac:dyDescent="0.25">
      <c r="A189" s="93"/>
      <c r="B189" s="79">
        <f>IFERROR(VLOOKUP($A:$A,CS!$A:$AK,3,FALSE),"")</f>
      </c>
      <c r="C189" s="79">
        <f>IFERROR(VLOOKUP($A:$A,CS!$A:$AK,4,FALSE),"")</f>
      </c>
      <c r="D189" s="79">
        <f>IFERROR(VLOOKUP($A:$A,CS!$A:$AK,5,FALSE),"")</f>
      </c>
      <c r="E189" s="79">
        <f>IFERROR(VLOOKUP($A:$A,CS!$A:$AK,7,FALSE),"")</f>
      </c>
      <c r="F189" s="79">
        <f>IFERROR(VLOOKUP($A:$A,CS!$A:$AK,8,FALSE),"")</f>
      </c>
      <c r="G189" s="79">
        <f>IFERROR(VLOOKUP($A:$A,CS!$A:$AK,10,FALSE),"")</f>
      </c>
      <c r="H189" s="79">
        <f>IFERROR(VLOOKUP($A:$A,CS!$A:$AK,14,FALSE),"")</f>
      </c>
      <c r="I189" s="79">
        <f>IFERROR(VLOOKUP($A:$A,CS!$A:$AK,15,FALSE),"")</f>
      </c>
      <c r="J189" s="79">
        <f>IFERROR(VLOOKUP($A:$A,CS!$A:$AK,18,FALSE),"")</f>
      </c>
      <c r="K189" s="79">
        <f>IFERROR(VLOOKUP($A:$A,CS!$A:$AK,19,FALSE),"")</f>
      </c>
      <c r="L189" s="79">
        <f>IFERROR(VLOOKUP($A:$A,CS!$A:$AK,20,FALSE),"")</f>
      </c>
      <c r="M189" s="79">
        <f>IFERROR(VLOOKUP($A:$A,CS!$A:$AK,22,FALSE),"")</f>
      </c>
      <c r="N189" s="79">
        <f>IFERROR(VLOOKUP($A:$A,CS!$A:$AK,19,FALSE),"")</f>
      </c>
      <c r="O189" s="79">
        <f>IFERROR(VLOOKUP($A:$A,CS!$A:$AK,23,FALSE),"")</f>
      </c>
      <c r="P189" s="79">
        <f>IFERROR(VLOOKUP($A:$A,CS!$A:$AK,24,FALSE),"")</f>
      </c>
      <c r="Q189" s="79">
        <f>IFERROR(VLOOKUP($A:$A,CS!$A:$AK,25,FALSE),"")</f>
      </c>
      <c r="R189" s="79">
        <f>IFERROR(VLOOKUP($A:$A,CS!$A:$AK,26,FALSE),"")</f>
      </c>
      <c r="S189" s="79">
        <f>IFERROR(VLOOKUP($A:$A,CS!$A:$AK,29,FALSE),"")</f>
      </c>
      <c r="T189" s="79">
        <f>IFERROR(VLOOKUP($A:$A,CS!$A:$AK,33,FALSE),"")</f>
      </c>
      <c r="U189" s="79">
        <f>IFERROR(VLOOKUP($A:$A,CS!$A:$AK,34,FALSE),"")</f>
      </c>
      <c r="V189" s="79">
        <f>IFERROR(VLOOKUP($A:$A,CS!$A:$AK,35,FALSE),"")</f>
      </c>
      <c r="W189" s="79">
        <f>IFERROR(VLOOKUP($A:$A,CS!$A:$AK,36,FALSE),"")</f>
      </c>
    </row>
    <row r="190" ht="16.5" customHeight="1" spans="1:23" x14ac:dyDescent="0.25">
      <c r="A190" s="93"/>
      <c r="B190" s="79">
        <f>IFERROR(VLOOKUP($A:$A,CS!$A:$AK,3,FALSE),"")</f>
      </c>
      <c r="C190" s="79">
        <f>IFERROR(VLOOKUP($A:$A,CS!$A:$AK,4,FALSE),"")</f>
      </c>
      <c r="D190" s="79">
        <f>IFERROR(VLOOKUP($A:$A,CS!$A:$AK,5,FALSE),"")</f>
      </c>
      <c r="E190" s="79">
        <f>IFERROR(VLOOKUP($A:$A,CS!$A:$AK,7,FALSE),"")</f>
      </c>
      <c r="F190" s="79">
        <f>IFERROR(VLOOKUP($A:$A,CS!$A:$AK,8,FALSE),"")</f>
      </c>
      <c r="G190" s="79">
        <f>IFERROR(VLOOKUP($A:$A,CS!$A:$AK,10,FALSE),"")</f>
      </c>
      <c r="H190" s="79">
        <f>IFERROR(VLOOKUP($A:$A,CS!$A:$AK,14,FALSE),"")</f>
      </c>
      <c r="I190" s="79">
        <f>IFERROR(VLOOKUP($A:$A,CS!$A:$AK,15,FALSE),"")</f>
      </c>
      <c r="J190" s="79">
        <f>IFERROR(VLOOKUP($A:$A,CS!$A:$AK,18,FALSE),"")</f>
      </c>
      <c r="K190" s="79">
        <f>IFERROR(VLOOKUP($A:$A,CS!$A:$AK,19,FALSE),"")</f>
      </c>
      <c r="L190" s="79">
        <f>IFERROR(VLOOKUP($A:$A,CS!$A:$AK,20,FALSE),"")</f>
      </c>
      <c r="M190" s="79">
        <f>IFERROR(VLOOKUP($A:$A,CS!$A:$AK,22,FALSE),"")</f>
      </c>
      <c r="N190" s="79">
        <f>IFERROR(VLOOKUP($A:$A,CS!$A:$AK,19,FALSE),"")</f>
      </c>
      <c r="O190" s="79">
        <f>IFERROR(VLOOKUP($A:$A,CS!$A:$AK,23,FALSE),"")</f>
      </c>
      <c r="P190" s="79">
        <f>IFERROR(VLOOKUP($A:$A,CS!$A:$AK,24,FALSE),"")</f>
      </c>
      <c r="Q190" s="79">
        <f>IFERROR(VLOOKUP($A:$A,CS!$A:$AK,25,FALSE),"")</f>
      </c>
      <c r="R190" s="79">
        <f>IFERROR(VLOOKUP($A:$A,CS!$A:$AK,26,FALSE),"")</f>
      </c>
      <c r="S190" s="79">
        <f>IFERROR(VLOOKUP($A:$A,CS!$A:$AK,29,FALSE),"")</f>
      </c>
      <c r="T190" s="79">
        <f>IFERROR(VLOOKUP($A:$A,CS!$A:$AK,33,FALSE),"")</f>
      </c>
      <c r="U190" s="79">
        <f>IFERROR(VLOOKUP($A:$A,CS!$A:$AK,34,FALSE),"")</f>
      </c>
      <c r="V190" s="79">
        <f>IFERROR(VLOOKUP($A:$A,CS!$A:$AK,35,FALSE),"")</f>
      </c>
      <c r="W190" s="79">
        <f>IFERROR(VLOOKUP($A:$A,CS!$A:$AK,36,FALSE),"")</f>
      </c>
    </row>
    <row r="191" ht="16.5" customHeight="1" spans="1:23" x14ac:dyDescent="0.25">
      <c r="A191" s="93"/>
      <c r="B191" s="79">
        <f>IFERROR(VLOOKUP($A:$A,CS!$A:$AK,3,FALSE),"")</f>
      </c>
      <c r="C191" s="79">
        <f>IFERROR(VLOOKUP($A:$A,CS!$A:$AK,4,FALSE),"")</f>
      </c>
      <c r="D191" s="79">
        <f>IFERROR(VLOOKUP($A:$A,CS!$A:$AK,5,FALSE),"")</f>
      </c>
      <c r="E191" s="79">
        <f>IFERROR(VLOOKUP($A:$A,CS!$A:$AK,7,FALSE),"")</f>
      </c>
      <c r="F191" s="79">
        <f>IFERROR(VLOOKUP($A:$A,CS!$A:$AK,8,FALSE),"")</f>
      </c>
      <c r="G191" s="79">
        <f>IFERROR(VLOOKUP($A:$A,CS!$A:$AK,10,FALSE),"")</f>
      </c>
      <c r="H191" s="79">
        <f>IFERROR(VLOOKUP($A:$A,CS!$A:$AK,14,FALSE),"")</f>
      </c>
      <c r="I191" s="79">
        <f>IFERROR(VLOOKUP($A:$A,CS!$A:$AK,15,FALSE),"")</f>
      </c>
      <c r="J191" s="79">
        <f>IFERROR(VLOOKUP($A:$A,CS!$A:$AK,18,FALSE),"")</f>
      </c>
      <c r="K191" s="79">
        <f>IFERROR(VLOOKUP($A:$A,CS!$A:$AK,19,FALSE),"")</f>
      </c>
      <c r="L191" s="79">
        <f>IFERROR(VLOOKUP($A:$A,CS!$A:$AK,20,FALSE),"")</f>
      </c>
      <c r="M191" s="79">
        <f>IFERROR(VLOOKUP($A:$A,CS!$A:$AK,22,FALSE),"")</f>
      </c>
      <c r="N191" s="79">
        <f>IFERROR(VLOOKUP($A:$A,CS!$A:$AK,19,FALSE),"")</f>
      </c>
      <c r="O191" s="79">
        <f>IFERROR(VLOOKUP($A:$A,CS!$A:$AK,23,FALSE),"")</f>
      </c>
      <c r="P191" s="79">
        <f>IFERROR(VLOOKUP($A:$A,CS!$A:$AK,24,FALSE),"")</f>
      </c>
      <c r="Q191" s="79">
        <f>IFERROR(VLOOKUP($A:$A,CS!$A:$AK,25,FALSE),"")</f>
      </c>
      <c r="R191" s="79">
        <f>IFERROR(VLOOKUP($A:$A,CS!$A:$AK,26,FALSE),"")</f>
      </c>
      <c r="S191" s="79">
        <f>IFERROR(VLOOKUP($A:$A,CS!$A:$AK,29,FALSE),"")</f>
      </c>
      <c r="T191" s="79">
        <f>IFERROR(VLOOKUP($A:$A,CS!$A:$AK,33,FALSE),"")</f>
      </c>
      <c r="U191" s="79">
        <f>IFERROR(VLOOKUP($A:$A,CS!$A:$AK,34,FALSE),"")</f>
      </c>
      <c r="V191" s="79">
        <f>IFERROR(VLOOKUP($A:$A,CS!$A:$AK,35,FALSE),"")</f>
      </c>
      <c r="W191" s="79">
        <f>IFERROR(VLOOKUP($A:$A,CS!$A:$AK,36,FALSE),"")</f>
      </c>
    </row>
    <row r="192" ht="16.5" customHeight="1" spans="1:23" x14ac:dyDescent="0.25">
      <c r="A192" s="93"/>
      <c r="B192" s="79">
        <f>IFERROR(VLOOKUP($A:$A,CS!$A:$AK,3,FALSE),"")</f>
      </c>
      <c r="C192" s="79">
        <f>IFERROR(VLOOKUP($A:$A,CS!$A:$AK,4,FALSE),"")</f>
      </c>
      <c r="D192" s="79">
        <f>IFERROR(VLOOKUP($A:$A,CS!$A:$AK,5,FALSE),"")</f>
      </c>
      <c r="E192" s="79">
        <f>IFERROR(VLOOKUP($A:$A,CS!$A:$AK,7,FALSE),"")</f>
      </c>
      <c r="F192" s="79">
        <f>IFERROR(VLOOKUP($A:$A,CS!$A:$AK,8,FALSE),"")</f>
      </c>
      <c r="G192" s="79">
        <f>IFERROR(VLOOKUP($A:$A,CS!$A:$AK,10,FALSE),"")</f>
      </c>
      <c r="H192" s="79">
        <f>IFERROR(VLOOKUP($A:$A,CS!$A:$AK,14,FALSE),"")</f>
      </c>
      <c r="I192" s="79">
        <f>IFERROR(VLOOKUP($A:$A,CS!$A:$AK,15,FALSE),"")</f>
      </c>
      <c r="J192" s="79">
        <f>IFERROR(VLOOKUP($A:$A,CS!$A:$AK,18,FALSE),"")</f>
      </c>
      <c r="K192" s="79">
        <f>IFERROR(VLOOKUP($A:$A,CS!$A:$AK,19,FALSE),"")</f>
      </c>
      <c r="L192" s="79">
        <f>IFERROR(VLOOKUP($A:$A,CS!$A:$AK,20,FALSE),"")</f>
      </c>
      <c r="M192" s="79">
        <f>IFERROR(VLOOKUP($A:$A,CS!$A:$AK,22,FALSE),"")</f>
      </c>
      <c r="N192" s="79">
        <f>IFERROR(VLOOKUP($A:$A,CS!$A:$AK,19,FALSE),"")</f>
      </c>
      <c r="O192" s="79">
        <f>IFERROR(VLOOKUP($A:$A,CS!$A:$AK,23,FALSE),"")</f>
      </c>
      <c r="P192" s="79">
        <f>IFERROR(VLOOKUP($A:$A,CS!$A:$AK,24,FALSE),"")</f>
      </c>
      <c r="Q192" s="79">
        <f>IFERROR(VLOOKUP($A:$A,CS!$A:$AK,25,FALSE),"")</f>
      </c>
      <c r="R192" s="79">
        <f>IFERROR(VLOOKUP($A:$A,CS!$A:$AK,26,FALSE),"")</f>
      </c>
      <c r="S192" s="79">
        <f>IFERROR(VLOOKUP($A:$A,CS!$A:$AK,29,FALSE),"")</f>
      </c>
      <c r="T192" s="79">
        <f>IFERROR(VLOOKUP($A:$A,CS!$A:$AK,33,FALSE),"")</f>
      </c>
      <c r="U192" s="79">
        <f>IFERROR(VLOOKUP($A:$A,CS!$A:$AK,34,FALSE),"")</f>
      </c>
      <c r="V192" s="79">
        <f>IFERROR(VLOOKUP($A:$A,CS!$A:$AK,35,FALSE),"")</f>
      </c>
      <c r="W192" s="79">
        <f>IFERROR(VLOOKUP($A:$A,CS!$A:$AK,36,FALSE),"")</f>
      </c>
    </row>
    <row r="193" ht="16.5" customHeight="1" spans="1:23" x14ac:dyDescent="0.25">
      <c r="A193" s="93"/>
      <c r="B193" s="79">
        <f>IFERROR(VLOOKUP($A:$A,CS!$A:$AK,3,FALSE),"")</f>
      </c>
      <c r="C193" s="79">
        <f>IFERROR(VLOOKUP($A:$A,CS!$A:$AK,4,FALSE),"")</f>
      </c>
      <c r="D193" s="79">
        <f>IFERROR(VLOOKUP($A:$A,CS!$A:$AK,5,FALSE),"")</f>
      </c>
      <c r="E193" s="79">
        <f>IFERROR(VLOOKUP($A:$A,CS!$A:$AK,7,FALSE),"")</f>
      </c>
      <c r="F193" s="79">
        <f>IFERROR(VLOOKUP($A:$A,CS!$A:$AK,8,FALSE),"")</f>
      </c>
      <c r="G193" s="79">
        <f>IFERROR(VLOOKUP($A:$A,CS!$A:$AK,10,FALSE),"")</f>
      </c>
      <c r="H193" s="79">
        <f>IFERROR(VLOOKUP($A:$A,CS!$A:$AK,14,FALSE),"")</f>
      </c>
      <c r="I193" s="79">
        <f>IFERROR(VLOOKUP($A:$A,CS!$A:$AK,15,FALSE),"")</f>
      </c>
      <c r="J193" s="79">
        <f>IFERROR(VLOOKUP($A:$A,CS!$A:$AK,18,FALSE),"")</f>
      </c>
      <c r="K193" s="79">
        <f>IFERROR(VLOOKUP($A:$A,CS!$A:$AK,19,FALSE),"")</f>
      </c>
      <c r="L193" s="79">
        <f>IFERROR(VLOOKUP($A:$A,CS!$A:$AK,20,FALSE),"")</f>
      </c>
      <c r="M193" s="79">
        <f>IFERROR(VLOOKUP($A:$A,CS!$A:$AK,22,FALSE),"")</f>
      </c>
      <c r="N193" s="79">
        <f>IFERROR(VLOOKUP($A:$A,CS!$A:$AK,19,FALSE),"")</f>
      </c>
      <c r="O193" s="79">
        <f>IFERROR(VLOOKUP($A:$A,CS!$A:$AK,23,FALSE),"")</f>
      </c>
      <c r="P193" s="79">
        <f>IFERROR(VLOOKUP($A:$A,CS!$A:$AK,24,FALSE),"")</f>
      </c>
      <c r="Q193" s="79">
        <f>IFERROR(VLOOKUP($A:$A,CS!$A:$AK,25,FALSE),"")</f>
      </c>
      <c r="R193" s="79">
        <f>IFERROR(VLOOKUP($A:$A,CS!$A:$AK,26,FALSE),"")</f>
      </c>
      <c r="S193" s="79">
        <f>IFERROR(VLOOKUP($A:$A,CS!$A:$AK,29,FALSE),"")</f>
      </c>
      <c r="T193" s="79">
        <f>IFERROR(VLOOKUP($A:$A,CS!$A:$AK,33,FALSE),"")</f>
      </c>
      <c r="U193" s="79">
        <f>IFERROR(VLOOKUP($A:$A,CS!$A:$AK,34,FALSE),"")</f>
      </c>
      <c r="V193" s="79">
        <f>IFERROR(VLOOKUP($A:$A,CS!$A:$AK,35,FALSE),"")</f>
      </c>
      <c r="W193" s="79">
        <f>IFERROR(VLOOKUP($A:$A,CS!$A:$AK,36,FALSE),"")</f>
      </c>
    </row>
    <row r="194" ht="16.5" customHeight="1" spans="1:23" x14ac:dyDescent="0.25">
      <c r="A194" s="93"/>
      <c r="B194" s="79">
        <f>IFERROR(VLOOKUP($A:$A,CS!$A:$AK,3,FALSE),"")</f>
      </c>
      <c r="C194" s="79">
        <f>IFERROR(VLOOKUP($A:$A,CS!$A:$AK,4,FALSE),"")</f>
      </c>
      <c r="D194" s="79">
        <f>IFERROR(VLOOKUP($A:$A,CS!$A:$AK,5,FALSE),"")</f>
      </c>
      <c r="E194" s="79">
        <f>IFERROR(VLOOKUP($A:$A,CS!$A:$AK,7,FALSE),"")</f>
      </c>
      <c r="F194" s="79">
        <f>IFERROR(VLOOKUP($A:$A,CS!$A:$AK,8,FALSE),"")</f>
      </c>
      <c r="G194" s="79">
        <f>IFERROR(VLOOKUP($A:$A,CS!$A:$AK,10,FALSE),"")</f>
      </c>
      <c r="H194" s="79">
        <f>IFERROR(VLOOKUP($A:$A,CS!$A:$AK,14,FALSE),"")</f>
      </c>
      <c r="I194" s="79">
        <f>IFERROR(VLOOKUP($A:$A,CS!$A:$AK,15,FALSE),"")</f>
      </c>
      <c r="J194" s="79">
        <f>IFERROR(VLOOKUP($A:$A,CS!$A:$AK,18,FALSE),"")</f>
      </c>
      <c r="K194" s="79">
        <f>IFERROR(VLOOKUP($A:$A,CS!$A:$AK,19,FALSE),"")</f>
      </c>
      <c r="L194" s="79">
        <f>IFERROR(VLOOKUP($A:$A,CS!$A:$AK,20,FALSE),"")</f>
      </c>
      <c r="M194" s="79">
        <f>IFERROR(VLOOKUP($A:$A,CS!$A:$AK,22,FALSE),"")</f>
      </c>
      <c r="N194" s="79">
        <f>IFERROR(VLOOKUP($A:$A,CS!$A:$AK,19,FALSE),"")</f>
      </c>
      <c r="O194" s="79">
        <f>IFERROR(VLOOKUP($A:$A,CS!$A:$AK,23,FALSE),"")</f>
      </c>
      <c r="P194" s="79">
        <f>IFERROR(VLOOKUP($A:$A,CS!$A:$AK,24,FALSE),"")</f>
      </c>
      <c r="Q194" s="79">
        <f>IFERROR(VLOOKUP($A:$A,CS!$A:$AK,25,FALSE),"")</f>
      </c>
      <c r="R194" s="79">
        <f>IFERROR(VLOOKUP($A:$A,CS!$A:$AK,26,FALSE),"")</f>
      </c>
      <c r="S194" s="79">
        <f>IFERROR(VLOOKUP($A:$A,CS!$A:$AK,29,FALSE),"")</f>
      </c>
      <c r="T194" s="79">
        <f>IFERROR(VLOOKUP($A:$A,CS!$A:$AK,33,FALSE),"")</f>
      </c>
      <c r="U194" s="79">
        <f>IFERROR(VLOOKUP($A:$A,CS!$A:$AK,34,FALSE),"")</f>
      </c>
      <c r="V194" s="79">
        <f>IFERROR(VLOOKUP($A:$A,CS!$A:$AK,35,FALSE),"")</f>
      </c>
      <c r="W194" s="79">
        <f>IFERROR(VLOOKUP($A:$A,CS!$A:$AK,36,FALSE),"")</f>
      </c>
    </row>
    <row r="195" ht="16.5" customHeight="1" spans="1:23" x14ac:dyDescent="0.25">
      <c r="A195" s="93"/>
      <c r="B195" s="79">
        <f>IFERROR(VLOOKUP($A:$A,CS!$A:$AK,3,FALSE),"")</f>
      </c>
      <c r="C195" s="79">
        <f>IFERROR(VLOOKUP($A:$A,CS!$A:$AK,4,FALSE),"")</f>
      </c>
      <c r="D195" s="79">
        <f>IFERROR(VLOOKUP($A:$A,CS!$A:$AK,5,FALSE),"")</f>
      </c>
      <c r="E195" s="79">
        <f>IFERROR(VLOOKUP($A:$A,CS!$A:$AK,7,FALSE),"")</f>
      </c>
      <c r="F195" s="79">
        <f>IFERROR(VLOOKUP($A:$A,CS!$A:$AK,8,FALSE),"")</f>
      </c>
      <c r="G195" s="79">
        <f>IFERROR(VLOOKUP($A:$A,CS!$A:$AK,10,FALSE),"")</f>
      </c>
      <c r="H195" s="79">
        <f>IFERROR(VLOOKUP($A:$A,CS!$A:$AK,14,FALSE),"")</f>
      </c>
      <c r="I195" s="79">
        <f>IFERROR(VLOOKUP($A:$A,CS!$A:$AK,15,FALSE),"")</f>
      </c>
      <c r="J195" s="79">
        <f>IFERROR(VLOOKUP($A:$A,CS!$A:$AK,18,FALSE),"")</f>
      </c>
      <c r="K195" s="79">
        <f>IFERROR(VLOOKUP($A:$A,CS!$A:$AK,19,FALSE),"")</f>
      </c>
      <c r="L195" s="79">
        <f>IFERROR(VLOOKUP($A:$A,CS!$A:$AK,20,FALSE),"")</f>
      </c>
      <c r="M195" s="79">
        <f>IFERROR(VLOOKUP($A:$A,CS!$A:$AK,22,FALSE),"")</f>
      </c>
      <c r="N195" s="79">
        <f>IFERROR(VLOOKUP($A:$A,CS!$A:$AK,19,FALSE),"")</f>
      </c>
      <c r="O195" s="79">
        <f>IFERROR(VLOOKUP($A:$A,CS!$A:$AK,23,FALSE),"")</f>
      </c>
      <c r="P195" s="79">
        <f>IFERROR(VLOOKUP($A:$A,CS!$A:$AK,24,FALSE),"")</f>
      </c>
      <c r="Q195" s="79">
        <f>IFERROR(VLOOKUP($A:$A,CS!$A:$AK,25,FALSE),"")</f>
      </c>
      <c r="R195" s="79">
        <f>IFERROR(VLOOKUP($A:$A,CS!$A:$AK,26,FALSE),"")</f>
      </c>
      <c r="S195" s="79">
        <f>IFERROR(VLOOKUP($A:$A,CS!$A:$AK,29,FALSE),"")</f>
      </c>
      <c r="T195" s="79">
        <f>IFERROR(VLOOKUP($A:$A,CS!$A:$AK,33,FALSE),"")</f>
      </c>
      <c r="U195" s="79">
        <f>IFERROR(VLOOKUP($A:$A,CS!$A:$AK,34,FALSE),"")</f>
      </c>
      <c r="V195" s="79">
        <f>IFERROR(VLOOKUP($A:$A,CS!$A:$AK,35,FALSE),"")</f>
      </c>
      <c r="W195" s="79">
        <f>IFERROR(VLOOKUP($A:$A,CS!$A:$AK,36,FALSE),"")</f>
      </c>
    </row>
    <row r="196" ht="16.5" customHeight="1" spans="1:23" x14ac:dyDescent="0.25">
      <c r="A196" s="93"/>
      <c r="B196" s="79">
        <f>IFERROR(VLOOKUP($A:$A,CS!$A:$AK,3,FALSE),"")</f>
      </c>
      <c r="C196" s="79">
        <f>IFERROR(VLOOKUP($A:$A,CS!$A:$AK,4,FALSE),"")</f>
      </c>
      <c r="D196" s="79">
        <f>IFERROR(VLOOKUP($A:$A,CS!$A:$AK,5,FALSE),"")</f>
      </c>
      <c r="E196" s="79">
        <f>IFERROR(VLOOKUP($A:$A,CS!$A:$AK,7,FALSE),"")</f>
      </c>
      <c r="F196" s="79">
        <f>IFERROR(VLOOKUP($A:$A,CS!$A:$AK,8,FALSE),"")</f>
      </c>
      <c r="G196" s="79">
        <f>IFERROR(VLOOKUP($A:$A,CS!$A:$AK,10,FALSE),"")</f>
      </c>
      <c r="H196" s="79">
        <f>IFERROR(VLOOKUP($A:$A,CS!$A:$AK,14,FALSE),"")</f>
      </c>
      <c r="I196" s="79">
        <f>IFERROR(VLOOKUP($A:$A,CS!$A:$AK,15,FALSE),"")</f>
      </c>
      <c r="J196" s="79">
        <f>IFERROR(VLOOKUP($A:$A,CS!$A:$AK,18,FALSE),"")</f>
      </c>
      <c r="K196" s="79">
        <f>IFERROR(VLOOKUP($A:$A,CS!$A:$AK,19,FALSE),"")</f>
      </c>
      <c r="L196" s="79">
        <f>IFERROR(VLOOKUP($A:$A,CS!$A:$AK,20,FALSE),"")</f>
      </c>
      <c r="M196" s="79">
        <f>IFERROR(VLOOKUP($A:$A,CS!$A:$AK,22,FALSE),"")</f>
      </c>
      <c r="N196" s="79">
        <f>IFERROR(VLOOKUP($A:$A,CS!$A:$AK,19,FALSE),"")</f>
      </c>
      <c r="O196" s="79">
        <f>IFERROR(VLOOKUP($A:$A,CS!$A:$AK,23,FALSE),"")</f>
      </c>
      <c r="P196" s="79">
        <f>IFERROR(VLOOKUP($A:$A,CS!$A:$AK,24,FALSE),"")</f>
      </c>
      <c r="Q196" s="79">
        <f>IFERROR(VLOOKUP($A:$A,CS!$A:$AK,25,FALSE),"")</f>
      </c>
      <c r="R196" s="79">
        <f>IFERROR(VLOOKUP($A:$A,CS!$A:$AK,26,FALSE),"")</f>
      </c>
      <c r="S196" s="79">
        <f>IFERROR(VLOOKUP($A:$A,CS!$A:$AK,29,FALSE),"")</f>
      </c>
      <c r="T196" s="79">
        <f>IFERROR(VLOOKUP($A:$A,CS!$A:$AK,33,FALSE),"")</f>
      </c>
      <c r="U196" s="79">
        <f>IFERROR(VLOOKUP($A:$A,CS!$A:$AK,34,FALSE),"")</f>
      </c>
      <c r="V196" s="79">
        <f>IFERROR(VLOOKUP($A:$A,CS!$A:$AK,35,FALSE),"")</f>
      </c>
      <c r="W196" s="79">
        <f>IFERROR(VLOOKUP($A:$A,CS!$A:$AK,36,FALSE),"")</f>
      </c>
    </row>
    <row r="197" ht="16.5" customHeight="1" spans="1:23" x14ac:dyDescent="0.25">
      <c r="A197" s="93"/>
      <c r="B197" s="79">
        <f>IFERROR(VLOOKUP($A:$A,CS!$A:$AK,3,FALSE),"")</f>
      </c>
      <c r="C197" s="79">
        <f>IFERROR(VLOOKUP($A:$A,CS!$A:$AK,4,FALSE),"")</f>
      </c>
      <c r="D197" s="79">
        <f>IFERROR(VLOOKUP($A:$A,CS!$A:$AK,5,FALSE),"")</f>
      </c>
      <c r="E197" s="79">
        <f>IFERROR(VLOOKUP($A:$A,CS!$A:$AK,7,FALSE),"")</f>
      </c>
      <c r="F197" s="79">
        <f>IFERROR(VLOOKUP($A:$A,CS!$A:$AK,8,FALSE),"")</f>
      </c>
      <c r="G197" s="79">
        <f>IFERROR(VLOOKUP($A:$A,CS!$A:$AK,10,FALSE),"")</f>
      </c>
      <c r="H197" s="79">
        <f>IFERROR(VLOOKUP($A:$A,CS!$A:$AK,14,FALSE),"")</f>
      </c>
      <c r="I197" s="79">
        <f>IFERROR(VLOOKUP($A:$A,CS!$A:$AK,15,FALSE),"")</f>
      </c>
      <c r="J197" s="79">
        <f>IFERROR(VLOOKUP($A:$A,CS!$A:$AK,18,FALSE),"")</f>
      </c>
      <c r="K197" s="79">
        <f>IFERROR(VLOOKUP($A:$A,CS!$A:$AK,19,FALSE),"")</f>
      </c>
      <c r="L197" s="79">
        <f>IFERROR(VLOOKUP($A:$A,CS!$A:$AK,20,FALSE),"")</f>
      </c>
      <c r="M197" s="79">
        <f>IFERROR(VLOOKUP($A:$A,CS!$A:$AK,22,FALSE),"")</f>
      </c>
      <c r="N197" s="79">
        <f>IFERROR(VLOOKUP($A:$A,CS!$A:$AK,19,FALSE),"")</f>
      </c>
      <c r="O197" s="79">
        <f>IFERROR(VLOOKUP($A:$A,CS!$A:$AK,23,FALSE),"")</f>
      </c>
      <c r="P197" s="79">
        <f>IFERROR(VLOOKUP($A:$A,CS!$A:$AK,24,FALSE),"")</f>
      </c>
      <c r="Q197" s="79">
        <f>IFERROR(VLOOKUP($A:$A,CS!$A:$AK,25,FALSE),"")</f>
      </c>
      <c r="R197" s="79">
        <f>IFERROR(VLOOKUP($A:$A,CS!$A:$AK,26,FALSE),"")</f>
      </c>
      <c r="S197" s="79">
        <f>IFERROR(VLOOKUP($A:$A,CS!$A:$AK,29,FALSE),"")</f>
      </c>
      <c r="T197" s="79">
        <f>IFERROR(VLOOKUP($A:$A,CS!$A:$AK,33,FALSE),"")</f>
      </c>
      <c r="U197" s="79">
        <f>IFERROR(VLOOKUP($A:$A,CS!$A:$AK,34,FALSE),"")</f>
      </c>
      <c r="V197" s="79">
        <f>IFERROR(VLOOKUP($A:$A,CS!$A:$AK,35,FALSE),"")</f>
      </c>
      <c r="W197" s="79">
        <f>IFERROR(VLOOKUP($A:$A,CS!$A:$AK,36,FALSE),"")</f>
      </c>
    </row>
    <row r="198" ht="16.5" customHeight="1" spans="1:23" x14ac:dyDescent="0.25">
      <c r="A198" s="93"/>
      <c r="B198" s="79">
        <f>IFERROR(VLOOKUP($A:$A,CS!$A:$AK,3,FALSE),"")</f>
      </c>
      <c r="C198" s="79">
        <f>IFERROR(VLOOKUP($A:$A,CS!$A:$AK,4,FALSE),"")</f>
      </c>
      <c r="D198" s="79">
        <f>IFERROR(VLOOKUP($A:$A,CS!$A:$AK,5,FALSE),"")</f>
      </c>
      <c r="E198" s="79">
        <f>IFERROR(VLOOKUP($A:$A,CS!$A:$AK,7,FALSE),"")</f>
      </c>
      <c r="F198" s="79">
        <f>IFERROR(VLOOKUP($A:$A,CS!$A:$AK,8,FALSE),"")</f>
      </c>
      <c r="G198" s="79">
        <f>IFERROR(VLOOKUP($A:$A,CS!$A:$AK,10,FALSE),"")</f>
      </c>
      <c r="H198" s="79">
        <f>IFERROR(VLOOKUP($A:$A,CS!$A:$AK,14,FALSE),"")</f>
      </c>
      <c r="I198" s="79">
        <f>IFERROR(VLOOKUP($A:$A,CS!$A:$AK,15,FALSE),"")</f>
      </c>
      <c r="J198" s="79">
        <f>IFERROR(VLOOKUP($A:$A,CS!$A:$AK,18,FALSE),"")</f>
      </c>
      <c r="K198" s="79">
        <f>IFERROR(VLOOKUP($A:$A,CS!$A:$AK,19,FALSE),"")</f>
      </c>
      <c r="L198" s="79">
        <f>IFERROR(VLOOKUP($A:$A,CS!$A:$AK,20,FALSE),"")</f>
      </c>
      <c r="M198" s="79">
        <f>IFERROR(VLOOKUP($A:$A,CS!$A:$AK,22,FALSE),"")</f>
      </c>
      <c r="N198" s="79">
        <f>IFERROR(VLOOKUP($A:$A,CS!$A:$AK,19,FALSE),"")</f>
      </c>
      <c r="O198" s="79">
        <f>IFERROR(VLOOKUP($A:$A,CS!$A:$AK,23,FALSE),"")</f>
      </c>
      <c r="P198" s="79">
        <f>IFERROR(VLOOKUP($A:$A,CS!$A:$AK,24,FALSE),"")</f>
      </c>
      <c r="Q198" s="79">
        <f>IFERROR(VLOOKUP($A:$A,CS!$A:$AK,25,FALSE),"")</f>
      </c>
      <c r="R198" s="79">
        <f>IFERROR(VLOOKUP($A:$A,CS!$A:$AK,26,FALSE),"")</f>
      </c>
      <c r="S198" s="79">
        <f>IFERROR(VLOOKUP($A:$A,CS!$A:$AK,29,FALSE),"")</f>
      </c>
      <c r="T198" s="79">
        <f>IFERROR(VLOOKUP($A:$A,CS!$A:$AK,33,FALSE),"")</f>
      </c>
      <c r="U198" s="79">
        <f>IFERROR(VLOOKUP($A:$A,CS!$A:$AK,34,FALSE),"")</f>
      </c>
      <c r="V198" s="79">
        <f>IFERROR(VLOOKUP($A:$A,CS!$A:$AK,35,FALSE),"")</f>
      </c>
      <c r="W198" s="79">
        <f>IFERROR(VLOOKUP($A:$A,CS!$A:$AK,36,FALSE),"")</f>
      </c>
    </row>
    <row r="199" ht="16.5" customHeight="1" spans="1:23" x14ac:dyDescent="0.25">
      <c r="A199" s="93"/>
      <c r="B199" s="79">
        <f>IFERROR(VLOOKUP($A:$A,CS!$A:$AK,3,FALSE),"")</f>
      </c>
      <c r="C199" s="79">
        <f>IFERROR(VLOOKUP($A:$A,CS!$A:$AK,4,FALSE),"")</f>
      </c>
      <c r="D199" s="79">
        <f>IFERROR(VLOOKUP($A:$A,CS!$A:$AK,5,FALSE),"")</f>
      </c>
      <c r="E199" s="79">
        <f>IFERROR(VLOOKUP($A:$A,CS!$A:$AK,7,FALSE),"")</f>
      </c>
      <c r="F199" s="79">
        <f>IFERROR(VLOOKUP($A:$A,CS!$A:$AK,8,FALSE),"")</f>
      </c>
      <c r="G199" s="79">
        <f>IFERROR(VLOOKUP($A:$A,CS!$A:$AK,10,FALSE),"")</f>
      </c>
      <c r="H199" s="79">
        <f>IFERROR(VLOOKUP($A:$A,CS!$A:$AK,14,FALSE),"")</f>
      </c>
      <c r="I199" s="79">
        <f>IFERROR(VLOOKUP($A:$A,CS!$A:$AK,15,FALSE),"")</f>
      </c>
      <c r="J199" s="79">
        <f>IFERROR(VLOOKUP($A:$A,CS!$A:$AK,18,FALSE),"")</f>
      </c>
      <c r="K199" s="79">
        <f>IFERROR(VLOOKUP($A:$A,CS!$A:$AK,19,FALSE),"")</f>
      </c>
      <c r="L199" s="79">
        <f>IFERROR(VLOOKUP($A:$A,CS!$A:$AK,20,FALSE),"")</f>
      </c>
      <c r="M199" s="79">
        <f>IFERROR(VLOOKUP($A:$A,CS!$A:$AK,22,FALSE),"")</f>
      </c>
      <c r="N199" s="79">
        <f>IFERROR(VLOOKUP($A:$A,CS!$A:$AK,19,FALSE),"")</f>
      </c>
      <c r="O199" s="79">
        <f>IFERROR(VLOOKUP($A:$A,CS!$A:$AK,23,FALSE),"")</f>
      </c>
      <c r="P199" s="79">
        <f>IFERROR(VLOOKUP($A:$A,CS!$A:$AK,24,FALSE),"")</f>
      </c>
      <c r="Q199" s="79">
        <f>IFERROR(VLOOKUP($A:$A,CS!$A:$AK,25,FALSE),"")</f>
      </c>
      <c r="R199" s="79">
        <f>IFERROR(VLOOKUP($A:$A,CS!$A:$AK,26,FALSE),"")</f>
      </c>
      <c r="S199" s="79">
        <f>IFERROR(VLOOKUP($A:$A,CS!$A:$AK,29,FALSE),"")</f>
      </c>
      <c r="T199" s="79">
        <f>IFERROR(VLOOKUP($A:$A,CS!$A:$AK,33,FALSE),"")</f>
      </c>
      <c r="U199" s="79">
        <f>IFERROR(VLOOKUP($A:$A,CS!$A:$AK,34,FALSE),"")</f>
      </c>
      <c r="V199" s="79">
        <f>IFERROR(VLOOKUP($A:$A,CS!$A:$AK,35,FALSE),"")</f>
      </c>
      <c r="W199" s="79">
        <f>IFERROR(VLOOKUP($A:$A,CS!$A:$AK,36,FALSE),"")</f>
      </c>
    </row>
    <row r="200" ht="16.5" customHeight="1" spans="1:23" x14ac:dyDescent="0.25">
      <c r="A200" s="93"/>
      <c r="B200" s="79">
        <f>IFERROR(VLOOKUP($A:$A,CS!$A:$AK,3,FALSE),"")</f>
      </c>
      <c r="C200" s="79">
        <f>IFERROR(VLOOKUP($A:$A,CS!$A:$AK,4,FALSE),"")</f>
      </c>
      <c r="D200" s="79">
        <f>IFERROR(VLOOKUP($A:$A,CS!$A:$AK,5,FALSE),"")</f>
      </c>
      <c r="E200" s="79">
        <f>IFERROR(VLOOKUP($A:$A,CS!$A:$AK,7,FALSE),"")</f>
      </c>
      <c r="F200" s="79">
        <f>IFERROR(VLOOKUP($A:$A,CS!$A:$AK,8,FALSE),"")</f>
      </c>
      <c r="G200" s="79">
        <f>IFERROR(VLOOKUP($A:$A,CS!$A:$AK,10,FALSE),"")</f>
      </c>
      <c r="H200" s="79">
        <f>IFERROR(VLOOKUP($A:$A,CS!$A:$AK,14,FALSE),"")</f>
      </c>
      <c r="I200" s="79">
        <f>IFERROR(VLOOKUP($A:$A,CS!$A:$AK,15,FALSE),"")</f>
      </c>
      <c r="J200" s="79">
        <f>IFERROR(VLOOKUP($A:$A,CS!$A:$AK,18,FALSE),"")</f>
      </c>
      <c r="K200" s="79">
        <f>IFERROR(VLOOKUP($A:$A,CS!$A:$AK,19,FALSE),"")</f>
      </c>
      <c r="L200" s="79">
        <f>IFERROR(VLOOKUP($A:$A,CS!$A:$AK,20,FALSE),"")</f>
      </c>
      <c r="M200" s="79">
        <f>IFERROR(VLOOKUP($A:$A,CS!$A:$AK,22,FALSE),"")</f>
      </c>
      <c r="N200" s="79">
        <f>IFERROR(VLOOKUP($A:$A,CS!$A:$AK,19,FALSE),"")</f>
      </c>
      <c r="O200" s="79">
        <f>IFERROR(VLOOKUP($A:$A,CS!$A:$AK,23,FALSE),"")</f>
      </c>
      <c r="P200" s="79">
        <f>IFERROR(VLOOKUP($A:$A,CS!$A:$AK,24,FALSE),"")</f>
      </c>
      <c r="Q200" s="79">
        <f>IFERROR(VLOOKUP($A:$A,CS!$A:$AK,25,FALSE),"")</f>
      </c>
      <c r="R200" s="79">
        <f>IFERROR(VLOOKUP($A:$A,CS!$A:$AK,26,FALSE),"")</f>
      </c>
      <c r="S200" s="79">
        <f>IFERROR(VLOOKUP($A:$A,CS!$A:$AK,29,FALSE),"")</f>
      </c>
      <c r="T200" s="79">
        <f>IFERROR(VLOOKUP($A:$A,CS!$A:$AK,33,FALSE),"")</f>
      </c>
      <c r="U200" s="79">
        <f>IFERROR(VLOOKUP($A:$A,CS!$A:$AK,34,FALSE),"")</f>
      </c>
      <c r="V200" s="79">
        <f>IFERROR(VLOOKUP($A:$A,CS!$A:$AK,35,FALSE),"")</f>
      </c>
      <c r="W200" s="79">
        <f>IFERROR(VLOOKUP($A:$A,CS!$A:$AK,36,FALSE),"")</f>
      </c>
    </row>
    <row r="201" ht="16.5" customHeight="1" spans="1:23" x14ac:dyDescent="0.25">
      <c r="A201" s="93"/>
      <c r="B201" s="79">
        <f>IFERROR(VLOOKUP($A:$A,CS!$A:$AK,3,FALSE),"")</f>
      </c>
      <c r="C201" s="79">
        <f>IFERROR(VLOOKUP($A:$A,CS!$A:$AK,4,FALSE),"")</f>
      </c>
      <c r="D201" s="79">
        <f>IFERROR(VLOOKUP($A:$A,CS!$A:$AK,5,FALSE),"")</f>
      </c>
      <c r="E201" s="79">
        <f>IFERROR(VLOOKUP($A:$A,CS!$A:$AK,7,FALSE),"")</f>
      </c>
      <c r="F201" s="79">
        <f>IFERROR(VLOOKUP($A:$A,CS!$A:$AK,8,FALSE),"")</f>
      </c>
      <c r="G201" s="79">
        <f>IFERROR(VLOOKUP($A:$A,CS!$A:$AK,10,FALSE),"")</f>
      </c>
      <c r="H201" s="79">
        <f>IFERROR(VLOOKUP($A:$A,CS!$A:$AK,14,FALSE),"")</f>
      </c>
      <c r="I201" s="79">
        <f>IFERROR(VLOOKUP($A:$A,CS!$A:$AK,15,FALSE),"")</f>
      </c>
      <c r="J201" s="79">
        <f>IFERROR(VLOOKUP($A:$A,CS!$A:$AK,18,FALSE),"")</f>
      </c>
      <c r="K201" s="79">
        <f>IFERROR(VLOOKUP($A:$A,CS!$A:$AK,19,FALSE),"")</f>
      </c>
      <c r="L201" s="79">
        <f>IFERROR(VLOOKUP($A:$A,CS!$A:$AK,20,FALSE),"")</f>
      </c>
      <c r="M201" s="79">
        <f>IFERROR(VLOOKUP($A:$A,CS!$A:$AK,22,FALSE),"")</f>
      </c>
      <c r="N201" s="79">
        <f>IFERROR(VLOOKUP($A:$A,CS!$A:$AK,19,FALSE),"")</f>
      </c>
      <c r="O201" s="79">
        <f>IFERROR(VLOOKUP($A:$A,CS!$A:$AK,23,FALSE),"")</f>
      </c>
      <c r="P201" s="79">
        <f>IFERROR(VLOOKUP($A:$A,CS!$A:$AK,24,FALSE),"")</f>
      </c>
      <c r="Q201" s="79">
        <f>IFERROR(VLOOKUP($A:$A,CS!$A:$AK,25,FALSE),"")</f>
      </c>
      <c r="R201" s="79">
        <f>IFERROR(VLOOKUP($A:$A,CS!$A:$AK,26,FALSE),"")</f>
      </c>
      <c r="S201" s="79">
        <f>IFERROR(VLOOKUP($A:$A,CS!$A:$AK,29,FALSE),"")</f>
      </c>
      <c r="T201" s="79">
        <f>IFERROR(VLOOKUP($A:$A,CS!$A:$AK,33,FALSE),"")</f>
      </c>
      <c r="U201" s="79">
        <f>IFERROR(VLOOKUP($A:$A,CS!$A:$AK,34,FALSE),"")</f>
      </c>
      <c r="V201" s="79">
        <f>IFERROR(VLOOKUP($A:$A,CS!$A:$AK,35,FALSE),"")</f>
      </c>
      <c r="W201" s="79">
        <f>IFERROR(VLOOKUP($A:$A,CS!$A:$AK,36,FALSE),"")</f>
      </c>
    </row>
    <row r="202" ht="16.5" customHeight="1" spans="1:23" x14ac:dyDescent="0.25">
      <c r="A202" s="93"/>
      <c r="B202" s="79">
        <f>IFERROR(VLOOKUP($A:$A,CS!$A:$AK,3,FALSE),"")</f>
      </c>
      <c r="C202" s="79">
        <f>IFERROR(VLOOKUP($A:$A,CS!$A:$AK,4,FALSE),"")</f>
      </c>
      <c r="D202" s="79">
        <f>IFERROR(VLOOKUP($A:$A,CS!$A:$AK,5,FALSE),"")</f>
      </c>
      <c r="E202" s="79">
        <f>IFERROR(VLOOKUP($A:$A,CS!$A:$AK,7,FALSE),"")</f>
      </c>
      <c r="F202" s="79">
        <f>IFERROR(VLOOKUP($A:$A,CS!$A:$AK,8,FALSE),"")</f>
      </c>
      <c r="G202" s="79">
        <f>IFERROR(VLOOKUP($A:$A,CS!$A:$AK,10,FALSE),"")</f>
      </c>
      <c r="H202" s="79">
        <f>IFERROR(VLOOKUP($A:$A,CS!$A:$AK,14,FALSE),"")</f>
      </c>
      <c r="I202" s="79">
        <f>IFERROR(VLOOKUP($A:$A,CS!$A:$AK,15,FALSE),"")</f>
      </c>
      <c r="J202" s="79">
        <f>IFERROR(VLOOKUP($A:$A,CS!$A:$AK,18,FALSE),"")</f>
      </c>
      <c r="K202" s="79">
        <f>IFERROR(VLOOKUP($A:$A,CS!$A:$AK,19,FALSE),"")</f>
      </c>
      <c r="L202" s="79">
        <f>IFERROR(VLOOKUP($A:$A,CS!$A:$AK,20,FALSE),"")</f>
      </c>
      <c r="M202" s="79">
        <f>IFERROR(VLOOKUP($A:$A,CS!$A:$AK,22,FALSE),"")</f>
      </c>
      <c r="N202" s="79">
        <f>IFERROR(VLOOKUP($A:$A,CS!$A:$AK,19,FALSE),"")</f>
      </c>
      <c r="O202" s="79">
        <f>IFERROR(VLOOKUP($A:$A,CS!$A:$AK,23,FALSE),"")</f>
      </c>
      <c r="P202" s="79">
        <f>IFERROR(VLOOKUP($A:$A,CS!$A:$AK,24,FALSE),"")</f>
      </c>
      <c r="Q202" s="79">
        <f>IFERROR(VLOOKUP($A:$A,CS!$A:$AK,25,FALSE),"")</f>
      </c>
      <c r="R202" s="79">
        <f>IFERROR(VLOOKUP($A:$A,CS!$A:$AK,26,FALSE),"")</f>
      </c>
      <c r="S202" s="79">
        <f>IFERROR(VLOOKUP($A:$A,CS!$A:$AK,29,FALSE),"")</f>
      </c>
      <c r="T202" s="79">
        <f>IFERROR(VLOOKUP($A:$A,CS!$A:$AK,33,FALSE),"")</f>
      </c>
      <c r="U202" s="79">
        <f>IFERROR(VLOOKUP($A:$A,CS!$A:$AK,34,FALSE),"")</f>
      </c>
      <c r="V202" s="79">
        <f>IFERROR(VLOOKUP($A:$A,CS!$A:$AK,35,FALSE),"")</f>
      </c>
      <c r="W202" s="79">
        <f>IFERROR(VLOOKUP($A:$A,CS!$A:$AK,36,FALSE),"")</f>
      </c>
    </row>
    <row r="203" ht="16.5" customHeight="1" spans="1:23" x14ac:dyDescent="0.25">
      <c r="A203" s="93"/>
      <c r="B203" s="79">
        <f>IFERROR(VLOOKUP($A:$A,CS!$A:$AK,3,FALSE),"")</f>
      </c>
      <c r="C203" s="79">
        <f>IFERROR(VLOOKUP($A:$A,CS!$A:$AK,4,FALSE),"")</f>
      </c>
      <c r="D203" s="79">
        <f>IFERROR(VLOOKUP($A:$A,CS!$A:$AK,5,FALSE),"")</f>
      </c>
      <c r="E203" s="79">
        <f>IFERROR(VLOOKUP($A:$A,CS!$A:$AK,7,FALSE),"")</f>
      </c>
      <c r="F203" s="79">
        <f>IFERROR(VLOOKUP($A:$A,CS!$A:$AK,8,FALSE),"")</f>
      </c>
      <c r="G203" s="79">
        <f>IFERROR(VLOOKUP($A:$A,CS!$A:$AK,10,FALSE),"")</f>
      </c>
      <c r="H203" s="79">
        <f>IFERROR(VLOOKUP($A:$A,CS!$A:$AK,14,FALSE),"")</f>
      </c>
      <c r="I203" s="79">
        <f>IFERROR(VLOOKUP($A:$A,CS!$A:$AK,15,FALSE),"")</f>
      </c>
      <c r="J203" s="79">
        <f>IFERROR(VLOOKUP($A:$A,CS!$A:$AK,18,FALSE),"")</f>
      </c>
      <c r="K203" s="79">
        <f>IFERROR(VLOOKUP($A:$A,CS!$A:$AK,19,FALSE),"")</f>
      </c>
      <c r="L203" s="79">
        <f>IFERROR(VLOOKUP($A:$A,CS!$A:$AK,20,FALSE),"")</f>
      </c>
      <c r="M203" s="79">
        <f>IFERROR(VLOOKUP($A:$A,CS!$A:$AK,22,FALSE),"")</f>
      </c>
      <c r="N203" s="79">
        <f>IFERROR(VLOOKUP($A:$A,CS!$A:$AK,19,FALSE),"")</f>
      </c>
      <c r="O203" s="79">
        <f>IFERROR(VLOOKUP($A:$A,CS!$A:$AK,23,FALSE),"")</f>
      </c>
      <c r="P203" s="79">
        <f>IFERROR(VLOOKUP($A:$A,CS!$A:$AK,24,FALSE),"")</f>
      </c>
      <c r="Q203" s="79">
        <f>IFERROR(VLOOKUP($A:$A,CS!$A:$AK,25,FALSE),"")</f>
      </c>
      <c r="R203" s="79">
        <f>IFERROR(VLOOKUP($A:$A,CS!$A:$AK,26,FALSE),"")</f>
      </c>
      <c r="S203" s="79">
        <f>IFERROR(VLOOKUP($A:$A,CS!$A:$AK,29,FALSE),"")</f>
      </c>
      <c r="T203" s="79">
        <f>IFERROR(VLOOKUP($A:$A,CS!$A:$AK,33,FALSE),"")</f>
      </c>
      <c r="U203" s="79">
        <f>IFERROR(VLOOKUP($A:$A,CS!$A:$AK,34,FALSE),"")</f>
      </c>
      <c r="V203" s="79">
        <f>IFERROR(VLOOKUP($A:$A,CS!$A:$AK,35,FALSE),"")</f>
      </c>
      <c r="W203" s="79">
        <f>IFERROR(VLOOKUP($A:$A,CS!$A:$AK,36,FALSE),"")</f>
      </c>
    </row>
    <row r="204" ht="16.5" customHeight="1" spans="1:23" x14ac:dyDescent="0.25">
      <c r="A204" s="93"/>
      <c r="B204" s="79">
        <f>IFERROR(VLOOKUP($A:$A,CS!$A:$AK,3,FALSE),"")</f>
      </c>
      <c r="C204" s="79">
        <f>IFERROR(VLOOKUP($A:$A,CS!$A:$AK,4,FALSE),"")</f>
      </c>
      <c r="D204" s="79">
        <f>IFERROR(VLOOKUP($A:$A,CS!$A:$AK,5,FALSE),"")</f>
      </c>
      <c r="E204" s="79">
        <f>IFERROR(VLOOKUP($A:$A,CS!$A:$AK,7,FALSE),"")</f>
      </c>
      <c r="F204" s="79">
        <f>IFERROR(VLOOKUP($A:$A,CS!$A:$AK,8,FALSE),"")</f>
      </c>
      <c r="G204" s="79">
        <f>IFERROR(VLOOKUP($A:$A,CS!$A:$AK,10,FALSE),"")</f>
      </c>
      <c r="H204" s="79">
        <f>IFERROR(VLOOKUP($A:$A,CS!$A:$AK,14,FALSE),"")</f>
      </c>
      <c r="I204" s="79">
        <f>IFERROR(VLOOKUP($A:$A,CS!$A:$AK,15,FALSE),"")</f>
      </c>
      <c r="J204" s="79">
        <f>IFERROR(VLOOKUP($A:$A,CS!$A:$AK,18,FALSE),"")</f>
      </c>
      <c r="K204" s="79">
        <f>IFERROR(VLOOKUP($A:$A,CS!$A:$AK,19,FALSE),"")</f>
      </c>
      <c r="L204" s="79">
        <f>IFERROR(VLOOKUP($A:$A,CS!$A:$AK,20,FALSE),"")</f>
      </c>
      <c r="M204" s="79">
        <f>IFERROR(VLOOKUP($A:$A,CS!$A:$AK,22,FALSE),"")</f>
      </c>
      <c r="N204" s="79">
        <f>IFERROR(VLOOKUP($A:$A,CS!$A:$AK,19,FALSE),"")</f>
      </c>
      <c r="O204" s="79">
        <f>IFERROR(VLOOKUP($A:$A,CS!$A:$AK,23,FALSE),"")</f>
      </c>
      <c r="P204" s="79">
        <f>IFERROR(VLOOKUP($A:$A,CS!$A:$AK,24,FALSE),"")</f>
      </c>
      <c r="Q204" s="79">
        <f>IFERROR(VLOOKUP($A:$A,CS!$A:$AK,25,FALSE),"")</f>
      </c>
      <c r="R204" s="79">
        <f>IFERROR(VLOOKUP($A:$A,CS!$A:$AK,26,FALSE),"")</f>
      </c>
      <c r="S204" s="79">
        <f>IFERROR(VLOOKUP($A:$A,CS!$A:$AK,29,FALSE),"")</f>
      </c>
      <c r="T204" s="79">
        <f>IFERROR(VLOOKUP($A:$A,CS!$A:$AK,33,FALSE),"")</f>
      </c>
      <c r="U204" s="79">
        <f>IFERROR(VLOOKUP($A:$A,CS!$A:$AK,34,FALSE),"")</f>
      </c>
      <c r="V204" s="79">
        <f>IFERROR(VLOOKUP($A:$A,CS!$A:$AK,35,FALSE),"")</f>
      </c>
      <c r="W204" s="79">
        <f>IFERROR(VLOOKUP($A:$A,CS!$A:$AK,36,FALSE),"")</f>
      </c>
    </row>
    <row r="205" ht="16.5" customHeight="1" spans="1:23" x14ac:dyDescent="0.25">
      <c r="A205" s="93"/>
      <c r="B205" s="79">
        <f>IFERROR(VLOOKUP($A:$A,CS!$A:$AK,3,FALSE),"")</f>
      </c>
      <c r="C205" s="79">
        <f>IFERROR(VLOOKUP($A:$A,CS!$A:$AK,4,FALSE),"")</f>
      </c>
      <c r="D205" s="79">
        <f>IFERROR(VLOOKUP($A:$A,CS!$A:$AK,5,FALSE),"")</f>
      </c>
      <c r="E205" s="79">
        <f>IFERROR(VLOOKUP($A:$A,CS!$A:$AK,7,FALSE),"")</f>
      </c>
      <c r="F205" s="79">
        <f>IFERROR(VLOOKUP($A:$A,CS!$A:$AK,8,FALSE),"")</f>
      </c>
      <c r="G205" s="79">
        <f>IFERROR(VLOOKUP($A:$A,CS!$A:$AK,10,FALSE),"")</f>
      </c>
      <c r="H205" s="79">
        <f>IFERROR(VLOOKUP($A:$A,CS!$A:$AK,14,FALSE),"")</f>
      </c>
      <c r="I205" s="79">
        <f>IFERROR(VLOOKUP($A:$A,CS!$A:$AK,15,FALSE),"")</f>
      </c>
      <c r="J205" s="79">
        <f>IFERROR(VLOOKUP($A:$A,CS!$A:$AK,18,FALSE),"")</f>
      </c>
      <c r="K205" s="79">
        <f>IFERROR(VLOOKUP($A:$A,CS!$A:$AK,19,FALSE),"")</f>
      </c>
      <c r="L205" s="79">
        <f>IFERROR(VLOOKUP($A:$A,CS!$A:$AK,20,FALSE),"")</f>
      </c>
      <c r="M205" s="79">
        <f>IFERROR(VLOOKUP($A:$A,CS!$A:$AK,22,FALSE),"")</f>
      </c>
      <c r="N205" s="79">
        <f>IFERROR(VLOOKUP($A:$A,CS!$A:$AK,19,FALSE),"")</f>
      </c>
      <c r="O205" s="79">
        <f>IFERROR(VLOOKUP($A:$A,CS!$A:$AK,23,FALSE),"")</f>
      </c>
      <c r="P205" s="79">
        <f>IFERROR(VLOOKUP($A:$A,CS!$A:$AK,24,FALSE),"")</f>
      </c>
      <c r="Q205" s="79">
        <f>IFERROR(VLOOKUP($A:$A,CS!$A:$AK,25,FALSE),"")</f>
      </c>
      <c r="R205" s="79">
        <f>IFERROR(VLOOKUP($A:$A,CS!$A:$AK,26,FALSE),"")</f>
      </c>
      <c r="S205" s="79">
        <f>IFERROR(VLOOKUP($A:$A,CS!$A:$AK,29,FALSE),"")</f>
      </c>
      <c r="T205" s="79">
        <f>IFERROR(VLOOKUP($A:$A,CS!$A:$AK,33,FALSE),"")</f>
      </c>
      <c r="U205" s="79">
        <f>IFERROR(VLOOKUP($A:$A,CS!$A:$AK,34,FALSE),"")</f>
      </c>
      <c r="V205" s="79">
        <f>IFERROR(VLOOKUP($A:$A,CS!$A:$AK,35,FALSE),"")</f>
      </c>
      <c r="W205" s="79">
        <f>IFERROR(VLOOKUP($A:$A,CS!$A:$AK,36,FALSE),"")</f>
      </c>
    </row>
    <row r="206" ht="16.5" customHeight="1" spans="1:23" x14ac:dyDescent="0.25">
      <c r="A206" s="93"/>
      <c r="B206" s="79">
        <f>IFERROR(VLOOKUP($A:$A,CS!$A:$AK,3,FALSE),"")</f>
      </c>
      <c r="C206" s="79">
        <f>IFERROR(VLOOKUP($A:$A,CS!$A:$AK,4,FALSE),"")</f>
      </c>
      <c r="D206" s="79">
        <f>IFERROR(VLOOKUP($A:$A,CS!$A:$AK,5,FALSE),"")</f>
      </c>
      <c r="E206" s="79">
        <f>IFERROR(VLOOKUP($A:$A,CS!$A:$AK,7,FALSE),"")</f>
      </c>
      <c r="F206" s="79">
        <f>IFERROR(VLOOKUP($A:$A,CS!$A:$AK,8,FALSE),"")</f>
      </c>
      <c r="G206" s="79">
        <f>IFERROR(VLOOKUP($A:$A,CS!$A:$AK,10,FALSE),"")</f>
      </c>
      <c r="H206" s="79">
        <f>IFERROR(VLOOKUP($A:$A,CS!$A:$AK,14,FALSE),"")</f>
      </c>
      <c r="I206" s="79">
        <f>IFERROR(VLOOKUP($A:$A,CS!$A:$AK,15,FALSE),"")</f>
      </c>
      <c r="J206" s="79">
        <f>IFERROR(VLOOKUP($A:$A,CS!$A:$AK,18,FALSE),"")</f>
      </c>
      <c r="K206" s="79">
        <f>IFERROR(VLOOKUP($A:$A,CS!$A:$AK,19,FALSE),"")</f>
      </c>
      <c r="L206" s="79">
        <f>IFERROR(VLOOKUP($A:$A,CS!$A:$AK,20,FALSE),"")</f>
      </c>
      <c r="M206" s="79">
        <f>IFERROR(VLOOKUP($A:$A,CS!$A:$AK,22,FALSE),"")</f>
      </c>
      <c r="N206" s="79">
        <f>IFERROR(VLOOKUP($A:$A,CS!$A:$AK,19,FALSE),"")</f>
      </c>
      <c r="O206" s="79">
        <f>IFERROR(VLOOKUP($A:$A,CS!$A:$AK,23,FALSE),"")</f>
      </c>
      <c r="P206" s="79">
        <f>IFERROR(VLOOKUP($A:$A,CS!$A:$AK,24,FALSE),"")</f>
      </c>
      <c r="Q206" s="79">
        <f>IFERROR(VLOOKUP($A:$A,CS!$A:$AK,25,FALSE),"")</f>
      </c>
      <c r="R206" s="79">
        <f>IFERROR(VLOOKUP($A:$A,CS!$A:$AK,26,FALSE),"")</f>
      </c>
      <c r="S206" s="79">
        <f>IFERROR(VLOOKUP($A:$A,CS!$A:$AK,29,FALSE),"")</f>
      </c>
      <c r="T206" s="79">
        <f>IFERROR(VLOOKUP($A:$A,CS!$A:$AK,33,FALSE),"")</f>
      </c>
      <c r="U206" s="79">
        <f>IFERROR(VLOOKUP($A:$A,CS!$A:$AK,34,FALSE),"")</f>
      </c>
      <c r="V206" s="79">
        <f>IFERROR(VLOOKUP($A:$A,CS!$A:$AK,35,FALSE),"")</f>
      </c>
      <c r="W206" s="79">
        <f>IFERROR(VLOOKUP($A:$A,CS!$A:$AK,36,FALSE),"")</f>
      </c>
    </row>
    <row r="207" ht="16.5" customHeight="1" spans="1:23" x14ac:dyDescent="0.25">
      <c r="A207" s="93"/>
      <c r="B207" s="79">
        <f>IFERROR(VLOOKUP($A:$A,CS!$A:$AK,3,FALSE),"")</f>
      </c>
      <c r="C207" s="79">
        <f>IFERROR(VLOOKUP($A:$A,CS!$A:$AK,4,FALSE),"")</f>
      </c>
      <c r="D207" s="79">
        <f>IFERROR(VLOOKUP($A:$A,CS!$A:$AK,5,FALSE),"")</f>
      </c>
      <c r="E207" s="79">
        <f>IFERROR(VLOOKUP($A:$A,CS!$A:$AK,7,FALSE),"")</f>
      </c>
      <c r="F207" s="79">
        <f>IFERROR(VLOOKUP($A:$A,CS!$A:$AK,8,FALSE),"")</f>
      </c>
      <c r="G207" s="79">
        <f>IFERROR(VLOOKUP($A:$A,CS!$A:$AK,10,FALSE),"")</f>
      </c>
      <c r="H207" s="79">
        <f>IFERROR(VLOOKUP($A:$A,CS!$A:$AK,14,FALSE),"")</f>
      </c>
      <c r="I207" s="79">
        <f>IFERROR(VLOOKUP($A:$A,CS!$A:$AK,15,FALSE),"")</f>
      </c>
      <c r="J207" s="79">
        <f>IFERROR(VLOOKUP($A:$A,CS!$A:$AK,18,FALSE),"")</f>
      </c>
      <c r="K207" s="79">
        <f>IFERROR(VLOOKUP($A:$A,CS!$A:$AK,19,FALSE),"")</f>
      </c>
      <c r="L207" s="79">
        <f>IFERROR(VLOOKUP($A:$A,CS!$A:$AK,20,FALSE),"")</f>
      </c>
      <c r="M207" s="79">
        <f>IFERROR(VLOOKUP($A:$A,CS!$A:$AK,22,FALSE),"")</f>
      </c>
      <c r="N207" s="79">
        <f>IFERROR(VLOOKUP($A:$A,CS!$A:$AK,19,FALSE),"")</f>
      </c>
      <c r="O207" s="79">
        <f>IFERROR(VLOOKUP($A:$A,CS!$A:$AK,23,FALSE),"")</f>
      </c>
      <c r="P207" s="79">
        <f>IFERROR(VLOOKUP($A:$A,CS!$A:$AK,24,FALSE),"")</f>
      </c>
      <c r="Q207" s="79">
        <f>IFERROR(VLOOKUP($A:$A,CS!$A:$AK,25,FALSE),"")</f>
      </c>
      <c r="R207" s="79">
        <f>IFERROR(VLOOKUP($A:$A,CS!$A:$AK,26,FALSE),"")</f>
      </c>
      <c r="S207" s="79">
        <f>IFERROR(VLOOKUP($A:$A,CS!$A:$AK,29,FALSE),"")</f>
      </c>
      <c r="T207" s="79">
        <f>IFERROR(VLOOKUP($A:$A,CS!$A:$AK,33,FALSE),"")</f>
      </c>
      <c r="U207" s="79">
        <f>IFERROR(VLOOKUP($A:$A,CS!$A:$AK,34,FALSE),"")</f>
      </c>
      <c r="V207" s="79">
        <f>IFERROR(VLOOKUP($A:$A,CS!$A:$AK,35,FALSE),"")</f>
      </c>
      <c r="W207" s="79">
        <f>IFERROR(VLOOKUP($A:$A,CS!$A:$AK,36,FALSE),"")</f>
      </c>
    </row>
    <row r="208" ht="16.5" customHeight="1" spans="1:23" x14ac:dyDescent="0.25">
      <c r="A208" s="93"/>
      <c r="B208" s="79">
        <f>IFERROR(VLOOKUP($A:$A,CS!$A:$AK,3,FALSE),"")</f>
      </c>
      <c r="C208" s="79">
        <f>IFERROR(VLOOKUP($A:$A,CS!$A:$AK,4,FALSE),"")</f>
      </c>
      <c r="D208" s="79">
        <f>IFERROR(VLOOKUP($A:$A,CS!$A:$AK,5,FALSE),"")</f>
      </c>
      <c r="E208" s="79">
        <f>IFERROR(VLOOKUP($A:$A,CS!$A:$AK,7,FALSE),"")</f>
      </c>
      <c r="F208" s="79">
        <f>IFERROR(VLOOKUP($A:$A,CS!$A:$AK,8,FALSE),"")</f>
      </c>
      <c r="G208" s="79">
        <f>IFERROR(VLOOKUP($A:$A,CS!$A:$AK,10,FALSE),"")</f>
      </c>
      <c r="H208" s="79">
        <f>IFERROR(VLOOKUP($A:$A,CS!$A:$AK,14,FALSE),"")</f>
      </c>
      <c r="I208" s="79">
        <f>IFERROR(VLOOKUP($A:$A,CS!$A:$AK,15,FALSE),"")</f>
      </c>
      <c r="J208" s="79">
        <f>IFERROR(VLOOKUP($A:$A,CS!$A:$AK,18,FALSE),"")</f>
      </c>
      <c r="K208" s="79">
        <f>IFERROR(VLOOKUP($A:$A,CS!$A:$AK,19,FALSE),"")</f>
      </c>
      <c r="L208" s="79">
        <f>IFERROR(VLOOKUP($A:$A,CS!$A:$AK,20,FALSE),"")</f>
      </c>
      <c r="M208" s="79">
        <f>IFERROR(VLOOKUP($A:$A,CS!$A:$AK,22,FALSE),"")</f>
      </c>
      <c r="N208" s="79">
        <f>IFERROR(VLOOKUP($A:$A,CS!$A:$AK,19,FALSE),"")</f>
      </c>
      <c r="O208" s="79">
        <f>IFERROR(VLOOKUP($A:$A,CS!$A:$AK,23,FALSE),"")</f>
      </c>
      <c r="P208" s="79">
        <f>IFERROR(VLOOKUP($A:$A,CS!$A:$AK,24,FALSE),"")</f>
      </c>
      <c r="Q208" s="79">
        <f>IFERROR(VLOOKUP($A:$A,CS!$A:$AK,25,FALSE),"")</f>
      </c>
      <c r="R208" s="79">
        <f>IFERROR(VLOOKUP($A:$A,CS!$A:$AK,26,FALSE),"")</f>
      </c>
      <c r="S208" s="79">
        <f>IFERROR(VLOOKUP($A:$A,CS!$A:$AK,29,FALSE),"")</f>
      </c>
      <c r="T208" s="79">
        <f>IFERROR(VLOOKUP($A:$A,CS!$A:$AK,33,FALSE),"")</f>
      </c>
      <c r="U208" s="79">
        <f>IFERROR(VLOOKUP($A:$A,CS!$A:$AK,34,FALSE),"")</f>
      </c>
      <c r="V208" s="79">
        <f>IFERROR(VLOOKUP($A:$A,CS!$A:$AK,35,FALSE),"")</f>
      </c>
      <c r="W208" s="79">
        <f>IFERROR(VLOOKUP($A:$A,CS!$A:$AK,36,FALSE),"")</f>
      </c>
    </row>
    <row r="209" ht="16.5" customHeight="1" spans="1:23" x14ac:dyDescent="0.25">
      <c r="A209" s="93"/>
      <c r="B209" s="79">
        <f>IFERROR(VLOOKUP($A:$A,CS!$A:$AK,3,FALSE),"")</f>
      </c>
      <c r="C209" s="79">
        <f>IFERROR(VLOOKUP($A:$A,CS!$A:$AK,4,FALSE),"")</f>
      </c>
      <c r="D209" s="79">
        <f>IFERROR(VLOOKUP($A:$A,CS!$A:$AK,5,FALSE),"")</f>
      </c>
      <c r="E209" s="79">
        <f>IFERROR(VLOOKUP($A:$A,CS!$A:$AK,7,FALSE),"")</f>
      </c>
      <c r="F209" s="79">
        <f>IFERROR(VLOOKUP($A:$A,CS!$A:$AK,8,FALSE),"")</f>
      </c>
      <c r="G209" s="79">
        <f>IFERROR(VLOOKUP($A:$A,CS!$A:$AK,10,FALSE),"")</f>
      </c>
      <c r="H209" s="79">
        <f>IFERROR(VLOOKUP($A:$A,CS!$A:$AK,14,FALSE),"")</f>
      </c>
      <c r="I209" s="79">
        <f>IFERROR(VLOOKUP($A:$A,CS!$A:$AK,15,FALSE),"")</f>
      </c>
      <c r="J209" s="79">
        <f>IFERROR(VLOOKUP($A:$A,CS!$A:$AK,18,FALSE),"")</f>
      </c>
      <c r="K209" s="79">
        <f>IFERROR(VLOOKUP($A:$A,CS!$A:$AK,19,FALSE),"")</f>
      </c>
      <c r="L209" s="79">
        <f>IFERROR(VLOOKUP($A:$A,CS!$A:$AK,20,FALSE),"")</f>
      </c>
      <c r="M209" s="79">
        <f>IFERROR(VLOOKUP($A:$A,CS!$A:$AK,22,FALSE),"")</f>
      </c>
      <c r="N209" s="79">
        <f>IFERROR(VLOOKUP($A:$A,CS!$A:$AK,19,FALSE),"")</f>
      </c>
      <c r="O209" s="79">
        <f>IFERROR(VLOOKUP($A:$A,CS!$A:$AK,23,FALSE),"")</f>
      </c>
      <c r="P209" s="79">
        <f>IFERROR(VLOOKUP($A:$A,CS!$A:$AK,24,FALSE),"")</f>
      </c>
      <c r="Q209" s="79">
        <f>IFERROR(VLOOKUP($A:$A,CS!$A:$AK,25,FALSE),"")</f>
      </c>
      <c r="R209" s="79">
        <f>IFERROR(VLOOKUP($A:$A,CS!$A:$AK,26,FALSE),"")</f>
      </c>
      <c r="S209" s="79">
        <f>IFERROR(VLOOKUP($A:$A,CS!$A:$AK,29,FALSE),"")</f>
      </c>
      <c r="T209" s="79">
        <f>IFERROR(VLOOKUP($A:$A,CS!$A:$AK,33,FALSE),"")</f>
      </c>
      <c r="U209" s="79">
        <f>IFERROR(VLOOKUP($A:$A,CS!$A:$AK,34,FALSE),"")</f>
      </c>
      <c r="V209" s="79">
        <f>IFERROR(VLOOKUP($A:$A,CS!$A:$AK,35,FALSE),"")</f>
      </c>
      <c r="W209" s="79">
        <f>IFERROR(VLOOKUP($A:$A,CS!$A:$AK,36,FALSE),"")</f>
      </c>
    </row>
    <row r="210" ht="16.5" customHeight="1" spans="1:23" x14ac:dyDescent="0.25">
      <c r="A210" s="93"/>
      <c r="B210" s="79">
        <f>IFERROR(VLOOKUP($A:$A,CS!$A:$AK,3,FALSE),"")</f>
      </c>
      <c r="C210" s="79">
        <f>IFERROR(VLOOKUP($A:$A,CS!$A:$AK,4,FALSE),"")</f>
      </c>
      <c r="D210" s="79">
        <f>IFERROR(VLOOKUP($A:$A,CS!$A:$AK,5,FALSE),"")</f>
      </c>
      <c r="E210" s="79">
        <f>IFERROR(VLOOKUP($A:$A,CS!$A:$AK,7,FALSE),"")</f>
      </c>
      <c r="F210" s="79">
        <f>IFERROR(VLOOKUP($A:$A,CS!$A:$AK,8,FALSE),"")</f>
      </c>
      <c r="G210" s="79">
        <f>IFERROR(VLOOKUP($A:$A,CS!$A:$AK,10,FALSE),"")</f>
      </c>
      <c r="H210" s="79">
        <f>IFERROR(VLOOKUP($A:$A,CS!$A:$AK,14,FALSE),"")</f>
      </c>
      <c r="I210" s="79">
        <f>IFERROR(VLOOKUP($A:$A,CS!$A:$AK,15,FALSE),"")</f>
      </c>
      <c r="J210" s="79">
        <f>IFERROR(VLOOKUP($A:$A,CS!$A:$AK,18,FALSE),"")</f>
      </c>
      <c r="K210" s="79">
        <f>IFERROR(VLOOKUP($A:$A,CS!$A:$AK,19,FALSE),"")</f>
      </c>
      <c r="L210" s="79">
        <f>IFERROR(VLOOKUP($A:$A,CS!$A:$AK,20,FALSE),"")</f>
      </c>
      <c r="M210" s="79">
        <f>IFERROR(VLOOKUP($A:$A,CS!$A:$AK,22,FALSE),"")</f>
      </c>
      <c r="N210" s="79">
        <f>IFERROR(VLOOKUP($A:$A,CS!$A:$AK,19,FALSE),"")</f>
      </c>
      <c r="O210" s="79">
        <f>IFERROR(VLOOKUP($A:$A,CS!$A:$AK,23,FALSE),"")</f>
      </c>
      <c r="P210" s="79">
        <f>IFERROR(VLOOKUP($A:$A,CS!$A:$AK,24,FALSE),"")</f>
      </c>
      <c r="Q210" s="79">
        <f>IFERROR(VLOOKUP($A:$A,CS!$A:$AK,25,FALSE),"")</f>
      </c>
      <c r="R210" s="79">
        <f>IFERROR(VLOOKUP($A:$A,CS!$A:$AK,26,FALSE),"")</f>
      </c>
      <c r="S210" s="79">
        <f>IFERROR(VLOOKUP($A:$A,CS!$A:$AK,29,FALSE),"")</f>
      </c>
      <c r="T210" s="79">
        <f>IFERROR(VLOOKUP($A:$A,CS!$A:$AK,33,FALSE),"")</f>
      </c>
      <c r="U210" s="79">
        <f>IFERROR(VLOOKUP($A:$A,CS!$A:$AK,34,FALSE),"")</f>
      </c>
      <c r="V210" s="79">
        <f>IFERROR(VLOOKUP($A:$A,CS!$A:$AK,35,FALSE),"")</f>
      </c>
      <c r="W210" s="79">
        <f>IFERROR(VLOOKUP($A:$A,CS!$A:$AK,36,FALSE),"")</f>
      </c>
    </row>
    <row r="211" ht="16.5" customHeight="1" spans="1:23" x14ac:dyDescent="0.25">
      <c r="A211" s="93"/>
      <c r="B211" s="79">
        <f>IFERROR(VLOOKUP($A:$A,CS!$A:$AK,3,FALSE),"")</f>
      </c>
      <c r="C211" s="79">
        <f>IFERROR(VLOOKUP($A:$A,CS!$A:$AK,4,FALSE),"")</f>
      </c>
      <c r="D211" s="79">
        <f>IFERROR(VLOOKUP($A:$A,CS!$A:$AK,5,FALSE),"")</f>
      </c>
      <c r="E211" s="79">
        <f>IFERROR(VLOOKUP($A:$A,CS!$A:$AK,7,FALSE),"")</f>
      </c>
      <c r="F211" s="79">
        <f>IFERROR(VLOOKUP($A:$A,CS!$A:$AK,8,FALSE),"")</f>
      </c>
      <c r="G211" s="79">
        <f>IFERROR(VLOOKUP($A:$A,CS!$A:$AK,10,FALSE),"")</f>
      </c>
      <c r="H211" s="79">
        <f>IFERROR(VLOOKUP($A:$A,CS!$A:$AK,14,FALSE),"")</f>
      </c>
      <c r="I211" s="79">
        <f>IFERROR(VLOOKUP($A:$A,CS!$A:$AK,15,FALSE),"")</f>
      </c>
      <c r="J211" s="79">
        <f>IFERROR(VLOOKUP($A:$A,CS!$A:$AK,18,FALSE),"")</f>
      </c>
      <c r="K211" s="79">
        <f>IFERROR(VLOOKUP($A:$A,CS!$A:$AK,19,FALSE),"")</f>
      </c>
      <c r="L211" s="79">
        <f>IFERROR(VLOOKUP($A:$A,CS!$A:$AK,20,FALSE),"")</f>
      </c>
      <c r="M211" s="79">
        <f>IFERROR(VLOOKUP($A:$A,CS!$A:$AK,22,FALSE),"")</f>
      </c>
      <c r="N211" s="79">
        <f>IFERROR(VLOOKUP($A:$A,CS!$A:$AK,19,FALSE),"")</f>
      </c>
      <c r="O211" s="79">
        <f>IFERROR(VLOOKUP($A:$A,CS!$A:$AK,23,FALSE),"")</f>
      </c>
      <c r="P211" s="79">
        <f>IFERROR(VLOOKUP($A:$A,CS!$A:$AK,24,FALSE),"")</f>
      </c>
      <c r="Q211" s="79">
        <f>IFERROR(VLOOKUP($A:$A,CS!$A:$AK,25,FALSE),"")</f>
      </c>
      <c r="R211" s="79">
        <f>IFERROR(VLOOKUP($A:$A,CS!$A:$AK,26,FALSE),"")</f>
      </c>
      <c r="S211" s="79">
        <f>IFERROR(VLOOKUP($A:$A,CS!$A:$AK,29,FALSE),"")</f>
      </c>
      <c r="T211" s="79">
        <f>IFERROR(VLOOKUP($A:$A,CS!$A:$AK,33,FALSE),"")</f>
      </c>
      <c r="U211" s="79">
        <f>IFERROR(VLOOKUP($A:$A,CS!$A:$AK,34,FALSE),"")</f>
      </c>
      <c r="V211" s="79">
        <f>IFERROR(VLOOKUP($A:$A,CS!$A:$AK,35,FALSE),"")</f>
      </c>
      <c r="W211" s="79">
        <f>IFERROR(VLOOKUP($A:$A,CS!$A:$AK,36,FALSE),"")</f>
      </c>
    </row>
    <row r="212" ht="16.5" customHeight="1" spans="1:23" x14ac:dyDescent="0.25">
      <c r="A212" s="93"/>
      <c r="B212" s="79">
        <f>IFERROR(VLOOKUP($A:$A,CS!$A:$AK,3,FALSE),"")</f>
      </c>
      <c r="C212" s="79">
        <f>IFERROR(VLOOKUP($A:$A,CS!$A:$AK,4,FALSE),"")</f>
      </c>
      <c r="D212" s="79">
        <f>IFERROR(VLOOKUP($A:$A,CS!$A:$AK,5,FALSE),"")</f>
      </c>
      <c r="E212" s="79">
        <f>IFERROR(VLOOKUP($A:$A,CS!$A:$AK,7,FALSE),"")</f>
      </c>
      <c r="F212" s="79">
        <f>IFERROR(VLOOKUP($A:$A,CS!$A:$AK,8,FALSE),"")</f>
      </c>
      <c r="G212" s="79">
        <f>IFERROR(VLOOKUP($A:$A,CS!$A:$AK,10,FALSE),"")</f>
      </c>
      <c r="H212" s="79">
        <f>IFERROR(VLOOKUP($A:$A,CS!$A:$AK,14,FALSE),"")</f>
      </c>
      <c r="I212" s="79">
        <f>IFERROR(VLOOKUP($A:$A,CS!$A:$AK,15,FALSE),"")</f>
      </c>
      <c r="J212" s="79">
        <f>IFERROR(VLOOKUP($A:$A,CS!$A:$AK,18,FALSE),"")</f>
      </c>
      <c r="K212" s="79">
        <f>IFERROR(VLOOKUP($A:$A,CS!$A:$AK,19,FALSE),"")</f>
      </c>
      <c r="L212" s="79">
        <f>IFERROR(VLOOKUP($A:$A,CS!$A:$AK,20,FALSE),"")</f>
      </c>
      <c r="M212" s="79">
        <f>IFERROR(VLOOKUP($A:$A,CS!$A:$AK,22,FALSE),"")</f>
      </c>
      <c r="N212" s="79">
        <f>IFERROR(VLOOKUP($A:$A,CS!$A:$AK,19,FALSE),"")</f>
      </c>
      <c r="O212" s="79">
        <f>IFERROR(VLOOKUP($A:$A,CS!$A:$AK,23,FALSE),"")</f>
      </c>
      <c r="P212" s="79">
        <f>IFERROR(VLOOKUP($A:$A,CS!$A:$AK,24,FALSE),"")</f>
      </c>
      <c r="Q212" s="79">
        <f>IFERROR(VLOOKUP($A:$A,CS!$A:$AK,25,FALSE),"")</f>
      </c>
      <c r="R212" s="79">
        <f>IFERROR(VLOOKUP($A:$A,CS!$A:$AK,26,FALSE),"")</f>
      </c>
      <c r="S212" s="79">
        <f>IFERROR(VLOOKUP($A:$A,CS!$A:$AK,29,FALSE),"")</f>
      </c>
      <c r="T212" s="79">
        <f>IFERROR(VLOOKUP($A:$A,CS!$A:$AK,33,FALSE),"")</f>
      </c>
      <c r="U212" s="79">
        <f>IFERROR(VLOOKUP($A:$A,CS!$A:$AK,34,FALSE),"")</f>
      </c>
      <c r="V212" s="79">
        <f>IFERROR(VLOOKUP($A:$A,CS!$A:$AK,35,FALSE),"")</f>
      </c>
      <c r="W212" s="79">
        <f>IFERROR(VLOOKUP($A:$A,CS!$A:$AK,36,FALSE),"")</f>
      </c>
    </row>
    <row r="213" ht="16.5" customHeight="1" spans="1:23" x14ac:dyDescent="0.25">
      <c r="A213" s="93"/>
      <c r="B213" s="79">
        <f>IFERROR(VLOOKUP($A:$A,CS!$A:$AK,3,FALSE),"")</f>
      </c>
      <c r="C213" s="79">
        <f>IFERROR(VLOOKUP($A:$A,CS!$A:$AK,4,FALSE),"")</f>
      </c>
      <c r="D213" s="79">
        <f>IFERROR(VLOOKUP($A:$A,CS!$A:$AK,5,FALSE),"")</f>
      </c>
      <c r="E213" s="79">
        <f>IFERROR(VLOOKUP($A:$A,CS!$A:$AK,7,FALSE),"")</f>
      </c>
      <c r="F213" s="79">
        <f>IFERROR(VLOOKUP($A:$A,CS!$A:$AK,8,FALSE),"")</f>
      </c>
      <c r="G213" s="79">
        <f>IFERROR(VLOOKUP($A:$A,CS!$A:$AK,10,FALSE),"")</f>
      </c>
      <c r="H213" s="79">
        <f>IFERROR(VLOOKUP($A:$A,CS!$A:$AK,14,FALSE),"")</f>
      </c>
      <c r="I213" s="79">
        <f>IFERROR(VLOOKUP($A:$A,CS!$A:$AK,15,FALSE),"")</f>
      </c>
      <c r="J213" s="79">
        <f>IFERROR(VLOOKUP($A:$A,CS!$A:$AK,18,FALSE),"")</f>
      </c>
      <c r="K213" s="79">
        <f>IFERROR(VLOOKUP($A:$A,CS!$A:$AK,19,FALSE),"")</f>
      </c>
      <c r="L213" s="79">
        <f>IFERROR(VLOOKUP($A:$A,CS!$A:$AK,20,FALSE),"")</f>
      </c>
      <c r="M213" s="79">
        <f>IFERROR(VLOOKUP($A:$A,CS!$A:$AK,22,FALSE),"")</f>
      </c>
      <c r="N213" s="79">
        <f>IFERROR(VLOOKUP($A:$A,CS!$A:$AK,19,FALSE),"")</f>
      </c>
      <c r="O213" s="79">
        <f>IFERROR(VLOOKUP($A:$A,CS!$A:$AK,23,FALSE),"")</f>
      </c>
      <c r="P213" s="79">
        <f>IFERROR(VLOOKUP($A:$A,CS!$A:$AK,24,FALSE),"")</f>
      </c>
      <c r="Q213" s="79">
        <f>IFERROR(VLOOKUP($A:$A,CS!$A:$AK,25,FALSE),"")</f>
      </c>
      <c r="R213" s="79">
        <f>IFERROR(VLOOKUP($A:$A,CS!$A:$AK,26,FALSE),"")</f>
      </c>
      <c r="S213" s="79">
        <f>IFERROR(VLOOKUP($A:$A,CS!$A:$AK,29,FALSE),"")</f>
      </c>
      <c r="T213" s="79">
        <f>IFERROR(VLOOKUP($A:$A,CS!$A:$AK,33,FALSE),"")</f>
      </c>
      <c r="U213" s="79">
        <f>IFERROR(VLOOKUP($A:$A,CS!$A:$AK,34,FALSE),"")</f>
      </c>
      <c r="V213" s="79">
        <f>IFERROR(VLOOKUP($A:$A,CS!$A:$AK,35,FALSE),"")</f>
      </c>
      <c r="W213" s="79">
        <f>IFERROR(VLOOKUP($A:$A,CS!$A:$AK,36,FALSE),"")</f>
      </c>
    </row>
    <row r="214" ht="16.5" customHeight="1" spans="1:23" x14ac:dyDescent="0.25">
      <c r="A214" s="93"/>
      <c r="B214" s="79">
        <f>IFERROR(VLOOKUP($A:$A,CS!$A:$AK,3,FALSE),"")</f>
      </c>
      <c r="C214" s="79">
        <f>IFERROR(VLOOKUP($A:$A,CS!$A:$AK,4,FALSE),"")</f>
      </c>
      <c r="D214" s="79">
        <f>IFERROR(VLOOKUP($A:$A,CS!$A:$AK,5,FALSE),"")</f>
      </c>
      <c r="E214" s="79">
        <f>IFERROR(VLOOKUP($A:$A,CS!$A:$AK,7,FALSE),"")</f>
      </c>
      <c r="F214" s="79">
        <f>IFERROR(VLOOKUP($A:$A,CS!$A:$AK,8,FALSE),"")</f>
      </c>
      <c r="G214" s="79">
        <f>IFERROR(VLOOKUP($A:$A,CS!$A:$AK,10,FALSE),"")</f>
      </c>
      <c r="H214" s="79">
        <f>IFERROR(VLOOKUP($A:$A,CS!$A:$AK,14,FALSE),"")</f>
      </c>
      <c r="I214" s="79">
        <f>IFERROR(VLOOKUP($A:$A,CS!$A:$AK,15,FALSE),"")</f>
      </c>
      <c r="J214" s="79">
        <f>IFERROR(VLOOKUP($A:$A,CS!$A:$AK,18,FALSE),"")</f>
      </c>
      <c r="K214" s="79">
        <f>IFERROR(VLOOKUP($A:$A,CS!$A:$AK,19,FALSE),"")</f>
      </c>
      <c r="L214" s="79">
        <f>IFERROR(VLOOKUP($A:$A,CS!$A:$AK,20,FALSE),"")</f>
      </c>
      <c r="M214" s="79">
        <f>IFERROR(VLOOKUP($A:$A,CS!$A:$AK,22,FALSE),"")</f>
      </c>
      <c r="N214" s="79">
        <f>IFERROR(VLOOKUP($A:$A,CS!$A:$AK,19,FALSE),"")</f>
      </c>
      <c r="O214" s="79">
        <f>IFERROR(VLOOKUP($A:$A,CS!$A:$AK,23,FALSE),"")</f>
      </c>
      <c r="P214" s="79">
        <f>IFERROR(VLOOKUP($A:$A,CS!$A:$AK,24,FALSE),"")</f>
      </c>
      <c r="Q214" s="79">
        <f>IFERROR(VLOOKUP($A:$A,CS!$A:$AK,25,FALSE),"")</f>
      </c>
      <c r="R214" s="79">
        <f>IFERROR(VLOOKUP($A:$A,CS!$A:$AK,26,FALSE),"")</f>
      </c>
      <c r="S214" s="79">
        <f>IFERROR(VLOOKUP($A:$A,CS!$A:$AK,29,FALSE),"")</f>
      </c>
      <c r="T214" s="79">
        <f>IFERROR(VLOOKUP($A:$A,CS!$A:$AK,33,FALSE),"")</f>
      </c>
      <c r="U214" s="79">
        <f>IFERROR(VLOOKUP($A:$A,CS!$A:$AK,34,FALSE),"")</f>
      </c>
      <c r="V214" s="79">
        <f>IFERROR(VLOOKUP($A:$A,CS!$A:$AK,35,FALSE),"")</f>
      </c>
      <c r="W214" s="79">
        <f>IFERROR(VLOOKUP($A:$A,CS!$A:$AK,36,FALSE),"")</f>
      </c>
    </row>
    <row r="215" ht="16.5" customHeight="1" spans="1:23" x14ac:dyDescent="0.25">
      <c r="A215" s="93"/>
      <c r="B215" s="79">
        <f>IFERROR(VLOOKUP($A:$A,CS!$A:$AK,3,FALSE),"")</f>
      </c>
      <c r="C215" s="79">
        <f>IFERROR(VLOOKUP($A:$A,CS!$A:$AK,4,FALSE),"")</f>
      </c>
      <c r="D215" s="79">
        <f>IFERROR(VLOOKUP($A:$A,CS!$A:$AK,5,FALSE),"")</f>
      </c>
      <c r="E215" s="79">
        <f>IFERROR(VLOOKUP($A:$A,CS!$A:$AK,7,FALSE),"")</f>
      </c>
      <c r="F215" s="79">
        <f>IFERROR(VLOOKUP($A:$A,CS!$A:$AK,8,FALSE),"")</f>
      </c>
      <c r="G215" s="79">
        <f>IFERROR(VLOOKUP($A:$A,CS!$A:$AK,10,FALSE),"")</f>
      </c>
      <c r="H215" s="79">
        <f>IFERROR(VLOOKUP($A:$A,CS!$A:$AK,14,FALSE),"")</f>
      </c>
      <c r="I215" s="79">
        <f>IFERROR(VLOOKUP($A:$A,CS!$A:$AK,15,FALSE),"")</f>
      </c>
      <c r="J215" s="79">
        <f>IFERROR(VLOOKUP($A:$A,CS!$A:$AK,18,FALSE),"")</f>
      </c>
      <c r="K215" s="79">
        <f>IFERROR(VLOOKUP($A:$A,CS!$A:$AK,19,FALSE),"")</f>
      </c>
      <c r="L215" s="79">
        <f>IFERROR(VLOOKUP($A:$A,CS!$A:$AK,20,FALSE),"")</f>
      </c>
      <c r="M215" s="79">
        <f>IFERROR(VLOOKUP($A:$A,CS!$A:$AK,22,FALSE),"")</f>
      </c>
      <c r="N215" s="79">
        <f>IFERROR(VLOOKUP($A:$A,CS!$A:$AK,19,FALSE),"")</f>
      </c>
      <c r="O215" s="79">
        <f>IFERROR(VLOOKUP($A:$A,CS!$A:$AK,23,FALSE),"")</f>
      </c>
      <c r="P215" s="79">
        <f>IFERROR(VLOOKUP($A:$A,CS!$A:$AK,24,FALSE),"")</f>
      </c>
      <c r="Q215" s="79">
        <f>IFERROR(VLOOKUP($A:$A,CS!$A:$AK,25,FALSE),"")</f>
      </c>
      <c r="R215" s="79">
        <f>IFERROR(VLOOKUP($A:$A,CS!$A:$AK,26,FALSE),"")</f>
      </c>
      <c r="S215" s="79">
        <f>IFERROR(VLOOKUP($A:$A,CS!$A:$AK,29,FALSE),"")</f>
      </c>
      <c r="T215" s="79">
        <f>IFERROR(VLOOKUP($A:$A,CS!$A:$AK,33,FALSE),"")</f>
      </c>
      <c r="U215" s="79">
        <f>IFERROR(VLOOKUP($A:$A,CS!$A:$AK,34,FALSE),"")</f>
      </c>
      <c r="V215" s="79">
        <f>IFERROR(VLOOKUP($A:$A,CS!$A:$AK,35,FALSE),"")</f>
      </c>
      <c r="W215" s="79">
        <f>IFERROR(VLOOKUP($A:$A,CS!$A:$AK,36,FALSE),"")</f>
      </c>
    </row>
    <row r="216" ht="16.5" customHeight="1" spans="1:23" x14ac:dyDescent="0.25">
      <c r="A216" s="93"/>
      <c r="B216" s="79">
        <f>IFERROR(VLOOKUP($A:$A,CS!$A:$AK,3,FALSE),"")</f>
      </c>
      <c r="C216" s="79">
        <f>IFERROR(VLOOKUP($A:$A,CS!$A:$AK,4,FALSE),"")</f>
      </c>
      <c r="D216" s="79">
        <f>IFERROR(VLOOKUP($A:$A,CS!$A:$AK,5,FALSE),"")</f>
      </c>
      <c r="E216" s="79">
        <f>IFERROR(VLOOKUP($A:$A,CS!$A:$AK,7,FALSE),"")</f>
      </c>
      <c r="F216" s="79">
        <f>IFERROR(VLOOKUP($A:$A,CS!$A:$AK,8,FALSE),"")</f>
      </c>
      <c r="G216" s="79">
        <f>IFERROR(VLOOKUP($A:$A,CS!$A:$AK,10,FALSE),"")</f>
      </c>
      <c r="H216" s="79">
        <f>IFERROR(VLOOKUP($A:$A,CS!$A:$AK,14,FALSE),"")</f>
      </c>
      <c r="I216" s="79">
        <f>IFERROR(VLOOKUP($A:$A,CS!$A:$AK,15,FALSE),"")</f>
      </c>
      <c r="J216" s="79">
        <f>IFERROR(VLOOKUP($A:$A,CS!$A:$AK,18,FALSE),"")</f>
      </c>
      <c r="K216" s="79">
        <f>IFERROR(VLOOKUP($A:$A,CS!$A:$AK,19,FALSE),"")</f>
      </c>
      <c r="L216" s="79">
        <f>IFERROR(VLOOKUP($A:$A,CS!$A:$AK,20,FALSE),"")</f>
      </c>
      <c r="M216" s="79">
        <f>IFERROR(VLOOKUP($A:$A,CS!$A:$AK,22,FALSE),"")</f>
      </c>
      <c r="N216" s="79">
        <f>IFERROR(VLOOKUP($A:$A,CS!$A:$AK,19,FALSE),"")</f>
      </c>
      <c r="O216" s="79">
        <f>IFERROR(VLOOKUP($A:$A,CS!$A:$AK,23,FALSE),"")</f>
      </c>
      <c r="P216" s="79">
        <f>IFERROR(VLOOKUP($A:$A,CS!$A:$AK,24,FALSE),"")</f>
      </c>
      <c r="Q216" s="79">
        <f>IFERROR(VLOOKUP($A:$A,CS!$A:$AK,25,FALSE),"")</f>
      </c>
      <c r="R216" s="79">
        <f>IFERROR(VLOOKUP($A:$A,CS!$A:$AK,26,FALSE),"")</f>
      </c>
      <c r="S216" s="79">
        <f>IFERROR(VLOOKUP($A:$A,CS!$A:$AK,29,FALSE),"")</f>
      </c>
      <c r="T216" s="79">
        <f>IFERROR(VLOOKUP($A:$A,CS!$A:$AK,33,FALSE),"")</f>
      </c>
      <c r="U216" s="79">
        <f>IFERROR(VLOOKUP($A:$A,CS!$A:$AK,34,FALSE),"")</f>
      </c>
      <c r="V216" s="79">
        <f>IFERROR(VLOOKUP($A:$A,CS!$A:$AK,35,FALSE),"")</f>
      </c>
      <c r="W216" s="79">
        <f>IFERROR(VLOOKUP($A:$A,CS!$A:$AK,36,FALSE),"")</f>
      </c>
    </row>
    <row r="217" ht="16.5" customHeight="1" spans="1:23" x14ac:dyDescent="0.25">
      <c r="A217" s="93"/>
      <c r="B217" s="79">
        <f>IFERROR(VLOOKUP($A:$A,CS!$A:$AK,3,FALSE),"")</f>
      </c>
      <c r="C217" s="79">
        <f>IFERROR(VLOOKUP($A:$A,CS!$A:$AK,4,FALSE),"")</f>
      </c>
      <c r="D217" s="79">
        <f>IFERROR(VLOOKUP($A:$A,CS!$A:$AK,5,FALSE),"")</f>
      </c>
      <c r="E217" s="79">
        <f>IFERROR(VLOOKUP($A:$A,CS!$A:$AK,7,FALSE),"")</f>
      </c>
      <c r="F217" s="79">
        <f>IFERROR(VLOOKUP($A:$A,CS!$A:$AK,8,FALSE),"")</f>
      </c>
      <c r="G217" s="79">
        <f>IFERROR(VLOOKUP($A:$A,CS!$A:$AK,10,FALSE),"")</f>
      </c>
      <c r="H217" s="79">
        <f>IFERROR(VLOOKUP($A:$A,CS!$A:$AK,14,FALSE),"")</f>
      </c>
      <c r="I217" s="79">
        <f>IFERROR(VLOOKUP($A:$A,CS!$A:$AK,15,FALSE),"")</f>
      </c>
      <c r="J217" s="79">
        <f>IFERROR(VLOOKUP($A:$A,CS!$A:$AK,18,FALSE),"")</f>
      </c>
      <c r="K217" s="79">
        <f>IFERROR(VLOOKUP($A:$A,CS!$A:$AK,19,FALSE),"")</f>
      </c>
      <c r="L217" s="79">
        <f>IFERROR(VLOOKUP($A:$A,CS!$A:$AK,20,FALSE),"")</f>
      </c>
      <c r="M217" s="79">
        <f>IFERROR(VLOOKUP($A:$A,CS!$A:$AK,22,FALSE),"")</f>
      </c>
      <c r="N217" s="79">
        <f>IFERROR(VLOOKUP($A:$A,CS!$A:$AK,19,FALSE),"")</f>
      </c>
      <c r="O217" s="79">
        <f>IFERROR(VLOOKUP($A:$A,CS!$A:$AK,23,FALSE),"")</f>
      </c>
      <c r="P217" s="79">
        <f>IFERROR(VLOOKUP($A:$A,CS!$A:$AK,24,FALSE),"")</f>
      </c>
      <c r="Q217" s="79">
        <f>IFERROR(VLOOKUP($A:$A,CS!$A:$AK,25,FALSE),"")</f>
      </c>
      <c r="R217" s="79">
        <f>IFERROR(VLOOKUP($A:$A,CS!$A:$AK,26,FALSE),"")</f>
      </c>
      <c r="S217" s="79">
        <f>IFERROR(VLOOKUP($A:$A,CS!$A:$AK,29,FALSE),"")</f>
      </c>
      <c r="T217" s="79">
        <f>IFERROR(VLOOKUP($A:$A,CS!$A:$AK,33,FALSE),"")</f>
      </c>
      <c r="U217" s="79">
        <f>IFERROR(VLOOKUP($A:$A,CS!$A:$AK,34,FALSE),"")</f>
      </c>
      <c r="V217" s="79">
        <f>IFERROR(VLOOKUP($A:$A,CS!$A:$AK,35,FALSE),"")</f>
      </c>
      <c r="W217" s="79">
        <f>IFERROR(VLOOKUP($A:$A,CS!$A:$AK,36,FALSE),"")</f>
      </c>
    </row>
    <row r="218" ht="16.5" customHeight="1" spans="1:23" x14ac:dyDescent="0.25">
      <c r="A218" s="93"/>
      <c r="B218" s="79">
        <f>IFERROR(VLOOKUP($A:$A,CS!$A:$AK,3,FALSE),"")</f>
      </c>
      <c r="C218" s="79">
        <f>IFERROR(VLOOKUP($A:$A,CS!$A:$AK,4,FALSE),"")</f>
      </c>
      <c r="D218" s="79">
        <f>IFERROR(VLOOKUP($A:$A,CS!$A:$AK,5,FALSE),"")</f>
      </c>
      <c r="E218" s="79">
        <f>IFERROR(VLOOKUP($A:$A,CS!$A:$AK,7,FALSE),"")</f>
      </c>
      <c r="F218" s="79">
        <f>IFERROR(VLOOKUP($A:$A,CS!$A:$AK,8,FALSE),"")</f>
      </c>
      <c r="G218" s="79">
        <f>IFERROR(VLOOKUP($A:$A,CS!$A:$AK,10,FALSE),"")</f>
      </c>
      <c r="H218" s="79">
        <f>IFERROR(VLOOKUP($A:$A,CS!$A:$AK,14,FALSE),"")</f>
      </c>
      <c r="I218" s="79">
        <f>IFERROR(VLOOKUP($A:$A,CS!$A:$AK,15,FALSE),"")</f>
      </c>
      <c r="J218" s="79">
        <f>IFERROR(VLOOKUP($A:$A,CS!$A:$AK,18,FALSE),"")</f>
      </c>
      <c r="K218" s="79">
        <f>IFERROR(VLOOKUP($A:$A,CS!$A:$AK,19,FALSE),"")</f>
      </c>
      <c r="L218" s="79">
        <f>IFERROR(VLOOKUP($A:$A,CS!$A:$AK,20,FALSE),"")</f>
      </c>
      <c r="M218" s="79">
        <f>IFERROR(VLOOKUP($A:$A,CS!$A:$AK,22,FALSE),"")</f>
      </c>
      <c r="N218" s="79">
        <f>IFERROR(VLOOKUP($A:$A,CS!$A:$AK,19,FALSE),"")</f>
      </c>
      <c r="O218" s="79">
        <f>IFERROR(VLOOKUP($A:$A,CS!$A:$AK,23,FALSE),"")</f>
      </c>
      <c r="P218" s="79">
        <f>IFERROR(VLOOKUP($A:$A,CS!$A:$AK,24,FALSE),"")</f>
      </c>
      <c r="Q218" s="79">
        <f>IFERROR(VLOOKUP($A:$A,CS!$A:$AK,25,FALSE),"")</f>
      </c>
      <c r="R218" s="79">
        <f>IFERROR(VLOOKUP($A:$A,CS!$A:$AK,26,FALSE),"")</f>
      </c>
      <c r="S218" s="79">
        <f>IFERROR(VLOOKUP($A:$A,CS!$A:$AK,29,FALSE),"")</f>
      </c>
      <c r="T218" s="79">
        <f>IFERROR(VLOOKUP($A:$A,CS!$A:$AK,33,FALSE),"")</f>
      </c>
      <c r="U218" s="79">
        <f>IFERROR(VLOOKUP($A:$A,CS!$A:$AK,34,FALSE),"")</f>
      </c>
      <c r="V218" s="79">
        <f>IFERROR(VLOOKUP($A:$A,CS!$A:$AK,35,FALSE),"")</f>
      </c>
      <c r="W218" s="79">
        <f>IFERROR(VLOOKUP($A:$A,CS!$A:$AK,36,FALSE),"")</f>
      </c>
    </row>
    <row r="219" ht="16.5" customHeight="1" spans="1:23" x14ac:dyDescent="0.25">
      <c r="A219" s="93"/>
      <c r="B219" s="79">
        <f>IFERROR(VLOOKUP($A:$A,CS!$A:$AK,3,FALSE),"")</f>
      </c>
      <c r="C219" s="79">
        <f>IFERROR(VLOOKUP($A:$A,CS!$A:$AK,4,FALSE),"")</f>
      </c>
      <c r="D219" s="79">
        <f>IFERROR(VLOOKUP($A:$A,CS!$A:$AK,5,FALSE),"")</f>
      </c>
      <c r="E219" s="79">
        <f>IFERROR(VLOOKUP($A:$A,CS!$A:$AK,7,FALSE),"")</f>
      </c>
      <c r="F219" s="79">
        <f>IFERROR(VLOOKUP($A:$A,CS!$A:$AK,8,FALSE),"")</f>
      </c>
      <c r="G219" s="79">
        <f>IFERROR(VLOOKUP($A:$A,CS!$A:$AK,10,FALSE),"")</f>
      </c>
      <c r="H219" s="79">
        <f>IFERROR(VLOOKUP($A:$A,CS!$A:$AK,14,FALSE),"")</f>
      </c>
      <c r="I219" s="79">
        <f>IFERROR(VLOOKUP($A:$A,CS!$A:$AK,15,FALSE),"")</f>
      </c>
      <c r="J219" s="79">
        <f>IFERROR(VLOOKUP($A:$A,CS!$A:$AK,18,FALSE),"")</f>
      </c>
      <c r="K219" s="79">
        <f>IFERROR(VLOOKUP($A:$A,CS!$A:$AK,19,FALSE),"")</f>
      </c>
      <c r="L219" s="79">
        <f>IFERROR(VLOOKUP($A:$A,CS!$A:$AK,20,FALSE),"")</f>
      </c>
      <c r="M219" s="79">
        <f>IFERROR(VLOOKUP($A:$A,CS!$A:$AK,22,FALSE),"")</f>
      </c>
      <c r="N219" s="79">
        <f>IFERROR(VLOOKUP($A:$A,CS!$A:$AK,19,FALSE),"")</f>
      </c>
      <c r="O219" s="79">
        <f>IFERROR(VLOOKUP($A:$A,CS!$A:$AK,23,FALSE),"")</f>
      </c>
      <c r="P219" s="79">
        <f>IFERROR(VLOOKUP($A:$A,CS!$A:$AK,24,FALSE),"")</f>
      </c>
      <c r="Q219" s="79">
        <f>IFERROR(VLOOKUP($A:$A,CS!$A:$AK,25,FALSE),"")</f>
      </c>
      <c r="R219" s="79">
        <f>IFERROR(VLOOKUP($A:$A,CS!$A:$AK,26,FALSE),"")</f>
      </c>
      <c r="S219" s="79">
        <f>IFERROR(VLOOKUP($A:$A,CS!$A:$AK,29,FALSE),"")</f>
      </c>
      <c r="T219" s="79">
        <f>IFERROR(VLOOKUP($A:$A,CS!$A:$AK,33,FALSE),"")</f>
      </c>
      <c r="U219" s="79">
        <f>IFERROR(VLOOKUP($A:$A,CS!$A:$AK,34,FALSE),"")</f>
      </c>
      <c r="V219" s="79">
        <f>IFERROR(VLOOKUP($A:$A,CS!$A:$AK,35,FALSE),"")</f>
      </c>
      <c r="W219" s="79">
        <f>IFERROR(VLOOKUP($A:$A,CS!$A:$AK,36,FALSE),"")</f>
      </c>
    </row>
    <row r="220" ht="16.5" customHeight="1" spans="1:23" x14ac:dyDescent="0.25">
      <c r="A220" s="93"/>
      <c r="B220" s="79">
        <f>IFERROR(VLOOKUP($A:$A,CS!$A:$AK,3,FALSE),"")</f>
      </c>
      <c r="C220" s="79">
        <f>IFERROR(VLOOKUP($A:$A,CS!$A:$AK,4,FALSE),"")</f>
      </c>
      <c r="D220" s="79">
        <f>IFERROR(VLOOKUP($A:$A,CS!$A:$AK,5,FALSE),"")</f>
      </c>
      <c r="E220" s="79">
        <f>IFERROR(VLOOKUP($A:$A,CS!$A:$AK,7,FALSE),"")</f>
      </c>
      <c r="F220" s="79">
        <f>IFERROR(VLOOKUP($A:$A,CS!$A:$AK,8,FALSE),"")</f>
      </c>
      <c r="G220" s="79">
        <f>IFERROR(VLOOKUP($A:$A,CS!$A:$AK,10,FALSE),"")</f>
      </c>
      <c r="H220" s="79">
        <f>IFERROR(VLOOKUP($A:$A,CS!$A:$AK,14,FALSE),"")</f>
      </c>
      <c r="I220" s="79">
        <f>IFERROR(VLOOKUP($A:$A,CS!$A:$AK,15,FALSE),"")</f>
      </c>
      <c r="J220" s="79">
        <f>IFERROR(VLOOKUP($A:$A,CS!$A:$AK,18,FALSE),"")</f>
      </c>
      <c r="K220" s="79">
        <f>IFERROR(VLOOKUP($A:$A,CS!$A:$AK,19,FALSE),"")</f>
      </c>
      <c r="L220" s="79">
        <f>IFERROR(VLOOKUP($A:$A,CS!$A:$AK,20,FALSE),"")</f>
      </c>
      <c r="M220" s="79">
        <f>IFERROR(VLOOKUP($A:$A,CS!$A:$AK,22,FALSE),"")</f>
      </c>
      <c r="N220" s="79">
        <f>IFERROR(VLOOKUP($A:$A,CS!$A:$AK,19,FALSE),"")</f>
      </c>
      <c r="O220" s="79">
        <f>IFERROR(VLOOKUP($A:$A,CS!$A:$AK,23,FALSE),"")</f>
      </c>
      <c r="P220" s="79">
        <f>IFERROR(VLOOKUP($A:$A,CS!$A:$AK,24,FALSE),"")</f>
      </c>
      <c r="Q220" s="79">
        <f>IFERROR(VLOOKUP($A:$A,CS!$A:$AK,25,FALSE),"")</f>
      </c>
      <c r="R220" s="79">
        <f>IFERROR(VLOOKUP($A:$A,CS!$A:$AK,26,FALSE),"")</f>
      </c>
      <c r="S220" s="79">
        <f>IFERROR(VLOOKUP($A:$A,CS!$A:$AK,29,FALSE),"")</f>
      </c>
      <c r="T220" s="79">
        <f>IFERROR(VLOOKUP($A:$A,CS!$A:$AK,33,FALSE),"")</f>
      </c>
      <c r="U220" s="79">
        <f>IFERROR(VLOOKUP($A:$A,CS!$A:$AK,34,FALSE),"")</f>
      </c>
      <c r="V220" s="79">
        <f>IFERROR(VLOOKUP($A:$A,CS!$A:$AK,35,FALSE),"")</f>
      </c>
      <c r="W220" s="79">
        <f>IFERROR(VLOOKUP($A:$A,CS!$A:$AK,36,FALSE),"")</f>
      </c>
    </row>
    <row r="221" ht="16.5" customHeight="1" spans="1:23" x14ac:dyDescent="0.25">
      <c r="A221" s="93"/>
      <c r="B221" s="79">
        <f>IFERROR(VLOOKUP($A:$A,CS!$A:$AK,3,FALSE),"")</f>
      </c>
      <c r="C221" s="79">
        <f>IFERROR(VLOOKUP($A:$A,CS!$A:$AK,4,FALSE),"")</f>
      </c>
      <c r="D221" s="79">
        <f>IFERROR(VLOOKUP($A:$A,CS!$A:$AK,5,FALSE),"")</f>
      </c>
      <c r="E221" s="79">
        <f>IFERROR(VLOOKUP($A:$A,CS!$A:$AK,7,FALSE),"")</f>
      </c>
      <c r="F221" s="79">
        <f>IFERROR(VLOOKUP($A:$A,CS!$A:$AK,8,FALSE),"")</f>
      </c>
      <c r="G221" s="79">
        <f>IFERROR(VLOOKUP($A:$A,CS!$A:$AK,10,FALSE),"")</f>
      </c>
      <c r="H221" s="79">
        <f>IFERROR(VLOOKUP($A:$A,CS!$A:$AK,14,FALSE),"")</f>
      </c>
      <c r="I221" s="79">
        <f>IFERROR(VLOOKUP($A:$A,CS!$A:$AK,15,FALSE),"")</f>
      </c>
      <c r="J221" s="79">
        <f>IFERROR(VLOOKUP($A:$A,CS!$A:$AK,18,FALSE),"")</f>
      </c>
      <c r="K221" s="79">
        <f>IFERROR(VLOOKUP($A:$A,CS!$A:$AK,19,FALSE),"")</f>
      </c>
      <c r="L221" s="79">
        <f>IFERROR(VLOOKUP($A:$A,CS!$A:$AK,20,FALSE),"")</f>
      </c>
      <c r="M221" s="79">
        <f>IFERROR(VLOOKUP($A:$A,CS!$A:$AK,22,FALSE),"")</f>
      </c>
      <c r="N221" s="79">
        <f>IFERROR(VLOOKUP($A:$A,CS!$A:$AK,19,FALSE),"")</f>
      </c>
      <c r="O221" s="79">
        <f>IFERROR(VLOOKUP($A:$A,CS!$A:$AK,23,FALSE),"")</f>
      </c>
      <c r="P221" s="79">
        <f>IFERROR(VLOOKUP($A:$A,CS!$A:$AK,24,FALSE),"")</f>
      </c>
      <c r="Q221" s="79">
        <f>IFERROR(VLOOKUP($A:$A,CS!$A:$AK,25,FALSE),"")</f>
      </c>
      <c r="R221" s="79">
        <f>IFERROR(VLOOKUP($A:$A,CS!$A:$AK,26,FALSE),"")</f>
      </c>
      <c r="S221" s="79">
        <f>IFERROR(VLOOKUP($A:$A,CS!$A:$AK,29,FALSE),"")</f>
      </c>
      <c r="T221" s="79">
        <f>IFERROR(VLOOKUP($A:$A,CS!$A:$AK,33,FALSE),"")</f>
      </c>
      <c r="U221" s="79">
        <f>IFERROR(VLOOKUP($A:$A,CS!$A:$AK,34,FALSE),"")</f>
      </c>
      <c r="V221" s="79">
        <f>IFERROR(VLOOKUP($A:$A,CS!$A:$AK,35,FALSE),"")</f>
      </c>
      <c r="W221" s="79">
        <f>IFERROR(VLOOKUP($A:$A,CS!$A:$AK,36,FALSE),"")</f>
      </c>
    </row>
    <row r="222" ht="16.5" customHeight="1" spans="1:23" x14ac:dyDescent="0.25">
      <c r="A222" s="93"/>
      <c r="B222" s="79">
        <f>IFERROR(VLOOKUP($A:$A,CS!$A:$AK,3,FALSE),"")</f>
      </c>
      <c r="C222" s="79">
        <f>IFERROR(VLOOKUP($A:$A,CS!$A:$AK,4,FALSE),"")</f>
      </c>
      <c r="D222" s="79">
        <f>IFERROR(VLOOKUP($A:$A,CS!$A:$AK,5,FALSE),"")</f>
      </c>
      <c r="E222" s="79">
        <f>IFERROR(VLOOKUP($A:$A,CS!$A:$AK,7,FALSE),"")</f>
      </c>
      <c r="F222" s="79">
        <f>IFERROR(VLOOKUP($A:$A,CS!$A:$AK,8,FALSE),"")</f>
      </c>
      <c r="G222" s="79">
        <f>IFERROR(VLOOKUP($A:$A,CS!$A:$AK,10,FALSE),"")</f>
      </c>
      <c r="H222" s="79">
        <f>IFERROR(VLOOKUP($A:$A,CS!$A:$AK,14,FALSE),"")</f>
      </c>
      <c r="I222" s="79">
        <f>IFERROR(VLOOKUP($A:$A,CS!$A:$AK,15,FALSE),"")</f>
      </c>
      <c r="J222" s="79">
        <f>IFERROR(VLOOKUP($A:$A,CS!$A:$AK,18,FALSE),"")</f>
      </c>
      <c r="K222" s="79">
        <f>IFERROR(VLOOKUP($A:$A,CS!$A:$AK,19,FALSE),"")</f>
      </c>
      <c r="L222" s="79">
        <f>IFERROR(VLOOKUP($A:$A,CS!$A:$AK,20,FALSE),"")</f>
      </c>
      <c r="M222" s="79">
        <f>IFERROR(VLOOKUP($A:$A,CS!$A:$AK,22,FALSE),"")</f>
      </c>
      <c r="N222" s="79">
        <f>IFERROR(VLOOKUP($A:$A,CS!$A:$AK,19,FALSE),"")</f>
      </c>
      <c r="O222" s="79">
        <f>IFERROR(VLOOKUP($A:$A,CS!$A:$AK,23,FALSE),"")</f>
      </c>
      <c r="P222" s="79">
        <f>IFERROR(VLOOKUP($A:$A,CS!$A:$AK,24,FALSE),"")</f>
      </c>
      <c r="Q222" s="79">
        <f>IFERROR(VLOOKUP($A:$A,CS!$A:$AK,25,FALSE),"")</f>
      </c>
      <c r="R222" s="79">
        <f>IFERROR(VLOOKUP($A:$A,CS!$A:$AK,26,FALSE),"")</f>
      </c>
      <c r="S222" s="79">
        <f>IFERROR(VLOOKUP($A:$A,CS!$A:$AK,29,FALSE),"")</f>
      </c>
      <c r="T222" s="79">
        <f>IFERROR(VLOOKUP($A:$A,CS!$A:$AK,33,FALSE),"")</f>
      </c>
      <c r="U222" s="79">
        <f>IFERROR(VLOOKUP($A:$A,CS!$A:$AK,34,FALSE),"")</f>
      </c>
      <c r="V222" s="79">
        <f>IFERROR(VLOOKUP($A:$A,CS!$A:$AK,35,FALSE),"")</f>
      </c>
      <c r="W222" s="79">
        <f>IFERROR(VLOOKUP($A:$A,CS!$A:$AK,36,FALSE),"")</f>
      </c>
    </row>
    <row r="223" ht="16.5" customHeight="1" spans="1:23" x14ac:dyDescent="0.25">
      <c r="A223" s="93"/>
      <c r="B223" s="79">
        <f>IFERROR(VLOOKUP($A:$A,CS!$A:$AK,3,FALSE),"")</f>
      </c>
      <c r="C223" s="79">
        <f>IFERROR(VLOOKUP($A:$A,CS!$A:$AK,4,FALSE),"")</f>
      </c>
      <c r="D223" s="79">
        <f>IFERROR(VLOOKUP($A:$A,CS!$A:$AK,5,FALSE),"")</f>
      </c>
      <c r="E223" s="79">
        <f>IFERROR(VLOOKUP($A:$A,CS!$A:$AK,7,FALSE),"")</f>
      </c>
      <c r="F223" s="79">
        <f>IFERROR(VLOOKUP($A:$A,CS!$A:$AK,8,FALSE),"")</f>
      </c>
      <c r="G223" s="79">
        <f>IFERROR(VLOOKUP($A:$A,CS!$A:$AK,10,FALSE),"")</f>
      </c>
      <c r="H223" s="79">
        <f>IFERROR(VLOOKUP($A:$A,CS!$A:$AK,14,FALSE),"")</f>
      </c>
      <c r="I223" s="79">
        <f>IFERROR(VLOOKUP($A:$A,CS!$A:$AK,15,FALSE),"")</f>
      </c>
      <c r="J223" s="79">
        <f>IFERROR(VLOOKUP($A:$A,CS!$A:$AK,18,FALSE),"")</f>
      </c>
      <c r="K223" s="79">
        <f>IFERROR(VLOOKUP($A:$A,CS!$A:$AK,19,FALSE),"")</f>
      </c>
      <c r="L223" s="79">
        <f>IFERROR(VLOOKUP($A:$A,CS!$A:$AK,20,FALSE),"")</f>
      </c>
      <c r="M223" s="79">
        <f>IFERROR(VLOOKUP($A:$A,CS!$A:$AK,22,FALSE),"")</f>
      </c>
      <c r="N223" s="79">
        <f>IFERROR(VLOOKUP($A:$A,CS!$A:$AK,19,FALSE),"")</f>
      </c>
      <c r="O223" s="79">
        <f>IFERROR(VLOOKUP($A:$A,CS!$A:$AK,23,FALSE),"")</f>
      </c>
      <c r="P223" s="79">
        <f>IFERROR(VLOOKUP($A:$A,CS!$A:$AK,24,FALSE),"")</f>
      </c>
      <c r="Q223" s="79">
        <f>IFERROR(VLOOKUP($A:$A,CS!$A:$AK,25,FALSE),"")</f>
      </c>
      <c r="R223" s="79">
        <f>IFERROR(VLOOKUP($A:$A,CS!$A:$AK,26,FALSE),"")</f>
      </c>
      <c r="S223" s="79">
        <f>IFERROR(VLOOKUP($A:$A,CS!$A:$AK,29,FALSE),"")</f>
      </c>
      <c r="T223" s="79">
        <f>IFERROR(VLOOKUP($A:$A,CS!$A:$AK,33,FALSE),"")</f>
      </c>
      <c r="U223" s="79">
        <f>IFERROR(VLOOKUP($A:$A,CS!$A:$AK,34,FALSE),"")</f>
      </c>
      <c r="V223" s="79">
        <f>IFERROR(VLOOKUP($A:$A,CS!$A:$AK,35,FALSE),"")</f>
      </c>
      <c r="W223" s="79">
        <f>IFERROR(VLOOKUP($A:$A,CS!$A:$AK,36,FALSE),"")</f>
      </c>
    </row>
    <row r="224" ht="16.5" customHeight="1" spans="1:23" x14ac:dyDescent="0.25">
      <c r="A224" s="93"/>
      <c r="B224" s="79">
        <f>IFERROR(VLOOKUP($A:$A,CS!$A:$AK,3,FALSE),"")</f>
      </c>
      <c r="C224" s="79">
        <f>IFERROR(VLOOKUP($A:$A,CS!$A:$AK,4,FALSE),"")</f>
      </c>
      <c r="D224" s="79">
        <f>IFERROR(VLOOKUP($A:$A,CS!$A:$AK,5,FALSE),"")</f>
      </c>
      <c r="E224" s="79">
        <f>IFERROR(VLOOKUP($A:$A,CS!$A:$AK,7,FALSE),"")</f>
      </c>
      <c r="F224" s="79">
        <f>IFERROR(VLOOKUP($A:$A,CS!$A:$AK,8,FALSE),"")</f>
      </c>
      <c r="G224" s="79">
        <f>IFERROR(VLOOKUP($A:$A,CS!$A:$AK,10,FALSE),"")</f>
      </c>
      <c r="H224" s="79">
        <f>IFERROR(VLOOKUP($A:$A,CS!$A:$AK,14,FALSE),"")</f>
      </c>
      <c r="I224" s="79">
        <f>IFERROR(VLOOKUP($A:$A,CS!$A:$AK,15,FALSE),"")</f>
      </c>
      <c r="J224" s="79">
        <f>IFERROR(VLOOKUP($A:$A,CS!$A:$AK,18,FALSE),"")</f>
      </c>
      <c r="K224" s="79">
        <f>IFERROR(VLOOKUP($A:$A,CS!$A:$AK,19,FALSE),"")</f>
      </c>
      <c r="L224" s="79">
        <f>IFERROR(VLOOKUP($A:$A,CS!$A:$AK,20,FALSE),"")</f>
      </c>
      <c r="M224" s="79">
        <f>IFERROR(VLOOKUP($A:$A,CS!$A:$AK,22,FALSE),"")</f>
      </c>
      <c r="N224" s="79">
        <f>IFERROR(VLOOKUP($A:$A,CS!$A:$AK,19,FALSE),"")</f>
      </c>
      <c r="O224" s="79">
        <f>IFERROR(VLOOKUP($A:$A,CS!$A:$AK,23,FALSE),"")</f>
      </c>
      <c r="P224" s="79">
        <f>IFERROR(VLOOKUP($A:$A,CS!$A:$AK,24,FALSE),"")</f>
      </c>
      <c r="Q224" s="79">
        <f>IFERROR(VLOOKUP($A:$A,CS!$A:$AK,25,FALSE),"")</f>
      </c>
      <c r="R224" s="79">
        <f>IFERROR(VLOOKUP($A:$A,CS!$A:$AK,26,FALSE),"")</f>
      </c>
      <c r="S224" s="79">
        <f>IFERROR(VLOOKUP($A:$A,CS!$A:$AK,29,FALSE),"")</f>
      </c>
      <c r="T224" s="79">
        <f>IFERROR(VLOOKUP($A:$A,CS!$A:$AK,33,FALSE),"")</f>
      </c>
      <c r="U224" s="79">
        <f>IFERROR(VLOOKUP($A:$A,CS!$A:$AK,34,FALSE),"")</f>
      </c>
      <c r="V224" s="79">
        <f>IFERROR(VLOOKUP($A:$A,CS!$A:$AK,35,FALSE),"")</f>
      </c>
      <c r="W224" s="79">
        <f>IFERROR(VLOOKUP($A:$A,CS!$A:$AK,36,FALSE),"")</f>
      </c>
    </row>
    <row r="225" ht="16.5" customHeight="1" spans="1:23" x14ac:dyDescent="0.25">
      <c r="A225" s="93"/>
      <c r="B225" s="79">
        <f>IFERROR(VLOOKUP($A:$A,CS!$A:$AK,3,FALSE),"")</f>
      </c>
      <c r="C225" s="79">
        <f>IFERROR(VLOOKUP($A:$A,CS!$A:$AK,4,FALSE),"")</f>
      </c>
      <c r="D225" s="79">
        <f>IFERROR(VLOOKUP($A:$A,CS!$A:$AK,5,FALSE),"")</f>
      </c>
      <c r="E225" s="79">
        <f>IFERROR(VLOOKUP($A:$A,CS!$A:$AK,7,FALSE),"")</f>
      </c>
      <c r="F225" s="79">
        <f>IFERROR(VLOOKUP($A:$A,CS!$A:$AK,8,FALSE),"")</f>
      </c>
      <c r="G225" s="79">
        <f>IFERROR(VLOOKUP($A:$A,CS!$A:$AK,10,FALSE),"")</f>
      </c>
      <c r="H225" s="79">
        <f>IFERROR(VLOOKUP($A:$A,CS!$A:$AK,14,FALSE),"")</f>
      </c>
      <c r="I225" s="79">
        <f>IFERROR(VLOOKUP($A:$A,CS!$A:$AK,15,FALSE),"")</f>
      </c>
      <c r="J225" s="79">
        <f>IFERROR(VLOOKUP($A:$A,CS!$A:$AK,18,FALSE),"")</f>
      </c>
      <c r="K225" s="79">
        <f>IFERROR(VLOOKUP($A:$A,CS!$A:$AK,19,FALSE),"")</f>
      </c>
      <c r="L225" s="79">
        <f>IFERROR(VLOOKUP($A:$A,CS!$A:$AK,20,FALSE),"")</f>
      </c>
      <c r="M225" s="79">
        <f>IFERROR(VLOOKUP($A:$A,CS!$A:$AK,22,FALSE),"")</f>
      </c>
      <c r="N225" s="79">
        <f>IFERROR(VLOOKUP($A:$A,CS!$A:$AK,19,FALSE),"")</f>
      </c>
      <c r="O225" s="79">
        <f>IFERROR(VLOOKUP($A:$A,CS!$A:$AK,23,FALSE),"")</f>
      </c>
      <c r="P225" s="79">
        <f>IFERROR(VLOOKUP($A:$A,CS!$A:$AK,24,FALSE),"")</f>
      </c>
      <c r="Q225" s="79">
        <f>IFERROR(VLOOKUP($A:$A,CS!$A:$AK,25,FALSE),"")</f>
      </c>
      <c r="R225" s="79">
        <f>IFERROR(VLOOKUP($A:$A,CS!$A:$AK,26,FALSE),"")</f>
      </c>
      <c r="S225" s="79">
        <f>IFERROR(VLOOKUP($A:$A,CS!$A:$AK,29,FALSE),"")</f>
      </c>
      <c r="T225" s="79">
        <f>IFERROR(VLOOKUP($A:$A,CS!$A:$AK,33,FALSE),"")</f>
      </c>
      <c r="U225" s="79">
        <f>IFERROR(VLOOKUP($A:$A,CS!$A:$AK,34,FALSE),"")</f>
      </c>
      <c r="V225" s="79">
        <f>IFERROR(VLOOKUP($A:$A,CS!$A:$AK,35,FALSE),"")</f>
      </c>
      <c r="W225" s="79">
        <f>IFERROR(VLOOKUP($A:$A,CS!$A:$AK,36,FALSE),"")</f>
      </c>
    </row>
    <row r="226" ht="16.5" customHeight="1" spans="1:23" x14ac:dyDescent="0.25">
      <c r="A226" s="93"/>
      <c r="B226" s="79">
        <f>IFERROR(VLOOKUP($A:$A,CS!$A:$AK,3,FALSE),"")</f>
      </c>
      <c r="C226" s="79">
        <f>IFERROR(VLOOKUP($A:$A,CS!$A:$AK,4,FALSE),"")</f>
      </c>
      <c r="D226" s="79">
        <f>IFERROR(VLOOKUP($A:$A,CS!$A:$AK,5,FALSE),"")</f>
      </c>
      <c r="E226" s="79">
        <f>IFERROR(VLOOKUP($A:$A,CS!$A:$AK,7,FALSE),"")</f>
      </c>
      <c r="F226" s="79">
        <f>IFERROR(VLOOKUP($A:$A,CS!$A:$AK,8,FALSE),"")</f>
      </c>
      <c r="G226" s="79">
        <f>IFERROR(VLOOKUP($A:$A,CS!$A:$AK,10,FALSE),"")</f>
      </c>
      <c r="H226" s="79">
        <f>IFERROR(VLOOKUP($A:$A,CS!$A:$AK,14,FALSE),"")</f>
      </c>
      <c r="I226" s="79">
        <f>IFERROR(VLOOKUP($A:$A,CS!$A:$AK,15,FALSE),"")</f>
      </c>
      <c r="J226" s="79">
        <f>IFERROR(VLOOKUP($A:$A,CS!$A:$AK,18,FALSE),"")</f>
      </c>
      <c r="K226" s="79">
        <f>IFERROR(VLOOKUP($A:$A,CS!$A:$AK,19,FALSE),"")</f>
      </c>
      <c r="L226" s="79">
        <f>IFERROR(VLOOKUP($A:$A,CS!$A:$AK,20,FALSE),"")</f>
      </c>
      <c r="M226" s="79">
        <f>IFERROR(VLOOKUP($A:$A,CS!$A:$AK,22,FALSE),"")</f>
      </c>
      <c r="N226" s="79">
        <f>IFERROR(VLOOKUP($A:$A,CS!$A:$AK,19,FALSE),"")</f>
      </c>
      <c r="O226" s="79">
        <f>IFERROR(VLOOKUP($A:$A,CS!$A:$AK,23,FALSE),"")</f>
      </c>
      <c r="P226" s="79">
        <f>IFERROR(VLOOKUP($A:$A,CS!$A:$AK,24,FALSE),"")</f>
      </c>
      <c r="Q226" s="79">
        <f>IFERROR(VLOOKUP($A:$A,CS!$A:$AK,25,FALSE),"")</f>
      </c>
      <c r="R226" s="79">
        <f>IFERROR(VLOOKUP($A:$A,CS!$A:$AK,26,FALSE),"")</f>
      </c>
      <c r="S226" s="79">
        <f>IFERROR(VLOOKUP($A:$A,CS!$A:$AK,29,FALSE),"")</f>
      </c>
      <c r="T226" s="79">
        <f>IFERROR(VLOOKUP($A:$A,CS!$A:$AK,33,FALSE),"")</f>
      </c>
      <c r="U226" s="79">
        <f>IFERROR(VLOOKUP($A:$A,CS!$A:$AK,34,FALSE),"")</f>
      </c>
      <c r="V226" s="79">
        <f>IFERROR(VLOOKUP($A:$A,CS!$A:$AK,35,FALSE),"")</f>
      </c>
      <c r="W226" s="79">
        <f>IFERROR(VLOOKUP($A:$A,CS!$A:$AK,36,FALSE),"")</f>
      </c>
    </row>
    <row r="227" ht="16.5" customHeight="1" spans="1:23" x14ac:dyDescent="0.25">
      <c r="A227" s="93"/>
      <c r="B227" s="79">
        <f>IFERROR(VLOOKUP($A:$A,CS!$A:$AK,3,FALSE),"")</f>
      </c>
      <c r="C227" s="79">
        <f>IFERROR(VLOOKUP($A:$A,CS!$A:$AK,4,FALSE),"")</f>
      </c>
      <c r="D227" s="79">
        <f>IFERROR(VLOOKUP($A:$A,CS!$A:$AK,5,FALSE),"")</f>
      </c>
      <c r="E227" s="79">
        <f>IFERROR(VLOOKUP($A:$A,CS!$A:$AK,7,FALSE),"")</f>
      </c>
      <c r="F227" s="79">
        <f>IFERROR(VLOOKUP($A:$A,CS!$A:$AK,8,FALSE),"")</f>
      </c>
      <c r="G227" s="79">
        <f>IFERROR(VLOOKUP($A:$A,CS!$A:$AK,10,FALSE),"")</f>
      </c>
      <c r="H227" s="79">
        <f>IFERROR(VLOOKUP($A:$A,CS!$A:$AK,14,FALSE),"")</f>
      </c>
      <c r="I227" s="79">
        <f>IFERROR(VLOOKUP($A:$A,CS!$A:$AK,15,FALSE),"")</f>
      </c>
      <c r="J227" s="79">
        <f>IFERROR(VLOOKUP($A:$A,CS!$A:$AK,18,FALSE),"")</f>
      </c>
      <c r="K227" s="79">
        <f>IFERROR(VLOOKUP($A:$A,CS!$A:$AK,19,FALSE),"")</f>
      </c>
      <c r="L227" s="79">
        <f>IFERROR(VLOOKUP($A:$A,CS!$A:$AK,20,FALSE),"")</f>
      </c>
      <c r="M227" s="79">
        <f>IFERROR(VLOOKUP($A:$A,CS!$A:$AK,22,FALSE),"")</f>
      </c>
      <c r="N227" s="79">
        <f>IFERROR(VLOOKUP($A:$A,CS!$A:$AK,19,FALSE),"")</f>
      </c>
      <c r="O227" s="79">
        <f>IFERROR(VLOOKUP($A:$A,CS!$A:$AK,23,FALSE),"")</f>
      </c>
      <c r="P227" s="79">
        <f>IFERROR(VLOOKUP($A:$A,CS!$A:$AK,24,FALSE),"")</f>
      </c>
      <c r="Q227" s="79">
        <f>IFERROR(VLOOKUP($A:$A,CS!$A:$AK,25,FALSE),"")</f>
      </c>
      <c r="R227" s="79">
        <f>IFERROR(VLOOKUP($A:$A,CS!$A:$AK,26,FALSE),"")</f>
      </c>
      <c r="S227" s="79">
        <f>IFERROR(VLOOKUP($A:$A,CS!$A:$AK,29,FALSE),"")</f>
      </c>
      <c r="T227" s="79">
        <f>IFERROR(VLOOKUP($A:$A,CS!$A:$AK,33,FALSE),"")</f>
      </c>
      <c r="U227" s="79">
        <f>IFERROR(VLOOKUP($A:$A,CS!$A:$AK,34,FALSE),"")</f>
      </c>
      <c r="V227" s="79">
        <f>IFERROR(VLOOKUP($A:$A,CS!$A:$AK,35,FALSE),"")</f>
      </c>
      <c r="W227" s="79">
        <f>IFERROR(VLOOKUP($A:$A,CS!$A:$AK,36,FALSE),"")</f>
      </c>
    </row>
    <row r="228" ht="16.5" customHeight="1" spans="1:23" x14ac:dyDescent="0.25">
      <c r="A228" s="93"/>
      <c r="B228" s="79">
        <f>IFERROR(VLOOKUP($A:$A,CS!$A:$AK,3,FALSE),"")</f>
      </c>
      <c r="C228" s="79">
        <f>IFERROR(VLOOKUP($A:$A,CS!$A:$AK,4,FALSE),"")</f>
      </c>
      <c r="D228" s="79">
        <f>IFERROR(VLOOKUP($A:$A,CS!$A:$AK,5,FALSE),"")</f>
      </c>
      <c r="E228" s="79">
        <f>IFERROR(VLOOKUP($A:$A,CS!$A:$AK,7,FALSE),"")</f>
      </c>
      <c r="F228" s="79">
        <f>IFERROR(VLOOKUP($A:$A,CS!$A:$AK,8,FALSE),"")</f>
      </c>
      <c r="G228" s="79">
        <f>IFERROR(VLOOKUP($A:$A,CS!$A:$AK,10,FALSE),"")</f>
      </c>
      <c r="H228" s="79">
        <f>IFERROR(VLOOKUP($A:$A,CS!$A:$AK,14,FALSE),"")</f>
      </c>
      <c r="I228" s="79">
        <f>IFERROR(VLOOKUP($A:$A,CS!$A:$AK,15,FALSE),"")</f>
      </c>
      <c r="J228" s="79">
        <f>IFERROR(VLOOKUP($A:$A,CS!$A:$AK,18,FALSE),"")</f>
      </c>
      <c r="K228" s="79">
        <f>IFERROR(VLOOKUP($A:$A,CS!$A:$AK,19,FALSE),"")</f>
      </c>
      <c r="L228" s="79">
        <f>IFERROR(VLOOKUP($A:$A,CS!$A:$AK,20,FALSE),"")</f>
      </c>
      <c r="M228" s="79">
        <f>IFERROR(VLOOKUP($A:$A,CS!$A:$AK,22,FALSE),"")</f>
      </c>
      <c r="N228" s="79">
        <f>IFERROR(VLOOKUP($A:$A,CS!$A:$AK,19,FALSE),"")</f>
      </c>
      <c r="O228" s="79">
        <f>IFERROR(VLOOKUP($A:$A,CS!$A:$AK,23,FALSE),"")</f>
      </c>
      <c r="P228" s="79">
        <f>IFERROR(VLOOKUP($A:$A,CS!$A:$AK,24,FALSE),"")</f>
      </c>
      <c r="Q228" s="79">
        <f>IFERROR(VLOOKUP($A:$A,CS!$A:$AK,25,FALSE),"")</f>
      </c>
      <c r="R228" s="79">
        <f>IFERROR(VLOOKUP($A:$A,CS!$A:$AK,26,FALSE),"")</f>
      </c>
      <c r="S228" s="79">
        <f>IFERROR(VLOOKUP($A:$A,CS!$A:$AK,29,FALSE),"")</f>
      </c>
      <c r="T228" s="79">
        <f>IFERROR(VLOOKUP($A:$A,CS!$A:$AK,33,FALSE),"")</f>
      </c>
      <c r="U228" s="79">
        <f>IFERROR(VLOOKUP($A:$A,CS!$A:$AK,34,FALSE),"")</f>
      </c>
      <c r="V228" s="79">
        <f>IFERROR(VLOOKUP($A:$A,CS!$A:$AK,35,FALSE),"")</f>
      </c>
      <c r="W228" s="79">
        <f>IFERROR(VLOOKUP($A:$A,CS!$A:$AK,36,FALSE),"")</f>
      </c>
    </row>
    <row r="229" ht="16.5" customHeight="1" spans="1:23" x14ac:dyDescent="0.25">
      <c r="A229" s="93"/>
      <c r="B229" s="79">
        <f>IFERROR(VLOOKUP($A:$A,CS!$A:$AK,3,FALSE),"")</f>
      </c>
      <c r="C229" s="79">
        <f>IFERROR(VLOOKUP($A:$A,CS!$A:$AK,4,FALSE),"")</f>
      </c>
      <c r="D229" s="79">
        <f>IFERROR(VLOOKUP($A:$A,CS!$A:$AK,5,FALSE),"")</f>
      </c>
      <c r="E229" s="79">
        <f>IFERROR(VLOOKUP($A:$A,CS!$A:$AK,7,FALSE),"")</f>
      </c>
      <c r="F229" s="79">
        <f>IFERROR(VLOOKUP($A:$A,CS!$A:$AK,8,FALSE),"")</f>
      </c>
      <c r="G229" s="79">
        <f>IFERROR(VLOOKUP($A:$A,CS!$A:$AK,10,FALSE),"")</f>
      </c>
      <c r="H229" s="79">
        <f>IFERROR(VLOOKUP($A:$A,CS!$A:$AK,14,FALSE),"")</f>
      </c>
      <c r="I229" s="79">
        <f>IFERROR(VLOOKUP($A:$A,CS!$A:$AK,15,FALSE),"")</f>
      </c>
      <c r="J229" s="79">
        <f>IFERROR(VLOOKUP($A:$A,CS!$A:$AK,18,FALSE),"")</f>
      </c>
      <c r="K229" s="79">
        <f>IFERROR(VLOOKUP($A:$A,CS!$A:$AK,19,FALSE),"")</f>
      </c>
      <c r="L229" s="79">
        <f>IFERROR(VLOOKUP($A:$A,CS!$A:$AK,20,FALSE),"")</f>
      </c>
      <c r="M229" s="79">
        <f>IFERROR(VLOOKUP($A:$A,CS!$A:$AK,22,FALSE),"")</f>
      </c>
      <c r="N229" s="79">
        <f>IFERROR(VLOOKUP($A:$A,CS!$A:$AK,19,FALSE),"")</f>
      </c>
      <c r="O229" s="79">
        <f>IFERROR(VLOOKUP($A:$A,CS!$A:$AK,23,FALSE),"")</f>
      </c>
      <c r="P229" s="79">
        <f>IFERROR(VLOOKUP($A:$A,CS!$A:$AK,24,FALSE),"")</f>
      </c>
      <c r="Q229" s="79">
        <f>IFERROR(VLOOKUP($A:$A,CS!$A:$AK,25,FALSE),"")</f>
      </c>
      <c r="R229" s="79">
        <f>IFERROR(VLOOKUP($A:$A,CS!$A:$AK,26,FALSE),"")</f>
      </c>
      <c r="S229" s="79">
        <f>IFERROR(VLOOKUP($A:$A,CS!$A:$AK,29,FALSE),"")</f>
      </c>
      <c r="T229" s="79">
        <f>IFERROR(VLOOKUP($A:$A,CS!$A:$AK,33,FALSE),"")</f>
      </c>
      <c r="U229" s="79">
        <f>IFERROR(VLOOKUP($A:$A,CS!$A:$AK,34,FALSE),"")</f>
      </c>
      <c r="V229" s="79">
        <f>IFERROR(VLOOKUP($A:$A,CS!$A:$AK,35,FALSE),"")</f>
      </c>
      <c r="W229" s="79">
        <f>IFERROR(VLOOKUP($A:$A,CS!$A:$AK,36,FALSE),"")</f>
      </c>
    </row>
    <row r="230" ht="16.5" customHeight="1" spans="1:23" x14ac:dyDescent="0.25">
      <c r="A230" s="93"/>
      <c r="B230" s="79">
        <f>IFERROR(VLOOKUP($A:$A,CS!$A:$AK,3,FALSE),"")</f>
      </c>
      <c r="C230" s="79">
        <f>IFERROR(VLOOKUP($A:$A,CS!$A:$AK,4,FALSE),"")</f>
      </c>
      <c r="D230" s="79">
        <f>IFERROR(VLOOKUP($A:$A,CS!$A:$AK,5,FALSE),"")</f>
      </c>
      <c r="E230" s="79">
        <f>IFERROR(VLOOKUP($A:$A,CS!$A:$AK,7,FALSE),"")</f>
      </c>
      <c r="F230" s="79">
        <f>IFERROR(VLOOKUP($A:$A,CS!$A:$AK,8,FALSE),"")</f>
      </c>
      <c r="G230" s="79">
        <f>IFERROR(VLOOKUP($A:$A,CS!$A:$AK,10,FALSE),"")</f>
      </c>
      <c r="H230" s="79">
        <f>IFERROR(VLOOKUP($A:$A,CS!$A:$AK,14,FALSE),"")</f>
      </c>
      <c r="I230" s="79">
        <f>IFERROR(VLOOKUP($A:$A,CS!$A:$AK,15,FALSE),"")</f>
      </c>
      <c r="J230" s="79">
        <f>IFERROR(VLOOKUP($A:$A,CS!$A:$AK,18,FALSE),"")</f>
      </c>
      <c r="K230" s="79">
        <f>IFERROR(VLOOKUP($A:$A,CS!$A:$AK,19,FALSE),"")</f>
      </c>
      <c r="L230" s="79">
        <f>IFERROR(VLOOKUP($A:$A,CS!$A:$AK,20,FALSE),"")</f>
      </c>
      <c r="M230" s="79">
        <f>IFERROR(VLOOKUP($A:$A,CS!$A:$AK,22,FALSE),"")</f>
      </c>
      <c r="N230" s="79">
        <f>IFERROR(VLOOKUP($A:$A,CS!$A:$AK,19,FALSE),"")</f>
      </c>
      <c r="O230" s="79">
        <f>IFERROR(VLOOKUP($A:$A,CS!$A:$AK,23,FALSE),"")</f>
      </c>
      <c r="P230" s="79">
        <f>IFERROR(VLOOKUP($A:$A,CS!$A:$AK,24,FALSE),"")</f>
      </c>
      <c r="Q230" s="79">
        <f>IFERROR(VLOOKUP($A:$A,CS!$A:$AK,25,FALSE),"")</f>
      </c>
      <c r="R230" s="79">
        <f>IFERROR(VLOOKUP($A:$A,CS!$A:$AK,26,FALSE),"")</f>
      </c>
      <c r="S230" s="79">
        <f>IFERROR(VLOOKUP($A:$A,CS!$A:$AK,29,FALSE),"")</f>
      </c>
      <c r="T230" s="79">
        <f>IFERROR(VLOOKUP($A:$A,CS!$A:$AK,33,FALSE),"")</f>
      </c>
      <c r="U230" s="79">
        <f>IFERROR(VLOOKUP($A:$A,CS!$A:$AK,34,FALSE),"")</f>
      </c>
      <c r="V230" s="79">
        <f>IFERROR(VLOOKUP($A:$A,CS!$A:$AK,35,FALSE),"")</f>
      </c>
      <c r="W230" s="79">
        <f>IFERROR(VLOOKUP($A:$A,CS!$A:$AK,36,FALSE),"")</f>
      </c>
    </row>
    <row r="231" ht="16.5" customHeight="1" spans="1:23" x14ac:dyDescent="0.25">
      <c r="A231" s="93"/>
      <c r="B231" s="79">
        <f>IFERROR(VLOOKUP($A:$A,CS!$A:$AK,3,FALSE),"")</f>
      </c>
      <c r="C231" s="79">
        <f>IFERROR(VLOOKUP($A:$A,CS!$A:$AK,4,FALSE),"")</f>
      </c>
      <c r="D231" s="79">
        <f>IFERROR(VLOOKUP($A:$A,CS!$A:$AK,5,FALSE),"")</f>
      </c>
      <c r="E231" s="79">
        <f>IFERROR(VLOOKUP($A:$A,CS!$A:$AK,7,FALSE),"")</f>
      </c>
      <c r="F231" s="79">
        <f>IFERROR(VLOOKUP($A:$A,CS!$A:$AK,8,FALSE),"")</f>
      </c>
      <c r="G231" s="79">
        <f>IFERROR(VLOOKUP($A:$A,CS!$A:$AK,10,FALSE),"")</f>
      </c>
      <c r="H231" s="79">
        <f>IFERROR(VLOOKUP($A:$A,CS!$A:$AK,14,FALSE),"")</f>
      </c>
      <c r="I231" s="79">
        <f>IFERROR(VLOOKUP($A:$A,CS!$A:$AK,15,FALSE),"")</f>
      </c>
      <c r="J231" s="79">
        <f>IFERROR(VLOOKUP($A:$A,CS!$A:$AK,18,FALSE),"")</f>
      </c>
      <c r="K231" s="79">
        <f>IFERROR(VLOOKUP($A:$A,CS!$A:$AK,19,FALSE),"")</f>
      </c>
      <c r="L231" s="79">
        <f>IFERROR(VLOOKUP($A:$A,CS!$A:$AK,20,FALSE),"")</f>
      </c>
      <c r="M231" s="79">
        <f>IFERROR(VLOOKUP($A:$A,CS!$A:$AK,22,FALSE),"")</f>
      </c>
      <c r="N231" s="79">
        <f>IFERROR(VLOOKUP($A:$A,CS!$A:$AK,19,FALSE),"")</f>
      </c>
      <c r="O231" s="79">
        <f>IFERROR(VLOOKUP($A:$A,CS!$A:$AK,23,FALSE),"")</f>
      </c>
      <c r="P231" s="79">
        <f>IFERROR(VLOOKUP($A:$A,CS!$A:$AK,24,FALSE),"")</f>
      </c>
      <c r="Q231" s="79">
        <f>IFERROR(VLOOKUP($A:$A,CS!$A:$AK,25,FALSE),"")</f>
      </c>
      <c r="R231" s="79">
        <f>IFERROR(VLOOKUP($A:$A,CS!$A:$AK,26,FALSE),"")</f>
      </c>
      <c r="S231" s="79">
        <f>IFERROR(VLOOKUP($A:$A,CS!$A:$AK,29,FALSE),"")</f>
      </c>
      <c r="T231" s="79">
        <f>IFERROR(VLOOKUP($A:$A,CS!$A:$AK,33,FALSE),"")</f>
      </c>
      <c r="U231" s="79">
        <f>IFERROR(VLOOKUP($A:$A,CS!$A:$AK,34,FALSE),"")</f>
      </c>
      <c r="V231" s="79">
        <f>IFERROR(VLOOKUP($A:$A,CS!$A:$AK,35,FALSE),"")</f>
      </c>
      <c r="W231" s="79">
        <f>IFERROR(VLOOKUP($A:$A,CS!$A:$AK,36,FALSE),"")</f>
      </c>
    </row>
    <row r="232" ht="16.5" customHeight="1" spans="1:23" x14ac:dyDescent="0.25">
      <c r="A232" s="93"/>
      <c r="B232" s="79">
        <f>IFERROR(VLOOKUP($A:$A,CS!$A:$AK,3,FALSE),"")</f>
      </c>
      <c r="C232" s="79">
        <f>IFERROR(VLOOKUP($A:$A,CS!$A:$AK,4,FALSE),"")</f>
      </c>
      <c r="D232" s="79">
        <f>IFERROR(VLOOKUP($A:$A,CS!$A:$AK,5,FALSE),"")</f>
      </c>
      <c r="E232" s="79">
        <f>IFERROR(VLOOKUP($A:$A,CS!$A:$AK,7,FALSE),"")</f>
      </c>
      <c r="F232" s="79">
        <f>IFERROR(VLOOKUP($A:$A,CS!$A:$AK,8,FALSE),"")</f>
      </c>
      <c r="G232" s="79">
        <f>IFERROR(VLOOKUP($A:$A,CS!$A:$AK,10,FALSE),"")</f>
      </c>
      <c r="H232" s="79">
        <f>IFERROR(VLOOKUP($A:$A,CS!$A:$AK,14,FALSE),"")</f>
      </c>
      <c r="I232" s="79">
        <f>IFERROR(VLOOKUP($A:$A,CS!$A:$AK,15,FALSE),"")</f>
      </c>
      <c r="J232" s="79">
        <f>IFERROR(VLOOKUP($A:$A,CS!$A:$AK,18,FALSE),"")</f>
      </c>
      <c r="K232" s="79">
        <f>IFERROR(VLOOKUP($A:$A,CS!$A:$AK,19,FALSE),"")</f>
      </c>
      <c r="L232" s="79">
        <f>IFERROR(VLOOKUP($A:$A,CS!$A:$AK,20,FALSE),"")</f>
      </c>
      <c r="M232" s="79">
        <f>IFERROR(VLOOKUP($A:$A,CS!$A:$AK,22,FALSE),"")</f>
      </c>
      <c r="N232" s="79">
        <f>IFERROR(VLOOKUP($A:$A,CS!$A:$AK,19,FALSE),"")</f>
      </c>
      <c r="O232" s="79">
        <f>IFERROR(VLOOKUP($A:$A,CS!$A:$AK,23,FALSE),"")</f>
      </c>
      <c r="P232" s="79">
        <f>IFERROR(VLOOKUP($A:$A,CS!$A:$AK,24,FALSE),"")</f>
      </c>
      <c r="Q232" s="79">
        <f>IFERROR(VLOOKUP($A:$A,CS!$A:$AK,25,FALSE),"")</f>
      </c>
      <c r="R232" s="79">
        <f>IFERROR(VLOOKUP($A:$A,CS!$A:$AK,26,FALSE),"")</f>
      </c>
      <c r="S232" s="79">
        <f>IFERROR(VLOOKUP($A:$A,CS!$A:$AK,29,FALSE),"")</f>
      </c>
      <c r="T232" s="79">
        <f>IFERROR(VLOOKUP($A:$A,CS!$A:$AK,33,FALSE),"")</f>
      </c>
      <c r="U232" s="79">
        <f>IFERROR(VLOOKUP($A:$A,CS!$A:$AK,34,FALSE),"")</f>
      </c>
      <c r="V232" s="79">
        <f>IFERROR(VLOOKUP($A:$A,CS!$A:$AK,35,FALSE),"")</f>
      </c>
      <c r="W232" s="79">
        <f>IFERROR(VLOOKUP($A:$A,CS!$A:$AK,36,FALSE),"")</f>
      </c>
    </row>
    <row r="233" ht="16.5" customHeight="1" spans="1:23" x14ac:dyDescent="0.25">
      <c r="A233" s="93"/>
      <c r="B233" s="79">
        <f>IFERROR(VLOOKUP($A:$A,CS!$A:$AK,3,FALSE),"")</f>
      </c>
      <c r="C233" s="79">
        <f>IFERROR(VLOOKUP($A:$A,CS!$A:$AK,4,FALSE),"")</f>
      </c>
      <c r="D233" s="79">
        <f>IFERROR(VLOOKUP($A:$A,CS!$A:$AK,5,FALSE),"")</f>
      </c>
      <c r="E233" s="79">
        <f>IFERROR(VLOOKUP($A:$A,CS!$A:$AK,7,FALSE),"")</f>
      </c>
      <c r="F233" s="79">
        <f>IFERROR(VLOOKUP($A:$A,CS!$A:$AK,8,FALSE),"")</f>
      </c>
      <c r="G233" s="79">
        <f>IFERROR(VLOOKUP($A:$A,CS!$A:$AK,10,FALSE),"")</f>
      </c>
      <c r="H233" s="79">
        <f>IFERROR(VLOOKUP($A:$A,CS!$A:$AK,14,FALSE),"")</f>
      </c>
      <c r="I233" s="79">
        <f>IFERROR(VLOOKUP($A:$A,CS!$A:$AK,15,FALSE),"")</f>
      </c>
      <c r="J233" s="79">
        <f>IFERROR(VLOOKUP($A:$A,CS!$A:$AK,18,FALSE),"")</f>
      </c>
      <c r="K233" s="79">
        <f>IFERROR(VLOOKUP($A:$A,CS!$A:$AK,19,FALSE),"")</f>
      </c>
      <c r="L233" s="79">
        <f>IFERROR(VLOOKUP($A:$A,CS!$A:$AK,20,FALSE),"")</f>
      </c>
      <c r="M233" s="79">
        <f>IFERROR(VLOOKUP($A:$A,CS!$A:$AK,22,FALSE),"")</f>
      </c>
      <c r="N233" s="79">
        <f>IFERROR(VLOOKUP($A:$A,CS!$A:$AK,19,FALSE),"")</f>
      </c>
      <c r="O233" s="79">
        <f>IFERROR(VLOOKUP($A:$A,CS!$A:$AK,23,FALSE),"")</f>
      </c>
      <c r="P233" s="79">
        <f>IFERROR(VLOOKUP($A:$A,CS!$A:$AK,24,FALSE),"")</f>
      </c>
      <c r="Q233" s="79">
        <f>IFERROR(VLOOKUP($A:$A,CS!$A:$AK,25,FALSE),"")</f>
      </c>
      <c r="R233" s="79">
        <f>IFERROR(VLOOKUP($A:$A,CS!$A:$AK,26,FALSE),"")</f>
      </c>
      <c r="S233" s="79">
        <f>IFERROR(VLOOKUP($A:$A,CS!$A:$AK,29,FALSE),"")</f>
      </c>
      <c r="T233" s="79">
        <f>IFERROR(VLOOKUP($A:$A,CS!$A:$AK,33,FALSE),"")</f>
      </c>
      <c r="U233" s="79">
        <f>IFERROR(VLOOKUP($A:$A,CS!$A:$AK,34,FALSE),"")</f>
      </c>
      <c r="V233" s="79">
        <f>IFERROR(VLOOKUP($A:$A,CS!$A:$AK,35,FALSE),"")</f>
      </c>
      <c r="W233" s="79">
        <f>IFERROR(VLOOKUP($A:$A,CS!$A:$AK,36,FALSE),"")</f>
      </c>
    </row>
    <row r="234" ht="16.5" customHeight="1" spans="1:23" x14ac:dyDescent="0.25">
      <c r="A234" s="93"/>
      <c r="B234" s="79">
        <f>IFERROR(VLOOKUP($A:$A,CS!$A:$AK,3,FALSE),"")</f>
      </c>
      <c r="C234" s="79">
        <f>IFERROR(VLOOKUP($A:$A,CS!$A:$AK,4,FALSE),"")</f>
      </c>
      <c r="D234" s="79">
        <f>IFERROR(VLOOKUP($A:$A,CS!$A:$AK,5,FALSE),"")</f>
      </c>
      <c r="E234" s="79">
        <f>IFERROR(VLOOKUP($A:$A,CS!$A:$AK,7,FALSE),"")</f>
      </c>
      <c r="F234" s="79">
        <f>IFERROR(VLOOKUP($A:$A,CS!$A:$AK,8,FALSE),"")</f>
      </c>
      <c r="G234" s="79">
        <f>IFERROR(VLOOKUP($A:$A,CS!$A:$AK,10,FALSE),"")</f>
      </c>
      <c r="H234" s="79">
        <f>IFERROR(VLOOKUP($A:$A,CS!$A:$AK,14,FALSE),"")</f>
      </c>
      <c r="I234" s="79">
        <f>IFERROR(VLOOKUP($A:$A,CS!$A:$AK,15,FALSE),"")</f>
      </c>
      <c r="J234" s="79">
        <f>IFERROR(VLOOKUP($A:$A,CS!$A:$AK,18,FALSE),"")</f>
      </c>
      <c r="K234" s="79">
        <f>IFERROR(VLOOKUP($A:$A,CS!$A:$AK,19,FALSE),"")</f>
      </c>
      <c r="L234" s="79">
        <f>IFERROR(VLOOKUP($A:$A,CS!$A:$AK,20,FALSE),"")</f>
      </c>
      <c r="M234" s="79">
        <f>IFERROR(VLOOKUP($A:$A,CS!$A:$AK,22,FALSE),"")</f>
      </c>
      <c r="N234" s="79">
        <f>IFERROR(VLOOKUP($A:$A,CS!$A:$AK,19,FALSE),"")</f>
      </c>
      <c r="O234" s="79">
        <f>IFERROR(VLOOKUP($A:$A,CS!$A:$AK,23,FALSE),"")</f>
      </c>
      <c r="P234" s="79">
        <f>IFERROR(VLOOKUP($A:$A,CS!$A:$AK,24,FALSE),"")</f>
      </c>
      <c r="Q234" s="79">
        <f>IFERROR(VLOOKUP($A:$A,CS!$A:$AK,25,FALSE),"")</f>
      </c>
      <c r="R234" s="79">
        <f>IFERROR(VLOOKUP($A:$A,CS!$A:$AK,26,FALSE),"")</f>
      </c>
      <c r="S234" s="79">
        <f>IFERROR(VLOOKUP($A:$A,CS!$A:$AK,29,FALSE),"")</f>
      </c>
      <c r="T234" s="79">
        <f>IFERROR(VLOOKUP($A:$A,CS!$A:$AK,33,FALSE),"")</f>
      </c>
      <c r="U234" s="79">
        <f>IFERROR(VLOOKUP($A:$A,CS!$A:$AK,34,FALSE),"")</f>
      </c>
      <c r="V234" s="79">
        <f>IFERROR(VLOOKUP($A:$A,CS!$A:$AK,35,FALSE),"")</f>
      </c>
      <c r="W234" s="79">
        <f>IFERROR(VLOOKUP($A:$A,CS!$A:$AK,36,FALSE),"")</f>
      </c>
    </row>
    <row r="235" ht="16.5" customHeight="1" spans="1:23" x14ac:dyDescent="0.25">
      <c r="A235" s="93"/>
      <c r="B235" s="79">
        <f>IFERROR(VLOOKUP($A:$A,CS!$A:$AK,3,FALSE),"")</f>
      </c>
      <c r="C235" s="79">
        <f>IFERROR(VLOOKUP($A:$A,CS!$A:$AK,4,FALSE),"")</f>
      </c>
      <c r="D235" s="79">
        <f>IFERROR(VLOOKUP($A:$A,CS!$A:$AK,5,FALSE),"")</f>
      </c>
      <c r="E235" s="79">
        <f>IFERROR(VLOOKUP($A:$A,CS!$A:$AK,7,FALSE),"")</f>
      </c>
      <c r="F235" s="79">
        <f>IFERROR(VLOOKUP($A:$A,CS!$A:$AK,8,FALSE),"")</f>
      </c>
      <c r="G235" s="79">
        <f>IFERROR(VLOOKUP($A:$A,CS!$A:$AK,10,FALSE),"")</f>
      </c>
      <c r="H235" s="79">
        <f>IFERROR(VLOOKUP($A:$A,CS!$A:$AK,14,FALSE),"")</f>
      </c>
      <c r="I235" s="79">
        <f>IFERROR(VLOOKUP($A:$A,CS!$A:$AK,15,FALSE),"")</f>
      </c>
      <c r="J235" s="79">
        <f>IFERROR(VLOOKUP($A:$A,CS!$A:$AK,18,FALSE),"")</f>
      </c>
      <c r="K235" s="79">
        <f>IFERROR(VLOOKUP($A:$A,CS!$A:$AK,19,FALSE),"")</f>
      </c>
      <c r="L235" s="79">
        <f>IFERROR(VLOOKUP($A:$A,CS!$A:$AK,20,FALSE),"")</f>
      </c>
      <c r="M235" s="79">
        <f>IFERROR(VLOOKUP($A:$A,CS!$A:$AK,22,FALSE),"")</f>
      </c>
      <c r="N235" s="79">
        <f>IFERROR(VLOOKUP($A:$A,CS!$A:$AK,19,FALSE),"")</f>
      </c>
      <c r="O235" s="79">
        <f>IFERROR(VLOOKUP($A:$A,CS!$A:$AK,23,FALSE),"")</f>
      </c>
      <c r="P235" s="79">
        <f>IFERROR(VLOOKUP($A:$A,CS!$A:$AK,24,FALSE),"")</f>
      </c>
      <c r="Q235" s="79">
        <f>IFERROR(VLOOKUP($A:$A,CS!$A:$AK,25,FALSE),"")</f>
      </c>
      <c r="R235" s="79">
        <f>IFERROR(VLOOKUP($A:$A,CS!$A:$AK,26,FALSE),"")</f>
      </c>
      <c r="S235" s="79">
        <f>IFERROR(VLOOKUP($A:$A,CS!$A:$AK,29,FALSE),"")</f>
      </c>
      <c r="T235" s="79">
        <f>IFERROR(VLOOKUP($A:$A,CS!$A:$AK,33,FALSE),"")</f>
      </c>
      <c r="U235" s="79">
        <f>IFERROR(VLOOKUP($A:$A,CS!$A:$AK,34,FALSE),"")</f>
      </c>
      <c r="V235" s="79">
        <f>IFERROR(VLOOKUP($A:$A,CS!$A:$AK,35,FALSE),"")</f>
      </c>
      <c r="W235" s="79">
        <f>IFERROR(VLOOKUP($A:$A,CS!$A:$AK,36,FALSE),"")</f>
      </c>
    </row>
    <row r="236" ht="16.5" customHeight="1" spans="1:23" x14ac:dyDescent="0.25">
      <c r="A236" s="93"/>
      <c r="B236" s="79">
        <f>IFERROR(VLOOKUP($A:$A,CS!$A:$AK,3,FALSE),"")</f>
      </c>
      <c r="C236" s="79">
        <f>IFERROR(VLOOKUP($A:$A,CS!$A:$AK,4,FALSE),"")</f>
      </c>
      <c r="D236" s="79">
        <f>IFERROR(VLOOKUP($A:$A,CS!$A:$AK,5,FALSE),"")</f>
      </c>
      <c r="E236" s="79">
        <f>IFERROR(VLOOKUP($A:$A,CS!$A:$AK,7,FALSE),"")</f>
      </c>
      <c r="F236" s="79">
        <f>IFERROR(VLOOKUP($A:$A,CS!$A:$AK,8,FALSE),"")</f>
      </c>
      <c r="G236" s="79">
        <f>IFERROR(VLOOKUP($A:$A,CS!$A:$AK,10,FALSE),"")</f>
      </c>
      <c r="H236" s="79">
        <f>IFERROR(VLOOKUP($A:$A,CS!$A:$AK,14,FALSE),"")</f>
      </c>
      <c r="I236" s="79">
        <f>IFERROR(VLOOKUP($A:$A,CS!$A:$AK,15,FALSE),"")</f>
      </c>
      <c r="J236" s="79">
        <f>IFERROR(VLOOKUP($A:$A,CS!$A:$AK,18,FALSE),"")</f>
      </c>
      <c r="K236" s="79">
        <f>IFERROR(VLOOKUP($A:$A,CS!$A:$AK,19,FALSE),"")</f>
      </c>
      <c r="L236" s="79">
        <f>IFERROR(VLOOKUP($A:$A,CS!$A:$AK,20,FALSE),"")</f>
      </c>
      <c r="M236" s="79">
        <f>IFERROR(VLOOKUP($A:$A,CS!$A:$AK,22,FALSE),"")</f>
      </c>
      <c r="N236" s="79">
        <f>IFERROR(VLOOKUP($A:$A,CS!$A:$AK,19,FALSE),"")</f>
      </c>
      <c r="O236" s="79">
        <f>IFERROR(VLOOKUP($A:$A,CS!$A:$AK,23,FALSE),"")</f>
      </c>
      <c r="P236" s="79">
        <f>IFERROR(VLOOKUP($A:$A,CS!$A:$AK,24,FALSE),"")</f>
      </c>
      <c r="Q236" s="79">
        <f>IFERROR(VLOOKUP($A:$A,CS!$A:$AK,25,FALSE),"")</f>
      </c>
      <c r="R236" s="79">
        <f>IFERROR(VLOOKUP($A:$A,CS!$A:$AK,26,FALSE),"")</f>
      </c>
      <c r="S236" s="79">
        <f>IFERROR(VLOOKUP($A:$A,CS!$A:$AK,29,FALSE),"")</f>
      </c>
      <c r="T236" s="79">
        <f>IFERROR(VLOOKUP($A:$A,CS!$A:$AK,33,FALSE),"")</f>
      </c>
      <c r="U236" s="79">
        <f>IFERROR(VLOOKUP($A:$A,CS!$A:$AK,34,FALSE),"")</f>
      </c>
      <c r="V236" s="79">
        <f>IFERROR(VLOOKUP($A:$A,CS!$A:$AK,35,FALSE),"")</f>
      </c>
      <c r="W236" s="79">
        <f>IFERROR(VLOOKUP($A:$A,CS!$A:$AK,36,FALSE),"")</f>
      </c>
    </row>
    <row r="237" ht="16.5" customHeight="1" spans="1:23" x14ac:dyDescent="0.25">
      <c r="A237" s="93"/>
      <c r="B237" s="79">
        <f>IFERROR(VLOOKUP($A:$A,CS!$A:$AK,3,FALSE),"")</f>
      </c>
      <c r="C237" s="79">
        <f>IFERROR(VLOOKUP($A:$A,CS!$A:$AK,4,FALSE),"")</f>
      </c>
      <c r="D237" s="79">
        <f>IFERROR(VLOOKUP($A:$A,CS!$A:$AK,5,FALSE),"")</f>
      </c>
      <c r="E237" s="79">
        <f>IFERROR(VLOOKUP($A:$A,CS!$A:$AK,7,FALSE),"")</f>
      </c>
      <c r="F237" s="79">
        <f>IFERROR(VLOOKUP($A:$A,CS!$A:$AK,8,FALSE),"")</f>
      </c>
      <c r="G237" s="79">
        <f>IFERROR(VLOOKUP($A:$A,CS!$A:$AK,10,FALSE),"")</f>
      </c>
      <c r="H237" s="79">
        <f>IFERROR(VLOOKUP($A:$A,CS!$A:$AK,14,FALSE),"")</f>
      </c>
      <c r="I237" s="79">
        <f>IFERROR(VLOOKUP($A:$A,CS!$A:$AK,15,FALSE),"")</f>
      </c>
      <c r="J237" s="79">
        <f>IFERROR(VLOOKUP($A:$A,CS!$A:$AK,18,FALSE),"")</f>
      </c>
      <c r="K237" s="79">
        <f>IFERROR(VLOOKUP($A:$A,CS!$A:$AK,19,FALSE),"")</f>
      </c>
      <c r="L237" s="79">
        <f>IFERROR(VLOOKUP($A:$A,CS!$A:$AK,20,FALSE),"")</f>
      </c>
      <c r="M237" s="79">
        <f>IFERROR(VLOOKUP($A:$A,CS!$A:$AK,22,FALSE),"")</f>
      </c>
      <c r="N237" s="79">
        <f>IFERROR(VLOOKUP($A:$A,CS!$A:$AK,19,FALSE),"")</f>
      </c>
      <c r="O237" s="79">
        <f>IFERROR(VLOOKUP($A:$A,CS!$A:$AK,23,FALSE),"")</f>
      </c>
      <c r="P237" s="79">
        <f>IFERROR(VLOOKUP($A:$A,CS!$A:$AK,24,FALSE),"")</f>
      </c>
      <c r="Q237" s="79">
        <f>IFERROR(VLOOKUP($A:$A,CS!$A:$AK,25,FALSE),"")</f>
      </c>
      <c r="R237" s="79">
        <f>IFERROR(VLOOKUP($A:$A,CS!$A:$AK,26,FALSE),"")</f>
      </c>
      <c r="S237" s="79">
        <f>IFERROR(VLOOKUP($A:$A,CS!$A:$AK,29,FALSE),"")</f>
      </c>
      <c r="T237" s="79">
        <f>IFERROR(VLOOKUP($A:$A,CS!$A:$AK,33,FALSE),"")</f>
      </c>
      <c r="U237" s="79">
        <f>IFERROR(VLOOKUP($A:$A,CS!$A:$AK,34,FALSE),"")</f>
      </c>
      <c r="V237" s="79">
        <f>IFERROR(VLOOKUP($A:$A,CS!$A:$AK,35,FALSE),"")</f>
      </c>
      <c r="W237" s="79">
        <f>IFERROR(VLOOKUP($A:$A,CS!$A:$AK,36,FALSE),"")</f>
      </c>
    </row>
    <row r="238" ht="16.5" customHeight="1" spans="1:23" x14ac:dyDescent="0.25">
      <c r="A238" s="93"/>
      <c r="B238" s="79">
        <f>IFERROR(VLOOKUP($A:$A,CS!$A:$AK,3,FALSE),"")</f>
      </c>
      <c r="C238" s="79">
        <f>IFERROR(VLOOKUP($A:$A,CS!$A:$AK,4,FALSE),"")</f>
      </c>
      <c r="D238" s="79">
        <f>IFERROR(VLOOKUP($A:$A,CS!$A:$AK,5,FALSE),"")</f>
      </c>
      <c r="E238" s="79">
        <f>IFERROR(VLOOKUP($A:$A,CS!$A:$AK,7,FALSE),"")</f>
      </c>
      <c r="F238" s="79">
        <f>IFERROR(VLOOKUP($A:$A,CS!$A:$AK,8,FALSE),"")</f>
      </c>
      <c r="G238" s="79">
        <f>IFERROR(VLOOKUP($A:$A,CS!$A:$AK,10,FALSE),"")</f>
      </c>
      <c r="H238" s="79">
        <f>IFERROR(VLOOKUP($A:$A,CS!$A:$AK,14,FALSE),"")</f>
      </c>
      <c r="I238" s="79">
        <f>IFERROR(VLOOKUP($A:$A,CS!$A:$AK,15,FALSE),"")</f>
      </c>
      <c r="J238" s="79">
        <f>IFERROR(VLOOKUP($A:$A,CS!$A:$AK,18,FALSE),"")</f>
      </c>
      <c r="K238" s="79">
        <f>IFERROR(VLOOKUP($A:$A,CS!$A:$AK,19,FALSE),"")</f>
      </c>
      <c r="L238" s="79">
        <f>IFERROR(VLOOKUP($A:$A,CS!$A:$AK,20,FALSE),"")</f>
      </c>
      <c r="M238" s="79">
        <f>IFERROR(VLOOKUP($A:$A,CS!$A:$AK,22,FALSE),"")</f>
      </c>
      <c r="N238" s="79">
        <f>IFERROR(VLOOKUP($A:$A,CS!$A:$AK,19,FALSE),"")</f>
      </c>
      <c r="O238" s="79">
        <f>IFERROR(VLOOKUP($A:$A,CS!$A:$AK,23,FALSE),"")</f>
      </c>
      <c r="P238" s="79">
        <f>IFERROR(VLOOKUP($A:$A,CS!$A:$AK,24,FALSE),"")</f>
      </c>
      <c r="Q238" s="79">
        <f>IFERROR(VLOOKUP($A:$A,CS!$A:$AK,25,FALSE),"")</f>
      </c>
      <c r="R238" s="79">
        <f>IFERROR(VLOOKUP($A:$A,CS!$A:$AK,26,FALSE),"")</f>
      </c>
      <c r="S238" s="79">
        <f>IFERROR(VLOOKUP($A:$A,CS!$A:$AK,29,FALSE),"")</f>
      </c>
      <c r="T238" s="79">
        <f>IFERROR(VLOOKUP($A:$A,CS!$A:$AK,33,FALSE),"")</f>
      </c>
      <c r="U238" s="79">
        <f>IFERROR(VLOOKUP($A:$A,CS!$A:$AK,34,FALSE),"")</f>
      </c>
      <c r="V238" s="79">
        <f>IFERROR(VLOOKUP($A:$A,CS!$A:$AK,35,FALSE),"")</f>
      </c>
      <c r="W238" s="79">
        <f>IFERROR(VLOOKUP($A:$A,CS!$A:$AK,36,FALSE),"")</f>
      </c>
    </row>
    <row r="239" ht="16.5" customHeight="1" spans="1:23" x14ac:dyDescent="0.25">
      <c r="A239" s="93"/>
      <c r="B239" s="79">
        <f>IFERROR(VLOOKUP($A:$A,CS!$A:$AK,3,FALSE),"")</f>
      </c>
      <c r="C239" s="79">
        <f>IFERROR(VLOOKUP($A:$A,CS!$A:$AK,4,FALSE),"")</f>
      </c>
      <c r="D239" s="79">
        <f>IFERROR(VLOOKUP($A:$A,CS!$A:$AK,5,FALSE),"")</f>
      </c>
      <c r="E239" s="79">
        <f>IFERROR(VLOOKUP($A:$A,CS!$A:$AK,7,FALSE),"")</f>
      </c>
      <c r="F239" s="79">
        <f>IFERROR(VLOOKUP($A:$A,CS!$A:$AK,8,FALSE),"")</f>
      </c>
      <c r="G239" s="79">
        <f>IFERROR(VLOOKUP($A:$A,CS!$A:$AK,10,FALSE),"")</f>
      </c>
      <c r="H239" s="79">
        <f>IFERROR(VLOOKUP($A:$A,CS!$A:$AK,14,FALSE),"")</f>
      </c>
      <c r="I239" s="79">
        <f>IFERROR(VLOOKUP($A:$A,CS!$A:$AK,15,FALSE),"")</f>
      </c>
      <c r="J239" s="79">
        <f>IFERROR(VLOOKUP($A:$A,CS!$A:$AK,18,FALSE),"")</f>
      </c>
      <c r="K239" s="79">
        <f>IFERROR(VLOOKUP($A:$A,CS!$A:$AK,19,FALSE),"")</f>
      </c>
      <c r="L239" s="79">
        <f>IFERROR(VLOOKUP($A:$A,CS!$A:$AK,20,FALSE),"")</f>
      </c>
      <c r="M239" s="79">
        <f>IFERROR(VLOOKUP($A:$A,CS!$A:$AK,22,FALSE),"")</f>
      </c>
      <c r="N239" s="79">
        <f>IFERROR(VLOOKUP($A:$A,CS!$A:$AK,19,FALSE),"")</f>
      </c>
      <c r="O239" s="79">
        <f>IFERROR(VLOOKUP($A:$A,CS!$A:$AK,23,FALSE),"")</f>
      </c>
      <c r="P239" s="79">
        <f>IFERROR(VLOOKUP($A:$A,CS!$A:$AK,24,FALSE),"")</f>
      </c>
      <c r="Q239" s="79">
        <f>IFERROR(VLOOKUP($A:$A,CS!$A:$AK,25,FALSE),"")</f>
      </c>
      <c r="R239" s="79">
        <f>IFERROR(VLOOKUP($A:$A,CS!$A:$AK,26,FALSE),"")</f>
      </c>
      <c r="S239" s="79">
        <f>IFERROR(VLOOKUP($A:$A,CS!$A:$AK,29,FALSE),"")</f>
      </c>
      <c r="T239" s="79">
        <f>IFERROR(VLOOKUP($A:$A,CS!$A:$AK,33,FALSE),"")</f>
      </c>
      <c r="U239" s="79">
        <f>IFERROR(VLOOKUP($A:$A,CS!$A:$AK,34,FALSE),"")</f>
      </c>
      <c r="V239" s="79">
        <f>IFERROR(VLOOKUP($A:$A,CS!$A:$AK,35,FALSE),"")</f>
      </c>
      <c r="W239" s="79">
        <f>IFERROR(VLOOKUP($A:$A,CS!$A:$AK,36,FALSE),"")</f>
      </c>
    </row>
    <row r="240" ht="16.5" customHeight="1" spans="1:23" x14ac:dyDescent="0.25">
      <c r="A240" s="93"/>
      <c r="B240" s="79">
        <f>IFERROR(VLOOKUP($A:$A,CS!$A:$AK,3,FALSE),"")</f>
      </c>
      <c r="C240" s="79">
        <f>IFERROR(VLOOKUP($A:$A,CS!$A:$AK,4,FALSE),"")</f>
      </c>
      <c r="D240" s="79">
        <f>IFERROR(VLOOKUP($A:$A,CS!$A:$AK,5,FALSE),"")</f>
      </c>
      <c r="E240" s="79">
        <f>IFERROR(VLOOKUP($A:$A,CS!$A:$AK,7,FALSE),"")</f>
      </c>
      <c r="F240" s="79">
        <f>IFERROR(VLOOKUP($A:$A,CS!$A:$AK,8,FALSE),"")</f>
      </c>
      <c r="G240" s="79">
        <f>IFERROR(VLOOKUP($A:$A,CS!$A:$AK,10,FALSE),"")</f>
      </c>
      <c r="H240" s="79">
        <f>IFERROR(VLOOKUP($A:$A,CS!$A:$AK,14,FALSE),"")</f>
      </c>
      <c r="I240" s="79">
        <f>IFERROR(VLOOKUP($A:$A,CS!$A:$AK,15,FALSE),"")</f>
      </c>
      <c r="J240" s="79">
        <f>IFERROR(VLOOKUP($A:$A,CS!$A:$AK,18,FALSE),"")</f>
      </c>
      <c r="K240" s="79">
        <f>IFERROR(VLOOKUP($A:$A,CS!$A:$AK,19,FALSE),"")</f>
      </c>
      <c r="L240" s="79">
        <f>IFERROR(VLOOKUP($A:$A,CS!$A:$AK,20,FALSE),"")</f>
      </c>
      <c r="M240" s="79">
        <f>IFERROR(VLOOKUP($A:$A,CS!$A:$AK,22,FALSE),"")</f>
      </c>
      <c r="N240" s="79">
        <f>IFERROR(VLOOKUP($A:$A,CS!$A:$AK,19,FALSE),"")</f>
      </c>
      <c r="O240" s="79">
        <f>IFERROR(VLOOKUP($A:$A,CS!$A:$AK,23,FALSE),"")</f>
      </c>
      <c r="P240" s="79">
        <f>IFERROR(VLOOKUP($A:$A,CS!$A:$AK,24,FALSE),"")</f>
      </c>
      <c r="Q240" s="79">
        <f>IFERROR(VLOOKUP($A:$A,CS!$A:$AK,25,FALSE),"")</f>
      </c>
      <c r="R240" s="79">
        <f>IFERROR(VLOOKUP($A:$A,CS!$A:$AK,26,FALSE),"")</f>
      </c>
      <c r="S240" s="79">
        <f>IFERROR(VLOOKUP($A:$A,CS!$A:$AK,29,FALSE),"")</f>
      </c>
      <c r="T240" s="79">
        <f>IFERROR(VLOOKUP($A:$A,CS!$A:$AK,33,FALSE),"")</f>
      </c>
      <c r="U240" s="79">
        <f>IFERROR(VLOOKUP($A:$A,CS!$A:$AK,34,FALSE),"")</f>
      </c>
      <c r="V240" s="79">
        <f>IFERROR(VLOOKUP($A:$A,CS!$A:$AK,35,FALSE),"")</f>
      </c>
      <c r="W240" s="79">
        <f>IFERROR(VLOOKUP($A:$A,CS!$A:$AK,36,FALSE),"")</f>
      </c>
    </row>
    <row r="241" ht="16.5" customHeight="1" spans="1:23" x14ac:dyDescent="0.25">
      <c r="A241" s="93"/>
      <c r="B241" s="79">
        <f>IFERROR(VLOOKUP($A:$A,CS!$A:$AK,3,FALSE),"")</f>
      </c>
      <c r="C241" s="79">
        <f>IFERROR(VLOOKUP($A:$A,CS!$A:$AK,4,FALSE),"")</f>
      </c>
      <c r="D241" s="79">
        <f>IFERROR(VLOOKUP($A:$A,CS!$A:$AK,5,FALSE),"")</f>
      </c>
      <c r="E241" s="79">
        <f>IFERROR(VLOOKUP($A:$A,CS!$A:$AK,7,FALSE),"")</f>
      </c>
      <c r="F241" s="79">
        <f>IFERROR(VLOOKUP($A:$A,CS!$A:$AK,8,FALSE),"")</f>
      </c>
      <c r="G241" s="79">
        <f>IFERROR(VLOOKUP($A:$A,CS!$A:$AK,10,FALSE),"")</f>
      </c>
      <c r="H241" s="79">
        <f>IFERROR(VLOOKUP($A:$A,CS!$A:$AK,14,FALSE),"")</f>
      </c>
      <c r="I241" s="79">
        <f>IFERROR(VLOOKUP($A:$A,CS!$A:$AK,15,FALSE),"")</f>
      </c>
      <c r="J241" s="79">
        <f>IFERROR(VLOOKUP($A:$A,CS!$A:$AK,18,FALSE),"")</f>
      </c>
      <c r="K241" s="79">
        <f>IFERROR(VLOOKUP($A:$A,CS!$A:$AK,19,FALSE),"")</f>
      </c>
      <c r="L241" s="79">
        <f>IFERROR(VLOOKUP($A:$A,CS!$A:$AK,20,FALSE),"")</f>
      </c>
      <c r="M241" s="79">
        <f>IFERROR(VLOOKUP($A:$A,CS!$A:$AK,22,FALSE),"")</f>
      </c>
      <c r="N241" s="79">
        <f>IFERROR(VLOOKUP($A:$A,CS!$A:$AK,19,FALSE),"")</f>
      </c>
      <c r="O241" s="79">
        <f>IFERROR(VLOOKUP($A:$A,CS!$A:$AK,23,FALSE),"")</f>
      </c>
      <c r="P241" s="79">
        <f>IFERROR(VLOOKUP($A:$A,CS!$A:$AK,24,FALSE),"")</f>
      </c>
      <c r="Q241" s="79">
        <f>IFERROR(VLOOKUP($A:$A,CS!$A:$AK,25,FALSE),"")</f>
      </c>
      <c r="R241" s="79">
        <f>IFERROR(VLOOKUP($A:$A,CS!$A:$AK,26,FALSE),"")</f>
      </c>
      <c r="S241" s="79">
        <f>IFERROR(VLOOKUP($A:$A,CS!$A:$AK,29,FALSE),"")</f>
      </c>
      <c r="T241" s="79">
        <f>IFERROR(VLOOKUP($A:$A,CS!$A:$AK,33,FALSE),"")</f>
      </c>
      <c r="U241" s="79">
        <f>IFERROR(VLOOKUP($A:$A,CS!$A:$AK,34,FALSE),"")</f>
      </c>
      <c r="V241" s="79">
        <f>IFERROR(VLOOKUP($A:$A,CS!$A:$AK,35,FALSE),"")</f>
      </c>
      <c r="W241" s="79">
        <f>IFERROR(VLOOKUP($A:$A,CS!$A:$AK,36,FALSE),"")</f>
      </c>
    </row>
    <row r="242" ht="16.5" customHeight="1" spans="1:23" x14ac:dyDescent="0.25">
      <c r="A242" s="93"/>
      <c r="B242" s="79">
        <f>IFERROR(VLOOKUP($A:$A,CS!$A:$AK,3,FALSE),"")</f>
      </c>
      <c r="C242" s="79">
        <f>IFERROR(VLOOKUP($A:$A,CS!$A:$AK,4,FALSE),"")</f>
      </c>
      <c r="D242" s="79">
        <f>IFERROR(VLOOKUP($A:$A,CS!$A:$AK,5,FALSE),"")</f>
      </c>
      <c r="E242" s="79">
        <f>IFERROR(VLOOKUP($A:$A,CS!$A:$AK,7,FALSE),"")</f>
      </c>
      <c r="F242" s="79">
        <f>IFERROR(VLOOKUP($A:$A,CS!$A:$AK,8,FALSE),"")</f>
      </c>
      <c r="G242" s="79">
        <f>IFERROR(VLOOKUP($A:$A,CS!$A:$AK,10,FALSE),"")</f>
      </c>
      <c r="H242" s="79">
        <f>IFERROR(VLOOKUP($A:$A,CS!$A:$AK,14,FALSE),"")</f>
      </c>
      <c r="I242" s="79">
        <f>IFERROR(VLOOKUP($A:$A,CS!$A:$AK,15,FALSE),"")</f>
      </c>
      <c r="J242" s="79">
        <f>IFERROR(VLOOKUP($A:$A,CS!$A:$AK,18,FALSE),"")</f>
      </c>
      <c r="K242" s="79">
        <f>IFERROR(VLOOKUP($A:$A,CS!$A:$AK,19,FALSE),"")</f>
      </c>
      <c r="L242" s="79">
        <f>IFERROR(VLOOKUP($A:$A,CS!$A:$AK,20,FALSE),"")</f>
      </c>
      <c r="M242" s="79">
        <f>IFERROR(VLOOKUP($A:$A,CS!$A:$AK,22,FALSE),"")</f>
      </c>
      <c r="N242" s="79">
        <f>IFERROR(VLOOKUP($A:$A,CS!$A:$AK,19,FALSE),"")</f>
      </c>
      <c r="O242" s="79">
        <f>IFERROR(VLOOKUP($A:$A,CS!$A:$AK,23,FALSE),"")</f>
      </c>
      <c r="P242" s="79">
        <f>IFERROR(VLOOKUP($A:$A,CS!$A:$AK,24,FALSE),"")</f>
      </c>
      <c r="Q242" s="79">
        <f>IFERROR(VLOOKUP($A:$A,CS!$A:$AK,25,FALSE),"")</f>
      </c>
      <c r="R242" s="79">
        <f>IFERROR(VLOOKUP($A:$A,CS!$A:$AK,26,FALSE),"")</f>
      </c>
      <c r="S242" s="79">
        <f>IFERROR(VLOOKUP($A:$A,CS!$A:$AK,29,FALSE),"")</f>
      </c>
      <c r="T242" s="79">
        <f>IFERROR(VLOOKUP($A:$A,CS!$A:$AK,33,FALSE),"")</f>
      </c>
      <c r="U242" s="79">
        <f>IFERROR(VLOOKUP($A:$A,CS!$A:$AK,34,FALSE),"")</f>
      </c>
      <c r="V242" s="79">
        <f>IFERROR(VLOOKUP($A:$A,CS!$A:$AK,35,FALSE),"")</f>
      </c>
      <c r="W242" s="79">
        <f>IFERROR(VLOOKUP($A:$A,CS!$A:$AK,36,FALSE),"")</f>
      </c>
    </row>
    <row r="243" ht="16.5" customHeight="1" spans="1:23" x14ac:dyDescent="0.25">
      <c r="A243" s="93"/>
      <c r="B243" s="79">
        <f>IFERROR(VLOOKUP($A:$A,CS!$A:$AK,3,FALSE),"")</f>
      </c>
      <c r="C243" s="79">
        <f>IFERROR(VLOOKUP($A:$A,CS!$A:$AK,4,FALSE),"")</f>
      </c>
      <c r="D243" s="79">
        <f>IFERROR(VLOOKUP($A:$A,CS!$A:$AK,5,FALSE),"")</f>
      </c>
      <c r="E243" s="79">
        <f>IFERROR(VLOOKUP($A:$A,CS!$A:$AK,7,FALSE),"")</f>
      </c>
      <c r="F243" s="79">
        <f>IFERROR(VLOOKUP($A:$A,CS!$A:$AK,8,FALSE),"")</f>
      </c>
      <c r="G243" s="79">
        <f>IFERROR(VLOOKUP($A:$A,CS!$A:$AK,10,FALSE),"")</f>
      </c>
      <c r="H243" s="79">
        <f>IFERROR(VLOOKUP($A:$A,CS!$A:$AK,14,FALSE),"")</f>
      </c>
      <c r="I243" s="79">
        <f>IFERROR(VLOOKUP($A:$A,CS!$A:$AK,15,FALSE),"")</f>
      </c>
      <c r="J243" s="79">
        <f>IFERROR(VLOOKUP($A:$A,CS!$A:$AK,18,FALSE),"")</f>
      </c>
      <c r="K243" s="79">
        <f>IFERROR(VLOOKUP($A:$A,CS!$A:$AK,19,FALSE),"")</f>
      </c>
      <c r="L243" s="79">
        <f>IFERROR(VLOOKUP($A:$A,CS!$A:$AK,20,FALSE),"")</f>
      </c>
      <c r="M243" s="79">
        <f>IFERROR(VLOOKUP($A:$A,CS!$A:$AK,22,FALSE),"")</f>
      </c>
      <c r="N243" s="79">
        <f>IFERROR(VLOOKUP($A:$A,CS!$A:$AK,19,FALSE),"")</f>
      </c>
      <c r="O243" s="79">
        <f>IFERROR(VLOOKUP($A:$A,CS!$A:$AK,23,FALSE),"")</f>
      </c>
      <c r="P243" s="79">
        <f>IFERROR(VLOOKUP($A:$A,CS!$A:$AK,24,FALSE),"")</f>
      </c>
      <c r="Q243" s="79">
        <f>IFERROR(VLOOKUP($A:$A,CS!$A:$AK,25,FALSE),"")</f>
      </c>
      <c r="R243" s="79">
        <f>IFERROR(VLOOKUP($A:$A,CS!$A:$AK,26,FALSE),"")</f>
      </c>
      <c r="S243" s="79">
        <f>IFERROR(VLOOKUP($A:$A,CS!$A:$AK,29,FALSE),"")</f>
      </c>
      <c r="T243" s="79">
        <f>IFERROR(VLOOKUP($A:$A,CS!$A:$AK,33,FALSE),"")</f>
      </c>
      <c r="U243" s="79">
        <f>IFERROR(VLOOKUP($A:$A,CS!$A:$AK,34,FALSE),"")</f>
      </c>
      <c r="V243" s="79">
        <f>IFERROR(VLOOKUP($A:$A,CS!$A:$AK,35,FALSE),"")</f>
      </c>
      <c r="W243" s="79">
        <f>IFERROR(VLOOKUP($A:$A,CS!$A:$AK,36,FALSE),"")</f>
      </c>
    </row>
    <row r="244" ht="16.5" customHeight="1" spans="1:23" x14ac:dyDescent="0.25">
      <c r="A244" s="93"/>
      <c r="B244" s="79">
        <f>IFERROR(VLOOKUP($A:$A,CS!$A:$AK,3,FALSE),"")</f>
      </c>
      <c r="C244" s="79">
        <f>IFERROR(VLOOKUP($A:$A,CS!$A:$AK,4,FALSE),"")</f>
      </c>
      <c r="D244" s="79">
        <f>IFERROR(VLOOKUP($A:$A,CS!$A:$AK,5,FALSE),"")</f>
      </c>
      <c r="E244" s="79">
        <f>IFERROR(VLOOKUP($A:$A,CS!$A:$AK,7,FALSE),"")</f>
      </c>
      <c r="F244" s="79">
        <f>IFERROR(VLOOKUP($A:$A,CS!$A:$AK,8,FALSE),"")</f>
      </c>
      <c r="G244" s="79">
        <f>IFERROR(VLOOKUP($A:$A,CS!$A:$AK,10,FALSE),"")</f>
      </c>
      <c r="H244" s="79">
        <f>IFERROR(VLOOKUP($A:$A,CS!$A:$AK,14,FALSE),"")</f>
      </c>
      <c r="I244" s="79">
        <f>IFERROR(VLOOKUP($A:$A,CS!$A:$AK,15,FALSE),"")</f>
      </c>
      <c r="J244" s="79">
        <f>IFERROR(VLOOKUP($A:$A,CS!$A:$AK,18,FALSE),"")</f>
      </c>
      <c r="K244" s="79">
        <f>IFERROR(VLOOKUP($A:$A,CS!$A:$AK,19,FALSE),"")</f>
      </c>
      <c r="L244" s="79">
        <f>IFERROR(VLOOKUP($A:$A,CS!$A:$AK,20,FALSE),"")</f>
      </c>
      <c r="M244" s="79">
        <f>IFERROR(VLOOKUP($A:$A,CS!$A:$AK,22,FALSE),"")</f>
      </c>
      <c r="N244" s="79">
        <f>IFERROR(VLOOKUP($A:$A,CS!$A:$AK,19,FALSE),"")</f>
      </c>
      <c r="O244" s="79">
        <f>IFERROR(VLOOKUP($A:$A,CS!$A:$AK,23,FALSE),"")</f>
      </c>
      <c r="P244" s="79">
        <f>IFERROR(VLOOKUP($A:$A,CS!$A:$AK,24,FALSE),"")</f>
      </c>
      <c r="Q244" s="79">
        <f>IFERROR(VLOOKUP($A:$A,CS!$A:$AK,25,FALSE),"")</f>
      </c>
      <c r="R244" s="79">
        <f>IFERROR(VLOOKUP($A:$A,CS!$A:$AK,26,FALSE),"")</f>
      </c>
      <c r="S244" s="79">
        <f>IFERROR(VLOOKUP($A:$A,CS!$A:$AK,29,FALSE),"")</f>
      </c>
      <c r="T244" s="79">
        <f>IFERROR(VLOOKUP($A:$A,CS!$A:$AK,33,FALSE),"")</f>
      </c>
      <c r="U244" s="79">
        <f>IFERROR(VLOOKUP($A:$A,CS!$A:$AK,34,FALSE),"")</f>
      </c>
      <c r="V244" s="79">
        <f>IFERROR(VLOOKUP($A:$A,CS!$A:$AK,35,FALSE),"")</f>
      </c>
      <c r="W244" s="79">
        <f>IFERROR(VLOOKUP($A:$A,CS!$A:$AK,36,FALSE),"")</f>
      </c>
    </row>
    <row r="245" ht="16.5" customHeight="1" spans="1:23" x14ac:dyDescent="0.25">
      <c r="A245" s="93"/>
      <c r="B245" s="79">
        <f>IFERROR(VLOOKUP($A:$A,CS!$A:$AK,3,FALSE),"")</f>
      </c>
      <c r="C245" s="79">
        <f>IFERROR(VLOOKUP($A:$A,CS!$A:$AK,4,FALSE),"")</f>
      </c>
      <c r="D245" s="79">
        <f>IFERROR(VLOOKUP($A:$A,CS!$A:$AK,5,FALSE),"")</f>
      </c>
      <c r="E245" s="79">
        <f>IFERROR(VLOOKUP($A:$A,CS!$A:$AK,7,FALSE),"")</f>
      </c>
      <c r="F245" s="79">
        <f>IFERROR(VLOOKUP($A:$A,CS!$A:$AK,8,FALSE),"")</f>
      </c>
      <c r="G245" s="79">
        <f>IFERROR(VLOOKUP($A:$A,CS!$A:$AK,10,FALSE),"")</f>
      </c>
      <c r="H245" s="79">
        <f>IFERROR(VLOOKUP($A:$A,CS!$A:$AK,14,FALSE),"")</f>
      </c>
      <c r="I245" s="79">
        <f>IFERROR(VLOOKUP($A:$A,CS!$A:$AK,15,FALSE),"")</f>
      </c>
      <c r="J245" s="79">
        <f>IFERROR(VLOOKUP($A:$A,CS!$A:$AK,18,FALSE),"")</f>
      </c>
      <c r="K245" s="79">
        <f>IFERROR(VLOOKUP($A:$A,CS!$A:$AK,19,FALSE),"")</f>
      </c>
      <c r="L245" s="79">
        <f>IFERROR(VLOOKUP($A:$A,CS!$A:$AK,20,FALSE),"")</f>
      </c>
      <c r="M245" s="79">
        <f>IFERROR(VLOOKUP($A:$A,CS!$A:$AK,22,FALSE),"")</f>
      </c>
      <c r="N245" s="79">
        <f>IFERROR(VLOOKUP($A:$A,CS!$A:$AK,19,FALSE),"")</f>
      </c>
      <c r="O245" s="79">
        <f>IFERROR(VLOOKUP($A:$A,CS!$A:$AK,23,FALSE),"")</f>
      </c>
      <c r="P245" s="79">
        <f>IFERROR(VLOOKUP($A:$A,CS!$A:$AK,24,FALSE),"")</f>
      </c>
      <c r="Q245" s="79">
        <f>IFERROR(VLOOKUP($A:$A,CS!$A:$AK,25,FALSE),"")</f>
      </c>
      <c r="R245" s="79">
        <f>IFERROR(VLOOKUP($A:$A,CS!$A:$AK,26,FALSE),"")</f>
      </c>
      <c r="S245" s="79">
        <f>IFERROR(VLOOKUP($A:$A,CS!$A:$AK,29,FALSE),"")</f>
      </c>
      <c r="T245" s="79">
        <f>IFERROR(VLOOKUP($A:$A,CS!$A:$AK,33,FALSE),"")</f>
      </c>
      <c r="U245" s="79">
        <f>IFERROR(VLOOKUP($A:$A,CS!$A:$AK,34,FALSE),"")</f>
      </c>
      <c r="V245" s="79">
        <f>IFERROR(VLOOKUP($A:$A,CS!$A:$AK,35,FALSE),"")</f>
      </c>
      <c r="W245" s="79">
        <f>IFERROR(VLOOKUP($A:$A,CS!$A:$AK,36,FALSE),"")</f>
      </c>
    </row>
    <row r="246" ht="16.5" customHeight="1" spans="1:23" x14ac:dyDescent="0.25">
      <c r="A246" s="93"/>
      <c r="B246" s="79">
        <f>IFERROR(VLOOKUP($A:$A,CS!$A:$AK,3,FALSE),"")</f>
      </c>
      <c r="C246" s="79">
        <f>IFERROR(VLOOKUP($A:$A,CS!$A:$AK,4,FALSE),"")</f>
      </c>
      <c r="D246" s="79">
        <f>IFERROR(VLOOKUP($A:$A,CS!$A:$AK,5,FALSE),"")</f>
      </c>
      <c r="E246" s="79">
        <f>IFERROR(VLOOKUP($A:$A,CS!$A:$AK,7,FALSE),"")</f>
      </c>
      <c r="F246" s="79">
        <f>IFERROR(VLOOKUP($A:$A,CS!$A:$AK,8,FALSE),"")</f>
      </c>
      <c r="G246" s="79">
        <f>IFERROR(VLOOKUP($A:$A,CS!$A:$AK,10,FALSE),"")</f>
      </c>
      <c r="H246" s="79">
        <f>IFERROR(VLOOKUP($A:$A,CS!$A:$AK,14,FALSE),"")</f>
      </c>
      <c r="I246" s="79">
        <f>IFERROR(VLOOKUP($A:$A,CS!$A:$AK,15,FALSE),"")</f>
      </c>
      <c r="J246" s="79">
        <f>IFERROR(VLOOKUP($A:$A,CS!$A:$AK,18,FALSE),"")</f>
      </c>
      <c r="K246" s="79">
        <f>IFERROR(VLOOKUP($A:$A,CS!$A:$AK,19,FALSE),"")</f>
      </c>
      <c r="L246" s="79">
        <f>IFERROR(VLOOKUP($A:$A,CS!$A:$AK,20,FALSE),"")</f>
      </c>
      <c r="M246" s="79">
        <f>IFERROR(VLOOKUP($A:$A,CS!$A:$AK,22,FALSE),"")</f>
      </c>
      <c r="N246" s="79">
        <f>IFERROR(VLOOKUP($A:$A,CS!$A:$AK,19,FALSE),"")</f>
      </c>
      <c r="O246" s="79">
        <f>IFERROR(VLOOKUP($A:$A,CS!$A:$AK,23,FALSE),"")</f>
      </c>
      <c r="P246" s="79">
        <f>IFERROR(VLOOKUP($A:$A,CS!$A:$AK,24,FALSE),"")</f>
      </c>
      <c r="Q246" s="79">
        <f>IFERROR(VLOOKUP($A:$A,CS!$A:$AK,25,FALSE),"")</f>
      </c>
      <c r="R246" s="79">
        <f>IFERROR(VLOOKUP($A:$A,CS!$A:$AK,26,FALSE),"")</f>
      </c>
      <c r="S246" s="79">
        <f>IFERROR(VLOOKUP($A:$A,CS!$A:$AK,29,FALSE),"")</f>
      </c>
      <c r="T246" s="79">
        <f>IFERROR(VLOOKUP($A:$A,CS!$A:$AK,33,FALSE),"")</f>
      </c>
      <c r="U246" s="79">
        <f>IFERROR(VLOOKUP($A:$A,CS!$A:$AK,34,FALSE),"")</f>
      </c>
      <c r="V246" s="79">
        <f>IFERROR(VLOOKUP($A:$A,CS!$A:$AK,35,FALSE),"")</f>
      </c>
      <c r="W246" s="79">
        <f>IFERROR(VLOOKUP($A:$A,CS!$A:$AK,36,FALSE),"")</f>
      </c>
    </row>
    <row r="247" ht="16.5" customHeight="1" spans="1:23" x14ac:dyDescent="0.25">
      <c r="A247" s="93"/>
      <c r="B247" s="79">
        <f>IFERROR(VLOOKUP($A:$A,CS!$A:$AK,3,FALSE),"")</f>
      </c>
      <c r="C247" s="79">
        <f>IFERROR(VLOOKUP($A:$A,CS!$A:$AK,4,FALSE),"")</f>
      </c>
      <c r="D247" s="79">
        <f>IFERROR(VLOOKUP($A:$A,CS!$A:$AK,5,FALSE),"")</f>
      </c>
      <c r="E247" s="79">
        <f>IFERROR(VLOOKUP($A:$A,CS!$A:$AK,7,FALSE),"")</f>
      </c>
      <c r="F247" s="79">
        <f>IFERROR(VLOOKUP($A:$A,CS!$A:$AK,8,FALSE),"")</f>
      </c>
      <c r="G247" s="79">
        <f>IFERROR(VLOOKUP($A:$A,CS!$A:$AK,10,FALSE),"")</f>
      </c>
      <c r="H247" s="79">
        <f>IFERROR(VLOOKUP($A:$A,CS!$A:$AK,14,FALSE),"")</f>
      </c>
      <c r="I247" s="79">
        <f>IFERROR(VLOOKUP($A:$A,CS!$A:$AK,15,FALSE),"")</f>
      </c>
      <c r="J247" s="79">
        <f>IFERROR(VLOOKUP($A:$A,CS!$A:$AK,18,FALSE),"")</f>
      </c>
      <c r="K247" s="79">
        <f>IFERROR(VLOOKUP($A:$A,CS!$A:$AK,19,FALSE),"")</f>
      </c>
      <c r="L247" s="79">
        <f>IFERROR(VLOOKUP($A:$A,CS!$A:$AK,20,FALSE),"")</f>
      </c>
      <c r="M247" s="79">
        <f>IFERROR(VLOOKUP($A:$A,CS!$A:$AK,22,FALSE),"")</f>
      </c>
      <c r="N247" s="79">
        <f>IFERROR(VLOOKUP($A:$A,CS!$A:$AK,19,FALSE),"")</f>
      </c>
      <c r="O247" s="79">
        <f>IFERROR(VLOOKUP($A:$A,CS!$A:$AK,23,FALSE),"")</f>
      </c>
      <c r="P247" s="79">
        <f>IFERROR(VLOOKUP($A:$A,CS!$A:$AK,24,FALSE),"")</f>
      </c>
      <c r="Q247" s="79">
        <f>IFERROR(VLOOKUP($A:$A,CS!$A:$AK,25,FALSE),"")</f>
      </c>
      <c r="R247" s="79">
        <f>IFERROR(VLOOKUP($A:$A,CS!$A:$AK,26,FALSE),"")</f>
      </c>
      <c r="S247" s="79">
        <f>IFERROR(VLOOKUP($A:$A,CS!$A:$AK,29,FALSE),"")</f>
      </c>
      <c r="T247" s="79">
        <f>IFERROR(VLOOKUP($A:$A,CS!$A:$AK,33,FALSE),"")</f>
      </c>
      <c r="U247" s="79">
        <f>IFERROR(VLOOKUP($A:$A,CS!$A:$AK,34,FALSE),"")</f>
      </c>
      <c r="V247" s="79">
        <f>IFERROR(VLOOKUP($A:$A,CS!$A:$AK,35,FALSE),"")</f>
      </c>
      <c r="W247" s="79">
        <f>IFERROR(VLOOKUP($A:$A,CS!$A:$AK,36,FALSE),"")</f>
      </c>
    </row>
    <row r="248" ht="16.5" customHeight="1" spans="1:23" x14ac:dyDescent="0.25">
      <c r="A248" s="93"/>
      <c r="B248" s="79">
        <f>IFERROR(VLOOKUP($A:$A,CS!$A:$AK,3,FALSE),"")</f>
      </c>
      <c r="C248" s="79">
        <f>IFERROR(VLOOKUP($A:$A,CS!$A:$AK,4,FALSE),"")</f>
      </c>
      <c r="D248" s="79">
        <f>IFERROR(VLOOKUP($A:$A,CS!$A:$AK,5,FALSE),"")</f>
      </c>
      <c r="E248" s="79">
        <f>IFERROR(VLOOKUP($A:$A,CS!$A:$AK,7,FALSE),"")</f>
      </c>
      <c r="F248" s="79">
        <f>IFERROR(VLOOKUP($A:$A,CS!$A:$AK,8,FALSE),"")</f>
      </c>
      <c r="G248" s="79">
        <f>IFERROR(VLOOKUP($A:$A,CS!$A:$AK,10,FALSE),"")</f>
      </c>
      <c r="H248" s="79">
        <f>IFERROR(VLOOKUP($A:$A,CS!$A:$AK,14,FALSE),"")</f>
      </c>
      <c r="I248" s="79">
        <f>IFERROR(VLOOKUP($A:$A,CS!$A:$AK,15,FALSE),"")</f>
      </c>
      <c r="J248" s="79">
        <f>IFERROR(VLOOKUP($A:$A,CS!$A:$AK,18,FALSE),"")</f>
      </c>
      <c r="K248" s="79">
        <f>IFERROR(VLOOKUP($A:$A,CS!$A:$AK,19,FALSE),"")</f>
      </c>
      <c r="L248" s="79">
        <f>IFERROR(VLOOKUP($A:$A,CS!$A:$AK,20,FALSE),"")</f>
      </c>
      <c r="M248" s="79">
        <f>IFERROR(VLOOKUP($A:$A,CS!$A:$AK,22,FALSE),"")</f>
      </c>
      <c r="N248" s="79">
        <f>IFERROR(VLOOKUP($A:$A,CS!$A:$AK,19,FALSE),"")</f>
      </c>
      <c r="O248" s="79">
        <f>IFERROR(VLOOKUP($A:$A,CS!$A:$AK,23,FALSE),"")</f>
      </c>
      <c r="P248" s="79">
        <f>IFERROR(VLOOKUP($A:$A,CS!$A:$AK,24,FALSE),"")</f>
      </c>
      <c r="Q248" s="79">
        <f>IFERROR(VLOOKUP($A:$A,CS!$A:$AK,25,FALSE),"")</f>
      </c>
      <c r="R248" s="79">
        <f>IFERROR(VLOOKUP($A:$A,CS!$A:$AK,26,FALSE),"")</f>
      </c>
      <c r="S248" s="79">
        <f>IFERROR(VLOOKUP($A:$A,CS!$A:$AK,29,FALSE),"")</f>
      </c>
      <c r="T248" s="79">
        <f>IFERROR(VLOOKUP($A:$A,CS!$A:$AK,33,FALSE),"")</f>
      </c>
      <c r="U248" s="79">
        <f>IFERROR(VLOOKUP($A:$A,CS!$A:$AK,34,FALSE),"")</f>
      </c>
      <c r="V248" s="79">
        <f>IFERROR(VLOOKUP($A:$A,CS!$A:$AK,35,FALSE),"")</f>
      </c>
      <c r="W248" s="79">
        <f>IFERROR(VLOOKUP($A:$A,CS!$A:$AK,36,FALSE),"")</f>
      </c>
    </row>
    <row r="249" ht="16.5" customHeight="1" spans="1:23" x14ac:dyDescent="0.25">
      <c r="A249" s="93"/>
      <c r="B249" s="79">
        <f>IFERROR(VLOOKUP($A:$A,CS!$A:$AK,3,FALSE),"")</f>
      </c>
      <c r="C249" s="79">
        <f>IFERROR(VLOOKUP($A:$A,CS!$A:$AK,4,FALSE),"")</f>
      </c>
      <c r="D249" s="79">
        <f>IFERROR(VLOOKUP($A:$A,CS!$A:$AK,5,FALSE),"")</f>
      </c>
      <c r="E249" s="79">
        <f>IFERROR(VLOOKUP($A:$A,CS!$A:$AK,7,FALSE),"")</f>
      </c>
      <c r="F249" s="79">
        <f>IFERROR(VLOOKUP($A:$A,CS!$A:$AK,8,FALSE),"")</f>
      </c>
      <c r="G249" s="79">
        <f>IFERROR(VLOOKUP($A:$A,CS!$A:$AK,10,FALSE),"")</f>
      </c>
      <c r="H249" s="79">
        <f>IFERROR(VLOOKUP($A:$A,CS!$A:$AK,14,FALSE),"")</f>
      </c>
      <c r="I249" s="79">
        <f>IFERROR(VLOOKUP($A:$A,CS!$A:$AK,15,FALSE),"")</f>
      </c>
      <c r="J249" s="79">
        <f>IFERROR(VLOOKUP($A:$A,CS!$A:$AK,18,FALSE),"")</f>
      </c>
      <c r="K249" s="79">
        <f>IFERROR(VLOOKUP($A:$A,CS!$A:$AK,19,FALSE),"")</f>
      </c>
      <c r="L249" s="79">
        <f>IFERROR(VLOOKUP($A:$A,CS!$A:$AK,20,FALSE),"")</f>
      </c>
      <c r="M249" s="79">
        <f>IFERROR(VLOOKUP($A:$A,CS!$A:$AK,22,FALSE),"")</f>
      </c>
      <c r="N249" s="79">
        <f>IFERROR(VLOOKUP($A:$A,CS!$A:$AK,19,FALSE),"")</f>
      </c>
      <c r="O249" s="79">
        <f>IFERROR(VLOOKUP($A:$A,CS!$A:$AK,23,FALSE),"")</f>
      </c>
      <c r="P249" s="79">
        <f>IFERROR(VLOOKUP($A:$A,CS!$A:$AK,24,FALSE),"")</f>
      </c>
      <c r="Q249" s="79">
        <f>IFERROR(VLOOKUP($A:$A,CS!$A:$AK,25,FALSE),"")</f>
      </c>
      <c r="R249" s="79">
        <f>IFERROR(VLOOKUP($A:$A,CS!$A:$AK,26,FALSE),"")</f>
      </c>
      <c r="S249" s="79">
        <f>IFERROR(VLOOKUP($A:$A,CS!$A:$AK,29,FALSE),"")</f>
      </c>
      <c r="T249" s="79">
        <f>IFERROR(VLOOKUP($A:$A,CS!$A:$AK,33,FALSE),"")</f>
      </c>
      <c r="U249" s="79">
        <f>IFERROR(VLOOKUP($A:$A,CS!$A:$AK,34,FALSE),"")</f>
      </c>
      <c r="V249" s="79">
        <f>IFERROR(VLOOKUP($A:$A,CS!$A:$AK,35,FALSE),"")</f>
      </c>
      <c r="W249" s="79">
        <f>IFERROR(VLOOKUP($A:$A,CS!$A:$AK,36,FALSE),"")</f>
      </c>
    </row>
    <row r="250" ht="16.5" customHeight="1" spans="1:23" x14ac:dyDescent="0.25">
      <c r="A250" s="93"/>
      <c r="B250" s="79">
        <f>IFERROR(VLOOKUP($A:$A,CS!$A:$AK,3,FALSE),"")</f>
      </c>
      <c r="C250" s="79">
        <f>IFERROR(VLOOKUP($A:$A,CS!$A:$AK,4,FALSE),"")</f>
      </c>
      <c r="D250" s="79">
        <f>IFERROR(VLOOKUP($A:$A,CS!$A:$AK,5,FALSE),"")</f>
      </c>
      <c r="E250" s="79">
        <f>IFERROR(VLOOKUP($A:$A,CS!$A:$AK,7,FALSE),"")</f>
      </c>
      <c r="F250" s="79">
        <f>IFERROR(VLOOKUP($A:$A,CS!$A:$AK,8,FALSE),"")</f>
      </c>
      <c r="G250" s="79">
        <f>IFERROR(VLOOKUP($A:$A,CS!$A:$AK,10,FALSE),"")</f>
      </c>
      <c r="H250" s="79">
        <f>IFERROR(VLOOKUP($A:$A,CS!$A:$AK,14,FALSE),"")</f>
      </c>
      <c r="I250" s="79">
        <f>IFERROR(VLOOKUP($A:$A,CS!$A:$AK,15,FALSE),"")</f>
      </c>
      <c r="J250" s="79">
        <f>IFERROR(VLOOKUP($A:$A,CS!$A:$AK,18,FALSE),"")</f>
      </c>
      <c r="K250" s="79">
        <f>IFERROR(VLOOKUP($A:$A,CS!$A:$AK,19,FALSE),"")</f>
      </c>
      <c r="L250" s="79">
        <f>IFERROR(VLOOKUP($A:$A,CS!$A:$AK,20,FALSE),"")</f>
      </c>
      <c r="M250" s="79">
        <f>IFERROR(VLOOKUP($A:$A,CS!$A:$AK,22,FALSE),"")</f>
      </c>
      <c r="N250" s="79">
        <f>IFERROR(VLOOKUP($A:$A,CS!$A:$AK,19,FALSE),"")</f>
      </c>
      <c r="O250" s="79">
        <f>IFERROR(VLOOKUP($A:$A,CS!$A:$AK,23,FALSE),"")</f>
      </c>
      <c r="P250" s="79">
        <f>IFERROR(VLOOKUP($A:$A,CS!$A:$AK,24,FALSE),"")</f>
      </c>
      <c r="Q250" s="79">
        <f>IFERROR(VLOOKUP($A:$A,CS!$A:$AK,25,FALSE),"")</f>
      </c>
      <c r="R250" s="79">
        <f>IFERROR(VLOOKUP($A:$A,CS!$A:$AK,26,FALSE),"")</f>
      </c>
      <c r="S250" s="79">
        <f>IFERROR(VLOOKUP($A:$A,CS!$A:$AK,29,FALSE),"")</f>
      </c>
      <c r="T250" s="79">
        <f>IFERROR(VLOOKUP($A:$A,CS!$A:$AK,33,FALSE),"")</f>
      </c>
      <c r="U250" s="79">
        <f>IFERROR(VLOOKUP($A:$A,CS!$A:$AK,34,FALSE),"")</f>
      </c>
      <c r="V250" s="79">
        <f>IFERROR(VLOOKUP($A:$A,CS!$A:$AK,35,FALSE),"")</f>
      </c>
      <c r="W250" s="79">
        <f>IFERROR(VLOOKUP($A:$A,CS!$A:$AK,36,FALSE),"")</f>
      </c>
    </row>
    <row r="251" ht="16.5" customHeight="1" spans="1:23" x14ac:dyDescent="0.25">
      <c r="A251" s="93"/>
      <c r="B251" s="79">
        <f>IFERROR(VLOOKUP($A:$A,CS!$A:$AK,3,FALSE),"")</f>
      </c>
      <c r="C251" s="79">
        <f>IFERROR(VLOOKUP($A:$A,CS!$A:$AK,4,FALSE),"")</f>
      </c>
      <c r="D251" s="79">
        <f>IFERROR(VLOOKUP($A:$A,CS!$A:$AK,5,FALSE),"")</f>
      </c>
      <c r="E251" s="79">
        <f>IFERROR(VLOOKUP($A:$A,CS!$A:$AK,7,FALSE),"")</f>
      </c>
      <c r="F251" s="79">
        <f>IFERROR(VLOOKUP($A:$A,CS!$A:$AK,8,FALSE),"")</f>
      </c>
      <c r="G251" s="79">
        <f>IFERROR(VLOOKUP($A:$A,CS!$A:$AK,10,FALSE),"")</f>
      </c>
      <c r="H251" s="79">
        <f>IFERROR(VLOOKUP($A:$A,CS!$A:$AK,14,FALSE),"")</f>
      </c>
      <c r="I251" s="79">
        <f>IFERROR(VLOOKUP($A:$A,CS!$A:$AK,15,FALSE),"")</f>
      </c>
      <c r="J251" s="79">
        <f>IFERROR(VLOOKUP($A:$A,CS!$A:$AK,18,FALSE),"")</f>
      </c>
      <c r="K251" s="79">
        <f>IFERROR(VLOOKUP($A:$A,CS!$A:$AK,19,FALSE),"")</f>
      </c>
      <c r="L251" s="79">
        <f>IFERROR(VLOOKUP($A:$A,CS!$A:$AK,20,FALSE),"")</f>
      </c>
      <c r="M251" s="79">
        <f>IFERROR(VLOOKUP($A:$A,CS!$A:$AK,22,FALSE),"")</f>
      </c>
      <c r="N251" s="79">
        <f>IFERROR(VLOOKUP($A:$A,CS!$A:$AK,19,FALSE),"")</f>
      </c>
      <c r="O251" s="79">
        <f>IFERROR(VLOOKUP($A:$A,CS!$A:$AK,23,FALSE),"")</f>
      </c>
      <c r="P251" s="79">
        <f>IFERROR(VLOOKUP($A:$A,CS!$A:$AK,24,FALSE),"")</f>
      </c>
      <c r="Q251" s="79">
        <f>IFERROR(VLOOKUP($A:$A,CS!$A:$AK,25,FALSE),"")</f>
      </c>
      <c r="R251" s="79">
        <f>IFERROR(VLOOKUP($A:$A,CS!$A:$AK,26,FALSE),"")</f>
      </c>
      <c r="S251" s="79">
        <f>IFERROR(VLOOKUP($A:$A,CS!$A:$AK,29,FALSE),"")</f>
      </c>
      <c r="T251" s="79">
        <f>IFERROR(VLOOKUP($A:$A,CS!$A:$AK,33,FALSE),"")</f>
      </c>
      <c r="U251" s="79">
        <f>IFERROR(VLOOKUP($A:$A,CS!$A:$AK,34,FALSE),"")</f>
      </c>
      <c r="V251" s="79">
        <f>IFERROR(VLOOKUP($A:$A,CS!$A:$AK,35,FALSE),"")</f>
      </c>
      <c r="W251" s="79">
        <f>IFERROR(VLOOKUP($A:$A,CS!$A:$AK,36,FALSE),"")</f>
      </c>
    </row>
    <row r="252" ht="16.5" customHeight="1" spans="1:23" x14ac:dyDescent="0.25">
      <c r="A252" s="93"/>
      <c r="B252" s="79">
        <f>IFERROR(VLOOKUP($A:$A,CS!$A:$AK,3,FALSE),"")</f>
      </c>
      <c r="C252" s="79">
        <f>IFERROR(VLOOKUP($A:$A,CS!$A:$AK,4,FALSE),"")</f>
      </c>
      <c r="D252" s="79">
        <f>IFERROR(VLOOKUP($A:$A,CS!$A:$AK,5,FALSE),"")</f>
      </c>
      <c r="E252" s="79">
        <f>IFERROR(VLOOKUP($A:$A,CS!$A:$AK,7,FALSE),"")</f>
      </c>
      <c r="F252" s="79">
        <f>IFERROR(VLOOKUP($A:$A,CS!$A:$AK,8,FALSE),"")</f>
      </c>
      <c r="G252" s="79">
        <f>IFERROR(VLOOKUP($A:$A,CS!$A:$AK,10,FALSE),"")</f>
      </c>
      <c r="H252" s="79">
        <f>IFERROR(VLOOKUP($A:$A,CS!$A:$AK,14,FALSE),"")</f>
      </c>
      <c r="I252" s="79">
        <f>IFERROR(VLOOKUP($A:$A,CS!$A:$AK,15,FALSE),"")</f>
      </c>
      <c r="J252" s="79">
        <f>IFERROR(VLOOKUP($A:$A,CS!$A:$AK,18,FALSE),"")</f>
      </c>
      <c r="K252" s="79">
        <f>IFERROR(VLOOKUP($A:$A,CS!$A:$AK,19,FALSE),"")</f>
      </c>
      <c r="L252" s="79">
        <f>IFERROR(VLOOKUP($A:$A,CS!$A:$AK,20,FALSE),"")</f>
      </c>
      <c r="M252" s="79">
        <f>IFERROR(VLOOKUP($A:$A,CS!$A:$AK,22,FALSE),"")</f>
      </c>
      <c r="N252" s="79">
        <f>IFERROR(VLOOKUP($A:$A,CS!$A:$AK,19,FALSE),"")</f>
      </c>
      <c r="O252" s="79">
        <f>IFERROR(VLOOKUP($A:$A,CS!$A:$AK,23,FALSE),"")</f>
      </c>
      <c r="P252" s="79">
        <f>IFERROR(VLOOKUP($A:$A,CS!$A:$AK,24,FALSE),"")</f>
      </c>
      <c r="Q252" s="79">
        <f>IFERROR(VLOOKUP($A:$A,CS!$A:$AK,25,FALSE),"")</f>
      </c>
      <c r="R252" s="79">
        <f>IFERROR(VLOOKUP($A:$A,CS!$A:$AK,26,FALSE),"")</f>
      </c>
      <c r="S252" s="79">
        <f>IFERROR(VLOOKUP($A:$A,CS!$A:$AK,29,FALSE),"")</f>
      </c>
      <c r="T252" s="79">
        <f>IFERROR(VLOOKUP($A:$A,CS!$A:$AK,33,FALSE),"")</f>
      </c>
      <c r="U252" s="79">
        <f>IFERROR(VLOOKUP($A:$A,CS!$A:$AK,34,FALSE),"")</f>
      </c>
      <c r="V252" s="79">
        <f>IFERROR(VLOOKUP($A:$A,CS!$A:$AK,35,FALSE),"")</f>
      </c>
      <c r="W252" s="79">
        <f>IFERROR(VLOOKUP($A:$A,CS!$A:$AK,36,FALSE),"")</f>
      </c>
    </row>
    <row r="253" ht="16.5" customHeight="1" spans="1:23" x14ac:dyDescent="0.25">
      <c r="A253" s="93"/>
      <c r="B253" s="79">
        <f>IFERROR(VLOOKUP($A:$A,CS!$A:$AK,3,FALSE),"")</f>
      </c>
      <c r="C253" s="79">
        <f>IFERROR(VLOOKUP($A:$A,CS!$A:$AK,4,FALSE),"")</f>
      </c>
      <c r="D253" s="79">
        <f>IFERROR(VLOOKUP($A:$A,CS!$A:$AK,5,FALSE),"")</f>
      </c>
      <c r="E253" s="79">
        <f>IFERROR(VLOOKUP($A:$A,CS!$A:$AK,7,FALSE),"")</f>
      </c>
      <c r="F253" s="79">
        <f>IFERROR(VLOOKUP($A:$A,CS!$A:$AK,8,FALSE),"")</f>
      </c>
      <c r="G253" s="79">
        <f>IFERROR(VLOOKUP($A:$A,CS!$A:$AK,10,FALSE),"")</f>
      </c>
      <c r="H253" s="79">
        <f>IFERROR(VLOOKUP($A:$A,CS!$A:$AK,14,FALSE),"")</f>
      </c>
      <c r="I253" s="79">
        <f>IFERROR(VLOOKUP($A:$A,CS!$A:$AK,15,FALSE),"")</f>
      </c>
      <c r="J253" s="79">
        <f>IFERROR(VLOOKUP($A:$A,CS!$A:$AK,18,FALSE),"")</f>
      </c>
      <c r="K253" s="79">
        <f>IFERROR(VLOOKUP($A:$A,CS!$A:$AK,19,FALSE),"")</f>
      </c>
      <c r="L253" s="79">
        <f>IFERROR(VLOOKUP($A:$A,CS!$A:$AK,20,FALSE),"")</f>
      </c>
      <c r="M253" s="79">
        <f>IFERROR(VLOOKUP($A:$A,CS!$A:$AK,22,FALSE),"")</f>
      </c>
      <c r="N253" s="79">
        <f>IFERROR(VLOOKUP($A:$A,CS!$A:$AK,19,FALSE),"")</f>
      </c>
      <c r="O253" s="79">
        <f>IFERROR(VLOOKUP($A:$A,CS!$A:$AK,23,FALSE),"")</f>
      </c>
      <c r="P253" s="79">
        <f>IFERROR(VLOOKUP($A:$A,CS!$A:$AK,24,FALSE),"")</f>
      </c>
      <c r="Q253" s="79">
        <f>IFERROR(VLOOKUP($A:$A,CS!$A:$AK,25,FALSE),"")</f>
      </c>
      <c r="R253" s="79">
        <f>IFERROR(VLOOKUP($A:$A,CS!$A:$AK,26,FALSE),"")</f>
      </c>
      <c r="S253" s="79">
        <f>IFERROR(VLOOKUP($A:$A,CS!$A:$AK,29,FALSE),"")</f>
      </c>
      <c r="T253" s="79">
        <f>IFERROR(VLOOKUP($A:$A,CS!$A:$AK,33,FALSE),"")</f>
      </c>
      <c r="U253" s="79">
        <f>IFERROR(VLOOKUP($A:$A,CS!$A:$AK,34,FALSE),"")</f>
      </c>
      <c r="V253" s="79">
        <f>IFERROR(VLOOKUP($A:$A,CS!$A:$AK,35,FALSE),"")</f>
      </c>
      <c r="W253" s="79">
        <f>IFERROR(VLOOKUP($A:$A,CS!$A:$AK,36,FALSE),"")</f>
      </c>
    </row>
    <row r="254" ht="16.5" customHeight="1" spans="1:23" x14ac:dyDescent="0.25">
      <c r="A254" s="93"/>
      <c r="B254" s="79">
        <f>IFERROR(VLOOKUP($A:$A,CS!$A:$AK,3,FALSE),"")</f>
      </c>
      <c r="C254" s="79">
        <f>IFERROR(VLOOKUP($A:$A,CS!$A:$AK,4,FALSE),"")</f>
      </c>
      <c r="D254" s="79">
        <f>IFERROR(VLOOKUP($A:$A,CS!$A:$AK,5,FALSE),"")</f>
      </c>
      <c r="E254" s="79">
        <f>IFERROR(VLOOKUP($A:$A,CS!$A:$AK,7,FALSE),"")</f>
      </c>
      <c r="F254" s="79">
        <f>IFERROR(VLOOKUP($A:$A,CS!$A:$AK,8,FALSE),"")</f>
      </c>
      <c r="G254" s="79">
        <f>IFERROR(VLOOKUP($A:$A,CS!$A:$AK,10,FALSE),"")</f>
      </c>
      <c r="H254" s="79">
        <f>IFERROR(VLOOKUP($A:$A,CS!$A:$AK,14,FALSE),"")</f>
      </c>
      <c r="I254" s="79">
        <f>IFERROR(VLOOKUP($A:$A,CS!$A:$AK,15,FALSE),"")</f>
      </c>
      <c r="J254" s="79">
        <f>IFERROR(VLOOKUP($A:$A,CS!$A:$AK,18,FALSE),"")</f>
      </c>
      <c r="K254" s="79">
        <f>IFERROR(VLOOKUP($A:$A,CS!$A:$AK,19,FALSE),"")</f>
      </c>
      <c r="L254" s="79">
        <f>IFERROR(VLOOKUP($A:$A,CS!$A:$AK,20,FALSE),"")</f>
      </c>
      <c r="M254" s="79">
        <f>IFERROR(VLOOKUP($A:$A,CS!$A:$AK,22,FALSE),"")</f>
      </c>
      <c r="N254" s="79">
        <f>IFERROR(VLOOKUP($A:$A,CS!$A:$AK,19,FALSE),"")</f>
      </c>
      <c r="O254" s="79">
        <f>IFERROR(VLOOKUP($A:$A,CS!$A:$AK,23,FALSE),"")</f>
      </c>
      <c r="P254" s="79">
        <f>IFERROR(VLOOKUP($A:$A,CS!$A:$AK,24,FALSE),"")</f>
      </c>
      <c r="Q254" s="79">
        <f>IFERROR(VLOOKUP($A:$A,CS!$A:$AK,25,FALSE),"")</f>
      </c>
      <c r="R254" s="79">
        <f>IFERROR(VLOOKUP($A:$A,CS!$A:$AK,26,FALSE),"")</f>
      </c>
      <c r="S254" s="79">
        <f>IFERROR(VLOOKUP($A:$A,CS!$A:$AK,29,FALSE),"")</f>
      </c>
      <c r="T254" s="79">
        <f>IFERROR(VLOOKUP($A:$A,CS!$A:$AK,33,FALSE),"")</f>
      </c>
      <c r="U254" s="79">
        <f>IFERROR(VLOOKUP($A:$A,CS!$A:$AK,34,FALSE),"")</f>
      </c>
      <c r="V254" s="79">
        <f>IFERROR(VLOOKUP($A:$A,CS!$A:$AK,35,FALSE),"")</f>
      </c>
      <c r="W254" s="79">
        <f>IFERROR(VLOOKUP($A:$A,CS!$A:$AK,36,FALSE),"")</f>
      </c>
    </row>
    <row r="255" ht="16.5" customHeight="1" spans="1:23" x14ac:dyDescent="0.25">
      <c r="A255" s="93"/>
      <c r="B255" s="79">
        <f>IFERROR(VLOOKUP($A:$A,CS!$A:$AK,3,FALSE),"")</f>
      </c>
      <c r="C255" s="79">
        <f>IFERROR(VLOOKUP($A:$A,CS!$A:$AK,4,FALSE),"")</f>
      </c>
      <c r="D255" s="79">
        <f>IFERROR(VLOOKUP($A:$A,CS!$A:$AK,5,FALSE),"")</f>
      </c>
      <c r="E255" s="79">
        <f>IFERROR(VLOOKUP($A:$A,CS!$A:$AK,7,FALSE),"")</f>
      </c>
      <c r="F255" s="79">
        <f>IFERROR(VLOOKUP($A:$A,CS!$A:$AK,8,FALSE),"")</f>
      </c>
      <c r="G255" s="79">
        <f>IFERROR(VLOOKUP($A:$A,CS!$A:$AK,10,FALSE),"")</f>
      </c>
      <c r="H255" s="79">
        <f>IFERROR(VLOOKUP($A:$A,CS!$A:$AK,14,FALSE),"")</f>
      </c>
      <c r="I255" s="79">
        <f>IFERROR(VLOOKUP($A:$A,CS!$A:$AK,15,FALSE),"")</f>
      </c>
      <c r="J255" s="79">
        <f>IFERROR(VLOOKUP($A:$A,CS!$A:$AK,18,FALSE),"")</f>
      </c>
      <c r="K255" s="79">
        <f>IFERROR(VLOOKUP($A:$A,CS!$A:$AK,19,FALSE),"")</f>
      </c>
      <c r="L255" s="79">
        <f>IFERROR(VLOOKUP($A:$A,CS!$A:$AK,20,FALSE),"")</f>
      </c>
      <c r="M255" s="79">
        <f>IFERROR(VLOOKUP($A:$A,CS!$A:$AK,22,FALSE),"")</f>
      </c>
      <c r="N255" s="79">
        <f>IFERROR(VLOOKUP($A:$A,CS!$A:$AK,19,FALSE),"")</f>
      </c>
      <c r="O255" s="79">
        <f>IFERROR(VLOOKUP($A:$A,CS!$A:$AK,23,FALSE),"")</f>
      </c>
      <c r="P255" s="79">
        <f>IFERROR(VLOOKUP($A:$A,CS!$A:$AK,24,FALSE),"")</f>
      </c>
      <c r="Q255" s="79">
        <f>IFERROR(VLOOKUP($A:$A,CS!$A:$AK,25,FALSE),"")</f>
      </c>
      <c r="R255" s="79">
        <f>IFERROR(VLOOKUP($A:$A,CS!$A:$AK,26,FALSE),"")</f>
      </c>
      <c r="S255" s="79">
        <f>IFERROR(VLOOKUP($A:$A,CS!$A:$AK,29,FALSE),"")</f>
      </c>
      <c r="T255" s="79">
        <f>IFERROR(VLOOKUP($A:$A,CS!$A:$AK,33,FALSE),"")</f>
      </c>
      <c r="U255" s="79">
        <f>IFERROR(VLOOKUP($A:$A,CS!$A:$AK,34,FALSE),"")</f>
      </c>
      <c r="V255" s="79">
        <f>IFERROR(VLOOKUP($A:$A,CS!$A:$AK,35,FALSE),"")</f>
      </c>
      <c r="W255" s="79">
        <f>IFERROR(VLOOKUP($A:$A,CS!$A:$AK,36,FALSE),"")</f>
      </c>
    </row>
    <row r="256" ht="16.5" customHeight="1" spans="1:23" x14ac:dyDescent="0.25">
      <c r="A256" s="93"/>
      <c r="B256" s="79">
        <f>IFERROR(VLOOKUP($A:$A,CS!$A:$AK,3,FALSE),"")</f>
      </c>
      <c r="C256" s="79">
        <f>IFERROR(VLOOKUP($A:$A,CS!$A:$AK,4,FALSE),"")</f>
      </c>
      <c r="D256" s="79">
        <f>IFERROR(VLOOKUP($A:$A,CS!$A:$AK,5,FALSE),"")</f>
      </c>
      <c r="E256" s="79">
        <f>IFERROR(VLOOKUP($A:$A,CS!$A:$AK,7,FALSE),"")</f>
      </c>
      <c r="F256" s="79">
        <f>IFERROR(VLOOKUP($A:$A,CS!$A:$AK,8,FALSE),"")</f>
      </c>
      <c r="G256" s="79">
        <f>IFERROR(VLOOKUP($A:$A,CS!$A:$AK,10,FALSE),"")</f>
      </c>
      <c r="H256" s="79">
        <f>IFERROR(VLOOKUP($A:$A,CS!$A:$AK,14,FALSE),"")</f>
      </c>
      <c r="I256" s="79">
        <f>IFERROR(VLOOKUP($A:$A,CS!$A:$AK,15,FALSE),"")</f>
      </c>
      <c r="J256" s="79">
        <f>IFERROR(VLOOKUP($A:$A,CS!$A:$AK,18,FALSE),"")</f>
      </c>
      <c r="K256" s="79">
        <f>IFERROR(VLOOKUP($A:$A,CS!$A:$AK,19,FALSE),"")</f>
      </c>
      <c r="L256" s="79">
        <f>IFERROR(VLOOKUP($A:$A,CS!$A:$AK,20,FALSE),"")</f>
      </c>
      <c r="M256" s="79">
        <f>IFERROR(VLOOKUP($A:$A,CS!$A:$AK,22,FALSE),"")</f>
      </c>
      <c r="N256" s="79">
        <f>IFERROR(VLOOKUP($A:$A,CS!$A:$AK,19,FALSE),"")</f>
      </c>
      <c r="O256" s="79">
        <f>IFERROR(VLOOKUP($A:$A,CS!$A:$AK,23,FALSE),"")</f>
      </c>
      <c r="P256" s="79">
        <f>IFERROR(VLOOKUP($A:$A,CS!$A:$AK,24,FALSE),"")</f>
      </c>
      <c r="Q256" s="79">
        <f>IFERROR(VLOOKUP($A:$A,CS!$A:$AK,25,FALSE),"")</f>
      </c>
      <c r="R256" s="79">
        <f>IFERROR(VLOOKUP($A:$A,CS!$A:$AK,26,FALSE),"")</f>
      </c>
      <c r="S256" s="79">
        <f>IFERROR(VLOOKUP($A:$A,CS!$A:$AK,29,FALSE),"")</f>
      </c>
      <c r="T256" s="79">
        <f>IFERROR(VLOOKUP($A:$A,CS!$A:$AK,33,FALSE),"")</f>
      </c>
      <c r="U256" s="79">
        <f>IFERROR(VLOOKUP($A:$A,CS!$A:$AK,34,FALSE),"")</f>
      </c>
      <c r="V256" s="79">
        <f>IFERROR(VLOOKUP($A:$A,CS!$A:$AK,35,FALSE),"")</f>
      </c>
      <c r="W256" s="79">
        <f>IFERROR(VLOOKUP($A:$A,CS!$A:$AK,36,FALSE),"")</f>
      </c>
    </row>
    <row r="257" ht="16.5" customHeight="1" spans="1:23" x14ac:dyDescent="0.25">
      <c r="A257" s="93"/>
      <c r="B257" s="79">
        <f>IFERROR(VLOOKUP($A:$A,CS!$A:$AK,3,FALSE),"")</f>
      </c>
      <c r="C257" s="79">
        <f>IFERROR(VLOOKUP($A:$A,CS!$A:$AK,4,FALSE),"")</f>
      </c>
      <c r="D257" s="79">
        <f>IFERROR(VLOOKUP($A:$A,CS!$A:$AK,5,FALSE),"")</f>
      </c>
      <c r="E257" s="79">
        <f>IFERROR(VLOOKUP($A:$A,CS!$A:$AK,7,FALSE),"")</f>
      </c>
      <c r="F257" s="79">
        <f>IFERROR(VLOOKUP($A:$A,CS!$A:$AK,8,FALSE),"")</f>
      </c>
      <c r="G257" s="79">
        <f>IFERROR(VLOOKUP($A:$A,CS!$A:$AK,10,FALSE),"")</f>
      </c>
      <c r="H257" s="79">
        <f>IFERROR(VLOOKUP($A:$A,CS!$A:$AK,14,FALSE),"")</f>
      </c>
      <c r="I257" s="79">
        <f>IFERROR(VLOOKUP($A:$A,CS!$A:$AK,15,FALSE),"")</f>
      </c>
      <c r="J257" s="79">
        <f>IFERROR(VLOOKUP($A:$A,CS!$A:$AK,18,FALSE),"")</f>
      </c>
      <c r="K257" s="79">
        <f>IFERROR(VLOOKUP($A:$A,CS!$A:$AK,19,FALSE),"")</f>
      </c>
      <c r="L257" s="79">
        <f>IFERROR(VLOOKUP($A:$A,CS!$A:$AK,20,FALSE),"")</f>
      </c>
      <c r="M257" s="79">
        <f>IFERROR(VLOOKUP($A:$A,CS!$A:$AK,22,FALSE),"")</f>
      </c>
      <c r="N257" s="79">
        <f>IFERROR(VLOOKUP($A:$A,CS!$A:$AK,19,FALSE),"")</f>
      </c>
      <c r="O257" s="79">
        <f>IFERROR(VLOOKUP($A:$A,CS!$A:$AK,23,FALSE),"")</f>
      </c>
      <c r="P257" s="79">
        <f>IFERROR(VLOOKUP($A:$A,CS!$A:$AK,24,FALSE),"")</f>
      </c>
      <c r="Q257" s="79">
        <f>IFERROR(VLOOKUP($A:$A,CS!$A:$AK,25,FALSE),"")</f>
      </c>
      <c r="R257" s="79">
        <f>IFERROR(VLOOKUP($A:$A,CS!$A:$AK,26,FALSE),"")</f>
      </c>
      <c r="S257" s="79">
        <f>IFERROR(VLOOKUP($A:$A,CS!$A:$AK,29,FALSE),"")</f>
      </c>
      <c r="T257" s="79">
        <f>IFERROR(VLOOKUP($A:$A,CS!$A:$AK,33,FALSE),"")</f>
      </c>
      <c r="U257" s="79">
        <f>IFERROR(VLOOKUP($A:$A,CS!$A:$AK,34,FALSE),"")</f>
      </c>
      <c r="V257" s="79">
        <f>IFERROR(VLOOKUP($A:$A,CS!$A:$AK,35,FALSE),"")</f>
      </c>
      <c r="W257" s="79">
        <f>IFERROR(VLOOKUP($A:$A,CS!$A:$AK,36,FALSE),"")</f>
      </c>
    </row>
    <row r="258" ht="16.5" customHeight="1" spans="1:23" x14ac:dyDescent="0.25">
      <c r="A258" s="93"/>
      <c r="B258" s="79">
        <f>IFERROR(VLOOKUP($A:$A,CS!$A:$AK,3,FALSE),"")</f>
      </c>
      <c r="C258" s="79">
        <f>IFERROR(VLOOKUP($A:$A,CS!$A:$AK,4,FALSE),"")</f>
      </c>
      <c r="D258" s="79">
        <f>IFERROR(VLOOKUP($A:$A,CS!$A:$AK,5,FALSE),"")</f>
      </c>
      <c r="E258" s="79">
        <f>IFERROR(VLOOKUP($A:$A,CS!$A:$AK,7,FALSE),"")</f>
      </c>
      <c r="F258" s="79">
        <f>IFERROR(VLOOKUP($A:$A,CS!$A:$AK,8,FALSE),"")</f>
      </c>
      <c r="G258" s="79">
        <f>IFERROR(VLOOKUP($A:$A,CS!$A:$AK,10,FALSE),"")</f>
      </c>
      <c r="H258" s="79">
        <f>IFERROR(VLOOKUP($A:$A,CS!$A:$AK,14,FALSE),"")</f>
      </c>
      <c r="I258" s="79">
        <f>IFERROR(VLOOKUP($A:$A,CS!$A:$AK,15,FALSE),"")</f>
      </c>
      <c r="J258" s="79">
        <f>IFERROR(VLOOKUP($A:$A,CS!$A:$AK,18,FALSE),"")</f>
      </c>
      <c r="K258" s="79">
        <f>IFERROR(VLOOKUP($A:$A,CS!$A:$AK,19,FALSE),"")</f>
      </c>
      <c r="L258" s="79">
        <f>IFERROR(VLOOKUP($A:$A,CS!$A:$AK,20,FALSE),"")</f>
      </c>
      <c r="M258" s="79">
        <f>IFERROR(VLOOKUP($A:$A,CS!$A:$AK,22,FALSE),"")</f>
      </c>
      <c r="N258" s="79">
        <f>IFERROR(VLOOKUP($A:$A,CS!$A:$AK,19,FALSE),"")</f>
      </c>
      <c r="O258" s="79">
        <f>IFERROR(VLOOKUP($A:$A,CS!$A:$AK,23,FALSE),"")</f>
      </c>
      <c r="P258" s="79">
        <f>IFERROR(VLOOKUP($A:$A,CS!$A:$AK,24,FALSE),"")</f>
      </c>
      <c r="Q258" s="79">
        <f>IFERROR(VLOOKUP($A:$A,CS!$A:$AK,25,FALSE),"")</f>
      </c>
      <c r="R258" s="79">
        <f>IFERROR(VLOOKUP($A:$A,CS!$A:$AK,26,FALSE),"")</f>
      </c>
      <c r="S258" s="79">
        <f>IFERROR(VLOOKUP($A:$A,CS!$A:$AK,29,FALSE),"")</f>
      </c>
      <c r="T258" s="79">
        <f>IFERROR(VLOOKUP($A:$A,CS!$A:$AK,33,FALSE),"")</f>
      </c>
      <c r="U258" s="79">
        <f>IFERROR(VLOOKUP($A:$A,CS!$A:$AK,34,FALSE),"")</f>
      </c>
      <c r="V258" s="79">
        <f>IFERROR(VLOOKUP($A:$A,CS!$A:$AK,35,FALSE),"")</f>
      </c>
      <c r="W258" s="79">
        <f>IFERROR(VLOOKUP($A:$A,CS!$A:$AK,36,FALSE),"")</f>
      </c>
    </row>
    <row r="259" ht="16.5" customHeight="1" spans="1:23" x14ac:dyDescent="0.25">
      <c r="A259" s="93"/>
      <c r="B259" s="79">
        <f>IFERROR(VLOOKUP($A:$A,CS!$A:$AK,3,FALSE),"")</f>
      </c>
      <c r="C259" s="79">
        <f>IFERROR(VLOOKUP($A:$A,CS!$A:$AK,4,FALSE),"")</f>
      </c>
      <c r="D259" s="79">
        <f>IFERROR(VLOOKUP($A:$A,CS!$A:$AK,5,FALSE),"")</f>
      </c>
      <c r="E259" s="79">
        <f>IFERROR(VLOOKUP($A:$A,CS!$A:$AK,7,FALSE),"")</f>
      </c>
      <c r="F259" s="79">
        <f>IFERROR(VLOOKUP($A:$A,CS!$A:$AK,8,FALSE),"")</f>
      </c>
      <c r="G259" s="79">
        <f>IFERROR(VLOOKUP($A:$A,CS!$A:$AK,10,FALSE),"")</f>
      </c>
      <c r="H259" s="79">
        <f>IFERROR(VLOOKUP($A:$A,CS!$A:$AK,14,FALSE),"")</f>
      </c>
      <c r="I259" s="79">
        <f>IFERROR(VLOOKUP($A:$A,CS!$A:$AK,15,FALSE),"")</f>
      </c>
      <c r="J259" s="79">
        <f>IFERROR(VLOOKUP($A:$A,CS!$A:$AK,18,FALSE),"")</f>
      </c>
      <c r="K259" s="79">
        <f>IFERROR(VLOOKUP($A:$A,CS!$A:$AK,19,FALSE),"")</f>
      </c>
      <c r="L259" s="79">
        <f>IFERROR(VLOOKUP($A:$A,CS!$A:$AK,20,FALSE),"")</f>
      </c>
      <c r="M259" s="79">
        <f>IFERROR(VLOOKUP($A:$A,CS!$A:$AK,22,FALSE),"")</f>
      </c>
      <c r="N259" s="79">
        <f>IFERROR(VLOOKUP($A:$A,CS!$A:$AK,19,FALSE),"")</f>
      </c>
      <c r="O259" s="79">
        <f>IFERROR(VLOOKUP($A:$A,CS!$A:$AK,23,FALSE),"")</f>
      </c>
      <c r="P259" s="79">
        <f>IFERROR(VLOOKUP($A:$A,CS!$A:$AK,24,FALSE),"")</f>
      </c>
      <c r="Q259" s="79">
        <f>IFERROR(VLOOKUP($A:$A,CS!$A:$AK,25,FALSE),"")</f>
      </c>
      <c r="R259" s="79">
        <f>IFERROR(VLOOKUP($A:$A,CS!$A:$AK,26,FALSE),"")</f>
      </c>
      <c r="S259" s="79">
        <f>IFERROR(VLOOKUP($A:$A,CS!$A:$AK,29,FALSE),"")</f>
      </c>
      <c r="T259" s="79">
        <f>IFERROR(VLOOKUP($A:$A,CS!$A:$AK,33,FALSE),"")</f>
      </c>
      <c r="U259" s="79">
        <f>IFERROR(VLOOKUP($A:$A,CS!$A:$AK,34,FALSE),"")</f>
      </c>
      <c r="V259" s="79">
        <f>IFERROR(VLOOKUP($A:$A,CS!$A:$AK,35,FALSE),"")</f>
      </c>
      <c r="W259" s="79">
        <f>IFERROR(VLOOKUP($A:$A,CS!$A:$AK,36,FALSE),"")</f>
      </c>
    </row>
    <row r="260" ht="16.5" customHeight="1" spans="1:23" x14ac:dyDescent="0.25">
      <c r="A260" s="93"/>
      <c r="B260" s="79">
        <f>IFERROR(VLOOKUP($A:$A,CS!$A:$AK,3,FALSE),"")</f>
      </c>
      <c r="C260" s="79">
        <f>IFERROR(VLOOKUP($A:$A,CS!$A:$AK,4,FALSE),"")</f>
      </c>
      <c r="D260" s="79">
        <f>IFERROR(VLOOKUP($A:$A,CS!$A:$AK,5,FALSE),"")</f>
      </c>
      <c r="E260" s="79">
        <f>IFERROR(VLOOKUP($A:$A,CS!$A:$AK,7,FALSE),"")</f>
      </c>
      <c r="F260" s="79">
        <f>IFERROR(VLOOKUP($A:$A,CS!$A:$AK,8,FALSE),"")</f>
      </c>
      <c r="G260" s="79">
        <f>IFERROR(VLOOKUP($A:$A,CS!$A:$AK,10,FALSE),"")</f>
      </c>
      <c r="H260" s="79">
        <f>IFERROR(VLOOKUP($A:$A,CS!$A:$AK,14,FALSE),"")</f>
      </c>
      <c r="I260" s="79">
        <f>IFERROR(VLOOKUP($A:$A,CS!$A:$AK,15,FALSE),"")</f>
      </c>
      <c r="J260" s="79">
        <f>IFERROR(VLOOKUP($A:$A,CS!$A:$AK,18,FALSE),"")</f>
      </c>
      <c r="K260" s="79">
        <f>IFERROR(VLOOKUP($A:$A,CS!$A:$AK,19,FALSE),"")</f>
      </c>
      <c r="L260" s="79">
        <f>IFERROR(VLOOKUP($A:$A,CS!$A:$AK,20,FALSE),"")</f>
      </c>
      <c r="M260" s="79">
        <f>IFERROR(VLOOKUP($A:$A,CS!$A:$AK,22,FALSE),"")</f>
      </c>
      <c r="N260" s="79">
        <f>IFERROR(VLOOKUP($A:$A,CS!$A:$AK,19,FALSE),"")</f>
      </c>
      <c r="O260" s="79">
        <f>IFERROR(VLOOKUP($A:$A,CS!$A:$AK,23,FALSE),"")</f>
      </c>
      <c r="P260" s="79">
        <f>IFERROR(VLOOKUP($A:$A,CS!$A:$AK,24,FALSE),"")</f>
      </c>
      <c r="Q260" s="79">
        <f>IFERROR(VLOOKUP($A:$A,CS!$A:$AK,25,FALSE),"")</f>
      </c>
      <c r="R260" s="79">
        <f>IFERROR(VLOOKUP($A:$A,CS!$A:$AK,26,FALSE),"")</f>
      </c>
      <c r="S260" s="79">
        <f>IFERROR(VLOOKUP($A:$A,CS!$A:$AK,29,FALSE),"")</f>
      </c>
      <c r="T260" s="79">
        <f>IFERROR(VLOOKUP($A:$A,CS!$A:$AK,33,FALSE),"")</f>
      </c>
      <c r="U260" s="79">
        <f>IFERROR(VLOOKUP($A:$A,CS!$A:$AK,34,FALSE),"")</f>
      </c>
      <c r="V260" s="79">
        <f>IFERROR(VLOOKUP($A:$A,CS!$A:$AK,35,FALSE),"")</f>
      </c>
      <c r="W260" s="79">
        <f>IFERROR(VLOOKUP($A:$A,CS!$A:$AK,36,FALSE),"")</f>
      </c>
    </row>
    <row r="261" ht="16.5" customHeight="1" spans="1:23" x14ac:dyDescent="0.25">
      <c r="A261" s="93"/>
      <c r="B261" s="79">
        <f>IFERROR(VLOOKUP($A:$A,CS!$A:$AK,3,FALSE),"")</f>
      </c>
      <c r="C261" s="79">
        <f>IFERROR(VLOOKUP($A:$A,CS!$A:$AK,4,FALSE),"")</f>
      </c>
      <c r="D261" s="79">
        <f>IFERROR(VLOOKUP($A:$A,CS!$A:$AK,5,FALSE),"")</f>
      </c>
      <c r="E261" s="79">
        <f>IFERROR(VLOOKUP($A:$A,CS!$A:$AK,7,FALSE),"")</f>
      </c>
      <c r="F261" s="79">
        <f>IFERROR(VLOOKUP($A:$A,CS!$A:$AK,8,FALSE),"")</f>
      </c>
      <c r="G261" s="79">
        <f>IFERROR(VLOOKUP($A:$A,CS!$A:$AK,10,FALSE),"")</f>
      </c>
      <c r="H261" s="79">
        <f>IFERROR(VLOOKUP($A:$A,CS!$A:$AK,14,FALSE),"")</f>
      </c>
      <c r="I261" s="79">
        <f>IFERROR(VLOOKUP($A:$A,CS!$A:$AK,15,FALSE),"")</f>
      </c>
      <c r="J261" s="79">
        <f>IFERROR(VLOOKUP($A:$A,CS!$A:$AK,18,FALSE),"")</f>
      </c>
      <c r="K261" s="79">
        <f>IFERROR(VLOOKUP($A:$A,CS!$A:$AK,19,FALSE),"")</f>
      </c>
      <c r="L261" s="79">
        <f>IFERROR(VLOOKUP($A:$A,CS!$A:$AK,20,FALSE),"")</f>
      </c>
      <c r="M261" s="79">
        <f>IFERROR(VLOOKUP($A:$A,CS!$A:$AK,22,FALSE),"")</f>
      </c>
      <c r="N261" s="79">
        <f>IFERROR(VLOOKUP($A:$A,CS!$A:$AK,19,FALSE),"")</f>
      </c>
      <c r="O261" s="79">
        <f>IFERROR(VLOOKUP($A:$A,CS!$A:$AK,23,FALSE),"")</f>
      </c>
      <c r="P261" s="79">
        <f>IFERROR(VLOOKUP($A:$A,CS!$A:$AK,24,FALSE),"")</f>
      </c>
      <c r="Q261" s="79">
        <f>IFERROR(VLOOKUP($A:$A,CS!$A:$AK,25,FALSE),"")</f>
      </c>
      <c r="R261" s="79">
        <f>IFERROR(VLOOKUP($A:$A,CS!$A:$AK,26,FALSE),"")</f>
      </c>
      <c r="S261" s="79">
        <f>IFERROR(VLOOKUP($A:$A,CS!$A:$AK,29,FALSE),"")</f>
      </c>
      <c r="T261" s="79">
        <f>IFERROR(VLOOKUP($A:$A,CS!$A:$AK,33,FALSE),"")</f>
      </c>
      <c r="U261" s="79">
        <f>IFERROR(VLOOKUP($A:$A,CS!$A:$AK,34,FALSE),"")</f>
      </c>
      <c r="V261" s="79">
        <f>IFERROR(VLOOKUP($A:$A,CS!$A:$AK,35,FALSE),"")</f>
      </c>
      <c r="W261" s="79">
        <f>IFERROR(VLOOKUP($A:$A,CS!$A:$AK,36,FALSE),"")</f>
      </c>
    </row>
    <row r="262" ht="16.5" customHeight="1" spans="1:23" x14ac:dyDescent="0.25">
      <c r="A262" s="93"/>
      <c r="B262" s="79">
        <f>IFERROR(VLOOKUP($A:$A,CS!$A:$AK,3,FALSE),"")</f>
      </c>
      <c r="C262" s="79">
        <f>IFERROR(VLOOKUP($A:$A,CS!$A:$AK,4,FALSE),"")</f>
      </c>
      <c r="D262" s="79">
        <f>IFERROR(VLOOKUP($A:$A,CS!$A:$AK,5,FALSE),"")</f>
      </c>
      <c r="E262" s="79">
        <f>IFERROR(VLOOKUP($A:$A,CS!$A:$AK,7,FALSE),"")</f>
      </c>
      <c r="F262" s="79">
        <f>IFERROR(VLOOKUP($A:$A,CS!$A:$AK,8,FALSE),"")</f>
      </c>
      <c r="G262" s="79">
        <f>IFERROR(VLOOKUP($A:$A,CS!$A:$AK,10,FALSE),"")</f>
      </c>
      <c r="H262" s="79">
        <f>IFERROR(VLOOKUP($A:$A,CS!$A:$AK,14,FALSE),"")</f>
      </c>
      <c r="I262" s="79">
        <f>IFERROR(VLOOKUP($A:$A,CS!$A:$AK,15,FALSE),"")</f>
      </c>
      <c r="J262" s="79">
        <f>IFERROR(VLOOKUP($A:$A,CS!$A:$AK,18,FALSE),"")</f>
      </c>
      <c r="K262" s="79">
        <f>IFERROR(VLOOKUP($A:$A,CS!$A:$AK,19,FALSE),"")</f>
      </c>
      <c r="L262" s="79">
        <f>IFERROR(VLOOKUP($A:$A,CS!$A:$AK,20,FALSE),"")</f>
      </c>
      <c r="M262" s="79">
        <f>IFERROR(VLOOKUP($A:$A,CS!$A:$AK,22,FALSE),"")</f>
      </c>
      <c r="N262" s="79">
        <f>IFERROR(VLOOKUP($A:$A,CS!$A:$AK,19,FALSE),"")</f>
      </c>
      <c r="O262" s="79">
        <f>IFERROR(VLOOKUP($A:$A,CS!$A:$AK,23,FALSE),"")</f>
      </c>
      <c r="P262" s="79">
        <f>IFERROR(VLOOKUP($A:$A,CS!$A:$AK,24,FALSE),"")</f>
      </c>
      <c r="Q262" s="79">
        <f>IFERROR(VLOOKUP($A:$A,CS!$A:$AK,25,FALSE),"")</f>
      </c>
      <c r="R262" s="79">
        <f>IFERROR(VLOOKUP($A:$A,CS!$A:$AK,26,FALSE),"")</f>
      </c>
      <c r="S262" s="79">
        <f>IFERROR(VLOOKUP($A:$A,CS!$A:$AK,29,FALSE),"")</f>
      </c>
      <c r="T262" s="79">
        <f>IFERROR(VLOOKUP($A:$A,CS!$A:$AK,33,FALSE),"")</f>
      </c>
      <c r="U262" s="79">
        <f>IFERROR(VLOOKUP($A:$A,CS!$A:$AK,34,FALSE),"")</f>
      </c>
      <c r="V262" s="79">
        <f>IFERROR(VLOOKUP($A:$A,CS!$A:$AK,35,FALSE),"")</f>
      </c>
      <c r="W262" s="79">
        <f>IFERROR(VLOOKUP($A:$A,CS!$A:$AK,36,FALSE),"")</f>
      </c>
    </row>
    <row r="263" ht="16.5" customHeight="1" spans="1:23" x14ac:dyDescent="0.25">
      <c r="A263" s="93"/>
      <c r="B263" s="79">
        <f>IFERROR(VLOOKUP($A:$A,CS!$A:$AK,3,FALSE),"")</f>
      </c>
      <c r="C263" s="79">
        <f>IFERROR(VLOOKUP($A:$A,CS!$A:$AK,4,FALSE),"")</f>
      </c>
      <c r="D263" s="79">
        <f>IFERROR(VLOOKUP($A:$A,CS!$A:$AK,5,FALSE),"")</f>
      </c>
      <c r="E263" s="79">
        <f>IFERROR(VLOOKUP($A:$A,CS!$A:$AK,7,FALSE),"")</f>
      </c>
      <c r="F263" s="79">
        <f>IFERROR(VLOOKUP($A:$A,CS!$A:$AK,8,FALSE),"")</f>
      </c>
      <c r="G263" s="79">
        <f>IFERROR(VLOOKUP($A:$A,CS!$A:$AK,10,FALSE),"")</f>
      </c>
      <c r="H263" s="79">
        <f>IFERROR(VLOOKUP($A:$A,CS!$A:$AK,14,FALSE),"")</f>
      </c>
      <c r="I263" s="79">
        <f>IFERROR(VLOOKUP($A:$A,CS!$A:$AK,15,FALSE),"")</f>
      </c>
      <c r="J263" s="79">
        <f>IFERROR(VLOOKUP($A:$A,CS!$A:$AK,18,FALSE),"")</f>
      </c>
      <c r="K263" s="79">
        <f>IFERROR(VLOOKUP($A:$A,CS!$A:$AK,19,FALSE),"")</f>
      </c>
      <c r="L263" s="79">
        <f>IFERROR(VLOOKUP($A:$A,CS!$A:$AK,20,FALSE),"")</f>
      </c>
      <c r="M263" s="79">
        <f>IFERROR(VLOOKUP($A:$A,CS!$A:$AK,22,FALSE),"")</f>
      </c>
      <c r="N263" s="79">
        <f>IFERROR(VLOOKUP($A:$A,CS!$A:$AK,19,FALSE),"")</f>
      </c>
      <c r="O263" s="79">
        <f>IFERROR(VLOOKUP($A:$A,CS!$A:$AK,23,FALSE),"")</f>
      </c>
      <c r="P263" s="79">
        <f>IFERROR(VLOOKUP($A:$A,CS!$A:$AK,24,FALSE),"")</f>
      </c>
      <c r="Q263" s="79">
        <f>IFERROR(VLOOKUP($A:$A,CS!$A:$AK,25,FALSE),"")</f>
      </c>
      <c r="R263" s="79">
        <f>IFERROR(VLOOKUP($A:$A,CS!$A:$AK,26,FALSE),"")</f>
      </c>
      <c r="S263" s="79">
        <f>IFERROR(VLOOKUP($A:$A,CS!$A:$AK,29,FALSE),"")</f>
      </c>
      <c r="T263" s="79">
        <f>IFERROR(VLOOKUP($A:$A,CS!$A:$AK,33,FALSE),"")</f>
      </c>
      <c r="U263" s="79">
        <f>IFERROR(VLOOKUP($A:$A,CS!$A:$AK,34,FALSE),"")</f>
      </c>
      <c r="V263" s="79">
        <f>IFERROR(VLOOKUP($A:$A,CS!$A:$AK,35,FALSE),"")</f>
      </c>
      <c r="W263" s="79">
        <f>IFERROR(VLOOKUP($A:$A,CS!$A:$AK,36,FALSE),"")</f>
      </c>
    </row>
    <row r="264" ht="16.5" customHeight="1" spans="1:23" x14ac:dyDescent="0.25">
      <c r="A264" s="93"/>
      <c r="B264" s="79">
        <f>IFERROR(VLOOKUP($A:$A,CS!$A:$AK,3,FALSE),"")</f>
      </c>
      <c r="C264" s="79">
        <f>IFERROR(VLOOKUP($A:$A,CS!$A:$AK,4,FALSE),"")</f>
      </c>
      <c r="D264" s="79">
        <f>IFERROR(VLOOKUP($A:$A,CS!$A:$AK,5,FALSE),"")</f>
      </c>
      <c r="E264" s="79">
        <f>IFERROR(VLOOKUP($A:$A,CS!$A:$AK,7,FALSE),"")</f>
      </c>
      <c r="F264" s="79">
        <f>IFERROR(VLOOKUP($A:$A,CS!$A:$AK,8,FALSE),"")</f>
      </c>
      <c r="G264" s="79">
        <f>IFERROR(VLOOKUP($A:$A,CS!$A:$AK,10,FALSE),"")</f>
      </c>
      <c r="H264" s="79">
        <f>IFERROR(VLOOKUP($A:$A,CS!$A:$AK,14,FALSE),"")</f>
      </c>
      <c r="I264" s="79">
        <f>IFERROR(VLOOKUP($A:$A,CS!$A:$AK,15,FALSE),"")</f>
      </c>
      <c r="J264" s="79">
        <f>IFERROR(VLOOKUP($A:$A,CS!$A:$AK,18,FALSE),"")</f>
      </c>
      <c r="K264" s="79">
        <f>IFERROR(VLOOKUP($A:$A,CS!$A:$AK,19,FALSE),"")</f>
      </c>
      <c r="L264" s="79">
        <f>IFERROR(VLOOKUP($A:$A,CS!$A:$AK,20,FALSE),"")</f>
      </c>
      <c r="M264" s="79">
        <f>IFERROR(VLOOKUP($A:$A,CS!$A:$AK,22,FALSE),"")</f>
      </c>
      <c r="N264" s="79">
        <f>IFERROR(VLOOKUP($A:$A,CS!$A:$AK,19,FALSE),"")</f>
      </c>
      <c r="O264" s="79">
        <f>IFERROR(VLOOKUP($A:$A,CS!$A:$AK,23,FALSE),"")</f>
      </c>
      <c r="P264" s="79">
        <f>IFERROR(VLOOKUP($A:$A,CS!$A:$AK,24,FALSE),"")</f>
      </c>
      <c r="Q264" s="79">
        <f>IFERROR(VLOOKUP($A:$A,CS!$A:$AK,25,FALSE),"")</f>
      </c>
      <c r="R264" s="79">
        <f>IFERROR(VLOOKUP($A:$A,CS!$A:$AK,26,FALSE),"")</f>
      </c>
      <c r="S264" s="79">
        <f>IFERROR(VLOOKUP($A:$A,CS!$A:$AK,29,FALSE),"")</f>
      </c>
      <c r="T264" s="79">
        <f>IFERROR(VLOOKUP($A:$A,CS!$A:$AK,33,FALSE),"")</f>
      </c>
      <c r="U264" s="79">
        <f>IFERROR(VLOOKUP($A:$A,CS!$A:$AK,34,FALSE),"")</f>
      </c>
      <c r="V264" s="79">
        <f>IFERROR(VLOOKUP($A:$A,CS!$A:$AK,35,FALSE),"")</f>
      </c>
      <c r="W264" s="79">
        <f>IFERROR(VLOOKUP($A:$A,CS!$A:$AK,36,FALSE),"")</f>
      </c>
    </row>
    <row r="265" ht="16.5" customHeight="1" spans="1:23" x14ac:dyDescent="0.25">
      <c r="A265" s="93"/>
      <c r="B265" s="79">
        <f>IFERROR(VLOOKUP($A:$A,CS!$A:$AK,3,FALSE),"")</f>
      </c>
      <c r="C265" s="79">
        <f>IFERROR(VLOOKUP($A:$A,CS!$A:$AK,4,FALSE),"")</f>
      </c>
      <c r="D265" s="79">
        <f>IFERROR(VLOOKUP($A:$A,CS!$A:$AK,5,FALSE),"")</f>
      </c>
      <c r="E265" s="79">
        <f>IFERROR(VLOOKUP($A:$A,CS!$A:$AK,7,FALSE),"")</f>
      </c>
      <c r="F265" s="79">
        <f>IFERROR(VLOOKUP($A:$A,CS!$A:$AK,8,FALSE),"")</f>
      </c>
      <c r="G265" s="79">
        <f>IFERROR(VLOOKUP($A:$A,CS!$A:$AK,10,FALSE),"")</f>
      </c>
      <c r="H265" s="79">
        <f>IFERROR(VLOOKUP($A:$A,CS!$A:$AK,14,FALSE),"")</f>
      </c>
      <c r="I265" s="79">
        <f>IFERROR(VLOOKUP($A:$A,CS!$A:$AK,15,FALSE),"")</f>
      </c>
      <c r="J265" s="79">
        <f>IFERROR(VLOOKUP($A:$A,CS!$A:$AK,18,FALSE),"")</f>
      </c>
      <c r="K265" s="79">
        <f>IFERROR(VLOOKUP($A:$A,CS!$A:$AK,19,FALSE),"")</f>
      </c>
      <c r="L265" s="79">
        <f>IFERROR(VLOOKUP($A:$A,CS!$A:$AK,20,FALSE),"")</f>
      </c>
      <c r="M265" s="79">
        <f>IFERROR(VLOOKUP($A:$A,CS!$A:$AK,22,FALSE),"")</f>
      </c>
      <c r="N265" s="79">
        <f>IFERROR(VLOOKUP($A:$A,CS!$A:$AK,19,FALSE),"")</f>
      </c>
      <c r="O265" s="79">
        <f>IFERROR(VLOOKUP($A:$A,CS!$A:$AK,23,FALSE),"")</f>
      </c>
      <c r="P265" s="79">
        <f>IFERROR(VLOOKUP($A:$A,CS!$A:$AK,24,FALSE),"")</f>
      </c>
      <c r="Q265" s="79">
        <f>IFERROR(VLOOKUP($A:$A,CS!$A:$AK,25,FALSE),"")</f>
      </c>
      <c r="R265" s="79">
        <f>IFERROR(VLOOKUP($A:$A,CS!$A:$AK,26,FALSE),"")</f>
      </c>
      <c r="S265" s="79">
        <f>IFERROR(VLOOKUP($A:$A,CS!$A:$AK,29,FALSE),"")</f>
      </c>
      <c r="T265" s="79">
        <f>IFERROR(VLOOKUP($A:$A,CS!$A:$AK,33,FALSE),"")</f>
      </c>
      <c r="U265" s="79">
        <f>IFERROR(VLOOKUP($A:$A,CS!$A:$AK,34,FALSE),"")</f>
      </c>
      <c r="V265" s="79">
        <f>IFERROR(VLOOKUP($A:$A,CS!$A:$AK,35,FALSE),"")</f>
      </c>
      <c r="W265" s="79">
        <f>IFERROR(VLOOKUP($A:$A,CS!$A:$AK,36,FALSE),"")</f>
      </c>
    </row>
    <row r="266" ht="16.5" customHeight="1" spans="1:23" x14ac:dyDescent="0.25">
      <c r="A266" s="93"/>
      <c r="B266" s="79">
        <f>IFERROR(VLOOKUP($A:$A,CS!$A:$AK,3,FALSE),"")</f>
      </c>
      <c r="C266" s="79">
        <f>IFERROR(VLOOKUP($A:$A,CS!$A:$AK,4,FALSE),"")</f>
      </c>
      <c r="D266" s="79">
        <f>IFERROR(VLOOKUP($A:$A,CS!$A:$AK,5,FALSE),"")</f>
      </c>
      <c r="E266" s="79">
        <f>IFERROR(VLOOKUP($A:$A,CS!$A:$AK,7,FALSE),"")</f>
      </c>
      <c r="F266" s="79">
        <f>IFERROR(VLOOKUP($A:$A,CS!$A:$AK,8,FALSE),"")</f>
      </c>
      <c r="G266" s="79">
        <f>IFERROR(VLOOKUP($A:$A,CS!$A:$AK,10,FALSE),"")</f>
      </c>
      <c r="H266" s="79">
        <f>IFERROR(VLOOKUP($A:$A,CS!$A:$AK,14,FALSE),"")</f>
      </c>
      <c r="I266" s="79">
        <f>IFERROR(VLOOKUP($A:$A,CS!$A:$AK,15,FALSE),"")</f>
      </c>
      <c r="J266" s="79">
        <f>IFERROR(VLOOKUP($A:$A,CS!$A:$AK,18,FALSE),"")</f>
      </c>
      <c r="K266" s="79">
        <f>IFERROR(VLOOKUP($A:$A,CS!$A:$AK,19,FALSE),"")</f>
      </c>
      <c r="L266" s="79">
        <f>IFERROR(VLOOKUP($A:$A,CS!$A:$AK,20,FALSE),"")</f>
      </c>
      <c r="M266" s="79">
        <f>IFERROR(VLOOKUP($A:$A,CS!$A:$AK,22,FALSE),"")</f>
      </c>
      <c r="N266" s="79">
        <f>IFERROR(VLOOKUP($A:$A,CS!$A:$AK,19,FALSE),"")</f>
      </c>
      <c r="O266" s="79">
        <f>IFERROR(VLOOKUP($A:$A,CS!$A:$AK,23,FALSE),"")</f>
      </c>
      <c r="P266" s="79">
        <f>IFERROR(VLOOKUP($A:$A,CS!$A:$AK,24,FALSE),"")</f>
      </c>
      <c r="Q266" s="79">
        <f>IFERROR(VLOOKUP($A:$A,CS!$A:$AK,25,FALSE),"")</f>
      </c>
      <c r="R266" s="79">
        <f>IFERROR(VLOOKUP($A:$A,CS!$A:$AK,26,FALSE),"")</f>
      </c>
      <c r="S266" s="79">
        <f>IFERROR(VLOOKUP($A:$A,CS!$A:$AK,29,FALSE),"")</f>
      </c>
      <c r="T266" s="79">
        <f>IFERROR(VLOOKUP($A:$A,CS!$A:$AK,33,FALSE),"")</f>
      </c>
      <c r="U266" s="79">
        <f>IFERROR(VLOOKUP($A:$A,CS!$A:$AK,34,FALSE),"")</f>
      </c>
      <c r="V266" s="79">
        <f>IFERROR(VLOOKUP($A:$A,CS!$A:$AK,35,FALSE),"")</f>
      </c>
      <c r="W266" s="79">
        <f>IFERROR(VLOOKUP($A:$A,CS!$A:$AK,36,FALSE),"")</f>
      </c>
    </row>
    <row r="267" ht="16.5" customHeight="1" spans="1:23" x14ac:dyDescent="0.25">
      <c r="A267" s="93"/>
      <c r="B267" s="79">
        <f>IFERROR(VLOOKUP($A:$A,CS!$A:$AK,3,FALSE),"")</f>
      </c>
      <c r="C267" s="79">
        <f>IFERROR(VLOOKUP($A:$A,CS!$A:$AK,4,FALSE),"")</f>
      </c>
      <c r="D267" s="79">
        <f>IFERROR(VLOOKUP($A:$A,CS!$A:$AK,5,FALSE),"")</f>
      </c>
      <c r="E267" s="79">
        <f>IFERROR(VLOOKUP($A:$A,CS!$A:$AK,7,FALSE),"")</f>
      </c>
      <c r="F267" s="79">
        <f>IFERROR(VLOOKUP($A:$A,CS!$A:$AK,8,FALSE),"")</f>
      </c>
      <c r="G267" s="79">
        <f>IFERROR(VLOOKUP($A:$A,CS!$A:$AK,10,FALSE),"")</f>
      </c>
      <c r="H267" s="79">
        <f>IFERROR(VLOOKUP($A:$A,CS!$A:$AK,14,FALSE),"")</f>
      </c>
      <c r="I267" s="79">
        <f>IFERROR(VLOOKUP($A:$A,CS!$A:$AK,15,FALSE),"")</f>
      </c>
      <c r="J267" s="79">
        <f>IFERROR(VLOOKUP($A:$A,CS!$A:$AK,18,FALSE),"")</f>
      </c>
      <c r="K267" s="79">
        <f>IFERROR(VLOOKUP($A:$A,CS!$A:$AK,19,FALSE),"")</f>
      </c>
      <c r="L267" s="79">
        <f>IFERROR(VLOOKUP($A:$A,CS!$A:$AK,20,FALSE),"")</f>
      </c>
      <c r="M267" s="79">
        <f>IFERROR(VLOOKUP($A:$A,CS!$A:$AK,22,FALSE),"")</f>
      </c>
      <c r="N267" s="79">
        <f>IFERROR(VLOOKUP($A:$A,CS!$A:$AK,19,FALSE),"")</f>
      </c>
      <c r="O267" s="79">
        <f>IFERROR(VLOOKUP($A:$A,CS!$A:$AK,23,FALSE),"")</f>
      </c>
      <c r="P267" s="79">
        <f>IFERROR(VLOOKUP($A:$A,CS!$A:$AK,24,FALSE),"")</f>
      </c>
      <c r="Q267" s="79">
        <f>IFERROR(VLOOKUP($A:$A,CS!$A:$AK,25,FALSE),"")</f>
      </c>
      <c r="R267" s="79">
        <f>IFERROR(VLOOKUP($A:$A,CS!$A:$AK,26,FALSE),"")</f>
      </c>
      <c r="S267" s="79">
        <f>IFERROR(VLOOKUP($A:$A,CS!$A:$AK,29,FALSE),"")</f>
      </c>
      <c r="T267" s="79">
        <f>IFERROR(VLOOKUP($A:$A,CS!$A:$AK,33,FALSE),"")</f>
      </c>
      <c r="U267" s="79">
        <f>IFERROR(VLOOKUP($A:$A,CS!$A:$AK,34,FALSE),"")</f>
      </c>
      <c r="V267" s="79">
        <f>IFERROR(VLOOKUP($A:$A,CS!$A:$AK,35,FALSE),"")</f>
      </c>
      <c r="W267" s="79">
        <f>IFERROR(VLOOKUP($A:$A,CS!$A:$AK,36,FALSE),"")</f>
      </c>
    </row>
    <row r="268" ht="16.5" customHeight="1" spans="1:23" x14ac:dyDescent="0.25">
      <c r="A268" s="93"/>
      <c r="B268" s="79">
        <f>IFERROR(VLOOKUP($A:$A,CS!$A:$AK,3,FALSE),"")</f>
      </c>
      <c r="C268" s="79">
        <f>IFERROR(VLOOKUP($A:$A,CS!$A:$AK,4,FALSE),"")</f>
      </c>
      <c r="D268" s="79">
        <f>IFERROR(VLOOKUP($A:$A,CS!$A:$AK,5,FALSE),"")</f>
      </c>
      <c r="E268" s="79">
        <f>IFERROR(VLOOKUP($A:$A,CS!$A:$AK,7,FALSE),"")</f>
      </c>
      <c r="F268" s="79">
        <f>IFERROR(VLOOKUP($A:$A,CS!$A:$AK,8,FALSE),"")</f>
      </c>
      <c r="G268" s="79">
        <f>IFERROR(VLOOKUP($A:$A,CS!$A:$AK,10,FALSE),"")</f>
      </c>
      <c r="H268" s="79">
        <f>IFERROR(VLOOKUP($A:$A,CS!$A:$AK,14,FALSE),"")</f>
      </c>
      <c r="I268" s="79">
        <f>IFERROR(VLOOKUP($A:$A,CS!$A:$AK,15,FALSE),"")</f>
      </c>
      <c r="J268" s="79">
        <f>IFERROR(VLOOKUP($A:$A,CS!$A:$AK,18,FALSE),"")</f>
      </c>
      <c r="K268" s="79">
        <f>IFERROR(VLOOKUP($A:$A,CS!$A:$AK,19,FALSE),"")</f>
      </c>
      <c r="L268" s="79">
        <f>IFERROR(VLOOKUP($A:$A,CS!$A:$AK,20,FALSE),"")</f>
      </c>
      <c r="M268" s="79">
        <f>IFERROR(VLOOKUP($A:$A,CS!$A:$AK,22,FALSE),"")</f>
      </c>
      <c r="N268" s="79">
        <f>IFERROR(VLOOKUP($A:$A,CS!$A:$AK,19,FALSE),"")</f>
      </c>
      <c r="O268" s="79">
        <f>IFERROR(VLOOKUP($A:$A,CS!$A:$AK,23,FALSE),"")</f>
      </c>
      <c r="P268" s="79">
        <f>IFERROR(VLOOKUP($A:$A,CS!$A:$AK,24,FALSE),"")</f>
      </c>
      <c r="Q268" s="79">
        <f>IFERROR(VLOOKUP($A:$A,CS!$A:$AK,25,FALSE),"")</f>
      </c>
      <c r="R268" s="79">
        <f>IFERROR(VLOOKUP($A:$A,CS!$A:$AK,26,FALSE),"")</f>
      </c>
      <c r="S268" s="79">
        <f>IFERROR(VLOOKUP($A:$A,CS!$A:$AK,29,FALSE),"")</f>
      </c>
      <c r="T268" s="79">
        <f>IFERROR(VLOOKUP($A:$A,CS!$A:$AK,33,FALSE),"")</f>
      </c>
      <c r="U268" s="79">
        <f>IFERROR(VLOOKUP($A:$A,CS!$A:$AK,34,FALSE),"")</f>
      </c>
      <c r="V268" s="79">
        <f>IFERROR(VLOOKUP($A:$A,CS!$A:$AK,35,FALSE),"")</f>
      </c>
      <c r="W268" s="79">
        <f>IFERROR(VLOOKUP($A:$A,CS!$A:$AK,36,FALSE),"")</f>
      </c>
    </row>
    <row r="269" ht="16.5" customHeight="1" spans="1:23" x14ac:dyDescent="0.25">
      <c r="A269" s="93"/>
      <c r="B269" s="79">
        <f>IFERROR(VLOOKUP($A:$A,CS!$A:$AK,3,FALSE),"")</f>
      </c>
      <c r="C269" s="79">
        <f>IFERROR(VLOOKUP($A:$A,CS!$A:$AK,4,FALSE),"")</f>
      </c>
      <c r="D269" s="79">
        <f>IFERROR(VLOOKUP($A:$A,CS!$A:$AK,5,FALSE),"")</f>
      </c>
      <c r="E269" s="79">
        <f>IFERROR(VLOOKUP($A:$A,CS!$A:$AK,7,FALSE),"")</f>
      </c>
      <c r="F269" s="79">
        <f>IFERROR(VLOOKUP($A:$A,CS!$A:$AK,8,FALSE),"")</f>
      </c>
      <c r="G269" s="79">
        <f>IFERROR(VLOOKUP($A:$A,CS!$A:$AK,10,FALSE),"")</f>
      </c>
      <c r="H269" s="79">
        <f>IFERROR(VLOOKUP($A:$A,CS!$A:$AK,14,FALSE),"")</f>
      </c>
      <c r="I269" s="79">
        <f>IFERROR(VLOOKUP($A:$A,CS!$A:$AK,15,FALSE),"")</f>
      </c>
      <c r="J269" s="79">
        <f>IFERROR(VLOOKUP($A:$A,CS!$A:$AK,18,FALSE),"")</f>
      </c>
      <c r="K269" s="79">
        <f>IFERROR(VLOOKUP($A:$A,CS!$A:$AK,19,FALSE),"")</f>
      </c>
      <c r="L269" s="79">
        <f>IFERROR(VLOOKUP($A:$A,CS!$A:$AK,20,FALSE),"")</f>
      </c>
      <c r="M269" s="79">
        <f>IFERROR(VLOOKUP($A:$A,CS!$A:$AK,22,FALSE),"")</f>
      </c>
      <c r="N269" s="79">
        <f>IFERROR(VLOOKUP($A:$A,CS!$A:$AK,19,FALSE),"")</f>
      </c>
      <c r="O269" s="79">
        <f>IFERROR(VLOOKUP($A:$A,CS!$A:$AK,23,FALSE),"")</f>
      </c>
      <c r="P269" s="79">
        <f>IFERROR(VLOOKUP($A:$A,CS!$A:$AK,24,FALSE),"")</f>
      </c>
      <c r="Q269" s="79">
        <f>IFERROR(VLOOKUP($A:$A,CS!$A:$AK,25,FALSE),"")</f>
      </c>
      <c r="R269" s="79">
        <f>IFERROR(VLOOKUP($A:$A,CS!$A:$AK,26,FALSE),"")</f>
      </c>
      <c r="S269" s="79">
        <f>IFERROR(VLOOKUP($A:$A,CS!$A:$AK,29,FALSE),"")</f>
      </c>
      <c r="T269" s="79">
        <f>IFERROR(VLOOKUP($A:$A,CS!$A:$AK,33,FALSE),"")</f>
      </c>
      <c r="U269" s="79">
        <f>IFERROR(VLOOKUP($A:$A,CS!$A:$AK,34,FALSE),"")</f>
      </c>
      <c r="V269" s="79">
        <f>IFERROR(VLOOKUP($A:$A,CS!$A:$AK,35,FALSE),"")</f>
      </c>
      <c r="W269" s="79">
        <f>IFERROR(VLOOKUP($A:$A,CS!$A:$AK,36,FALSE),"")</f>
      </c>
    </row>
    <row r="270" ht="16.5" customHeight="1" spans="1:23" x14ac:dyDescent="0.25">
      <c r="A270" s="93"/>
      <c r="B270" s="79">
        <f>IFERROR(VLOOKUP($A:$A,CS!$A:$AK,3,FALSE),"")</f>
      </c>
      <c r="C270" s="79">
        <f>IFERROR(VLOOKUP($A:$A,CS!$A:$AK,4,FALSE),"")</f>
      </c>
      <c r="D270" s="79">
        <f>IFERROR(VLOOKUP($A:$A,CS!$A:$AK,5,FALSE),"")</f>
      </c>
      <c r="E270" s="79">
        <f>IFERROR(VLOOKUP($A:$A,CS!$A:$AK,7,FALSE),"")</f>
      </c>
      <c r="F270" s="79">
        <f>IFERROR(VLOOKUP($A:$A,CS!$A:$AK,8,FALSE),"")</f>
      </c>
      <c r="G270" s="79">
        <f>IFERROR(VLOOKUP($A:$A,CS!$A:$AK,10,FALSE),"")</f>
      </c>
      <c r="H270" s="79">
        <f>IFERROR(VLOOKUP($A:$A,CS!$A:$AK,14,FALSE),"")</f>
      </c>
      <c r="I270" s="79">
        <f>IFERROR(VLOOKUP($A:$A,CS!$A:$AK,15,FALSE),"")</f>
      </c>
      <c r="J270" s="79">
        <f>IFERROR(VLOOKUP($A:$A,CS!$A:$AK,18,FALSE),"")</f>
      </c>
      <c r="K270" s="79">
        <f>IFERROR(VLOOKUP($A:$A,CS!$A:$AK,19,FALSE),"")</f>
      </c>
      <c r="L270" s="79">
        <f>IFERROR(VLOOKUP($A:$A,CS!$A:$AK,20,FALSE),"")</f>
      </c>
      <c r="M270" s="79">
        <f>IFERROR(VLOOKUP($A:$A,CS!$A:$AK,22,FALSE),"")</f>
      </c>
      <c r="N270" s="79">
        <f>IFERROR(VLOOKUP($A:$A,CS!$A:$AK,19,FALSE),"")</f>
      </c>
      <c r="O270" s="79">
        <f>IFERROR(VLOOKUP($A:$A,CS!$A:$AK,23,FALSE),"")</f>
      </c>
      <c r="P270" s="79">
        <f>IFERROR(VLOOKUP($A:$A,CS!$A:$AK,24,FALSE),"")</f>
      </c>
      <c r="Q270" s="79">
        <f>IFERROR(VLOOKUP($A:$A,CS!$A:$AK,25,FALSE),"")</f>
      </c>
      <c r="R270" s="79">
        <f>IFERROR(VLOOKUP($A:$A,CS!$A:$AK,26,FALSE),"")</f>
      </c>
      <c r="S270" s="79">
        <f>IFERROR(VLOOKUP($A:$A,CS!$A:$AK,29,FALSE),"")</f>
      </c>
      <c r="T270" s="79">
        <f>IFERROR(VLOOKUP($A:$A,CS!$A:$AK,33,FALSE),"")</f>
      </c>
      <c r="U270" s="79">
        <f>IFERROR(VLOOKUP($A:$A,CS!$A:$AK,34,FALSE),"")</f>
      </c>
      <c r="V270" s="79">
        <f>IFERROR(VLOOKUP($A:$A,CS!$A:$AK,35,FALSE),"")</f>
      </c>
      <c r="W270" s="79">
        <f>IFERROR(VLOOKUP($A:$A,CS!$A:$AK,36,FALSE),"")</f>
      </c>
    </row>
    <row r="271" ht="16.5" customHeight="1" spans="1:23" x14ac:dyDescent="0.25">
      <c r="A271" s="93"/>
      <c r="B271" s="79">
        <f>IFERROR(VLOOKUP($A:$A,CS!$A:$AK,3,FALSE),"")</f>
      </c>
      <c r="C271" s="79">
        <f>IFERROR(VLOOKUP($A:$A,CS!$A:$AK,4,FALSE),"")</f>
      </c>
      <c r="D271" s="79">
        <f>IFERROR(VLOOKUP($A:$A,CS!$A:$AK,5,FALSE),"")</f>
      </c>
      <c r="E271" s="79">
        <f>IFERROR(VLOOKUP($A:$A,CS!$A:$AK,7,FALSE),"")</f>
      </c>
      <c r="F271" s="79">
        <f>IFERROR(VLOOKUP($A:$A,CS!$A:$AK,8,FALSE),"")</f>
      </c>
      <c r="G271" s="79">
        <f>IFERROR(VLOOKUP($A:$A,CS!$A:$AK,10,FALSE),"")</f>
      </c>
      <c r="H271" s="79">
        <f>IFERROR(VLOOKUP($A:$A,CS!$A:$AK,14,FALSE),"")</f>
      </c>
      <c r="I271" s="79">
        <f>IFERROR(VLOOKUP($A:$A,CS!$A:$AK,15,FALSE),"")</f>
      </c>
      <c r="J271" s="79">
        <f>IFERROR(VLOOKUP($A:$A,CS!$A:$AK,18,FALSE),"")</f>
      </c>
      <c r="K271" s="79">
        <f>IFERROR(VLOOKUP($A:$A,CS!$A:$AK,19,FALSE),"")</f>
      </c>
      <c r="L271" s="79">
        <f>IFERROR(VLOOKUP($A:$A,CS!$A:$AK,20,FALSE),"")</f>
      </c>
      <c r="M271" s="79">
        <f>IFERROR(VLOOKUP($A:$A,CS!$A:$AK,22,FALSE),"")</f>
      </c>
      <c r="N271" s="79">
        <f>IFERROR(VLOOKUP($A:$A,CS!$A:$AK,19,FALSE),"")</f>
      </c>
      <c r="O271" s="79">
        <f>IFERROR(VLOOKUP($A:$A,CS!$A:$AK,23,FALSE),"")</f>
      </c>
      <c r="P271" s="79">
        <f>IFERROR(VLOOKUP($A:$A,CS!$A:$AK,24,FALSE),"")</f>
      </c>
      <c r="Q271" s="79">
        <f>IFERROR(VLOOKUP($A:$A,CS!$A:$AK,25,FALSE),"")</f>
      </c>
      <c r="R271" s="79">
        <f>IFERROR(VLOOKUP($A:$A,CS!$A:$AK,26,FALSE),"")</f>
      </c>
      <c r="S271" s="79">
        <f>IFERROR(VLOOKUP($A:$A,CS!$A:$AK,29,FALSE),"")</f>
      </c>
      <c r="T271" s="79">
        <f>IFERROR(VLOOKUP($A:$A,CS!$A:$AK,33,FALSE),"")</f>
      </c>
      <c r="U271" s="79">
        <f>IFERROR(VLOOKUP($A:$A,CS!$A:$AK,34,FALSE),"")</f>
      </c>
      <c r="V271" s="79">
        <f>IFERROR(VLOOKUP($A:$A,CS!$A:$AK,35,FALSE),"")</f>
      </c>
      <c r="W271" s="79">
        <f>IFERROR(VLOOKUP($A:$A,CS!$A:$AK,36,FALSE),"")</f>
      </c>
    </row>
    <row r="272" ht="16.5" customHeight="1" spans="1:23" x14ac:dyDescent="0.25">
      <c r="A272" s="93"/>
      <c r="B272" s="79">
        <f>IFERROR(VLOOKUP($A:$A,CS!$A:$AK,3,FALSE),"")</f>
      </c>
      <c r="C272" s="79">
        <f>IFERROR(VLOOKUP($A:$A,CS!$A:$AK,4,FALSE),"")</f>
      </c>
      <c r="D272" s="79">
        <f>IFERROR(VLOOKUP($A:$A,CS!$A:$AK,5,FALSE),"")</f>
      </c>
      <c r="E272" s="79">
        <f>IFERROR(VLOOKUP($A:$A,CS!$A:$AK,7,FALSE),"")</f>
      </c>
      <c r="F272" s="79">
        <f>IFERROR(VLOOKUP($A:$A,CS!$A:$AK,8,FALSE),"")</f>
      </c>
      <c r="G272" s="79">
        <f>IFERROR(VLOOKUP($A:$A,CS!$A:$AK,10,FALSE),"")</f>
      </c>
      <c r="H272" s="79">
        <f>IFERROR(VLOOKUP($A:$A,CS!$A:$AK,14,FALSE),"")</f>
      </c>
      <c r="I272" s="79">
        <f>IFERROR(VLOOKUP($A:$A,CS!$A:$AK,15,FALSE),"")</f>
      </c>
      <c r="J272" s="79">
        <f>IFERROR(VLOOKUP($A:$A,CS!$A:$AK,18,FALSE),"")</f>
      </c>
      <c r="K272" s="79">
        <f>IFERROR(VLOOKUP($A:$A,CS!$A:$AK,19,FALSE),"")</f>
      </c>
      <c r="L272" s="79">
        <f>IFERROR(VLOOKUP($A:$A,CS!$A:$AK,20,FALSE),"")</f>
      </c>
      <c r="M272" s="79">
        <f>IFERROR(VLOOKUP($A:$A,CS!$A:$AK,22,FALSE),"")</f>
      </c>
      <c r="N272" s="79">
        <f>IFERROR(VLOOKUP($A:$A,CS!$A:$AK,19,FALSE),"")</f>
      </c>
      <c r="O272" s="79">
        <f>IFERROR(VLOOKUP($A:$A,CS!$A:$AK,23,FALSE),"")</f>
      </c>
      <c r="P272" s="79">
        <f>IFERROR(VLOOKUP($A:$A,CS!$A:$AK,24,FALSE),"")</f>
      </c>
      <c r="Q272" s="79">
        <f>IFERROR(VLOOKUP($A:$A,CS!$A:$AK,25,FALSE),"")</f>
      </c>
      <c r="R272" s="79">
        <f>IFERROR(VLOOKUP($A:$A,CS!$A:$AK,26,FALSE),"")</f>
      </c>
      <c r="S272" s="79">
        <f>IFERROR(VLOOKUP($A:$A,CS!$A:$AK,29,FALSE),"")</f>
      </c>
      <c r="T272" s="79">
        <f>IFERROR(VLOOKUP($A:$A,CS!$A:$AK,33,FALSE),"")</f>
      </c>
      <c r="U272" s="79">
        <f>IFERROR(VLOOKUP($A:$A,CS!$A:$AK,34,FALSE),"")</f>
      </c>
      <c r="V272" s="79">
        <f>IFERROR(VLOOKUP($A:$A,CS!$A:$AK,35,FALSE),"")</f>
      </c>
      <c r="W272" s="79">
        <f>IFERROR(VLOOKUP($A:$A,CS!$A:$AK,36,FALSE),"")</f>
      </c>
    </row>
    <row r="273" ht="16.5" customHeight="1" spans="1:23" x14ac:dyDescent="0.25">
      <c r="A273" s="93"/>
      <c r="B273" s="79">
        <f>IFERROR(VLOOKUP($A:$A,CS!$A:$AK,3,FALSE),"")</f>
      </c>
      <c r="C273" s="79">
        <f>IFERROR(VLOOKUP($A:$A,CS!$A:$AK,4,FALSE),"")</f>
      </c>
      <c r="D273" s="79">
        <f>IFERROR(VLOOKUP($A:$A,CS!$A:$AK,5,FALSE),"")</f>
      </c>
      <c r="E273" s="79">
        <f>IFERROR(VLOOKUP($A:$A,CS!$A:$AK,7,FALSE),"")</f>
      </c>
      <c r="F273" s="79">
        <f>IFERROR(VLOOKUP($A:$A,CS!$A:$AK,8,FALSE),"")</f>
      </c>
      <c r="G273" s="79">
        <f>IFERROR(VLOOKUP($A:$A,CS!$A:$AK,10,FALSE),"")</f>
      </c>
      <c r="H273" s="79">
        <f>IFERROR(VLOOKUP($A:$A,CS!$A:$AK,14,FALSE),"")</f>
      </c>
      <c r="I273" s="79">
        <f>IFERROR(VLOOKUP($A:$A,CS!$A:$AK,15,FALSE),"")</f>
      </c>
      <c r="J273" s="79">
        <f>IFERROR(VLOOKUP($A:$A,CS!$A:$AK,18,FALSE),"")</f>
      </c>
      <c r="K273" s="79">
        <f>IFERROR(VLOOKUP($A:$A,CS!$A:$AK,19,FALSE),"")</f>
      </c>
      <c r="L273" s="79">
        <f>IFERROR(VLOOKUP($A:$A,CS!$A:$AK,20,FALSE),"")</f>
      </c>
      <c r="M273" s="79">
        <f>IFERROR(VLOOKUP($A:$A,CS!$A:$AK,22,FALSE),"")</f>
      </c>
      <c r="N273" s="79">
        <f>IFERROR(VLOOKUP($A:$A,CS!$A:$AK,19,FALSE),"")</f>
      </c>
      <c r="O273" s="79">
        <f>IFERROR(VLOOKUP($A:$A,CS!$A:$AK,23,FALSE),"")</f>
      </c>
      <c r="P273" s="79">
        <f>IFERROR(VLOOKUP($A:$A,CS!$A:$AK,24,FALSE),"")</f>
      </c>
      <c r="Q273" s="79">
        <f>IFERROR(VLOOKUP($A:$A,CS!$A:$AK,25,FALSE),"")</f>
      </c>
      <c r="R273" s="79">
        <f>IFERROR(VLOOKUP($A:$A,CS!$A:$AK,26,FALSE),"")</f>
      </c>
      <c r="S273" s="79">
        <f>IFERROR(VLOOKUP($A:$A,CS!$A:$AK,29,FALSE),"")</f>
      </c>
      <c r="T273" s="79">
        <f>IFERROR(VLOOKUP($A:$A,CS!$A:$AK,33,FALSE),"")</f>
      </c>
      <c r="U273" s="79">
        <f>IFERROR(VLOOKUP($A:$A,CS!$A:$AK,34,FALSE),"")</f>
      </c>
      <c r="V273" s="79">
        <f>IFERROR(VLOOKUP($A:$A,CS!$A:$AK,35,FALSE),"")</f>
      </c>
      <c r="W273" s="79">
        <f>IFERROR(VLOOKUP($A:$A,CS!$A:$AK,36,FALSE),"")</f>
      </c>
    </row>
    <row r="274" ht="16.5" customHeight="1" spans="1:23" x14ac:dyDescent="0.25">
      <c r="A274" s="93"/>
      <c r="B274" s="79">
        <f>IFERROR(VLOOKUP($A:$A,CS!$A:$AK,3,FALSE),"")</f>
      </c>
      <c r="C274" s="79">
        <f>IFERROR(VLOOKUP($A:$A,CS!$A:$AK,4,FALSE),"")</f>
      </c>
      <c r="D274" s="79">
        <f>IFERROR(VLOOKUP($A:$A,CS!$A:$AK,5,FALSE),"")</f>
      </c>
      <c r="E274" s="79">
        <f>IFERROR(VLOOKUP($A:$A,CS!$A:$AK,7,FALSE),"")</f>
      </c>
      <c r="F274" s="79">
        <f>IFERROR(VLOOKUP($A:$A,CS!$A:$AK,8,FALSE),"")</f>
      </c>
      <c r="G274" s="79">
        <f>IFERROR(VLOOKUP($A:$A,CS!$A:$AK,10,FALSE),"")</f>
      </c>
      <c r="H274" s="79">
        <f>IFERROR(VLOOKUP($A:$A,CS!$A:$AK,14,FALSE),"")</f>
      </c>
      <c r="I274" s="79">
        <f>IFERROR(VLOOKUP($A:$A,CS!$A:$AK,15,FALSE),"")</f>
      </c>
      <c r="J274" s="79">
        <f>IFERROR(VLOOKUP($A:$A,CS!$A:$AK,18,FALSE),"")</f>
      </c>
      <c r="K274" s="79">
        <f>IFERROR(VLOOKUP($A:$A,CS!$A:$AK,19,FALSE),"")</f>
      </c>
      <c r="L274" s="79">
        <f>IFERROR(VLOOKUP($A:$A,CS!$A:$AK,20,FALSE),"")</f>
      </c>
      <c r="M274" s="79">
        <f>IFERROR(VLOOKUP($A:$A,CS!$A:$AK,22,FALSE),"")</f>
      </c>
      <c r="N274" s="79">
        <f>IFERROR(VLOOKUP($A:$A,CS!$A:$AK,19,FALSE),"")</f>
      </c>
      <c r="O274" s="79">
        <f>IFERROR(VLOOKUP($A:$A,CS!$A:$AK,23,FALSE),"")</f>
      </c>
      <c r="P274" s="79">
        <f>IFERROR(VLOOKUP($A:$A,CS!$A:$AK,24,FALSE),"")</f>
      </c>
      <c r="Q274" s="79">
        <f>IFERROR(VLOOKUP($A:$A,CS!$A:$AK,25,FALSE),"")</f>
      </c>
      <c r="R274" s="79">
        <f>IFERROR(VLOOKUP($A:$A,CS!$A:$AK,26,FALSE),"")</f>
      </c>
      <c r="S274" s="79">
        <f>IFERROR(VLOOKUP($A:$A,CS!$A:$AK,29,FALSE),"")</f>
      </c>
      <c r="T274" s="79">
        <f>IFERROR(VLOOKUP($A:$A,CS!$A:$AK,33,FALSE),"")</f>
      </c>
      <c r="U274" s="79">
        <f>IFERROR(VLOOKUP($A:$A,CS!$A:$AK,34,FALSE),"")</f>
      </c>
      <c r="V274" s="79">
        <f>IFERROR(VLOOKUP($A:$A,CS!$A:$AK,35,FALSE),"")</f>
      </c>
      <c r="W274" s="79">
        <f>IFERROR(VLOOKUP($A:$A,CS!$A:$AK,36,FALSE),"")</f>
      </c>
    </row>
    <row r="275" ht="16.5" customHeight="1" spans="1:23" x14ac:dyDescent="0.25">
      <c r="A275" s="93"/>
      <c r="B275" s="79">
        <f>IFERROR(VLOOKUP($A:$A,CS!$A:$AK,3,FALSE),"")</f>
      </c>
      <c r="C275" s="79">
        <f>IFERROR(VLOOKUP($A:$A,CS!$A:$AK,4,FALSE),"")</f>
      </c>
      <c r="D275" s="79">
        <f>IFERROR(VLOOKUP($A:$A,CS!$A:$AK,5,FALSE),"")</f>
      </c>
      <c r="E275" s="79">
        <f>IFERROR(VLOOKUP($A:$A,CS!$A:$AK,7,FALSE),"")</f>
      </c>
      <c r="F275" s="79">
        <f>IFERROR(VLOOKUP($A:$A,CS!$A:$AK,8,FALSE),"")</f>
      </c>
      <c r="G275" s="79">
        <f>IFERROR(VLOOKUP($A:$A,CS!$A:$AK,10,FALSE),"")</f>
      </c>
      <c r="H275" s="79">
        <f>IFERROR(VLOOKUP($A:$A,CS!$A:$AK,14,FALSE),"")</f>
      </c>
      <c r="I275" s="79">
        <f>IFERROR(VLOOKUP($A:$A,CS!$A:$AK,15,FALSE),"")</f>
      </c>
      <c r="J275" s="79">
        <f>IFERROR(VLOOKUP($A:$A,CS!$A:$AK,18,FALSE),"")</f>
      </c>
      <c r="K275" s="79">
        <f>IFERROR(VLOOKUP($A:$A,CS!$A:$AK,19,FALSE),"")</f>
      </c>
      <c r="L275" s="79">
        <f>IFERROR(VLOOKUP($A:$A,CS!$A:$AK,20,FALSE),"")</f>
      </c>
      <c r="M275" s="79">
        <f>IFERROR(VLOOKUP($A:$A,CS!$A:$AK,22,FALSE),"")</f>
      </c>
      <c r="N275" s="79">
        <f>IFERROR(VLOOKUP($A:$A,CS!$A:$AK,19,FALSE),"")</f>
      </c>
      <c r="O275" s="79">
        <f>IFERROR(VLOOKUP($A:$A,CS!$A:$AK,23,FALSE),"")</f>
      </c>
      <c r="P275" s="79">
        <f>IFERROR(VLOOKUP($A:$A,CS!$A:$AK,24,FALSE),"")</f>
      </c>
      <c r="Q275" s="79">
        <f>IFERROR(VLOOKUP($A:$A,CS!$A:$AK,25,FALSE),"")</f>
      </c>
      <c r="R275" s="79">
        <f>IFERROR(VLOOKUP($A:$A,CS!$A:$AK,26,FALSE),"")</f>
      </c>
      <c r="S275" s="79">
        <f>IFERROR(VLOOKUP($A:$A,CS!$A:$AK,29,FALSE),"")</f>
      </c>
      <c r="T275" s="79">
        <f>IFERROR(VLOOKUP($A:$A,CS!$A:$AK,33,FALSE),"")</f>
      </c>
      <c r="U275" s="79">
        <f>IFERROR(VLOOKUP($A:$A,CS!$A:$AK,34,FALSE),"")</f>
      </c>
      <c r="V275" s="79">
        <f>IFERROR(VLOOKUP($A:$A,CS!$A:$AK,35,FALSE),"")</f>
      </c>
      <c r="W275" s="79">
        <f>IFERROR(VLOOKUP($A:$A,CS!$A:$AK,36,FALSE),"")</f>
      </c>
    </row>
    <row r="276" ht="16.5" customHeight="1" spans="1:23" x14ac:dyDescent="0.25">
      <c r="A276" s="93"/>
      <c r="B276" s="79">
        <f>IFERROR(VLOOKUP($A:$A,CS!$A:$AK,3,FALSE),"")</f>
      </c>
      <c r="C276" s="79">
        <f>IFERROR(VLOOKUP($A:$A,CS!$A:$AK,4,FALSE),"")</f>
      </c>
      <c r="D276" s="79">
        <f>IFERROR(VLOOKUP($A:$A,CS!$A:$AK,5,FALSE),"")</f>
      </c>
      <c r="E276" s="79">
        <f>IFERROR(VLOOKUP($A:$A,CS!$A:$AK,7,FALSE),"")</f>
      </c>
      <c r="F276" s="79">
        <f>IFERROR(VLOOKUP($A:$A,CS!$A:$AK,8,FALSE),"")</f>
      </c>
      <c r="G276" s="79">
        <f>IFERROR(VLOOKUP($A:$A,CS!$A:$AK,10,FALSE),"")</f>
      </c>
      <c r="H276" s="79">
        <f>IFERROR(VLOOKUP($A:$A,CS!$A:$AK,14,FALSE),"")</f>
      </c>
      <c r="I276" s="79">
        <f>IFERROR(VLOOKUP($A:$A,CS!$A:$AK,15,FALSE),"")</f>
      </c>
      <c r="J276" s="79">
        <f>IFERROR(VLOOKUP($A:$A,CS!$A:$AK,18,FALSE),"")</f>
      </c>
      <c r="K276" s="79">
        <f>IFERROR(VLOOKUP($A:$A,CS!$A:$AK,19,FALSE),"")</f>
      </c>
      <c r="L276" s="79">
        <f>IFERROR(VLOOKUP($A:$A,CS!$A:$AK,20,FALSE),"")</f>
      </c>
      <c r="M276" s="79">
        <f>IFERROR(VLOOKUP($A:$A,CS!$A:$AK,22,FALSE),"")</f>
      </c>
      <c r="N276" s="79">
        <f>IFERROR(VLOOKUP($A:$A,CS!$A:$AK,19,FALSE),"")</f>
      </c>
      <c r="O276" s="79">
        <f>IFERROR(VLOOKUP($A:$A,CS!$A:$AK,23,FALSE),"")</f>
      </c>
      <c r="P276" s="79">
        <f>IFERROR(VLOOKUP($A:$A,CS!$A:$AK,24,FALSE),"")</f>
      </c>
      <c r="Q276" s="79">
        <f>IFERROR(VLOOKUP($A:$A,CS!$A:$AK,25,FALSE),"")</f>
      </c>
      <c r="R276" s="79">
        <f>IFERROR(VLOOKUP($A:$A,CS!$A:$AK,26,FALSE),"")</f>
      </c>
      <c r="S276" s="79">
        <f>IFERROR(VLOOKUP($A:$A,CS!$A:$AK,29,FALSE),"")</f>
      </c>
      <c r="T276" s="79">
        <f>IFERROR(VLOOKUP($A:$A,CS!$A:$AK,33,FALSE),"")</f>
      </c>
      <c r="U276" s="79">
        <f>IFERROR(VLOOKUP($A:$A,CS!$A:$AK,34,FALSE),"")</f>
      </c>
      <c r="V276" s="79">
        <f>IFERROR(VLOOKUP($A:$A,CS!$A:$AK,35,FALSE),"")</f>
      </c>
      <c r="W276" s="79">
        <f>IFERROR(VLOOKUP($A:$A,CS!$A:$AK,36,FALSE),"")</f>
      </c>
    </row>
    <row r="277" ht="16.5" customHeight="1" spans="1:23" x14ac:dyDescent="0.25">
      <c r="A277" s="93"/>
      <c r="B277" s="79">
        <f>IFERROR(VLOOKUP($A:$A,CS!$A:$AK,3,FALSE),"")</f>
      </c>
      <c r="C277" s="79">
        <f>IFERROR(VLOOKUP($A:$A,CS!$A:$AK,4,FALSE),"")</f>
      </c>
      <c r="D277" s="79">
        <f>IFERROR(VLOOKUP($A:$A,CS!$A:$AK,5,FALSE),"")</f>
      </c>
      <c r="E277" s="79">
        <f>IFERROR(VLOOKUP($A:$A,CS!$A:$AK,7,FALSE),"")</f>
      </c>
      <c r="F277" s="79">
        <f>IFERROR(VLOOKUP($A:$A,CS!$A:$AK,8,FALSE),"")</f>
      </c>
      <c r="G277" s="79">
        <f>IFERROR(VLOOKUP($A:$A,CS!$A:$AK,10,FALSE),"")</f>
      </c>
      <c r="H277" s="79">
        <f>IFERROR(VLOOKUP($A:$A,CS!$A:$AK,14,FALSE),"")</f>
      </c>
      <c r="I277" s="79">
        <f>IFERROR(VLOOKUP($A:$A,CS!$A:$AK,15,FALSE),"")</f>
      </c>
      <c r="J277" s="79">
        <f>IFERROR(VLOOKUP($A:$A,CS!$A:$AK,18,FALSE),"")</f>
      </c>
      <c r="K277" s="79">
        <f>IFERROR(VLOOKUP($A:$A,CS!$A:$AK,19,FALSE),"")</f>
      </c>
      <c r="L277" s="79">
        <f>IFERROR(VLOOKUP($A:$A,CS!$A:$AK,20,FALSE),"")</f>
      </c>
      <c r="M277" s="79">
        <f>IFERROR(VLOOKUP($A:$A,CS!$A:$AK,22,FALSE),"")</f>
      </c>
      <c r="N277" s="79">
        <f>IFERROR(VLOOKUP($A:$A,CS!$A:$AK,19,FALSE),"")</f>
      </c>
      <c r="O277" s="79">
        <f>IFERROR(VLOOKUP($A:$A,CS!$A:$AK,23,FALSE),"")</f>
      </c>
      <c r="P277" s="79">
        <f>IFERROR(VLOOKUP($A:$A,CS!$A:$AK,24,FALSE),"")</f>
      </c>
      <c r="Q277" s="79">
        <f>IFERROR(VLOOKUP($A:$A,CS!$A:$AK,25,FALSE),"")</f>
      </c>
      <c r="R277" s="79">
        <f>IFERROR(VLOOKUP($A:$A,CS!$A:$AK,26,FALSE),"")</f>
      </c>
      <c r="S277" s="79">
        <f>IFERROR(VLOOKUP($A:$A,CS!$A:$AK,29,FALSE),"")</f>
      </c>
      <c r="T277" s="79">
        <f>IFERROR(VLOOKUP($A:$A,CS!$A:$AK,33,FALSE),"")</f>
      </c>
      <c r="U277" s="79">
        <f>IFERROR(VLOOKUP($A:$A,CS!$A:$AK,34,FALSE),"")</f>
      </c>
      <c r="V277" s="79">
        <f>IFERROR(VLOOKUP($A:$A,CS!$A:$AK,35,FALSE),"")</f>
      </c>
      <c r="W277" s="79">
        <f>IFERROR(VLOOKUP($A:$A,CS!$A:$AK,36,FALSE),"")</f>
      </c>
    </row>
    <row r="278" ht="16.5" customHeight="1" spans="1:23" x14ac:dyDescent="0.25">
      <c r="A278" s="93"/>
      <c r="B278" s="79">
        <f>IFERROR(VLOOKUP($A:$A,CS!$A:$AK,3,FALSE),"")</f>
      </c>
      <c r="C278" s="79">
        <f>IFERROR(VLOOKUP($A:$A,CS!$A:$AK,4,FALSE),"")</f>
      </c>
      <c r="D278" s="79">
        <f>IFERROR(VLOOKUP($A:$A,CS!$A:$AK,5,FALSE),"")</f>
      </c>
      <c r="E278" s="79">
        <f>IFERROR(VLOOKUP($A:$A,CS!$A:$AK,7,FALSE),"")</f>
      </c>
      <c r="F278" s="79">
        <f>IFERROR(VLOOKUP($A:$A,CS!$A:$AK,8,FALSE),"")</f>
      </c>
      <c r="G278" s="79">
        <f>IFERROR(VLOOKUP($A:$A,CS!$A:$AK,10,FALSE),"")</f>
      </c>
      <c r="H278" s="79">
        <f>IFERROR(VLOOKUP($A:$A,CS!$A:$AK,14,FALSE),"")</f>
      </c>
      <c r="I278" s="79">
        <f>IFERROR(VLOOKUP($A:$A,CS!$A:$AK,15,FALSE),"")</f>
      </c>
      <c r="J278" s="79">
        <f>IFERROR(VLOOKUP($A:$A,CS!$A:$AK,18,FALSE),"")</f>
      </c>
      <c r="K278" s="79">
        <f>IFERROR(VLOOKUP($A:$A,CS!$A:$AK,19,FALSE),"")</f>
      </c>
      <c r="L278" s="79">
        <f>IFERROR(VLOOKUP($A:$A,CS!$A:$AK,20,FALSE),"")</f>
      </c>
      <c r="M278" s="79">
        <f>IFERROR(VLOOKUP($A:$A,CS!$A:$AK,22,FALSE),"")</f>
      </c>
      <c r="N278" s="79">
        <f>IFERROR(VLOOKUP($A:$A,CS!$A:$AK,19,FALSE),"")</f>
      </c>
      <c r="O278" s="79">
        <f>IFERROR(VLOOKUP($A:$A,CS!$A:$AK,23,FALSE),"")</f>
      </c>
      <c r="P278" s="79">
        <f>IFERROR(VLOOKUP($A:$A,CS!$A:$AK,24,FALSE),"")</f>
      </c>
      <c r="Q278" s="79">
        <f>IFERROR(VLOOKUP($A:$A,CS!$A:$AK,25,FALSE),"")</f>
      </c>
      <c r="R278" s="79">
        <f>IFERROR(VLOOKUP($A:$A,CS!$A:$AK,26,FALSE),"")</f>
      </c>
      <c r="S278" s="79">
        <f>IFERROR(VLOOKUP($A:$A,CS!$A:$AK,29,FALSE),"")</f>
      </c>
      <c r="T278" s="79">
        <f>IFERROR(VLOOKUP($A:$A,CS!$A:$AK,33,FALSE),"")</f>
      </c>
      <c r="U278" s="79">
        <f>IFERROR(VLOOKUP($A:$A,CS!$A:$AK,34,FALSE),"")</f>
      </c>
      <c r="V278" s="79">
        <f>IFERROR(VLOOKUP($A:$A,CS!$A:$AK,35,FALSE),"")</f>
      </c>
      <c r="W278" s="79">
        <f>IFERROR(VLOOKUP($A:$A,CS!$A:$AK,36,FALSE),"")</f>
      </c>
    </row>
    <row r="279" ht="16.5" customHeight="1" spans="1:23" x14ac:dyDescent="0.25">
      <c r="A279" s="93"/>
      <c r="B279" s="79">
        <f>IFERROR(VLOOKUP($A:$A,CS!$A:$AK,3,FALSE),"")</f>
      </c>
      <c r="C279" s="79">
        <f>IFERROR(VLOOKUP($A:$A,CS!$A:$AK,4,FALSE),"")</f>
      </c>
      <c r="D279" s="79">
        <f>IFERROR(VLOOKUP($A:$A,CS!$A:$AK,5,FALSE),"")</f>
      </c>
      <c r="E279" s="79">
        <f>IFERROR(VLOOKUP($A:$A,CS!$A:$AK,7,FALSE),"")</f>
      </c>
      <c r="F279" s="79">
        <f>IFERROR(VLOOKUP($A:$A,CS!$A:$AK,8,FALSE),"")</f>
      </c>
      <c r="G279" s="79">
        <f>IFERROR(VLOOKUP($A:$A,CS!$A:$AK,10,FALSE),"")</f>
      </c>
      <c r="H279" s="79">
        <f>IFERROR(VLOOKUP($A:$A,CS!$A:$AK,14,FALSE),"")</f>
      </c>
      <c r="I279" s="79">
        <f>IFERROR(VLOOKUP($A:$A,CS!$A:$AK,15,FALSE),"")</f>
      </c>
      <c r="J279" s="79">
        <f>IFERROR(VLOOKUP($A:$A,CS!$A:$AK,18,FALSE),"")</f>
      </c>
      <c r="K279" s="79">
        <f>IFERROR(VLOOKUP($A:$A,CS!$A:$AK,19,FALSE),"")</f>
      </c>
      <c r="L279" s="79">
        <f>IFERROR(VLOOKUP($A:$A,CS!$A:$AK,20,FALSE),"")</f>
      </c>
      <c r="M279" s="79">
        <f>IFERROR(VLOOKUP($A:$A,CS!$A:$AK,22,FALSE),"")</f>
      </c>
      <c r="N279" s="79">
        <f>IFERROR(VLOOKUP($A:$A,CS!$A:$AK,19,FALSE),"")</f>
      </c>
      <c r="O279" s="79">
        <f>IFERROR(VLOOKUP($A:$A,CS!$A:$AK,23,FALSE),"")</f>
      </c>
      <c r="P279" s="79">
        <f>IFERROR(VLOOKUP($A:$A,CS!$A:$AK,24,FALSE),"")</f>
      </c>
      <c r="Q279" s="79">
        <f>IFERROR(VLOOKUP($A:$A,CS!$A:$AK,25,FALSE),"")</f>
      </c>
      <c r="R279" s="79">
        <f>IFERROR(VLOOKUP($A:$A,CS!$A:$AK,26,FALSE),"")</f>
      </c>
      <c r="S279" s="79">
        <f>IFERROR(VLOOKUP($A:$A,CS!$A:$AK,29,FALSE),"")</f>
      </c>
      <c r="T279" s="79">
        <f>IFERROR(VLOOKUP($A:$A,CS!$A:$AK,33,FALSE),"")</f>
      </c>
      <c r="U279" s="79">
        <f>IFERROR(VLOOKUP($A:$A,CS!$A:$AK,34,FALSE),"")</f>
      </c>
      <c r="V279" s="79">
        <f>IFERROR(VLOOKUP($A:$A,CS!$A:$AK,35,FALSE),"")</f>
      </c>
      <c r="W279" s="79">
        <f>IFERROR(VLOOKUP($A:$A,CS!$A:$AK,36,FALSE),"")</f>
      </c>
    </row>
    <row r="280" ht="16.5" customHeight="1" spans="1:23" x14ac:dyDescent="0.25">
      <c r="A280" s="93"/>
      <c r="B280" s="79">
        <f>IFERROR(VLOOKUP($A:$A,CS!$A:$AK,3,FALSE),"")</f>
      </c>
      <c r="C280" s="79">
        <f>IFERROR(VLOOKUP($A:$A,CS!$A:$AK,4,FALSE),"")</f>
      </c>
      <c r="D280" s="79">
        <f>IFERROR(VLOOKUP($A:$A,CS!$A:$AK,5,FALSE),"")</f>
      </c>
      <c r="E280" s="79">
        <f>IFERROR(VLOOKUP($A:$A,CS!$A:$AK,7,FALSE),"")</f>
      </c>
      <c r="F280" s="79">
        <f>IFERROR(VLOOKUP($A:$A,CS!$A:$AK,8,FALSE),"")</f>
      </c>
      <c r="G280" s="79">
        <f>IFERROR(VLOOKUP($A:$A,CS!$A:$AK,10,FALSE),"")</f>
      </c>
      <c r="H280" s="79">
        <f>IFERROR(VLOOKUP($A:$A,CS!$A:$AK,14,FALSE),"")</f>
      </c>
      <c r="I280" s="79">
        <f>IFERROR(VLOOKUP($A:$A,CS!$A:$AK,15,FALSE),"")</f>
      </c>
      <c r="J280" s="79">
        <f>IFERROR(VLOOKUP($A:$A,CS!$A:$AK,18,FALSE),"")</f>
      </c>
      <c r="K280" s="79">
        <f>IFERROR(VLOOKUP($A:$A,CS!$A:$AK,19,FALSE),"")</f>
      </c>
      <c r="L280" s="79">
        <f>IFERROR(VLOOKUP($A:$A,CS!$A:$AK,20,FALSE),"")</f>
      </c>
      <c r="M280" s="79">
        <f>IFERROR(VLOOKUP($A:$A,CS!$A:$AK,22,FALSE),"")</f>
      </c>
      <c r="N280" s="79">
        <f>IFERROR(VLOOKUP($A:$A,CS!$A:$AK,19,FALSE),"")</f>
      </c>
      <c r="O280" s="79">
        <f>IFERROR(VLOOKUP($A:$A,CS!$A:$AK,23,FALSE),"")</f>
      </c>
      <c r="P280" s="79">
        <f>IFERROR(VLOOKUP($A:$A,CS!$A:$AK,24,FALSE),"")</f>
      </c>
      <c r="Q280" s="79">
        <f>IFERROR(VLOOKUP($A:$A,CS!$A:$AK,25,FALSE),"")</f>
      </c>
      <c r="R280" s="79">
        <f>IFERROR(VLOOKUP($A:$A,CS!$A:$AK,26,FALSE),"")</f>
      </c>
      <c r="S280" s="79">
        <f>IFERROR(VLOOKUP($A:$A,CS!$A:$AK,29,FALSE),"")</f>
      </c>
      <c r="T280" s="79">
        <f>IFERROR(VLOOKUP($A:$A,CS!$A:$AK,33,FALSE),"")</f>
      </c>
      <c r="U280" s="79">
        <f>IFERROR(VLOOKUP($A:$A,CS!$A:$AK,34,FALSE),"")</f>
      </c>
      <c r="V280" s="79">
        <f>IFERROR(VLOOKUP($A:$A,CS!$A:$AK,35,FALSE),"")</f>
      </c>
      <c r="W280" s="79">
        <f>IFERROR(VLOOKUP($A:$A,CS!$A:$AK,36,FALSE),"")</f>
      </c>
    </row>
    <row r="281" ht="16.5" customHeight="1" spans="1:23" x14ac:dyDescent="0.25">
      <c r="A281" s="93"/>
      <c r="B281" s="79">
        <f>IFERROR(VLOOKUP($A:$A,CS!$A:$AK,3,FALSE),"")</f>
      </c>
      <c r="C281" s="79">
        <f>IFERROR(VLOOKUP($A:$A,CS!$A:$AK,4,FALSE),"")</f>
      </c>
      <c r="D281" s="79">
        <f>IFERROR(VLOOKUP($A:$A,CS!$A:$AK,5,FALSE),"")</f>
      </c>
      <c r="E281" s="79">
        <f>IFERROR(VLOOKUP($A:$A,CS!$A:$AK,7,FALSE),"")</f>
      </c>
      <c r="F281" s="79">
        <f>IFERROR(VLOOKUP($A:$A,CS!$A:$AK,8,FALSE),"")</f>
      </c>
      <c r="G281" s="79">
        <f>IFERROR(VLOOKUP($A:$A,CS!$A:$AK,10,FALSE),"")</f>
      </c>
      <c r="H281" s="79">
        <f>IFERROR(VLOOKUP($A:$A,CS!$A:$AK,14,FALSE),"")</f>
      </c>
      <c r="I281" s="79">
        <f>IFERROR(VLOOKUP($A:$A,CS!$A:$AK,15,FALSE),"")</f>
      </c>
      <c r="J281" s="79">
        <f>IFERROR(VLOOKUP($A:$A,CS!$A:$AK,18,FALSE),"")</f>
      </c>
      <c r="K281" s="79">
        <f>IFERROR(VLOOKUP($A:$A,CS!$A:$AK,19,FALSE),"")</f>
      </c>
      <c r="L281" s="79">
        <f>IFERROR(VLOOKUP($A:$A,CS!$A:$AK,20,FALSE),"")</f>
      </c>
      <c r="M281" s="79">
        <f>IFERROR(VLOOKUP($A:$A,CS!$A:$AK,22,FALSE),"")</f>
      </c>
      <c r="N281" s="79">
        <f>IFERROR(VLOOKUP($A:$A,CS!$A:$AK,19,FALSE),"")</f>
      </c>
      <c r="O281" s="79">
        <f>IFERROR(VLOOKUP($A:$A,CS!$A:$AK,23,FALSE),"")</f>
      </c>
      <c r="P281" s="79">
        <f>IFERROR(VLOOKUP($A:$A,CS!$A:$AK,24,FALSE),"")</f>
      </c>
      <c r="Q281" s="79">
        <f>IFERROR(VLOOKUP($A:$A,CS!$A:$AK,25,FALSE),"")</f>
      </c>
      <c r="R281" s="79">
        <f>IFERROR(VLOOKUP($A:$A,CS!$A:$AK,26,FALSE),"")</f>
      </c>
      <c r="S281" s="79">
        <f>IFERROR(VLOOKUP($A:$A,CS!$A:$AK,29,FALSE),"")</f>
      </c>
      <c r="T281" s="79">
        <f>IFERROR(VLOOKUP($A:$A,CS!$A:$AK,33,FALSE),"")</f>
      </c>
      <c r="U281" s="79">
        <f>IFERROR(VLOOKUP($A:$A,CS!$A:$AK,34,FALSE),"")</f>
      </c>
      <c r="V281" s="79">
        <f>IFERROR(VLOOKUP($A:$A,CS!$A:$AK,35,FALSE),"")</f>
      </c>
      <c r="W281" s="79">
        <f>IFERROR(VLOOKUP($A:$A,CS!$A:$AK,36,FALSE),"")</f>
      </c>
    </row>
    <row r="282" ht="16.5" customHeight="1" spans="1:23" x14ac:dyDescent="0.25">
      <c r="A282" s="93"/>
      <c r="B282" s="79">
        <f>IFERROR(VLOOKUP($A:$A,CS!$A:$AK,3,FALSE),"")</f>
      </c>
      <c r="C282" s="79">
        <f>IFERROR(VLOOKUP($A:$A,CS!$A:$AK,4,FALSE),"")</f>
      </c>
      <c r="D282" s="79">
        <f>IFERROR(VLOOKUP($A:$A,CS!$A:$AK,5,FALSE),"")</f>
      </c>
      <c r="E282" s="79">
        <f>IFERROR(VLOOKUP($A:$A,CS!$A:$AK,7,FALSE),"")</f>
      </c>
      <c r="F282" s="79">
        <f>IFERROR(VLOOKUP($A:$A,CS!$A:$AK,8,FALSE),"")</f>
      </c>
      <c r="G282" s="79">
        <f>IFERROR(VLOOKUP($A:$A,CS!$A:$AK,10,FALSE),"")</f>
      </c>
      <c r="H282" s="79">
        <f>IFERROR(VLOOKUP($A:$A,CS!$A:$AK,14,FALSE),"")</f>
      </c>
      <c r="I282" s="79">
        <f>IFERROR(VLOOKUP($A:$A,CS!$A:$AK,15,FALSE),"")</f>
      </c>
      <c r="J282" s="79">
        <f>IFERROR(VLOOKUP($A:$A,CS!$A:$AK,18,FALSE),"")</f>
      </c>
      <c r="K282" s="79">
        <f>IFERROR(VLOOKUP($A:$A,CS!$A:$AK,19,FALSE),"")</f>
      </c>
      <c r="L282" s="79">
        <f>IFERROR(VLOOKUP($A:$A,CS!$A:$AK,20,FALSE),"")</f>
      </c>
      <c r="M282" s="79">
        <f>IFERROR(VLOOKUP($A:$A,CS!$A:$AK,22,FALSE),"")</f>
      </c>
      <c r="N282" s="79">
        <f>IFERROR(VLOOKUP($A:$A,CS!$A:$AK,19,FALSE),"")</f>
      </c>
      <c r="O282" s="79">
        <f>IFERROR(VLOOKUP($A:$A,CS!$A:$AK,23,FALSE),"")</f>
      </c>
      <c r="P282" s="79">
        <f>IFERROR(VLOOKUP($A:$A,CS!$A:$AK,24,FALSE),"")</f>
      </c>
      <c r="Q282" s="79">
        <f>IFERROR(VLOOKUP($A:$A,CS!$A:$AK,25,FALSE),"")</f>
      </c>
      <c r="R282" s="79">
        <f>IFERROR(VLOOKUP($A:$A,CS!$A:$AK,26,FALSE),"")</f>
      </c>
      <c r="S282" s="79">
        <f>IFERROR(VLOOKUP($A:$A,CS!$A:$AK,29,FALSE),"")</f>
      </c>
      <c r="T282" s="79">
        <f>IFERROR(VLOOKUP($A:$A,CS!$A:$AK,33,FALSE),"")</f>
      </c>
      <c r="U282" s="79">
        <f>IFERROR(VLOOKUP($A:$A,CS!$A:$AK,34,FALSE),"")</f>
      </c>
      <c r="V282" s="79">
        <f>IFERROR(VLOOKUP($A:$A,CS!$A:$AK,35,FALSE),"")</f>
      </c>
      <c r="W282" s="79">
        <f>IFERROR(VLOOKUP($A:$A,CS!$A:$AK,36,FALSE),"")</f>
      </c>
    </row>
    <row r="283" ht="16.5" customHeight="1" spans="1:23" x14ac:dyDescent="0.25">
      <c r="A283" s="93"/>
      <c r="B283" s="79">
        <f>IFERROR(VLOOKUP($A:$A,CS!$A:$AK,3,FALSE),"")</f>
      </c>
      <c r="C283" s="79">
        <f>IFERROR(VLOOKUP($A:$A,CS!$A:$AK,4,FALSE),"")</f>
      </c>
      <c r="D283" s="79">
        <f>IFERROR(VLOOKUP($A:$A,CS!$A:$AK,5,FALSE),"")</f>
      </c>
      <c r="E283" s="79">
        <f>IFERROR(VLOOKUP($A:$A,CS!$A:$AK,7,FALSE),"")</f>
      </c>
      <c r="F283" s="79">
        <f>IFERROR(VLOOKUP($A:$A,CS!$A:$AK,8,FALSE),"")</f>
      </c>
      <c r="G283" s="79">
        <f>IFERROR(VLOOKUP($A:$A,CS!$A:$AK,10,FALSE),"")</f>
      </c>
      <c r="H283" s="79">
        <f>IFERROR(VLOOKUP($A:$A,CS!$A:$AK,14,FALSE),"")</f>
      </c>
      <c r="I283" s="79">
        <f>IFERROR(VLOOKUP($A:$A,CS!$A:$AK,15,FALSE),"")</f>
      </c>
      <c r="J283" s="79">
        <f>IFERROR(VLOOKUP($A:$A,CS!$A:$AK,18,FALSE),"")</f>
      </c>
      <c r="K283" s="79">
        <f>IFERROR(VLOOKUP($A:$A,CS!$A:$AK,19,FALSE),"")</f>
      </c>
      <c r="L283" s="79">
        <f>IFERROR(VLOOKUP($A:$A,CS!$A:$AK,20,FALSE),"")</f>
      </c>
      <c r="M283" s="79">
        <f>IFERROR(VLOOKUP($A:$A,CS!$A:$AK,22,FALSE),"")</f>
      </c>
      <c r="N283" s="79">
        <f>IFERROR(VLOOKUP($A:$A,CS!$A:$AK,19,FALSE),"")</f>
      </c>
      <c r="O283" s="79">
        <f>IFERROR(VLOOKUP($A:$A,CS!$A:$AK,23,FALSE),"")</f>
      </c>
      <c r="P283" s="79">
        <f>IFERROR(VLOOKUP($A:$A,CS!$A:$AK,24,FALSE),"")</f>
      </c>
      <c r="Q283" s="79">
        <f>IFERROR(VLOOKUP($A:$A,CS!$A:$AK,25,FALSE),"")</f>
      </c>
      <c r="R283" s="79">
        <f>IFERROR(VLOOKUP($A:$A,CS!$A:$AK,26,FALSE),"")</f>
      </c>
      <c r="S283" s="79">
        <f>IFERROR(VLOOKUP($A:$A,CS!$A:$AK,29,FALSE),"")</f>
      </c>
      <c r="T283" s="79">
        <f>IFERROR(VLOOKUP($A:$A,CS!$A:$AK,33,FALSE),"")</f>
      </c>
      <c r="U283" s="79">
        <f>IFERROR(VLOOKUP($A:$A,CS!$A:$AK,34,FALSE),"")</f>
      </c>
      <c r="V283" s="79">
        <f>IFERROR(VLOOKUP($A:$A,CS!$A:$AK,35,FALSE),"")</f>
      </c>
      <c r="W283" s="79">
        <f>IFERROR(VLOOKUP($A:$A,CS!$A:$AK,36,FALSE),"")</f>
      </c>
    </row>
    <row r="284" ht="16.5" customHeight="1" spans="1:23" x14ac:dyDescent="0.25">
      <c r="A284" s="93"/>
      <c r="B284" s="79">
        <f>IFERROR(VLOOKUP($A:$A,CS!$A:$AK,3,FALSE),"")</f>
      </c>
      <c r="C284" s="79">
        <f>IFERROR(VLOOKUP($A:$A,CS!$A:$AK,4,FALSE),"")</f>
      </c>
      <c r="D284" s="79">
        <f>IFERROR(VLOOKUP($A:$A,CS!$A:$AK,5,FALSE),"")</f>
      </c>
      <c r="E284" s="79">
        <f>IFERROR(VLOOKUP($A:$A,CS!$A:$AK,7,FALSE),"")</f>
      </c>
      <c r="F284" s="79">
        <f>IFERROR(VLOOKUP($A:$A,CS!$A:$AK,8,FALSE),"")</f>
      </c>
      <c r="G284" s="79">
        <f>IFERROR(VLOOKUP($A:$A,CS!$A:$AK,10,FALSE),"")</f>
      </c>
      <c r="H284" s="79">
        <f>IFERROR(VLOOKUP($A:$A,CS!$A:$AK,14,FALSE),"")</f>
      </c>
      <c r="I284" s="79">
        <f>IFERROR(VLOOKUP($A:$A,CS!$A:$AK,15,FALSE),"")</f>
      </c>
      <c r="J284" s="79">
        <f>IFERROR(VLOOKUP($A:$A,CS!$A:$AK,18,FALSE),"")</f>
      </c>
      <c r="K284" s="79">
        <f>IFERROR(VLOOKUP($A:$A,CS!$A:$AK,19,FALSE),"")</f>
      </c>
      <c r="L284" s="79">
        <f>IFERROR(VLOOKUP($A:$A,CS!$A:$AK,20,FALSE),"")</f>
      </c>
      <c r="M284" s="79">
        <f>IFERROR(VLOOKUP($A:$A,CS!$A:$AK,22,FALSE),"")</f>
      </c>
      <c r="N284" s="79">
        <f>IFERROR(VLOOKUP($A:$A,CS!$A:$AK,19,FALSE),"")</f>
      </c>
      <c r="O284" s="79">
        <f>IFERROR(VLOOKUP($A:$A,CS!$A:$AK,23,FALSE),"")</f>
      </c>
      <c r="P284" s="79">
        <f>IFERROR(VLOOKUP($A:$A,CS!$A:$AK,24,FALSE),"")</f>
      </c>
      <c r="Q284" s="79">
        <f>IFERROR(VLOOKUP($A:$A,CS!$A:$AK,25,FALSE),"")</f>
      </c>
      <c r="R284" s="79">
        <f>IFERROR(VLOOKUP($A:$A,CS!$A:$AK,26,FALSE),"")</f>
      </c>
      <c r="S284" s="79">
        <f>IFERROR(VLOOKUP($A:$A,CS!$A:$AK,29,FALSE),"")</f>
      </c>
      <c r="T284" s="79">
        <f>IFERROR(VLOOKUP($A:$A,CS!$A:$AK,33,FALSE),"")</f>
      </c>
      <c r="U284" s="79">
        <f>IFERROR(VLOOKUP($A:$A,CS!$A:$AK,34,FALSE),"")</f>
      </c>
      <c r="V284" s="79">
        <f>IFERROR(VLOOKUP($A:$A,CS!$A:$AK,35,FALSE),"")</f>
      </c>
      <c r="W284" s="79">
        <f>IFERROR(VLOOKUP($A:$A,CS!$A:$AK,36,FALSE),"")</f>
      </c>
    </row>
    <row r="285" ht="16.5" customHeight="1" spans="1:23" x14ac:dyDescent="0.25">
      <c r="A285" s="93"/>
      <c r="B285" s="79">
        <f>IFERROR(VLOOKUP($A:$A,CS!$A:$AK,3,FALSE),"")</f>
      </c>
      <c r="C285" s="79">
        <f>IFERROR(VLOOKUP($A:$A,CS!$A:$AK,4,FALSE),"")</f>
      </c>
      <c r="D285" s="79">
        <f>IFERROR(VLOOKUP($A:$A,CS!$A:$AK,5,FALSE),"")</f>
      </c>
      <c r="E285" s="79">
        <f>IFERROR(VLOOKUP($A:$A,CS!$A:$AK,7,FALSE),"")</f>
      </c>
      <c r="F285" s="79">
        <f>IFERROR(VLOOKUP($A:$A,CS!$A:$AK,8,FALSE),"")</f>
      </c>
      <c r="G285" s="79">
        <f>IFERROR(VLOOKUP($A:$A,CS!$A:$AK,10,FALSE),"")</f>
      </c>
      <c r="H285" s="79">
        <f>IFERROR(VLOOKUP($A:$A,CS!$A:$AK,14,FALSE),"")</f>
      </c>
      <c r="I285" s="79">
        <f>IFERROR(VLOOKUP($A:$A,CS!$A:$AK,15,FALSE),"")</f>
      </c>
      <c r="J285" s="79">
        <f>IFERROR(VLOOKUP($A:$A,CS!$A:$AK,18,FALSE),"")</f>
      </c>
      <c r="K285" s="79">
        <f>IFERROR(VLOOKUP($A:$A,CS!$A:$AK,19,FALSE),"")</f>
      </c>
      <c r="L285" s="79">
        <f>IFERROR(VLOOKUP($A:$A,CS!$A:$AK,20,FALSE),"")</f>
      </c>
      <c r="M285" s="79">
        <f>IFERROR(VLOOKUP($A:$A,CS!$A:$AK,22,FALSE),"")</f>
      </c>
      <c r="N285" s="79">
        <f>IFERROR(VLOOKUP($A:$A,CS!$A:$AK,19,FALSE),"")</f>
      </c>
      <c r="O285" s="79">
        <f>IFERROR(VLOOKUP($A:$A,CS!$A:$AK,23,FALSE),"")</f>
      </c>
      <c r="P285" s="79">
        <f>IFERROR(VLOOKUP($A:$A,CS!$A:$AK,24,FALSE),"")</f>
      </c>
      <c r="Q285" s="79">
        <f>IFERROR(VLOOKUP($A:$A,CS!$A:$AK,25,FALSE),"")</f>
      </c>
      <c r="R285" s="79">
        <f>IFERROR(VLOOKUP($A:$A,CS!$A:$AK,26,FALSE),"")</f>
      </c>
      <c r="S285" s="79">
        <f>IFERROR(VLOOKUP($A:$A,CS!$A:$AK,29,FALSE),"")</f>
      </c>
      <c r="T285" s="79">
        <f>IFERROR(VLOOKUP($A:$A,CS!$A:$AK,33,FALSE),"")</f>
      </c>
      <c r="U285" s="79">
        <f>IFERROR(VLOOKUP($A:$A,CS!$A:$AK,34,FALSE),"")</f>
      </c>
      <c r="V285" s="79">
        <f>IFERROR(VLOOKUP($A:$A,CS!$A:$AK,35,FALSE),"")</f>
      </c>
      <c r="W285" s="79">
        <f>IFERROR(VLOOKUP($A:$A,CS!$A:$AK,36,FALSE),"")</f>
      </c>
    </row>
    <row r="286" ht="16.5" customHeight="1" spans="1:23" x14ac:dyDescent="0.25">
      <c r="A286" s="93"/>
      <c r="B286" s="79">
        <f>IFERROR(VLOOKUP($A:$A,CS!$A:$AK,3,FALSE),"")</f>
      </c>
      <c r="C286" s="79">
        <f>IFERROR(VLOOKUP($A:$A,CS!$A:$AK,4,FALSE),"")</f>
      </c>
      <c r="D286" s="79">
        <f>IFERROR(VLOOKUP($A:$A,CS!$A:$AK,5,FALSE),"")</f>
      </c>
      <c r="E286" s="79">
        <f>IFERROR(VLOOKUP($A:$A,CS!$A:$AK,7,FALSE),"")</f>
      </c>
      <c r="F286" s="79">
        <f>IFERROR(VLOOKUP($A:$A,CS!$A:$AK,8,FALSE),"")</f>
      </c>
      <c r="G286" s="79">
        <f>IFERROR(VLOOKUP($A:$A,CS!$A:$AK,10,FALSE),"")</f>
      </c>
      <c r="H286" s="79">
        <f>IFERROR(VLOOKUP($A:$A,CS!$A:$AK,14,FALSE),"")</f>
      </c>
      <c r="I286" s="79">
        <f>IFERROR(VLOOKUP($A:$A,CS!$A:$AK,15,FALSE),"")</f>
      </c>
      <c r="J286" s="79">
        <f>IFERROR(VLOOKUP($A:$A,CS!$A:$AK,18,FALSE),"")</f>
      </c>
      <c r="K286" s="79">
        <f>IFERROR(VLOOKUP($A:$A,CS!$A:$AK,19,FALSE),"")</f>
      </c>
      <c r="L286" s="79">
        <f>IFERROR(VLOOKUP($A:$A,CS!$A:$AK,20,FALSE),"")</f>
      </c>
      <c r="M286" s="79">
        <f>IFERROR(VLOOKUP($A:$A,CS!$A:$AK,22,FALSE),"")</f>
      </c>
      <c r="N286" s="79">
        <f>IFERROR(VLOOKUP($A:$A,CS!$A:$AK,19,FALSE),"")</f>
      </c>
      <c r="O286" s="79">
        <f>IFERROR(VLOOKUP($A:$A,CS!$A:$AK,23,FALSE),"")</f>
      </c>
      <c r="P286" s="79">
        <f>IFERROR(VLOOKUP($A:$A,CS!$A:$AK,24,FALSE),"")</f>
      </c>
      <c r="Q286" s="79">
        <f>IFERROR(VLOOKUP($A:$A,CS!$A:$AK,25,FALSE),"")</f>
      </c>
      <c r="R286" s="79">
        <f>IFERROR(VLOOKUP($A:$A,CS!$A:$AK,26,FALSE),"")</f>
      </c>
      <c r="S286" s="79">
        <f>IFERROR(VLOOKUP($A:$A,CS!$A:$AK,29,FALSE),"")</f>
      </c>
      <c r="T286" s="79">
        <f>IFERROR(VLOOKUP($A:$A,CS!$A:$AK,33,FALSE),"")</f>
      </c>
      <c r="U286" s="79">
        <f>IFERROR(VLOOKUP($A:$A,CS!$A:$AK,34,FALSE),"")</f>
      </c>
      <c r="V286" s="79">
        <f>IFERROR(VLOOKUP($A:$A,CS!$A:$AK,35,FALSE),"")</f>
      </c>
      <c r="W286" s="79">
        <f>IFERROR(VLOOKUP($A:$A,CS!$A:$AK,36,FALSE),"")</f>
      </c>
    </row>
    <row r="287" ht="16.5" customHeight="1" spans="1:23" x14ac:dyDescent="0.25">
      <c r="A287" s="93"/>
      <c r="B287" s="79">
        <f>IFERROR(VLOOKUP($A:$A,CS!$A:$AK,3,FALSE),"")</f>
      </c>
      <c r="C287" s="79">
        <f>IFERROR(VLOOKUP($A:$A,CS!$A:$AK,4,FALSE),"")</f>
      </c>
      <c r="D287" s="79">
        <f>IFERROR(VLOOKUP($A:$A,CS!$A:$AK,5,FALSE),"")</f>
      </c>
      <c r="E287" s="79">
        <f>IFERROR(VLOOKUP($A:$A,CS!$A:$AK,7,FALSE),"")</f>
      </c>
      <c r="F287" s="79">
        <f>IFERROR(VLOOKUP($A:$A,CS!$A:$AK,8,FALSE),"")</f>
      </c>
      <c r="G287" s="79">
        <f>IFERROR(VLOOKUP($A:$A,CS!$A:$AK,10,FALSE),"")</f>
      </c>
      <c r="H287" s="79">
        <f>IFERROR(VLOOKUP($A:$A,CS!$A:$AK,14,FALSE),"")</f>
      </c>
      <c r="I287" s="79">
        <f>IFERROR(VLOOKUP($A:$A,CS!$A:$AK,15,FALSE),"")</f>
      </c>
      <c r="J287" s="79">
        <f>IFERROR(VLOOKUP($A:$A,CS!$A:$AK,18,FALSE),"")</f>
      </c>
      <c r="K287" s="79">
        <f>IFERROR(VLOOKUP($A:$A,CS!$A:$AK,19,FALSE),"")</f>
      </c>
      <c r="L287" s="79">
        <f>IFERROR(VLOOKUP($A:$A,CS!$A:$AK,20,FALSE),"")</f>
      </c>
      <c r="M287" s="79">
        <f>IFERROR(VLOOKUP($A:$A,CS!$A:$AK,22,FALSE),"")</f>
      </c>
      <c r="N287" s="79">
        <f>IFERROR(VLOOKUP($A:$A,CS!$A:$AK,19,FALSE),"")</f>
      </c>
      <c r="O287" s="79">
        <f>IFERROR(VLOOKUP($A:$A,CS!$A:$AK,23,FALSE),"")</f>
      </c>
      <c r="P287" s="79">
        <f>IFERROR(VLOOKUP($A:$A,CS!$A:$AK,24,FALSE),"")</f>
      </c>
      <c r="Q287" s="79">
        <f>IFERROR(VLOOKUP($A:$A,CS!$A:$AK,25,FALSE),"")</f>
      </c>
      <c r="R287" s="79">
        <f>IFERROR(VLOOKUP($A:$A,CS!$A:$AK,26,FALSE),"")</f>
      </c>
      <c r="S287" s="79">
        <f>IFERROR(VLOOKUP($A:$A,CS!$A:$AK,29,FALSE),"")</f>
      </c>
      <c r="T287" s="79">
        <f>IFERROR(VLOOKUP($A:$A,CS!$A:$AK,33,FALSE),"")</f>
      </c>
      <c r="U287" s="79">
        <f>IFERROR(VLOOKUP($A:$A,CS!$A:$AK,34,FALSE),"")</f>
      </c>
      <c r="V287" s="79">
        <f>IFERROR(VLOOKUP($A:$A,CS!$A:$AK,35,FALSE),"")</f>
      </c>
      <c r="W287" s="79">
        <f>IFERROR(VLOOKUP($A:$A,CS!$A:$AK,36,FALSE),"")</f>
      </c>
    </row>
    <row r="288" ht="16.5" customHeight="1" spans="1:23" x14ac:dyDescent="0.25">
      <c r="A288" s="93"/>
      <c r="B288" s="79">
        <f>IFERROR(VLOOKUP($A:$A,CS!$A:$AK,3,FALSE),"")</f>
      </c>
      <c r="C288" s="79">
        <f>IFERROR(VLOOKUP($A:$A,CS!$A:$AK,4,FALSE),"")</f>
      </c>
      <c r="D288" s="79">
        <f>IFERROR(VLOOKUP($A:$A,CS!$A:$AK,5,FALSE),"")</f>
      </c>
      <c r="E288" s="79">
        <f>IFERROR(VLOOKUP($A:$A,CS!$A:$AK,7,FALSE),"")</f>
      </c>
      <c r="F288" s="79">
        <f>IFERROR(VLOOKUP($A:$A,CS!$A:$AK,8,FALSE),"")</f>
      </c>
      <c r="G288" s="79">
        <f>IFERROR(VLOOKUP($A:$A,CS!$A:$AK,10,FALSE),"")</f>
      </c>
      <c r="H288" s="79">
        <f>IFERROR(VLOOKUP($A:$A,CS!$A:$AK,14,FALSE),"")</f>
      </c>
      <c r="I288" s="79">
        <f>IFERROR(VLOOKUP($A:$A,CS!$A:$AK,15,FALSE),"")</f>
      </c>
      <c r="J288" s="79">
        <f>IFERROR(VLOOKUP($A:$A,CS!$A:$AK,18,FALSE),"")</f>
      </c>
      <c r="K288" s="79">
        <f>IFERROR(VLOOKUP($A:$A,CS!$A:$AK,19,FALSE),"")</f>
      </c>
      <c r="L288" s="79">
        <f>IFERROR(VLOOKUP($A:$A,CS!$A:$AK,20,FALSE),"")</f>
      </c>
      <c r="M288" s="79">
        <f>IFERROR(VLOOKUP($A:$A,CS!$A:$AK,22,FALSE),"")</f>
      </c>
      <c r="N288" s="79">
        <f>IFERROR(VLOOKUP($A:$A,CS!$A:$AK,19,FALSE),"")</f>
      </c>
      <c r="O288" s="79">
        <f>IFERROR(VLOOKUP($A:$A,CS!$A:$AK,23,FALSE),"")</f>
      </c>
      <c r="P288" s="79">
        <f>IFERROR(VLOOKUP($A:$A,CS!$A:$AK,24,FALSE),"")</f>
      </c>
      <c r="Q288" s="79">
        <f>IFERROR(VLOOKUP($A:$A,CS!$A:$AK,25,FALSE),"")</f>
      </c>
      <c r="R288" s="79">
        <f>IFERROR(VLOOKUP($A:$A,CS!$A:$AK,26,FALSE),"")</f>
      </c>
      <c r="S288" s="79">
        <f>IFERROR(VLOOKUP($A:$A,CS!$A:$AK,29,FALSE),"")</f>
      </c>
      <c r="T288" s="79">
        <f>IFERROR(VLOOKUP($A:$A,CS!$A:$AK,33,FALSE),"")</f>
      </c>
      <c r="U288" s="79">
        <f>IFERROR(VLOOKUP($A:$A,CS!$A:$AK,34,FALSE),"")</f>
      </c>
      <c r="V288" s="79">
        <f>IFERROR(VLOOKUP($A:$A,CS!$A:$AK,35,FALSE),"")</f>
      </c>
      <c r="W288" s="79">
        <f>IFERROR(VLOOKUP($A:$A,CS!$A:$AK,36,FALSE),"")</f>
      </c>
    </row>
    <row r="289" ht="16.5" customHeight="1" spans="1:23" x14ac:dyDescent="0.25">
      <c r="A289" s="93"/>
      <c r="B289" s="79">
        <f>IFERROR(VLOOKUP($A:$A,CS!$A:$AK,3,FALSE),"")</f>
      </c>
      <c r="C289" s="79">
        <f>IFERROR(VLOOKUP($A:$A,CS!$A:$AK,4,FALSE),"")</f>
      </c>
      <c r="D289" s="79">
        <f>IFERROR(VLOOKUP($A:$A,CS!$A:$AK,5,FALSE),"")</f>
      </c>
      <c r="E289" s="79">
        <f>IFERROR(VLOOKUP($A:$A,CS!$A:$AK,7,FALSE),"")</f>
      </c>
      <c r="F289" s="79">
        <f>IFERROR(VLOOKUP($A:$A,CS!$A:$AK,8,FALSE),"")</f>
      </c>
      <c r="G289" s="79">
        <f>IFERROR(VLOOKUP($A:$A,CS!$A:$AK,10,FALSE),"")</f>
      </c>
      <c r="H289" s="79">
        <f>IFERROR(VLOOKUP($A:$A,CS!$A:$AK,14,FALSE),"")</f>
      </c>
      <c r="I289" s="79">
        <f>IFERROR(VLOOKUP($A:$A,CS!$A:$AK,15,FALSE),"")</f>
      </c>
      <c r="J289" s="79">
        <f>IFERROR(VLOOKUP($A:$A,CS!$A:$AK,18,FALSE),"")</f>
      </c>
      <c r="K289" s="79">
        <f>IFERROR(VLOOKUP($A:$A,CS!$A:$AK,19,FALSE),"")</f>
      </c>
      <c r="L289" s="79">
        <f>IFERROR(VLOOKUP($A:$A,CS!$A:$AK,20,FALSE),"")</f>
      </c>
      <c r="M289" s="79">
        <f>IFERROR(VLOOKUP($A:$A,CS!$A:$AK,22,FALSE),"")</f>
      </c>
      <c r="N289" s="79">
        <f>IFERROR(VLOOKUP($A:$A,CS!$A:$AK,19,FALSE),"")</f>
      </c>
      <c r="O289" s="79">
        <f>IFERROR(VLOOKUP($A:$A,CS!$A:$AK,23,FALSE),"")</f>
      </c>
      <c r="P289" s="79">
        <f>IFERROR(VLOOKUP($A:$A,CS!$A:$AK,24,FALSE),"")</f>
      </c>
      <c r="Q289" s="79">
        <f>IFERROR(VLOOKUP($A:$A,CS!$A:$AK,25,FALSE),"")</f>
      </c>
      <c r="R289" s="79">
        <f>IFERROR(VLOOKUP($A:$A,CS!$A:$AK,26,FALSE),"")</f>
      </c>
      <c r="S289" s="79">
        <f>IFERROR(VLOOKUP($A:$A,CS!$A:$AK,29,FALSE),"")</f>
      </c>
      <c r="T289" s="79">
        <f>IFERROR(VLOOKUP($A:$A,CS!$A:$AK,33,FALSE),"")</f>
      </c>
      <c r="U289" s="79">
        <f>IFERROR(VLOOKUP($A:$A,CS!$A:$AK,34,FALSE),"")</f>
      </c>
      <c r="V289" s="79">
        <f>IFERROR(VLOOKUP($A:$A,CS!$A:$AK,35,FALSE),"")</f>
      </c>
      <c r="W289" s="79">
        <f>IFERROR(VLOOKUP($A:$A,CS!$A:$AK,36,FALSE),"")</f>
      </c>
    </row>
    <row r="290" ht="16.5" customHeight="1" spans="1:23" x14ac:dyDescent="0.25">
      <c r="A290" s="93"/>
      <c r="B290" s="79">
        <f>IFERROR(VLOOKUP($A:$A,CS!$A:$AK,3,FALSE),"")</f>
      </c>
      <c r="C290" s="79">
        <f>IFERROR(VLOOKUP($A:$A,CS!$A:$AK,4,FALSE),"")</f>
      </c>
      <c r="D290" s="79">
        <f>IFERROR(VLOOKUP($A:$A,CS!$A:$AK,5,FALSE),"")</f>
      </c>
      <c r="E290" s="79">
        <f>IFERROR(VLOOKUP($A:$A,CS!$A:$AK,7,FALSE),"")</f>
      </c>
      <c r="F290" s="79">
        <f>IFERROR(VLOOKUP($A:$A,CS!$A:$AK,8,FALSE),"")</f>
      </c>
      <c r="G290" s="79">
        <f>IFERROR(VLOOKUP($A:$A,CS!$A:$AK,10,FALSE),"")</f>
      </c>
      <c r="H290" s="79">
        <f>IFERROR(VLOOKUP($A:$A,CS!$A:$AK,14,FALSE),"")</f>
      </c>
      <c r="I290" s="79">
        <f>IFERROR(VLOOKUP($A:$A,CS!$A:$AK,15,FALSE),"")</f>
      </c>
      <c r="J290" s="79">
        <f>IFERROR(VLOOKUP($A:$A,CS!$A:$AK,18,FALSE),"")</f>
      </c>
      <c r="K290" s="79">
        <f>IFERROR(VLOOKUP($A:$A,CS!$A:$AK,19,FALSE),"")</f>
      </c>
      <c r="L290" s="79">
        <f>IFERROR(VLOOKUP($A:$A,CS!$A:$AK,20,FALSE),"")</f>
      </c>
      <c r="M290" s="79">
        <f>IFERROR(VLOOKUP($A:$A,CS!$A:$AK,22,FALSE),"")</f>
      </c>
      <c r="N290" s="79">
        <f>IFERROR(VLOOKUP($A:$A,CS!$A:$AK,19,FALSE),"")</f>
      </c>
      <c r="O290" s="79">
        <f>IFERROR(VLOOKUP($A:$A,CS!$A:$AK,23,FALSE),"")</f>
      </c>
      <c r="P290" s="79">
        <f>IFERROR(VLOOKUP($A:$A,CS!$A:$AK,24,FALSE),"")</f>
      </c>
      <c r="Q290" s="79">
        <f>IFERROR(VLOOKUP($A:$A,CS!$A:$AK,25,FALSE),"")</f>
      </c>
      <c r="R290" s="79">
        <f>IFERROR(VLOOKUP($A:$A,CS!$A:$AK,26,FALSE),"")</f>
      </c>
      <c r="S290" s="79">
        <f>IFERROR(VLOOKUP($A:$A,CS!$A:$AK,29,FALSE),"")</f>
      </c>
      <c r="T290" s="79">
        <f>IFERROR(VLOOKUP($A:$A,CS!$A:$AK,33,FALSE),"")</f>
      </c>
      <c r="U290" s="79">
        <f>IFERROR(VLOOKUP($A:$A,CS!$A:$AK,34,FALSE),"")</f>
      </c>
      <c r="V290" s="79">
        <f>IFERROR(VLOOKUP($A:$A,CS!$A:$AK,35,FALSE),"")</f>
      </c>
      <c r="W290" s="79">
        <f>IFERROR(VLOOKUP($A:$A,CS!$A:$AK,36,FALSE),"")</f>
      </c>
    </row>
    <row r="291" ht="16.5" customHeight="1" spans="1:23" x14ac:dyDescent="0.25">
      <c r="A291" s="93"/>
      <c r="B291" s="79">
        <f>IFERROR(VLOOKUP($A:$A,CS!$A:$AK,3,FALSE),"")</f>
      </c>
      <c r="C291" s="79">
        <f>IFERROR(VLOOKUP($A:$A,CS!$A:$AK,4,FALSE),"")</f>
      </c>
      <c r="D291" s="79">
        <f>IFERROR(VLOOKUP($A:$A,CS!$A:$AK,5,FALSE),"")</f>
      </c>
      <c r="E291" s="79">
        <f>IFERROR(VLOOKUP($A:$A,CS!$A:$AK,7,FALSE),"")</f>
      </c>
      <c r="F291" s="79">
        <f>IFERROR(VLOOKUP($A:$A,CS!$A:$AK,8,FALSE),"")</f>
      </c>
      <c r="G291" s="79">
        <f>IFERROR(VLOOKUP($A:$A,CS!$A:$AK,10,FALSE),"")</f>
      </c>
      <c r="H291" s="79">
        <f>IFERROR(VLOOKUP($A:$A,CS!$A:$AK,14,FALSE),"")</f>
      </c>
      <c r="I291" s="79">
        <f>IFERROR(VLOOKUP($A:$A,CS!$A:$AK,15,FALSE),"")</f>
      </c>
      <c r="J291" s="79">
        <f>IFERROR(VLOOKUP($A:$A,CS!$A:$AK,18,FALSE),"")</f>
      </c>
      <c r="K291" s="79">
        <f>IFERROR(VLOOKUP($A:$A,CS!$A:$AK,19,FALSE),"")</f>
      </c>
      <c r="L291" s="79">
        <f>IFERROR(VLOOKUP($A:$A,CS!$A:$AK,20,FALSE),"")</f>
      </c>
      <c r="M291" s="79">
        <f>IFERROR(VLOOKUP($A:$A,CS!$A:$AK,22,FALSE),"")</f>
      </c>
      <c r="N291" s="79">
        <f>IFERROR(VLOOKUP($A:$A,CS!$A:$AK,19,FALSE),"")</f>
      </c>
      <c r="O291" s="79">
        <f>IFERROR(VLOOKUP($A:$A,CS!$A:$AK,23,FALSE),"")</f>
      </c>
      <c r="P291" s="79">
        <f>IFERROR(VLOOKUP($A:$A,CS!$A:$AK,24,FALSE),"")</f>
      </c>
      <c r="Q291" s="79">
        <f>IFERROR(VLOOKUP($A:$A,CS!$A:$AK,25,FALSE),"")</f>
      </c>
      <c r="R291" s="79">
        <f>IFERROR(VLOOKUP($A:$A,CS!$A:$AK,26,FALSE),"")</f>
      </c>
      <c r="S291" s="79">
        <f>IFERROR(VLOOKUP($A:$A,CS!$A:$AK,29,FALSE),"")</f>
      </c>
      <c r="T291" s="79">
        <f>IFERROR(VLOOKUP($A:$A,CS!$A:$AK,33,FALSE),"")</f>
      </c>
      <c r="U291" s="79">
        <f>IFERROR(VLOOKUP($A:$A,CS!$A:$AK,34,FALSE),"")</f>
      </c>
      <c r="V291" s="79">
        <f>IFERROR(VLOOKUP($A:$A,CS!$A:$AK,35,FALSE),"")</f>
      </c>
      <c r="W291" s="79">
        <f>IFERROR(VLOOKUP($A:$A,CS!$A:$AK,36,FALSE),"")</f>
      </c>
    </row>
    <row r="292" ht="16.5" customHeight="1" spans="1:23" x14ac:dyDescent="0.25">
      <c r="A292" s="93"/>
      <c r="B292" s="79">
        <f>IFERROR(VLOOKUP($A:$A,CS!$A:$AK,3,FALSE),"")</f>
      </c>
      <c r="C292" s="79">
        <f>IFERROR(VLOOKUP($A:$A,CS!$A:$AK,4,FALSE),"")</f>
      </c>
      <c r="D292" s="79">
        <f>IFERROR(VLOOKUP($A:$A,CS!$A:$AK,5,FALSE),"")</f>
      </c>
      <c r="E292" s="79">
        <f>IFERROR(VLOOKUP($A:$A,CS!$A:$AK,7,FALSE),"")</f>
      </c>
      <c r="F292" s="79">
        <f>IFERROR(VLOOKUP($A:$A,CS!$A:$AK,8,FALSE),"")</f>
      </c>
      <c r="G292" s="79">
        <f>IFERROR(VLOOKUP($A:$A,CS!$A:$AK,10,FALSE),"")</f>
      </c>
      <c r="H292" s="79">
        <f>IFERROR(VLOOKUP($A:$A,CS!$A:$AK,14,FALSE),"")</f>
      </c>
      <c r="I292" s="79">
        <f>IFERROR(VLOOKUP($A:$A,CS!$A:$AK,15,FALSE),"")</f>
      </c>
      <c r="J292" s="79">
        <f>IFERROR(VLOOKUP($A:$A,CS!$A:$AK,18,FALSE),"")</f>
      </c>
      <c r="K292" s="79">
        <f>IFERROR(VLOOKUP($A:$A,CS!$A:$AK,19,FALSE),"")</f>
      </c>
      <c r="L292" s="79">
        <f>IFERROR(VLOOKUP($A:$A,CS!$A:$AK,20,FALSE),"")</f>
      </c>
      <c r="M292" s="79">
        <f>IFERROR(VLOOKUP($A:$A,CS!$A:$AK,22,FALSE),"")</f>
      </c>
      <c r="N292" s="79">
        <f>IFERROR(VLOOKUP($A:$A,CS!$A:$AK,19,FALSE),"")</f>
      </c>
      <c r="O292" s="79">
        <f>IFERROR(VLOOKUP($A:$A,CS!$A:$AK,23,FALSE),"")</f>
      </c>
      <c r="P292" s="79">
        <f>IFERROR(VLOOKUP($A:$A,CS!$A:$AK,24,FALSE),"")</f>
      </c>
      <c r="Q292" s="79">
        <f>IFERROR(VLOOKUP($A:$A,CS!$A:$AK,25,FALSE),"")</f>
      </c>
      <c r="R292" s="79">
        <f>IFERROR(VLOOKUP($A:$A,CS!$A:$AK,26,FALSE),"")</f>
      </c>
      <c r="S292" s="79">
        <f>IFERROR(VLOOKUP($A:$A,CS!$A:$AK,29,FALSE),"")</f>
      </c>
      <c r="T292" s="79">
        <f>IFERROR(VLOOKUP($A:$A,CS!$A:$AK,33,FALSE),"")</f>
      </c>
      <c r="U292" s="79">
        <f>IFERROR(VLOOKUP($A:$A,CS!$A:$AK,34,FALSE),"")</f>
      </c>
      <c r="V292" s="79">
        <f>IFERROR(VLOOKUP($A:$A,CS!$A:$AK,35,FALSE),"")</f>
      </c>
      <c r="W292" s="79">
        <f>IFERROR(VLOOKUP($A:$A,CS!$A:$AK,36,FALSE),"")</f>
      </c>
    </row>
    <row r="293" ht="16.5" customHeight="1" spans="1:23" x14ac:dyDescent="0.25">
      <c r="A293" s="93"/>
      <c r="B293" s="79">
        <f>IFERROR(VLOOKUP($A:$A,CS!$A:$AK,3,FALSE),"")</f>
      </c>
      <c r="C293" s="79">
        <f>IFERROR(VLOOKUP($A:$A,CS!$A:$AK,4,FALSE),"")</f>
      </c>
      <c r="D293" s="79">
        <f>IFERROR(VLOOKUP($A:$A,CS!$A:$AK,5,FALSE),"")</f>
      </c>
      <c r="E293" s="79">
        <f>IFERROR(VLOOKUP($A:$A,CS!$A:$AK,7,FALSE),"")</f>
      </c>
      <c r="F293" s="79">
        <f>IFERROR(VLOOKUP($A:$A,CS!$A:$AK,8,FALSE),"")</f>
      </c>
      <c r="G293" s="79">
        <f>IFERROR(VLOOKUP($A:$A,CS!$A:$AK,10,FALSE),"")</f>
      </c>
      <c r="H293" s="79">
        <f>IFERROR(VLOOKUP($A:$A,CS!$A:$AK,14,FALSE),"")</f>
      </c>
      <c r="I293" s="79">
        <f>IFERROR(VLOOKUP($A:$A,CS!$A:$AK,15,FALSE),"")</f>
      </c>
      <c r="J293" s="79">
        <f>IFERROR(VLOOKUP($A:$A,CS!$A:$AK,18,FALSE),"")</f>
      </c>
      <c r="K293" s="79">
        <f>IFERROR(VLOOKUP($A:$A,CS!$A:$AK,19,FALSE),"")</f>
      </c>
      <c r="L293" s="79">
        <f>IFERROR(VLOOKUP($A:$A,CS!$A:$AK,20,FALSE),"")</f>
      </c>
      <c r="M293" s="79">
        <f>IFERROR(VLOOKUP($A:$A,CS!$A:$AK,22,FALSE),"")</f>
      </c>
      <c r="N293" s="79">
        <f>IFERROR(VLOOKUP($A:$A,CS!$A:$AK,19,FALSE),"")</f>
      </c>
      <c r="O293" s="79">
        <f>IFERROR(VLOOKUP($A:$A,CS!$A:$AK,23,FALSE),"")</f>
      </c>
      <c r="P293" s="79">
        <f>IFERROR(VLOOKUP($A:$A,CS!$A:$AK,24,FALSE),"")</f>
      </c>
      <c r="Q293" s="79">
        <f>IFERROR(VLOOKUP($A:$A,CS!$A:$AK,25,FALSE),"")</f>
      </c>
      <c r="R293" s="79">
        <f>IFERROR(VLOOKUP($A:$A,CS!$A:$AK,26,FALSE),"")</f>
      </c>
      <c r="S293" s="79">
        <f>IFERROR(VLOOKUP($A:$A,CS!$A:$AK,29,FALSE),"")</f>
      </c>
      <c r="T293" s="79">
        <f>IFERROR(VLOOKUP($A:$A,CS!$A:$AK,33,FALSE),"")</f>
      </c>
      <c r="U293" s="79">
        <f>IFERROR(VLOOKUP($A:$A,CS!$A:$AK,34,FALSE),"")</f>
      </c>
      <c r="V293" s="79">
        <f>IFERROR(VLOOKUP($A:$A,CS!$A:$AK,35,FALSE),"")</f>
      </c>
      <c r="W293" s="79">
        <f>IFERROR(VLOOKUP($A:$A,CS!$A:$AK,36,FALSE),"")</f>
      </c>
    </row>
    <row r="294" ht="16.5" customHeight="1" spans="1:23" x14ac:dyDescent="0.25">
      <c r="A294" s="93"/>
      <c r="B294" s="79">
        <f>IFERROR(VLOOKUP($A:$A,CS!$A:$AK,3,FALSE),"")</f>
      </c>
      <c r="C294" s="79">
        <f>IFERROR(VLOOKUP($A:$A,CS!$A:$AK,4,FALSE),"")</f>
      </c>
      <c r="D294" s="79">
        <f>IFERROR(VLOOKUP($A:$A,CS!$A:$AK,5,FALSE),"")</f>
      </c>
      <c r="E294" s="79">
        <f>IFERROR(VLOOKUP($A:$A,CS!$A:$AK,7,FALSE),"")</f>
      </c>
      <c r="F294" s="79">
        <f>IFERROR(VLOOKUP($A:$A,CS!$A:$AK,8,FALSE),"")</f>
      </c>
      <c r="G294" s="79">
        <f>IFERROR(VLOOKUP($A:$A,CS!$A:$AK,10,FALSE),"")</f>
      </c>
      <c r="H294" s="79">
        <f>IFERROR(VLOOKUP($A:$A,CS!$A:$AK,14,FALSE),"")</f>
      </c>
      <c r="I294" s="79">
        <f>IFERROR(VLOOKUP($A:$A,CS!$A:$AK,15,FALSE),"")</f>
      </c>
      <c r="J294" s="79">
        <f>IFERROR(VLOOKUP($A:$A,CS!$A:$AK,18,FALSE),"")</f>
      </c>
      <c r="K294" s="79">
        <f>IFERROR(VLOOKUP($A:$A,CS!$A:$AK,19,FALSE),"")</f>
      </c>
      <c r="L294" s="79">
        <f>IFERROR(VLOOKUP($A:$A,CS!$A:$AK,20,FALSE),"")</f>
      </c>
      <c r="M294" s="79">
        <f>IFERROR(VLOOKUP($A:$A,CS!$A:$AK,22,FALSE),"")</f>
      </c>
      <c r="N294" s="79">
        <f>IFERROR(VLOOKUP($A:$A,CS!$A:$AK,19,FALSE),"")</f>
      </c>
      <c r="O294" s="79">
        <f>IFERROR(VLOOKUP($A:$A,CS!$A:$AK,23,FALSE),"")</f>
      </c>
      <c r="P294" s="79">
        <f>IFERROR(VLOOKUP($A:$A,CS!$A:$AK,24,FALSE),"")</f>
      </c>
      <c r="Q294" s="79">
        <f>IFERROR(VLOOKUP($A:$A,CS!$A:$AK,25,FALSE),"")</f>
      </c>
      <c r="R294" s="79">
        <f>IFERROR(VLOOKUP($A:$A,CS!$A:$AK,26,FALSE),"")</f>
      </c>
      <c r="S294" s="79">
        <f>IFERROR(VLOOKUP($A:$A,CS!$A:$AK,29,FALSE),"")</f>
      </c>
      <c r="T294" s="79">
        <f>IFERROR(VLOOKUP($A:$A,CS!$A:$AK,33,FALSE),"")</f>
      </c>
      <c r="U294" s="79">
        <f>IFERROR(VLOOKUP($A:$A,CS!$A:$AK,34,FALSE),"")</f>
      </c>
      <c r="V294" s="79">
        <f>IFERROR(VLOOKUP($A:$A,CS!$A:$AK,35,FALSE),"")</f>
      </c>
      <c r="W294" s="79">
        <f>IFERROR(VLOOKUP($A:$A,CS!$A:$AK,36,FALSE),"")</f>
      </c>
    </row>
    <row r="295" ht="16.5" customHeight="1" spans="1:23" x14ac:dyDescent="0.25">
      <c r="A295" s="93"/>
      <c r="B295" s="79">
        <f>IFERROR(VLOOKUP($A:$A,CS!$A:$AK,3,FALSE),"")</f>
      </c>
      <c r="C295" s="79">
        <f>IFERROR(VLOOKUP($A:$A,CS!$A:$AK,4,FALSE),"")</f>
      </c>
      <c r="D295" s="79">
        <f>IFERROR(VLOOKUP($A:$A,CS!$A:$AK,5,FALSE),"")</f>
      </c>
      <c r="E295" s="79">
        <f>IFERROR(VLOOKUP($A:$A,CS!$A:$AK,7,FALSE),"")</f>
      </c>
      <c r="F295" s="79">
        <f>IFERROR(VLOOKUP($A:$A,CS!$A:$AK,8,FALSE),"")</f>
      </c>
      <c r="G295" s="79">
        <f>IFERROR(VLOOKUP($A:$A,CS!$A:$AK,10,FALSE),"")</f>
      </c>
      <c r="H295" s="79">
        <f>IFERROR(VLOOKUP($A:$A,CS!$A:$AK,14,FALSE),"")</f>
      </c>
      <c r="I295" s="79">
        <f>IFERROR(VLOOKUP($A:$A,CS!$A:$AK,15,FALSE),"")</f>
      </c>
      <c r="J295" s="79">
        <f>IFERROR(VLOOKUP($A:$A,CS!$A:$AK,18,FALSE),"")</f>
      </c>
      <c r="K295" s="79">
        <f>IFERROR(VLOOKUP($A:$A,CS!$A:$AK,19,FALSE),"")</f>
      </c>
      <c r="L295" s="79">
        <f>IFERROR(VLOOKUP($A:$A,CS!$A:$AK,20,FALSE),"")</f>
      </c>
      <c r="M295" s="79">
        <f>IFERROR(VLOOKUP($A:$A,CS!$A:$AK,22,FALSE),"")</f>
      </c>
      <c r="N295" s="79">
        <f>IFERROR(VLOOKUP($A:$A,CS!$A:$AK,19,FALSE),"")</f>
      </c>
      <c r="O295" s="79">
        <f>IFERROR(VLOOKUP($A:$A,CS!$A:$AK,23,FALSE),"")</f>
      </c>
      <c r="P295" s="79">
        <f>IFERROR(VLOOKUP($A:$A,CS!$A:$AK,24,FALSE),"")</f>
      </c>
      <c r="Q295" s="79">
        <f>IFERROR(VLOOKUP($A:$A,CS!$A:$AK,25,FALSE),"")</f>
      </c>
      <c r="R295" s="79">
        <f>IFERROR(VLOOKUP($A:$A,CS!$A:$AK,26,FALSE),"")</f>
      </c>
      <c r="S295" s="79">
        <f>IFERROR(VLOOKUP($A:$A,CS!$A:$AK,29,FALSE),"")</f>
      </c>
      <c r="T295" s="79">
        <f>IFERROR(VLOOKUP($A:$A,CS!$A:$AK,33,FALSE),"")</f>
      </c>
      <c r="U295" s="79">
        <f>IFERROR(VLOOKUP($A:$A,CS!$A:$AK,34,FALSE),"")</f>
      </c>
      <c r="V295" s="79">
        <f>IFERROR(VLOOKUP($A:$A,CS!$A:$AK,35,FALSE),"")</f>
      </c>
      <c r="W295" s="79">
        <f>IFERROR(VLOOKUP($A:$A,CS!$A:$AK,36,FALSE),"")</f>
      </c>
    </row>
    <row r="296" ht="16.5" customHeight="1" spans="1:23" x14ac:dyDescent="0.25">
      <c r="A296" s="93"/>
      <c r="B296" s="79">
        <f>IFERROR(VLOOKUP($A:$A,CS!$A:$AK,3,FALSE),"")</f>
      </c>
      <c r="C296" s="79">
        <f>IFERROR(VLOOKUP($A:$A,CS!$A:$AK,4,FALSE),"")</f>
      </c>
      <c r="D296" s="79">
        <f>IFERROR(VLOOKUP($A:$A,CS!$A:$AK,5,FALSE),"")</f>
      </c>
      <c r="E296" s="79">
        <f>IFERROR(VLOOKUP($A:$A,CS!$A:$AK,7,FALSE),"")</f>
      </c>
      <c r="F296" s="79">
        <f>IFERROR(VLOOKUP($A:$A,CS!$A:$AK,8,FALSE),"")</f>
      </c>
      <c r="G296" s="79">
        <f>IFERROR(VLOOKUP($A:$A,CS!$A:$AK,10,FALSE),"")</f>
      </c>
      <c r="H296" s="79">
        <f>IFERROR(VLOOKUP($A:$A,CS!$A:$AK,14,FALSE),"")</f>
      </c>
      <c r="I296" s="79">
        <f>IFERROR(VLOOKUP($A:$A,CS!$A:$AK,15,FALSE),"")</f>
      </c>
      <c r="J296" s="79">
        <f>IFERROR(VLOOKUP($A:$A,CS!$A:$AK,18,FALSE),"")</f>
      </c>
      <c r="K296" s="79">
        <f>IFERROR(VLOOKUP($A:$A,CS!$A:$AK,19,FALSE),"")</f>
      </c>
      <c r="L296" s="79">
        <f>IFERROR(VLOOKUP($A:$A,CS!$A:$AK,20,FALSE),"")</f>
      </c>
      <c r="M296" s="79">
        <f>IFERROR(VLOOKUP($A:$A,CS!$A:$AK,22,FALSE),"")</f>
      </c>
      <c r="N296" s="79">
        <f>IFERROR(VLOOKUP($A:$A,CS!$A:$AK,19,FALSE),"")</f>
      </c>
      <c r="O296" s="79">
        <f>IFERROR(VLOOKUP($A:$A,CS!$A:$AK,23,FALSE),"")</f>
      </c>
      <c r="P296" s="79">
        <f>IFERROR(VLOOKUP($A:$A,CS!$A:$AK,24,FALSE),"")</f>
      </c>
      <c r="Q296" s="79">
        <f>IFERROR(VLOOKUP($A:$A,CS!$A:$AK,25,FALSE),"")</f>
      </c>
      <c r="R296" s="79">
        <f>IFERROR(VLOOKUP($A:$A,CS!$A:$AK,26,FALSE),"")</f>
      </c>
      <c r="S296" s="79">
        <f>IFERROR(VLOOKUP($A:$A,CS!$A:$AK,29,FALSE),"")</f>
      </c>
      <c r="T296" s="79">
        <f>IFERROR(VLOOKUP($A:$A,CS!$A:$AK,33,FALSE),"")</f>
      </c>
      <c r="U296" s="79">
        <f>IFERROR(VLOOKUP($A:$A,CS!$A:$AK,34,FALSE),"")</f>
      </c>
      <c r="V296" s="79">
        <f>IFERROR(VLOOKUP($A:$A,CS!$A:$AK,35,FALSE),"")</f>
      </c>
      <c r="W296" s="79">
        <f>IFERROR(VLOOKUP($A:$A,CS!$A:$AK,36,FALSE),"")</f>
      </c>
    </row>
    <row r="297" ht="16.5" customHeight="1" spans="1:23" x14ac:dyDescent="0.25">
      <c r="A297" s="93"/>
      <c r="B297" s="79">
        <f>IFERROR(VLOOKUP($A:$A,CS!$A:$AK,3,FALSE),"")</f>
      </c>
      <c r="C297" s="79">
        <f>IFERROR(VLOOKUP($A:$A,CS!$A:$AK,4,FALSE),"")</f>
      </c>
      <c r="D297" s="79">
        <f>IFERROR(VLOOKUP($A:$A,CS!$A:$AK,5,FALSE),"")</f>
      </c>
      <c r="E297" s="79">
        <f>IFERROR(VLOOKUP($A:$A,CS!$A:$AK,7,FALSE),"")</f>
      </c>
      <c r="F297" s="79">
        <f>IFERROR(VLOOKUP($A:$A,CS!$A:$AK,8,FALSE),"")</f>
      </c>
      <c r="G297" s="79">
        <f>IFERROR(VLOOKUP($A:$A,CS!$A:$AK,10,FALSE),"")</f>
      </c>
      <c r="H297" s="79">
        <f>IFERROR(VLOOKUP($A:$A,CS!$A:$AK,14,FALSE),"")</f>
      </c>
      <c r="I297" s="79">
        <f>IFERROR(VLOOKUP($A:$A,CS!$A:$AK,15,FALSE),"")</f>
      </c>
      <c r="J297" s="79">
        <f>IFERROR(VLOOKUP($A:$A,CS!$A:$AK,18,FALSE),"")</f>
      </c>
      <c r="K297" s="79">
        <f>IFERROR(VLOOKUP($A:$A,CS!$A:$AK,19,FALSE),"")</f>
      </c>
      <c r="L297" s="79">
        <f>IFERROR(VLOOKUP($A:$A,CS!$A:$AK,20,FALSE),"")</f>
      </c>
      <c r="M297" s="79">
        <f>IFERROR(VLOOKUP($A:$A,CS!$A:$AK,22,FALSE),"")</f>
      </c>
      <c r="N297" s="79">
        <f>IFERROR(VLOOKUP($A:$A,CS!$A:$AK,19,FALSE),"")</f>
      </c>
      <c r="O297" s="79">
        <f>IFERROR(VLOOKUP($A:$A,CS!$A:$AK,23,FALSE),"")</f>
      </c>
      <c r="P297" s="79">
        <f>IFERROR(VLOOKUP($A:$A,CS!$A:$AK,24,FALSE),"")</f>
      </c>
      <c r="Q297" s="79">
        <f>IFERROR(VLOOKUP($A:$A,CS!$A:$AK,25,FALSE),"")</f>
      </c>
      <c r="R297" s="79">
        <f>IFERROR(VLOOKUP($A:$A,CS!$A:$AK,26,FALSE),"")</f>
      </c>
      <c r="S297" s="79">
        <f>IFERROR(VLOOKUP($A:$A,CS!$A:$AK,29,FALSE),"")</f>
      </c>
      <c r="T297" s="79">
        <f>IFERROR(VLOOKUP($A:$A,CS!$A:$AK,33,FALSE),"")</f>
      </c>
      <c r="U297" s="79">
        <f>IFERROR(VLOOKUP($A:$A,CS!$A:$AK,34,FALSE),"")</f>
      </c>
      <c r="V297" s="79">
        <f>IFERROR(VLOOKUP($A:$A,CS!$A:$AK,35,FALSE),"")</f>
      </c>
      <c r="W297" s="79">
        <f>IFERROR(VLOOKUP($A:$A,CS!$A:$AK,36,FALSE),"")</f>
      </c>
    </row>
    <row r="298" ht="16.5" customHeight="1" spans="1:23" x14ac:dyDescent="0.25">
      <c r="A298" s="93"/>
      <c r="B298" s="79">
        <f>IFERROR(VLOOKUP($A:$A,CS!$A:$AK,3,FALSE),"")</f>
      </c>
      <c r="C298" s="79">
        <f>IFERROR(VLOOKUP($A:$A,CS!$A:$AK,4,FALSE),"")</f>
      </c>
      <c r="D298" s="79">
        <f>IFERROR(VLOOKUP($A:$A,CS!$A:$AK,5,FALSE),"")</f>
      </c>
      <c r="E298" s="79">
        <f>IFERROR(VLOOKUP($A:$A,CS!$A:$AK,7,FALSE),"")</f>
      </c>
      <c r="F298" s="79">
        <f>IFERROR(VLOOKUP($A:$A,CS!$A:$AK,8,FALSE),"")</f>
      </c>
      <c r="G298" s="79">
        <f>IFERROR(VLOOKUP($A:$A,CS!$A:$AK,10,FALSE),"")</f>
      </c>
      <c r="H298" s="79">
        <f>IFERROR(VLOOKUP($A:$A,CS!$A:$AK,14,FALSE),"")</f>
      </c>
      <c r="I298" s="79">
        <f>IFERROR(VLOOKUP($A:$A,CS!$A:$AK,15,FALSE),"")</f>
      </c>
      <c r="J298" s="79">
        <f>IFERROR(VLOOKUP($A:$A,CS!$A:$AK,18,FALSE),"")</f>
      </c>
      <c r="K298" s="79">
        <f>IFERROR(VLOOKUP($A:$A,CS!$A:$AK,19,FALSE),"")</f>
      </c>
      <c r="L298" s="79">
        <f>IFERROR(VLOOKUP($A:$A,CS!$A:$AK,20,FALSE),"")</f>
      </c>
      <c r="M298" s="79">
        <f>IFERROR(VLOOKUP($A:$A,CS!$A:$AK,22,FALSE),"")</f>
      </c>
      <c r="N298" s="79">
        <f>IFERROR(VLOOKUP($A:$A,CS!$A:$AK,19,FALSE),"")</f>
      </c>
      <c r="O298" s="79">
        <f>IFERROR(VLOOKUP($A:$A,CS!$A:$AK,23,FALSE),"")</f>
      </c>
      <c r="P298" s="79">
        <f>IFERROR(VLOOKUP($A:$A,CS!$A:$AK,24,FALSE),"")</f>
      </c>
      <c r="Q298" s="79">
        <f>IFERROR(VLOOKUP($A:$A,CS!$A:$AK,25,FALSE),"")</f>
      </c>
      <c r="R298" s="79">
        <f>IFERROR(VLOOKUP($A:$A,CS!$A:$AK,26,FALSE),"")</f>
      </c>
      <c r="S298" s="79">
        <f>IFERROR(VLOOKUP($A:$A,CS!$A:$AK,29,FALSE),"")</f>
      </c>
      <c r="T298" s="79">
        <f>IFERROR(VLOOKUP($A:$A,CS!$A:$AK,33,FALSE),"")</f>
      </c>
      <c r="U298" s="79">
        <f>IFERROR(VLOOKUP($A:$A,CS!$A:$AK,34,FALSE),"")</f>
      </c>
      <c r="V298" s="79">
        <f>IFERROR(VLOOKUP($A:$A,CS!$A:$AK,35,FALSE),"")</f>
      </c>
      <c r="W298" s="79">
        <f>IFERROR(VLOOKUP($A:$A,CS!$A:$AK,36,FALSE),"")</f>
      </c>
    </row>
    <row r="299" ht="16.5" customHeight="1" spans="1:23" x14ac:dyDescent="0.25">
      <c r="A299" s="93"/>
      <c r="B299" s="79">
        <f>IFERROR(VLOOKUP($A:$A,CS!$A:$AK,3,FALSE),"")</f>
      </c>
      <c r="C299" s="79">
        <f>IFERROR(VLOOKUP($A:$A,CS!$A:$AK,4,FALSE),"")</f>
      </c>
      <c r="D299" s="79">
        <f>IFERROR(VLOOKUP($A:$A,CS!$A:$AK,5,FALSE),"")</f>
      </c>
      <c r="E299" s="79">
        <f>IFERROR(VLOOKUP($A:$A,CS!$A:$AK,7,FALSE),"")</f>
      </c>
      <c r="F299" s="79">
        <f>IFERROR(VLOOKUP($A:$A,CS!$A:$AK,8,FALSE),"")</f>
      </c>
      <c r="G299" s="79">
        <f>IFERROR(VLOOKUP($A:$A,CS!$A:$AK,10,FALSE),"")</f>
      </c>
      <c r="H299" s="79">
        <f>IFERROR(VLOOKUP($A:$A,CS!$A:$AK,14,FALSE),"")</f>
      </c>
      <c r="I299" s="79">
        <f>IFERROR(VLOOKUP($A:$A,CS!$A:$AK,15,FALSE),"")</f>
      </c>
      <c r="J299" s="79">
        <f>IFERROR(VLOOKUP($A:$A,CS!$A:$AK,18,FALSE),"")</f>
      </c>
      <c r="K299" s="79">
        <f>IFERROR(VLOOKUP($A:$A,CS!$A:$AK,19,FALSE),"")</f>
      </c>
      <c r="L299" s="79">
        <f>IFERROR(VLOOKUP($A:$A,CS!$A:$AK,20,FALSE),"")</f>
      </c>
      <c r="M299" s="79">
        <f>IFERROR(VLOOKUP($A:$A,CS!$A:$AK,22,FALSE),"")</f>
      </c>
      <c r="N299" s="79">
        <f>IFERROR(VLOOKUP($A:$A,CS!$A:$AK,19,FALSE),"")</f>
      </c>
      <c r="O299" s="79">
        <f>IFERROR(VLOOKUP($A:$A,CS!$A:$AK,23,FALSE),"")</f>
      </c>
      <c r="P299" s="79">
        <f>IFERROR(VLOOKUP($A:$A,CS!$A:$AK,24,FALSE),"")</f>
      </c>
      <c r="Q299" s="79">
        <f>IFERROR(VLOOKUP($A:$A,CS!$A:$AK,25,FALSE),"")</f>
      </c>
      <c r="R299" s="79">
        <f>IFERROR(VLOOKUP($A:$A,CS!$A:$AK,26,FALSE),"")</f>
      </c>
      <c r="S299" s="79">
        <f>IFERROR(VLOOKUP($A:$A,CS!$A:$AK,29,FALSE),"")</f>
      </c>
      <c r="T299" s="79">
        <f>IFERROR(VLOOKUP($A:$A,CS!$A:$AK,33,FALSE),"")</f>
      </c>
      <c r="U299" s="79">
        <f>IFERROR(VLOOKUP($A:$A,CS!$A:$AK,34,FALSE),"")</f>
      </c>
      <c r="V299" s="79">
        <f>IFERROR(VLOOKUP($A:$A,CS!$A:$AK,35,FALSE),"")</f>
      </c>
      <c r="W299" s="79">
        <f>IFERROR(VLOOKUP($A:$A,CS!$A:$AK,36,FALSE),"")</f>
      </c>
    </row>
    <row r="300" ht="16.5" customHeight="1" spans="1:23" x14ac:dyDescent="0.25">
      <c r="A300" s="93"/>
      <c r="B300" s="79">
        <f>IFERROR(VLOOKUP($A:$A,CS!$A:$AK,3,FALSE),"")</f>
      </c>
      <c r="C300" s="79">
        <f>IFERROR(VLOOKUP($A:$A,CS!$A:$AK,4,FALSE),"")</f>
      </c>
      <c r="D300" s="79">
        <f>IFERROR(VLOOKUP($A:$A,CS!$A:$AK,5,FALSE),"")</f>
      </c>
      <c r="E300" s="79">
        <f>IFERROR(VLOOKUP($A:$A,CS!$A:$AK,7,FALSE),"")</f>
      </c>
      <c r="F300" s="79">
        <f>IFERROR(VLOOKUP($A:$A,CS!$A:$AK,8,FALSE),"")</f>
      </c>
      <c r="G300" s="79">
        <f>IFERROR(VLOOKUP($A:$A,CS!$A:$AK,10,FALSE),"")</f>
      </c>
      <c r="H300" s="79">
        <f>IFERROR(VLOOKUP($A:$A,CS!$A:$AK,14,FALSE),"")</f>
      </c>
      <c r="I300" s="79">
        <f>IFERROR(VLOOKUP($A:$A,CS!$A:$AK,15,FALSE),"")</f>
      </c>
      <c r="J300" s="79">
        <f>IFERROR(VLOOKUP($A:$A,CS!$A:$AK,18,FALSE),"")</f>
      </c>
      <c r="K300" s="79">
        <f>IFERROR(VLOOKUP($A:$A,CS!$A:$AK,19,FALSE),"")</f>
      </c>
      <c r="L300" s="79">
        <f>IFERROR(VLOOKUP($A:$A,CS!$A:$AK,20,FALSE),"")</f>
      </c>
      <c r="M300" s="79">
        <f>IFERROR(VLOOKUP($A:$A,CS!$A:$AK,22,FALSE),"")</f>
      </c>
      <c r="N300" s="79">
        <f>IFERROR(VLOOKUP($A:$A,CS!$A:$AK,19,FALSE),"")</f>
      </c>
      <c r="O300" s="79">
        <f>IFERROR(VLOOKUP($A:$A,CS!$A:$AK,23,FALSE),"")</f>
      </c>
      <c r="P300" s="79">
        <f>IFERROR(VLOOKUP($A:$A,CS!$A:$AK,24,FALSE),"")</f>
      </c>
      <c r="Q300" s="79">
        <f>IFERROR(VLOOKUP($A:$A,CS!$A:$AK,25,FALSE),"")</f>
      </c>
      <c r="R300" s="79">
        <f>IFERROR(VLOOKUP($A:$A,CS!$A:$AK,26,FALSE),"")</f>
      </c>
      <c r="S300" s="79">
        <f>IFERROR(VLOOKUP($A:$A,CS!$A:$AK,29,FALSE),"")</f>
      </c>
      <c r="T300" s="79">
        <f>IFERROR(VLOOKUP($A:$A,CS!$A:$AK,33,FALSE),"")</f>
      </c>
      <c r="U300" s="79">
        <f>IFERROR(VLOOKUP($A:$A,CS!$A:$AK,34,FALSE),"")</f>
      </c>
      <c r="V300" s="79">
        <f>IFERROR(VLOOKUP($A:$A,CS!$A:$AK,35,FALSE),"")</f>
      </c>
      <c r="W300" s="79">
        <f>IFERROR(VLOOKUP($A:$A,CS!$A:$AK,36,FALSE),"")</f>
      </c>
    </row>
    <row r="301" ht="16.5" customHeight="1" spans="1:23" x14ac:dyDescent="0.25">
      <c r="A301" s="93"/>
      <c r="B301" s="79">
        <f>IFERROR(VLOOKUP($A:$A,CS!$A:$AK,3,FALSE),"")</f>
      </c>
      <c r="C301" s="79">
        <f>IFERROR(VLOOKUP($A:$A,CS!$A:$AK,4,FALSE),"")</f>
      </c>
      <c r="D301" s="79">
        <f>IFERROR(VLOOKUP($A:$A,CS!$A:$AK,5,FALSE),"")</f>
      </c>
      <c r="E301" s="79">
        <f>IFERROR(VLOOKUP($A:$A,CS!$A:$AK,7,FALSE),"")</f>
      </c>
      <c r="F301" s="79">
        <f>IFERROR(VLOOKUP($A:$A,CS!$A:$AK,8,FALSE),"")</f>
      </c>
      <c r="G301" s="79">
        <f>IFERROR(VLOOKUP($A:$A,CS!$A:$AK,10,FALSE),"")</f>
      </c>
      <c r="H301" s="79">
        <f>IFERROR(VLOOKUP($A:$A,CS!$A:$AK,14,FALSE),"")</f>
      </c>
      <c r="I301" s="79">
        <f>IFERROR(VLOOKUP($A:$A,CS!$A:$AK,15,FALSE),"")</f>
      </c>
      <c r="J301" s="79">
        <f>IFERROR(VLOOKUP($A:$A,CS!$A:$AK,18,FALSE),"")</f>
      </c>
      <c r="K301" s="79">
        <f>IFERROR(VLOOKUP($A:$A,CS!$A:$AK,19,FALSE),"")</f>
      </c>
      <c r="L301" s="79">
        <f>IFERROR(VLOOKUP($A:$A,CS!$A:$AK,20,FALSE),"")</f>
      </c>
      <c r="M301" s="79">
        <f>IFERROR(VLOOKUP($A:$A,CS!$A:$AK,22,FALSE),"")</f>
      </c>
      <c r="N301" s="79">
        <f>IFERROR(VLOOKUP($A:$A,CS!$A:$AK,19,FALSE),"")</f>
      </c>
      <c r="O301" s="79">
        <f>IFERROR(VLOOKUP($A:$A,CS!$A:$AK,23,FALSE),"")</f>
      </c>
      <c r="P301" s="79">
        <f>IFERROR(VLOOKUP($A:$A,CS!$A:$AK,24,FALSE),"")</f>
      </c>
      <c r="Q301" s="79">
        <f>IFERROR(VLOOKUP($A:$A,CS!$A:$AK,25,FALSE),"")</f>
      </c>
      <c r="R301" s="79">
        <f>IFERROR(VLOOKUP($A:$A,CS!$A:$AK,26,FALSE),"")</f>
      </c>
      <c r="S301" s="79">
        <f>IFERROR(VLOOKUP($A:$A,CS!$A:$AK,29,FALSE),"")</f>
      </c>
      <c r="T301" s="79">
        <f>IFERROR(VLOOKUP($A:$A,CS!$A:$AK,33,FALSE),"")</f>
      </c>
      <c r="U301" s="79">
        <f>IFERROR(VLOOKUP($A:$A,CS!$A:$AK,34,FALSE),"")</f>
      </c>
      <c r="V301" s="79">
        <f>IFERROR(VLOOKUP($A:$A,CS!$A:$AK,35,FALSE),"")</f>
      </c>
      <c r="W301" s="79">
        <f>IFERROR(VLOOKUP($A:$A,CS!$A:$AK,36,FALSE),"")</f>
      </c>
    </row>
    <row r="302" ht="16.5" customHeight="1" spans="1:23" x14ac:dyDescent="0.25">
      <c r="A302" s="93"/>
      <c r="B302" s="79">
        <f>IFERROR(VLOOKUP($A:$A,CS!$A:$AK,3,FALSE),"")</f>
      </c>
      <c r="C302" s="79">
        <f>IFERROR(VLOOKUP($A:$A,CS!$A:$AK,4,FALSE),"")</f>
      </c>
      <c r="D302" s="79">
        <f>IFERROR(VLOOKUP($A:$A,CS!$A:$AK,5,FALSE),"")</f>
      </c>
      <c r="E302" s="79">
        <f>IFERROR(VLOOKUP($A:$A,CS!$A:$AK,7,FALSE),"")</f>
      </c>
      <c r="F302" s="79">
        <f>IFERROR(VLOOKUP($A:$A,CS!$A:$AK,8,FALSE),"")</f>
      </c>
      <c r="G302" s="79">
        <f>IFERROR(VLOOKUP($A:$A,CS!$A:$AK,10,FALSE),"")</f>
      </c>
      <c r="H302" s="79">
        <f>IFERROR(VLOOKUP($A:$A,CS!$A:$AK,14,FALSE),"")</f>
      </c>
      <c r="I302" s="79">
        <f>IFERROR(VLOOKUP($A:$A,CS!$A:$AK,15,FALSE),"")</f>
      </c>
      <c r="J302" s="79">
        <f>IFERROR(VLOOKUP($A:$A,CS!$A:$AK,18,FALSE),"")</f>
      </c>
      <c r="K302" s="79">
        <f>IFERROR(VLOOKUP($A:$A,CS!$A:$AK,19,FALSE),"")</f>
      </c>
      <c r="L302" s="79">
        <f>IFERROR(VLOOKUP($A:$A,CS!$A:$AK,20,FALSE),"")</f>
      </c>
      <c r="M302" s="79">
        <f>IFERROR(VLOOKUP($A:$A,CS!$A:$AK,22,FALSE),"")</f>
      </c>
      <c r="N302" s="79">
        <f>IFERROR(VLOOKUP($A:$A,CS!$A:$AK,19,FALSE),"")</f>
      </c>
      <c r="O302" s="79">
        <f>IFERROR(VLOOKUP($A:$A,CS!$A:$AK,23,FALSE),"")</f>
      </c>
      <c r="P302" s="79">
        <f>IFERROR(VLOOKUP($A:$A,CS!$A:$AK,24,FALSE),"")</f>
      </c>
      <c r="Q302" s="79">
        <f>IFERROR(VLOOKUP($A:$A,CS!$A:$AK,25,FALSE),"")</f>
      </c>
      <c r="R302" s="79">
        <f>IFERROR(VLOOKUP($A:$A,CS!$A:$AK,26,FALSE),"")</f>
      </c>
      <c r="S302" s="79">
        <f>IFERROR(VLOOKUP($A:$A,CS!$A:$AK,29,FALSE),"")</f>
      </c>
      <c r="T302" s="79">
        <f>IFERROR(VLOOKUP($A:$A,CS!$A:$AK,33,FALSE),"")</f>
      </c>
      <c r="U302" s="79">
        <f>IFERROR(VLOOKUP($A:$A,CS!$A:$AK,34,FALSE),"")</f>
      </c>
      <c r="V302" s="79">
        <f>IFERROR(VLOOKUP($A:$A,CS!$A:$AK,35,FALSE),"")</f>
      </c>
      <c r="W302" s="79">
        <f>IFERROR(VLOOKUP($A:$A,CS!$A:$AK,36,FALSE),"")</f>
      </c>
    </row>
    <row r="303" ht="16.5" customHeight="1" spans="1:23" x14ac:dyDescent="0.25">
      <c r="A303" s="93"/>
      <c r="B303" s="79">
        <f>IFERROR(VLOOKUP($A:$A,CS!$A:$AK,3,FALSE),"")</f>
      </c>
      <c r="C303" s="79">
        <f>IFERROR(VLOOKUP($A:$A,CS!$A:$AK,4,FALSE),"")</f>
      </c>
      <c r="D303" s="79">
        <f>IFERROR(VLOOKUP($A:$A,CS!$A:$AK,5,FALSE),"")</f>
      </c>
      <c r="E303" s="79">
        <f>IFERROR(VLOOKUP($A:$A,CS!$A:$AK,7,FALSE),"")</f>
      </c>
      <c r="F303" s="79">
        <f>IFERROR(VLOOKUP($A:$A,CS!$A:$AK,8,FALSE),"")</f>
      </c>
      <c r="G303" s="79">
        <f>IFERROR(VLOOKUP($A:$A,CS!$A:$AK,10,FALSE),"")</f>
      </c>
      <c r="H303" s="79">
        <f>IFERROR(VLOOKUP($A:$A,CS!$A:$AK,14,FALSE),"")</f>
      </c>
      <c r="I303" s="79">
        <f>IFERROR(VLOOKUP($A:$A,CS!$A:$AK,15,FALSE),"")</f>
      </c>
      <c r="J303" s="79">
        <f>IFERROR(VLOOKUP($A:$A,CS!$A:$AK,18,FALSE),"")</f>
      </c>
      <c r="K303" s="79">
        <f>IFERROR(VLOOKUP($A:$A,CS!$A:$AK,19,FALSE),"")</f>
      </c>
      <c r="L303" s="79">
        <f>IFERROR(VLOOKUP($A:$A,CS!$A:$AK,20,FALSE),"")</f>
      </c>
      <c r="M303" s="79">
        <f>IFERROR(VLOOKUP($A:$A,CS!$A:$AK,22,FALSE),"")</f>
      </c>
      <c r="N303" s="79">
        <f>IFERROR(VLOOKUP($A:$A,CS!$A:$AK,19,FALSE),"")</f>
      </c>
      <c r="O303" s="79">
        <f>IFERROR(VLOOKUP($A:$A,CS!$A:$AK,23,FALSE),"")</f>
      </c>
      <c r="P303" s="79">
        <f>IFERROR(VLOOKUP($A:$A,CS!$A:$AK,24,FALSE),"")</f>
      </c>
      <c r="Q303" s="79">
        <f>IFERROR(VLOOKUP($A:$A,CS!$A:$AK,25,FALSE),"")</f>
      </c>
      <c r="R303" s="79">
        <f>IFERROR(VLOOKUP($A:$A,CS!$A:$AK,26,FALSE),"")</f>
      </c>
      <c r="S303" s="79">
        <f>IFERROR(VLOOKUP($A:$A,CS!$A:$AK,29,FALSE),"")</f>
      </c>
      <c r="T303" s="79">
        <f>IFERROR(VLOOKUP($A:$A,CS!$A:$AK,33,FALSE),"")</f>
      </c>
      <c r="U303" s="79">
        <f>IFERROR(VLOOKUP($A:$A,CS!$A:$AK,34,FALSE),"")</f>
      </c>
      <c r="V303" s="79">
        <f>IFERROR(VLOOKUP($A:$A,CS!$A:$AK,35,FALSE),"")</f>
      </c>
      <c r="W303" s="79">
        <f>IFERROR(VLOOKUP($A:$A,CS!$A:$AK,36,FALSE),"")</f>
      </c>
    </row>
    <row r="304" ht="16.5" customHeight="1" spans="1:23" x14ac:dyDescent="0.25">
      <c r="A304" s="93"/>
      <c r="B304" s="79">
        <f>IFERROR(VLOOKUP($A:$A,CS!$A:$AK,3,FALSE),"")</f>
      </c>
      <c r="C304" s="79">
        <f>IFERROR(VLOOKUP($A:$A,CS!$A:$AK,4,FALSE),"")</f>
      </c>
      <c r="D304" s="79">
        <f>IFERROR(VLOOKUP($A:$A,CS!$A:$AK,5,FALSE),"")</f>
      </c>
      <c r="E304" s="79">
        <f>IFERROR(VLOOKUP($A:$A,CS!$A:$AK,7,FALSE),"")</f>
      </c>
      <c r="F304" s="79">
        <f>IFERROR(VLOOKUP($A:$A,CS!$A:$AK,8,FALSE),"")</f>
      </c>
      <c r="G304" s="79">
        <f>IFERROR(VLOOKUP($A:$A,CS!$A:$AK,10,FALSE),"")</f>
      </c>
      <c r="H304" s="79">
        <f>IFERROR(VLOOKUP($A:$A,CS!$A:$AK,14,FALSE),"")</f>
      </c>
      <c r="I304" s="79">
        <f>IFERROR(VLOOKUP($A:$A,CS!$A:$AK,15,FALSE),"")</f>
      </c>
      <c r="J304" s="79">
        <f>IFERROR(VLOOKUP($A:$A,CS!$A:$AK,18,FALSE),"")</f>
      </c>
      <c r="K304" s="79">
        <f>IFERROR(VLOOKUP($A:$A,CS!$A:$AK,19,FALSE),"")</f>
      </c>
      <c r="L304" s="79">
        <f>IFERROR(VLOOKUP($A:$A,CS!$A:$AK,20,FALSE),"")</f>
      </c>
      <c r="M304" s="79">
        <f>IFERROR(VLOOKUP($A:$A,CS!$A:$AK,22,FALSE),"")</f>
      </c>
      <c r="N304" s="79">
        <f>IFERROR(VLOOKUP($A:$A,CS!$A:$AK,19,FALSE),"")</f>
      </c>
      <c r="O304" s="79">
        <f>IFERROR(VLOOKUP($A:$A,CS!$A:$AK,23,FALSE),"")</f>
      </c>
      <c r="P304" s="79">
        <f>IFERROR(VLOOKUP($A:$A,CS!$A:$AK,24,FALSE),"")</f>
      </c>
      <c r="Q304" s="79">
        <f>IFERROR(VLOOKUP($A:$A,CS!$A:$AK,25,FALSE),"")</f>
      </c>
      <c r="R304" s="79">
        <f>IFERROR(VLOOKUP($A:$A,CS!$A:$AK,26,FALSE),"")</f>
      </c>
      <c r="S304" s="79">
        <f>IFERROR(VLOOKUP($A:$A,CS!$A:$AK,29,FALSE),"")</f>
      </c>
      <c r="T304" s="79">
        <f>IFERROR(VLOOKUP($A:$A,CS!$A:$AK,33,FALSE),"")</f>
      </c>
      <c r="U304" s="79">
        <f>IFERROR(VLOOKUP($A:$A,CS!$A:$AK,34,FALSE),"")</f>
      </c>
      <c r="V304" s="79">
        <f>IFERROR(VLOOKUP($A:$A,CS!$A:$AK,35,FALSE),"")</f>
      </c>
      <c r="W304" s="79">
        <f>IFERROR(VLOOKUP($A:$A,CS!$A:$AK,36,FALSE),"")</f>
      </c>
    </row>
    <row r="305" ht="16.5" customHeight="1" spans="1:23" x14ac:dyDescent="0.25">
      <c r="A305" s="93"/>
      <c r="B305" s="79">
        <f>IFERROR(VLOOKUP($A:$A,CS!$A:$AK,3,FALSE),"")</f>
      </c>
      <c r="C305" s="79">
        <f>IFERROR(VLOOKUP($A:$A,CS!$A:$AK,4,FALSE),"")</f>
      </c>
      <c r="D305" s="79">
        <f>IFERROR(VLOOKUP($A:$A,CS!$A:$AK,5,FALSE),"")</f>
      </c>
      <c r="E305" s="79">
        <f>IFERROR(VLOOKUP($A:$A,CS!$A:$AK,7,FALSE),"")</f>
      </c>
      <c r="F305" s="79">
        <f>IFERROR(VLOOKUP($A:$A,CS!$A:$AK,8,FALSE),"")</f>
      </c>
      <c r="G305" s="79">
        <f>IFERROR(VLOOKUP($A:$A,CS!$A:$AK,10,FALSE),"")</f>
      </c>
      <c r="H305" s="79">
        <f>IFERROR(VLOOKUP($A:$A,CS!$A:$AK,14,FALSE),"")</f>
      </c>
      <c r="I305" s="79">
        <f>IFERROR(VLOOKUP($A:$A,CS!$A:$AK,15,FALSE),"")</f>
      </c>
      <c r="J305" s="79">
        <f>IFERROR(VLOOKUP($A:$A,CS!$A:$AK,18,FALSE),"")</f>
      </c>
      <c r="K305" s="79">
        <f>IFERROR(VLOOKUP($A:$A,CS!$A:$AK,19,FALSE),"")</f>
      </c>
      <c r="L305" s="79">
        <f>IFERROR(VLOOKUP($A:$A,CS!$A:$AK,20,FALSE),"")</f>
      </c>
      <c r="M305" s="79">
        <f>IFERROR(VLOOKUP($A:$A,CS!$A:$AK,22,FALSE),"")</f>
      </c>
      <c r="N305" s="79">
        <f>IFERROR(VLOOKUP($A:$A,CS!$A:$AK,19,FALSE),"")</f>
      </c>
      <c r="O305" s="79">
        <f>IFERROR(VLOOKUP($A:$A,CS!$A:$AK,23,FALSE),"")</f>
      </c>
      <c r="P305" s="79">
        <f>IFERROR(VLOOKUP($A:$A,CS!$A:$AK,24,FALSE),"")</f>
      </c>
      <c r="Q305" s="79">
        <f>IFERROR(VLOOKUP($A:$A,CS!$A:$AK,25,FALSE),"")</f>
      </c>
      <c r="R305" s="79">
        <f>IFERROR(VLOOKUP($A:$A,CS!$A:$AK,26,FALSE),"")</f>
      </c>
      <c r="S305" s="79">
        <f>IFERROR(VLOOKUP($A:$A,CS!$A:$AK,29,FALSE),"")</f>
      </c>
      <c r="T305" s="79">
        <f>IFERROR(VLOOKUP($A:$A,CS!$A:$AK,33,FALSE),"")</f>
      </c>
      <c r="U305" s="79">
        <f>IFERROR(VLOOKUP($A:$A,CS!$A:$AK,34,FALSE),"")</f>
      </c>
      <c r="V305" s="79">
        <f>IFERROR(VLOOKUP($A:$A,CS!$A:$AK,35,FALSE),"")</f>
      </c>
      <c r="W305" s="79">
        <f>IFERROR(VLOOKUP($A:$A,CS!$A:$AK,36,FALSE),"")</f>
      </c>
    </row>
    <row r="306" ht="16.5" customHeight="1" spans="1:23" x14ac:dyDescent="0.25">
      <c r="A306" s="93"/>
      <c r="B306" s="79">
        <f>IFERROR(VLOOKUP($A:$A,CS!$A:$AK,3,FALSE),"")</f>
      </c>
      <c r="C306" s="79">
        <f>IFERROR(VLOOKUP($A:$A,CS!$A:$AK,4,FALSE),"")</f>
      </c>
      <c r="D306" s="79">
        <f>IFERROR(VLOOKUP($A:$A,CS!$A:$AK,5,FALSE),"")</f>
      </c>
      <c r="E306" s="79">
        <f>IFERROR(VLOOKUP($A:$A,CS!$A:$AK,7,FALSE),"")</f>
      </c>
      <c r="F306" s="79">
        <f>IFERROR(VLOOKUP($A:$A,CS!$A:$AK,8,FALSE),"")</f>
      </c>
      <c r="G306" s="79">
        <f>IFERROR(VLOOKUP($A:$A,CS!$A:$AK,10,FALSE),"")</f>
      </c>
      <c r="H306" s="79">
        <f>IFERROR(VLOOKUP($A:$A,CS!$A:$AK,14,FALSE),"")</f>
      </c>
      <c r="I306" s="79">
        <f>IFERROR(VLOOKUP($A:$A,CS!$A:$AK,15,FALSE),"")</f>
      </c>
      <c r="J306" s="79">
        <f>IFERROR(VLOOKUP($A:$A,CS!$A:$AK,18,FALSE),"")</f>
      </c>
      <c r="K306" s="79">
        <f>IFERROR(VLOOKUP($A:$A,CS!$A:$AK,19,FALSE),"")</f>
      </c>
      <c r="L306" s="79">
        <f>IFERROR(VLOOKUP($A:$A,CS!$A:$AK,20,FALSE),"")</f>
      </c>
      <c r="M306" s="79">
        <f>IFERROR(VLOOKUP($A:$A,CS!$A:$AK,22,FALSE),"")</f>
      </c>
      <c r="N306" s="79">
        <f>IFERROR(VLOOKUP($A:$A,CS!$A:$AK,19,FALSE),"")</f>
      </c>
      <c r="O306" s="79">
        <f>IFERROR(VLOOKUP($A:$A,CS!$A:$AK,23,FALSE),"")</f>
      </c>
      <c r="P306" s="79">
        <f>IFERROR(VLOOKUP($A:$A,CS!$A:$AK,24,FALSE),"")</f>
      </c>
      <c r="Q306" s="79">
        <f>IFERROR(VLOOKUP($A:$A,CS!$A:$AK,25,FALSE),"")</f>
      </c>
      <c r="R306" s="79">
        <f>IFERROR(VLOOKUP($A:$A,CS!$A:$AK,26,FALSE),"")</f>
      </c>
      <c r="S306" s="79">
        <f>IFERROR(VLOOKUP($A:$A,CS!$A:$AK,29,FALSE),"")</f>
      </c>
      <c r="T306" s="79">
        <f>IFERROR(VLOOKUP($A:$A,CS!$A:$AK,33,FALSE),"")</f>
      </c>
      <c r="U306" s="79">
        <f>IFERROR(VLOOKUP($A:$A,CS!$A:$AK,34,FALSE),"")</f>
      </c>
      <c r="V306" s="79">
        <f>IFERROR(VLOOKUP($A:$A,CS!$A:$AK,35,FALSE),"")</f>
      </c>
      <c r="W306" s="79">
        <f>IFERROR(VLOOKUP($A:$A,CS!$A:$AK,36,FALSE),"")</f>
      </c>
    </row>
    <row r="307" ht="16.5" customHeight="1" spans="1:23" x14ac:dyDescent="0.25">
      <c r="A307" s="93"/>
      <c r="B307" s="79">
        <f>IFERROR(VLOOKUP($A:$A,CS!$A:$AK,3,FALSE),"")</f>
      </c>
      <c r="C307" s="79">
        <f>IFERROR(VLOOKUP($A:$A,CS!$A:$AK,4,FALSE),"")</f>
      </c>
      <c r="D307" s="79">
        <f>IFERROR(VLOOKUP($A:$A,CS!$A:$AK,5,FALSE),"")</f>
      </c>
      <c r="E307" s="79">
        <f>IFERROR(VLOOKUP($A:$A,CS!$A:$AK,7,FALSE),"")</f>
      </c>
      <c r="F307" s="79">
        <f>IFERROR(VLOOKUP($A:$A,CS!$A:$AK,8,FALSE),"")</f>
      </c>
      <c r="G307" s="79">
        <f>IFERROR(VLOOKUP($A:$A,CS!$A:$AK,10,FALSE),"")</f>
      </c>
      <c r="H307" s="79">
        <f>IFERROR(VLOOKUP($A:$A,CS!$A:$AK,14,FALSE),"")</f>
      </c>
      <c r="I307" s="79">
        <f>IFERROR(VLOOKUP($A:$A,CS!$A:$AK,15,FALSE),"")</f>
      </c>
      <c r="J307" s="79">
        <f>IFERROR(VLOOKUP($A:$A,CS!$A:$AK,18,FALSE),"")</f>
      </c>
      <c r="K307" s="79">
        <f>IFERROR(VLOOKUP($A:$A,CS!$A:$AK,19,FALSE),"")</f>
      </c>
      <c r="L307" s="79">
        <f>IFERROR(VLOOKUP($A:$A,CS!$A:$AK,20,FALSE),"")</f>
      </c>
      <c r="M307" s="79">
        <f>IFERROR(VLOOKUP($A:$A,CS!$A:$AK,22,FALSE),"")</f>
      </c>
      <c r="N307" s="79">
        <f>IFERROR(VLOOKUP($A:$A,CS!$A:$AK,19,FALSE),"")</f>
      </c>
      <c r="O307" s="79">
        <f>IFERROR(VLOOKUP($A:$A,CS!$A:$AK,23,FALSE),"")</f>
      </c>
      <c r="P307" s="79">
        <f>IFERROR(VLOOKUP($A:$A,CS!$A:$AK,24,FALSE),"")</f>
      </c>
      <c r="Q307" s="79">
        <f>IFERROR(VLOOKUP($A:$A,CS!$A:$AK,25,FALSE),"")</f>
      </c>
      <c r="R307" s="79">
        <f>IFERROR(VLOOKUP($A:$A,CS!$A:$AK,26,FALSE),"")</f>
      </c>
      <c r="S307" s="79">
        <f>IFERROR(VLOOKUP($A:$A,CS!$A:$AK,29,FALSE),"")</f>
      </c>
      <c r="T307" s="79">
        <f>IFERROR(VLOOKUP($A:$A,CS!$A:$AK,33,FALSE),"")</f>
      </c>
      <c r="U307" s="79">
        <f>IFERROR(VLOOKUP($A:$A,CS!$A:$AK,34,FALSE),"")</f>
      </c>
      <c r="V307" s="79">
        <f>IFERROR(VLOOKUP($A:$A,CS!$A:$AK,35,FALSE),"")</f>
      </c>
      <c r="W307" s="79">
        <f>IFERROR(VLOOKUP($A:$A,CS!$A:$AK,36,FALSE),"")</f>
      </c>
    </row>
    <row r="308" ht="16.5" customHeight="1" spans="1:23" x14ac:dyDescent="0.25">
      <c r="A308" s="93"/>
      <c r="B308" s="79">
        <f>IFERROR(VLOOKUP($A:$A,CS!$A:$AK,3,FALSE),"")</f>
      </c>
      <c r="C308" s="79">
        <f>IFERROR(VLOOKUP($A:$A,CS!$A:$AK,4,FALSE),"")</f>
      </c>
      <c r="D308" s="79">
        <f>IFERROR(VLOOKUP($A:$A,CS!$A:$AK,5,FALSE),"")</f>
      </c>
      <c r="E308" s="79">
        <f>IFERROR(VLOOKUP($A:$A,CS!$A:$AK,7,FALSE),"")</f>
      </c>
      <c r="F308" s="79">
        <f>IFERROR(VLOOKUP($A:$A,CS!$A:$AK,8,FALSE),"")</f>
      </c>
      <c r="G308" s="79">
        <f>IFERROR(VLOOKUP($A:$A,CS!$A:$AK,10,FALSE),"")</f>
      </c>
      <c r="H308" s="79">
        <f>IFERROR(VLOOKUP($A:$A,CS!$A:$AK,14,FALSE),"")</f>
      </c>
      <c r="I308" s="79">
        <f>IFERROR(VLOOKUP($A:$A,CS!$A:$AK,15,FALSE),"")</f>
      </c>
      <c r="J308" s="79">
        <f>IFERROR(VLOOKUP($A:$A,CS!$A:$AK,18,FALSE),"")</f>
      </c>
      <c r="K308" s="79">
        <f>IFERROR(VLOOKUP($A:$A,CS!$A:$AK,19,FALSE),"")</f>
      </c>
      <c r="L308" s="79">
        <f>IFERROR(VLOOKUP($A:$A,CS!$A:$AK,20,FALSE),"")</f>
      </c>
      <c r="M308" s="79">
        <f>IFERROR(VLOOKUP($A:$A,CS!$A:$AK,22,FALSE),"")</f>
      </c>
      <c r="N308" s="79">
        <f>IFERROR(VLOOKUP($A:$A,CS!$A:$AK,19,FALSE),"")</f>
      </c>
      <c r="O308" s="79">
        <f>IFERROR(VLOOKUP($A:$A,CS!$A:$AK,23,FALSE),"")</f>
      </c>
      <c r="P308" s="79">
        <f>IFERROR(VLOOKUP($A:$A,CS!$A:$AK,24,FALSE),"")</f>
      </c>
      <c r="Q308" s="79">
        <f>IFERROR(VLOOKUP($A:$A,CS!$A:$AK,25,FALSE),"")</f>
      </c>
      <c r="R308" s="79">
        <f>IFERROR(VLOOKUP($A:$A,CS!$A:$AK,26,FALSE),"")</f>
      </c>
      <c r="S308" s="79">
        <f>IFERROR(VLOOKUP($A:$A,CS!$A:$AK,29,FALSE),"")</f>
      </c>
      <c r="T308" s="79">
        <f>IFERROR(VLOOKUP($A:$A,CS!$A:$AK,33,FALSE),"")</f>
      </c>
      <c r="U308" s="79">
        <f>IFERROR(VLOOKUP($A:$A,CS!$A:$AK,34,FALSE),"")</f>
      </c>
      <c r="V308" s="79">
        <f>IFERROR(VLOOKUP($A:$A,CS!$A:$AK,35,FALSE),"")</f>
      </c>
      <c r="W308" s="79">
        <f>IFERROR(VLOOKUP($A:$A,CS!$A:$AK,36,FALSE),"")</f>
      </c>
    </row>
    <row r="309" ht="16.5" customHeight="1" spans="1:23" x14ac:dyDescent="0.25">
      <c r="A309" s="93"/>
      <c r="B309" s="79">
        <f>IFERROR(VLOOKUP($A:$A,CS!$A:$AK,3,FALSE),"")</f>
      </c>
      <c r="C309" s="79">
        <f>IFERROR(VLOOKUP($A:$A,CS!$A:$AK,4,FALSE),"")</f>
      </c>
      <c r="D309" s="79">
        <f>IFERROR(VLOOKUP($A:$A,CS!$A:$AK,5,FALSE),"")</f>
      </c>
      <c r="E309" s="79">
        <f>IFERROR(VLOOKUP($A:$A,CS!$A:$AK,7,FALSE),"")</f>
      </c>
      <c r="F309" s="79">
        <f>IFERROR(VLOOKUP($A:$A,CS!$A:$AK,8,FALSE),"")</f>
      </c>
      <c r="G309" s="79">
        <f>IFERROR(VLOOKUP($A:$A,CS!$A:$AK,10,FALSE),"")</f>
      </c>
      <c r="H309" s="79">
        <f>IFERROR(VLOOKUP($A:$A,CS!$A:$AK,14,FALSE),"")</f>
      </c>
      <c r="I309" s="79">
        <f>IFERROR(VLOOKUP($A:$A,CS!$A:$AK,15,FALSE),"")</f>
      </c>
      <c r="J309" s="79">
        <f>IFERROR(VLOOKUP($A:$A,CS!$A:$AK,18,FALSE),"")</f>
      </c>
      <c r="K309" s="79">
        <f>IFERROR(VLOOKUP($A:$A,CS!$A:$AK,19,FALSE),"")</f>
      </c>
      <c r="L309" s="79">
        <f>IFERROR(VLOOKUP($A:$A,CS!$A:$AK,20,FALSE),"")</f>
      </c>
      <c r="M309" s="79">
        <f>IFERROR(VLOOKUP($A:$A,CS!$A:$AK,22,FALSE),"")</f>
      </c>
      <c r="N309" s="79">
        <f>IFERROR(VLOOKUP($A:$A,CS!$A:$AK,19,FALSE),"")</f>
      </c>
      <c r="O309" s="79">
        <f>IFERROR(VLOOKUP($A:$A,CS!$A:$AK,23,FALSE),"")</f>
      </c>
      <c r="P309" s="79">
        <f>IFERROR(VLOOKUP($A:$A,CS!$A:$AK,24,FALSE),"")</f>
      </c>
      <c r="Q309" s="79">
        <f>IFERROR(VLOOKUP($A:$A,CS!$A:$AK,25,FALSE),"")</f>
      </c>
      <c r="R309" s="79">
        <f>IFERROR(VLOOKUP($A:$A,CS!$A:$AK,26,FALSE),"")</f>
      </c>
      <c r="S309" s="79">
        <f>IFERROR(VLOOKUP($A:$A,CS!$A:$AK,29,FALSE),"")</f>
      </c>
      <c r="T309" s="79">
        <f>IFERROR(VLOOKUP($A:$A,CS!$A:$AK,33,FALSE),"")</f>
      </c>
      <c r="U309" s="79">
        <f>IFERROR(VLOOKUP($A:$A,CS!$A:$AK,34,FALSE),"")</f>
      </c>
      <c r="V309" s="79">
        <f>IFERROR(VLOOKUP($A:$A,CS!$A:$AK,35,FALSE),"")</f>
      </c>
      <c r="W309" s="79">
        <f>IFERROR(VLOOKUP($A:$A,CS!$A:$AK,36,FALSE),"")</f>
      </c>
    </row>
    <row r="310" ht="16.5" customHeight="1" spans="1:23" x14ac:dyDescent="0.25">
      <c r="A310" s="93"/>
      <c r="B310" s="79">
        <f>IFERROR(VLOOKUP($A:$A,CS!$A:$AK,3,FALSE),"")</f>
      </c>
      <c r="C310" s="79">
        <f>IFERROR(VLOOKUP($A:$A,CS!$A:$AK,4,FALSE),"")</f>
      </c>
      <c r="D310" s="79">
        <f>IFERROR(VLOOKUP($A:$A,CS!$A:$AK,5,FALSE),"")</f>
      </c>
      <c r="E310" s="79">
        <f>IFERROR(VLOOKUP($A:$A,CS!$A:$AK,7,FALSE),"")</f>
      </c>
      <c r="F310" s="79">
        <f>IFERROR(VLOOKUP($A:$A,CS!$A:$AK,8,FALSE),"")</f>
      </c>
      <c r="G310" s="79">
        <f>IFERROR(VLOOKUP($A:$A,CS!$A:$AK,10,FALSE),"")</f>
      </c>
      <c r="H310" s="79">
        <f>IFERROR(VLOOKUP($A:$A,CS!$A:$AK,14,FALSE),"")</f>
      </c>
      <c r="I310" s="79">
        <f>IFERROR(VLOOKUP($A:$A,CS!$A:$AK,15,FALSE),"")</f>
      </c>
      <c r="J310" s="79">
        <f>IFERROR(VLOOKUP($A:$A,CS!$A:$AK,18,FALSE),"")</f>
      </c>
      <c r="K310" s="79">
        <f>IFERROR(VLOOKUP($A:$A,CS!$A:$AK,19,FALSE),"")</f>
      </c>
      <c r="L310" s="79">
        <f>IFERROR(VLOOKUP($A:$A,CS!$A:$AK,20,FALSE),"")</f>
      </c>
      <c r="M310" s="79">
        <f>IFERROR(VLOOKUP($A:$A,CS!$A:$AK,22,FALSE),"")</f>
      </c>
      <c r="N310" s="79">
        <f>IFERROR(VLOOKUP($A:$A,CS!$A:$AK,19,FALSE),"")</f>
      </c>
      <c r="O310" s="79">
        <f>IFERROR(VLOOKUP($A:$A,CS!$A:$AK,23,FALSE),"")</f>
      </c>
      <c r="P310" s="79">
        <f>IFERROR(VLOOKUP($A:$A,CS!$A:$AK,24,FALSE),"")</f>
      </c>
      <c r="Q310" s="79">
        <f>IFERROR(VLOOKUP($A:$A,CS!$A:$AK,25,FALSE),"")</f>
      </c>
      <c r="R310" s="79">
        <f>IFERROR(VLOOKUP($A:$A,CS!$A:$AK,26,FALSE),"")</f>
      </c>
      <c r="S310" s="79">
        <f>IFERROR(VLOOKUP($A:$A,CS!$A:$AK,29,FALSE),"")</f>
      </c>
      <c r="T310" s="79">
        <f>IFERROR(VLOOKUP($A:$A,CS!$A:$AK,33,FALSE),"")</f>
      </c>
      <c r="U310" s="79">
        <f>IFERROR(VLOOKUP($A:$A,CS!$A:$AK,34,FALSE),"")</f>
      </c>
      <c r="V310" s="79">
        <f>IFERROR(VLOOKUP($A:$A,CS!$A:$AK,35,FALSE),"")</f>
      </c>
      <c r="W310" s="79">
        <f>IFERROR(VLOOKUP($A:$A,CS!$A:$AK,36,FALSE),"")</f>
      </c>
    </row>
    <row r="311" ht="16.5" customHeight="1" spans="1:23" x14ac:dyDescent="0.25">
      <c r="A311" s="93"/>
      <c r="B311" s="79">
        <f>IFERROR(VLOOKUP($A:$A,CS!$A:$AK,3,FALSE),"")</f>
      </c>
      <c r="C311" s="79">
        <f>IFERROR(VLOOKUP($A:$A,CS!$A:$AK,4,FALSE),"")</f>
      </c>
      <c r="D311" s="79">
        <f>IFERROR(VLOOKUP($A:$A,CS!$A:$AK,5,FALSE),"")</f>
      </c>
      <c r="E311" s="79">
        <f>IFERROR(VLOOKUP($A:$A,CS!$A:$AK,7,FALSE),"")</f>
      </c>
      <c r="F311" s="79">
        <f>IFERROR(VLOOKUP($A:$A,CS!$A:$AK,8,FALSE),"")</f>
      </c>
      <c r="G311" s="79">
        <f>IFERROR(VLOOKUP($A:$A,CS!$A:$AK,10,FALSE),"")</f>
      </c>
      <c r="H311" s="79">
        <f>IFERROR(VLOOKUP($A:$A,CS!$A:$AK,14,FALSE),"")</f>
      </c>
      <c r="I311" s="79">
        <f>IFERROR(VLOOKUP($A:$A,CS!$A:$AK,15,FALSE),"")</f>
      </c>
      <c r="J311" s="79">
        <f>IFERROR(VLOOKUP($A:$A,CS!$A:$AK,18,FALSE),"")</f>
      </c>
      <c r="K311" s="79">
        <f>IFERROR(VLOOKUP($A:$A,CS!$A:$AK,19,FALSE),"")</f>
      </c>
      <c r="L311" s="79">
        <f>IFERROR(VLOOKUP($A:$A,CS!$A:$AK,20,FALSE),"")</f>
      </c>
      <c r="M311" s="79">
        <f>IFERROR(VLOOKUP($A:$A,CS!$A:$AK,22,FALSE),"")</f>
      </c>
      <c r="N311" s="79">
        <f>IFERROR(VLOOKUP($A:$A,CS!$A:$AK,19,FALSE),"")</f>
      </c>
      <c r="O311" s="79">
        <f>IFERROR(VLOOKUP($A:$A,CS!$A:$AK,23,FALSE),"")</f>
      </c>
      <c r="P311" s="79">
        <f>IFERROR(VLOOKUP($A:$A,CS!$A:$AK,24,FALSE),"")</f>
      </c>
      <c r="Q311" s="79">
        <f>IFERROR(VLOOKUP($A:$A,CS!$A:$AK,25,FALSE),"")</f>
      </c>
      <c r="R311" s="79">
        <f>IFERROR(VLOOKUP($A:$A,CS!$A:$AK,26,FALSE),"")</f>
      </c>
      <c r="S311" s="79">
        <f>IFERROR(VLOOKUP($A:$A,CS!$A:$AK,29,FALSE),"")</f>
      </c>
      <c r="T311" s="79">
        <f>IFERROR(VLOOKUP($A:$A,CS!$A:$AK,33,FALSE),"")</f>
      </c>
      <c r="U311" s="79">
        <f>IFERROR(VLOOKUP($A:$A,CS!$A:$AK,34,FALSE),"")</f>
      </c>
      <c r="V311" s="79">
        <f>IFERROR(VLOOKUP($A:$A,CS!$A:$AK,35,FALSE),"")</f>
      </c>
      <c r="W311" s="79">
        <f>IFERROR(VLOOKUP($A:$A,CS!$A:$AK,36,FALSE),"")</f>
      </c>
    </row>
    <row r="312" ht="16.5" customHeight="1" spans="1:23" x14ac:dyDescent="0.25">
      <c r="A312" s="93"/>
      <c r="B312" s="79">
        <f>IFERROR(VLOOKUP($A:$A,CS!$A:$AK,3,FALSE),"")</f>
      </c>
      <c r="C312" s="79">
        <f>IFERROR(VLOOKUP($A:$A,CS!$A:$AK,4,FALSE),"")</f>
      </c>
      <c r="D312" s="79">
        <f>IFERROR(VLOOKUP($A:$A,CS!$A:$AK,5,FALSE),"")</f>
      </c>
      <c r="E312" s="79">
        <f>IFERROR(VLOOKUP($A:$A,CS!$A:$AK,7,FALSE),"")</f>
      </c>
      <c r="F312" s="79">
        <f>IFERROR(VLOOKUP($A:$A,CS!$A:$AK,8,FALSE),"")</f>
      </c>
      <c r="G312" s="79">
        <f>IFERROR(VLOOKUP($A:$A,CS!$A:$AK,10,FALSE),"")</f>
      </c>
      <c r="H312" s="79">
        <f>IFERROR(VLOOKUP($A:$A,CS!$A:$AK,14,FALSE),"")</f>
      </c>
      <c r="I312" s="79">
        <f>IFERROR(VLOOKUP($A:$A,CS!$A:$AK,15,FALSE),"")</f>
      </c>
      <c r="J312" s="79">
        <f>IFERROR(VLOOKUP($A:$A,CS!$A:$AK,18,FALSE),"")</f>
      </c>
      <c r="K312" s="79">
        <f>IFERROR(VLOOKUP($A:$A,CS!$A:$AK,19,FALSE),"")</f>
      </c>
      <c r="L312" s="79">
        <f>IFERROR(VLOOKUP($A:$A,CS!$A:$AK,20,FALSE),"")</f>
      </c>
      <c r="M312" s="79">
        <f>IFERROR(VLOOKUP($A:$A,CS!$A:$AK,22,FALSE),"")</f>
      </c>
      <c r="N312" s="79">
        <f>IFERROR(VLOOKUP($A:$A,CS!$A:$AK,19,FALSE),"")</f>
      </c>
      <c r="O312" s="79">
        <f>IFERROR(VLOOKUP($A:$A,CS!$A:$AK,23,FALSE),"")</f>
      </c>
      <c r="P312" s="79">
        <f>IFERROR(VLOOKUP($A:$A,CS!$A:$AK,24,FALSE),"")</f>
      </c>
      <c r="Q312" s="79">
        <f>IFERROR(VLOOKUP($A:$A,CS!$A:$AK,25,FALSE),"")</f>
      </c>
      <c r="R312" s="79">
        <f>IFERROR(VLOOKUP($A:$A,CS!$A:$AK,26,FALSE),"")</f>
      </c>
      <c r="S312" s="79">
        <f>IFERROR(VLOOKUP($A:$A,CS!$A:$AK,29,FALSE),"")</f>
      </c>
      <c r="T312" s="79">
        <f>IFERROR(VLOOKUP($A:$A,CS!$A:$AK,33,FALSE),"")</f>
      </c>
      <c r="U312" s="79">
        <f>IFERROR(VLOOKUP($A:$A,CS!$A:$AK,34,FALSE),"")</f>
      </c>
      <c r="V312" s="79">
        <f>IFERROR(VLOOKUP($A:$A,CS!$A:$AK,35,FALSE),"")</f>
      </c>
      <c r="W312" s="79">
        <f>IFERROR(VLOOKUP($A:$A,CS!$A:$AK,36,FALSE),"")</f>
      </c>
    </row>
    <row r="313" ht="16.5" customHeight="1" spans="1:23" x14ac:dyDescent="0.25">
      <c r="A313" s="93"/>
      <c r="B313" s="79">
        <f>IFERROR(VLOOKUP($A:$A,CS!$A:$AK,3,FALSE),"")</f>
      </c>
      <c r="C313" s="79">
        <f>IFERROR(VLOOKUP($A:$A,CS!$A:$AK,4,FALSE),"")</f>
      </c>
      <c r="D313" s="79">
        <f>IFERROR(VLOOKUP($A:$A,CS!$A:$AK,5,FALSE),"")</f>
      </c>
      <c r="E313" s="79">
        <f>IFERROR(VLOOKUP($A:$A,CS!$A:$AK,7,FALSE),"")</f>
      </c>
      <c r="F313" s="79">
        <f>IFERROR(VLOOKUP($A:$A,CS!$A:$AK,8,FALSE),"")</f>
      </c>
      <c r="G313" s="79">
        <f>IFERROR(VLOOKUP($A:$A,CS!$A:$AK,10,FALSE),"")</f>
      </c>
      <c r="H313" s="79">
        <f>IFERROR(VLOOKUP($A:$A,CS!$A:$AK,14,FALSE),"")</f>
      </c>
      <c r="I313" s="79">
        <f>IFERROR(VLOOKUP($A:$A,CS!$A:$AK,15,FALSE),"")</f>
      </c>
      <c r="J313" s="79">
        <f>IFERROR(VLOOKUP($A:$A,CS!$A:$AK,18,FALSE),"")</f>
      </c>
      <c r="K313" s="79">
        <f>IFERROR(VLOOKUP($A:$A,CS!$A:$AK,19,FALSE),"")</f>
      </c>
      <c r="L313" s="79">
        <f>IFERROR(VLOOKUP($A:$A,CS!$A:$AK,20,FALSE),"")</f>
      </c>
      <c r="M313" s="79">
        <f>IFERROR(VLOOKUP($A:$A,CS!$A:$AK,22,FALSE),"")</f>
      </c>
      <c r="N313" s="79">
        <f>IFERROR(VLOOKUP($A:$A,CS!$A:$AK,19,FALSE),"")</f>
      </c>
      <c r="O313" s="79">
        <f>IFERROR(VLOOKUP($A:$A,CS!$A:$AK,23,FALSE),"")</f>
      </c>
      <c r="P313" s="79">
        <f>IFERROR(VLOOKUP($A:$A,CS!$A:$AK,24,FALSE),"")</f>
      </c>
      <c r="Q313" s="79">
        <f>IFERROR(VLOOKUP($A:$A,CS!$A:$AK,25,FALSE),"")</f>
      </c>
      <c r="R313" s="79">
        <f>IFERROR(VLOOKUP($A:$A,CS!$A:$AK,26,FALSE),"")</f>
      </c>
      <c r="S313" s="79">
        <f>IFERROR(VLOOKUP($A:$A,CS!$A:$AK,29,FALSE),"")</f>
      </c>
      <c r="T313" s="79">
        <f>IFERROR(VLOOKUP($A:$A,CS!$A:$AK,33,FALSE),"")</f>
      </c>
      <c r="U313" s="79">
        <f>IFERROR(VLOOKUP($A:$A,CS!$A:$AK,34,FALSE),"")</f>
      </c>
      <c r="V313" s="79">
        <f>IFERROR(VLOOKUP($A:$A,CS!$A:$AK,35,FALSE),"")</f>
      </c>
      <c r="W313" s="79">
        <f>IFERROR(VLOOKUP($A:$A,CS!$A:$AK,36,FALSE),"")</f>
      </c>
    </row>
    <row r="314" ht="16.5" customHeight="1" spans="1:23" x14ac:dyDescent="0.25">
      <c r="A314" s="93"/>
      <c r="B314" s="79">
        <f>IFERROR(VLOOKUP($A:$A,CS!$A:$AK,3,FALSE),"")</f>
      </c>
      <c r="C314" s="79">
        <f>IFERROR(VLOOKUP($A:$A,CS!$A:$AK,4,FALSE),"")</f>
      </c>
      <c r="D314" s="79">
        <f>IFERROR(VLOOKUP($A:$A,CS!$A:$AK,5,FALSE),"")</f>
      </c>
      <c r="E314" s="79">
        <f>IFERROR(VLOOKUP($A:$A,CS!$A:$AK,7,FALSE),"")</f>
      </c>
      <c r="F314" s="79">
        <f>IFERROR(VLOOKUP($A:$A,CS!$A:$AK,8,FALSE),"")</f>
      </c>
      <c r="G314" s="79">
        <f>IFERROR(VLOOKUP($A:$A,CS!$A:$AK,10,FALSE),"")</f>
      </c>
      <c r="H314" s="79">
        <f>IFERROR(VLOOKUP($A:$A,CS!$A:$AK,14,FALSE),"")</f>
      </c>
      <c r="I314" s="79">
        <f>IFERROR(VLOOKUP($A:$A,CS!$A:$AK,15,FALSE),"")</f>
      </c>
      <c r="J314" s="79">
        <f>IFERROR(VLOOKUP($A:$A,CS!$A:$AK,18,FALSE),"")</f>
      </c>
      <c r="K314" s="79">
        <f>IFERROR(VLOOKUP($A:$A,CS!$A:$AK,19,FALSE),"")</f>
      </c>
      <c r="L314" s="79">
        <f>IFERROR(VLOOKUP($A:$A,CS!$A:$AK,20,FALSE),"")</f>
      </c>
      <c r="M314" s="79">
        <f>IFERROR(VLOOKUP($A:$A,CS!$A:$AK,22,FALSE),"")</f>
      </c>
      <c r="N314" s="79">
        <f>IFERROR(VLOOKUP($A:$A,CS!$A:$AK,19,FALSE),"")</f>
      </c>
      <c r="O314" s="79">
        <f>IFERROR(VLOOKUP($A:$A,CS!$A:$AK,23,FALSE),"")</f>
      </c>
      <c r="P314" s="79">
        <f>IFERROR(VLOOKUP($A:$A,CS!$A:$AK,24,FALSE),"")</f>
      </c>
      <c r="Q314" s="79">
        <f>IFERROR(VLOOKUP($A:$A,CS!$A:$AK,25,FALSE),"")</f>
      </c>
      <c r="R314" s="79">
        <f>IFERROR(VLOOKUP($A:$A,CS!$A:$AK,26,FALSE),"")</f>
      </c>
      <c r="S314" s="79">
        <f>IFERROR(VLOOKUP($A:$A,CS!$A:$AK,29,FALSE),"")</f>
      </c>
      <c r="T314" s="79">
        <f>IFERROR(VLOOKUP($A:$A,CS!$A:$AK,33,FALSE),"")</f>
      </c>
      <c r="U314" s="79">
        <f>IFERROR(VLOOKUP($A:$A,CS!$A:$AK,34,FALSE),"")</f>
      </c>
      <c r="V314" s="79">
        <f>IFERROR(VLOOKUP($A:$A,CS!$A:$AK,35,FALSE),"")</f>
      </c>
      <c r="W314" s="79">
        <f>IFERROR(VLOOKUP($A:$A,CS!$A:$AK,36,FALSE),"")</f>
      </c>
    </row>
    <row r="315" ht="16.5" customHeight="1" spans="1:23" x14ac:dyDescent="0.25">
      <c r="A315" s="93"/>
      <c r="B315" s="79">
        <f>IFERROR(VLOOKUP($A:$A,CS!$A:$AK,3,FALSE),"")</f>
      </c>
      <c r="C315" s="79">
        <f>IFERROR(VLOOKUP($A:$A,CS!$A:$AK,4,FALSE),"")</f>
      </c>
      <c r="D315" s="79">
        <f>IFERROR(VLOOKUP($A:$A,CS!$A:$AK,5,FALSE),"")</f>
      </c>
      <c r="E315" s="79">
        <f>IFERROR(VLOOKUP($A:$A,CS!$A:$AK,7,FALSE),"")</f>
      </c>
      <c r="F315" s="79">
        <f>IFERROR(VLOOKUP($A:$A,CS!$A:$AK,8,FALSE),"")</f>
      </c>
      <c r="G315" s="79">
        <f>IFERROR(VLOOKUP($A:$A,CS!$A:$AK,10,FALSE),"")</f>
      </c>
      <c r="H315" s="79">
        <f>IFERROR(VLOOKUP($A:$A,CS!$A:$AK,14,FALSE),"")</f>
      </c>
      <c r="I315" s="79">
        <f>IFERROR(VLOOKUP($A:$A,CS!$A:$AK,15,FALSE),"")</f>
      </c>
      <c r="J315" s="79">
        <f>IFERROR(VLOOKUP($A:$A,CS!$A:$AK,18,FALSE),"")</f>
      </c>
      <c r="K315" s="79">
        <f>IFERROR(VLOOKUP($A:$A,CS!$A:$AK,19,FALSE),"")</f>
      </c>
      <c r="L315" s="79">
        <f>IFERROR(VLOOKUP($A:$A,CS!$A:$AK,20,FALSE),"")</f>
      </c>
      <c r="M315" s="79">
        <f>IFERROR(VLOOKUP($A:$A,CS!$A:$AK,22,FALSE),"")</f>
      </c>
      <c r="N315" s="79">
        <f>IFERROR(VLOOKUP($A:$A,CS!$A:$AK,19,FALSE),"")</f>
      </c>
      <c r="O315" s="79">
        <f>IFERROR(VLOOKUP($A:$A,CS!$A:$AK,23,FALSE),"")</f>
      </c>
      <c r="P315" s="79">
        <f>IFERROR(VLOOKUP($A:$A,CS!$A:$AK,24,FALSE),"")</f>
      </c>
      <c r="Q315" s="79">
        <f>IFERROR(VLOOKUP($A:$A,CS!$A:$AK,25,FALSE),"")</f>
      </c>
      <c r="R315" s="79">
        <f>IFERROR(VLOOKUP($A:$A,CS!$A:$AK,26,FALSE),"")</f>
      </c>
      <c r="S315" s="79">
        <f>IFERROR(VLOOKUP($A:$A,CS!$A:$AK,29,FALSE),"")</f>
      </c>
      <c r="T315" s="79">
        <f>IFERROR(VLOOKUP($A:$A,CS!$A:$AK,33,FALSE),"")</f>
      </c>
      <c r="U315" s="79">
        <f>IFERROR(VLOOKUP($A:$A,CS!$A:$AK,34,FALSE),"")</f>
      </c>
      <c r="V315" s="79">
        <f>IFERROR(VLOOKUP($A:$A,CS!$A:$AK,35,FALSE),"")</f>
      </c>
      <c r="W315" s="79">
        <f>IFERROR(VLOOKUP($A:$A,CS!$A:$AK,36,FALSE),"")</f>
      </c>
    </row>
    <row r="316" ht="16.5" customHeight="1" spans="1:23" x14ac:dyDescent="0.25">
      <c r="A316" s="93"/>
      <c r="B316" s="79">
        <f>IFERROR(VLOOKUP($A:$A,CS!$A:$AK,3,FALSE),"")</f>
      </c>
      <c r="C316" s="79">
        <f>IFERROR(VLOOKUP($A:$A,CS!$A:$AK,4,FALSE),"")</f>
      </c>
      <c r="D316" s="79">
        <f>IFERROR(VLOOKUP($A:$A,CS!$A:$AK,5,FALSE),"")</f>
      </c>
      <c r="E316" s="79">
        <f>IFERROR(VLOOKUP($A:$A,CS!$A:$AK,7,FALSE),"")</f>
      </c>
      <c r="F316" s="79">
        <f>IFERROR(VLOOKUP($A:$A,CS!$A:$AK,8,FALSE),"")</f>
      </c>
      <c r="G316" s="79">
        <f>IFERROR(VLOOKUP($A:$A,CS!$A:$AK,10,FALSE),"")</f>
      </c>
      <c r="H316" s="79">
        <f>IFERROR(VLOOKUP($A:$A,CS!$A:$AK,14,FALSE),"")</f>
      </c>
      <c r="I316" s="79">
        <f>IFERROR(VLOOKUP($A:$A,CS!$A:$AK,15,FALSE),"")</f>
      </c>
      <c r="J316" s="79">
        <f>IFERROR(VLOOKUP($A:$A,CS!$A:$AK,18,FALSE),"")</f>
      </c>
      <c r="K316" s="79">
        <f>IFERROR(VLOOKUP($A:$A,CS!$A:$AK,19,FALSE),"")</f>
      </c>
      <c r="L316" s="79">
        <f>IFERROR(VLOOKUP($A:$A,CS!$A:$AK,20,FALSE),"")</f>
      </c>
      <c r="M316" s="79">
        <f>IFERROR(VLOOKUP($A:$A,CS!$A:$AK,22,FALSE),"")</f>
      </c>
      <c r="N316" s="79">
        <f>IFERROR(VLOOKUP($A:$A,CS!$A:$AK,19,FALSE),"")</f>
      </c>
      <c r="O316" s="79">
        <f>IFERROR(VLOOKUP($A:$A,CS!$A:$AK,23,FALSE),"")</f>
      </c>
      <c r="P316" s="79">
        <f>IFERROR(VLOOKUP($A:$A,CS!$A:$AK,24,FALSE),"")</f>
      </c>
      <c r="Q316" s="79">
        <f>IFERROR(VLOOKUP($A:$A,CS!$A:$AK,25,FALSE),"")</f>
      </c>
      <c r="R316" s="79">
        <f>IFERROR(VLOOKUP($A:$A,CS!$A:$AK,26,FALSE),"")</f>
      </c>
      <c r="S316" s="79">
        <f>IFERROR(VLOOKUP($A:$A,CS!$A:$AK,29,FALSE),"")</f>
      </c>
      <c r="T316" s="79">
        <f>IFERROR(VLOOKUP($A:$A,CS!$A:$AK,33,FALSE),"")</f>
      </c>
      <c r="U316" s="79">
        <f>IFERROR(VLOOKUP($A:$A,CS!$A:$AK,34,FALSE),"")</f>
      </c>
      <c r="V316" s="79">
        <f>IFERROR(VLOOKUP($A:$A,CS!$A:$AK,35,FALSE),"")</f>
      </c>
      <c r="W316" s="79">
        <f>IFERROR(VLOOKUP($A:$A,CS!$A:$AK,36,FALSE),"")</f>
      </c>
    </row>
    <row r="317" ht="16.5" customHeight="1" spans="1:23" x14ac:dyDescent="0.25">
      <c r="A317" s="93"/>
      <c r="B317" s="79">
        <f>IFERROR(VLOOKUP($A:$A,CS!$A:$AK,3,FALSE),"")</f>
      </c>
      <c r="C317" s="79">
        <f>IFERROR(VLOOKUP($A:$A,CS!$A:$AK,4,FALSE),"")</f>
      </c>
      <c r="D317" s="79">
        <f>IFERROR(VLOOKUP($A:$A,CS!$A:$AK,5,FALSE),"")</f>
      </c>
      <c r="E317" s="79">
        <f>IFERROR(VLOOKUP($A:$A,CS!$A:$AK,7,FALSE),"")</f>
      </c>
      <c r="F317" s="79">
        <f>IFERROR(VLOOKUP($A:$A,CS!$A:$AK,8,FALSE),"")</f>
      </c>
      <c r="G317" s="79">
        <f>IFERROR(VLOOKUP($A:$A,CS!$A:$AK,10,FALSE),"")</f>
      </c>
      <c r="H317" s="79">
        <f>IFERROR(VLOOKUP($A:$A,CS!$A:$AK,14,FALSE),"")</f>
      </c>
      <c r="I317" s="79">
        <f>IFERROR(VLOOKUP($A:$A,CS!$A:$AK,15,FALSE),"")</f>
      </c>
      <c r="J317" s="79">
        <f>IFERROR(VLOOKUP($A:$A,CS!$A:$AK,18,FALSE),"")</f>
      </c>
      <c r="K317" s="79">
        <f>IFERROR(VLOOKUP($A:$A,CS!$A:$AK,19,FALSE),"")</f>
      </c>
      <c r="L317" s="79">
        <f>IFERROR(VLOOKUP($A:$A,CS!$A:$AK,20,FALSE),"")</f>
      </c>
      <c r="M317" s="79">
        <f>IFERROR(VLOOKUP($A:$A,CS!$A:$AK,22,FALSE),"")</f>
      </c>
      <c r="N317" s="79">
        <f>IFERROR(VLOOKUP($A:$A,CS!$A:$AK,19,FALSE),"")</f>
      </c>
      <c r="O317" s="79">
        <f>IFERROR(VLOOKUP($A:$A,CS!$A:$AK,23,FALSE),"")</f>
      </c>
      <c r="P317" s="79">
        <f>IFERROR(VLOOKUP($A:$A,CS!$A:$AK,24,FALSE),"")</f>
      </c>
      <c r="Q317" s="79">
        <f>IFERROR(VLOOKUP($A:$A,CS!$A:$AK,25,FALSE),"")</f>
      </c>
      <c r="R317" s="79">
        <f>IFERROR(VLOOKUP($A:$A,CS!$A:$AK,26,FALSE),"")</f>
      </c>
      <c r="S317" s="79">
        <f>IFERROR(VLOOKUP($A:$A,CS!$A:$AK,29,FALSE),"")</f>
      </c>
      <c r="T317" s="79">
        <f>IFERROR(VLOOKUP($A:$A,CS!$A:$AK,33,FALSE),"")</f>
      </c>
      <c r="U317" s="79">
        <f>IFERROR(VLOOKUP($A:$A,CS!$A:$AK,34,FALSE),"")</f>
      </c>
      <c r="V317" s="79">
        <f>IFERROR(VLOOKUP($A:$A,CS!$A:$AK,35,FALSE),"")</f>
      </c>
      <c r="W317" s="79">
        <f>IFERROR(VLOOKUP($A:$A,CS!$A:$AK,36,FALSE),"")</f>
      </c>
    </row>
    <row r="318" ht="16.5" customHeight="1" spans="1:23" x14ac:dyDescent="0.25">
      <c r="A318" s="93"/>
      <c r="B318" s="79">
        <f>IFERROR(VLOOKUP($A:$A,CS!$A:$AK,3,FALSE),"")</f>
      </c>
      <c r="C318" s="79">
        <f>IFERROR(VLOOKUP($A:$A,CS!$A:$AK,4,FALSE),"")</f>
      </c>
      <c r="D318" s="79">
        <f>IFERROR(VLOOKUP($A:$A,CS!$A:$AK,5,FALSE),"")</f>
      </c>
      <c r="E318" s="79">
        <f>IFERROR(VLOOKUP($A:$A,CS!$A:$AK,7,FALSE),"")</f>
      </c>
      <c r="F318" s="79">
        <f>IFERROR(VLOOKUP($A:$A,CS!$A:$AK,8,FALSE),"")</f>
      </c>
      <c r="G318" s="79">
        <f>IFERROR(VLOOKUP($A:$A,CS!$A:$AK,10,FALSE),"")</f>
      </c>
      <c r="H318" s="79">
        <f>IFERROR(VLOOKUP($A:$A,CS!$A:$AK,14,FALSE),"")</f>
      </c>
      <c r="I318" s="79">
        <f>IFERROR(VLOOKUP($A:$A,CS!$A:$AK,15,FALSE),"")</f>
      </c>
      <c r="J318" s="79">
        <f>IFERROR(VLOOKUP($A:$A,CS!$A:$AK,18,FALSE),"")</f>
      </c>
      <c r="K318" s="79">
        <f>IFERROR(VLOOKUP($A:$A,CS!$A:$AK,19,FALSE),"")</f>
      </c>
      <c r="L318" s="79">
        <f>IFERROR(VLOOKUP($A:$A,CS!$A:$AK,20,FALSE),"")</f>
      </c>
      <c r="M318" s="79">
        <f>IFERROR(VLOOKUP($A:$A,CS!$A:$AK,22,FALSE),"")</f>
      </c>
      <c r="N318" s="79">
        <f>IFERROR(VLOOKUP($A:$A,CS!$A:$AK,19,FALSE),"")</f>
      </c>
      <c r="O318" s="79">
        <f>IFERROR(VLOOKUP($A:$A,CS!$A:$AK,23,FALSE),"")</f>
      </c>
      <c r="P318" s="79">
        <f>IFERROR(VLOOKUP($A:$A,CS!$A:$AK,24,FALSE),"")</f>
      </c>
      <c r="Q318" s="79">
        <f>IFERROR(VLOOKUP($A:$A,CS!$A:$AK,25,FALSE),"")</f>
      </c>
      <c r="R318" s="79">
        <f>IFERROR(VLOOKUP($A:$A,CS!$A:$AK,26,FALSE),"")</f>
      </c>
      <c r="S318" s="79">
        <f>IFERROR(VLOOKUP($A:$A,CS!$A:$AK,29,FALSE),"")</f>
      </c>
      <c r="T318" s="79">
        <f>IFERROR(VLOOKUP($A:$A,CS!$A:$AK,33,FALSE),"")</f>
      </c>
      <c r="U318" s="79">
        <f>IFERROR(VLOOKUP($A:$A,CS!$A:$AK,34,FALSE),"")</f>
      </c>
      <c r="V318" s="79">
        <f>IFERROR(VLOOKUP($A:$A,CS!$A:$AK,35,FALSE),"")</f>
      </c>
      <c r="W318" s="79">
        <f>IFERROR(VLOOKUP($A:$A,CS!$A:$AK,36,FALSE),"")</f>
      </c>
    </row>
    <row r="319" ht="16.5" customHeight="1" spans="1:23" x14ac:dyDescent="0.25">
      <c r="A319" s="93"/>
      <c r="B319" s="79">
        <f>IFERROR(VLOOKUP($A:$A,CS!$A:$AK,3,FALSE),"")</f>
      </c>
      <c r="C319" s="79">
        <f>IFERROR(VLOOKUP($A:$A,CS!$A:$AK,4,FALSE),"")</f>
      </c>
      <c r="D319" s="79">
        <f>IFERROR(VLOOKUP($A:$A,CS!$A:$AK,5,FALSE),"")</f>
      </c>
      <c r="E319" s="79">
        <f>IFERROR(VLOOKUP($A:$A,CS!$A:$AK,7,FALSE),"")</f>
      </c>
      <c r="F319" s="79">
        <f>IFERROR(VLOOKUP($A:$A,CS!$A:$AK,8,FALSE),"")</f>
      </c>
      <c r="G319" s="79">
        <f>IFERROR(VLOOKUP($A:$A,CS!$A:$AK,10,FALSE),"")</f>
      </c>
      <c r="H319" s="79">
        <f>IFERROR(VLOOKUP($A:$A,CS!$A:$AK,14,FALSE),"")</f>
      </c>
      <c r="I319" s="79">
        <f>IFERROR(VLOOKUP($A:$A,CS!$A:$AK,15,FALSE),"")</f>
      </c>
      <c r="J319" s="79">
        <f>IFERROR(VLOOKUP($A:$A,CS!$A:$AK,18,FALSE),"")</f>
      </c>
      <c r="K319" s="79">
        <f>IFERROR(VLOOKUP($A:$A,CS!$A:$AK,19,FALSE),"")</f>
      </c>
      <c r="L319" s="79">
        <f>IFERROR(VLOOKUP($A:$A,CS!$A:$AK,20,FALSE),"")</f>
      </c>
      <c r="M319" s="79">
        <f>IFERROR(VLOOKUP($A:$A,CS!$A:$AK,22,FALSE),"")</f>
      </c>
      <c r="N319" s="79">
        <f>IFERROR(VLOOKUP($A:$A,CS!$A:$AK,19,FALSE),"")</f>
      </c>
      <c r="O319" s="79">
        <f>IFERROR(VLOOKUP($A:$A,CS!$A:$AK,23,FALSE),"")</f>
      </c>
      <c r="P319" s="79">
        <f>IFERROR(VLOOKUP($A:$A,CS!$A:$AK,24,FALSE),"")</f>
      </c>
      <c r="Q319" s="79">
        <f>IFERROR(VLOOKUP($A:$A,CS!$A:$AK,25,FALSE),"")</f>
      </c>
      <c r="R319" s="79">
        <f>IFERROR(VLOOKUP($A:$A,CS!$A:$AK,26,FALSE),"")</f>
      </c>
      <c r="S319" s="79">
        <f>IFERROR(VLOOKUP($A:$A,CS!$A:$AK,29,FALSE),"")</f>
      </c>
      <c r="T319" s="79">
        <f>IFERROR(VLOOKUP($A:$A,CS!$A:$AK,33,FALSE),"")</f>
      </c>
      <c r="U319" s="79">
        <f>IFERROR(VLOOKUP($A:$A,CS!$A:$AK,34,FALSE),"")</f>
      </c>
      <c r="V319" s="79">
        <f>IFERROR(VLOOKUP($A:$A,CS!$A:$AK,35,FALSE),"")</f>
      </c>
      <c r="W319" s="79">
        <f>IFERROR(VLOOKUP($A:$A,CS!$A:$AK,36,FALSE),"")</f>
      </c>
    </row>
    <row r="320" ht="16.5" customHeight="1" spans="1:23" x14ac:dyDescent="0.25">
      <c r="A320" s="93"/>
      <c r="B320" s="79">
        <f>IFERROR(VLOOKUP($A:$A,CS!$A:$AK,3,FALSE),"")</f>
      </c>
      <c r="C320" s="79">
        <f>IFERROR(VLOOKUP($A:$A,CS!$A:$AK,4,FALSE),"")</f>
      </c>
      <c r="D320" s="79">
        <f>IFERROR(VLOOKUP($A:$A,CS!$A:$AK,5,FALSE),"")</f>
      </c>
      <c r="E320" s="79">
        <f>IFERROR(VLOOKUP($A:$A,CS!$A:$AK,7,FALSE),"")</f>
      </c>
      <c r="F320" s="79">
        <f>IFERROR(VLOOKUP($A:$A,CS!$A:$AK,8,FALSE),"")</f>
      </c>
      <c r="G320" s="79">
        <f>IFERROR(VLOOKUP($A:$A,CS!$A:$AK,10,FALSE),"")</f>
      </c>
      <c r="H320" s="79">
        <f>IFERROR(VLOOKUP($A:$A,CS!$A:$AK,14,FALSE),"")</f>
      </c>
      <c r="I320" s="79">
        <f>IFERROR(VLOOKUP($A:$A,CS!$A:$AK,15,FALSE),"")</f>
      </c>
      <c r="J320" s="79">
        <f>IFERROR(VLOOKUP($A:$A,CS!$A:$AK,18,FALSE),"")</f>
      </c>
      <c r="K320" s="79">
        <f>IFERROR(VLOOKUP($A:$A,CS!$A:$AK,19,FALSE),"")</f>
      </c>
      <c r="L320" s="79">
        <f>IFERROR(VLOOKUP($A:$A,CS!$A:$AK,20,FALSE),"")</f>
      </c>
      <c r="M320" s="79">
        <f>IFERROR(VLOOKUP($A:$A,CS!$A:$AK,22,FALSE),"")</f>
      </c>
      <c r="N320" s="79">
        <f>IFERROR(VLOOKUP($A:$A,CS!$A:$AK,19,FALSE),"")</f>
      </c>
      <c r="O320" s="79">
        <f>IFERROR(VLOOKUP($A:$A,CS!$A:$AK,23,FALSE),"")</f>
      </c>
      <c r="P320" s="79">
        <f>IFERROR(VLOOKUP($A:$A,CS!$A:$AK,24,FALSE),"")</f>
      </c>
      <c r="Q320" s="79">
        <f>IFERROR(VLOOKUP($A:$A,CS!$A:$AK,25,FALSE),"")</f>
      </c>
      <c r="R320" s="79">
        <f>IFERROR(VLOOKUP($A:$A,CS!$A:$AK,26,FALSE),"")</f>
      </c>
      <c r="S320" s="79">
        <f>IFERROR(VLOOKUP($A:$A,CS!$A:$AK,29,FALSE),"")</f>
      </c>
      <c r="T320" s="79">
        <f>IFERROR(VLOOKUP($A:$A,CS!$A:$AK,33,FALSE),"")</f>
      </c>
      <c r="U320" s="79">
        <f>IFERROR(VLOOKUP($A:$A,CS!$A:$AK,34,FALSE),"")</f>
      </c>
      <c r="V320" s="79">
        <f>IFERROR(VLOOKUP($A:$A,CS!$A:$AK,35,FALSE),"")</f>
      </c>
      <c r="W320" s="79">
        <f>IFERROR(VLOOKUP($A:$A,CS!$A:$AK,36,FALSE),"")</f>
      </c>
    </row>
    <row r="321" ht="16.5" customHeight="1" spans="1:23" x14ac:dyDescent="0.25">
      <c r="A321" s="93"/>
      <c r="B321" s="79">
        <f>IFERROR(VLOOKUP($A:$A,CS!$A:$AK,3,FALSE),"")</f>
      </c>
      <c r="C321" s="79">
        <f>IFERROR(VLOOKUP($A:$A,CS!$A:$AK,4,FALSE),"")</f>
      </c>
      <c r="D321" s="79">
        <f>IFERROR(VLOOKUP($A:$A,CS!$A:$AK,5,FALSE),"")</f>
      </c>
      <c r="E321" s="79">
        <f>IFERROR(VLOOKUP($A:$A,CS!$A:$AK,7,FALSE),"")</f>
      </c>
      <c r="F321" s="79">
        <f>IFERROR(VLOOKUP($A:$A,CS!$A:$AK,8,FALSE),"")</f>
      </c>
      <c r="G321" s="79">
        <f>IFERROR(VLOOKUP($A:$A,CS!$A:$AK,10,FALSE),"")</f>
      </c>
      <c r="H321" s="79">
        <f>IFERROR(VLOOKUP($A:$A,CS!$A:$AK,14,FALSE),"")</f>
      </c>
      <c r="I321" s="79">
        <f>IFERROR(VLOOKUP($A:$A,CS!$A:$AK,15,FALSE),"")</f>
      </c>
      <c r="J321" s="79">
        <f>IFERROR(VLOOKUP($A:$A,CS!$A:$AK,18,FALSE),"")</f>
      </c>
      <c r="K321" s="79">
        <f>IFERROR(VLOOKUP($A:$A,CS!$A:$AK,19,FALSE),"")</f>
      </c>
      <c r="L321" s="79">
        <f>IFERROR(VLOOKUP($A:$A,CS!$A:$AK,20,FALSE),"")</f>
      </c>
      <c r="M321" s="79">
        <f>IFERROR(VLOOKUP($A:$A,CS!$A:$AK,22,FALSE),"")</f>
      </c>
      <c r="N321" s="79">
        <f>IFERROR(VLOOKUP($A:$A,CS!$A:$AK,19,FALSE),"")</f>
      </c>
      <c r="O321" s="79">
        <f>IFERROR(VLOOKUP($A:$A,CS!$A:$AK,23,FALSE),"")</f>
      </c>
      <c r="P321" s="79">
        <f>IFERROR(VLOOKUP($A:$A,CS!$A:$AK,24,FALSE),"")</f>
      </c>
      <c r="Q321" s="79">
        <f>IFERROR(VLOOKUP($A:$A,CS!$A:$AK,25,FALSE),"")</f>
      </c>
      <c r="R321" s="79">
        <f>IFERROR(VLOOKUP($A:$A,CS!$A:$AK,26,FALSE),"")</f>
      </c>
      <c r="S321" s="79">
        <f>IFERROR(VLOOKUP($A:$A,CS!$A:$AK,29,FALSE),"")</f>
      </c>
      <c r="T321" s="79">
        <f>IFERROR(VLOOKUP($A:$A,CS!$A:$AK,33,FALSE),"")</f>
      </c>
      <c r="U321" s="79">
        <f>IFERROR(VLOOKUP($A:$A,CS!$A:$AK,34,FALSE),"")</f>
      </c>
      <c r="V321" s="79">
        <f>IFERROR(VLOOKUP($A:$A,CS!$A:$AK,35,FALSE),"")</f>
      </c>
      <c r="W321" s="79">
        <f>IFERROR(VLOOKUP($A:$A,CS!$A:$AK,36,FALSE),"")</f>
      </c>
    </row>
    <row r="322" ht="16.5" customHeight="1" spans="1:23" x14ac:dyDescent="0.25">
      <c r="A322" s="93"/>
      <c r="B322" s="79">
        <f>IFERROR(VLOOKUP($A:$A,CS!$A:$AK,3,FALSE),"")</f>
      </c>
      <c r="C322" s="79">
        <f>IFERROR(VLOOKUP($A:$A,CS!$A:$AK,4,FALSE),"")</f>
      </c>
      <c r="D322" s="79">
        <f>IFERROR(VLOOKUP($A:$A,CS!$A:$AK,5,FALSE),"")</f>
      </c>
      <c r="E322" s="79">
        <f>IFERROR(VLOOKUP($A:$A,CS!$A:$AK,7,FALSE),"")</f>
      </c>
      <c r="F322" s="79">
        <f>IFERROR(VLOOKUP($A:$A,CS!$A:$AK,8,FALSE),"")</f>
      </c>
      <c r="G322" s="79">
        <f>IFERROR(VLOOKUP($A:$A,CS!$A:$AK,10,FALSE),"")</f>
      </c>
      <c r="H322" s="79">
        <f>IFERROR(VLOOKUP($A:$A,CS!$A:$AK,14,FALSE),"")</f>
      </c>
      <c r="I322" s="79">
        <f>IFERROR(VLOOKUP($A:$A,CS!$A:$AK,15,FALSE),"")</f>
      </c>
      <c r="J322" s="79">
        <f>IFERROR(VLOOKUP($A:$A,CS!$A:$AK,18,FALSE),"")</f>
      </c>
      <c r="K322" s="79">
        <f>IFERROR(VLOOKUP($A:$A,CS!$A:$AK,19,FALSE),"")</f>
      </c>
      <c r="L322" s="79">
        <f>IFERROR(VLOOKUP($A:$A,CS!$A:$AK,20,FALSE),"")</f>
      </c>
      <c r="M322" s="79">
        <f>IFERROR(VLOOKUP($A:$A,CS!$A:$AK,22,FALSE),"")</f>
      </c>
      <c r="N322" s="79">
        <f>IFERROR(VLOOKUP($A:$A,CS!$A:$AK,19,FALSE),"")</f>
      </c>
      <c r="O322" s="79">
        <f>IFERROR(VLOOKUP($A:$A,CS!$A:$AK,23,FALSE),"")</f>
      </c>
      <c r="P322" s="79">
        <f>IFERROR(VLOOKUP($A:$A,CS!$A:$AK,24,FALSE),"")</f>
      </c>
      <c r="Q322" s="79">
        <f>IFERROR(VLOOKUP($A:$A,CS!$A:$AK,25,FALSE),"")</f>
      </c>
      <c r="R322" s="79">
        <f>IFERROR(VLOOKUP($A:$A,CS!$A:$AK,26,FALSE),"")</f>
      </c>
      <c r="S322" s="79">
        <f>IFERROR(VLOOKUP($A:$A,CS!$A:$AK,29,FALSE),"")</f>
      </c>
      <c r="T322" s="79">
        <f>IFERROR(VLOOKUP($A:$A,CS!$A:$AK,33,FALSE),"")</f>
      </c>
      <c r="U322" s="79">
        <f>IFERROR(VLOOKUP($A:$A,CS!$A:$AK,34,FALSE),"")</f>
      </c>
      <c r="V322" s="79">
        <f>IFERROR(VLOOKUP($A:$A,CS!$A:$AK,35,FALSE),"")</f>
      </c>
      <c r="W322" s="79">
        <f>IFERROR(VLOOKUP($A:$A,CS!$A:$AK,36,FALSE),"")</f>
      </c>
    </row>
    <row r="323" ht="16.5" customHeight="1" spans="1:23" x14ac:dyDescent="0.25">
      <c r="A323" s="93"/>
      <c r="B323" s="79">
        <f>IFERROR(VLOOKUP($A:$A,CS!$A:$AK,3,FALSE),"")</f>
      </c>
      <c r="C323" s="79">
        <f>IFERROR(VLOOKUP($A:$A,CS!$A:$AK,4,FALSE),"")</f>
      </c>
      <c r="D323" s="79">
        <f>IFERROR(VLOOKUP($A:$A,CS!$A:$AK,5,FALSE),"")</f>
      </c>
      <c r="E323" s="79">
        <f>IFERROR(VLOOKUP($A:$A,CS!$A:$AK,7,FALSE),"")</f>
      </c>
      <c r="F323" s="79">
        <f>IFERROR(VLOOKUP($A:$A,CS!$A:$AK,8,FALSE),"")</f>
      </c>
      <c r="G323" s="79">
        <f>IFERROR(VLOOKUP($A:$A,CS!$A:$AK,10,FALSE),"")</f>
      </c>
      <c r="H323" s="79">
        <f>IFERROR(VLOOKUP($A:$A,CS!$A:$AK,14,FALSE),"")</f>
      </c>
      <c r="I323" s="79">
        <f>IFERROR(VLOOKUP($A:$A,CS!$A:$AK,15,FALSE),"")</f>
      </c>
      <c r="J323" s="79">
        <f>IFERROR(VLOOKUP($A:$A,CS!$A:$AK,18,FALSE),"")</f>
      </c>
      <c r="K323" s="79">
        <f>IFERROR(VLOOKUP($A:$A,CS!$A:$AK,19,FALSE),"")</f>
      </c>
      <c r="L323" s="79">
        <f>IFERROR(VLOOKUP($A:$A,CS!$A:$AK,20,FALSE),"")</f>
      </c>
      <c r="M323" s="79">
        <f>IFERROR(VLOOKUP($A:$A,CS!$A:$AK,22,FALSE),"")</f>
      </c>
      <c r="N323" s="79">
        <f>IFERROR(VLOOKUP($A:$A,CS!$A:$AK,19,FALSE),"")</f>
      </c>
      <c r="O323" s="79">
        <f>IFERROR(VLOOKUP($A:$A,CS!$A:$AK,23,FALSE),"")</f>
      </c>
      <c r="P323" s="79">
        <f>IFERROR(VLOOKUP($A:$A,CS!$A:$AK,24,FALSE),"")</f>
      </c>
      <c r="Q323" s="79">
        <f>IFERROR(VLOOKUP($A:$A,CS!$A:$AK,25,FALSE),"")</f>
      </c>
      <c r="R323" s="79">
        <f>IFERROR(VLOOKUP($A:$A,CS!$A:$AK,26,FALSE),"")</f>
      </c>
      <c r="S323" s="79">
        <f>IFERROR(VLOOKUP($A:$A,CS!$A:$AK,29,FALSE),"")</f>
      </c>
      <c r="T323" s="79">
        <f>IFERROR(VLOOKUP($A:$A,CS!$A:$AK,33,FALSE),"")</f>
      </c>
      <c r="U323" s="79">
        <f>IFERROR(VLOOKUP($A:$A,CS!$A:$AK,34,FALSE),"")</f>
      </c>
      <c r="V323" s="79">
        <f>IFERROR(VLOOKUP($A:$A,CS!$A:$AK,35,FALSE),"")</f>
      </c>
      <c r="W323" s="79">
        <f>IFERROR(VLOOKUP($A:$A,CS!$A:$AK,36,FALSE),"")</f>
      </c>
    </row>
    <row r="324" ht="16.5" customHeight="1" spans="1:23" x14ac:dyDescent="0.25">
      <c r="A324" s="93"/>
      <c r="B324" s="79">
        <f>IFERROR(VLOOKUP($A:$A,CS!$A:$AK,3,FALSE),"")</f>
      </c>
      <c r="C324" s="79">
        <f>IFERROR(VLOOKUP($A:$A,CS!$A:$AK,4,FALSE),"")</f>
      </c>
      <c r="D324" s="79">
        <f>IFERROR(VLOOKUP($A:$A,CS!$A:$AK,5,FALSE),"")</f>
      </c>
      <c r="E324" s="79">
        <f>IFERROR(VLOOKUP($A:$A,CS!$A:$AK,7,FALSE),"")</f>
      </c>
      <c r="F324" s="79">
        <f>IFERROR(VLOOKUP($A:$A,CS!$A:$AK,8,FALSE),"")</f>
      </c>
      <c r="G324" s="79">
        <f>IFERROR(VLOOKUP($A:$A,CS!$A:$AK,10,FALSE),"")</f>
      </c>
      <c r="H324" s="79">
        <f>IFERROR(VLOOKUP($A:$A,CS!$A:$AK,14,FALSE),"")</f>
      </c>
      <c r="I324" s="79">
        <f>IFERROR(VLOOKUP($A:$A,CS!$A:$AK,15,FALSE),"")</f>
      </c>
      <c r="J324" s="79">
        <f>IFERROR(VLOOKUP($A:$A,CS!$A:$AK,18,FALSE),"")</f>
      </c>
      <c r="K324" s="79">
        <f>IFERROR(VLOOKUP($A:$A,CS!$A:$AK,19,FALSE),"")</f>
      </c>
      <c r="L324" s="79">
        <f>IFERROR(VLOOKUP($A:$A,CS!$A:$AK,20,FALSE),"")</f>
      </c>
      <c r="M324" s="79">
        <f>IFERROR(VLOOKUP($A:$A,CS!$A:$AK,22,FALSE),"")</f>
      </c>
      <c r="N324" s="79">
        <f>IFERROR(VLOOKUP($A:$A,CS!$A:$AK,19,FALSE),"")</f>
      </c>
      <c r="O324" s="79">
        <f>IFERROR(VLOOKUP($A:$A,CS!$A:$AK,23,FALSE),"")</f>
      </c>
      <c r="P324" s="79">
        <f>IFERROR(VLOOKUP($A:$A,CS!$A:$AK,24,FALSE),"")</f>
      </c>
      <c r="Q324" s="79">
        <f>IFERROR(VLOOKUP($A:$A,CS!$A:$AK,25,FALSE),"")</f>
      </c>
      <c r="R324" s="79">
        <f>IFERROR(VLOOKUP($A:$A,CS!$A:$AK,26,FALSE),"")</f>
      </c>
      <c r="S324" s="79">
        <f>IFERROR(VLOOKUP($A:$A,CS!$A:$AK,29,FALSE),"")</f>
      </c>
      <c r="T324" s="79">
        <f>IFERROR(VLOOKUP($A:$A,CS!$A:$AK,33,FALSE),"")</f>
      </c>
      <c r="U324" s="79">
        <f>IFERROR(VLOOKUP($A:$A,CS!$A:$AK,34,FALSE),"")</f>
      </c>
      <c r="V324" s="79">
        <f>IFERROR(VLOOKUP($A:$A,CS!$A:$AK,35,FALSE),"")</f>
      </c>
      <c r="W324" s="79">
        <f>IFERROR(VLOOKUP($A:$A,CS!$A:$AK,36,FALSE),"")</f>
      </c>
    </row>
    <row r="325" ht="16.5" customHeight="1" spans="1:23" x14ac:dyDescent="0.25">
      <c r="A325" s="93"/>
      <c r="B325" s="79">
        <f>IFERROR(VLOOKUP($A:$A,CS!$A:$AK,3,FALSE),"")</f>
      </c>
      <c r="C325" s="79">
        <f>IFERROR(VLOOKUP($A:$A,CS!$A:$AK,4,FALSE),"")</f>
      </c>
      <c r="D325" s="79">
        <f>IFERROR(VLOOKUP($A:$A,CS!$A:$AK,5,FALSE),"")</f>
      </c>
      <c r="E325" s="79">
        <f>IFERROR(VLOOKUP($A:$A,CS!$A:$AK,7,FALSE),"")</f>
      </c>
      <c r="F325" s="79">
        <f>IFERROR(VLOOKUP($A:$A,CS!$A:$AK,8,FALSE),"")</f>
      </c>
      <c r="G325" s="79">
        <f>IFERROR(VLOOKUP($A:$A,CS!$A:$AK,10,FALSE),"")</f>
      </c>
      <c r="H325" s="79">
        <f>IFERROR(VLOOKUP($A:$A,CS!$A:$AK,14,FALSE),"")</f>
      </c>
      <c r="I325" s="79">
        <f>IFERROR(VLOOKUP($A:$A,CS!$A:$AK,15,FALSE),"")</f>
      </c>
      <c r="J325" s="79">
        <f>IFERROR(VLOOKUP($A:$A,CS!$A:$AK,18,FALSE),"")</f>
      </c>
      <c r="K325" s="79">
        <f>IFERROR(VLOOKUP($A:$A,CS!$A:$AK,19,FALSE),"")</f>
      </c>
      <c r="L325" s="79">
        <f>IFERROR(VLOOKUP($A:$A,CS!$A:$AK,20,FALSE),"")</f>
      </c>
      <c r="M325" s="79">
        <f>IFERROR(VLOOKUP($A:$A,CS!$A:$AK,22,FALSE),"")</f>
      </c>
      <c r="N325" s="79">
        <f>IFERROR(VLOOKUP($A:$A,CS!$A:$AK,19,FALSE),"")</f>
      </c>
      <c r="O325" s="79">
        <f>IFERROR(VLOOKUP($A:$A,CS!$A:$AK,23,FALSE),"")</f>
      </c>
      <c r="P325" s="79">
        <f>IFERROR(VLOOKUP($A:$A,CS!$A:$AK,24,FALSE),"")</f>
      </c>
      <c r="Q325" s="79">
        <f>IFERROR(VLOOKUP($A:$A,CS!$A:$AK,25,FALSE),"")</f>
      </c>
      <c r="R325" s="79">
        <f>IFERROR(VLOOKUP($A:$A,CS!$A:$AK,26,FALSE),"")</f>
      </c>
      <c r="S325" s="79">
        <f>IFERROR(VLOOKUP($A:$A,CS!$A:$AK,29,FALSE),"")</f>
      </c>
      <c r="T325" s="79">
        <f>IFERROR(VLOOKUP($A:$A,CS!$A:$AK,33,FALSE),"")</f>
      </c>
      <c r="U325" s="79">
        <f>IFERROR(VLOOKUP($A:$A,CS!$A:$AK,34,FALSE),"")</f>
      </c>
      <c r="V325" s="79">
        <f>IFERROR(VLOOKUP($A:$A,CS!$A:$AK,35,FALSE),"")</f>
      </c>
      <c r="W325" s="79">
        <f>IFERROR(VLOOKUP($A:$A,CS!$A:$AK,36,FALSE),"")</f>
      </c>
    </row>
    <row r="326" ht="16.5" customHeight="1" spans="1:23" x14ac:dyDescent="0.25">
      <c r="A326" s="93"/>
      <c r="B326" s="79">
        <f>IFERROR(VLOOKUP($A:$A,CS!$A:$AK,3,FALSE),"")</f>
      </c>
      <c r="C326" s="79">
        <f>IFERROR(VLOOKUP($A:$A,CS!$A:$AK,4,FALSE),"")</f>
      </c>
      <c r="D326" s="79">
        <f>IFERROR(VLOOKUP($A:$A,CS!$A:$AK,5,FALSE),"")</f>
      </c>
      <c r="E326" s="79">
        <f>IFERROR(VLOOKUP($A:$A,CS!$A:$AK,7,FALSE),"")</f>
      </c>
      <c r="F326" s="79">
        <f>IFERROR(VLOOKUP($A:$A,CS!$A:$AK,8,FALSE),"")</f>
      </c>
      <c r="G326" s="79">
        <f>IFERROR(VLOOKUP($A:$A,CS!$A:$AK,10,FALSE),"")</f>
      </c>
      <c r="H326" s="79">
        <f>IFERROR(VLOOKUP($A:$A,CS!$A:$AK,14,FALSE),"")</f>
      </c>
      <c r="I326" s="79">
        <f>IFERROR(VLOOKUP($A:$A,CS!$A:$AK,15,FALSE),"")</f>
      </c>
      <c r="J326" s="79">
        <f>IFERROR(VLOOKUP($A:$A,CS!$A:$AK,18,FALSE),"")</f>
      </c>
      <c r="K326" s="79">
        <f>IFERROR(VLOOKUP($A:$A,CS!$A:$AK,19,FALSE),"")</f>
      </c>
      <c r="L326" s="79">
        <f>IFERROR(VLOOKUP($A:$A,CS!$A:$AK,20,FALSE),"")</f>
      </c>
      <c r="M326" s="79">
        <f>IFERROR(VLOOKUP($A:$A,CS!$A:$AK,22,FALSE),"")</f>
      </c>
      <c r="N326" s="79">
        <f>IFERROR(VLOOKUP($A:$A,CS!$A:$AK,19,FALSE),"")</f>
      </c>
      <c r="O326" s="79">
        <f>IFERROR(VLOOKUP($A:$A,CS!$A:$AK,23,FALSE),"")</f>
      </c>
      <c r="P326" s="79">
        <f>IFERROR(VLOOKUP($A:$A,CS!$A:$AK,24,FALSE),"")</f>
      </c>
      <c r="Q326" s="79">
        <f>IFERROR(VLOOKUP($A:$A,CS!$A:$AK,25,FALSE),"")</f>
      </c>
      <c r="R326" s="79">
        <f>IFERROR(VLOOKUP($A:$A,CS!$A:$AK,26,FALSE),"")</f>
      </c>
      <c r="S326" s="79">
        <f>IFERROR(VLOOKUP($A:$A,CS!$A:$AK,29,FALSE),"")</f>
      </c>
      <c r="T326" s="79">
        <f>IFERROR(VLOOKUP($A:$A,CS!$A:$AK,33,FALSE),"")</f>
      </c>
      <c r="U326" s="79">
        <f>IFERROR(VLOOKUP($A:$A,CS!$A:$AK,34,FALSE),"")</f>
      </c>
      <c r="V326" s="79">
        <f>IFERROR(VLOOKUP($A:$A,CS!$A:$AK,35,FALSE),"")</f>
      </c>
      <c r="W326" s="79">
        <f>IFERROR(VLOOKUP($A:$A,CS!$A:$AK,36,FALSE),"")</f>
      </c>
    </row>
    <row r="327" ht="16.5" customHeight="1" spans="1:23" x14ac:dyDescent="0.25">
      <c r="A327" s="93"/>
      <c r="B327" s="79">
        <f>IFERROR(VLOOKUP($A:$A,CS!$A:$AK,3,FALSE),"")</f>
      </c>
      <c r="C327" s="79">
        <f>IFERROR(VLOOKUP($A:$A,CS!$A:$AK,4,FALSE),"")</f>
      </c>
      <c r="D327" s="79">
        <f>IFERROR(VLOOKUP($A:$A,CS!$A:$AK,5,FALSE),"")</f>
      </c>
      <c r="E327" s="79">
        <f>IFERROR(VLOOKUP($A:$A,CS!$A:$AK,7,FALSE),"")</f>
      </c>
      <c r="F327" s="79">
        <f>IFERROR(VLOOKUP($A:$A,CS!$A:$AK,8,FALSE),"")</f>
      </c>
      <c r="G327" s="79">
        <f>IFERROR(VLOOKUP($A:$A,CS!$A:$AK,10,FALSE),"")</f>
      </c>
      <c r="H327" s="79">
        <f>IFERROR(VLOOKUP($A:$A,CS!$A:$AK,14,FALSE),"")</f>
      </c>
      <c r="I327" s="79">
        <f>IFERROR(VLOOKUP($A:$A,CS!$A:$AK,15,FALSE),"")</f>
      </c>
      <c r="J327" s="79">
        <f>IFERROR(VLOOKUP($A:$A,CS!$A:$AK,18,FALSE),"")</f>
      </c>
      <c r="K327" s="79">
        <f>IFERROR(VLOOKUP($A:$A,CS!$A:$AK,19,FALSE),"")</f>
      </c>
      <c r="L327" s="79">
        <f>IFERROR(VLOOKUP($A:$A,CS!$A:$AK,20,FALSE),"")</f>
      </c>
      <c r="M327" s="79">
        <f>IFERROR(VLOOKUP($A:$A,CS!$A:$AK,22,FALSE),"")</f>
      </c>
      <c r="N327" s="79">
        <f>IFERROR(VLOOKUP($A:$A,CS!$A:$AK,19,FALSE),"")</f>
      </c>
      <c r="O327" s="79">
        <f>IFERROR(VLOOKUP($A:$A,CS!$A:$AK,23,FALSE),"")</f>
      </c>
      <c r="P327" s="79">
        <f>IFERROR(VLOOKUP($A:$A,CS!$A:$AK,24,FALSE),"")</f>
      </c>
      <c r="Q327" s="79">
        <f>IFERROR(VLOOKUP($A:$A,CS!$A:$AK,25,FALSE),"")</f>
      </c>
      <c r="R327" s="79">
        <f>IFERROR(VLOOKUP($A:$A,CS!$A:$AK,26,FALSE),"")</f>
      </c>
      <c r="S327" s="79">
        <f>IFERROR(VLOOKUP($A:$A,CS!$A:$AK,29,FALSE),"")</f>
      </c>
      <c r="T327" s="79">
        <f>IFERROR(VLOOKUP($A:$A,CS!$A:$AK,33,FALSE),"")</f>
      </c>
      <c r="U327" s="79">
        <f>IFERROR(VLOOKUP($A:$A,CS!$A:$AK,34,FALSE),"")</f>
      </c>
      <c r="V327" s="79">
        <f>IFERROR(VLOOKUP($A:$A,CS!$A:$AK,35,FALSE),"")</f>
      </c>
      <c r="W327" s="79">
        <f>IFERROR(VLOOKUP($A:$A,CS!$A:$AK,36,FALSE),"")</f>
      </c>
    </row>
    <row r="328" ht="16.5" customHeight="1" spans="1:23" x14ac:dyDescent="0.25">
      <c r="A328" s="93"/>
      <c r="B328" s="79">
        <f>IFERROR(VLOOKUP($A:$A,CS!$A:$AK,3,FALSE),"")</f>
      </c>
      <c r="C328" s="79">
        <f>IFERROR(VLOOKUP($A:$A,CS!$A:$AK,4,FALSE),"")</f>
      </c>
      <c r="D328" s="79">
        <f>IFERROR(VLOOKUP($A:$A,CS!$A:$AK,5,FALSE),"")</f>
      </c>
      <c r="E328" s="79">
        <f>IFERROR(VLOOKUP($A:$A,CS!$A:$AK,7,FALSE),"")</f>
      </c>
      <c r="F328" s="79">
        <f>IFERROR(VLOOKUP($A:$A,CS!$A:$AK,8,FALSE),"")</f>
      </c>
      <c r="G328" s="79">
        <f>IFERROR(VLOOKUP($A:$A,CS!$A:$AK,10,FALSE),"")</f>
      </c>
      <c r="H328" s="79">
        <f>IFERROR(VLOOKUP($A:$A,CS!$A:$AK,14,FALSE),"")</f>
      </c>
      <c r="I328" s="79">
        <f>IFERROR(VLOOKUP($A:$A,CS!$A:$AK,15,FALSE),"")</f>
      </c>
      <c r="J328" s="79">
        <f>IFERROR(VLOOKUP($A:$A,CS!$A:$AK,18,FALSE),"")</f>
      </c>
      <c r="K328" s="79">
        <f>IFERROR(VLOOKUP($A:$A,CS!$A:$AK,19,FALSE),"")</f>
      </c>
      <c r="L328" s="79">
        <f>IFERROR(VLOOKUP($A:$A,CS!$A:$AK,20,FALSE),"")</f>
      </c>
      <c r="M328" s="79">
        <f>IFERROR(VLOOKUP($A:$A,CS!$A:$AK,22,FALSE),"")</f>
      </c>
      <c r="N328" s="79">
        <f>IFERROR(VLOOKUP($A:$A,CS!$A:$AK,19,FALSE),"")</f>
      </c>
      <c r="O328" s="79">
        <f>IFERROR(VLOOKUP($A:$A,CS!$A:$AK,23,FALSE),"")</f>
      </c>
      <c r="P328" s="79">
        <f>IFERROR(VLOOKUP($A:$A,CS!$A:$AK,24,FALSE),"")</f>
      </c>
      <c r="Q328" s="79">
        <f>IFERROR(VLOOKUP($A:$A,CS!$A:$AK,25,FALSE),"")</f>
      </c>
      <c r="R328" s="79">
        <f>IFERROR(VLOOKUP($A:$A,CS!$A:$AK,26,FALSE),"")</f>
      </c>
      <c r="S328" s="79">
        <f>IFERROR(VLOOKUP($A:$A,CS!$A:$AK,29,FALSE),"")</f>
      </c>
      <c r="T328" s="79">
        <f>IFERROR(VLOOKUP($A:$A,CS!$A:$AK,33,FALSE),"")</f>
      </c>
      <c r="U328" s="79">
        <f>IFERROR(VLOOKUP($A:$A,CS!$A:$AK,34,FALSE),"")</f>
      </c>
      <c r="V328" s="79">
        <f>IFERROR(VLOOKUP($A:$A,CS!$A:$AK,35,FALSE),"")</f>
      </c>
      <c r="W328" s="79">
        <f>IFERROR(VLOOKUP($A:$A,CS!$A:$AK,36,FALSE),"")</f>
      </c>
    </row>
    <row r="329" ht="16.5" customHeight="1" spans="1:23" x14ac:dyDescent="0.25">
      <c r="A329" s="93"/>
      <c r="B329" s="79">
        <f>IFERROR(VLOOKUP($A:$A,CS!$A:$AK,3,FALSE),"")</f>
      </c>
      <c r="C329" s="79">
        <f>IFERROR(VLOOKUP($A:$A,CS!$A:$AK,4,FALSE),"")</f>
      </c>
      <c r="D329" s="79">
        <f>IFERROR(VLOOKUP($A:$A,CS!$A:$AK,5,FALSE),"")</f>
      </c>
      <c r="E329" s="79">
        <f>IFERROR(VLOOKUP($A:$A,CS!$A:$AK,7,FALSE),"")</f>
      </c>
      <c r="F329" s="79">
        <f>IFERROR(VLOOKUP($A:$A,CS!$A:$AK,8,FALSE),"")</f>
      </c>
      <c r="G329" s="79">
        <f>IFERROR(VLOOKUP($A:$A,CS!$A:$AK,10,FALSE),"")</f>
      </c>
      <c r="H329" s="79">
        <f>IFERROR(VLOOKUP($A:$A,CS!$A:$AK,14,FALSE),"")</f>
      </c>
      <c r="I329" s="79">
        <f>IFERROR(VLOOKUP($A:$A,CS!$A:$AK,15,FALSE),"")</f>
      </c>
      <c r="J329" s="79">
        <f>IFERROR(VLOOKUP($A:$A,CS!$A:$AK,18,FALSE),"")</f>
      </c>
      <c r="K329" s="79">
        <f>IFERROR(VLOOKUP($A:$A,CS!$A:$AK,19,FALSE),"")</f>
      </c>
      <c r="L329" s="79">
        <f>IFERROR(VLOOKUP($A:$A,CS!$A:$AK,20,FALSE),"")</f>
      </c>
      <c r="M329" s="79">
        <f>IFERROR(VLOOKUP($A:$A,CS!$A:$AK,22,FALSE),"")</f>
      </c>
      <c r="N329" s="79">
        <f>IFERROR(VLOOKUP($A:$A,CS!$A:$AK,19,FALSE),"")</f>
      </c>
      <c r="O329" s="79">
        <f>IFERROR(VLOOKUP($A:$A,CS!$A:$AK,23,FALSE),"")</f>
      </c>
      <c r="P329" s="79">
        <f>IFERROR(VLOOKUP($A:$A,CS!$A:$AK,24,FALSE),"")</f>
      </c>
      <c r="Q329" s="79">
        <f>IFERROR(VLOOKUP($A:$A,CS!$A:$AK,25,FALSE),"")</f>
      </c>
      <c r="R329" s="79">
        <f>IFERROR(VLOOKUP($A:$A,CS!$A:$AK,26,FALSE),"")</f>
      </c>
      <c r="S329" s="79">
        <f>IFERROR(VLOOKUP($A:$A,CS!$A:$AK,29,FALSE),"")</f>
      </c>
      <c r="T329" s="79">
        <f>IFERROR(VLOOKUP($A:$A,CS!$A:$AK,33,FALSE),"")</f>
      </c>
      <c r="U329" s="79">
        <f>IFERROR(VLOOKUP($A:$A,CS!$A:$AK,34,FALSE),"")</f>
      </c>
      <c r="V329" s="79">
        <f>IFERROR(VLOOKUP($A:$A,CS!$A:$AK,35,FALSE),"")</f>
      </c>
      <c r="W329" s="79">
        <f>IFERROR(VLOOKUP($A:$A,CS!$A:$AK,36,FALSE),"")</f>
      </c>
    </row>
    <row r="330" ht="16.5" customHeight="1" spans="1:23" x14ac:dyDescent="0.25">
      <c r="A330" s="93"/>
      <c r="B330" s="79">
        <f>IFERROR(VLOOKUP($A:$A,CS!$A:$AK,3,FALSE),"")</f>
      </c>
      <c r="C330" s="79">
        <f>IFERROR(VLOOKUP($A:$A,CS!$A:$AK,4,FALSE),"")</f>
      </c>
      <c r="D330" s="79">
        <f>IFERROR(VLOOKUP($A:$A,CS!$A:$AK,5,FALSE),"")</f>
      </c>
      <c r="E330" s="79">
        <f>IFERROR(VLOOKUP($A:$A,CS!$A:$AK,7,FALSE),"")</f>
      </c>
      <c r="F330" s="79">
        <f>IFERROR(VLOOKUP($A:$A,CS!$A:$AK,8,FALSE),"")</f>
      </c>
      <c r="G330" s="79">
        <f>IFERROR(VLOOKUP($A:$A,CS!$A:$AK,10,FALSE),"")</f>
      </c>
      <c r="H330" s="79">
        <f>IFERROR(VLOOKUP($A:$A,CS!$A:$AK,14,FALSE),"")</f>
      </c>
      <c r="I330" s="79">
        <f>IFERROR(VLOOKUP($A:$A,CS!$A:$AK,15,FALSE),"")</f>
      </c>
      <c r="J330" s="79">
        <f>IFERROR(VLOOKUP($A:$A,CS!$A:$AK,18,FALSE),"")</f>
      </c>
      <c r="K330" s="79">
        <f>IFERROR(VLOOKUP($A:$A,CS!$A:$AK,19,FALSE),"")</f>
      </c>
      <c r="L330" s="79">
        <f>IFERROR(VLOOKUP($A:$A,CS!$A:$AK,20,FALSE),"")</f>
      </c>
      <c r="M330" s="79">
        <f>IFERROR(VLOOKUP($A:$A,CS!$A:$AK,22,FALSE),"")</f>
      </c>
      <c r="N330" s="79">
        <f>IFERROR(VLOOKUP($A:$A,CS!$A:$AK,19,FALSE),"")</f>
      </c>
      <c r="O330" s="79">
        <f>IFERROR(VLOOKUP($A:$A,CS!$A:$AK,23,FALSE),"")</f>
      </c>
      <c r="P330" s="79">
        <f>IFERROR(VLOOKUP($A:$A,CS!$A:$AK,24,FALSE),"")</f>
      </c>
      <c r="Q330" s="79">
        <f>IFERROR(VLOOKUP($A:$A,CS!$A:$AK,25,FALSE),"")</f>
      </c>
      <c r="R330" s="79">
        <f>IFERROR(VLOOKUP($A:$A,CS!$A:$AK,26,FALSE),"")</f>
      </c>
      <c r="S330" s="79">
        <f>IFERROR(VLOOKUP($A:$A,CS!$A:$AK,29,FALSE),"")</f>
      </c>
      <c r="T330" s="79">
        <f>IFERROR(VLOOKUP($A:$A,CS!$A:$AK,33,FALSE),"")</f>
      </c>
      <c r="U330" s="79">
        <f>IFERROR(VLOOKUP($A:$A,CS!$A:$AK,34,FALSE),"")</f>
      </c>
      <c r="V330" s="79">
        <f>IFERROR(VLOOKUP($A:$A,CS!$A:$AK,35,FALSE),"")</f>
      </c>
      <c r="W330" s="79">
        <f>IFERROR(VLOOKUP($A:$A,CS!$A:$AK,36,FALSE),"")</f>
      </c>
    </row>
    <row r="331" ht="16.5" customHeight="1" spans="1:23" x14ac:dyDescent="0.25">
      <c r="A331" s="93"/>
      <c r="B331" s="79">
        <f>IFERROR(VLOOKUP($A:$A,CS!$A:$AK,3,FALSE),"")</f>
      </c>
      <c r="C331" s="79">
        <f>IFERROR(VLOOKUP($A:$A,CS!$A:$AK,4,FALSE),"")</f>
      </c>
      <c r="D331" s="79">
        <f>IFERROR(VLOOKUP($A:$A,CS!$A:$AK,5,FALSE),"")</f>
      </c>
      <c r="E331" s="79">
        <f>IFERROR(VLOOKUP($A:$A,CS!$A:$AK,7,FALSE),"")</f>
      </c>
      <c r="F331" s="79">
        <f>IFERROR(VLOOKUP($A:$A,CS!$A:$AK,8,FALSE),"")</f>
      </c>
      <c r="G331" s="79">
        <f>IFERROR(VLOOKUP($A:$A,CS!$A:$AK,10,FALSE),"")</f>
      </c>
      <c r="H331" s="79">
        <f>IFERROR(VLOOKUP($A:$A,CS!$A:$AK,14,FALSE),"")</f>
      </c>
      <c r="I331" s="79">
        <f>IFERROR(VLOOKUP($A:$A,CS!$A:$AK,15,FALSE),"")</f>
      </c>
      <c r="J331" s="79">
        <f>IFERROR(VLOOKUP($A:$A,CS!$A:$AK,18,FALSE),"")</f>
      </c>
      <c r="K331" s="79">
        <f>IFERROR(VLOOKUP($A:$A,CS!$A:$AK,19,FALSE),"")</f>
      </c>
      <c r="L331" s="79">
        <f>IFERROR(VLOOKUP($A:$A,CS!$A:$AK,20,FALSE),"")</f>
      </c>
      <c r="M331" s="79">
        <f>IFERROR(VLOOKUP($A:$A,CS!$A:$AK,22,FALSE),"")</f>
      </c>
      <c r="N331" s="79">
        <f>IFERROR(VLOOKUP($A:$A,CS!$A:$AK,19,FALSE),"")</f>
      </c>
      <c r="O331" s="79">
        <f>IFERROR(VLOOKUP($A:$A,CS!$A:$AK,23,FALSE),"")</f>
      </c>
      <c r="P331" s="79">
        <f>IFERROR(VLOOKUP($A:$A,CS!$A:$AK,24,FALSE),"")</f>
      </c>
      <c r="Q331" s="79">
        <f>IFERROR(VLOOKUP($A:$A,CS!$A:$AK,25,FALSE),"")</f>
      </c>
      <c r="R331" s="79">
        <f>IFERROR(VLOOKUP($A:$A,CS!$A:$AK,26,FALSE),"")</f>
      </c>
      <c r="S331" s="79">
        <f>IFERROR(VLOOKUP($A:$A,CS!$A:$AK,29,FALSE),"")</f>
      </c>
      <c r="T331" s="79">
        <f>IFERROR(VLOOKUP($A:$A,CS!$A:$AK,33,FALSE),"")</f>
      </c>
      <c r="U331" s="79">
        <f>IFERROR(VLOOKUP($A:$A,CS!$A:$AK,34,FALSE),"")</f>
      </c>
      <c r="V331" s="79">
        <f>IFERROR(VLOOKUP($A:$A,CS!$A:$AK,35,FALSE),"")</f>
      </c>
      <c r="W331" s="79">
        <f>IFERROR(VLOOKUP($A:$A,CS!$A:$AK,36,FALSE),"")</f>
      </c>
    </row>
    <row r="332" ht="16.5" customHeight="1" spans="1:23" x14ac:dyDescent="0.25">
      <c r="A332" s="93"/>
      <c r="B332" s="79">
        <f>IFERROR(VLOOKUP($A:$A,CS!$A:$AK,3,FALSE),"")</f>
      </c>
      <c r="C332" s="79">
        <f>IFERROR(VLOOKUP($A:$A,CS!$A:$AK,4,FALSE),"")</f>
      </c>
      <c r="D332" s="79">
        <f>IFERROR(VLOOKUP($A:$A,CS!$A:$AK,5,FALSE),"")</f>
      </c>
      <c r="E332" s="79">
        <f>IFERROR(VLOOKUP($A:$A,CS!$A:$AK,7,FALSE),"")</f>
      </c>
      <c r="F332" s="79">
        <f>IFERROR(VLOOKUP($A:$A,CS!$A:$AK,8,FALSE),"")</f>
      </c>
      <c r="G332" s="79">
        <f>IFERROR(VLOOKUP($A:$A,CS!$A:$AK,10,FALSE),"")</f>
      </c>
      <c r="H332" s="79">
        <f>IFERROR(VLOOKUP($A:$A,CS!$A:$AK,14,FALSE),"")</f>
      </c>
      <c r="I332" s="79">
        <f>IFERROR(VLOOKUP($A:$A,CS!$A:$AK,15,FALSE),"")</f>
      </c>
      <c r="J332" s="79">
        <f>IFERROR(VLOOKUP($A:$A,CS!$A:$AK,18,FALSE),"")</f>
      </c>
      <c r="K332" s="79">
        <f>IFERROR(VLOOKUP($A:$A,CS!$A:$AK,19,FALSE),"")</f>
      </c>
      <c r="L332" s="79">
        <f>IFERROR(VLOOKUP($A:$A,CS!$A:$AK,20,FALSE),"")</f>
      </c>
      <c r="M332" s="79">
        <f>IFERROR(VLOOKUP($A:$A,CS!$A:$AK,22,FALSE),"")</f>
      </c>
      <c r="N332" s="79">
        <f>IFERROR(VLOOKUP($A:$A,CS!$A:$AK,19,FALSE),"")</f>
      </c>
      <c r="O332" s="79">
        <f>IFERROR(VLOOKUP($A:$A,CS!$A:$AK,23,FALSE),"")</f>
      </c>
      <c r="P332" s="79">
        <f>IFERROR(VLOOKUP($A:$A,CS!$A:$AK,24,FALSE),"")</f>
      </c>
      <c r="Q332" s="79">
        <f>IFERROR(VLOOKUP($A:$A,CS!$A:$AK,25,FALSE),"")</f>
      </c>
      <c r="R332" s="79">
        <f>IFERROR(VLOOKUP($A:$A,CS!$A:$AK,26,FALSE),"")</f>
      </c>
      <c r="S332" s="79">
        <f>IFERROR(VLOOKUP($A:$A,CS!$A:$AK,29,FALSE),"")</f>
      </c>
      <c r="T332" s="79">
        <f>IFERROR(VLOOKUP($A:$A,CS!$A:$AK,33,FALSE),"")</f>
      </c>
      <c r="U332" s="79">
        <f>IFERROR(VLOOKUP($A:$A,CS!$A:$AK,34,FALSE),"")</f>
      </c>
      <c r="V332" s="79">
        <f>IFERROR(VLOOKUP($A:$A,CS!$A:$AK,35,FALSE),"")</f>
      </c>
      <c r="W332" s="79">
        <f>IFERROR(VLOOKUP($A:$A,CS!$A:$AK,36,FALSE),"")</f>
      </c>
    </row>
    <row r="333" ht="16.5" customHeight="1" spans="1:23" x14ac:dyDescent="0.25">
      <c r="A333" s="93"/>
      <c r="B333" s="79">
        <f>IFERROR(VLOOKUP($A:$A,CS!$A:$AK,3,FALSE),"")</f>
      </c>
      <c r="C333" s="79">
        <f>IFERROR(VLOOKUP($A:$A,CS!$A:$AK,4,FALSE),"")</f>
      </c>
      <c r="D333" s="79">
        <f>IFERROR(VLOOKUP($A:$A,CS!$A:$AK,5,FALSE),"")</f>
      </c>
      <c r="E333" s="79">
        <f>IFERROR(VLOOKUP($A:$A,CS!$A:$AK,7,FALSE),"")</f>
      </c>
      <c r="F333" s="79">
        <f>IFERROR(VLOOKUP($A:$A,CS!$A:$AK,8,FALSE),"")</f>
      </c>
      <c r="G333" s="79">
        <f>IFERROR(VLOOKUP($A:$A,CS!$A:$AK,10,FALSE),"")</f>
      </c>
      <c r="H333" s="79">
        <f>IFERROR(VLOOKUP($A:$A,CS!$A:$AK,14,FALSE),"")</f>
      </c>
      <c r="I333" s="79">
        <f>IFERROR(VLOOKUP($A:$A,CS!$A:$AK,15,FALSE),"")</f>
      </c>
      <c r="J333" s="79">
        <f>IFERROR(VLOOKUP($A:$A,CS!$A:$AK,18,FALSE),"")</f>
      </c>
      <c r="K333" s="79">
        <f>IFERROR(VLOOKUP($A:$A,CS!$A:$AK,19,FALSE),"")</f>
      </c>
      <c r="L333" s="79">
        <f>IFERROR(VLOOKUP($A:$A,CS!$A:$AK,20,FALSE),"")</f>
      </c>
      <c r="M333" s="79">
        <f>IFERROR(VLOOKUP($A:$A,CS!$A:$AK,22,FALSE),"")</f>
      </c>
      <c r="N333" s="79">
        <f>IFERROR(VLOOKUP($A:$A,CS!$A:$AK,19,FALSE),"")</f>
      </c>
      <c r="O333" s="79">
        <f>IFERROR(VLOOKUP($A:$A,CS!$A:$AK,23,FALSE),"")</f>
      </c>
      <c r="P333" s="79">
        <f>IFERROR(VLOOKUP($A:$A,CS!$A:$AK,24,FALSE),"")</f>
      </c>
      <c r="Q333" s="79">
        <f>IFERROR(VLOOKUP($A:$A,CS!$A:$AK,25,FALSE),"")</f>
      </c>
      <c r="R333" s="79">
        <f>IFERROR(VLOOKUP($A:$A,CS!$A:$AK,26,FALSE),"")</f>
      </c>
      <c r="S333" s="79">
        <f>IFERROR(VLOOKUP($A:$A,CS!$A:$AK,29,FALSE),"")</f>
      </c>
      <c r="T333" s="79">
        <f>IFERROR(VLOOKUP($A:$A,CS!$A:$AK,33,FALSE),"")</f>
      </c>
      <c r="U333" s="79">
        <f>IFERROR(VLOOKUP($A:$A,CS!$A:$AK,34,FALSE),"")</f>
      </c>
      <c r="V333" s="79">
        <f>IFERROR(VLOOKUP($A:$A,CS!$A:$AK,35,FALSE),"")</f>
      </c>
      <c r="W333" s="79">
        <f>IFERROR(VLOOKUP($A:$A,CS!$A:$AK,36,FALSE),"")</f>
      </c>
    </row>
    <row r="334" ht="16.5" customHeight="1" spans="1:23" x14ac:dyDescent="0.25">
      <c r="A334" s="93"/>
      <c r="B334" s="79">
        <f>IFERROR(VLOOKUP($A:$A,CS!$A:$AK,3,FALSE),"")</f>
      </c>
      <c r="C334" s="79">
        <f>IFERROR(VLOOKUP($A:$A,CS!$A:$AK,4,FALSE),"")</f>
      </c>
      <c r="D334" s="79">
        <f>IFERROR(VLOOKUP($A:$A,CS!$A:$AK,5,FALSE),"")</f>
      </c>
      <c r="E334" s="79">
        <f>IFERROR(VLOOKUP($A:$A,CS!$A:$AK,7,FALSE),"")</f>
      </c>
      <c r="F334" s="79">
        <f>IFERROR(VLOOKUP($A:$A,CS!$A:$AK,8,FALSE),"")</f>
      </c>
      <c r="G334" s="79">
        <f>IFERROR(VLOOKUP($A:$A,CS!$A:$AK,10,FALSE),"")</f>
      </c>
      <c r="H334" s="79">
        <f>IFERROR(VLOOKUP($A:$A,CS!$A:$AK,14,FALSE),"")</f>
      </c>
      <c r="I334" s="79">
        <f>IFERROR(VLOOKUP($A:$A,CS!$A:$AK,15,FALSE),"")</f>
      </c>
      <c r="J334" s="79">
        <f>IFERROR(VLOOKUP($A:$A,CS!$A:$AK,18,FALSE),"")</f>
      </c>
      <c r="K334" s="79">
        <f>IFERROR(VLOOKUP($A:$A,CS!$A:$AK,19,FALSE),"")</f>
      </c>
      <c r="L334" s="79">
        <f>IFERROR(VLOOKUP($A:$A,CS!$A:$AK,20,FALSE),"")</f>
      </c>
      <c r="M334" s="79">
        <f>IFERROR(VLOOKUP($A:$A,CS!$A:$AK,22,FALSE),"")</f>
      </c>
      <c r="N334" s="79">
        <f>IFERROR(VLOOKUP($A:$A,CS!$A:$AK,19,FALSE),"")</f>
      </c>
      <c r="O334" s="79">
        <f>IFERROR(VLOOKUP($A:$A,CS!$A:$AK,23,FALSE),"")</f>
      </c>
      <c r="P334" s="79">
        <f>IFERROR(VLOOKUP($A:$A,CS!$A:$AK,24,FALSE),"")</f>
      </c>
      <c r="Q334" s="79">
        <f>IFERROR(VLOOKUP($A:$A,CS!$A:$AK,25,FALSE),"")</f>
      </c>
      <c r="R334" s="79">
        <f>IFERROR(VLOOKUP($A:$A,CS!$A:$AK,26,FALSE),"")</f>
      </c>
      <c r="S334" s="79">
        <f>IFERROR(VLOOKUP($A:$A,CS!$A:$AK,29,FALSE),"")</f>
      </c>
      <c r="T334" s="79">
        <f>IFERROR(VLOOKUP($A:$A,CS!$A:$AK,33,FALSE),"")</f>
      </c>
      <c r="U334" s="79">
        <f>IFERROR(VLOOKUP($A:$A,CS!$A:$AK,34,FALSE),"")</f>
      </c>
      <c r="V334" s="79">
        <f>IFERROR(VLOOKUP($A:$A,CS!$A:$AK,35,FALSE),"")</f>
      </c>
      <c r="W334" s="79">
        <f>IFERROR(VLOOKUP($A:$A,CS!$A:$AK,36,FALSE),"")</f>
      </c>
    </row>
    <row r="335" ht="16.5" customHeight="1" spans="1:23" x14ac:dyDescent="0.25">
      <c r="A335" s="93"/>
      <c r="B335" s="79">
        <f>IFERROR(VLOOKUP($A:$A,CS!$A:$AK,3,FALSE),"")</f>
      </c>
      <c r="C335" s="79">
        <f>IFERROR(VLOOKUP($A:$A,CS!$A:$AK,4,FALSE),"")</f>
      </c>
      <c r="D335" s="79">
        <f>IFERROR(VLOOKUP($A:$A,CS!$A:$AK,5,FALSE),"")</f>
      </c>
      <c r="E335" s="79">
        <f>IFERROR(VLOOKUP($A:$A,CS!$A:$AK,7,FALSE),"")</f>
      </c>
      <c r="F335" s="79">
        <f>IFERROR(VLOOKUP($A:$A,CS!$A:$AK,8,FALSE),"")</f>
      </c>
      <c r="G335" s="79">
        <f>IFERROR(VLOOKUP($A:$A,CS!$A:$AK,10,FALSE),"")</f>
      </c>
      <c r="H335" s="79">
        <f>IFERROR(VLOOKUP($A:$A,CS!$A:$AK,14,FALSE),"")</f>
      </c>
      <c r="I335" s="79">
        <f>IFERROR(VLOOKUP($A:$A,CS!$A:$AK,15,FALSE),"")</f>
      </c>
      <c r="J335" s="79">
        <f>IFERROR(VLOOKUP($A:$A,CS!$A:$AK,18,FALSE),"")</f>
      </c>
      <c r="K335" s="79">
        <f>IFERROR(VLOOKUP($A:$A,CS!$A:$AK,19,FALSE),"")</f>
      </c>
      <c r="L335" s="79">
        <f>IFERROR(VLOOKUP($A:$A,CS!$A:$AK,20,FALSE),"")</f>
      </c>
      <c r="M335" s="79">
        <f>IFERROR(VLOOKUP($A:$A,CS!$A:$AK,22,FALSE),"")</f>
      </c>
      <c r="N335" s="79">
        <f>IFERROR(VLOOKUP($A:$A,CS!$A:$AK,19,FALSE),"")</f>
      </c>
      <c r="O335" s="79">
        <f>IFERROR(VLOOKUP($A:$A,CS!$A:$AK,23,FALSE),"")</f>
      </c>
      <c r="P335" s="79">
        <f>IFERROR(VLOOKUP($A:$A,CS!$A:$AK,24,FALSE),"")</f>
      </c>
      <c r="Q335" s="79">
        <f>IFERROR(VLOOKUP($A:$A,CS!$A:$AK,25,FALSE),"")</f>
      </c>
      <c r="R335" s="79">
        <f>IFERROR(VLOOKUP($A:$A,CS!$A:$AK,26,FALSE),"")</f>
      </c>
      <c r="S335" s="79">
        <f>IFERROR(VLOOKUP($A:$A,CS!$A:$AK,29,FALSE),"")</f>
      </c>
      <c r="T335" s="79">
        <f>IFERROR(VLOOKUP($A:$A,CS!$A:$AK,33,FALSE),"")</f>
      </c>
      <c r="U335" s="79">
        <f>IFERROR(VLOOKUP($A:$A,CS!$A:$AK,34,FALSE),"")</f>
      </c>
      <c r="V335" s="79">
        <f>IFERROR(VLOOKUP($A:$A,CS!$A:$AK,35,FALSE),"")</f>
      </c>
      <c r="W335" s="79">
        <f>IFERROR(VLOOKUP($A:$A,CS!$A:$AK,36,FALSE),"")</f>
      </c>
    </row>
    <row r="336" ht="16.5" customHeight="1" spans="1:23" x14ac:dyDescent="0.25">
      <c r="A336" s="93"/>
      <c r="B336" s="79">
        <f>IFERROR(VLOOKUP($A:$A,CS!$A:$AK,3,FALSE),"")</f>
      </c>
      <c r="C336" s="79">
        <f>IFERROR(VLOOKUP($A:$A,CS!$A:$AK,4,FALSE),"")</f>
      </c>
      <c r="D336" s="79">
        <f>IFERROR(VLOOKUP($A:$A,CS!$A:$AK,5,FALSE),"")</f>
      </c>
      <c r="E336" s="79">
        <f>IFERROR(VLOOKUP($A:$A,CS!$A:$AK,7,FALSE),"")</f>
      </c>
      <c r="F336" s="79">
        <f>IFERROR(VLOOKUP($A:$A,CS!$A:$AK,8,FALSE),"")</f>
      </c>
      <c r="G336" s="79">
        <f>IFERROR(VLOOKUP($A:$A,CS!$A:$AK,10,FALSE),"")</f>
      </c>
      <c r="H336" s="79">
        <f>IFERROR(VLOOKUP($A:$A,CS!$A:$AK,14,FALSE),"")</f>
      </c>
      <c r="I336" s="79">
        <f>IFERROR(VLOOKUP($A:$A,CS!$A:$AK,15,FALSE),"")</f>
      </c>
      <c r="J336" s="79">
        <f>IFERROR(VLOOKUP($A:$A,CS!$A:$AK,18,FALSE),"")</f>
      </c>
      <c r="K336" s="79">
        <f>IFERROR(VLOOKUP($A:$A,CS!$A:$AK,19,FALSE),"")</f>
      </c>
      <c r="L336" s="79">
        <f>IFERROR(VLOOKUP($A:$A,CS!$A:$AK,20,FALSE),"")</f>
      </c>
      <c r="M336" s="79">
        <f>IFERROR(VLOOKUP($A:$A,CS!$A:$AK,22,FALSE),"")</f>
      </c>
      <c r="N336" s="79">
        <f>IFERROR(VLOOKUP($A:$A,CS!$A:$AK,19,FALSE),"")</f>
      </c>
      <c r="O336" s="79">
        <f>IFERROR(VLOOKUP($A:$A,CS!$A:$AK,23,FALSE),"")</f>
      </c>
      <c r="P336" s="79">
        <f>IFERROR(VLOOKUP($A:$A,CS!$A:$AK,24,FALSE),"")</f>
      </c>
      <c r="Q336" s="79">
        <f>IFERROR(VLOOKUP($A:$A,CS!$A:$AK,25,FALSE),"")</f>
      </c>
      <c r="R336" s="79">
        <f>IFERROR(VLOOKUP($A:$A,CS!$A:$AK,26,FALSE),"")</f>
      </c>
      <c r="S336" s="79">
        <f>IFERROR(VLOOKUP($A:$A,CS!$A:$AK,29,FALSE),"")</f>
      </c>
      <c r="T336" s="79">
        <f>IFERROR(VLOOKUP($A:$A,CS!$A:$AK,33,FALSE),"")</f>
      </c>
      <c r="U336" s="79">
        <f>IFERROR(VLOOKUP($A:$A,CS!$A:$AK,34,FALSE),"")</f>
      </c>
      <c r="V336" s="79">
        <f>IFERROR(VLOOKUP($A:$A,CS!$A:$AK,35,FALSE),"")</f>
      </c>
      <c r="W336" s="79">
        <f>IFERROR(VLOOKUP($A:$A,CS!$A:$AK,36,FALSE),"")</f>
      </c>
    </row>
    <row r="337" ht="16.5" customHeight="1" spans="1:23" x14ac:dyDescent="0.25">
      <c r="A337" s="93"/>
      <c r="B337" s="79">
        <f>IFERROR(VLOOKUP($A:$A,CS!$A:$AK,3,FALSE),"")</f>
      </c>
      <c r="C337" s="79">
        <f>IFERROR(VLOOKUP($A:$A,CS!$A:$AK,4,FALSE),"")</f>
      </c>
      <c r="D337" s="79">
        <f>IFERROR(VLOOKUP($A:$A,CS!$A:$AK,5,FALSE),"")</f>
      </c>
      <c r="E337" s="79">
        <f>IFERROR(VLOOKUP($A:$A,CS!$A:$AK,7,FALSE),"")</f>
      </c>
      <c r="F337" s="79">
        <f>IFERROR(VLOOKUP($A:$A,CS!$A:$AK,8,FALSE),"")</f>
      </c>
      <c r="G337" s="79">
        <f>IFERROR(VLOOKUP($A:$A,CS!$A:$AK,10,FALSE),"")</f>
      </c>
      <c r="H337" s="79">
        <f>IFERROR(VLOOKUP($A:$A,CS!$A:$AK,14,FALSE),"")</f>
      </c>
      <c r="I337" s="79">
        <f>IFERROR(VLOOKUP($A:$A,CS!$A:$AK,15,FALSE),"")</f>
      </c>
      <c r="J337" s="79">
        <f>IFERROR(VLOOKUP($A:$A,CS!$A:$AK,18,FALSE),"")</f>
      </c>
      <c r="K337" s="79">
        <f>IFERROR(VLOOKUP($A:$A,CS!$A:$AK,19,FALSE),"")</f>
      </c>
      <c r="L337" s="79">
        <f>IFERROR(VLOOKUP($A:$A,CS!$A:$AK,20,FALSE),"")</f>
      </c>
      <c r="M337" s="79">
        <f>IFERROR(VLOOKUP($A:$A,CS!$A:$AK,22,FALSE),"")</f>
      </c>
      <c r="N337" s="79">
        <f>IFERROR(VLOOKUP($A:$A,CS!$A:$AK,19,FALSE),"")</f>
      </c>
      <c r="O337" s="79">
        <f>IFERROR(VLOOKUP($A:$A,CS!$A:$AK,23,FALSE),"")</f>
      </c>
      <c r="P337" s="79">
        <f>IFERROR(VLOOKUP($A:$A,CS!$A:$AK,24,FALSE),"")</f>
      </c>
      <c r="Q337" s="79">
        <f>IFERROR(VLOOKUP($A:$A,CS!$A:$AK,25,FALSE),"")</f>
      </c>
      <c r="R337" s="79">
        <f>IFERROR(VLOOKUP($A:$A,CS!$A:$AK,26,FALSE),"")</f>
      </c>
      <c r="S337" s="79">
        <f>IFERROR(VLOOKUP($A:$A,CS!$A:$AK,29,FALSE),"")</f>
      </c>
      <c r="T337" s="79">
        <f>IFERROR(VLOOKUP($A:$A,CS!$A:$AK,33,FALSE),"")</f>
      </c>
      <c r="U337" s="79">
        <f>IFERROR(VLOOKUP($A:$A,CS!$A:$AK,34,FALSE),"")</f>
      </c>
      <c r="V337" s="79">
        <f>IFERROR(VLOOKUP($A:$A,CS!$A:$AK,35,FALSE),"")</f>
      </c>
      <c r="W337" s="79">
        <f>IFERROR(VLOOKUP($A:$A,CS!$A:$AK,36,FALSE),"")</f>
      </c>
    </row>
    <row r="338" ht="16.5" customHeight="1" spans="1:23" x14ac:dyDescent="0.25">
      <c r="A338" s="93"/>
      <c r="B338" s="79">
        <f>IFERROR(VLOOKUP($A:$A,CS!$A:$AK,3,FALSE),"")</f>
      </c>
      <c r="C338" s="79">
        <f>IFERROR(VLOOKUP($A:$A,CS!$A:$AK,4,FALSE),"")</f>
      </c>
      <c r="D338" s="79">
        <f>IFERROR(VLOOKUP($A:$A,CS!$A:$AK,5,FALSE),"")</f>
      </c>
      <c r="E338" s="79">
        <f>IFERROR(VLOOKUP($A:$A,CS!$A:$AK,7,FALSE),"")</f>
      </c>
      <c r="F338" s="79">
        <f>IFERROR(VLOOKUP($A:$A,CS!$A:$AK,8,FALSE),"")</f>
      </c>
      <c r="G338" s="79">
        <f>IFERROR(VLOOKUP($A:$A,CS!$A:$AK,10,FALSE),"")</f>
      </c>
      <c r="H338" s="79">
        <f>IFERROR(VLOOKUP($A:$A,CS!$A:$AK,14,FALSE),"")</f>
      </c>
      <c r="I338" s="79">
        <f>IFERROR(VLOOKUP($A:$A,CS!$A:$AK,15,FALSE),"")</f>
      </c>
      <c r="J338" s="79">
        <f>IFERROR(VLOOKUP($A:$A,CS!$A:$AK,18,FALSE),"")</f>
      </c>
      <c r="K338" s="79">
        <f>IFERROR(VLOOKUP($A:$A,CS!$A:$AK,19,FALSE),"")</f>
      </c>
      <c r="L338" s="79">
        <f>IFERROR(VLOOKUP($A:$A,CS!$A:$AK,20,FALSE),"")</f>
      </c>
      <c r="M338" s="79">
        <f>IFERROR(VLOOKUP($A:$A,CS!$A:$AK,22,FALSE),"")</f>
      </c>
      <c r="N338" s="79">
        <f>IFERROR(VLOOKUP($A:$A,CS!$A:$AK,19,FALSE),"")</f>
      </c>
      <c r="O338" s="79">
        <f>IFERROR(VLOOKUP($A:$A,CS!$A:$AK,23,FALSE),"")</f>
      </c>
      <c r="P338" s="79">
        <f>IFERROR(VLOOKUP($A:$A,CS!$A:$AK,24,FALSE),"")</f>
      </c>
      <c r="Q338" s="79">
        <f>IFERROR(VLOOKUP($A:$A,CS!$A:$AK,25,FALSE),"")</f>
      </c>
      <c r="R338" s="79">
        <f>IFERROR(VLOOKUP($A:$A,CS!$A:$AK,26,FALSE),"")</f>
      </c>
      <c r="S338" s="79">
        <f>IFERROR(VLOOKUP($A:$A,CS!$A:$AK,29,FALSE),"")</f>
      </c>
      <c r="T338" s="79">
        <f>IFERROR(VLOOKUP($A:$A,CS!$A:$AK,33,FALSE),"")</f>
      </c>
      <c r="U338" s="79">
        <f>IFERROR(VLOOKUP($A:$A,CS!$A:$AK,34,FALSE),"")</f>
      </c>
      <c r="V338" s="79">
        <f>IFERROR(VLOOKUP($A:$A,CS!$A:$AK,35,FALSE),"")</f>
      </c>
      <c r="W338" s="79">
        <f>IFERROR(VLOOKUP($A:$A,CS!$A:$AK,36,FALSE),"")</f>
      </c>
    </row>
    <row r="339" ht="16.5" customHeight="1" spans="1:23" x14ac:dyDescent="0.25">
      <c r="A339" s="93"/>
      <c r="B339" s="79">
        <f>IFERROR(VLOOKUP($A:$A,CS!$A:$AK,3,FALSE),"")</f>
      </c>
      <c r="C339" s="79">
        <f>IFERROR(VLOOKUP($A:$A,CS!$A:$AK,4,FALSE),"")</f>
      </c>
      <c r="D339" s="79">
        <f>IFERROR(VLOOKUP($A:$A,CS!$A:$AK,5,FALSE),"")</f>
      </c>
      <c r="E339" s="79">
        <f>IFERROR(VLOOKUP($A:$A,CS!$A:$AK,7,FALSE),"")</f>
      </c>
      <c r="F339" s="79">
        <f>IFERROR(VLOOKUP($A:$A,CS!$A:$AK,8,FALSE),"")</f>
      </c>
      <c r="G339" s="79">
        <f>IFERROR(VLOOKUP($A:$A,CS!$A:$AK,10,FALSE),"")</f>
      </c>
      <c r="H339" s="79">
        <f>IFERROR(VLOOKUP($A:$A,CS!$A:$AK,14,FALSE),"")</f>
      </c>
      <c r="I339" s="79">
        <f>IFERROR(VLOOKUP($A:$A,CS!$A:$AK,15,FALSE),"")</f>
      </c>
      <c r="J339" s="79">
        <f>IFERROR(VLOOKUP($A:$A,CS!$A:$AK,18,FALSE),"")</f>
      </c>
      <c r="K339" s="79">
        <f>IFERROR(VLOOKUP($A:$A,CS!$A:$AK,19,FALSE),"")</f>
      </c>
      <c r="L339" s="79">
        <f>IFERROR(VLOOKUP($A:$A,CS!$A:$AK,20,FALSE),"")</f>
      </c>
      <c r="M339" s="79">
        <f>IFERROR(VLOOKUP($A:$A,CS!$A:$AK,22,FALSE),"")</f>
      </c>
      <c r="N339" s="79">
        <f>IFERROR(VLOOKUP($A:$A,CS!$A:$AK,19,FALSE),"")</f>
      </c>
      <c r="O339" s="79">
        <f>IFERROR(VLOOKUP($A:$A,CS!$A:$AK,23,FALSE),"")</f>
      </c>
      <c r="P339" s="79">
        <f>IFERROR(VLOOKUP($A:$A,CS!$A:$AK,24,FALSE),"")</f>
      </c>
      <c r="Q339" s="79">
        <f>IFERROR(VLOOKUP($A:$A,CS!$A:$AK,25,FALSE),"")</f>
      </c>
      <c r="R339" s="79">
        <f>IFERROR(VLOOKUP($A:$A,CS!$A:$AK,26,FALSE),"")</f>
      </c>
      <c r="S339" s="79">
        <f>IFERROR(VLOOKUP($A:$A,CS!$A:$AK,29,FALSE),"")</f>
      </c>
      <c r="T339" s="79">
        <f>IFERROR(VLOOKUP($A:$A,CS!$A:$AK,33,FALSE),"")</f>
      </c>
      <c r="U339" s="79">
        <f>IFERROR(VLOOKUP($A:$A,CS!$A:$AK,34,FALSE),"")</f>
      </c>
      <c r="V339" s="79">
        <f>IFERROR(VLOOKUP($A:$A,CS!$A:$AK,35,FALSE),"")</f>
      </c>
      <c r="W339" s="79">
        <f>IFERROR(VLOOKUP($A:$A,CS!$A:$AK,36,FALSE),"")</f>
      </c>
    </row>
    <row r="340" ht="16.5" customHeight="1" spans="1:23" x14ac:dyDescent="0.25">
      <c r="A340" s="93"/>
      <c r="B340" s="79">
        <f>IFERROR(VLOOKUP($A:$A,CS!$A:$AK,3,FALSE),"")</f>
      </c>
      <c r="C340" s="79">
        <f>IFERROR(VLOOKUP($A:$A,CS!$A:$AK,4,FALSE),"")</f>
      </c>
      <c r="D340" s="79">
        <f>IFERROR(VLOOKUP($A:$A,CS!$A:$AK,5,FALSE),"")</f>
      </c>
      <c r="E340" s="79">
        <f>IFERROR(VLOOKUP($A:$A,CS!$A:$AK,7,FALSE),"")</f>
      </c>
      <c r="F340" s="79">
        <f>IFERROR(VLOOKUP($A:$A,CS!$A:$AK,8,FALSE),"")</f>
      </c>
      <c r="G340" s="79">
        <f>IFERROR(VLOOKUP($A:$A,CS!$A:$AK,10,FALSE),"")</f>
      </c>
      <c r="H340" s="79">
        <f>IFERROR(VLOOKUP($A:$A,CS!$A:$AK,14,FALSE),"")</f>
      </c>
      <c r="I340" s="79">
        <f>IFERROR(VLOOKUP($A:$A,CS!$A:$AK,15,FALSE),"")</f>
      </c>
      <c r="J340" s="79">
        <f>IFERROR(VLOOKUP($A:$A,CS!$A:$AK,18,FALSE),"")</f>
      </c>
      <c r="K340" s="79">
        <f>IFERROR(VLOOKUP($A:$A,CS!$A:$AK,19,FALSE),"")</f>
      </c>
      <c r="L340" s="79">
        <f>IFERROR(VLOOKUP($A:$A,CS!$A:$AK,20,FALSE),"")</f>
      </c>
      <c r="M340" s="79">
        <f>IFERROR(VLOOKUP($A:$A,CS!$A:$AK,22,FALSE),"")</f>
      </c>
      <c r="N340" s="79">
        <f>IFERROR(VLOOKUP($A:$A,CS!$A:$AK,19,FALSE),"")</f>
      </c>
      <c r="O340" s="79">
        <f>IFERROR(VLOOKUP($A:$A,CS!$A:$AK,23,FALSE),"")</f>
      </c>
      <c r="P340" s="79">
        <f>IFERROR(VLOOKUP($A:$A,CS!$A:$AK,24,FALSE),"")</f>
      </c>
      <c r="Q340" s="79">
        <f>IFERROR(VLOOKUP($A:$A,CS!$A:$AK,25,FALSE),"")</f>
      </c>
      <c r="R340" s="79">
        <f>IFERROR(VLOOKUP($A:$A,CS!$A:$AK,26,FALSE),"")</f>
      </c>
      <c r="S340" s="79">
        <f>IFERROR(VLOOKUP($A:$A,CS!$A:$AK,29,FALSE),"")</f>
      </c>
      <c r="T340" s="79">
        <f>IFERROR(VLOOKUP($A:$A,CS!$A:$AK,33,FALSE),"")</f>
      </c>
      <c r="U340" s="79">
        <f>IFERROR(VLOOKUP($A:$A,CS!$A:$AK,34,FALSE),"")</f>
      </c>
      <c r="V340" s="79">
        <f>IFERROR(VLOOKUP($A:$A,CS!$A:$AK,35,FALSE),"")</f>
      </c>
      <c r="W340" s="79">
        <f>IFERROR(VLOOKUP($A:$A,CS!$A:$AK,36,FALSE),"")</f>
      </c>
    </row>
    <row r="341" ht="16.5" customHeight="1" spans="1:23" x14ac:dyDescent="0.25">
      <c r="A341" s="93"/>
      <c r="B341" s="79">
        <f>IFERROR(VLOOKUP($A:$A,CS!$A:$AK,3,FALSE),"")</f>
      </c>
      <c r="C341" s="79">
        <f>IFERROR(VLOOKUP($A:$A,CS!$A:$AK,4,FALSE),"")</f>
      </c>
      <c r="D341" s="79">
        <f>IFERROR(VLOOKUP($A:$A,CS!$A:$AK,5,FALSE),"")</f>
      </c>
      <c r="E341" s="79">
        <f>IFERROR(VLOOKUP($A:$A,CS!$A:$AK,7,FALSE),"")</f>
      </c>
      <c r="F341" s="79">
        <f>IFERROR(VLOOKUP($A:$A,CS!$A:$AK,8,FALSE),"")</f>
      </c>
      <c r="G341" s="79">
        <f>IFERROR(VLOOKUP($A:$A,CS!$A:$AK,10,FALSE),"")</f>
      </c>
      <c r="H341" s="79">
        <f>IFERROR(VLOOKUP($A:$A,CS!$A:$AK,14,FALSE),"")</f>
      </c>
      <c r="I341" s="79">
        <f>IFERROR(VLOOKUP($A:$A,CS!$A:$AK,15,FALSE),"")</f>
      </c>
      <c r="J341" s="79">
        <f>IFERROR(VLOOKUP($A:$A,CS!$A:$AK,18,FALSE),"")</f>
      </c>
      <c r="K341" s="79">
        <f>IFERROR(VLOOKUP($A:$A,CS!$A:$AK,19,FALSE),"")</f>
      </c>
      <c r="L341" s="79">
        <f>IFERROR(VLOOKUP($A:$A,CS!$A:$AK,20,FALSE),"")</f>
      </c>
      <c r="M341" s="79">
        <f>IFERROR(VLOOKUP($A:$A,CS!$A:$AK,22,FALSE),"")</f>
      </c>
      <c r="N341" s="79">
        <f>IFERROR(VLOOKUP($A:$A,CS!$A:$AK,19,FALSE),"")</f>
      </c>
      <c r="O341" s="79">
        <f>IFERROR(VLOOKUP($A:$A,CS!$A:$AK,23,FALSE),"")</f>
      </c>
      <c r="P341" s="79">
        <f>IFERROR(VLOOKUP($A:$A,CS!$A:$AK,24,FALSE),"")</f>
      </c>
      <c r="Q341" s="79">
        <f>IFERROR(VLOOKUP($A:$A,CS!$A:$AK,25,FALSE),"")</f>
      </c>
      <c r="R341" s="79">
        <f>IFERROR(VLOOKUP($A:$A,CS!$A:$AK,26,FALSE),"")</f>
      </c>
      <c r="S341" s="79">
        <f>IFERROR(VLOOKUP($A:$A,CS!$A:$AK,29,FALSE),"")</f>
      </c>
      <c r="T341" s="79">
        <f>IFERROR(VLOOKUP($A:$A,CS!$A:$AK,33,FALSE),"")</f>
      </c>
      <c r="U341" s="79">
        <f>IFERROR(VLOOKUP($A:$A,CS!$A:$AK,34,FALSE),"")</f>
      </c>
      <c r="V341" s="79">
        <f>IFERROR(VLOOKUP($A:$A,CS!$A:$AK,35,FALSE),"")</f>
      </c>
      <c r="W341" s="79">
        <f>IFERROR(VLOOKUP($A:$A,CS!$A:$AK,36,FALSE),"")</f>
      </c>
    </row>
    <row r="342" ht="16.5" customHeight="1" spans="1:23" x14ac:dyDescent="0.25">
      <c r="A342" s="93"/>
      <c r="B342" s="79">
        <f>IFERROR(VLOOKUP($A:$A,CS!$A:$AK,3,FALSE),"")</f>
      </c>
      <c r="C342" s="79">
        <f>IFERROR(VLOOKUP($A:$A,CS!$A:$AK,4,FALSE),"")</f>
      </c>
      <c r="D342" s="79">
        <f>IFERROR(VLOOKUP($A:$A,CS!$A:$AK,5,FALSE),"")</f>
      </c>
      <c r="E342" s="79">
        <f>IFERROR(VLOOKUP($A:$A,CS!$A:$AK,7,FALSE),"")</f>
      </c>
      <c r="F342" s="79">
        <f>IFERROR(VLOOKUP($A:$A,CS!$A:$AK,8,FALSE),"")</f>
      </c>
      <c r="G342" s="79">
        <f>IFERROR(VLOOKUP($A:$A,CS!$A:$AK,10,FALSE),"")</f>
      </c>
      <c r="H342" s="79">
        <f>IFERROR(VLOOKUP($A:$A,CS!$A:$AK,14,FALSE),"")</f>
      </c>
      <c r="I342" s="79">
        <f>IFERROR(VLOOKUP($A:$A,CS!$A:$AK,15,FALSE),"")</f>
      </c>
      <c r="J342" s="79">
        <f>IFERROR(VLOOKUP($A:$A,CS!$A:$AK,18,FALSE),"")</f>
      </c>
      <c r="K342" s="79">
        <f>IFERROR(VLOOKUP($A:$A,CS!$A:$AK,19,FALSE),"")</f>
      </c>
      <c r="L342" s="79">
        <f>IFERROR(VLOOKUP($A:$A,CS!$A:$AK,20,FALSE),"")</f>
      </c>
      <c r="M342" s="79">
        <f>IFERROR(VLOOKUP($A:$A,CS!$A:$AK,22,FALSE),"")</f>
      </c>
      <c r="N342" s="79">
        <f>IFERROR(VLOOKUP($A:$A,CS!$A:$AK,19,FALSE),"")</f>
      </c>
      <c r="O342" s="79">
        <f>IFERROR(VLOOKUP($A:$A,CS!$A:$AK,23,FALSE),"")</f>
      </c>
      <c r="P342" s="79">
        <f>IFERROR(VLOOKUP($A:$A,CS!$A:$AK,24,FALSE),"")</f>
      </c>
      <c r="Q342" s="79">
        <f>IFERROR(VLOOKUP($A:$A,CS!$A:$AK,25,FALSE),"")</f>
      </c>
      <c r="R342" s="79">
        <f>IFERROR(VLOOKUP($A:$A,CS!$A:$AK,26,FALSE),"")</f>
      </c>
      <c r="S342" s="79">
        <f>IFERROR(VLOOKUP($A:$A,CS!$A:$AK,29,FALSE),"")</f>
      </c>
      <c r="T342" s="79">
        <f>IFERROR(VLOOKUP($A:$A,CS!$A:$AK,33,FALSE),"")</f>
      </c>
      <c r="U342" s="79">
        <f>IFERROR(VLOOKUP($A:$A,CS!$A:$AK,34,FALSE),"")</f>
      </c>
      <c r="V342" s="79">
        <f>IFERROR(VLOOKUP($A:$A,CS!$A:$AK,35,FALSE),"")</f>
      </c>
      <c r="W342" s="79">
        <f>IFERROR(VLOOKUP($A:$A,CS!$A:$AK,36,FALSE),"")</f>
      </c>
    </row>
    <row r="343" ht="16.5" customHeight="1" spans="1:23" x14ac:dyDescent="0.25">
      <c r="A343" s="93"/>
      <c r="B343" s="79">
        <f>IFERROR(VLOOKUP($A:$A,CS!$A:$AK,3,FALSE),"")</f>
      </c>
      <c r="C343" s="79">
        <f>IFERROR(VLOOKUP($A:$A,CS!$A:$AK,4,FALSE),"")</f>
      </c>
      <c r="D343" s="79">
        <f>IFERROR(VLOOKUP($A:$A,CS!$A:$AK,5,FALSE),"")</f>
      </c>
      <c r="E343" s="79">
        <f>IFERROR(VLOOKUP($A:$A,CS!$A:$AK,7,FALSE),"")</f>
      </c>
      <c r="F343" s="79">
        <f>IFERROR(VLOOKUP($A:$A,CS!$A:$AK,8,FALSE),"")</f>
      </c>
      <c r="G343" s="79">
        <f>IFERROR(VLOOKUP($A:$A,CS!$A:$AK,10,FALSE),"")</f>
      </c>
      <c r="H343" s="79">
        <f>IFERROR(VLOOKUP($A:$A,CS!$A:$AK,14,FALSE),"")</f>
      </c>
      <c r="I343" s="79">
        <f>IFERROR(VLOOKUP($A:$A,CS!$A:$AK,15,FALSE),"")</f>
      </c>
      <c r="J343" s="79">
        <f>IFERROR(VLOOKUP($A:$A,CS!$A:$AK,18,FALSE),"")</f>
      </c>
      <c r="K343" s="79">
        <f>IFERROR(VLOOKUP($A:$A,CS!$A:$AK,19,FALSE),"")</f>
      </c>
      <c r="L343" s="79">
        <f>IFERROR(VLOOKUP($A:$A,CS!$A:$AK,20,FALSE),"")</f>
      </c>
      <c r="M343" s="79">
        <f>IFERROR(VLOOKUP($A:$A,CS!$A:$AK,22,FALSE),"")</f>
      </c>
      <c r="N343" s="79">
        <f>IFERROR(VLOOKUP($A:$A,CS!$A:$AK,19,FALSE),"")</f>
      </c>
      <c r="O343" s="79">
        <f>IFERROR(VLOOKUP($A:$A,CS!$A:$AK,23,FALSE),"")</f>
      </c>
      <c r="P343" s="79">
        <f>IFERROR(VLOOKUP($A:$A,CS!$A:$AK,24,FALSE),"")</f>
      </c>
      <c r="Q343" s="79">
        <f>IFERROR(VLOOKUP($A:$A,CS!$A:$AK,25,FALSE),"")</f>
      </c>
      <c r="R343" s="79">
        <f>IFERROR(VLOOKUP($A:$A,CS!$A:$AK,26,FALSE),"")</f>
      </c>
      <c r="S343" s="79">
        <f>IFERROR(VLOOKUP($A:$A,CS!$A:$AK,29,FALSE),"")</f>
      </c>
      <c r="T343" s="79">
        <f>IFERROR(VLOOKUP($A:$A,CS!$A:$AK,33,FALSE),"")</f>
      </c>
      <c r="U343" s="79">
        <f>IFERROR(VLOOKUP($A:$A,CS!$A:$AK,34,FALSE),"")</f>
      </c>
      <c r="V343" s="79">
        <f>IFERROR(VLOOKUP($A:$A,CS!$A:$AK,35,FALSE),"")</f>
      </c>
      <c r="W343" s="79">
        <f>IFERROR(VLOOKUP($A:$A,CS!$A:$AK,36,FALSE),"")</f>
      </c>
    </row>
    <row r="344" ht="16.5" customHeight="1" spans="1:23" x14ac:dyDescent="0.25">
      <c r="A344" s="93"/>
      <c r="B344" s="79">
        <f>IFERROR(VLOOKUP($A:$A,CS!$A:$AK,3,FALSE),"")</f>
      </c>
      <c r="C344" s="79">
        <f>IFERROR(VLOOKUP($A:$A,CS!$A:$AK,4,FALSE),"")</f>
      </c>
      <c r="D344" s="79">
        <f>IFERROR(VLOOKUP($A:$A,CS!$A:$AK,5,FALSE),"")</f>
      </c>
      <c r="E344" s="79">
        <f>IFERROR(VLOOKUP($A:$A,CS!$A:$AK,7,FALSE),"")</f>
      </c>
      <c r="F344" s="79">
        <f>IFERROR(VLOOKUP($A:$A,CS!$A:$AK,8,FALSE),"")</f>
      </c>
      <c r="G344" s="79">
        <f>IFERROR(VLOOKUP($A:$A,CS!$A:$AK,10,FALSE),"")</f>
      </c>
      <c r="H344" s="79">
        <f>IFERROR(VLOOKUP($A:$A,CS!$A:$AK,14,FALSE),"")</f>
      </c>
      <c r="I344" s="79">
        <f>IFERROR(VLOOKUP($A:$A,CS!$A:$AK,15,FALSE),"")</f>
      </c>
      <c r="J344" s="79">
        <f>IFERROR(VLOOKUP($A:$A,CS!$A:$AK,18,FALSE),"")</f>
      </c>
      <c r="K344" s="79">
        <f>IFERROR(VLOOKUP($A:$A,CS!$A:$AK,19,FALSE),"")</f>
      </c>
      <c r="L344" s="79">
        <f>IFERROR(VLOOKUP($A:$A,CS!$A:$AK,20,FALSE),"")</f>
      </c>
      <c r="M344" s="79">
        <f>IFERROR(VLOOKUP($A:$A,CS!$A:$AK,22,FALSE),"")</f>
      </c>
      <c r="N344" s="79">
        <f>IFERROR(VLOOKUP($A:$A,CS!$A:$AK,19,FALSE),"")</f>
      </c>
      <c r="O344" s="79">
        <f>IFERROR(VLOOKUP($A:$A,CS!$A:$AK,23,FALSE),"")</f>
      </c>
      <c r="P344" s="79">
        <f>IFERROR(VLOOKUP($A:$A,CS!$A:$AK,24,FALSE),"")</f>
      </c>
      <c r="Q344" s="79">
        <f>IFERROR(VLOOKUP($A:$A,CS!$A:$AK,25,FALSE),"")</f>
      </c>
      <c r="R344" s="79">
        <f>IFERROR(VLOOKUP($A:$A,CS!$A:$AK,26,FALSE),"")</f>
      </c>
      <c r="S344" s="79">
        <f>IFERROR(VLOOKUP($A:$A,CS!$A:$AK,29,FALSE),"")</f>
      </c>
      <c r="T344" s="79">
        <f>IFERROR(VLOOKUP($A:$A,CS!$A:$AK,33,FALSE),"")</f>
      </c>
      <c r="U344" s="79">
        <f>IFERROR(VLOOKUP($A:$A,CS!$A:$AK,34,FALSE),"")</f>
      </c>
      <c r="V344" s="79">
        <f>IFERROR(VLOOKUP($A:$A,CS!$A:$AK,35,FALSE),"")</f>
      </c>
      <c r="W344" s="79">
        <f>IFERROR(VLOOKUP($A:$A,CS!$A:$AK,36,FALSE),"")</f>
      </c>
    </row>
    <row r="345" ht="16.5" customHeight="1" spans="1:23" x14ac:dyDescent="0.25">
      <c r="A345" s="93"/>
      <c r="B345" s="79">
        <f>IFERROR(VLOOKUP($A:$A,CS!$A:$AK,3,FALSE),"")</f>
      </c>
      <c r="C345" s="79">
        <f>IFERROR(VLOOKUP($A:$A,CS!$A:$AK,4,FALSE),"")</f>
      </c>
      <c r="D345" s="79">
        <f>IFERROR(VLOOKUP($A:$A,CS!$A:$AK,5,FALSE),"")</f>
      </c>
      <c r="E345" s="79">
        <f>IFERROR(VLOOKUP($A:$A,CS!$A:$AK,7,FALSE),"")</f>
      </c>
      <c r="F345" s="79">
        <f>IFERROR(VLOOKUP($A:$A,CS!$A:$AK,8,FALSE),"")</f>
      </c>
      <c r="G345" s="79">
        <f>IFERROR(VLOOKUP($A:$A,CS!$A:$AK,10,FALSE),"")</f>
      </c>
      <c r="H345" s="79">
        <f>IFERROR(VLOOKUP($A:$A,CS!$A:$AK,14,FALSE),"")</f>
      </c>
      <c r="I345" s="79">
        <f>IFERROR(VLOOKUP($A:$A,CS!$A:$AK,15,FALSE),"")</f>
      </c>
      <c r="J345" s="79">
        <f>IFERROR(VLOOKUP($A:$A,CS!$A:$AK,18,FALSE),"")</f>
      </c>
      <c r="K345" s="79">
        <f>IFERROR(VLOOKUP($A:$A,CS!$A:$AK,19,FALSE),"")</f>
      </c>
      <c r="L345" s="79">
        <f>IFERROR(VLOOKUP($A:$A,CS!$A:$AK,20,FALSE),"")</f>
      </c>
      <c r="M345" s="79">
        <f>IFERROR(VLOOKUP($A:$A,CS!$A:$AK,22,FALSE),"")</f>
      </c>
      <c r="N345" s="79">
        <f>IFERROR(VLOOKUP($A:$A,CS!$A:$AK,19,FALSE),"")</f>
      </c>
      <c r="O345" s="79">
        <f>IFERROR(VLOOKUP($A:$A,CS!$A:$AK,23,FALSE),"")</f>
      </c>
      <c r="P345" s="79">
        <f>IFERROR(VLOOKUP($A:$A,CS!$A:$AK,24,FALSE),"")</f>
      </c>
      <c r="Q345" s="79">
        <f>IFERROR(VLOOKUP($A:$A,CS!$A:$AK,25,FALSE),"")</f>
      </c>
      <c r="R345" s="79">
        <f>IFERROR(VLOOKUP($A:$A,CS!$A:$AK,26,FALSE),"")</f>
      </c>
      <c r="S345" s="79">
        <f>IFERROR(VLOOKUP($A:$A,CS!$A:$AK,29,FALSE),"")</f>
      </c>
      <c r="T345" s="79">
        <f>IFERROR(VLOOKUP($A:$A,CS!$A:$AK,33,FALSE),"")</f>
      </c>
      <c r="U345" s="79">
        <f>IFERROR(VLOOKUP($A:$A,CS!$A:$AK,34,FALSE),"")</f>
      </c>
      <c r="V345" s="79">
        <f>IFERROR(VLOOKUP($A:$A,CS!$A:$AK,35,FALSE),"")</f>
      </c>
      <c r="W345" s="79">
        <f>IFERROR(VLOOKUP($A:$A,CS!$A:$AK,36,FALSE),"")</f>
      </c>
    </row>
    <row r="346" ht="16.5" customHeight="1" spans="1:23" x14ac:dyDescent="0.25">
      <c r="A346" s="93"/>
      <c r="B346" s="79">
        <f>IFERROR(VLOOKUP($A:$A,CS!$A:$AK,3,FALSE),"")</f>
      </c>
      <c r="C346" s="79">
        <f>IFERROR(VLOOKUP($A:$A,CS!$A:$AK,4,FALSE),"")</f>
      </c>
      <c r="D346" s="79">
        <f>IFERROR(VLOOKUP($A:$A,CS!$A:$AK,5,FALSE),"")</f>
      </c>
      <c r="E346" s="79">
        <f>IFERROR(VLOOKUP($A:$A,CS!$A:$AK,7,FALSE),"")</f>
      </c>
      <c r="F346" s="79">
        <f>IFERROR(VLOOKUP($A:$A,CS!$A:$AK,8,FALSE),"")</f>
      </c>
      <c r="G346" s="79">
        <f>IFERROR(VLOOKUP($A:$A,CS!$A:$AK,10,FALSE),"")</f>
      </c>
      <c r="H346" s="79">
        <f>IFERROR(VLOOKUP($A:$A,CS!$A:$AK,14,FALSE),"")</f>
      </c>
      <c r="I346" s="79">
        <f>IFERROR(VLOOKUP($A:$A,CS!$A:$AK,15,FALSE),"")</f>
      </c>
      <c r="J346" s="79">
        <f>IFERROR(VLOOKUP($A:$A,CS!$A:$AK,18,FALSE),"")</f>
      </c>
      <c r="K346" s="79">
        <f>IFERROR(VLOOKUP($A:$A,CS!$A:$AK,19,FALSE),"")</f>
      </c>
      <c r="L346" s="79">
        <f>IFERROR(VLOOKUP($A:$A,CS!$A:$AK,20,FALSE),"")</f>
      </c>
      <c r="M346" s="79">
        <f>IFERROR(VLOOKUP($A:$A,CS!$A:$AK,22,FALSE),"")</f>
      </c>
      <c r="N346" s="79">
        <f>IFERROR(VLOOKUP($A:$A,CS!$A:$AK,19,FALSE),"")</f>
      </c>
      <c r="O346" s="79">
        <f>IFERROR(VLOOKUP($A:$A,CS!$A:$AK,23,FALSE),"")</f>
      </c>
      <c r="P346" s="79">
        <f>IFERROR(VLOOKUP($A:$A,CS!$A:$AK,24,FALSE),"")</f>
      </c>
      <c r="Q346" s="79">
        <f>IFERROR(VLOOKUP($A:$A,CS!$A:$AK,25,FALSE),"")</f>
      </c>
      <c r="R346" s="79">
        <f>IFERROR(VLOOKUP($A:$A,CS!$A:$AK,26,FALSE),"")</f>
      </c>
      <c r="S346" s="79">
        <f>IFERROR(VLOOKUP($A:$A,CS!$A:$AK,29,FALSE),"")</f>
      </c>
      <c r="T346" s="79">
        <f>IFERROR(VLOOKUP($A:$A,CS!$A:$AK,33,FALSE),"")</f>
      </c>
      <c r="U346" s="79">
        <f>IFERROR(VLOOKUP($A:$A,CS!$A:$AK,34,FALSE),"")</f>
      </c>
      <c r="V346" s="79">
        <f>IFERROR(VLOOKUP($A:$A,CS!$A:$AK,35,FALSE),"")</f>
      </c>
      <c r="W346" s="79">
        <f>IFERROR(VLOOKUP($A:$A,CS!$A:$AK,36,FALSE),"")</f>
      </c>
    </row>
    <row r="347" ht="16.5" customHeight="1" spans="1:23" x14ac:dyDescent="0.25">
      <c r="A347" s="93"/>
      <c r="B347" s="79">
        <f>IFERROR(VLOOKUP($A:$A,CS!$A:$AK,3,FALSE),"")</f>
      </c>
      <c r="C347" s="79">
        <f>IFERROR(VLOOKUP($A:$A,CS!$A:$AK,4,FALSE),"")</f>
      </c>
      <c r="D347" s="79">
        <f>IFERROR(VLOOKUP($A:$A,CS!$A:$AK,5,FALSE),"")</f>
      </c>
      <c r="E347" s="79">
        <f>IFERROR(VLOOKUP($A:$A,CS!$A:$AK,7,FALSE),"")</f>
      </c>
      <c r="F347" s="79">
        <f>IFERROR(VLOOKUP($A:$A,CS!$A:$AK,8,FALSE),"")</f>
      </c>
      <c r="G347" s="79">
        <f>IFERROR(VLOOKUP($A:$A,CS!$A:$AK,10,FALSE),"")</f>
      </c>
      <c r="H347" s="79">
        <f>IFERROR(VLOOKUP($A:$A,CS!$A:$AK,14,FALSE),"")</f>
      </c>
      <c r="I347" s="79">
        <f>IFERROR(VLOOKUP($A:$A,CS!$A:$AK,15,FALSE),"")</f>
      </c>
      <c r="J347" s="79">
        <f>IFERROR(VLOOKUP($A:$A,CS!$A:$AK,18,FALSE),"")</f>
      </c>
      <c r="K347" s="79">
        <f>IFERROR(VLOOKUP($A:$A,CS!$A:$AK,19,FALSE),"")</f>
      </c>
      <c r="L347" s="79">
        <f>IFERROR(VLOOKUP($A:$A,CS!$A:$AK,20,FALSE),"")</f>
      </c>
      <c r="M347" s="79">
        <f>IFERROR(VLOOKUP($A:$A,CS!$A:$AK,22,FALSE),"")</f>
      </c>
      <c r="N347" s="79">
        <f>IFERROR(VLOOKUP($A:$A,CS!$A:$AK,19,FALSE),"")</f>
      </c>
      <c r="O347" s="79">
        <f>IFERROR(VLOOKUP($A:$A,CS!$A:$AK,23,FALSE),"")</f>
      </c>
      <c r="P347" s="79">
        <f>IFERROR(VLOOKUP($A:$A,CS!$A:$AK,24,FALSE),"")</f>
      </c>
      <c r="Q347" s="79">
        <f>IFERROR(VLOOKUP($A:$A,CS!$A:$AK,25,FALSE),"")</f>
      </c>
      <c r="R347" s="79">
        <f>IFERROR(VLOOKUP($A:$A,CS!$A:$AK,26,FALSE),"")</f>
      </c>
      <c r="S347" s="79">
        <f>IFERROR(VLOOKUP($A:$A,CS!$A:$AK,29,FALSE),"")</f>
      </c>
      <c r="T347" s="79">
        <f>IFERROR(VLOOKUP($A:$A,CS!$A:$AK,33,FALSE),"")</f>
      </c>
      <c r="U347" s="79">
        <f>IFERROR(VLOOKUP($A:$A,CS!$A:$AK,34,FALSE),"")</f>
      </c>
      <c r="V347" s="79">
        <f>IFERROR(VLOOKUP($A:$A,CS!$A:$AK,35,FALSE),"")</f>
      </c>
      <c r="W347" s="79">
        <f>IFERROR(VLOOKUP($A:$A,CS!$A:$AK,36,FALSE),"")</f>
      </c>
    </row>
    <row r="348" ht="16.5" customHeight="1" spans="1:23" x14ac:dyDescent="0.25">
      <c r="A348" s="93"/>
      <c r="B348" s="79">
        <f>IFERROR(VLOOKUP($A:$A,CS!$A:$AK,3,FALSE),"")</f>
      </c>
      <c r="C348" s="79">
        <f>IFERROR(VLOOKUP($A:$A,CS!$A:$AK,4,FALSE),"")</f>
      </c>
      <c r="D348" s="79">
        <f>IFERROR(VLOOKUP($A:$A,CS!$A:$AK,5,FALSE),"")</f>
      </c>
      <c r="E348" s="79">
        <f>IFERROR(VLOOKUP($A:$A,CS!$A:$AK,7,FALSE),"")</f>
      </c>
      <c r="F348" s="79">
        <f>IFERROR(VLOOKUP($A:$A,CS!$A:$AK,8,FALSE),"")</f>
      </c>
      <c r="G348" s="79">
        <f>IFERROR(VLOOKUP($A:$A,CS!$A:$AK,10,FALSE),"")</f>
      </c>
      <c r="H348" s="79">
        <f>IFERROR(VLOOKUP($A:$A,CS!$A:$AK,14,FALSE),"")</f>
      </c>
      <c r="I348" s="79">
        <f>IFERROR(VLOOKUP($A:$A,CS!$A:$AK,15,FALSE),"")</f>
      </c>
      <c r="J348" s="79">
        <f>IFERROR(VLOOKUP($A:$A,CS!$A:$AK,18,FALSE),"")</f>
      </c>
      <c r="K348" s="79">
        <f>IFERROR(VLOOKUP($A:$A,CS!$A:$AK,19,FALSE),"")</f>
      </c>
      <c r="L348" s="79">
        <f>IFERROR(VLOOKUP($A:$A,CS!$A:$AK,20,FALSE),"")</f>
      </c>
      <c r="M348" s="79">
        <f>IFERROR(VLOOKUP($A:$A,CS!$A:$AK,22,FALSE),"")</f>
      </c>
      <c r="N348" s="79">
        <f>IFERROR(VLOOKUP($A:$A,CS!$A:$AK,19,FALSE),"")</f>
      </c>
      <c r="O348" s="79">
        <f>IFERROR(VLOOKUP($A:$A,CS!$A:$AK,23,FALSE),"")</f>
      </c>
      <c r="P348" s="79">
        <f>IFERROR(VLOOKUP($A:$A,CS!$A:$AK,24,FALSE),"")</f>
      </c>
      <c r="Q348" s="79">
        <f>IFERROR(VLOOKUP($A:$A,CS!$A:$AK,25,FALSE),"")</f>
      </c>
      <c r="R348" s="79">
        <f>IFERROR(VLOOKUP($A:$A,CS!$A:$AK,26,FALSE),"")</f>
      </c>
      <c r="S348" s="79">
        <f>IFERROR(VLOOKUP($A:$A,CS!$A:$AK,29,FALSE),"")</f>
      </c>
      <c r="T348" s="79">
        <f>IFERROR(VLOOKUP($A:$A,CS!$A:$AK,33,FALSE),"")</f>
      </c>
      <c r="U348" s="79">
        <f>IFERROR(VLOOKUP($A:$A,CS!$A:$AK,34,FALSE),"")</f>
      </c>
      <c r="V348" s="79">
        <f>IFERROR(VLOOKUP($A:$A,CS!$A:$AK,35,FALSE),"")</f>
      </c>
      <c r="W348" s="79">
        <f>IFERROR(VLOOKUP($A:$A,CS!$A:$AK,36,FALSE),"")</f>
      </c>
    </row>
    <row r="349" ht="16.5" customHeight="1" spans="1:23" x14ac:dyDescent="0.25">
      <c r="A349" s="93"/>
      <c r="B349" s="79">
        <f>IFERROR(VLOOKUP($A:$A,CS!$A:$AK,3,FALSE),"")</f>
      </c>
      <c r="C349" s="79">
        <f>IFERROR(VLOOKUP($A:$A,CS!$A:$AK,4,FALSE),"")</f>
      </c>
      <c r="D349" s="79">
        <f>IFERROR(VLOOKUP($A:$A,CS!$A:$AK,5,FALSE),"")</f>
      </c>
      <c r="E349" s="79">
        <f>IFERROR(VLOOKUP($A:$A,CS!$A:$AK,7,FALSE),"")</f>
      </c>
      <c r="F349" s="79">
        <f>IFERROR(VLOOKUP($A:$A,CS!$A:$AK,8,FALSE),"")</f>
      </c>
      <c r="G349" s="79">
        <f>IFERROR(VLOOKUP($A:$A,CS!$A:$AK,10,FALSE),"")</f>
      </c>
      <c r="H349" s="79">
        <f>IFERROR(VLOOKUP($A:$A,CS!$A:$AK,14,FALSE),"")</f>
      </c>
      <c r="I349" s="79">
        <f>IFERROR(VLOOKUP($A:$A,CS!$A:$AK,15,FALSE),"")</f>
      </c>
      <c r="J349" s="79">
        <f>IFERROR(VLOOKUP($A:$A,CS!$A:$AK,18,FALSE),"")</f>
      </c>
      <c r="K349" s="79">
        <f>IFERROR(VLOOKUP($A:$A,CS!$A:$AK,19,FALSE),"")</f>
      </c>
      <c r="L349" s="79">
        <f>IFERROR(VLOOKUP($A:$A,CS!$A:$AK,20,FALSE),"")</f>
      </c>
      <c r="M349" s="79">
        <f>IFERROR(VLOOKUP($A:$A,CS!$A:$AK,22,FALSE),"")</f>
      </c>
      <c r="N349" s="79">
        <f>IFERROR(VLOOKUP($A:$A,CS!$A:$AK,19,FALSE),"")</f>
      </c>
      <c r="O349" s="79">
        <f>IFERROR(VLOOKUP($A:$A,CS!$A:$AK,23,FALSE),"")</f>
      </c>
      <c r="P349" s="79">
        <f>IFERROR(VLOOKUP($A:$A,CS!$A:$AK,24,FALSE),"")</f>
      </c>
      <c r="Q349" s="79">
        <f>IFERROR(VLOOKUP($A:$A,CS!$A:$AK,25,FALSE),"")</f>
      </c>
      <c r="R349" s="79">
        <f>IFERROR(VLOOKUP($A:$A,CS!$A:$AK,26,FALSE),"")</f>
      </c>
      <c r="S349" s="79">
        <f>IFERROR(VLOOKUP($A:$A,CS!$A:$AK,29,FALSE),"")</f>
      </c>
      <c r="T349" s="79">
        <f>IFERROR(VLOOKUP($A:$A,CS!$A:$AK,33,FALSE),"")</f>
      </c>
      <c r="U349" s="79">
        <f>IFERROR(VLOOKUP($A:$A,CS!$A:$AK,34,FALSE),"")</f>
      </c>
      <c r="V349" s="79">
        <f>IFERROR(VLOOKUP($A:$A,CS!$A:$AK,35,FALSE),"")</f>
      </c>
      <c r="W349" s="79">
        <f>IFERROR(VLOOKUP($A:$A,CS!$A:$AK,36,FALSE),"")</f>
      </c>
    </row>
    <row r="350" ht="16.5" customHeight="1" spans="1:23" x14ac:dyDescent="0.25">
      <c r="A350" s="93"/>
      <c r="B350" s="79">
        <f>IFERROR(VLOOKUP($A:$A,CS!$A:$AK,3,FALSE),"")</f>
      </c>
      <c r="C350" s="79">
        <f>IFERROR(VLOOKUP($A:$A,CS!$A:$AK,4,FALSE),"")</f>
      </c>
      <c r="D350" s="79">
        <f>IFERROR(VLOOKUP($A:$A,CS!$A:$AK,5,FALSE),"")</f>
      </c>
      <c r="E350" s="79">
        <f>IFERROR(VLOOKUP($A:$A,CS!$A:$AK,7,FALSE),"")</f>
      </c>
      <c r="F350" s="79">
        <f>IFERROR(VLOOKUP($A:$A,CS!$A:$AK,8,FALSE),"")</f>
      </c>
      <c r="G350" s="79">
        <f>IFERROR(VLOOKUP($A:$A,CS!$A:$AK,10,FALSE),"")</f>
      </c>
      <c r="H350" s="79">
        <f>IFERROR(VLOOKUP($A:$A,CS!$A:$AK,14,FALSE),"")</f>
      </c>
      <c r="I350" s="79">
        <f>IFERROR(VLOOKUP($A:$A,CS!$A:$AK,15,FALSE),"")</f>
      </c>
      <c r="J350" s="79">
        <f>IFERROR(VLOOKUP($A:$A,CS!$A:$AK,18,FALSE),"")</f>
      </c>
      <c r="K350" s="79">
        <f>IFERROR(VLOOKUP($A:$A,CS!$A:$AK,19,FALSE),"")</f>
      </c>
      <c r="L350" s="79">
        <f>IFERROR(VLOOKUP($A:$A,CS!$A:$AK,20,FALSE),"")</f>
      </c>
      <c r="M350" s="79">
        <f>IFERROR(VLOOKUP($A:$A,CS!$A:$AK,22,FALSE),"")</f>
      </c>
      <c r="N350" s="79">
        <f>IFERROR(VLOOKUP($A:$A,CS!$A:$AK,19,FALSE),"")</f>
      </c>
      <c r="O350" s="79">
        <f>IFERROR(VLOOKUP($A:$A,CS!$A:$AK,23,FALSE),"")</f>
      </c>
      <c r="P350" s="79">
        <f>IFERROR(VLOOKUP($A:$A,CS!$A:$AK,24,FALSE),"")</f>
      </c>
      <c r="Q350" s="79">
        <f>IFERROR(VLOOKUP($A:$A,CS!$A:$AK,25,FALSE),"")</f>
      </c>
      <c r="R350" s="79">
        <f>IFERROR(VLOOKUP($A:$A,CS!$A:$AK,26,FALSE),"")</f>
      </c>
      <c r="S350" s="79">
        <f>IFERROR(VLOOKUP($A:$A,CS!$A:$AK,29,FALSE),"")</f>
      </c>
      <c r="T350" s="79">
        <f>IFERROR(VLOOKUP($A:$A,CS!$A:$AK,33,FALSE),"")</f>
      </c>
      <c r="U350" s="79">
        <f>IFERROR(VLOOKUP($A:$A,CS!$A:$AK,34,FALSE),"")</f>
      </c>
      <c r="V350" s="79">
        <f>IFERROR(VLOOKUP($A:$A,CS!$A:$AK,35,FALSE),"")</f>
      </c>
      <c r="W350" s="79">
        <f>IFERROR(VLOOKUP($A:$A,CS!$A:$AK,36,FALSE),"")</f>
      </c>
    </row>
    <row r="351" ht="16.5" customHeight="1" spans="1:23" x14ac:dyDescent="0.25">
      <c r="A351" s="93"/>
      <c r="B351" s="79">
        <f>IFERROR(VLOOKUP($A:$A,CS!$A:$AK,3,FALSE),"")</f>
      </c>
      <c r="C351" s="79">
        <f>IFERROR(VLOOKUP($A:$A,CS!$A:$AK,4,FALSE),"")</f>
      </c>
      <c r="D351" s="79">
        <f>IFERROR(VLOOKUP($A:$A,CS!$A:$AK,5,FALSE),"")</f>
      </c>
      <c r="E351" s="79">
        <f>IFERROR(VLOOKUP($A:$A,CS!$A:$AK,7,FALSE),"")</f>
      </c>
      <c r="F351" s="79">
        <f>IFERROR(VLOOKUP($A:$A,CS!$A:$AK,8,FALSE),"")</f>
      </c>
      <c r="G351" s="79">
        <f>IFERROR(VLOOKUP($A:$A,CS!$A:$AK,10,FALSE),"")</f>
      </c>
      <c r="H351" s="79">
        <f>IFERROR(VLOOKUP($A:$A,CS!$A:$AK,14,FALSE),"")</f>
      </c>
      <c r="I351" s="79">
        <f>IFERROR(VLOOKUP($A:$A,CS!$A:$AK,15,FALSE),"")</f>
      </c>
      <c r="J351" s="79">
        <f>IFERROR(VLOOKUP($A:$A,CS!$A:$AK,18,FALSE),"")</f>
      </c>
      <c r="K351" s="79">
        <f>IFERROR(VLOOKUP($A:$A,CS!$A:$AK,19,FALSE),"")</f>
      </c>
      <c r="L351" s="79">
        <f>IFERROR(VLOOKUP($A:$A,CS!$A:$AK,20,FALSE),"")</f>
      </c>
      <c r="M351" s="79">
        <f>IFERROR(VLOOKUP($A:$A,CS!$A:$AK,22,FALSE),"")</f>
      </c>
      <c r="N351" s="79">
        <f>IFERROR(VLOOKUP($A:$A,CS!$A:$AK,19,FALSE),"")</f>
      </c>
      <c r="O351" s="79">
        <f>IFERROR(VLOOKUP($A:$A,CS!$A:$AK,23,FALSE),"")</f>
      </c>
      <c r="P351" s="79">
        <f>IFERROR(VLOOKUP($A:$A,CS!$A:$AK,24,FALSE),"")</f>
      </c>
      <c r="Q351" s="79">
        <f>IFERROR(VLOOKUP($A:$A,CS!$A:$AK,25,FALSE),"")</f>
      </c>
      <c r="R351" s="79">
        <f>IFERROR(VLOOKUP($A:$A,CS!$A:$AK,26,FALSE),"")</f>
      </c>
      <c r="S351" s="79">
        <f>IFERROR(VLOOKUP($A:$A,CS!$A:$AK,29,FALSE),"")</f>
      </c>
      <c r="T351" s="79">
        <f>IFERROR(VLOOKUP($A:$A,CS!$A:$AK,33,FALSE),"")</f>
      </c>
      <c r="U351" s="79">
        <f>IFERROR(VLOOKUP($A:$A,CS!$A:$AK,34,FALSE),"")</f>
      </c>
      <c r="V351" s="79">
        <f>IFERROR(VLOOKUP($A:$A,CS!$A:$AK,35,FALSE),"")</f>
      </c>
      <c r="W351" s="79">
        <f>IFERROR(VLOOKUP($A:$A,CS!$A:$AK,36,FALSE),"")</f>
      </c>
    </row>
    <row r="352" ht="16.5" customHeight="1" spans="1:23" x14ac:dyDescent="0.25">
      <c r="A352" s="93"/>
      <c r="B352" s="79">
        <f>IFERROR(VLOOKUP($A:$A,CS!$A:$AK,3,FALSE),"")</f>
      </c>
      <c r="C352" s="79">
        <f>IFERROR(VLOOKUP($A:$A,CS!$A:$AK,4,FALSE),"")</f>
      </c>
      <c r="D352" s="79">
        <f>IFERROR(VLOOKUP($A:$A,CS!$A:$AK,5,FALSE),"")</f>
      </c>
      <c r="E352" s="79">
        <f>IFERROR(VLOOKUP($A:$A,CS!$A:$AK,7,FALSE),"")</f>
      </c>
      <c r="F352" s="79">
        <f>IFERROR(VLOOKUP($A:$A,CS!$A:$AK,8,FALSE),"")</f>
      </c>
      <c r="G352" s="79">
        <f>IFERROR(VLOOKUP($A:$A,CS!$A:$AK,10,FALSE),"")</f>
      </c>
      <c r="H352" s="79">
        <f>IFERROR(VLOOKUP($A:$A,CS!$A:$AK,14,FALSE),"")</f>
      </c>
      <c r="I352" s="79">
        <f>IFERROR(VLOOKUP($A:$A,CS!$A:$AK,15,FALSE),"")</f>
      </c>
      <c r="J352" s="79">
        <f>IFERROR(VLOOKUP($A:$A,CS!$A:$AK,18,FALSE),"")</f>
      </c>
      <c r="K352" s="79">
        <f>IFERROR(VLOOKUP($A:$A,CS!$A:$AK,19,FALSE),"")</f>
      </c>
      <c r="L352" s="79">
        <f>IFERROR(VLOOKUP($A:$A,CS!$A:$AK,20,FALSE),"")</f>
      </c>
      <c r="M352" s="79">
        <f>IFERROR(VLOOKUP($A:$A,CS!$A:$AK,22,FALSE),"")</f>
      </c>
      <c r="N352" s="79">
        <f>IFERROR(VLOOKUP($A:$A,CS!$A:$AK,19,FALSE),"")</f>
      </c>
      <c r="O352" s="79">
        <f>IFERROR(VLOOKUP($A:$A,CS!$A:$AK,23,FALSE),"")</f>
      </c>
      <c r="P352" s="79">
        <f>IFERROR(VLOOKUP($A:$A,CS!$A:$AK,24,FALSE),"")</f>
      </c>
      <c r="Q352" s="79">
        <f>IFERROR(VLOOKUP($A:$A,CS!$A:$AK,25,FALSE),"")</f>
      </c>
      <c r="R352" s="79">
        <f>IFERROR(VLOOKUP($A:$A,CS!$A:$AK,26,FALSE),"")</f>
      </c>
      <c r="S352" s="79">
        <f>IFERROR(VLOOKUP($A:$A,CS!$A:$AK,29,FALSE),"")</f>
      </c>
      <c r="T352" s="79">
        <f>IFERROR(VLOOKUP($A:$A,CS!$A:$AK,33,FALSE),"")</f>
      </c>
      <c r="U352" s="79">
        <f>IFERROR(VLOOKUP($A:$A,CS!$A:$AK,34,FALSE),"")</f>
      </c>
      <c r="V352" s="79">
        <f>IFERROR(VLOOKUP($A:$A,CS!$A:$AK,35,FALSE),"")</f>
      </c>
      <c r="W352" s="79">
        <f>IFERROR(VLOOKUP($A:$A,CS!$A:$AK,36,FALSE),"")</f>
      </c>
    </row>
    <row r="353" ht="16.5" customHeight="1" spans="1:23" x14ac:dyDescent="0.25">
      <c r="A353" s="93"/>
      <c r="B353" s="79">
        <f>IFERROR(VLOOKUP($A:$A,CS!$A:$AK,3,FALSE),"")</f>
      </c>
      <c r="C353" s="79">
        <f>IFERROR(VLOOKUP($A:$A,CS!$A:$AK,4,FALSE),"")</f>
      </c>
      <c r="D353" s="79">
        <f>IFERROR(VLOOKUP($A:$A,CS!$A:$AK,5,FALSE),"")</f>
      </c>
      <c r="E353" s="79">
        <f>IFERROR(VLOOKUP($A:$A,CS!$A:$AK,7,FALSE),"")</f>
      </c>
      <c r="F353" s="79">
        <f>IFERROR(VLOOKUP($A:$A,CS!$A:$AK,8,FALSE),"")</f>
      </c>
      <c r="G353" s="79">
        <f>IFERROR(VLOOKUP($A:$A,CS!$A:$AK,10,FALSE),"")</f>
      </c>
      <c r="H353" s="79">
        <f>IFERROR(VLOOKUP($A:$A,CS!$A:$AK,14,FALSE),"")</f>
      </c>
      <c r="I353" s="79">
        <f>IFERROR(VLOOKUP($A:$A,CS!$A:$AK,15,FALSE),"")</f>
      </c>
      <c r="J353" s="79">
        <f>IFERROR(VLOOKUP($A:$A,CS!$A:$AK,18,FALSE),"")</f>
      </c>
      <c r="K353" s="79">
        <f>IFERROR(VLOOKUP($A:$A,CS!$A:$AK,19,FALSE),"")</f>
      </c>
      <c r="L353" s="79">
        <f>IFERROR(VLOOKUP($A:$A,CS!$A:$AK,20,FALSE),"")</f>
      </c>
      <c r="M353" s="79">
        <f>IFERROR(VLOOKUP($A:$A,CS!$A:$AK,22,FALSE),"")</f>
      </c>
      <c r="N353" s="79">
        <f>IFERROR(VLOOKUP($A:$A,CS!$A:$AK,19,FALSE),"")</f>
      </c>
      <c r="O353" s="79">
        <f>IFERROR(VLOOKUP($A:$A,CS!$A:$AK,23,FALSE),"")</f>
      </c>
      <c r="P353" s="79">
        <f>IFERROR(VLOOKUP($A:$A,CS!$A:$AK,24,FALSE),"")</f>
      </c>
      <c r="Q353" s="79">
        <f>IFERROR(VLOOKUP($A:$A,CS!$A:$AK,25,FALSE),"")</f>
      </c>
      <c r="R353" s="79">
        <f>IFERROR(VLOOKUP($A:$A,CS!$A:$AK,26,FALSE),"")</f>
      </c>
      <c r="S353" s="79">
        <f>IFERROR(VLOOKUP($A:$A,CS!$A:$AK,29,FALSE),"")</f>
      </c>
      <c r="T353" s="79">
        <f>IFERROR(VLOOKUP($A:$A,CS!$A:$AK,33,FALSE),"")</f>
      </c>
      <c r="U353" s="79">
        <f>IFERROR(VLOOKUP($A:$A,CS!$A:$AK,34,FALSE),"")</f>
      </c>
      <c r="V353" s="79">
        <f>IFERROR(VLOOKUP($A:$A,CS!$A:$AK,35,FALSE),"")</f>
      </c>
      <c r="W353" s="79">
        <f>IFERROR(VLOOKUP($A:$A,CS!$A:$AK,36,FALSE),"")</f>
      </c>
    </row>
    <row r="354" ht="16.5" customHeight="1" spans="1:23" x14ac:dyDescent="0.25">
      <c r="A354" s="93"/>
      <c r="B354" s="79">
        <f>IFERROR(VLOOKUP($A:$A,CS!$A:$AK,3,FALSE),"")</f>
      </c>
      <c r="C354" s="79">
        <f>IFERROR(VLOOKUP($A:$A,CS!$A:$AK,4,FALSE),"")</f>
      </c>
      <c r="D354" s="79">
        <f>IFERROR(VLOOKUP($A:$A,CS!$A:$AK,5,FALSE),"")</f>
      </c>
      <c r="E354" s="79">
        <f>IFERROR(VLOOKUP($A:$A,CS!$A:$AK,7,FALSE),"")</f>
      </c>
      <c r="F354" s="79">
        <f>IFERROR(VLOOKUP($A:$A,CS!$A:$AK,8,FALSE),"")</f>
      </c>
      <c r="G354" s="79">
        <f>IFERROR(VLOOKUP($A:$A,CS!$A:$AK,10,FALSE),"")</f>
      </c>
      <c r="H354" s="79">
        <f>IFERROR(VLOOKUP($A:$A,CS!$A:$AK,14,FALSE),"")</f>
      </c>
      <c r="I354" s="79">
        <f>IFERROR(VLOOKUP($A:$A,CS!$A:$AK,15,FALSE),"")</f>
      </c>
      <c r="J354" s="79">
        <f>IFERROR(VLOOKUP($A:$A,CS!$A:$AK,18,FALSE),"")</f>
      </c>
      <c r="K354" s="79">
        <f>IFERROR(VLOOKUP($A:$A,CS!$A:$AK,19,FALSE),"")</f>
      </c>
      <c r="L354" s="79">
        <f>IFERROR(VLOOKUP($A:$A,CS!$A:$AK,20,FALSE),"")</f>
      </c>
      <c r="M354" s="79">
        <f>IFERROR(VLOOKUP($A:$A,CS!$A:$AK,22,FALSE),"")</f>
      </c>
      <c r="N354" s="79">
        <f>IFERROR(VLOOKUP($A:$A,CS!$A:$AK,19,FALSE),"")</f>
      </c>
      <c r="O354" s="79">
        <f>IFERROR(VLOOKUP($A:$A,CS!$A:$AK,23,FALSE),"")</f>
      </c>
      <c r="P354" s="79">
        <f>IFERROR(VLOOKUP($A:$A,CS!$A:$AK,24,FALSE),"")</f>
      </c>
      <c r="Q354" s="79">
        <f>IFERROR(VLOOKUP($A:$A,CS!$A:$AK,25,FALSE),"")</f>
      </c>
      <c r="R354" s="79">
        <f>IFERROR(VLOOKUP($A:$A,CS!$A:$AK,26,FALSE),"")</f>
      </c>
      <c r="S354" s="79">
        <f>IFERROR(VLOOKUP($A:$A,CS!$A:$AK,29,FALSE),"")</f>
      </c>
      <c r="T354" s="79">
        <f>IFERROR(VLOOKUP($A:$A,CS!$A:$AK,33,FALSE),"")</f>
      </c>
      <c r="U354" s="79">
        <f>IFERROR(VLOOKUP($A:$A,CS!$A:$AK,34,FALSE),"")</f>
      </c>
      <c r="V354" s="79">
        <f>IFERROR(VLOOKUP($A:$A,CS!$A:$AK,35,FALSE),"")</f>
      </c>
      <c r="W354" s="79">
        <f>IFERROR(VLOOKUP($A:$A,CS!$A:$AK,36,FALSE),"")</f>
      </c>
    </row>
    <row r="355" ht="16.5" customHeight="1" spans="1:23" x14ac:dyDescent="0.25">
      <c r="A355" s="93"/>
      <c r="B355" s="79">
        <f>IFERROR(VLOOKUP($A:$A,CS!$A:$AK,3,FALSE),"")</f>
      </c>
      <c r="C355" s="79">
        <f>IFERROR(VLOOKUP($A:$A,CS!$A:$AK,4,FALSE),"")</f>
      </c>
      <c r="D355" s="79">
        <f>IFERROR(VLOOKUP($A:$A,CS!$A:$AK,5,FALSE),"")</f>
      </c>
      <c r="E355" s="79">
        <f>IFERROR(VLOOKUP($A:$A,CS!$A:$AK,7,FALSE),"")</f>
      </c>
      <c r="F355" s="79">
        <f>IFERROR(VLOOKUP($A:$A,CS!$A:$AK,8,FALSE),"")</f>
      </c>
      <c r="G355" s="79">
        <f>IFERROR(VLOOKUP($A:$A,CS!$A:$AK,10,FALSE),"")</f>
      </c>
      <c r="H355" s="79">
        <f>IFERROR(VLOOKUP($A:$A,CS!$A:$AK,14,FALSE),"")</f>
      </c>
      <c r="I355" s="79">
        <f>IFERROR(VLOOKUP($A:$A,CS!$A:$AK,15,FALSE),"")</f>
      </c>
      <c r="J355" s="79">
        <f>IFERROR(VLOOKUP($A:$A,CS!$A:$AK,18,FALSE),"")</f>
      </c>
      <c r="K355" s="79">
        <f>IFERROR(VLOOKUP($A:$A,CS!$A:$AK,19,FALSE),"")</f>
      </c>
      <c r="L355" s="79">
        <f>IFERROR(VLOOKUP($A:$A,CS!$A:$AK,20,FALSE),"")</f>
      </c>
      <c r="M355" s="79">
        <f>IFERROR(VLOOKUP($A:$A,CS!$A:$AK,22,FALSE),"")</f>
      </c>
      <c r="N355" s="79">
        <f>IFERROR(VLOOKUP($A:$A,CS!$A:$AK,19,FALSE),"")</f>
      </c>
      <c r="O355" s="79">
        <f>IFERROR(VLOOKUP($A:$A,CS!$A:$AK,23,FALSE),"")</f>
      </c>
      <c r="P355" s="79">
        <f>IFERROR(VLOOKUP($A:$A,CS!$A:$AK,24,FALSE),"")</f>
      </c>
      <c r="Q355" s="79">
        <f>IFERROR(VLOOKUP($A:$A,CS!$A:$AK,25,FALSE),"")</f>
      </c>
      <c r="R355" s="79">
        <f>IFERROR(VLOOKUP($A:$A,CS!$A:$AK,26,FALSE),"")</f>
      </c>
      <c r="S355" s="79">
        <f>IFERROR(VLOOKUP($A:$A,CS!$A:$AK,29,FALSE),"")</f>
      </c>
      <c r="T355" s="79">
        <f>IFERROR(VLOOKUP($A:$A,CS!$A:$AK,33,FALSE),"")</f>
      </c>
      <c r="U355" s="79">
        <f>IFERROR(VLOOKUP($A:$A,CS!$A:$AK,34,FALSE),"")</f>
      </c>
      <c r="V355" s="79">
        <f>IFERROR(VLOOKUP($A:$A,CS!$A:$AK,35,FALSE),"")</f>
      </c>
      <c r="W355" s="79">
        <f>IFERROR(VLOOKUP($A:$A,CS!$A:$AK,36,FALSE),"")</f>
      </c>
    </row>
    <row r="356" ht="16.5" customHeight="1" spans="1:23" x14ac:dyDescent="0.25">
      <c r="A356" s="93"/>
      <c r="B356" s="79">
        <f>IFERROR(VLOOKUP($A:$A,CS!$A:$AK,3,FALSE),"")</f>
      </c>
      <c r="C356" s="79">
        <f>IFERROR(VLOOKUP($A:$A,CS!$A:$AK,4,FALSE),"")</f>
      </c>
      <c r="D356" s="79">
        <f>IFERROR(VLOOKUP($A:$A,CS!$A:$AK,5,FALSE),"")</f>
      </c>
      <c r="E356" s="79">
        <f>IFERROR(VLOOKUP($A:$A,CS!$A:$AK,7,FALSE),"")</f>
      </c>
      <c r="F356" s="79">
        <f>IFERROR(VLOOKUP($A:$A,CS!$A:$AK,8,FALSE),"")</f>
      </c>
      <c r="G356" s="79">
        <f>IFERROR(VLOOKUP($A:$A,CS!$A:$AK,10,FALSE),"")</f>
      </c>
      <c r="H356" s="79">
        <f>IFERROR(VLOOKUP($A:$A,CS!$A:$AK,14,FALSE),"")</f>
      </c>
      <c r="I356" s="79">
        <f>IFERROR(VLOOKUP($A:$A,CS!$A:$AK,15,FALSE),"")</f>
      </c>
      <c r="J356" s="79">
        <f>IFERROR(VLOOKUP($A:$A,CS!$A:$AK,18,FALSE),"")</f>
      </c>
      <c r="K356" s="79">
        <f>IFERROR(VLOOKUP($A:$A,CS!$A:$AK,19,FALSE),"")</f>
      </c>
      <c r="L356" s="79">
        <f>IFERROR(VLOOKUP($A:$A,CS!$A:$AK,20,FALSE),"")</f>
      </c>
      <c r="M356" s="79">
        <f>IFERROR(VLOOKUP($A:$A,CS!$A:$AK,22,FALSE),"")</f>
      </c>
      <c r="N356" s="79">
        <f>IFERROR(VLOOKUP($A:$A,CS!$A:$AK,19,FALSE),"")</f>
      </c>
      <c r="O356" s="79">
        <f>IFERROR(VLOOKUP($A:$A,CS!$A:$AK,23,FALSE),"")</f>
      </c>
      <c r="P356" s="79">
        <f>IFERROR(VLOOKUP($A:$A,CS!$A:$AK,24,FALSE),"")</f>
      </c>
      <c r="Q356" s="79">
        <f>IFERROR(VLOOKUP($A:$A,CS!$A:$AK,25,FALSE),"")</f>
      </c>
      <c r="R356" s="79">
        <f>IFERROR(VLOOKUP($A:$A,CS!$A:$AK,26,FALSE),"")</f>
      </c>
      <c r="S356" s="79">
        <f>IFERROR(VLOOKUP($A:$A,CS!$A:$AK,29,FALSE),"")</f>
      </c>
      <c r="T356" s="79">
        <f>IFERROR(VLOOKUP($A:$A,CS!$A:$AK,33,FALSE),"")</f>
      </c>
      <c r="U356" s="79">
        <f>IFERROR(VLOOKUP($A:$A,CS!$A:$AK,34,FALSE),"")</f>
      </c>
      <c r="V356" s="79">
        <f>IFERROR(VLOOKUP($A:$A,CS!$A:$AK,35,FALSE),"")</f>
      </c>
      <c r="W356" s="79">
        <f>IFERROR(VLOOKUP($A:$A,CS!$A:$AK,36,FALSE),"")</f>
      </c>
    </row>
    <row r="357" ht="16.5" customHeight="1" spans="1:23" x14ac:dyDescent="0.25">
      <c r="A357" s="93"/>
      <c r="B357" s="79">
        <f>IFERROR(VLOOKUP($A:$A,CS!$A:$AK,3,FALSE),"")</f>
      </c>
      <c r="C357" s="79">
        <f>IFERROR(VLOOKUP($A:$A,CS!$A:$AK,4,FALSE),"")</f>
      </c>
      <c r="D357" s="79">
        <f>IFERROR(VLOOKUP($A:$A,CS!$A:$AK,5,FALSE),"")</f>
      </c>
      <c r="E357" s="79">
        <f>IFERROR(VLOOKUP($A:$A,CS!$A:$AK,7,FALSE),"")</f>
      </c>
      <c r="F357" s="79">
        <f>IFERROR(VLOOKUP($A:$A,CS!$A:$AK,8,FALSE),"")</f>
      </c>
      <c r="G357" s="79">
        <f>IFERROR(VLOOKUP($A:$A,CS!$A:$AK,10,FALSE),"")</f>
      </c>
      <c r="H357" s="79">
        <f>IFERROR(VLOOKUP($A:$A,CS!$A:$AK,14,FALSE),"")</f>
      </c>
      <c r="I357" s="79">
        <f>IFERROR(VLOOKUP($A:$A,CS!$A:$AK,15,FALSE),"")</f>
      </c>
      <c r="J357" s="79">
        <f>IFERROR(VLOOKUP($A:$A,CS!$A:$AK,18,FALSE),"")</f>
      </c>
      <c r="K357" s="79">
        <f>IFERROR(VLOOKUP($A:$A,CS!$A:$AK,19,FALSE),"")</f>
      </c>
      <c r="L357" s="79">
        <f>IFERROR(VLOOKUP($A:$A,CS!$A:$AK,20,FALSE),"")</f>
      </c>
      <c r="M357" s="79">
        <f>IFERROR(VLOOKUP($A:$A,CS!$A:$AK,22,FALSE),"")</f>
      </c>
      <c r="N357" s="79">
        <f>IFERROR(VLOOKUP($A:$A,CS!$A:$AK,19,FALSE),"")</f>
      </c>
      <c r="O357" s="79">
        <f>IFERROR(VLOOKUP($A:$A,CS!$A:$AK,23,FALSE),"")</f>
      </c>
      <c r="P357" s="79">
        <f>IFERROR(VLOOKUP($A:$A,CS!$A:$AK,24,FALSE),"")</f>
      </c>
      <c r="Q357" s="79">
        <f>IFERROR(VLOOKUP($A:$A,CS!$A:$AK,25,FALSE),"")</f>
      </c>
      <c r="R357" s="79">
        <f>IFERROR(VLOOKUP($A:$A,CS!$A:$AK,26,FALSE),"")</f>
      </c>
      <c r="S357" s="79">
        <f>IFERROR(VLOOKUP($A:$A,CS!$A:$AK,29,FALSE),"")</f>
      </c>
      <c r="T357" s="79">
        <f>IFERROR(VLOOKUP($A:$A,CS!$A:$AK,33,FALSE),"")</f>
      </c>
      <c r="U357" s="79">
        <f>IFERROR(VLOOKUP($A:$A,CS!$A:$AK,34,FALSE),"")</f>
      </c>
      <c r="V357" s="79">
        <f>IFERROR(VLOOKUP($A:$A,CS!$A:$AK,35,FALSE),"")</f>
      </c>
      <c r="W357" s="79">
        <f>IFERROR(VLOOKUP($A:$A,CS!$A:$AK,36,FALSE),"")</f>
      </c>
    </row>
    <row r="358" ht="16.5" customHeight="1" spans="1:23" x14ac:dyDescent="0.25">
      <c r="A358" s="93"/>
      <c r="B358" s="79">
        <f>IFERROR(VLOOKUP($A:$A,CS!$A:$AK,3,FALSE),"")</f>
      </c>
      <c r="C358" s="79">
        <f>IFERROR(VLOOKUP($A:$A,CS!$A:$AK,4,FALSE),"")</f>
      </c>
      <c r="D358" s="79">
        <f>IFERROR(VLOOKUP($A:$A,CS!$A:$AK,5,FALSE),"")</f>
      </c>
      <c r="E358" s="79">
        <f>IFERROR(VLOOKUP($A:$A,CS!$A:$AK,7,FALSE),"")</f>
      </c>
      <c r="F358" s="79">
        <f>IFERROR(VLOOKUP($A:$A,CS!$A:$AK,8,FALSE),"")</f>
      </c>
      <c r="G358" s="79">
        <f>IFERROR(VLOOKUP($A:$A,CS!$A:$AK,10,FALSE),"")</f>
      </c>
      <c r="H358" s="79">
        <f>IFERROR(VLOOKUP($A:$A,CS!$A:$AK,14,FALSE),"")</f>
      </c>
      <c r="I358" s="79">
        <f>IFERROR(VLOOKUP($A:$A,CS!$A:$AK,15,FALSE),"")</f>
      </c>
      <c r="J358" s="79">
        <f>IFERROR(VLOOKUP($A:$A,CS!$A:$AK,18,FALSE),"")</f>
      </c>
      <c r="K358" s="79">
        <f>IFERROR(VLOOKUP($A:$A,CS!$A:$AK,19,FALSE),"")</f>
      </c>
      <c r="L358" s="79">
        <f>IFERROR(VLOOKUP($A:$A,CS!$A:$AK,20,FALSE),"")</f>
      </c>
      <c r="M358" s="79">
        <f>IFERROR(VLOOKUP($A:$A,CS!$A:$AK,22,FALSE),"")</f>
      </c>
      <c r="N358" s="79">
        <f>IFERROR(VLOOKUP($A:$A,CS!$A:$AK,19,FALSE),"")</f>
      </c>
      <c r="O358" s="79">
        <f>IFERROR(VLOOKUP($A:$A,CS!$A:$AK,23,FALSE),"")</f>
      </c>
      <c r="P358" s="79">
        <f>IFERROR(VLOOKUP($A:$A,CS!$A:$AK,24,FALSE),"")</f>
      </c>
      <c r="Q358" s="79">
        <f>IFERROR(VLOOKUP($A:$A,CS!$A:$AK,25,FALSE),"")</f>
      </c>
      <c r="R358" s="79">
        <f>IFERROR(VLOOKUP($A:$A,CS!$A:$AK,26,FALSE),"")</f>
      </c>
      <c r="S358" s="79">
        <f>IFERROR(VLOOKUP($A:$A,CS!$A:$AK,29,FALSE),"")</f>
      </c>
      <c r="T358" s="79">
        <f>IFERROR(VLOOKUP($A:$A,CS!$A:$AK,33,FALSE),"")</f>
      </c>
      <c r="U358" s="79">
        <f>IFERROR(VLOOKUP($A:$A,CS!$A:$AK,34,FALSE),"")</f>
      </c>
      <c r="V358" s="79">
        <f>IFERROR(VLOOKUP($A:$A,CS!$A:$AK,35,FALSE),"")</f>
      </c>
      <c r="W358" s="79">
        <f>IFERROR(VLOOKUP($A:$A,CS!$A:$AK,36,FALSE),"")</f>
      </c>
    </row>
    <row r="359" ht="16.5" customHeight="1" spans="1:23" x14ac:dyDescent="0.25">
      <c r="A359" s="93"/>
      <c r="B359" s="79">
        <f>IFERROR(VLOOKUP($A:$A,CS!$A:$AK,3,FALSE),"")</f>
      </c>
      <c r="C359" s="79">
        <f>IFERROR(VLOOKUP($A:$A,CS!$A:$AK,4,FALSE),"")</f>
      </c>
      <c r="D359" s="79">
        <f>IFERROR(VLOOKUP($A:$A,CS!$A:$AK,5,FALSE),"")</f>
      </c>
      <c r="E359" s="79">
        <f>IFERROR(VLOOKUP($A:$A,CS!$A:$AK,7,FALSE),"")</f>
      </c>
      <c r="F359" s="79">
        <f>IFERROR(VLOOKUP($A:$A,CS!$A:$AK,8,FALSE),"")</f>
      </c>
      <c r="G359" s="79">
        <f>IFERROR(VLOOKUP($A:$A,CS!$A:$AK,10,FALSE),"")</f>
      </c>
      <c r="H359" s="79">
        <f>IFERROR(VLOOKUP($A:$A,CS!$A:$AK,14,FALSE),"")</f>
      </c>
      <c r="I359" s="79">
        <f>IFERROR(VLOOKUP($A:$A,CS!$A:$AK,15,FALSE),"")</f>
      </c>
      <c r="J359" s="79">
        <f>IFERROR(VLOOKUP($A:$A,CS!$A:$AK,18,FALSE),"")</f>
      </c>
      <c r="K359" s="79">
        <f>IFERROR(VLOOKUP($A:$A,CS!$A:$AK,19,FALSE),"")</f>
      </c>
      <c r="L359" s="79">
        <f>IFERROR(VLOOKUP($A:$A,CS!$A:$AK,20,FALSE),"")</f>
      </c>
      <c r="M359" s="79">
        <f>IFERROR(VLOOKUP($A:$A,CS!$A:$AK,22,FALSE),"")</f>
      </c>
      <c r="N359" s="79">
        <f>IFERROR(VLOOKUP($A:$A,CS!$A:$AK,19,FALSE),"")</f>
      </c>
      <c r="O359" s="79">
        <f>IFERROR(VLOOKUP($A:$A,CS!$A:$AK,23,FALSE),"")</f>
      </c>
      <c r="P359" s="79">
        <f>IFERROR(VLOOKUP($A:$A,CS!$A:$AK,24,FALSE),"")</f>
      </c>
      <c r="Q359" s="79">
        <f>IFERROR(VLOOKUP($A:$A,CS!$A:$AK,25,FALSE),"")</f>
      </c>
      <c r="R359" s="79">
        <f>IFERROR(VLOOKUP($A:$A,CS!$A:$AK,26,FALSE),"")</f>
      </c>
      <c r="S359" s="79">
        <f>IFERROR(VLOOKUP($A:$A,CS!$A:$AK,29,FALSE),"")</f>
      </c>
      <c r="T359" s="79">
        <f>IFERROR(VLOOKUP($A:$A,CS!$A:$AK,33,FALSE),"")</f>
      </c>
      <c r="U359" s="79">
        <f>IFERROR(VLOOKUP($A:$A,CS!$A:$AK,34,FALSE),"")</f>
      </c>
      <c r="V359" s="79">
        <f>IFERROR(VLOOKUP($A:$A,CS!$A:$AK,35,FALSE),"")</f>
      </c>
      <c r="W359" s="79">
        <f>IFERROR(VLOOKUP($A:$A,CS!$A:$AK,36,FALSE),"")</f>
      </c>
    </row>
    <row r="360" ht="16.5" customHeight="1" spans="1:23" x14ac:dyDescent="0.25">
      <c r="A360" s="93"/>
      <c r="B360" s="79">
        <f>IFERROR(VLOOKUP($A:$A,CS!$A:$AK,3,FALSE),"")</f>
      </c>
      <c r="C360" s="79">
        <f>IFERROR(VLOOKUP($A:$A,CS!$A:$AK,4,FALSE),"")</f>
      </c>
      <c r="D360" s="79">
        <f>IFERROR(VLOOKUP($A:$A,CS!$A:$AK,5,FALSE),"")</f>
      </c>
      <c r="E360" s="79">
        <f>IFERROR(VLOOKUP($A:$A,CS!$A:$AK,7,FALSE),"")</f>
      </c>
      <c r="F360" s="79">
        <f>IFERROR(VLOOKUP($A:$A,CS!$A:$AK,8,FALSE),"")</f>
      </c>
      <c r="G360" s="79">
        <f>IFERROR(VLOOKUP($A:$A,CS!$A:$AK,10,FALSE),"")</f>
      </c>
      <c r="H360" s="79">
        <f>IFERROR(VLOOKUP($A:$A,CS!$A:$AK,14,FALSE),"")</f>
      </c>
      <c r="I360" s="79">
        <f>IFERROR(VLOOKUP($A:$A,CS!$A:$AK,15,FALSE),"")</f>
      </c>
      <c r="J360" s="79">
        <f>IFERROR(VLOOKUP($A:$A,CS!$A:$AK,18,FALSE),"")</f>
      </c>
      <c r="K360" s="79">
        <f>IFERROR(VLOOKUP($A:$A,CS!$A:$AK,19,FALSE),"")</f>
      </c>
      <c r="L360" s="79">
        <f>IFERROR(VLOOKUP($A:$A,CS!$A:$AK,20,FALSE),"")</f>
      </c>
      <c r="M360" s="79">
        <f>IFERROR(VLOOKUP($A:$A,CS!$A:$AK,22,FALSE),"")</f>
      </c>
      <c r="N360" s="79">
        <f>IFERROR(VLOOKUP($A:$A,CS!$A:$AK,19,FALSE),"")</f>
      </c>
      <c r="O360" s="79">
        <f>IFERROR(VLOOKUP($A:$A,CS!$A:$AK,23,FALSE),"")</f>
      </c>
      <c r="P360" s="79">
        <f>IFERROR(VLOOKUP($A:$A,CS!$A:$AK,24,FALSE),"")</f>
      </c>
      <c r="Q360" s="79">
        <f>IFERROR(VLOOKUP($A:$A,CS!$A:$AK,25,FALSE),"")</f>
      </c>
      <c r="R360" s="79">
        <f>IFERROR(VLOOKUP($A:$A,CS!$A:$AK,26,FALSE),"")</f>
      </c>
      <c r="S360" s="79">
        <f>IFERROR(VLOOKUP($A:$A,CS!$A:$AK,29,FALSE),"")</f>
      </c>
      <c r="T360" s="79">
        <f>IFERROR(VLOOKUP($A:$A,CS!$A:$AK,33,FALSE),"")</f>
      </c>
      <c r="U360" s="79">
        <f>IFERROR(VLOOKUP($A:$A,CS!$A:$AK,34,FALSE),"")</f>
      </c>
      <c r="V360" s="79">
        <f>IFERROR(VLOOKUP($A:$A,CS!$A:$AK,35,FALSE),"")</f>
      </c>
      <c r="W360" s="79">
        <f>IFERROR(VLOOKUP($A:$A,CS!$A:$AK,36,FALSE),"")</f>
      </c>
    </row>
    <row r="361" ht="16.5" customHeight="1" spans="1:23" x14ac:dyDescent="0.25">
      <c r="A361" s="93"/>
      <c r="B361" s="79">
        <f>IFERROR(VLOOKUP($A:$A,CS!$A:$AK,3,FALSE),"")</f>
      </c>
      <c r="C361" s="79">
        <f>IFERROR(VLOOKUP($A:$A,CS!$A:$AK,4,FALSE),"")</f>
      </c>
      <c r="D361" s="79">
        <f>IFERROR(VLOOKUP($A:$A,CS!$A:$AK,5,FALSE),"")</f>
      </c>
      <c r="E361" s="79">
        <f>IFERROR(VLOOKUP($A:$A,CS!$A:$AK,7,FALSE),"")</f>
      </c>
      <c r="F361" s="79">
        <f>IFERROR(VLOOKUP($A:$A,CS!$A:$AK,8,FALSE),"")</f>
      </c>
      <c r="G361" s="79">
        <f>IFERROR(VLOOKUP($A:$A,CS!$A:$AK,10,FALSE),"")</f>
      </c>
      <c r="H361" s="79">
        <f>IFERROR(VLOOKUP($A:$A,CS!$A:$AK,14,FALSE),"")</f>
      </c>
      <c r="I361" s="79">
        <f>IFERROR(VLOOKUP($A:$A,CS!$A:$AK,15,FALSE),"")</f>
      </c>
      <c r="J361" s="79">
        <f>IFERROR(VLOOKUP($A:$A,CS!$A:$AK,18,FALSE),"")</f>
      </c>
      <c r="K361" s="79">
        <f>IFERROR(VLOOKUP($A:$A,CS!$A:$AK,19,FALSE),"")</f>
      </c>
      <c r="L361" s="79">
        <f>IFERROR(VLOOKUP($A:$A,CS!$A:$AK,20,FALSE),"")</f>
      </c>
      <c r="M361" s="79">
        <f>IFERROR(VLOOKUP($A:$A,CS!$A:$AK,22,FALSE),"")</f>
      </c>
      <c r="N361" s="79">
        <f>IFERROR(VLOOKUP($A:$A,CS!$A:$AK,19,FALSE),"")</f>
      </c>
      <c r="O361" s="79">
        <f>IFERROR(VLOOKUP($A:$A,CS!$A:$AK,23,FALSE),"")</f>
      </c>
      <c r="P361" s="79">
        <f>IFERROR(VLOOKUP($A:$A,CS!$A:$AK,24,FALSE),"")</f>
      </c>
      <c r="Q361" s="79">
        <f>IFERROR(VLOOKUP($A:$A,CS!$A:$AK,25,FALSE),"")</f>
      </c>
      <c r="R361" s="79">
        <f>IFERROR(VLOOKUP($A:$A,CS!$A:$AK,26,FALSE),"")</f>
      </c>
      <c r="S361" s="79">
        <f>IFERROR(VLOOKUP($A:$A,CS!$A:$AK,29,FALSE),"")</f>
      </c>
      <c r="T361" s="79">
        <f>IFERROR(VLOOKUP($A:$A,CS!$A:$AK,33,FALSE),"")</f>
      </c>
      <c r="U361" s="79">
        <f>IFERROR(VLOOKUP($A:$A,CS!$A:$AK,34,FALSE),"")</f>
      </c>
      <c r="V361" s="79">
        <f>IFERROR(VLOOKUP($A:$A,CS!$A:$AK,35,FALSE),"")</f>
      </c>
      <c r="W361" s="79">
        <f>IFERROR(VLOOKUP($A:$A,CS!$A:$AK,36,FALSE),"")</f>
      </c>
    </row>
    <row r="362" ht="16.5" customHeight="1" spans="1:23" x14ac:dyDescent="0.25">
      <c r="A362" s="93"/>
      <c r="B362" s="79">
        <f>IFERROR(VLOOKUP($A:$A,CS!$A:$AK,3,FALSE),"")</f>
      </c>
      <c r="C362" s="79">
        <f>IFERROR(VLOOKUP($A:$A,CS!$A:$AK,4,FALSE),"")</f>
      </c>
      <c r="D362" s="79">
        <f>IFERROR(VLOOKUP($A:$A,CS!$A:$AK,5,FALSE),"")</f>
      </c>
      <c r="E362" s="79">
        <f>IFERROR(VLOOKUP($A:$A,CS!$A:$AK,7,FALSE),"")</f>
      </c>
      <c r="F362" s="79">
        <f>IFERROR(VLOOKUP($A:$A,CS!$A:$AK,8,FALSE),"")</f>
      </c>
      <c r="G362" s="79">
        <f>IFERROR(VLOOKUP($A:$A,CS!$A:$AK,10,FALSE),"")</f>
      </c>
      <c r="H362" s="79">
        <f>IFERROR(VLOOKUP($A:$A,CS!$A:$AK,14,FALSE),"")</f>
      </c>
      <c r="I362" s="79">
        <f>IFERROR(VLOOKUP($A:$A,CS!$A:$AK,15,FALSE),"")</f>
      </c>
      <c r="J362" s="79">
        <f>IFERROR(VLOOKUP($A:$A,CS!$A:$AK,18,FALSE),"")</f>
      </c>
      <c r="K362" s="79">
        <f>IFERROR(VLOOKUP($A:$A,CS!$A:$AK,19,FALSE),"")</f>
      </c>
      <c r="L362" s="79">
        <f>IFERROR(VLOOKUP($A:$A,CS!$A:$AK,20,FALSE),"")</f>
      </c>
      <c r="M362" s="79">
        <f>IFERROR(VLOOKUP($A:$A,CS!$A:$AK,22,FALSE),"")</f>
      </c>
      <c r="N362" s="79">
        <f>IFERROR(VLOOKUP($A:$A,CS!$A:$AK,19,FALSE),"")</f>
      </c>
      <c r="O362" s="79">
        <f>IFERROR(VLOOKUP($A:$A,CS!$A:$AK,23,FALSE),"")</f>
      </c>
      <c r="P362" s="79">
        <f>IFERROR(VLOOKUP($A:$A,CS!$A:$AK,24,FALSE),"")</f>
      </c>
      <c r="Q362" s="79">
        <f>IFERROR(VLOOKUP($A:$A,CS!$A:$AK,25,FALSE),"")</f>
      </c>
      <c r="R362" s="79">
        <f>IFERROR(VLOOKUP($A:$A,CS!$A:$AK,26,FALSE),"")</f>
      </c>
      <c r="S362" s="79">
        <f>IFERROR(VLOOKUP($A:$A,CS!$A:$AK,29,FALSE),"")</f>
      </c>
      <c r="T362" s="79">
        <f>IFERROR(VLOOKUP($A:$A,CS!$A:$AK,33,FALSE),"")</f>
      </c>
      <c r="U362" s="79">
        <f>IFERROR(VLOOKUP($A:$A,CS!$A:$AK,34,FALSE),"")</f>
      </c>
      <c r="V362" s="79">
        <f>IFERROR(VLOOKUP($A:$A,CS!$A:$AK,35,FALSE),"")</f>
      </c>
      <c r="W362" s="79">
        <f>IFERROR(VLOOKUP($A:$A,CS!$A:$AK,36,FALSE),"")</f>
      </c>
    </row>
    <row r="363" ht="16.5" customHeight="1" spans="1:23" x14ac:dyDescent="0.25">
      <c r="A363" s="93"/>
      <c r="B363" s="79">
        <f>IFERROR(VLOOKUP($A:$A,CS!$A:$AK,3,FALSE),"")</f>
      </c>
      <c r="C363" s="79">
        <f>IFERROR(VLOOKUP($A:$A,CS!$A:$AK,4,FALSE),"")</f>
      </c>
      <c r="D363" s="79">
        <f>IFERROR(VLOOKUP($A:$A,CS!$A:$AK,5,FALSE),"")</f>
      </c>
      <c r="E363" s="79">
        <f>IFERROR(VLOOKUP($A:$A,CS!$A:$AK,7,FALSE),"")</f>
      </c>
      <c r="F363" s="79">
        <f>IFERROR(VLOOKUP($A:$A,CS!$A:$AK,8,FALSE),"")</f>
      </c>
      <c r="G363" s="79">
        <f>IFERROR(VLOOKUP($A:$A,CS!$A:$AK,10,FALSE),"")</f>
      </c>
      <c r="H363" s="79">
        <f>IFERROR(VLOOKUP($A:$A,CS!$A:$AK,14,FALSE),"")</f>
      </c>
      <c r="I363" s="79">
        <f>IFERROR(VLOOKUP($A:$A,CS!$A:$AK,15,FALSE),"")</f>
      </c>
      <c r="J363" s="79">
        <f>IFERROR(VLOOKUP($A:$A,CS!$A:$AK,18,FALSE),"")</f>
      </c>
      <c r="K363" s="79">
        <f>IFERROR(VLOOKUP($A:$A,CS!$A:$AK,19,FALSE),"")</f>
      </c>
      <c r="L363" s="79">
        <f>IFERROR(VLOOKUP($A:$A,CS!$A:$AK,20,FALSE),"")</f>
      </c>
      <c r="M363" s="79">
        <f>IFERROR(VLOOKUP($A:$A,CS!$A:$AK,22,FALSE),"")</f>
      </c>
      <c r="N363" s="79">
        <f>IFERROR(VLOOKUP($A:$A,CS!$A:$AK,19,FALSE),"")</f>
      </c>
      <c r="O363" s="79">
        <f>IFERROR(VLOOKUP($A:$A,CS!$A:$AK,23,FALSE),"")</f>
      </c>
      <c r="P363" s="79">
        <f>IFERROR(VLOOKUP($A:$A,CS!$A:$AK,24,FALSE),"")</f>
      </c>
      <c r="Q363" s="79">
        <f>IFERROR(VLOOKUP($A:$A,CS!$A:$AK,25,FALSE),"")</f>
      </c>
      <c r="R363" s="79">
        <f>IFERROR(VLOOKUP($A:$A,CS!$A:$AK,26,FALSE),"")</f>
      </c>
      <c r="S363" s="79">
        <f>IFERROR(VLOOKUP($A:$A,CS!$A:$AK,29,FALSE),"")</f>
      </c>
      <c r="T363" s="79">
        <f>IFERROR(VLOOKUP($A:$A,CS!$A:$AK,33,FALSE),"")</f>
      </c>
      <c r="U363" s="79">
        <f>IFERROR(VLOOKUP($A:$A,CS!$A:$AK,34,FALSE),"")</f>
      </c>
      <c r="V363" s="79">
        <f>IFERROR(VLOOKUP($A:$A,CS!$A:$AK,35,FALSE),"")</f>
      </c>
      <c r="W363" s="79">
        <f>IFERROR(VLOOKUP($A:$A,CS!$A:$AK,36,FALSE),"")</f>
      </c>
    </row>
    <row r="364" ht="16.5" customHeight="1" spans="1:23" x14ac:dyDescent="0.25">
      <c r="A364" s="93"/>
      <c r="B364" s="79">
        <f>IFERROR(VLOOKUP($A:$A,CS!$A:$AK,3,FALSE),"")</f>
      </c>
      <c r="C364" s="79">
        <f>IFERROR(VLOOKUP($A:$A,CS!$A:$AK,4,FALSE),"")</f>
      </c>
      <c r="D364" s="79">
        <f>IFERROR(VLOOKUP($A:$A,CS!$A:$AK,5,FALSE),"")</f>
      </c>
      <c r="E364" s="79">
        <f>IFERROR(VLOOKUP($A:$A,CS!$A:$AK,7,FALSE),"")</f>
      </c>
      <c r="F364" s="79">
        <f>IFERROR(VLOOKUP($A:$A,CS!$A:$AK,8,FALSE),"")</f>
      </c>
      <c r="G364" s="79">
        <f>IFERROR(VLOOKUP($A:$A,CS!$A:$AK,10,FALSE),"")</f>
      </c>
      <c r="H364" s="79">
        <f>IFERROR(VLOOKUP($A:$A,CS!$A:$AK,14,FALSE),"")</f>
      </c>
      <c r="I364" s="79">
        <f>IFERROR(VLOOKUP($A:$A,CS!$A:$AK,15,FALSE),"")</f>
      </c>
      <c r="J364" s="79">
        <f>IFERROR(VLOOKUP($A:$A,CS!$A:$AK,18,FALSE),"")</f>
      </c>
      <c r="K364" s="79">
        <f>IFERROR(VLOOKUP($A:$A,CS!$A:$AK,19,FALSE),"")</f>
      </c>
      <c r="L364" s="79">
        <f>IFERROR(VLOOKUP($A:$A,CS!$A:$AK,20,FALSE),"")</f>
      </c>
      <c r="M364" s="79">
        <f>IFERROR(VLOOKUP($A:$A,CS!$A:$AK,22,FALSE),"")</f>
      </c>
      <c r="N364" s="79">
        <f>IFERROR(VLOOKUP($A:$A,CS!$A:$AK,19,FALSE),"")</f>
      </c>
      <c r="O364" s="79">
        <f>IFERROR(VLOOKUP($A:$A,CS!$A:$AK,23,FALSE),"")</f>
      </c>
      <c r="P364" s="79">
        <f>IFERROR(VLOOKUP($A:$A,CS!$A:$AK,24,FALSE),"")</f>
      </c>
      <c r="Q364" s="79">
        <f>IFERROR(VLOOKUP($A:$A,CS!$A:$AK,25,FALSE),"")</f>
      </c>
      <c r="R364" s="79">
        <f>IFERROR(VLOOKUP($A:$A,CS!$A:$AK,26,FALSE),"")</f>
      </c>
      <c r="S364" s="79">
        <f>IFERROR(VLOOKUP($A:$A,CS!$A:$AK,29,FALSE),"")</f>
      </c>
      <c r="T364" s="79">
        <f>IFERROR(VLOOKUP($A:$A,CS!$A:$AK,33,FALSE),"")</f>
      </c>
      <c r="U364" s="79">
        <f>IFERROR(VLOOKUP($A:$A,CS!$A:$AK,34,FALSE),"")</f>
      </c>
      <c r="V364" s="79">
        <f>IFERROR(VLOOKUP($A:$A,CS!$A:$AK,35,FALSE),"")</f>
      </c>
      <c r="W364" s="79">
        <f>IFERROR(VLOOKUP($A:$A,CS!$A:$AK,36,FALSE),"")</f>
      </c>
    </row>
    <row r="365" ht="16.5" customHeight="1" spans="1:23" x14ac:dyDescent="0.25">
      <c r="A365" s="93"/>
      <c r="B365" s="79">
        <f>IFERROR(VLOOKUP($A:$A,CS!$A:$AK,3,FALSE),"")</f>
      </c>
      <c r="C365" s="79">
        <f>IFERROR(VLOOKUP($A:$A,CS!$A:$AK,4,FALSE),"")</f>
      </c>
      <c r="D365" s="79">
        <f>IFERROR(VLOOKUP($A:$A,CS!$A:$AK,5,FALSE),"")</f>
      </c>
      <c r="E365" s="79">
        <f>IFERROR(VLOOKUP($A:$A,CS!$A:$AK,7,FALSE),"")</f>
      </c>
      <c r="F365" s="79">
        <f>IFERROR(VLOOKUP($A:$A,CS!$A:$AK,8,FALSE),"")</f>
      </c>
      <c r="G365" s="79">
        <f>IFERROR(VLOOKUP($A:$A,CS!$A:$AK,10,FALSE),"")</f>
      </c>
      <c r="H365" s="79">
        <f>IFERROR(VLOOKUP($A:$A,CS!$A:$AK,14,FALSE),"")</f>
      </c>
      <c r="I365" s="79">
        <f>IFERROR(VLOOKUP($A:$A,CS!$A:$AK,15,FALSE),"")</f>
      </c>
      <c r="J365" s="79">
        <f>IFERROR(VLOOKUP($A:$A,CS!$A:$AK,18,FALSE),"")</f>
      </c>
      <c r="K365" s="79">
        <f>IFERROR(VLOOKUP($A:$A,CS!$A:$AK,19,FALSE),"")</f>
      </c>
      <c r="L365" s="79">
        <f>IFERROR(VLOOKUP($A:$A,CS!$A:$AK,20,FALSE),"")</f>
      </c>
      <c r="M365" s="79">
        <f>IFERROR(VLOOKUP($A:$A,CS!$A:$AK,22,FALSE),"")</f>
      </c>
      <c r="N365" s="79">
        <f>IFERROR(VLOOKUP($A:$A,CS!$A:$AK,19,FALSE),"")</f>
      </c>
      <c r="O365" s="79">
        <f>IFERROR(VLOOKUP($A:$A,CS!$A:$AK,23,FALSE),"")</f>
      </c>
      <c r="P365" s="79">
        <f>IFERROR(VLOOKUP($A:$A,CS!$A:$AK,24,FALSE),"")</f>
      </c>
      <c r="Q365" s="79">
        <f>IFERROR(VLOOKUP($A:$A,CS!$A:$AK,25,FALSE),"")</f>
      </c>
      <c r="R365" s="79">
        <f>IFERROR(VLOOKUP($A:$A,CS!$A:$AK,26,FALSE),"")</f>
      </c>
      <c r="S365" s="79">
        <f>IFERROR(VLOOKUP($A:$A,CS!$A:$AK,29,FALSE),"")</f>
      </c>
      <c r="T365" s="79">
        <f>IFERROR(VLOOKUP($A:$A,CS!$A:$AK,33,FALSE),"")</f>
      </c>
      <c r="U365" s="79">
        <f>IFERROR(VLOOKUP($A:$A,CS!$A:$AK,34,FALSE),"")</f>
      </c>
      <c r="V365" s="79">
        <f>IFERROR(VLOOKUP($A:$A,CS!$A:$AK,35,FALSE),"")</f>
      </c>
      <c r="W365" s="79">
        <f>IFERROR(VLOOKUP($A:$A,CS!$A:$AK,36,FALSE),"")</f>
      </c>
    </row>
    <row r="366" ht="16.5" customHeight="1" spans="1:23" x14ac:dyDescent="0.25">
      <c r="A366" s="93"/>
      <c r="B366" s="79">
        <f>IFERROR(VLOOKUP($A:$A,CS!$A:$AK,3,FALSE),"")</f>
      </c>
      <c r="C366" s="79">
        <f>IFERROR(VLOOKUP($A:$A,CS!$A:$AK,4,FALSE),"")</f>
      </c>
      <c r="D366" s="79">
        <f>IFERROR(VLOOKUP($A:$A,CS!$A:$AK,5,FALSE),"")</f>
      </c>
      <c r="E366" s="79">
        <f>IFERROR(VLOOKUP($A:$A,CS!$A:$AK,7,FALSE),"")</f>
      </c>
      <c r="F366" s="79">
        <f>IFERROR(VLOOKUP($A:$A,CS!$A:$AK,8,FALSE),"")</f>
      </c>
      <c r="G366" s="79">
        <f>IFERROR(VLOOKUP($A:$A,CS!$A:$AK,10,FALSE),"")</f>
      </c>
      <c r="H366" s="79">
        <f>IFERROR(VLOOKUP($A:$A,CS!$A:$AK,14,FALSE),"")</f>
      </c>
      <c r="I366" s="79">
        <f>IFERROR(VLOOKUP($A:$A,CS!$A:$AK,15,FALSE),"")</f>
      </c>
      <c r="J366" s="79">
        <f>IFERROR(VLOOKUP($A:$A,CS!$A:$AK,18,FALSE),"")</f>
      </c>
      <c r="K366" s="79">
        <f>IFERROR(VLOOKUP($A:$A,CS!$A:$AK,19,FALSE),"")</f>
      </c>
      <c r="L366" s="79">
        <f>IFERROR(VLOOKUP($A:$A,CS!$A:$AK,20,FALSE),"")</f>
      </c>
      <c r="M366" s="79">
        <f>IFERROR(VLOOKUP($A:$A,CS!$A:$AK,22,FALSE),"")</f>
      </c>
      <c r="N366" s="79">
        <f>IFERROR(VLOOKUP($A:$A,CS!$A:$AK,19,FALSE),"")</f>
      </c>
      <c r="O366" s="79">
        <f>IFERROR(VLOOKUP($A:$A,CS!$A:$AK,23,FALSE),"")</f>
      </c>
      <c r="P366" s="79">
        <f>IFERROR(VLOOKUP($A:$A,CS!$A:$AK,24,FALSE),"")</f>
      </c>
      <c r="Q366" s="79">
        <f>IFERROR(VLOOKUP($A:$A,CS!$A:$AK,25,FALSE),"")</f>
      </c>
      <c r="R366" s="79">
        <f>IFERROR(VLOOKUP($A:$A,CS!$A:$AK,26,FALSE),"")</f>
      </c>
      <c r="S366" s="79">
        <f>IFERROR(VLOOKUP($A:$A,CS!$A:$AK,29,FALSE),"")</f>
      </c>
      <c r="T366" s="79">
        <f>IFERROR(VLOOKUP($A:$A,CS!$A:$AK,33,FALSE),"")</f>
      </c>
      <c r="U366" s="79">
        <f>IFERROR(VLOOKUP($A:$A,CS!$A:$AK,34,FALSE),"")</f>
      </c>
      <c r="V366" s="79">
        <f>IFERROR(VLOOKUP($A:$A,CS!$A:$AK,35,FALSE),"")</f>
      </c>
      <c r="W366" s="79">
        <f>IFERROR(VLOOKUP($A:$A,CS!$A:$AK,36,FALSE),"")</f>
      </c>
    </row>
    <row r="367" ht="16.5" customHeight="1" spans="1:23" x14ac:dyDescent="0.25">
      <c r="A367" s="93"/>
      <c r="B367" s="79">
        <f>IFERROR(VLOOKUP($A:$A,CS!$A:$AK,3,FALSE),"")</f>
      </c>
      <c r="C367" s="79">
        <f>IFERROR(VLOOKUP($A:$A,CS!$A:$AK,4,FALSE),"")</f>
      </c>
      <c r="D367" s="79">
        <f>IFERROR(VLOOKUP($A:$A,CS!$A:$AK,5,FALSE),"")</f>
      </c>
      <c r="E367" s="79">
        <f>IFERROR(VLOOKUP($A:$A,CS!$A:$AK,7,FALSE),"")</f>
      </c>
      <c r="F367" s="79">
        <f>IFERROR(VLOOKUP($A:$A,CS!$A:$AK,8,FALSE),"")</f>
      </c>
      <c r="G367" s="79">
        <f>IFERROR(VLOOKUP($A:$A,CS!$A:$AK,10,FALSE),"")</f>
      </c>
      <c r="H367" s="79">
        <f>IFERROR(VLOOKUP($A:$A,CS!$A:$AK,14,FALSE),"")</f>
      </c>
      <c r="I367" s="79">
        <f>IFERROR(VLOOKUP($A:$A,CS!$A:$AK,15,FALSE),"")</f>
      </c>
      <c r="J367" s="79">
        <f>IFERROR(VLOOKUP($A:$A,CS!$A:$AK,18,FALSE),"")</f>
      </c>
      <c r="K367" s="79">
        <f>IFERROR(VLOOKUP($A:$A,CS!$A:$AK,19,FALSE),"")</f>
      </c>
      <c r="L367" s="79">
        <f>IFERROR(VLOOKUP($A:$A,CS!$A:$AK,20,FALSE),"")</f>
      </c>
      <c r="M367" s="79">
        <f>IFERROR(VLOOKUP($A:$A,CS!$A:$AK,22,FALSE),"")</f>
      </c>
      <c r="N367" s="79">
        <f>IFERROR(VLOOKUP($A:$A,CS!$A:$AK,19,FALSE),"")</f>
      </c>
      <c r="O367" s="79">
        <f>IFERROR(VLOOKUP($A:$A,CS!$A:$AK,23,FALSE),"")</f>
      </c>
      <c r="P367" s="79">
        <f>IFERROR(VLOOKUP($A:$A,CS!$A:$AK,24,FALSE),"")</f>
      </c>
      <c r="Q367" s="79">
        <f>IFERROR(VLOOKUP($A:$A,CS!$A:$AK,25,FALSE),"")</f>
      </c>
      <c r="R367" s="79">
        <f>IFERROR(VLOOKUP($A:$A,CS!$A:$AK,26,FALSE),"")</f>
      </c>
      <c r="S367" s="79">
        <f>IFERROR(VLOOKUP($A:$A,CS!$A:$AK,29,FALSE),"")</f>
      </c>
      <c r="T367" s="79">
        <f>IFERROR(VLOOKUP($A:$A,CS!$A:$AK,33,FALSE),"")</f>
      </c>
      <c r="U367" s="79">
        <f>IFERROR(VLOOKUP($A:$A,CS!$A:$AK,34,FALSE),"")</f>
      </c>
      <c r="V367" s="79">
        <f>IFERROR(VLOOKUP($A:$A,CS!$A:$AK,35,FALSE),"")</f>
      </c>
      <c r="W367" s="79">
        <f>IFERROR(VLOOKUP($A:$A,CS!$A:$AK,36,FALSE),"")</f>
      </c>
    </row>
    <row r="368" ht="16.5" customHeight="1" spans="1:23" x14ac:dyDescent="0.25">
      <c r="A368" s="93"/>
      <c r="B368" s="79">
        <f>IFERROR(VLOOKUP($A:$A,CS!$A:$AK,3,FALSE),"")</f>
      </c>
      <c r="C368" s="79">
        <f>IFERROR(VLOOKUP($A:$A,CS!$A:$AK,4,FALSE),"")</f>
      </c>
      <c r="D368" s="79">
        <f>IFERROR(VLOOKUP($A:$A,CS!$A:$AK,5,FALSE),"")</f>
      </c>
      <c r="E368" s="79">
        <f>IFERROR(VLOOKUP($A:$A,CS!$A:$AK,7,FALSE),"")</f>
      </c>
      <c r="F368" s="79">
        <f>IFERROR(VLOOKUP($A:$A,CS!$A:$AK,8,FALSE),"")</f>
      </c>
      <c r="G368" s="79">
        <f>IFERROR(VLOOKUP($A:$A,CS!$A:$AK,10,FALSE),"")</f>
      </c>
      <c r="H368" s="79">
        <f>IFERROR(VLOOKUP($A:$A,CS!$A:$AK,14,FALSE),"")</f>
      </c>
      <c r="I368" s="79">
        <f>IFERROR(VLOOKUP($A:$A,CS!$A:$AK,15,FALSE),"")</f>
      </c>
      <c r="J368" s="79">
        <f>IFERROR(VLOOKUP($A:$A,CS!$A:$AK,18,FALSE),"")</f>
      </c>
      <c r="K368" s="79">
        <f>IFERROR(VLOOKUP($A:$A,CS!$A:$AK,19,FALSE),"")</f>
      </c>
      <c r="L368" s="79">
        <f>IFERROR(VLOOKUP($A:$A,CS!$A:$AK,20,FALSE),"")</f>
      </c>
      <c r="M368" s="79">
        <f>IFERROR(VLOOKUP($A:$A,CS!$A:$AK,22,FALSE),"")</f>
      </c>
      <c r="N368" s="79">
        <f>IFERROR(VLOOKUP($A:$A,CS!$A:$AK,19,FALSE),"")</f>
      </c>
      <c r="O368" s="79">
        <f>IFERROR(VLOOKUP($A:$A,CS!$A:$AK,23,FALSE),"")</f>
      </c>
      <c r="P368" s="79">
        <f>IFERROR(VLOOKUP($A:$A,CS!$A:$AK,24,FALSE),"")</f>
      </c>
      <c r="Q368" s="79">
        <f>IFERROR(VLOOKUP($A:$A,CS!$A:$AK,25,FALSE),"")</f>
      </c>
      <c r="R368" s="79">
        <f>IFERROR(VLOOKUP($A:$A,CS!$A:$AK,26,FALSE),"")</f>
      </c>
      <c r="S368" s="79">
        <f>IFERROR(VLOOKUP($A:$A,CS!$A:$AK,29,FALSE),"")</f>
      </c>
      <c r="T368" s="79">
        <f>IFERROR(VLOOKUP($A:$A,CS!$A:$AK,33,FALSE),"")</f>
      </c>
      <c r="U368" s="79">
        <f>IFERROR(VLOOKUP($A:$A,CS!$A:$AK,34,FALSE),"")</f>
      </c>
      <c r="V368" s="79">
        <f>IFERROR(VLOOKUP($A:$A,CS!$A:$AK,35,FALSE),"")</f>
      </c>
      <c r="W368" s="79">
        <f>IFERROR(VLOOKUP($A:$A,CS!$A:$AK,36,FALSE),"")</f>
      </c>
    </row>
    <row r="369" ht="16.5" customHeight="1" spans="1:23" x14ac:dyDescent="0.25">
      <c r="A369" s="93"/>
      <c r="B369" s="79">
        <f>IFERROR(VLOOKUP($A:$A,CS!$A:$AK,3,FALSE),"")</f>
      </c>
      <c r="C369" s="79">
        <f>IFERROR(VLOOKUP($A:$A,CS!$A:$AK,4,FALSE),"")</f>
      </c>
      <c r="D369" s="79">
        <f>IFERROR(VLOOKUP($A:$A,CS!$A:$AK,5,FALSE),"")</f>
      </c>
      <c r="E369" s="79">
        <f>IFERROR(VLOOKUP($A:$A,CS!$A:$AK,7,FALSE),"")</f>
      </c>
      <c r="F369" s="79">
        <f>IFERROR(VLOOKUP($A:$A,CS!$A:$AK,8,FALSE),"")</f>
      </c>
      <c r="G369" s="79">
        <f>IFERROR(VLOOKUP($A:$A,CS!$A:$AK,10,FALSE),"")</f>
      </c>
      <c r="H369" s="79">
        <f>IFERROR(VLOOKUP($A:$A,CS!$A:$AK,14,FALSE),"")</f>
      </c>
      <c r="I369" s="79">
        <f>IFERROR(VLOOKUP($A:$A,CS!$A:$AK,15,FALSE),"")</f>
      </c>
      <c r="J369" s="79">
        <f>IFERROR(VLOOKUP($A:$A,CS!$A:$AK,18,FALSE),"")</f>
      </c>
      <c r="K369" s="79">
        <f>IFERROR(VLOOKUP($A:$A,CS!$A:$AK,19,FALSE),"")</f>
      </c>
      <c r="L369" s="79">
        <f>IFERROR(VLOOKUP($A:$A,CS!$A:$AK,20,FALSE),"")</f>
      </c>
      <c r="M369" s="79">
        <f>IFERROR(VLOOKUP($A:$A,CS!$A:$AK,22,FALSE),"")</f>
      </c>
      <c r="N369" s="79">
        <f>IFERROR(VLOOKUP($A:$A,CS!$A:$AK,19,FALSE),"")</f>
      </c>
      <c r="O369" s="79">
        <f>IFERROR(VLOOKUP($A:$A,CS!$A:$AK,23,FALSE),"")</f>
      </c>
      <c r="P369" s="79">
        <f>IFERROR(VLOOKUP($A:$A,CS!$A:$AK,24,FALSE),"")</f>
      </c>
      <c r="Q369" s="79">
        <f>IFERROR(VLOOKUP($A:$A,CS!$A:$AK,25,FALSE),"")</f>
      </c>
      <c r="R369" s="79">
        <f>IFERROR(VLOOKUP($A:$A,CS!$A:$AK,26,FALSE),"")</f>
      </c>
      <c r="S369" s="79">
        <f>IFERROR(VLOOKUP($A:$A,CS!$A:$AK,29,FALSE),"")</f>
      </c>
      <c r="T369" s="79">
        <f>IFERROR(VLOOKUP($A:$A,CS!$A:$AK,33,FALSE),"")</f>
      </c>
      <c r="U369" s="79">
        <f>IFERROR(VLOOKUP($A:$A,CS!$A:$AK,34,FALSE),"")</f>
      </c>
      <c r="V369" s="79">
        <f>IFERROR(VLOOKUP($A:$A,CS!$A:$AK,35,FALSE),"")</f>
      </c>
      <c r="W369" s="79">
        <f>IFERROR(VLOOKUP($A:$A,CS!$A:$AK,36,FALSE),"")</f>
      </c>
    </row>
    <row r="370" ht="16.5" customHeight="1" spans="1:23" x14ac:dyDescent="0.25">
      <c r="A370" s="93"/>
      <c r="B370" s="79">
        <f>IFERROR(VLOOKUP($A:$A,CS!$A:$AK,3,FALSE),"")</f>
      </c>
      <c r="C370" s="79">
        <f>IFERROR(VLOOKUP($A:$A,CS!$A:$AK,4,FALSE),"")</f>
      </c>
      <c r="D370" s="79">
        <f>IFERROR(VLOOKUP($A:$A,CS!$A:$AK,5,FALSE),"")</f>
      </c>
      <c r="E370" s="79">
        <f>IFERROR(VLOOKUP($A:$A,CS!$A:$AK,7,FALSE),"")</f>
      </c>
      <c r="F370" s="79">
        <f>IFERROR(VLOOKUP($A:$A,CS!$A:$AK,8,FALSE),"")</f>
      </c>
      <c r="G370" s="79">
        <f>IFERROR(VLOOKUP($A:$A,CS!$A:$AK,10,FALSE),"")</f>
      </c>
      <c r="H370" s="79">
        <f>IFERROR(VLOOKUP($A:$A,CS!$A:$AK,14,FALSE),"")</f>
      </c>
      <c r="I370" s="79">
        <f>IFERROR(VLOOKUP($A:$A,CS!$A:$AK,15,FALSE),"")</f>
      </c>
      <c r="J370" s="79">
        <f>IFERROR(VLOOKUP($A:$A,CS!$A:$AK,18,FALSE),"")</f>
      </c>
      <c r="K370" s="79">
        <f>IFERROR(VLOOKUP($A:$A,CS!$A:$AK,19,FALSE),"")</f>
      </c>
      <c r="L370" s="79">
        <f>IFERROR(VLOOKUP($A:$A,CS!$A:$AK,20,FALSE),"")</f>
      </c>
      <c r="M370" s="79">
        <f>IFERROR(VLOOKUP($A:$A,CS!$A:$AK,22,FALSE),"")</f>
      </c>
      <c r="N370" s="79">
        <f>IFERROR(VLOOKUP($A:$A,CS!$A:$AK,19,FALSE),"")</f>
      </c>
      <c r="O370" s="79">
        <f>IFERROR(VLOOKUP($A:$A,CS!$A:$AK,23,FALSE),"")</f>
      </c>
      <c r="P370" s="79">
        <f>IFERROR(VLOOKUP($A:$A,CS!$A:$AK,24,FALSE),"")</f>
      </c>
      <c r="Q370" s="79">
        <f>IFERROR(VLOOKUP($A:$A,CS!$A:$AK,25,FALSE),"")</f>
      </c>
      <c r="R370" s="79">
        <f>IFERROR(VLOOKUP($A:$A,CS!$A:$AK,26,FALSE),"")</f>
      </c>
      <c r="S370" s="79">
        <f>IFERROR(VLOOKUP($A:$A,CS!$A:$AK,29,FALSE),"")</f>
      </c>
      <c r="T370" s="79">
        <f>IFERROR(VLOOKUP($A:$A,CS!$A:$AK,33,FALSE),"")</f>
      </c>
      <c r="U370" s="79">
        <f>IFERROR(VLOOKUP($A:$A,CS!$A:$AK,34,FALSE),"")</f>
      </c>
      <c r="V370" s="79">
        <f>IFERROR(VLOOKUP($A:$A,CS!$A:$AK,35,FALSE),"")</f>
      </c>
      <c r="W370" s="79">
        <f>IFERROR(VLOOKUP($A:$A,CS!$A:$AK,36,FALSE),"")</f>
      </c>
    </row>
    <row r="371" ht="16.5" customHeight="1" spans="1:23" x14ac:dyDescent="0.25">
      <c r="A371" s="93"/>
      <c r="B371" s="79">
        <f>IFERROR(VLOOKUP($A:$A,CS!$A:$AK,3,FALSE),"")</f>
      </c>
      <c r="C371" s="79">
        <f>IFERROR(VLOOKUP($A:$A,CS!$A:$AK,4,FALSE),"")</f>
      </c>
      <c r="D371" s="79">
        <f>IFERROR(VLOOKUP($A:$A,CS!$A:$AK,5,FALSE),"")</f>
      </c>
      <c r="E371" s="79">
        <f>IFERROR(VLOOKUP($A:$A,CS!$A:$AK,7,FALSE),"")</f>
      </c>
      <c r="F371" s="79">
        <f>IFERROR(VLOOKUP($A:$A,CS!$A:$AK,8,FALSE),"")</f>
      </c>
      <c r="G371" s="79">
        <f>IFERROR(VLOOKUP($A:$A,CS!$A:$AK,10,FALSE),"")</f>
      </c>
      <c r="H371" s="79">
        <f>IFERROR(VLOOKUP($A:$A,CS!$A:$AK,14,FALSE),"")</f>
      </c>
      <c r="I371" s="79">
        <f>IFERROR(VLOOKUP($A:$A,CS!$A:$AK,15,FALSE),"")</f>
      </c>
      <c r="J371" s="79">
        <f>IFERROR(VLOOKUP($A:$A,CS!$A:$AK,18,FALSE),"")</f>
      </c>
      <c r="K371" s="79">
        <f>IFERROR(VLOOKUP($A:$A,CS!$A:$AK,19,FALSE),"")</f>
      </c>
      <c r="L371" s="79">
        <f>IFERROR(VLOOKUP($A:$A,CS!$A:$AK,20,FALSE),"")</f>
      </c>
      <c r="M371" s="79">
        <f>IFERROR(VLOOKUP($A:$A,CS!$A:$AK,22,FALSE),"")</f>
      </c>
      <c r="N371" s="79">
        <f>IFERROR(VLOOKUP($A:$A,CS!$A:$AK,19,FALSE),"")</f>
      </c>
      <c r="O371" s="79">
        <f>IFERROR(VLOOKUP($A:$A,CS!$A:$AK,23,FALSE),"")</f>
      </c>
      <c r="P371" s="79">
        <f>IFERROR(VLOOKUP($A:$A,CS!$A:$AK,24,FALSE),"")</f>
      </c>
      <c r="Q371" s="79">
        <f>IFERROR(VLOOKUP($A:$A,CS!$A:$AK,25,FALSE),"")</f>
      </c>
      <c r="R371" s="79">
        <f>IFERROR(VLOOKUP($A:$A,CS!$A:$AK,26,FALSE),"")</f>
      </c>
      <c r="S371" s="79">
        <f>IFERROR(VLOOKUP($A:$A,CS!$A:$AK,29,FALSE),"")</f>
      </c>
      <c r="T371" s="79">
        <f>IFERROR(VLOOKUP($A:$A,CS!$A:$AK,33,FALSE),"")</f>
      </c>
      <c r="U371" s="79">
        <f>IFERROR(VLOOKUP($A:$A,CS!$A:$AK,34,FALSE),"")</f>
      </c>
      <c r="V371" s="79">
        <f>IFERROR(VLOOKUP($A:$A,CS!$A:$AK,35,FALSE),"")</f>
      </c>
      <c r="W371" s="79">
        <f>IFERROR(VLOOKUP($A:$A,CS!$A:$AK,36,FALSE),"")</f>
      </c>
    </row>
    <row r="372" ht="16.5" customHeight="1" spans="1:23" x14ac:dyDescent="0.25">
      <c r="A372" s="93"/>
      <c r="B372" s="79">
        <f>IFERROR(VLOOKUP($A:$A,CS!$A:$AK,3,FALSE),"")</f>
      </c>
      <c r="C372" s="79">
        <f>IFERROR(VLOOKUP($A:$A,CS!$A:$AK,4,FALSE),"")</f>
      </c>
      <c r="D372" s="79">
        <f>IFERROR(VLOOKUP($A:$A,CS!$A:$AK,5,FALSE),"")</f>
      </c>
      <c r="E372" s="79">
        <f>IFERROR(VLOOKUP($A:$A,CS!$A:$AK,7,FALSE),"")</f>
      </c>
      <c r="F372" s="79">
        <f>IFERROR(VLOOKUP($A:$A,CS!$A:$AK,8,FALSE),"")</f>
      </c>
      <c r="G372" s="79">
        <f>IFERROR(VLOOKUP($A:$A,CS!$A:$AK,10,FALSE),"")</f>
      </c>
      <c r="H372" s="79">
        <f>IFERROR(VLOOKUP($A:$A,CS!$A:$AK,14,FALSE),"")</f>
      </c>
      <c r="I372" s="79">
        <f>IFERROR(VLOOKUP($A:$A,CS!$A:$AK,15,FALSE),"")</f>
      </c>
      <c r="J372" s="79">
        <f>IFERROR(VLOOKUP($A:$A,CS!$A:$AK,18,FALSE),"")</f>
      </c>
      <c r="K372" s="79">
        <f>IFERROR(VLOOKUP($A:$A,CS!$A:$AK,19,FALSE),"")</f>
      </c>
      <c r="L372" s="79">
        <f>IFERROR(VLOOKUP($A:$A,CS!$A:$AK,20,FALSE),"")</f>
      </c>
      <c r="M372" s="79">
        <f>IFERROR(VLOOKUP($A:$A,CS!$A:$AK,22,FALSE),"")</f>
      </c>
      <c r="N372" s="79">
        <f>IFERROR(VLOOKUP($A:$A,CS!$A:$AK,19,FALSE),"")</f>
      </c>
      <c r="O372" s="79">
        <f>IFERROR(VLOOKUP($A:$A,CS!$A:$AK,23,FALSE),"")</f>
      </c>
      <c r="P372" s="79">
        <f>IFERROR(VLOOKUP($A:$A,CS!$A:$AK,24,FALSE),"")</f>
      </c>
      <c r="Q372" s="79">
        <f>IFERROR(VLOOKUP($A:$A,CS!$A:$AK,25,FALSE),"")</f>
      </c>
      <c r="R372" s="79">
        <f>IFERROR(VLOOKUP($A:$A,CS!$A:$AK,26,FALSE),"")</f>
      </c>
      <c r="S372" s="79">
        <f>IFERROR(VLOOKUP($A:$A,CS!$A:$AK,29,FALSE),"")</f>
      </c>
      <c r="T372" s="79">
        <f>IFERROR(VLOOKUP($A:$A,CS!$A:$AK,33,FALSE),"")</f>
      </c>
      <c r="U372" s="79">
        <f>IFERROR(VLOOKUP($A:$A,CS!$A:$AK,34,FALSE),"")</f>
      </c>
      <c r="V372" s="79">
        <f>IFERROR(VLOOKUP($A:$A,CS!$A:$AK,35,FALSE),"")</f>
      </c>
      <c r="W372" s="79">
        <f>IFERROR(VLOOKUP($A:$A,CS!$A:$AK,36,FALSE),"")</f>
      </c>
    </row>
    <row r="373" ht="16.5" customHeight="1" spans="1:23" x14ac:dyDescent="0.25">
      <c r="A373" s="93"/>
      <c r="B373" s="79">
        <f>IFERROR(VLOOKUP($A:$A,CS!$A:$AK,3,FALSE),"")</f>
      </c>
      <c r="C373" s="79">
        <f>IFERROR(VLOOKUP($A:$A,CS!$A:$AK,4,FALSE),"")</f>
      </c>
      <c r="D373" s="79">
        <f>IFERROR(VLOOKUP($A:$A,CS!$A:$AK,5,FALSE),"")</f>
      </c>
      <c r="E373" s="79">
        <f>IFERROR(VLOOKUP($A:$A,CS!$A:$AK,7,FALSE),"")</f>
      </c>
      <c r="F373" s="79">
        <f>IFERROR(VLOOKUP($A:$A,CS!$A:$AK,8,FALSE),"")</f>
      </c>
      <c r="G373" s="79">
        <f>IFERROR(VLOOKUP($A:$A,CS!$A:$AK,10,FALSE),"")</f>
      </c>
      <c r="H373" s="79">
        <f>IFERROR(VLOOKUP($A:$A,CS!$A:$AK,14,FALSE),"")</f>
      </c>
      <c r="I373" s="79">
        <f>IFERROR(VLOOKUP($A:$A,CS!$A:$AK,15,FALSE),"")</f>
      </c>
      <c r="J373" s="79">
        <f>IFERROR(VLOOKUP($A:$A,CS!$A:$AK,18,FALSE),"")</f>
      </c>
      <c r="K373" s="79">
        <f>IFERROR(VLOOKUP($A:$A,CS!$A:$AK,19,FALSE),"")</f>
      </c>
      <c r="L373" s="79">
        <f>IFERROR(VLOOKUP($A:$A,CS!$A:$AK,20,FALSE),"")</f>
      </c>
      <c r="M373" s="79">
        <f>IFERROR(VLOOKUP($A:$A,CS!$A:$AK,22,FALSE),"")</f>
      </c>
      <c r="N373" s="79">
        <f>IFERROR(VLOOKUP($A:$A,CS!$A:$AK,19,FALSE),"")</f>
      </c>
      <c r="O373" s="79">
        <f>IFERROR(VLOOKUP($A:$A,CS!$A:$AK,23,FALSE),"")</f>
      </c>
      <c r="P373" s="79">
        <f>IFERROR(VLOOKUP($A:$A,CS!$A:$AK,24,FALSE),"")</f>
      </c>
      <c r="Q373" s="79">
        <f>IFERROR(VLOOKUP($A:$A,CS!$A:$AK,25,FALSE),"")</f>
      </c>
      <c r="R373" s="79">
        <f>IFERROR(VLOOKUP($A:$A,CS!$A:$AK,26,FALSE),"")</f>
      </c>
      <c r="S373" s="79">
        <f>IFERROR(VLOOKUP($A:$A,CS!$A:$AK,29,FALSE),"")</f>
      </c>
      <c r="T373" s="79">
        <f>IFERROR(VLOOKUP($A:$A,CS!$A:$AK,33,FALSE),"")</f>
      </c>
      <c r="U373" s="79">
        <f>IFERROR(VLOOKUP($A:$A,CS!$A:$AK,34,FALSE),"")</f>
      </c>
      <c r="V373" s="79">
        <f>IFERROR(VLOOKUP($A:$A,CS!$A:$AK,35,FALSE),"")</f>
      </c>
      <c r="W373" s="79">
        <f>IFERROR(VLOOKUP($A:$A,CS!$A:$AK,36,FALSE),"")</f>
      </c>
    </row>
    <row r="374" ht="16.5" customHeight="1" spans="1:23" x14ac:dyDescent="0.25">
      <c r="A374" s="93"/>
      <c r="B374" s="79">
        <f>IFERROR(VLOOKUP($A:$A,CS!$A:$AK,3,FALSE),"")</f>
      </c>
      <c r="C374" s="79">
        <f>IFERROR(VLOOKUP($A:$A,CS!$A:$AK,4,FALSE),"")</f>
      </c>
      <c r="D374" s="79">
        <f>IFERROR(VLOOKUP($A:$A,CS!$A:$AK,5,FALSE),"")</f>
      </c>
      <c r="E374" s="79">
        <f>IFERROR(VLOOKUP($A:$A,CS!$A:$AK,7,FALSE),"")</f>
      </c>
      <c r="F374" s="79">
        <f>IFERROR(VLOOKUP($A:$A,CS!$A:$AK,8,FALSE),"")</f>
      </c>
      <c r="G374" s="79">
        <f>IFERROR(VLOOKUP($A:$A,CS!$A:$AK,10,FALSE),"")</f>
      </c>
      <c r="H374" s="79">
        <f>IFERROR(VLOOKUP($A:$A,CS!$A:$AK,14,FALSE),"")</f>
      </c>
      <c r="I374" s="79">
        <f>IFERROR(VLOOKUP($A:$A,CS!$A:$AK,15,FALSE),"")</f>
      </c>
      <c r="J374" s="79">
        <f>IFERROR(VLOOKUP($A:$A,CS!$A:$AK,18,FALSE),"")</f>
      </c>
      <c r="K374" s="79">
        <f>IFERROR(VLOOKUP($A:$A,CS!$A:$AK,19,FALSE),"")</f>
      </c>
      <c r="L374" s="79">
        <f>IFERROR(VLOOKUP($A:$A,CS!$A:$AK,20,FALSE),"")</f>
      </c>
      <c r="M374" s="79">
        <f>IFERROR(VLOOKUP($A:$A,CS!$A:$AK,22,FALSE),"")</f>
      </c>
      <c r="N374" s="79">
        <f>IFERROR(VLOOKUP($A:$A,CS!$A:$AK,19,FALSE),"")</f>
      </c>
      <c r="O374" s="79">
        <f>IFERROR(VLOOKUP($A:$A,CS!$A:$AK,23,FALSE),"")</f>
      </c>
      <c r="P374" s="79">
        <f>IFERROR(VLOOKUP($A:$A,CS!$A:$AK,24,FALSE),"")</f>
      </c>
      <c r="Q374" s="79">
        <f>IFERROR(VLOOKUP($A:$A,CS!$A:$AK,25,FALSE),"")</f>
      </c>
      <c r="R374" s="79">
        <f>IFERROR(VLOOKUP($A:$A,CS!$A:$AK,26,FALSE),"")</f>
      </c>
      <c r="S374" s="79">
        <f>IFERROR(VLOOKUP($A:$A,CS!$A:$AK,29,FALSE),"")</f>
      </c>
      <c r="T374" s="79">
        <f>IFERROR(VLOOKUP($A:$A,CS!$A:$AK,33,FALSE),"")</f>
      </c>
      <c r="U374" s="79">
        <f>IFERROR(VLOOKUP($A:$A,CS!$A:$AK,34,FALSE),"")</f>
      </c>
      <c r="V374" s="79">
        <f>IFERROR(VLOOKUP($A:$A,CS!$A:$AK,35,FALSE),"")</f>
      </c>
      <c r="W374" s="79">
        <f>IFERROR(VLOOKUP($A:$A,CS!$A:$AK,36,FALSE),"")</f>
      </c>
    </row>
    <row r="375" ht="16.5" customHeight="1" spans="1:23" x14ac:dyDescent="0.25">
      <c r="A375" s="93"/>
      <c r="B375" s="79">
        <f>IFERROR(VLOOKUP($A:$A,CS!$A:$AK,3,FALSE),"")</f>
      </c>
      <c r="C375" s="79">
        <f>IFERROR(VLOOKUP($A:$A,CS!$A:$AK,4,FALSE),"")</f>
      </c>
      <c r="D375" s="79">
        <f>IFERROR(VLOOKUP($A:$A,CS!$A:$AK,5,FALSE),"")</f>
      </c>
      <c r="E375" s="79">
        <f>IFERROR(VLOOKUP($A:$A,CS!$A:$AK,7,FALSE),"")</f>
      </c>
      <c r="F375" s="79">
        <f>IFERROR(VLOOKUP($A:$A,CS!$A:$AK,8,FALSE),"")</f>
      </c>
      <c r="G375" s="79">
        <f>IFERROR(VLOOKUP($A:$A,CS!$A:$AK,10,FALSE),"")</f>
      </c>
      <c r="H375" s="79">
        <f>IFERROR(VLOOKUP($A:$A,CS!$A:$AK,14,FALSE),"")</f>
      </c>
      <c r="I375" s="79">
        <f>IFERROR(VLOOKUP($A:$A,CS!$A:$AK,15,FALSE),"")</f>
      </c>
      <c r="J375" s="79">
        <f>IFERROR(VLOOKUP($A:$A,CS!$A:$AK,18,FALSE),"")</f>
      </c>
      <c r="K375" s="79">
        <f>IFERROR(VLOOKUP($A:$A,CS!$A:$AK,19,FALSE),"")</f>
      </c>
      <c r="L375" s="79">
        <f>IFERROR(VLOOKUP($A:$A,CS!$A:$AK,20,FALSE),"")</f>
      </c>
      <c r="M375" s="79">
        <f>IFERROR(VLOOKUP($A:$A,CS!$A:$AK,22,FALSE),"")</f>
      </c>
      <c r="N375" s="79">
        <f>IFERROR(VLOOKUP($A:$A,CS!$A:$AK,19,FALSE),"")</f>
      </c>
      <c r="O375" s="79">
        <f>IFERROR(VLOOKUP($A:$A,CS!$A:$AK,23,FALSE),"")</f>
      </c>
      <c r="P375" s="79">
        <f>IFERROR(VLOOKUP($A:$A,CS!$A:$AK,24,FALSE),"")</f>
      </c>
      <c r="Q375" s="79">
        <f>IFERROR(VLOOKUP($A:$A,CS!$A:$AK,25,FALSE),"")</f>
      </c>
      <c r="R375" s="79">
        <f>IFERROR(VLOOKUP($A:$A,CS!$A:$AK,26,FALSE),"")</f>
      </c>
      <c r="S375" s="79">
        <f>IFERROR(VLOOKUP($A:$A,CS!$A:$AK,29,FALSE),"")</f>
      </c>
      <c r="T375" s="79">
        <f>IFERROR(VLOOKUP($A:$A,CS!$A:$AK,33,FALSE),"")</f>
      </c>
      <c r="U375" s="79">
        <f>IFERROR(VLOOKUP($A:$A,CS!$A:$AK,34,FALSE),"")</f>
      </c>
      <c r="V375" s="79">
        <f>IFERROR(VLOOKUP($A:$A,CS!$A:$AK,35,FALSE),"")</f>
      </c>
      <c r="W375" s="79">
        <f>IFERROR(VLOOKUP($A:$A,CS!$A:$AK,36,FALSE),"")</f>
      </c>
    </row>
    <row r="376" ht="16.5" customHeight="1" spans="1:23" x14ac:dyDescent="0.25">
      <c r="A376" s="93"/>
      <c r="B376" s="79">
        <f>IFERROR(VLOOKUP($A:$A,CS!$A:$AK,3,FALSE),"")</f>
      </c>
      <c r="C376" s="79">
        <f>IFERROR(VLOOKUP($A:$A,CS!$A:$AK,4,FALSE),"")</f>
      </c>
      <c r="D376" s="79">
        <f>IFERROR(VLOOKUP($A:$A,CS!$A:$AK,5,FALSE),"")</f>
      </c>
      <c r="E376" s="79">
        <f>IFERROR(VLOOKUP($A:$A,CS!$A:$AK,7,FALSE),"")</f>
      </c>
      <c r="F376" s="79">
        <f>IFERROR(VLOOKUP($A:$A,CS!$A:$AK,8,FALSE),"")</f>
      </c>
      <c r="G376" s="79">
        <f>IFERROR(VLOOKUP($A:$A,CS!$A:$AK,10,FALSE),"")</f>
      </c>
      <c r="H376" s="79">
        <f>IFERROR(VLOOKUP($A:$A,CS!$A:$AK,14,FALSE),"")</f>
      </c>
      <c r="I376" s="79">
        <f>IFERROR(VLOOKUP($A:$A,CS!$A:$AK,15,FALSE),"")</f>
      </c>
      <c r="J376" s="79">
        <f>IFERROR(VLOOKUP($A:$A,CS!$A:$AK,18,FALSE),"")</f>
      </c>
      <c r="K376" s="79">
        <f>IFERROR(VLOOKUP($A:$A,CS!$A:$AK,19,FALSE),"")</f>
      </c>
      <c r="L376" s="79">
        <f>IFERROR(VLOOKUP($A:$A,CS!$A:$AK,20,FALSE),"")</f>
      </c>
      <c r="M376" s="79">
        <f>IFERROR(VLOOKUP($A:$A,CS!$A:$AK,22,FALSE),"")</f>
      </c>
      <c r="N376" s="79">
        <f>IFERROR(VLOOKUP($A:$A,CS!$A:$AK,19,FALSE),"")</f>
      </c>
      <c r="O376" s="79">
        <f>IFERROR(VLOOKUP($A:$A,CS!$A:$AK,23,FALSE),"")</f>
      </c>
      <c r="P376" s="79">
        <f>IFERROR(VLOOKUP($A:$A,CS!$A:$AK,24,FALSE),"")</f>
      </c>
      <c r="Q376" s="79">
        <f>IFERROR(VLOOKUP($A:$A,CS!$A:$AK,25,FALSE),"")</f>
      </c>
      <c r="R376" s="79">
        <f>IFERROR(VLOOKUP($A:$A,CS!$A:$AK,26,FALSE),"")</f>
      </c>
      <c r="S376" s="79">
        <f>IFERROR(VLOOKUP($A:$A,CS!$A:$AK,29,FALSE),"")</f>
      </c>
      <c r="T376" s="79">
        <f>IFERROR(VLOOKUP($A:$A,CS!$A:$AK,33,FALSE),"")</f>
      </c>
      <c r="U376" s="79">
        <f>IFERROR(VLOOKUP($A:$A,CS!$A:$AK,34,FALSE),"")</f>
      </c>
      <c r="V376" s="79">
        <f>IFERROR(VLOOKUP($A:$A,CS!$A:$AK,35,FALSE),"")</f>
      </c>
      <c r="W376" s="79">
        <f>IFERROR(VLOOKUP($A:$A,CS!$A:$AK,36,FALSE),"")</f>
      </c>
    </row>
    <row r="377" ht="16.5" customHeight="1" spans="1:23" x14ac:dyDescent="0.25">
      <c r="A377" s="93"/>
      <c r="B377" s="79">
        <f>IFERROR(VLOOKUP($A:$A,CS!$A:$AK,3,FALSE),"")</f>
      </c>
      <c r="C377" s="79">
        <f>IFERROR(VLOOKUP($A:$A,CS!$A:$AK,4,FALSE),"")</f>
      </c>
      <c r="D377" s="79">
        <f>IFERROR(VLOOKUP($A:$A,CS!$A:$AK,5,FALSE),"")</f>
      </c>
      <c r="E377" s="79">
        <f>IFERROR(VLOOKUP($A:$A,CS!$A:$AK,7,FALSE),"")</f>
      </c>
      <c r="F377" s="79">
        <f>IFERROR(VLOOKUP($A:$A,CS!$A:$AK,8,FALSE),"")</f>
      </c>
      <c r="G377" s="79">
        <f>IFERROR(VLOOKUP($A:$A,CS!$A:$AK,10,FALSE),"")</f>
      </c>
      <c r="H377" s="79">
        <f>IFERROR(VLOOKUP($A:$A,CS!$A:$AK,14,FALSE),"")</f>
      </c>
      <c r="I377" s="79">
        <f>IFERROR(VLOOKUP($A:$A,CS!$A:$AK,15,FALSE),"")</f>
      </c>
      <c r="J377" s="79">
        <f>IFERROR(VLOOKUP($A:$A,CS!$A:$AK,18,FALSE),"")</f>
      </c>
      <c r="K377" s="79">
        <f>IFERROR(VLOOKUP($A:$A,CS!$A:$AK,19,FALSE),"")</f>
      </c>
      <c r="L377" s="79">
        <f>IFERROR(VLOOKUP($A:$A,CS!$A:$AK,20,FALSE),"")</f>
      </c>
      <c r="M377" s="79">
        <f>IFERROR(VLOOKUP($A:$A,CS!$A:$AK,22,FALSE),"")</f>
      </c>
      <c r="N377" s="79">
        <f>IFERROR(VLOOKUP($A:$A,CS!$A:$AK,19,FALSE),"")</f>
      </c>
      <c r="O377" s="79">
        <f>IFERROR(VLOOKUP($A:$A,CS!$A:$AK,23,FALSE),"")</f>
      </c>
      <c r="P377" s="79">
        <f>IFERROR(VLOOKUP($A:$A,CS!$A:$AK,24,FALSE),"")</f>
      </c>
      <c r="Q377" s="79">
        <f>IFERROR(VLOOKUP($A:$A,CS!$A:$AK,25,FALSE),"")</f>
      </c>
      <c r="R377" s="79">
        <f>IFERROR(VLOOKUP($A:$A,CS!$A:$AK,26,FALSE),"")</f>
      </c>
      <c r="S377" s="79">
        <f>IFERROR(VLOOKUP($A:$A,CS!$A:$AK,29,FALSE),"")</f>
      </c>
      <c r="T377" s="79">
        <f>IFERROR(VLOOKUP($A:$A,CS!$A:$AK,33,FALSE),"")</f>
      </c>
      <c r="U377" s="79">
        <f>IFERROR(VLOOKUP($A:$A,CS!$A:$AK,34,FALSE),"")</f>
      </c>
      <c r="V377" s="79">
        <f>IFERROR(VLOOKUP($A:$A,CS!$A:$AK,35,FALSE),"")</f>
      </c>
      <c r="W377" s="79">
        <f>IFERROR(VLOOKUP($A:$A,CS!$A:$AK,36,FALSE),"")</f>
      </c>
    </row>
    <row r="378" ht="16.5" customHeight="1" spans="1:23" x14ac:dyDescent="0.25">
      <c r="A378" s="93"/>
      <c r="B378" s="79">
        <f>IFERROR(VLOOKUP($A:$A,CS!$A:$AK,3,FALSE),"")</f>
      </c>
      <c r="C378" s="79">
        <f>IFERROR(VLOOKUP($A:$A,CS!$A:$AK,4,FALSE),"")</f>
      </c>
      <c r="D378" s="79">
        <f>IFERROR(VLOOKUP($A:$A,CS!$A:$AK,5,FALSE),"")</f>
      </c>
      <c r="E378" s="79">
        <f>IFERROR(VLOOKUP($A:$A,CS!$A:$AK,7,FALSE),"")</f>
      </c>
      <c r="F378" s="79">
        <f>IFERROR(VLOOKUP($A:$A,CS!$A:$AK,8,FALSE),"")</f>
      </c>
      <c r="G378" s="79">
        <f>IFERROR(VLOOKUP($A:$A,CS!$A:$AK,10,FALSE),"")</f>
      </c>
      <c r="H378" s="79">
        <f>IFERROR(VLOOKUP($A:$A,CS!$A:$AK,14,FALSE),"")</f>
      </c>
      <c r="I378" s="79">
        <f>IFERROR(VLOOKUP($A:$A,CS!$A:$AK,15,FALSE),"")</f>
      </c>
      <c r="J378" s="79">
        <f>IFERROR(VLOOKUP($A:$A,CS!$A:$AK,18,FALSE),"")</f>
      </c>
      <c r="K378" s="79">
        <f>IFERROR(VLOOKUP($A:$A,CS!$A:$AK,19,FALSE),"")</f>
      </c>
      <c r="L378" s="79">
        <f>IFERROR(VLOOKUP($A:$A,CS!$A:$AK,20,FALSE),"")</f>
      </c>
      <c r="M378" s="79">
        <f>IFERROR(VLOOKUP($A:$A,CS!$A:$AK,22,FALSE),"")</f>
      </c>
      <c r="N378" s="79">
        <f>IFERROR(VLOOKUP($A:$A,CS!$A:$AK,19,FALSE),"")</f>
      </c>
      <c r="O378" s="79">
        <f>IFERROR(VLOOKUP($A:$A,CS!$A:$AK,23,FALSE),"")</f>
      </c>
      <c r="P378" s="79">
        <f>IFERROR(VLOOKUP($A:$A,CS!$A:$AK,24,FALSE),"")</f>
      </c>
      <c r="Q378" s="79">
        <f>IFERROR(VLOOKUP($A:$A,CS!$A:$AK,25,FALSE),"")</f>
      </c>
      <c r="R378" s="79">
        <f>IFERROR(VLOOKUP($A:$A,CS!$A:$AK,26,FALSE),"")</f>
      </c>
      <c r="S378" s="79">
        <f>IFERROR(VLOOKUP($A:$A,CS!$A:$AK,29,FALSE),"")</f>
      </c>
      <c r="T378" s="79">
        <f>IFERROR(VLOOKUP($A:$A,CS!$A:$AK,33,FALSE),"")</f>
      </c>
      <c r="U378" s="79">
        <f>IFERROR(VLOOKUP($A:$A,CS!$A:$AK,34,FALSE),"")</f>
      </c>
      <c r="V378" s="79">
        <f>IFERROR(VLOOKUP($A:$A,CS!$A:$AK,35,FALSE),"")</f>
      </c>
      <c r="W378" s="79">
        <f>IFERROR(VLOOKUP($A:$A,CS!$A:$AK,36,FALSE),"")</f>
      </c>
    </row>
    <row r="379" ht="16.5" customHeight="1" spans="1:23" x14ac:dyDescent="0.25">
      <c r="A379" s="93"/>
      <c r="B379" s="79">
        <f>IFERROR(VLOOKUP($A:$A,CS!$A:$AK,3,FALSE),"")</f>
      </c>
      <c r="C379" s="79">
        <f>IFERROR(VLOOKUP($A:$A,CS!$A:$AK,4,FALSE),"")</f>
      </c>
      <c r="D379" s="79">
        <f>IFERROR(VLOOKUP($A:$A,CS!$A:$AK,5,FALSE),"")</f>
      </c>
      <c r="E379" s="79">
        <f>IFERROR(VLOOKUP($A:$A,CS!$A:$AK,7,FALSE),"")</f>
      </c>
      <c r="F379" s="79">
        <f>IFERROR(VLOOKUP($A:$A,CS!$A:$AK,8,FALSE),"")</f>
      </c>
      <c r="G379" s="79">
        <f>IFERROR(VLOOKUP($A:$A,CS!$A:$AK,10,FALSE),"")</f>
      </c>
      <c r="H379" s="79">
        <f>IFERROR(VLOOKUP($A:$A,CS!$A:$AK,14,FALSE),"")</f>
      </c>
      <c r="I379" s="79">
        <f>IFERROR(VLOOKUP($A:$A,CS!$A:$AK,15,FALSE),"")</f>
      </c>
      <c r="J379" s="79">
        <f>IFERROR(VLOOKUP($A:$A,CS!$A:$AK,18,FALSE),"")</f>
      </c>
      <c r="K379" s="79">
        <f>IFERROR(VLOOKUP($A:$A,CS!$A:$AK,19,FALSE),"")</f>
      </c>
      <c r="L379" s="79">
        <f>IFERROR(VLOOKUP($A:$A,CS!$A:$AK,20,FALSE),"")</f>
      </c>
      <c r="M379" s="79">
        <f>IFERROR(VLOOKUP($A:$A,CS!$A:$AK,22,FALSE),"")</f>
      </c>
      <c r="N379" s="79">
        <f>IFERROR(VLOOKUP($A:$A,CS!$A:$AK,19,FALSE),"")</f>
      </c>
      <c r="O379" s="79">
        <f>IFERROR(VLOOKUP($A:$A,CS!$A:$AK,23,FALSE),"")</f>
      </c>
      <c r="P379" s="79">
        <f>IFERROR(VLOOKUP($A:$A,CS!$A:$AK,24,FALSE),"")</f>
      </c>
      <c r="Q379" s="79">
        <f>IFERROR(VLOOKUP($A:$A,CS!$A:$AK,25,FALSE),"")</f>
      </c>
      <c r="R379" s="79">
        <f>IFERROR(VLOOKUP($A:$A,CS!$A:$AK,26,FALSE),"")</f>
      </c>
      <c r="S379" s="79">
        <f>IFERROR(VLOOKUP($A:$A,CS!$A:$AK,29,FALSE),"")</f>
      </c>
      <c r="T379" s="79">
        <f>IFERROR(VLOOKUP($A:$A,CS!$A:$AK,33,FALSE),"")</f>
      </c>
      <c r="U379" s="79">
        <f>IFERROR(VLOOKUP($A:$A,CS!$A:$AK,34,FALSE),"")</f>
      </c>
      <c r="V379" s="79">
        <f>IFERROR(VLOOKUP($A:$A,CS!$A:$AK,35,FALSE),"")</f>
      </c>
      <c r="W379" s="79">
        <f>IFERROR(VLOOKUP($A:$A,CS!$A:$AK,36,FALSE),"")</f>
      </c>
    </row>
    <row r="380" ht="16.5" customHeight="1" spans="1:23" x14ac:dyDescent="0.25">
      <c r="A380" s="93"/>
      <c r="B380" s="79">
        <f>IFERROR(VLOOKUP($A:$A,CS!$A:$AK,3,FALSE),"")</f>
      </c>
      <c r="C380" s="79">
        <f>IFERROR(VLOOKUP($A:$A,CS!$A:$AK,4,FALSE),"")</f>
      </c>
      <c r="D380" s="79">
        <f>IFERROR(VLOOKUP($A:$A,CS!$A:$AK,5,FALSE),"")</f>
      </c>
      <c r="E380" s="79">
        <f>IFERROR(VLOOKUP($A:$A,CS!$A:$AK,7,FALSE),"")</f>
      </c>
      <c r="F380" s="79">
        <f>IFERROR(VLOOKUP($A:$A,CS!$A:$AK,8,FALSE),"")</f>
      </c>
      <c r="G380" s="79">
        <f>IFERROR(VLOOKUP($A:$A,CS!$A:$AK,10,FALSE),"")</f>
      </c>
      <c r="H380" s="79">
        <f>IFERROR(VLOOKUP($A:$A,CS!$A:$AK,14,FALSE),"")</f>
      </c>
      <c r="I380" s="79">
        <f>IFERROR(VLOOKUP($A:$A,CS!$A:$AK,15,FALSE),"")</f>
      </c>
      <c r="J380" s="79">
        <f>IFERROR(VLOOKUP($A:$A,CS!$A:$AK,18,FALSE),"")</f>
      </c>
      <c r="K380" s="79">
        <f>IFERROR(VLOOKUP($A:$A,CS!$A:$AK,19,FALSE),"")</f>
      </c>
      <c r="L380" s="79">
        <f>IFERROR(VLOOKUP($A:$A,CS!$A:$AK,20,FALSE),"")</f>
      </c>
      <c r="M380" s="79">
        <f>IFERROR(VLOOKUP($A:$A,CS!$A:$AK,22,FALSE),"")</f>
      </c>
      <c r="N380" s="79">
        <f>IFERROR(VLOOKUP($A:$A,CS!$A:$AK,19,FALSE),"")</f>
      </c>
      <c r="O380" s="79">
        <f>IFERROR(VLOOKUP($A:$A,CS!$A:$AK,23,FALSE),"")</f>
      </c>
      <c r="P380" s="79">
        <f>IFERROR(VLOOKUP($A:$A,CS!$A:$AK,24,FALSE),"")</f>
      </c>
      <c r="Q380" s="79">
        <f>IFERROR(VLOOKUP($A:$A,CS!$A:$AK,25,FALSE),"")</f>
      </c>
      <c r="R380" s="79">
        <f>IFERROR(VLOOKUP($A:$A,CS!$A:$AK,26,FALSE),"")</f>
      </c>
      <c r="S380" s="79">
        <f>IFERROR(VLOOKUP($A:$A,CS!$A:$AK,29,FALSE),"")</f>
      </c>
      <c r="T380" s="79">
        <f>IFERROR(VLOOKUP($A:$A,CS!$A:$AK,33,FALSE),"")</f>
      </c>
      <c r="U380" s="79">
        <f>IFERROR(VLOOKUP($A:$A,CS!$A:$AK,34,FALSE),"")</f>
      </c>
      <c r="V380" s="79">
        <f>IFERROR(VLOOKUP($A:$A,CS!$A:$AK,35,FALSE),"")</f>
      </c>
      <c r="W380" s="79">
        <f>IFERROR(VLOOKUP($A:$A,CS!$A:$AK,36,FALSE),"")</f>
      </c>
    </row>
    <row r="381" ht="16.5" customHeight="1" spans="1:23" x14ac:dyDescent="0.25">
      <c r="A381" s="93"/>
      <c r="B381" s="79">
        <f>IFERROR(VLOOKUP($A:$A,CS!$A:$AK,3,FALSE),"")</f>
      </c>
      <c r="C381" s="79">
        <f>IFERROR(VLOOKUP($A:$A,CS!$A:$AK,4,FALSE),"")</f>
      </c>
      <c r="D381" s="79">
        <f>IFERROR(VLOOKUP($A:$A,CS!$A:$AK,5,FALSE),"")</f>
      </c>
      <c r="E381" s="79">
        <f>IFERROR(VLOOKUP($A:$A,CS!$A:$AK,7,FALSE),"")</f>
      </c>
      <c r="F381" s="79">
        <f>IFERROR(VLOOKUP($A:$A,CS!$A:$AK,8,FALSE),"")</f>
      </c>
      <c r="G381" s="79">
        <f>IFERROR(VLOOKUP($A:$A,CS!$A:$AK,10,FALSE),"")</f>
      </c>
      <c r="H381" s="79">
        <f>IFERROR(VLOOKUP($A:$A,CS!$A:$AK,14,FALSE),"")</f>
      </c>
      <c r="I381" s="79">
        <f>IFERROR(VLOOKUP($A:$A,CS!$A:$AK,15,FALSE),"")</f>
      </c>
      <c r="J381" s="79">
        <f>IFERROR(VLOOKUP($A:$A,CS!$A:$AK,18,FALSE),"")</f>
      </c>
      <c r="K381" s="79">
        <f>IFERROR(VLOOKUP($A:$A,CS!$A:$AK,19,FALSE),"")</f>
      </c>
      <c r="L381" s="79">
        <f>IFERROR(VLOOKUP($A:$A,CS!$A:$AK,20,FALSE),"")</f>
      </c>
      <c r="M381" s="79">
        <f>IFERROR(VLOOKUP($A:$A,CS!$A:$AK,22,FALSE),"")</f>
      </c>
      <c r="N381" s="79">
        <f>IFERROR(VLOOKUP($A:$A,CS!$A:$AK,19,FALSE),"")</f>
      </c>
      <c r="O381" s="79">
        <f>IFERROR(VLOOKUP($A:$A,CS!$A:$AK,23,FALSE),"")</f>
      </c>
      <c r="P381" s="79">
        <f>IFERROR(VLOOKUP($A:$A,CS!$A:$AK,24,FALSE),"")</f>
      </c>
      <c r="Q381" s="79">
        <f>IFERROR(VLOOKUP($A:$A,CS!$A:$AK,25,FALSE),"")</f>
      </c>
      <c r="R381" s="79">
        <f>IFERROR(VLOOKUP($A:$A,CS!$A:$AK,26,FALSE),"")</f>
      </c>
      <c r="S381" s="79">
        <f>IFERROR(VLOOKUP($A:$A,CS!$A:$AK,29,FALSE),"")</f>
      </c>
      <c r="T381" s="79">
        <f>IFERROR(VLOOKUP($A:$A,CS!$A:$AK,33,FALSE),"")</f>
      </c>
      <c r="U381" s="79">
        <f>IFERROR(VLOOKUP($A:$A,CS!$A:$AK,34,FALSE),"")</f>
      </c>
      <c r="V381" s="79">
        <f>IFERROR(VLOOKUP($A:$A,CS!$A:$AK,35,FALSE),"")</f>
      </c>
      <c r="W381" s="79">
        <f>IFERROR(VLOOKUP($A:$A,CS!$A:$AK,36,FALSE),"")</f>
      </c>
    </row>
    <row r="382" ht="16.5" customHeight="1" spans="1:23" x14ac:dyDescent="0.25">
      <c r="A382" s="93"/>
      <c r="B382" s="79">
        <f>IFERROR(VLOOKUP($A:$A,CS!$A:$AK,3,FALSE),"")</f>
      </c>
      <c r="C382" s="79">
        <f>IFERROR(VLOOKUP($A:$A,CS!$A:$AK,4,FALSE),"")</f>
      </c>
      <c r="D382" s="79">
        <f>IFERROR(VLOOKUP($A:$A,CS!$A:$AK,5,FALSE),"")</f>
      </c>
      <c r="E382" s="79">
        <f>IFERROR(VLOOKUP($A:$A,CS!$A:$AK,7,FALSE),"")</f>
      </c>
      <c r="F382" s="79">
        <f>IFERROR(VLOOKUP($A:$A,CS!$A:$AK,8,FALSE),"")</f>
      </c>
      <c r="G382" s="79">
        <f>IFERROR(VLOOKUP($A:$A,CS!$A:$AK,10,FALSE),"")</f>
      </c>
      <c r="H382" s="79">
        <f>IFERROR(VLOOKUP($A:$A,CS!$A:$AK,14,FALSE),"")</f>
      </c>
      <c r="I382" s="79">
        <f>IFERROR(VLOOKUP($A:$A,CS!$A:$AK,15,FALSE),"")</f>
      </c>
      <c r="J382" s="79">
        <f>IFERROR(VLOOKUP($A:$A,CS!$A:$AK,18,FALSE),"")</f>
      </c>
      <c r="K382" s="79">
        <f>IFERROR(VLOOKUP($A:$A,CS!$A:$AK,19,FALSE),"")</f>
      </c>
      <c r="L382" s="79">
        <f>IFERROR(VLOOKUP($A:$A,CS!$A:$AK,20,FALSE),"")</f>
      </c>
      <c r="M382" s="79">
        <f>IFERROR(VLOOKUP($A:$A,CS!$A:$AK,22,FALSE),"")</f>
      </c>
      <c r="N382" s="79">
        <f>IFERROR(VLOOKUP($A:$A,CS!$A:$AK,19,FALSE),"")</f>
      </c>
      <c r="O382" s="79">
        <f>IFERROR(VLOOKUP($A:$A,CS!$A:$AK,23,FALSE),"")</f>
      </c>
      <c r="P382" s="79">
        <f>IFERROR(VLOOKUP($A:$A,CS!$A:$AK,24,FALSE),"")</f>
      </c>
      <c r="Q382" s="79">
        <f>IFERROR(VLOOKUP($A:$A,CS!$A:$AK,25,FALSE),"")</f>
      </c>
      <c r="R382" s="79">
        <f>IFERROR(VLOOKUP($A:$A,CS!$A:$AK,26,FALSE),"")</f>
      </c>
      <c r="S382" s="79">
        <f>IFERROR(VLOOKUP($A:$A,CS!$A:$AK,29,FALSE),"")</f>
      </c>
      <c r="T382" s="79">
        <f>IFERROR(VLOOKUP($A:$A,CS!$A:$AK,33,FALSE),"")</f>
      </c>
      <c r="U382" s="79">
        <f>IFERROR(VLOOKUP($A:$A,CS!$A:$AK,34,FALSE),"")</f>
      </c>
      <c r="V382" s="79">
        <f>IFERROR(VLOOKUP($A:$A,CS!$A:$AK,35,FALSE),"")</f>
      </c>
      <c r="W382" s="79">
        <f>IFERROR(VLOOKUP($A:$A,CS!$A:$AK,36,FALSE),"")</f>
      </c>
    </row>
    <row r="383" ht="16.5" customHeight="1" spans="1:23" x14ac:dyDescent="0.25">
      <c r="A383" s="93"/>
      <c r="B383" s="79">
        <f>IFERROR(VLOOKUP($A:$A,CS!$A:$AK,3,FALSE),"")</f>
      </c>
      <c r="C383" s="79">
        <f>IFERROR(VLOOKUP($A:$A,CS!$A:$AK,4,FALSE),"")</f>
      </c>
      <c r="D383" s="79">
        <f>IFERROR(VLOOKUP($A:$A,CS!$A:$AK,5,FALSE),"")</f>
      </c>
      <c r="E383" s="79">
        <f>IFERROR(VLOOKUP($A:$A,CS!$A:$AK,7,FALSE),"")</f>
      </c>
      <c r="F383" s="79">
        <f>IFERROR(VLOOKUP($A:$A,CS!$A:$AK,8,FALSE),"")</f>
      </c>
      <c r="G383" s="79">
        <f>IFERROR(VLOOKUP($A:$A,CS!$A:$AK,10,FALSE),"")</f>
      </c>
      <c r="H383" s="79">
        <f>IFERROR(VLOOKUP($A:$A,CS!$A:$AK,14,FALSE),"")</f>
      </c>
      <c r="I383" s="79">
        <f>IFERROR(VLOOKUP($A:$A,CS!$A:$AK,15,FALSE),"")</f>
      </c>
      <c r="J383" s="79">
        <f>IFERROR(VLOOKUP($A:$A,CS!$A:$AK,18,FALSE),"")</f>
      </c>
      <c r="K383" s="79">
        <f>IFERROR(VLOOKUP($A:$A,CS!$A:$AK,19,FALSE),"")</f>
      </c>
      <c r="L383" s="79">
        <f>IFERROR(VLOOKUP($A:$A,CS!$A:$AK,20,FALSE),"")</f>
      </c>
      <c r="M383" s="79">
        <f>IFERROR(VLOOKUP($A:$A,CS!$A:$AK,22,FALSE),"")</f>
      </c>
      <c r="N383" s="79">
        <f>IFERROR(VLOOKUP($A:$A,CS!$A:$AK,19,FALSE),"")</f>
      </c>
      <c r="O383" s="79">
        <f>IFERROR(VLOOKUP($A:$A,CS!$A:$AK,23,FALSE),"")</f>
      </c>
      <c r="P383" s="79">
        <f>IFERROR(VLOOKUP($A:$A,CS!$A:$AK,24,FALSE),"")</f>
      </c>
      <c r="Q383" s="79">
        <f>IFERROR(VLOOKUP($A:$A,CS!$A:$AK,25,FALSE),"")</f>
      </c>
      <c r="R383" s="79">
        <f>IFERROR(VLOOKUP($A:$A,CS!$A:$AK,26,FALSE),"")</f>
      </c>
      <c r="S383" s="79">
        <f>IFERROR(VLOOKUP($A:$A,CS!$A:$AK,29,FALSE),"")</f>
      </c>
      <c r="T383" s="79">
        <f>IFERROR(VLOOKUP($A:$A,CS!$A:$AK,33,FALSE),"")</f>
      </c>
      <c r="U383" s="79">
        <f>IFERROR(VLOOKUP($A:$A,CS!$A:$AK,34,FALSE),"")</f>
      </c>
      <c r="V383" s="79">
        <f>IFERROR(VLOOKUP($A:$A,CS!$A:$AK,35,FALSE),"")</f>
      </c>
      <c r="W383" s="79">
        <f>IFERROR(VLOOKUP($A:$A,CS!$A:$AK,36,FALSE),"")</f>
      </c>
    </row>
    <row r="384" ht="16.5" customHeight="1" spans="1:23" x14ac:dyDescent="0.25">
      <c r="A384" s="93"/>
      <c r="B384" s="79">
        <f>IFERROR(VLOOKUP($A:$A,CS!$A:$AK,3,FALSE),"")</f>
      </c>
      <c r="C384" s="79">
        <f>IFERROR(VLOOKUP($A:$A,CS!$A:$AK,4,FALSE),"")</f>
      </c>
      <c r="D384" s="79">
        <f>IFERROR(VLOOKUP($A:$A,CS!$A:$AK,5,FALSE),"")</f>
      </c>
      <c r="E384" s="79">
        <f>IFERROR(VLOOKUP($A:$A,CS!$A:$AK,7,FALSE),"")</f>
      </c>
      <c r="F384" s="79">
        <f>IFERROR(VLOOKUP($A:$A,CS!$A:$AK,8,FALSE),"")</f>
      </c>
      <c r="G384" s="79">
        <f>IFERROR(VLOOKUP($A:$A,CS!$A:$AK,10,FALSE),"")</f>
      </c>
      <c r="H384" s="79">
        <f>IFERROR(VLOOKUP($A:$A,CS!$A:$AK,14,FALSE),"")</f>
      </c>
      <c r="I384" s="79">
        <f>IFERROR(VLOOKUP($A:$A,CS!$A:$AK,15,FALSE),"")</f>
      </c>
      <c r="J384" s="79">
        <f>IFERROR(VLOOKUP($A:$A,CS!$A:$AK,18,FALSE),"")</f>
      </c>
      <c r="K384" s="79">
        <f>IFERROR(VLOOKUP($A:$A,CS!$A:$AK,19,FALSE),"")</f>
      </c>
      <c r="L384" s="79">
        <f>IFERROR(VLOOKUP($A:$A,CS!$A:$AK,20,FALSE),"")</f>
      </c>
      <c r="M384" s="79">
        <f>IFERROR(VLOOKUP($A:$A,CS!$A:$AK,22,FALSE),"")</f>
      </c>
      <c r="N384" s="79">
        <f>IFERROR(VLOOKUP($A:$A,CS!$A:$AK,19,FALSE),"")</f>
      </c>
      <c r="O384" s="79">
        <f>IFERROR(VLOOKUP($A:$A,CS!$A:$AK,23,FALSE),"")</f>
      </c>
      <c r="P384" s="79">
        <f>IFERROR(VLOOKUP($A:$A,CS!$A:$AK,24,FALSE),"")</f>
      </c>
      <c r="Q384" s="79">
        <f>IFERROR(VLOOKUP($A:$A,CS!$A:$AK,25,FALSE),"")</f>
      </c>
      <c r="R384" s="79">
        <f>IFERROR(VLOOKUP($A:$A,CS!$A:$AK,26,FALSE),"")</f>
      </c>
      <c r="S384" s="79">
        <f>IFERROR(VLOOKUP($A:$A,CS!$A:$AK,29,FALSE),"")</f>
      </c>
      <c r="T384" s="79">
        <f>IFERROR(VLOOKUP($A:$A,CS!$A:$AK,33,FALSE),"")</f>
      </c>
      <c r="U384" s="79">
        <f>IFERROR(VLOOKUP($A:$A,CS!$A:$AK,34,FALSE),"")</f>
      </c>
      <c r="V384" s="79">
        <f>IFERROR(VLOOKUP($A:$A,CS!$A:$AK,35,FALSE),"")</f>
      </c>
      <c r="W384" s="79">
        <f>IFERROR(VLOOKUP($A:$A,CS!$A:$AK,36,FALSE),"")</f>
      </c>
    </row>
    <row r="385" ht="16.5" customHeight="1" spans="1:23" x14ac:dyDescent="0.25">
      <c r="A385" s="93"/>
      <c r="B385" s="79">
        <f>IFERROR(VLOOKUP($A:$A,CS!$A:$AK,3,FALSE),"")</f>
      </c>
      <c r="C385" s="79">
        <f>IFERROR(VLOOKUP($A:$A,CS!$A:$AK,4,FALSE),"")</f>
      </c>
      <c r="D385" s="79">
        <f>IFERROR(VLOOKUP($A:$A,CS!$A:$AK,5,FALSE),"")</f>
      </c>
      <c r="E385" s="79">
        <f>IFERROR(VLOOKUP($A:$A,CS!$A:$AK,7,FALSE),"")</f>
      </c>
      <c r="F385" s="79">
        <f>IFERROR(VLOOKUP($A:$A,CS!$A:$AK,8,FALSE),"")</f>
      </c>
      <c r="G385" s="79">
        <f>IFERROR(VLOOKUP($A:$A,CS!$A:$AK,10,FALSE),"")</f>
      </c>
      <c r="H385" s="79">
        <f>IFERROR(VLOOKUP($A:$A,CS!$A:$AK,14,FALSE),"")</f>
      </c>
      <c r="I385" s="79">
        <f>IFERROR(VLOOKUP($A:$A,CS!$A:$AK,15,FALSE),"")</f>
      </c>
      <c r="J385" s="79">
        <f>IFERROR(VLOOKUP($A:$A,CS!$A:$AK,18,FALSE),"")</f>
      </c>
      <c r="K385" s="79">
        <f>IFERROR(VLOOKUP($A:$A,CS!$A:$AK,19,FALSE),"")</f>
      </c>
      <c r="L385" s="79">
        <f>IFERROR(VLOOKUP($A:$A,CS!$A:$AK,20,FALSE),"")</f>
      </c>
      <c r="M385" s="79">
        <f>IFERROR(VLOOKUP($A:$A,CS!$A:$AK,22,FALSE),"")</f>
      </c>
      <c r="N385" s="79">
        <f>IFERROR(VLOOKUP($A:$A,CS!$A:$AK,19,FALSE),"")</f>
      </c>
      <c r="O385" s="79">
        <f>IFERROR(VLOOKUP($A:$A,CS!$A:$AK,23,FALSE),"")</f>
      </c>
      <c r="P385" s="79">
        <f>IFERROR(VLOOKUP($A:$A,CS!$A:$AK,24,FALSE),"")</f>
      </c>
      <c r="Q385" s="79">
        <f>IFERROR(VLOOKUP($A:$A,CS!$A:$AK,25,FALSE),"")</f>
      </c>
      <c r="R385" s="79">
        <f>IFERROR(VLOOKUP($A:$A,CS!$A:$AK,26,FALSE),"")</f>
      </c>
      <c r="S385" s="79">
        <f>IFERROR(VLOOKUP($A:$A,CS!$A:$AK,29,FALSE),"")</f>
      </c>
      <c r="T385" s="79">
        <f>IFERROR(VLOOKUP($A:$A,CS!$A:$AK,33,FALSE),"")</f>
      </c>
      <c r="U385" s="79">
        <f>IFERROR(VLOOKUP($A:$A,CS!$A:$AK,34,FALSE),"")</f>
      </c>
      <c r="V385" s="79">
        <f>IFERROR(VLOOKUP($A:$A,CS!$A:$AK,35,FALSE),"")</f>
      </c>
      <c r="W385" s="79">
        <f>IFERROR(VLOOKUP($A:$A,CS!$A:$AK,36,FALSE),"")</f>
      </c>
    </row>
    <row r="386" ht="16.5" customHeight="1" spans="1:23" x14ac:dyDescent="0.25">
      <c r="A386" s="93"/>
      <c r="B386" s="79">
        <f>IFERROR(VLOOKUP($A:$A,CS!$A:$AK,3,FALSE),"")</f>
      </c>
      <c r="C386" s="79">
        <f>IFERROR(VLOOKUP($A:$A,CS!$A:$AK,4,FALSE),"")</f>
      </c>
      <c r="D386" s="79">
        <f>IFERROR(VLOOKUP($A:$A,CS!$A:$AK,5,FALSE),"")</f>
      </c>
      <c r="E386" s="79">
        <f>IFERROR(VLOOKUP($A:$A,CS!$A:$AK,7,FALSE),"")</f>
      </c>
      <c r="F386" s="79">
        <f>IFERROR(VLOOKUP($A:$A,CS!$A:$AK,8,FALSE),"")</f>
      </c>
      <c r="G386" s="79">
        <f>IFERROR(VLOOKUP($A:$A,CS!$A:$AK,10,FALSE),"")</f>
      </c>
      <c r="H386" s="79">
        <f>IFERROR(VLOOKUP($A:$A,CS!$A:$AK,14,FALSE),"")</f>
      </c>
      <c r="I386" s="79">
        <f>IFERROR(VLOOKUP($A:$A,CS!$A:$AK,15,FALSE),"")</f>
      </c>
      <c r="J386" s="79">
        <f>IFERROR(VLOOKUP($A:$A,CS!$A:$AK,18,FALSE),"")</f>
      </c>
      <c r="K386" s="79">
        <f>IFERROR(VLOOKUP($A:$A,CS!$A:$AK,19,FALSE),"")</f>
      </c>
      <c r="L386" s="79">
        <f>IFERROR(VLOOKUP($A:$A,CS!$A:$AK,20,FALSE),"")</f>
      </c>
      <c r="M386" s="79">
        <f>IFERROR(VLOOKUP($A:$A,CS!$A:$AK,22,FALSE),"")</f>
      </c>
      <c r="N386" s="79">
        <f>IFERROR(VLOOKUP($A:$A,CS!$A:$AK,19,FALSE),"")</f>
      </c>
      <c r="O386" s="79">
        <f>IFERROR(VLOOKUP($A:$A,CS!$A:$AK,23,FALSE),"")</f>
      </c>
      <c r="P386" s="79">
        <f>IFERROR(VLOOKUP($A:$A,CS!$A:$AK,24,FALSE),"")</f>
      </c>
      <c r="Q386" s="79">
        <f>IFERROR(VLOOKUP($A:$A,CS!$A:$AK,25,FALSE),"")</f>
      </c>
      <c r="R386" s="79">
        <f>IFERROR(VLOOKUP($A:$A,CS!$A:$AK,26,FALSE),"")</f>
      </c>
      <c r="S386" s="79">
        <f>IFERROR(VLOOKUP($A:$A,CS!$A:$AK,29,FALSE),"")</f>
      </c>
      <c r="T386" s="79">
        <f>IFERROR(VLOOKUP($A:$A,CS!$A:$AK,33,FALSE),"")</f>
      </c>
      <c r="U386" s="79">
        <f>IFERROR(VLOOKUP($A:$A,CS!$A:$AK,34,FALSE),"")</f>
      </c>
      <c r="V386" s="79">
        <f>IFERROR(VLOOKUP($A:$A,CS!$A:$AK,35,FALSE),"")</f>
      </c>
      <c r="W386" s="79">
        <f>IFERROR(VLOOKUP($A:$A,CS!$A:$AK,36,FALSE),"")</f>
      </c>
    </row>
    <row r="387" ht="16.5" customHeight="1" spans="1:23" x14ac:dyDescent="0.25">
      <c r="A387" s="93"/>
      <c r="B387" s="79">
        <f>IFERROR(VLOOKUP($A:$A,CS!$A:$AK,3,FALSE),"")</f>
      </c>
      <c r="C387" s="79">
        <f>IFERROR(VLOOKUP($A:$A,CS!$A:$AK,4,FALSE),"")</f>
      </c>
      <c r="D387" s="79">
        <f>IFERROR(VLOOKUP($A:$A,CS!$A:$AK,5,FALSE),"")</f>
      </c>
      <c r="E387" s="79">
        <f>IFERROR(VLOOKUP($A:$A,CS!$A:$AK,7,FALSE),"")</f>
      </c>
      <c r="F387" s="79">
        <f>IFERROR(VLOOKUP($A:$A,CS!$A:$AK,8,FALSE),"")</f>
      </c>
      <c r="G387" s="79">
        <f>IFERROR(VLOOKUP($A:$A,CS!$A:$AK,10,FALSE),"")</f>
      </c>
      <c r="H387" s="79">
        <f>IFERROR(VLOOKUP($A:$A,CS!$A:$AK,14,FALSE),"")</f>
      </c>
      <c r="I387" s="79">
        <f>IFERROR(VLOOKUP($A:$A,CS!$A:$AK,15,FALSE),"")</f>
      </c>
      <c r="J387" s="79">
        <f>IFERROR(VLOOKUP($A:$A,CS!$A:$AK,18,FALSE),"")</f>
      </c>
      <c r="K387" s="79">
        <f>IFERROR(VLOOKUP($A:$A,CS!$A:$AK,19,FALSE),"")</f>
      </c>
      <c r="L387" s="79">
        <f>IFERROR(VLOOKUP($A:$A,CS!$A:$AK,20,FALSE),"")</f>
      </c>
      <c r="M387" s="79">
        <f>IFERROR(VLOOKUP($A:$A,CS!$A:$AK,22,FALSE),"")</f>
      </c>
      <c r="N387" s="79">
        <f>IFERROR(VLOOKUP($A:$A,CS!$A:$AK,19,FALSE),"")</f>
      </c>
      <c r="O387" s="79">
        <f>IFERROR(VLOOKUP($A:$A,CS!$A:$AK,23,FALSE),"")</f>
      </c>
      <c r="P387" s="79">
        <f>IFERROR(VLOOKUP($A:$A,CS!$A:$AK,24,FALSE),"")</f>
      </c>
      <c r="Q387" s="79">
        <f>IFERROR(VLOOKUP($A:$A,CS!$A:$AK,25,FALSE),"")</f>
      </c>
      <c r="R387" s="79">
        <f>IFERROR(VLOOKUP($A:$A,CS!$A:$AK,26,FALSE),"")</f>
      </c>
      <c r="S387" s="79">
        <f>IFERROR(VLOOKUP($A:$A,CS!$A:$AK,29,FALSE),"")</f>
      </c>
      <c r="T387" s="79">
        <f>IFERROR(VLOOKUP($A:$A,CS!$A:$AK,33,FALSE),"")</f>
      </c>
      <c r="U387" s="79">
        <f>IFERROR(VLOOKUP($A:$A,CS!$A:$AK,34,FALSE),"")</f>
      </c>
      <c r="V387" s="79">
        <f>IFERROR(VLOOKUP($A:$A,CS!$A:$AK,35,FALSE),"")</f>
      </c>
      <c r="W387" s="79">
        <f>IFERROR(VLOOKUP($A:$A,CS!$A:$AK,36,FALSE),"")</f>
      </c>
    </row>
    <row r="388" ht="16.5" customHeight="1" spans="1:23" x14ac:dyDescent="0.25">
      <c r="A388" s="93"/>
      <c r="B388" s="79">
        <f>IFERROR(VLOOKUP($A:$A,CS!$A:$AK,3,FALSE),"")</f>
      </c>
      <c r="C388" s="79">
        <f>IFERROR(VLOOKUP($A:$A,CS!$A:$AK,4,FALSE),"")</f>
      </c>
      <c r="D388" s="79">
        <f>IFERROR(VLOOKUP($A:$A,CS!$A:$AK,5,FALSE),"")</f>
      </c>
      <c r="E388" s="79">
        <f>IFERROR(VLOOKUP($A:$A,CS!$A:$AK,7,FALSE),"")</f>
      </c>
      <c r="F388" s="79">
        <f>IFERROR(VLOOKUP($A:$A,CS!$A:$AK,8,FALSE),"")</f>
      </c>
      <c r="G388" s="79">
        <f>IFERROR(VLOOKUP($A:$A,CS!$A:$AK,10,FALSE),"")</f>
      </c>
      <c r="H388" s="79">
        <f>IFERROR(VLOOKUP($A:$A,CS!$A:$AK,14,FALSE),"")</f>
      </c>
      <c r="I388" s="79">
        <f>IFERROR(VLOOKUP($A:$A,CS!$A:$AK,15,FALSE),"")</f>
      </c>
      <c r="J388" s="79">
        <f>IFERROR(VLOOKUP($A:$A,CS!$A:$AK,18,FALSE),"")</f>
      </c>
      <c r="K388" s="79">
        <f>IFERROR(VLOOKUP($A:$A,CS!$A:$AK,19,FALSE),"")</f>
      </c>
      <c r="L388" s="79">
        <f>IFERROR(VLOOKUP($A:$A,CS!$A:$AK,20,FALSE),"")</f>
      </c>
      <c r="M388" s="79">
        <f>IFERROR(VLOOKUP($A:$A,CS!$A:$AK,22,FALSE),"")</f>
      </c>
      <c r="N388" s="79">
        <f>IFERROR(VLOOKUP($A:$A,CS!$A:$AK,19,FALSE),"")</f>
      </c>
      <c r="O388" s="79">
        <f>IFERROR(VLOOKUP($A:$A,CS!$A:$AK,23,FALSE),"")</f>
      </c>
      <c r="P388" s="79">
        <f>IFERROR(VLOOKUP($A:$A,CS!$A:$AK,24,FALSE),"")</f>
      </c>
      <c r="Q388" s="79">
        <f>IFERROR(VLOOKUP($A:$A,CS!$A:$AK,25,FALSE),"")</f>
      </c>
      <c r="R388" s="79">
        <f>IFERROR(VLOOKUP($A:$A,CS!$A:$AK,26,FALSE),"")</f>
      </c>
      <c r="S388" s="79">
        <f>IFERROR(VLOOKUP($A:$A,CS!$A:$AK,29,FALSE),"")</f>
      </c>
      <c r="T388" s="79">
        <f>IFERROR(VLOOKUP($A:$A,CS!$A:$AK,33,FALSE),"")</f>
      </c>
      <c r="U388" s="79">
        <f>IFERROR(VLOOKUP($A:$A,CS!$A:$AK,34,FALSE),"")</f>
      </c>
      <c r="V388" s="79">
        <f>IFERROR(VLOOKUP($A:$A,CS!$A:$AK,35,FALSE),"")</f>
      </c>
      <c r="W388" s="79">
        <f>IFERROR(VLOOKUP($A:$A,CS!$A:$AK,36,FALSE),"")</f>
      </c>
    </row>
    <row r="389" ht="16.5" customHeight="1" spans="1:23" x14ac:dyDescent="0.25">
      <c r="A389" s="93"/>
      <c r="B389" s="79">
        <f>IFERROR(VLOOKUP($A:$A,CS!$A:$AK,3,FALSE),"")</f>
      </c>
      <c r="C389" s="79">
        <f>IFERROR(VLOOKUP($A:$A,CS!$A:$AK,4,FALSE),"")</f>
      </c>
      <c r="D389" s="79">
        <f>IFERROR(VLOOKUP($A:$A,CS!$A:$AK,5,FALSE),"")</f>
      </c>
      <c r="E389" s="79">
        <f>IFERROR(VLOOKUP($A:$A,CS!$A:$AK,7,FALSE),"")</f>
      </c>
      <c r="F389" s="79">
        <f>IFERROR(VLOOKUP($A:$A,CS!$A:$AK,8,FALSE),"")</f>
      </c>
      <c r="G389" s="79">
        <f>IFERROR(VLOOKUP($A:$A,CS!$A:$AK,10,FALSE),"")</f>
      </c>
      <c r="H389" s="79">
        <f>IFERROR(VLOOKUP($A:$A,CS!$A:$AK,14,FALSE),"")</f>
      </c>
      <c r="I389" s="79">
        <f>IFERROR(VLOOKUP($A:$A,CS!$A:$AK,15,FALSE),"")</f>
      </c>
      <c r="J389" s="79">
        <f>IFERROR(VLOOKUP($A:$A,CS!$A:$AK,18,FALSE),"")</f>
      </c>
      <c r="K389" s="79">
        <f>IFERROR(VLOOKUP($A:$A,CS!$A:$AK,19,FALSE),"")</f>
      </c>
      <c r="L389" s="79">
        <f>IFERROR(VLOOKUP($A:$A,CS!$A:$AK,20,FALSE),"")</f>
      </c>
      <c r="M389" s="79">
        <f>IFERROR(VLOOKUP($A:$A,CS!$A:$AK,22,FALSE),"")</f>
      </c>
      <c r="N389" s="79">
        <f>IFERROR(VLOOKUP($A:$A,CS!$A:$AK,19,FALSE),"")</f>
      </c>
      <c r="O389" s="79">
        <f>IFERROR(VLOOKUP($A:$A,CS!$A:$AK,23,FALSE),"")</f>
      </c>
      <c r="P389" s="79">
        <f>IFERROR(VLOOKUP($A:$A,CS!$A:$AK,24,FALSE),"")</f>
      </c>
      <c r="Q389" s="79">
        <f>IFERROR(VLOOKUP($A:$A,CS!$A:$AK,25,FALSE),"")</f>
      </c>
      <c r="R389" s="79">
        <f>IFERROR(VLOOKUP($A:$A,CS!$A:$AK,26,FALSE),"")</f>
      </c>
      <c r="S389" s="79">
        <f>IFERROR(VLOOKUP($A:$A,CS!$A:$AK,29,FALSE),"")</f>
      </c>
      <c r="T389" s="79">
        <f>IFERROR(VLOOKUP($A:$A,CS!$A:$AK,33,FALSE),"")</f>
      </c>
      <c r="U389" s="79">
        <f>IFERROR(VLOOKUP($A:$A,CS!$A:$AK,34,FALSE),"")</f>
      </c>
      <c r="V389" s="79">
        <f>IFERROR(VLOOKUP($A:$A,CS!$A:$AK,35,FALSE),"")</f>
      </c>
      <c r="W389" s="79">
        <f>IFERROR(VLOOKUP($A:$A,CS!$A:$AK,36,FALSE),"")</f>
      </c>
    </row>
    <row r="390" ht="16.5" customHeight="1" spans="1:23" x14ac:dyDescent="0.25">
      <c r="A390" s="93"/>
      <c r="B390" s="79">
        <f>IFERROR(VLOOKUP($A:$A,CS!$A:$AK,3,FALSE),"")</f>
      </c>
      <c r="C390" s="79">
        <f>IFERROR(VLOOKUP($A:$A,CS!$A:$AK,4,FALSE),"")</f>
      </c>
      <c r="D390" s="79">
        <f>IFERROR(VLOOKUP($A:$A,CS!$A:$AK,5,FALSE),"")</f>
      </c>
      <c r="E390" s="79">
        <f>IFERROR(VLOOKUP($A:$A,CS!$A:$AK,7,FALSE),"")</f>
      </c>
      <c r="F390" s="79">
        <f>IFERROR(VLOOKUP($A:$A,CS!$A:$AK,8,FALSE),"")</f>
      </c>
      <c r="G390" s="79">
        <f>IFERROR(VLOOKUP($A:$A,CS!$A:$AK,10,FALSE),"")</f>
      </c>
      <c r="H390" s="79">
        <f>IFERROR(VLOOKUP($A:$A,CS!$A:$AK,14,FALSE),"")</f>
      </c>
      <c r="I390" s="79">
        <f>IFERROR(VLOOKUP($A:$A,CS!$A:$AK,15,FALSE),"")</f>
      </c>
      <c r="J390" s="79">
        <f>IFERROR(VLOOKUP($A:$A,CS!$A:$AK,18,FALSE),"")</f>
      </c>
      <c r="K390" s="79">
        <f>IFERROR(VLOOKUP($A:$A,CS!$A:$AK,19,FALSE),"")</f>
      </c>
      <c r="L390" s="79">
        <f>IFERROR(VLOOKUP($A:$A,CS!$A:$AK,20,FALSE),"")</f>
      </c>
      <c r="M390" s="79">
        <f>IFERROR(VLOOKUP($A:$A,CS!$A:$AK,22,FALSE),"")</f>
      </c>
      <c r="N390" s="79">
        <f>IFERROR(VLOOKUP($A:$A,CS!$A:$AK,19,FALSE),"")</f>
      </c>
      <c r="O390" s="79">
        <f>IFERROR(VLOOKUP($A:$A,CS!$A:$AK,23,FALSE),"")</f>
      </c>
      <c r="P390" s="79">
        <f>IFERROR(VLOOKUP($A:$A,CS!$A:$AK,24,FALSE),"")</f>
      </c>
      <c r="Q390" s="79">
        <f>IFERROR(VLOOKUP($A:$A,CS!$A:$AK,25,FALSE),"")</f>
      </c>
      <c r="R390" s="79">
        <f>IFERROR(VLOOKUP($A:$A,CS!$A:$AK,26,FALSE),"")</f>
      </c>
      <c r="S390" s="79">
        <f>IFERROR(VLOOKUP($A:$A,CS!$A:$AK,29,FALSE),"")</f>
      </c>
      <c r="T390" s="79">
        <f>IFERROR(VLOOKUP($A:$A,CS!$A:$AK,33,FALSE),"")</f>
      </c>
      <c r="U390" s="79">
        <f>IFERROR(VLOOKUP($A:$A,CS!$A:$AK,34,FALSE),"")</f>
      </c>
      <c r="V390" s="79">
        <f>IFERROR(VLOOKUP($A:$A,CS!$A:$AK,35,FALSE),"")</f>
      </c>
      <c r="W390" s="79">
        <f>IFERROR(VLOOKUP($A:$A,CS!$A:$AK,36,FALSE),"")</f>
      </c>
    </row>
    <row r="391" ht="16.5" customHeight="1" spans="1:23" x14ac:dyDescent="0.25">
      <c r="A391" s="93"/>
      <c r="B391" s="79">
        <f>IFERROR(VLOOKUP($A:$A,CS!$A:$AK,3,FALSE),"")</f>
      </c>
      <c r="C391" s="79">
        <f>IFERROR(VLOOKUP($A:$A,CS!$A:$AK,4,FALSE),"")</f>
      </c>
      <c r="D391" s="79">
        <f>IFERROR(VLOOKUP($A:$A,CS!$A:$AK,5,FALSE),"")</f>
      </c>
      <c r="E391" s="79">
        <f>IFERROR(VLOOKUP($A:$A,CS!$A:$AK,7,FALSE),"")</f>
      </c>
      <c r="F391" s="79">
        <f>IFERROR(VLOOKUP($A:$A,CS!$A:$AK,8,FALSE),"")</f>
      </c>
      <c r="G391" s="79">
        <f>IFERROR(VLOOKUP($A:$A,CS!$A:$AK,10,FALSE),"")</f>
      </c>
      <c r="H391" s="79">
        <f>IFERROR(VLOOKUP($A:$A,CS!$A:$AK,14,FALSE),"")</f>
      </c>
      <c r="I391" s="79">
        <f>IFERROR(VLOOKUP($A:$A,CS!$A:$AK,15,FALSE),"")</f>
      </c>
      <c r="J391" s="79">
        <f>IFERROR(VLOOKUP($A:$A,CS!$A:$AK,18,FALSE),"")</f>
      </c>
      <c r="K391" s="79">
        <f>IFERROR(VLOOKUP($A:$A,CS!$A:$AK,19,FALSE),"")</f>
      </c>
      <c r="L391" s="79">
        <f>IFERROR(VLOOKUP($A:$A,CS!$A:$AK,20,FALSE),"")</f>
      </c>
      <c r="M391" s="79">
        <f>IFERROR(VLOOKUP($A:$A,CS!$A:$AK,22,FALSE),"")</f>
      </c>
      <c r="N391" s="79">
        <f>IFERROR(VLOOKUP($A:$A,CS!$A:$AK,19,FALSE),"")</f>
      </c>
      <c r="O391" s="79">
        <f>IFERROR(VLOOKUP($A:$A,CS!$A:$AK,23,FALSE),"")</f>
      </c>
      <c r="P391" s="79">
        <f>IFERROR(VLOOKUP($A:$A,CS!$A:$AK,24,FALSE),"")</f>
      </c>
      <c r="Q391" s="79">
        <f>IFERROR(VLOOKUP($A:$A,CS!$A:$AK,25,FALSE),"")</f>
      </c>
      <c r="R391" s="79">
        <f>IFERROR(VLOOKUP($A:$A,CS!$A:$AK,26,FALSE),"")</f>
      </c>
      <c r="S391" s="79">
        <f>IFERROR(VLOOKUP($A:$A,CS!$A:$AK,29,FALSE),"")</f>
      </c>
      <c r="T391" s="79">
        <f>IFERROR(VLOOKUP($A:$A,CS!$A:$AK,33,FALSE),"")</f>
      </c>
      <c r="U391" s="79">
        <f>IFERROR(VLOOKUP($A:$A,CS!$A:$AK,34,FALSE),"")</f>
      </c>
      <c r="V391" s="79">
        <f>IFERROR(VLOOKUP($A:$A,CS!$A:$AK,35,FALSE),"")</f>
      </c>
      <c r="W391" s="79">
        <f>IFERROR(VLOOKUP($A:$A,CS!$A:$AK,36,FALSE),"")</f>
      </c>
    </row>
    <row r="392" ht="16.5" customHeight="1" spans="1:23" x14ac:dyDescent="0.25">
      <c r="A392" s="93"/>
      <c r="B392" s="79">
        <f>IFERROR(VLOOKUP($A:$A,CS!$A:$AK,3,FALSE),"")</f>
      </c>
      <c r="C392" s="79">
        <f>IFERROR(VLOOKUP($A:$A,CS!$A:$AK,4,FALSE),"")</f>
      </c>
      <c r="D392" s="79">
        <f>IFERROR(VLOOKUP($A:$A,CS!$A:$AK,5,FALSE),"")</f>
      </c>
      <c r="E392" s="79">
        <f>IFERROR(VLOOKUP($A:$A,CS!$A:$AK,7,FALSE),"")</f>
      </c>
      <c r="F392" s="79">
        <f>IFERROR(VLOOKUP($A:$A,CS!$A:$AK,8,FALSE),"")</f>
      </c>
      <c r="G392" s="79">
        <f>IFERROR(VLOOKUP($A:$A,CS!$A:$AK,10,FALSE),"")</f>
      </c>
      <c r="H392" s="79">
        <f>IFERROR(VLOOKUP($A:$A,CS!$A:$AK,14,FALSE),"")</f>
      </c>
      <c r="I392" s="79">
        <f>IFERROR(VLOOKUP($A:$A,CS!$A:$AK,15,FALSE),"")</f>
      </c>
      <c r="J392" s="79">
        <f>IFERROR(VLOOKUP($A:$A,CS!$A:$AK,18,FALSE),"")</f>
      </c>
      <c r="K392" s="79">
        <f>IFERROR(VLOOKUP($A:$A,CS!$A:$AK,19,FALSE),"")</f>
      </c>
      <c r="L392" s="79">
        <f>IFERROR(VLOOKUP($A:$A,CS!$A:$AK,20,FALSE),"")</f>
      </c>
      <c r="M392" s="79">
        <f>IFERROR(VLOOKUP($A:$A,CS!$A:$AK,22,FALSE),"")</f>
      </c>
      <c r="N392" s="79">
        <f>IFERROR(VLOOKUP($A:$A,CS!$A:$AK,19,FALSE),"")</f>
      </c>
      <c r="O392" s="79">
        <f>IFERROR(VLOOKUP($A:$A,CS!$A:$AK,23,FALSE),"")</f>
      </c>
      <c r="P392" s="79">
        <f>IFERROR(VLOOKUP($A:$A,CS!$A:$AK,24,FALSE),"")</f>
      </c>
      <c r="Q392" s="79">
        <f>IFERROR(VLOOKUP($A:$A,CS!$A:$AK,25,FALSE),"")</f>
      </c>
      <c r="R392" s="79">
        <f>IFERROR(VLOOKUP($A:$A,CS!$A:$AK,26,FALSE),"")</f>
      </c>
      <c r="S392" s="79">
        <f>IFERROR(VLOOKUP($A:$A,CS!$A:$AK,29,FALSE),"")</f>
      </c>
      <c r="T392" s="79">
        <f>IFERROR(VLOOKUP($A:$A,CS!$A:$AK,33,FALSE),"")</f>
      </c>
      <c r="U392" s="79">
        <f>IFERROR(VLOOKUP($A:$A,CS!$A:$AK,34,FALSE),"")</f>
      </c>
      <c r="V392" s="79">
        <f>IFERROR(VLOOKUP($A:$A,CS!$A:$AK,35,FALSE),"")</f>
      </c>
      <c r="W392" s="79">
        <f>IFERROR(VLOOKUP($A:$A,CS!$A:$AK,36,FALSE),"")</f>
      </c>
    </row>
    <row r="393" ht="16.5" customHeight="1" spans="1:23" x14ac:dyDescent="0.25">
      <c r="A393" s="93"/>
      <c r="B393" s="79">
        <f>IFERROR(VLOOKUP($A:$A,CS!$A:$AK,3,FALSE),"")</f>
      </c>
      <c r="C393" s="79">
        <f>IFERROR(VLOOKUP($A:$A,CS!$A:$AK,4,FALSE),"")</f>
      </c>
      <c r="D393" s="79">
        <f>IFERROR(VLOOKUP($A:$A,CS!$A:$AK,5,FALSE),"")</f>
      </c>
      <c r="E393" s="79">
        <f>IFERROR(VLOOKUP($A:$A,CS!$A:$AK,7,FALSE),"")</f>
      </c>
      <c r="F393" s="79">
        <f>IFERROR(VLOOKUP($A:$A,CS!$A:$AK,8,FALSE),"")</f>
      </c>
      <c r="G393" s="79">
        <f>IFERROR(VLOOKUP($A:$A,CS!$A:$AK,10,FALSE),"")</f>
      </c>
      <c r="H393" s="79">
        <f>IFERROR(VLOOKUP($A:$A,CS!$A:$AK,14,FALSE),"")</f>
      </c>
      <c r="I393" s="79">
        <f>IFERROR(VLOOKUP($A:$A,CS!$A:$AK,15,FALSE),"")</f>
      </c>
      <c r="J393" s="79">
        <f>IFERROR(VLOOKUP($A:$A,CS!$A:$AK,18,FALSE),"")</f>
      </c>
      <c r="K393" s="79">
        <f>IFERROR(VLOOKUP($A:$A,CS!$A:$AK,19,FALSE),"")</f>
      </c>
      <c r="L393" s="79">
        <f>IFERROR(VLOOKUP($A:$A,CS!$A:$AK,20,FALSE),"")</f>
      </c>
      <c r="M393" s="79">
        <f>IFERROR(VLOOKUP($A:$A,CS!$A:$AK,22,FALSE),"")</f>
      </c>
      <c r="N393" s="79">
        <f>IFERROR(VLOOKUP($A:$A,CS!$A:$AK,19,FALSE),"")</f>
      </c>
      <c r="O393" s="79">
        <f>IFERROR(VLOOKUP($A:$A,CS!$A:$AK,23,FALSE),"")</f>
      </c>
      <c r="P393" s="79">
        <f>IFERROR(VLOOKUP($A:$A,CS!$A:$AK,24,FALSE),"")</f>
      </c>
      <c r="Q393" s="79">
        <f>IFERROR(VLOOKUP($A:$A,CS!$A:$AK,25,FALSE),"")</f>
      </c>
      <c r="R393" s="79">
        <f>IFERROR(VLOOKUP($A:$A,CS!$A:$AK,26,FALSE),"")</f>
      </c>
      <c r="S393" s="79">
        <f>IFERROR(VLOOKUP($A:$A,CS!$A:$AK,29,FALSE),"")</f>
      </c>
      <c r="T393" s="79">
        <f>IFERROR(VLOOKUP($A:$A,CS!$A:$AK,33,FALSE),"")</f>
      </c>
      <c r="U393" s="79">
        <f>IFERROR(VLOOKUP($A:$A,CS!$A:$AK,34,FALSE),"")</f>
      </c>
      <c r="V393" s="79">
        <f>IFERROR(VLOOKUP($A:$A,CS!$A:$AK,35,FALSE),"")</f>
      </c>
      <c r="W393" s="79">
        <f>IFERROR(VLOOKUP($A:$A,CS!$A:$AK,36,FALSE),"")</f>
      </c>
    </row>
    <row r="394" ht="16.5" customHeight="1" spans="1:23" x14ac:dyDescent="0.25">
      <c r="A394" s="93"/>
      <c r="B394" s="79">
        <f>IFERROR(VLOOKUP($A:$A,CS!$A:$AK,3,FALSE),"")</f>
      </c>
      <c r="C394" s="79">
        <f>IFERROR(VLOOKUP($A:$A,CS!$A:$AK,4,FALSE),"")</f>
      </c>
      <c r="D394" s="79">
        <f>IFERROR(VLOOKUP($A:$A,CS!$A:$AK,5,FALSE),"")</f>
      </c>
      <c r="E394" s="79">
        <f>IFERROR(VLOOKUP($A:$A,CS!$A:$AK,7,FALSE),"")</f>
      </c>
      <c r="F394" s="79">
        <f>IFERROR(VLOOKUP($A:$A,CS!$A:$AK,8,FALSE),"")</f>
      </c>
      <c r="G394" s="79">
        <f>IFERROR(VLOOKUP($A:$A,CS!$A:$AK,10,FALSE),"")</f>
      </c>
      <c r="H394" s="79">
        <f>IFERROR(VLOOKUP($A:$A,CS!$A:$AK,14,FALSE),"")</f>
      </c>
      <c r="I394" s="79">
        <f>IFERROR(VLOOKUP($A:$A,CS!$A:$AK,15,FALSE),"")</f>
      </c>
      <c r="J394" s="79">
        <f>IFERROR(VLOOKUP($A:$A,CS!$A:$AK,18,FALSE),"")</f>
      </c>
      <c r="K394" s="79">
        <f>IFERROR(VLOOKUP($A:$A,CS!$A:$AK,19,FALSE),"")</f>
      </c>
      <c r="L394" s="79">
        <f>IFERROR(VLOOKUP($A:$A,CS!$A:$AK,20,FALSE),"")</f>
      </c>
      <c r="M394" s="79">
        <f>IFERROR(VLOOKUP($A:$A,CS!$A:$AK,22,FALSE),"")</f>
      </c>
      <c r="N394" s="79">
        <f>IFERROR(VLOOKUP($A:$A,CS!$A:$AK,19,FALSE),"")</f>
      </c>
      <c r="O394" s="79">
        <f>IFERROR(VLOOKUP($A:$A,CS!$A:$AK,23,FALSE),"")</f>
      </c>
      <c r="P394" s="79">
        <f>IFERROR(VLOOKUP($A:$A,CS!$A:$AK,24,FALSE),"")</f>
      </c>
      <c r="Q394" s="79">
        <f>IFERROR(VLOOKUP($A:$A,CS!$A:$AK,25,FALSE),"")</f>
      </c>
      <c r="R394" s="79">
        <f>IFERROR(VLOOKUP($A:$A,CS!$A:$AK,26,FALSE),"")</f>
      </c>
      <c r="S394" s="79">
        <f>IFERROR(VLOOKUP($A:$A,CS!$A:$AK,29,FALSE),"")</f>
      </c>
      <c r="T394" s="79">
        <f>IFERROR(VLOOKUP($A:$A,CS!$A:$AK,33,FALSE),"")</f>
      </c>
      <c r="U394" s="79">
        <f>IFERROR(VLOOKUP($A:$A,CS!$A:$AK,34,FALSE),"")</f>
      </c>
      <c r="V394" s="79">
        <f>IFERROR(VLOOKUP($A:$A,CS!$A:$AK,35,FALSE),"")</f>
      </c>
      <c r="W394" s="79">
        <f>IFERROR(VLOOKUP($A:$A,CS!$A:$AK,36,FALSE),"")</f>
      </c>
    </row>
    <row r="395" ht="16.5" customHeight="1" spans="1:23" x14ac:dyDescent="0.25">
      <c r="A395" s="93"/>
      <c r="B395" s="79">
        <f>IFERROR(VLOOKUP($A:$A,CS!$A:$AK,3,FALSE),"")</f>
      </c>
      <c r="C395" s="79">
        <f>IFERROR(VLOOKUP($A:$A,CS!$A:$AK,4,FALSE),"")</f>
      </c>
      <c r="D395" s="79">
        <f>IFERROR(VLOOKUP($A:$A,CS!$A:$AK,5,FALSE),"")</f>
      </c>
      <c r="E395" s="79">
        <f>IFERROR(VLOOKUP($A:$A,CS!$A:$AK,7,FALSE),"")</f>
      </c>
      <c r="F395" s="79">
        <f>IFERROR(VLOOKUP($A:$A,CS!$A:$AK,8,FALSE),"")</f>
      </c>
      <c r="G395" s="79">
        <f>IFERROR(VLOOKUP($A:$A,CS!$A:$AK,10,FALSE),"")</f>
      </c>
      <c r="H395" s="79">
        <f>IFERROR(VLOOKUP($A:$A,CS!$A:$AK,14,FALSE),"")</f>
      </c>
      <c r="I395" s="79">
        <f>IFERROR(VLOOKUP($A:$A,CS!$A:$AK,15,FALSE),"")</f>
      </c>
      <c r="J395" s="79">
        <f>IFERROR(VLOOKUP($A:$A,CS!$A:$AK,18,FALSE),"")</f>
      </c>
      <c r="K395" s="79">
        <f>IFERROR(VLOOKUP($A:$A,CS!$A:$AK,19,FALSE),"")</f>
      </c>
      <c r="L395" s="79">
        <f>IFERROR(VLOOKUP($A:$A,CS!$A:$AK,20,FALSE),"")</f>
      </c>
      <c r="M395" s="79">
        <f>IFERROR(VLOOKUP($A:$A,CS!$A:$AK,22,FALSE),"")</f>
      </c>
      <c r="N395" s="79">
        <f>IFERROR(VLOOKUP($A:$A,CS!$A:$AK,19,FALSE),"")</f>
      </c>
      <c r="O395" s="79">
        <f>IFERROR(VLOOKUP($A:$A,CS!$A:$AK,23,FALSE),"")</f>
      </c>
      <c r="P395" s="79">
        <f>IFERROR(VLOOKUP($A:$A,CS!$A:$AK,24,FALSE),"")</f>
      </c>
      <c r="Q395" s="79">
        <f>IFERROR(VLOOKUP($A:$A,CS!$A:$AK,25,FALSE),"")</f>
      </c>
      <c r="R395" s="79">
        <f>IFERROR(VLOOKUP($A:$A,CS!$A:$AK,26,FALSE),"")</f>
      </c>
      <c r="S395" s="79">
        <f>IFERROR(VLOOKUP($A:$A,CS!$A:$AK,29,FALSE),"")</f>
      </c>
      <c r="T395" s="79">
        <f>IFERROR(VLOOKUP($A:$A,CS!$A:$AK,33,FALSE),"")</f>
      </c>
      <c r="U395" s="79">
        <f>IFERROR(VLOOKUP($A:$A,CS!$A:$AK,34,FALSE),"")</f>
      </c>
      <c r="V395" s="79">
        <f>IFERROR(VLOOKUP($A:$A,CS!$A:$AK,35,FALSE),"")</f>
      </c>
      <c r="W395" s="79">
        <f>IFERROR(VLOOKUP($A:$A,CS!$A:$AK,36,FALSE),"")</f>
      </c>
    </row>
    <row r="396" ht="16.5" customHeight="1" spans="1:23" x14ac:dyDescent="0.25">
      <c r="A396" s="93"/>
      <c r="B396" s="79">
        <f>IFERROR(VLOOKUP($A:$A,CS!$A:$AK,3,FALSE),"")</f>
      </c>
      <c r="C396" s="79">
        <f>IFERROR(VLOOKUP($A:$A,CS!$A:$AK,4,FALSE),"")</f>
      </c>
      <c r="D396" s="79">
        <f>IFERROR(VLOOKUP($A:$A,CS!$A:$AK,5,FALSE),"")</f>
      </c>
      <c r="E396" s="79">
        <f>IFERROR(VLOOKUP($A:$A,CS!$A:$AK,7,FALSE),"")</f>
      </c>
      <c r="F396" s="79">
        <f>IFERROR(VLOOKUP($A:$A,CS!$A:$AK,8,FALSE),"")</f>
      </c>
      <c r="G396" s="79">
        <f>IFERROR(VLOOKUP($A:$A,CS!$A:$AK,10,FALSE),"")</f>
      </c>
      <c r="H396" s="79">
        <f>IFERROR(VLOOKUP($A:$A,CS!$A:$AK,14,FALSE),"")</f>
      </c>
      <c r="I396" s="79">
        <f>IFERROR(VLOOKUP($A:$A,CS!$A:$AK,15,FALSE),"")</f>
      </c>
      <c r="J396" s="79">
        <f>IFERROR(VLOOKUP($A:$A,CS!$A:$AK,18,FALSE),"")</f>
      </c>
      <c r="K396" s="79">
        <f>IFERROR(VLOOKUP($A:$A,CS!$A:$AK,19,FALSE),"")</f>
      </c>
      <c r="L396" s="79">
        <f>IFERROR(VLOOKUP($A:$A,CS!$A:$AK,20,FALSE),"")</f>
      </c>
      <c r="M396" s="79">
        <f>IFERROR(VLOOKUP($A:$A,CS!$A:$AK,22,FALSE),"")</f>
      </c>
      <c r="N396" s="79">
        <f>IFERROR(VLOOKUP($A:$A,CS!$A:$AK,19,FALSE),"")</f>
      </c>
      <c r="O396" s="79">
        <f>IFERROR(VLOOKUP($A:$A,CS!$A:$AK,23,FALSE),"")</f>
      </c>
      <c r="P396" s="79">
        <f>IFERROR(VLOOKUP($A:$A,CS!$A:$AK,24,FALSE),"")</f>
      </c>
      <c r="Q396" s="79">
        <f>IFERROR(VLOOKUP($A:$A,CS!$A:$AK,25,FALSE),"")</f>
      </c>
      <c r="R396" s="79">
        <f>IFERROR(VLOOKUP($A:$A,CS!$A:$AK,26,FALSE),"")</f>
      </c>
      <c r="S396" s="79">
        <f>IFERROR(VLOOKUP($A:$A,CS!$A:$AK,29,FALSE),"")</f>
      </c>
      <c r="T396" s="79">
        <f>IFERROR(VLOOKUP($A:$A,CS!$A:$AK,33,FALSE),"")</f>
      </c>
      <c r="U396" s="79">
        <f>IFERROR(VLOOKUP($A:$A,CS!$A:$AK,34,FALSE),"")</f>
      </c>
      <c r="V396" s="79">
        <f>IFERROR(VLOOKUP($A:$A,CS!$A:$AK,35,FALSE),"")</f>
      </c>
      <c r="W396" s="79">
        <f>IFERROR(VLOOKUP($A:$A,CS!$A:$AK,36,FALSE),"")</f>
      </c>
    </row>
    <row r="397" ht="16.5" customHeight="1" spans="1:23" x14ac:dyDescent="0.25">
      <c r="A397" s="93"/>
      <c r="B397" s="79">
        <f>IFERROR(VLOOKUP($A:$A,CS!$A:$AK,3,FALSE),"")</f>
      </c>
      <c r="C397" s="79">
        <f>IFERROR(VLOOKUP($A:$A,CS!$A:$AK,4,FALSE),"")</f>
      </c>
      <c r="D397" s="79">
        <f>IFERROR(VLOOKUP($A:$A,CS!$A:$AK,5,FALSE),"")</f>
      </c>
      <c r="E397" s="79">
        <f>IFERROR(VLOOKUP($A:$A,CS!$A:$AK,7,FALSE),"")</f>
      </c>
      <c r="F397" s="79">
        <f>IFERROR(VLOOKUP($A:$A,CS!$A:$AK,8,FALSE),"")</f>
      </c>
      <c r="G397" s="79">
        <f>IFERROR(VLOOKUP($A:$A,CS!$A:$AK,10,FALSE),"")</f>
      </c>
      <c r="H397" s="79">
        <f>IFERROR(VLOOKUP($A:$A,CS!$A:$AK,14,FALSE),"")</f>
      </c>
      <c r="I397" s="79">
        <f>IFERROR(VLOOKUP($A:$A,CS!$A:$AK,15,FALSE),"")</f>
      </c>
      <c r="J397" s="79">
        <f>IFERROR(VLOOKUP($A:$A,CS!$A:$AK,18,FALSE),"")</f>
      </c>
      <c r="K397" s="79">
        <f>IFERROR(VLOOKUP($A:$A,CS!$A:$AK,19,FALSE),"")</f>
      </c>
      <c r="L397" s="79">
        <f>IFERROR(VLOOKUP($A:$A,CS!$A:$AK,20,FALSE),"")</f>
      </c>
      <c r="M397" s="79">
        <f>IFERROR(VLOOKUP($A:$A,CS!$A:$AK,22,FALSE),"")</f>
      </c>
      <c r="N397" s="79">
        <f>IFERROR(VLOOKUP($A:$A,CS!$A:$AK,19,FALSE),"")</f>
      </c>
      <c r="O397" s="79">
        <f>IFERROR(VLOOKUP($A:$A,CS!$A:$AK,23,FALSE),"")</f>
      </c>
      <c r="P397" s="79">
        <f>IFERROR(VLOOKUP($A:$A,CS!$A:$AK,24,FALSE),"")</f>
      </c>
      <c r="Q397" s="79">
        <f>IFERROR(VLOOKUP($A:$A,CS!$A:$AK,25,FALSE),"")</f>
      </c>
      <c r="R397" s="79">
        <f>IFERROR(VLOOKUP($A:$A,CS!$A:$AK,26,FALSE),"")</f>
      </c>
      <c r="S397" s="79">
        <f>IFERROR(VLOOKUP($A:$A,CS!$A:$AK,29,FALSE),"")</f>
      </c>
      <c r="T397" s="79">
        <f>IFERROR(VLOOKUP($A:$A,CS!$A:$AK,33,FALSE),"")</f>
      </c>
      <c r="U397" s="79">
        <f>IFERROR(VLOOKUP($A:$A,CS!$A:$AK,34,FALSE),"")</f>
      </c>
      <c r="V397" s="79">
        <f>IFERROR(VLOOKUP($A:$A,CS!$A:$AK,35,FALSE),"")</f>
      </c>
      <c r="W397" s="79">
        <f>IFERROR(VLOOKUP($A:$A,CS!$A:$AK,36,FALSE),"")</f>
      </c>
    </row>
    <row r="398" ht="16.5" customHeight="1" spans="1:23" x14ac:dyDescent="0.25">
      <c r="A398" s="93"/>
      <c r="B398" s="79">
        <f>IFERROR(VLOOKUP($A:$A,CS!$A:$AK,3,FALSE),"")</f>
      </c>
      <c r="C398" s="79">
        <f>IFERROR(VLOOKUP($A:$A,CS!$A:$AK,4,FALSE),"")</f>
      </c>
      <c r="D398" s="79">
        <f>IFERROR(VLOOKUP($A:$A,CS!$A:$AK,5,FALSE),"")</f>
      </c>
      <c r="E398" s="79">
        <f>IFERROR(VLOOKUP($A:$A,CS!$A:$AK,7,FALSE),"")</f>
      </c>
      <c r="F398" s="79">
        <f>IFERROR(VLOOKUP($A:$A,CS!$A:$AK,8,FALSE),"")</f>
      </c>
      <c r="G398" s="79">
        <f>IFERROR(VLOOKUP($A:$A,CS!$A:$AK,10,FALSE),"")</f>
      </c>
      <c r="H398" s="79">
        <f>IFERROR(VLOOKUP($A:$A,CS!$A:$AK,14,FALSE),"")</f>
      </c>
      <c r="I398" s="79">
        <f>IFERROR(VLOOKUP($A:$A,CS!$A:$AK,15,FALSE),"")</f>
      </c>
      <c r="J398" s="79">
        <f>IFERROR(VLOOKUP($A:$A,CS!$A:$AK,18,FALSE),"")</f>
      </c>
      <c r="K398" s="79">
        <f>IFERROR(VLOOKUP($A:$A,CS!$A:$AK,19,FALSE),"")</f>
      </c>
      <c r="L398" s="79">
        <f>IFERROR(VLOOKUP($A:$A,CS!$A:$AK,20,FALSE),"")</f>
      </c>
      <c r="M398" s="79">
        <f>IFERROR(VLOOKUP($A:$A,CS!$A:$AK,22,FALSE),"")</f>
      </c>
      <c r="N398" s="79">
        <f>IFERROR(VLOOKUP($A:$A,CS!$A:$AK,19,FALSE),"")</f>
      </c>
      <c r="O398" s="79">
        <f>IFERROR(VLOOKUP($A:$A,CS!$A:$AK,23,FALSE),"")</f>
      </c>
      <c r="P398" s="79">
        <f>IFERROR(VLOOKUP($A:$A,CS!$A:$AK,24,FALSE),"")</f>
      </c>
      <c r="Q398" s="79">
        <f>IFERROR(VLOOKUP($A:$A,CS!$A:$AK,25,FALSE),"")</f>
      </c>
      <c r="R398" s="79">
        <f>IFERROR(VLOOKUP($A:$A,CS!$A:$AK,26,FALSE),"")</f>
      </c>
      <c r="S398" s="79">
        <f>IFERROR(VLOOKUP($A:$A,CS!$A:$AK,29,FALSE),"")</f>
      </c>
      <c r="T398" s="79">
        <f>IFERROR(VLOOKUP($A:$A,CS!$A:$AK,33,FALSE),"")</f>
      </c>
      <c r="U398" s="79">
        <f>IFERROR(VLOOKUP($A:$A,CS!$A:$AK,34,FALSE),"")</f>
      </c>
      <c r="V398" s="79">
        <f>IFERROR(VLOOKUP($A:$A,CS!$A:$AK,35,FALSE),"")</f>
      </c>
      <c r="W398" s="79">
        <f>IFERROR(VLOOKUP($A:$A,CS!$A:$AK,36,FALSE),"")</f>
      </c>
    </row>
    <row r="399" ht="16.5" customHeight="1" spans="1:23" x14ac:dyDescent="0.25">
      <c r="A399" s="93"/>
      <c r="B399" s="79">
        <f>IFERROR(VLOOKUP($A:$A,CS!$A:$AK,3,FALSE),"")</f>
      </c>
      <c r="C399" s="79">
        <f>IFERROR(VLOOKUP($A:$A,CS!$A:$AK,4,FALSE),"")</f>
      </c>
      <c r="D399" s="79">
        <f>IFERROR(VLOOKUP($A:$A,CS!$A:$AK,5,FALSE),"")</f>
      </c>
      <c r="E399" s="79">
        <f>IFERROR(VLOOKUP($A:$A,CS!$A:$AK,7,FALSE),"")</f>
      </c>
      <c r="F399" s="79">
        <f>IFERROR(VLOOKUP($A:$A,CS!$A:$AK,8,FALSE),"")</f>
      </c>
      <c r="G399" s="79">
        <f>IFERROR(VLOOKUP($A:$A,CS!$A:$AK,10,FALSE),"")</f>
      </c>
      <c r="H399" s="79">
        <f>IFERROR(VLOOKUP($A:$A,CS!$A:$AK,14,FALSE),"")</f>
      </c>
      <c r="I399" s="79">
        <f>IFERROR(VLOOKUP($A:$A,CS!$A:$AK,15,FALSE),"")</f>
      </c>
      <c r="J399" s="79">
        <f>IFERROR(VLOOKUP($A:$A,CS!$A:$AK,18,FALSE),"")</f>
      </c>
      <c r="K399" s="79">
        <f>IFERROR(VLOOKUP($A:$A,CS!$A:$AK,19,FALSE),"")</f>
      </c>
      <c r="L399" s="79">
        <f>IFERROR(VLOOKUP($A:$A,CS!$A:$AK,20,FALSE),"")</f>
      </c>
      <c r="M399" s="79">
        <f>IFERROR(VLOOKUP($A:$A,CS!$A:$AK,22,FALSE),"")</f>
      </c>
      <c r="N399" s="79">
        <f>IFERROR(VLOOKUP($A:$A,CS!$A:$AK,19,FALSE),"")</f>
      </c>
      <c r="O399" s="79">
        <f>IFERROR(VLOOKUP($A:$A,CS!$A:$AK,23,FALSE),"")</f>
      </c>
      <c r="P399" s="79">
        <f>IFERROR(VLOOKUP($A:$A,CS!$A:$AK,24,FALSE),"")</f>
      </c>
      <c r="Q399" s="79">
        <f>IFERROR(VLOOKUP($A:$A,CS!$A:$AK,25,FALSE),"")</f>
      </c>
      <c r="R399" s="79">
        <f>IFERROR(VLOOKUP($A:$A,CS!$A:$AK,26,FALSE),"")</f>
      </c>
      <c r="S399" s="79">
        <f>IFERROR(VLOOKUP($A:$A,CS!$A:$AK,29,FALSE),"")</f>
      </c>
      <c r="T399" s="79">
        <f>IFERROR(VLOOKUP($A:$A,CS!$A:$AK,33,FALSE),"")</f>
      </c>
      <c r="U399" s="79">
        <f>IFERROR(VLOOKUP($A:$A,CS!$A:$AK,34,FALSE),"")</f>
      </c>
      <c r="V399" s="79">
        <f>IFERROR(VLOOKUP($A:$A,CS!$A:$AK,35,FALSE),"")</f>
      </c>
      <c r="W399" s="79">
        <f>IFERROR(VLOOKUP($A:$A,CS!$A:$AK,36,FALSE),"")</f>
      </c>
    </row>
    <row r="400" ht="16.5" customHeight="1" spans="1:23" x14ac:dyDescent="0.25">
      <c r="A400" s="93"/>
      <c r="B400" s="79">
        <f>IFERROR(VLOOKUP($A:$A,CS!$A:$AK,3,FALSE),"")</f>
      </c>
      <c r="C400" s="79">
        <f>IFERROR(VLOOKUP($A:$A,CS!$A:$AK,4,FALSE),"")</f>
      </c>
      <c r="D400" s="79">
        <f>IFERROR(VLOOKUP($A:$A,CS!$A:$AK,5,FALSE),"")</f>
      </c>
      <c r="E400" s="79">
        <f>IFERROR(VLOOKUP($A:$A,CS!$A:$AK,7,FALSE),"")</f>
      </c>
      <c r="F400" s="79">
        <f>IFERROR(VLOOKUP($A:$A,CS!$A:$AK,8,FALSE),"")</f>
      </c>
      <c r="G400" s="79">
        <f>IFERROR(VLOOKUP($A:$A,CS!$A:$AK,10,FALSE),"")</f>
      </c>
      <c r="H400" s="79">
        <f>IFERROR(VLOOKUP($A:$A,CS!$A:$AK,14,FALSE),"")</f>
      </c>
      <c r="I400" s="79">
        <f>IFERROR(VLOOKUP($A:$A,CS!$A:$AK,15,FALSE),"")</f>
      </c>
      <c r="J400" s="79">
        <f>IFERROR(VLOOKUP($A:$A,CS!$A:$AK,18,FALSE),"")</f>
      </c>
      <c r="K400" s="79">
        <f>IFERROR(VLOOKUP($A:$A,CS!$A:$AK,19,FALSE),"")</f>
      </c>
      <c r="L400" s="79">
        <f>IFERROR(VLOOKUP($A:$A,CS!$A:$AK,20,FALSE),"")</f>
      </c>
      <c r="M400" s="79">
        <f>IFERROR(VLOOKUP($A:$A,CS!$A:$AK,22,FALSE),"")</f>
      </c>
      <c r="N400" s="79">
        <f>IFERROR(VLOOKUP($A:$A,CS!$A:$AK,19,FALSE),"")</f>
      </c>
      <c r="O400" s="79">
        <f>IFERROR(VLOOKUP($A:$A,CS!$A:$AK,23,FALSE),"")</f>
      </c>
      <c r="P400" s="79">
        <f>IFERROR(VLOOKUP($A:$A,CS!$A:$AK,24,FALSE),"")</f>
      </c>
      <c r="Q400" s="79">
        <f>IFERROR(VLOOKUP($A:$A,CS!$A:$AK,25,FALSE),"")</f>
      </c>
      <c r="R400" s="79">
        <f>IFERROR(VLOOKUP($A:$A,CS!$A:$AK,26,FALSE),"")</f>
      </c>
      <c r="S400" s="79">
        <f>IFERROR(VLOOKUP($A:$A,CS!$A:$AK,29,FALSE),"")</f>
      </c>
      <c r="T400" s="79">
        <f>IFERROR(VLOOKUP($A:$A,CS!$A:$AK,33,FALSE),"")</f>
      </c>
      <c r="U400" s="79">
        <f>IFERROR(VLOOKUP($A:$A,CS!$A:$AK,34,FALSE),"")</f>
      </c>
      <c r="V400" s="79">
        <f>IFERROR(VLOOKUP($A:$A,CS!$A:$AK,35,FALSE),"")</f>
      </c>
      <c r="W400" s="79">
        <f>IFERROR(VLOOKUP($A:$A,CS!$A:$AK,36,FALSE),"")</f>
      </c>
    </row>
    <row r="401" ht="16.5" customHeight="1" spans="1:23" x14ac:dyDescent="0.25">
      <c r="A401" s="93"/>
      <c r="B401" s="79">
        <f>IFERROR(VLOOKUP($A:$A,CS!$A:$AK,3,FALSE),"")</f>
      </c>
      <c r="C401" s="79">
        <f>IFERROR(VLOOKUP($A:$A,CS!$A:$AK,4,FALSE),"")</f>
      </c>
      <c r="D401" s="79">
        <f>IFERROR(VLOOKUP($A:$A,CS!$A:$AK,5,FALSE),"")</f>
      </c>
      <c r="E401" s="79">
        <f>IFERROR(VLOOKUP($A:$A,CS!$A:$AK,7,FALSE),"")</f>
      </c>
      <c r="F401" s="79">
        <f>IFERROR(VLOOKUP($A:$A,CS!$A:$AK,8,FALSE),"")</f>
      </c>
      <c r="G401" s="79">
        <f>IFERROR(VLOOKUP($A:$A,CS!$A:$AK,10,FALSE),"")</f>
      </c>
      <c r="H401" s="79">
        <f>IFERROR(VLOOKUP($A:$A,CS!$A:$AK,14,FALSE),"")</f>
      </c>
      <c r="I401" s="79">
        <f>IFERROR(VLOOKUP($A:$A,CS!$A:$AK,15,FALSE),"")</f>
      </c>
      <c r="J401" s="79">
        <f>IFERROR(VLOOKUP($A:$A,CS!$A:$AK,18,FALSE),"")</f>
      </c>
      <c r="K401" s="79">
        <f>IFERROR(VLOOKUP($A:$A,CS!$A:$AK,19,FALSE),"")</f>
      </c>
      <c r="L401" s="79">
        <f>IFERROR(VLOOKUP($A:$A,CS!$A:$AK,20,FALSE),"")</f>
      </c>
      <c r="M401" s="79">
        <f>IFERROR(VLOOKUP($A:$A,CS!$A:$AK,22,FALSE),"")</f>
      </c>
      <c r="N401" s="79">
        <f>IFERROR(VLOOKUP($A:$A,CS!$A:$AK,19,FALSE),"")</f>
      </c>
      <c r="O401" s="79">
        <f>IFERROR(VLOOKUP($A:$A,CS!$A:$AK,23,FALSE),"")</f>
      </c>
      <c r="P401" s="79">
        <f>IFERROR(VLOOKUP($A:$A,CS!$A:$AK,24,FALSE),"")</f>
      </c>
      <c r="Q401" s="79">
        <f>IFERROR(VLOOKUP($A:$A,CS!$A:$AK,25,FALSE),"")</f>
      </c>
      <c r="R401" s="79">
        <f>IFERROR(VLOOKUP($A:$A,CS!$A:$AK,26,FALSE),"")</f>
      </c>
      <c r="S401" s="79">
        <f>IFERROR(VLOOKUP($A:$A,CS!$A:$AK,29,FALSE),"")</f>
      </c>
      <c r="T401" s="79">
        <f>IFERROR(VLOOKUP($A:$A,CS!$A:$AK,33,FALSE),"")</f>
      </c>
      <c r="U401" s="79">
        <f>IFERROR(VLOOKUP($A:$A,CS!$A:$AK,34,FALSE),"")</f>
      </c>
      <c r="V401" s="79">
        <f>IFERROR(VLOOKUP($A:$A,CS!$A:$AK,35,FALSE),"")</f>
      </c>
      <c r="W401" s="79">
        <f>IFERROR(VLOOKUP($A:$A,CS!$A:$AK,36,FALSE),"")</f>
      </c>
    </row>
    <row r="402" ht="16.5" customHeight="1" spans="1:23" x14ac:dyDescent="0.25">
      <c r="A402" s="93"/>
      <c r="B402" s="79">
        <f>IFERROR(VLOOKUP($A:$A,CS!$A:$AK,3,FALSE),"")</f>
      </c>
      <c r="C402" s="79">
        <f>IFERROR(VLOOKUP($A:$A,CS!$A:$AK,4,FALSE),"")</f>
      </c>
      <c r="D402" s="79">
        <f>IFERROR(VLOOKUP($A:$A,CS!$A:$AK,5,FALSE),"")</f>
      </c>
      <c r="E402" s="79">
        <f>IFERROR(VLOOKUP($A:$A,CS!$A:$AK,7,FALSE),"")</f>
      </c>
      <c r="F402" s="79">
        <f>IFERROR(VLOOKUP($A:$A,CS!$A:$AK,8,FALSE),"")</f>
      </c>
      <c r="G402" s="79">
        <f>IFERROR(VLOOKUP($A:$A,CS!$A:$AK,10,FALSE),"")</f>
      </c>
      <c r="H402" s="79">
        <f>IFERROR(VLOOKUP($A:$A,CS!$A:$AK,14,FALSE),"")</f>
      </c>
      <c r="I402" s="79">
        <f>IFERROR(VLOOKUP($A:$A,CS!$A:$AK,15,FALSE),"")</f>
      </c>
      <c r="J402" s="79">
        <f>IFERROR(VLOOKUP($A:$A,CS!$A:$AK,18,FALSE),"")</f>
      </c>
      <c r="K402" s="79">
        <f>IFERROR(VLOOKUP($A:$A,CS!$A:$AK,19,FALSE),"")</f>
      </c>
      <c r="L402" s="79">
        <f>IFERROR(VLOOKUP($A:$A,CS!$A:$AK,20,FALSE),"")</f>
      </c>
      <c r="M402" s="79">
        <f>IFERROR(VLOOKUP($A:$A,CS!$A:$AK,22,FALSE),"")</f>
      </c>
      <c r="N402" s="79">
        <f>IFERROR(VLOOKUP($A:$A,CS!$A:$AK,19,FALSE),"")</f>
      </c>
      <c r="O402" s="79">
        <f>IFERROR(VLOOKUP($A:$A,CS!$A:$AK,23,FALSE),"")</f>
      </c>
      <c r="P402" s="79">
        <f>IFERROR(VLOOKUP($A:$A,CS!$A:$AK,24,FALSE),"")</f>
      </c>
      <c r="Q402" s="79">
        <f>IFERROR(VLOOKUP($A:$A,CS!$A:$AK,25,FALSE),"")</f>
      </c>
      <c r="R402" s="79">
        <f>IFERROR(VLOOKUP($A:$A,CS!$A:$AK,26,FALSE),"")</f>
      </c>
      <c r="S402" s="79">
        <f>IFERROR(VLOOKUP($A:$A,CS!$A:$AK,29,FALSE),"")</f>
      </c>
      <c r="T402" s="79">
        <f>IFERROR(VLOOKUP($A:$A,CS!$A:$AK,33,FALSE),"")</f>
      </c>
      <c r="U402" s="79">
        <f>IFERROR(VLOOKUP($A:$A,CS!$A:$AK,34,FALSE),"")</f>
      </c>
      <c r="V402" s="79">
        <f>IFERROR(VLOOKUP($A:$A,CS!$A:$AK,35,FALSE),"")</f>
      </c>
      <c r="W402" s="79">
        <f>IFERROR(VLOOKUP($A:$A,CS!$A:$AK,36,FALSE),"")</f>
      </c>
    </row>
    <row r="403" ht="16.5" customHeight="1" spans="1:23" x14ac:dyDescent="0.25">
      <c r="A403" s="93"/>
      <c r="B403" s="79">
        <f>IFERROR(VLOOKUP($A:$A,CS!$A:$AK,3,FALSE),"")</f>
      </c>
      <c r="C403" s="79">
        <f>IFERROR(VLOOKUP($A:$A,CS!$A:$AK,4,FALSE),"")</f>
      </c>
      <c r="D403" s="79">
        <f>IFERROR(VLOOKUP($A:$A,CS!$A:$AK,5,FALSE),"")</f>
      </c>
      <c r="E403" s="79">
        <f>IFERROR(VLOOKUP($A:$A,CS!$A:$AK,7,FALSE),"")</f>
      </c>
      <c r="F403" s="79">
        <f>IFERROR(VLOOKUP($A:$A,CS!$A:$AK,8,FALSE),"")</f>
      </c>
      <c r="G403" s="79">
        <f>IFERROR(VLOOKUP($A:$A,CS!$A:$AK,10,FALSE),"")</f>
      </c>
      <c r="H403" s="79">
        <f>IFERROR(VLOOKUP($A:$A,CS!$A:$AK,14,FALSE),"")</f>
      </c>
      <c r="I403" s="79">
        <f>IFERROR(VLOOKUP($A:$A,CS!$A:$AK,15,FALSE),"")</f>
      </c>
      <c r="J403" s="79">
        <f>IFERROR(VLOOKUP($A:$A,CS!$A:$AK,18,FALSE),"")</f>
      </c>
      <c r="K403" s="79">
        <f>IFERROR(VLOOKUP($A:$A,CS!$A:$AK,19,FALSE),"")</f>
      </c>
      <c r="L403" s="79">
        <f>IFERROR(VLOOKUP($A:$A,CS!$A:$AK,20,FALSE),"")</f>
      </c>
      <c r="M403" s="79">
        <f>IFERROR(VLOOKUP($A:$A,CS!$A:$AK,22,FALSE),"")</f>
      </c>
      <c r="N403" s="79">
        <f>IFERROR(VLOOKUP($A:$A,CS!$A:$AK,19,FALSE),"")</f>
      </c>
      <c r="O403" s="79">
        <f>IFERROR(VLOOKUP($A:$A,CS!$A:$AK,23,FALSE),"")</f>
      </c>
      <c r="P403" s="79">
        <f>IFERROR(VLOOKUP($A:$A,CS!$A:$AK,24,FALSE),"")</f>
      </c>
      <c r="Q403" s="79">
        <f>IFERROR(VLOOKUP($A:$A,CS!$A:$AK,25,FALSE),"")</f>
      </c>
      <c r="R403" s="79">
        <f>IFERROR(VLOOKUP($A:$A,CS!$A:$AK,26,FALSE),"")</f>
      </c>
      <c r="S403" s="79">
        <f>IFERROR(VLOOKUP($A:$A,CS!$A:$AK,29,FALSE),"")</f>
      </c>
      <c r="T403" s="79">
        <f>IFERROR(VLOOKUP($A:$A,CS!$A:$AK,33,FALSE),"")</f>
      </c>
      <c r="U403" s="79">
        <f>IFERROR(VLOOKUP($A:$A,CS!$A:$AK,34,FALSE),"")</f>
      </c>
      <c r="V403" s="79">
        <f>IFERROR(VLOOKUP($A:$A,CS!$A:$AK,35,FALSE),"")</f>
      </c>
      <c r="W403" s="79">
        <f>IFERROR(VLOOKUP($A:$A,CS!$A:$AK,36,FALSE),"")</f>
      </c>
    </row>
    <row r="404" ht="16.5" customHeight="1" spans="1:23" x14ac:dyDescent="0.25">
      <c r="A404" s="93"/>
      <c r="B404" s="79">
        <f>IFERROR(VLOOKUP($A:$A,CS!$A:$AK,3,FALSE),"")</f>
      </c>
      <c r="C404" s="79">
        <f>IFERROR(VLOOKUP($A:$A,CS!$A:$AK,4,FALSE),"")</f>
      </c>
      <c r="D404" s="79">
        <f>IFERROR(VLOOKUP($A:$A,CS!$A:$AK,5,FALSE),"")</f>
      </c>
      <c r="E404" s="79">
        <f>IFERROR(VLOOKUP($A:$A,CS!$A:$AK,7,FALSE),"")</f>
      </c>
      <c r="F404" s="79">
        <f>IFERROR(VLOOKUP($A:$A,CS!$A:$AK,8,FALSE),"")</f>
      </c>
      <c r="G404" s="79">
        <f>IFERROR(VLOOKUP($A:$A,CS!$A:$AK,10,FALSE),"")</f>
      </c>
      <c r="H404" s="79">
        <f>IFERROR(VLOOKUP($A:$A,CS!$A:$AK,14,FALSE),"")</f>
      </c>
      <c r="I404" s="79">
        <f>IFERROR(VLOOKUP($A:$A,CS!$A:$AK,15,FALSE),"")</f>
      </c>
      <c r="J404" s="79">
        <f>IFERROR(VLOOKUP($A:$A,CS!$A:$AK,18,FALSE),"")</f>
      </c>
      <c r="K404" s="79">
        <f>IFERROR(VLOOKUP($A:$A,CS!$A:$AK,19,FALSE),"")</f>
      </c>
      <c r="L404" s="79">
        <f>IFERROR(VLOOKUP($A:$A,CS!$A:$AK,20,FALSE),"")</f>
      </c>
      <c r="M404" s="79">
        <f>IFERROR(VLOOKUP($A:$A,CS!$A:$AK,22,FALSE),"")</f>
      </c>
      <c r="N404" s="79">
        <f>IFERROR(VLOOKUP($A:$A,CS!$A:$AK,19,FALSE),"")</f>
      </c>
      <c r="O404" s="79">
        <f>IFERROR(VLOOKUP($A:$A,CS!$A:$AK,23,FALSE),"")</f>
      </c>
      <c r="P404" s="79">
        <f>IFERROR(VLOOKUP($A:$A,CS!$A:$AK,24,FALSE),"")</f>
      </c>
      <c r="Q404" s="79">
        <f>IFERROR(VLOOKUP($A:$A,CS!$A:$AK,25,FALSE),"")</f>
      </c>
      <c r="R404" s="79">
        <f>IFERROR(VLOOKUP($A:$A,CS!$A:$AK,26,FALSE),"")</f>
      </c>
      <c r="S404" s="79">
        <f>IFERROR(VLOOKUP($A:$A,CS!$A:$AK,29,FALSE),"")</f>
      </c>
      <c r="T404" s="79">
        <f>IFERROR(VLOOKUP($A:$A,CS!$A:$AK,33,FALSE),"")</f>
      </c>
      <c r="U404" s="79">
        <f>IFERROR(VLOOKUP($A:$A,CS!$A:$AK,34,FALSE),"")</f>
      </c>
      <c r="V404" s="79">
        <f>IFERROR(VLOOKUP($A:$A,CS!$A:$AK,35,FALSE),"")</f>
      </c>
      <c r="W404" s="79">
        <f>IFERROR(VLOOKUP($A:$A,CS!$A:$AK,36,FALSE),"")</f>
      </c>
    </row>
    <row r="405" ht="16.5" customHeight="1" spans="1:23" x14ac:dyDescent="0.25">
      <c r="A405" s="93"/>
      <c r="B405" s="79">
        <f>IFERROR(VLOOKUP($A:$A,CS!$A:$AK,3,FALSE),"")</f>
      </c>
      <c r="C405" s="79">
        <f>IFERROR(VLOOKUP($A:$A,CS!$A:$AK,4,FALSE),"")</f>
      </c>
      <c r="D405" s="79">
        <f>IFERROR(VLOOKUP($A:$A,CS!$A:$AK,5,FALSE),"")</f>
      </c>
      <c r="E405" s="79">
        <f>IFERROR(VLOOKUP($A:$A,CS!$A:$AK,7,FALSE),"")</f>
      </c>
      <c r="F405" s="79">
        <f>IFERROR(VLOOKUP($A:$A,CS!$A:$AK,8,FALSE),"")</f>
      </c>
      <c r="G405" s="79">
        <f>IFERROR(VLOOKUP($A:$A,CS!$A:$AK,10,FALSE),"")</f>
      </c>
      <c r="H405" s="79">
        <f>IFERROR(VLOOKUP($A:$A,CS!$A:$AK,14,FALSE),"")</f>
      </c>
      <c r="I405" s="79">
        <f>IFERROR(VLOOKUP($A:$A,CS!$A:$AK,15,FALSE),"")</f>
      </c>
      <c r="J405" s="79">
        <f>IFERROR(VLOOKUP($A:$A,CS!$A:$AK,18,FALSE),"")</f>
      </c>
      <c r="K405" s="79">
        <f>IFERROR(VLOOKUP($A:$A,CS!$A:$AK,19,FALSE),"")</f>
      </c>
      <c r="L405" s="79">
        <f>IFERROR(VLOOKUP($A:$A,CS!$A:$AK,20,FALSE),"")</f>
      </c>
      <c r="M405" s="79">
        <f>IFERROR(VLOOKUP($A:$A,CS!$A:$AK,22,FALSE),"")</f>
      </c>
      <c r="N405" s="79">
        <f>IFERROR(VLOOKUP($A:$A,CS!$A:$AK,19,FALSE),"")</f>
      </c>
      <c r="O405" s="79">
        <f>IFERROR(VLOOKUP($A:$A,CS!$A:$AK,23,FALSE),"")</f>
      </c>
      <c r="P405" s="79">
        <f>IFERROR(VLOOKUP($A:$A,CS!$A:$AK,24,FALSE),"")</f>
      </c>
      <c r="Q405" s="79">
        <f>IFERROR(VLOOKUP($A:$A,CS!$A:$AK,25,FALSE),"")</f>
      </c>
      <c r="R405" s="79">
        <f>IFERROR(VLOOKUP($A:$A,CS!$A:$AK,26,FALSE),"")</f>
      </c>
      <c r="S405" s="79">
        <f>IFERROR(VLOOKUP($A:$A,CS!$A:$AK,29,FALSE),"")</f>
      </c>
      <c r="T405" s="79">
        <f>IFERROR(VLOOKUP($A:$A,CS!$A:$AK,33,FALSE),"")</f>
      </c>
      <c r="U405" s="79">
        <f>IFERROR(VLOOKUP($A:$A,CS!$A:$AK,34,FALSE),"")</f>
      </c>
      <c r="V405" s="79">
        <f>IFERROR(VLOOKUP($A:$A,CS!$A:$AK,35,FALSE),"")</f>
      </c>
      <c r="W405" s="79">
        <f>IFERROR(VLOOKUP($A:$A,CS!$A:$AK,36,FALSE),"")</f>
      </c>
    </row>
    <row r="406" ht="16.5" customHeight="1" spans="1:23" x14ac:dyDescent="0.25">
      <c r="A406" s="93"/>
      <c r="B406" s="79">
        <f>IFERROR(VLOOKUP($A:$A,CS!$A:$AK,3,FALSE),"")</f>
      </c>
      <c r="C406" s="79">
        <f>IFERROR(VLOOKUP($A:$A,CS!$A:$AK,4,FALSE),"")</f>
      </c>
      <c r="D406" s="79">
        <f>IFERROR(VLOOKUP($A:$A,CS!$A:$AK,5,FALSE),"")</f>
      </c>
      <c r="E406" s="79">
        <f>IFERROR(VLOOKUP($A:$A,CS!$A:$AK,7,FALSE),"")</f>
      </c>
      <c r="F406" s="79">
        <f>IFERROR(VLOOKUP($A:$A,CS!$A:$AK,8,FALSE),"")</f>
      </c>
      <c r="G406" s="79">
        <f>IFERROR(VLOOKUP($A:$A,CS!$A:$AK,10,FALSE),"")</f>
      </c>
      <c r="H406" s="79">
        <f>IFERROR(VLOOKUP($A:$A,CS!$A:$AK,14,FALSE),"")</f>
      </c>
      <c r="I406" s="79">
        <f>IFERROR(VLOOKUP($A:$A,CS!$A:$AK,15,FALSE),"")</f>
      </c>
      <c r="J406" s="79">
        <f>IFERROR(VLOOKUP($A:$A,CS!$A:$AK,18,FALSE),"")</f>
      </c>
      <c r="K406" s="79">
        <f>IFERROR(VLOOKUP($A:$A,CS!$A:$AK,19,FALSE),"")</f>
      </c>
      <c r="L406" s="79">
        <f>IFERROR(VLOOKUP($A:$A,CS!$A:$AK,20,FALSE),"")</f>
      </c>
      <c r="M406" s="79">
        <f>IFERROR(VLOOKUP($A:$A,CS!$A:$AK,22,FALSE),"")</f>
      </c>
      <c r="N406" s="79">
        <f>IFERROR(VLOOKUP($A:$A,CS!$A:$AK,19,FALSE),"")</f>
      </c>
      <c r="O406" s="79">
        <f>IFERROR(VLOOKUP($A:$A,CS!$A:$AK,23,FALSE),"")</f>
      </c>
      <c r="P406" s="79">
        <f>IFERROR(VLOOKUP($A:$A,CS!$A:$AK,24,FALSE),"")</f>
      </c>
      <c r="Q406" s="79">
        <f>IFERROR(VLOOKUP($A:$A,CS!$A:$AK,25,FALSE),"")</f>
      </c>
      <c r="R406" s="79">
        <f>IFERROR(VLOOKUP($A:$A,CS!$A:$AK,26,FALSE),"")</f>
      </c>
      <c r="S406" s="79">
        <f>IFERROR(VLOOKUP($A:$A,CS!$A:$AK,29,FALSE),"")</f>
      </c>
      <c r="T406" s="79">
        <f>IFERROR(VLOOKUP($A:$A,CS!$A:$AK,33,FALSE),"")</f>
      </c>
      <c r="U406" s="79">
        <f>IFERROR(VLOOKUP($A:$A,CS!$A:$AK,34,FALSE),"")</f>
      </c>
      <c r="V406" s="79">
        <f>IFERROR(VLOOKUP($A:$A,CS!$A:$AK,35,FALSE),"")</f>
      </c>
      <c r="W406" s="79">
        <f>IFERROR(VLOOKUP($A:$A,CS!$A:$AK,36,FALSE),"")</f>
      </c>
    </row>
    <row r="407" ht="16.5" customHeight="1" spans="1:23" x14ac:dyDescent="0.25">
      <c r="A407" s="93"/>
      <c r="B407" s="79">
        <f>IFERROR(VLOOKUP($A:$A,CS!$A:$AK,3,FALSE),"")</f>
      </c>
      <c r="C407" s="79">
        <f>IFERROR(VLOOKUP($A:$A,CS!$A:$AK,4,FALSE),"")</f>
      </c>
      <c r="D407" s="79">
        <f>IFERROR(VLOOKUP($A:$A,CS!$A:$AK,5,FALSE),"")</f>
      </c>
      <c r="E407" s="79">
        <f>IFERROR(VLOOKUP($A:$A,CS!$A:$AK,7,FALSE),"")</f>
      </c>
      <c r="F407" s="79">
        <f>IFERROR(VLOOKUP($A:$A,CS!$A:$AK,8,FALSE),"")</f>
      </c>
      <c r="G407" s="79">
        <f>IFERROR(VLOOKUP($A:$A,CS!$A:$AK,10,FALSE),"")</f>
      </c>
      <c r="H407" s="79">
        <f>IFERROR(VLOOKUP($A:$A,CS!$A:$AK,14,FALSE),"")</f>
      </c>
      <c r="I407" s="79">
        <f>IFERROR(VLOOKUP($A:$A,CS!$A:$AK,15,FALSE),"")</f>
      </c>
      <c r="J407" s="79">
        <f>IFERROR(VLOOKUP($A:$A,CS!$A:$AK,18,FALSE),"")</f>
      </c>
      <c r="K407" s="79">
        <f>IFERROR(VLOOKUP($A:$A,CS!$A:$AK,19,FALSE),"")</f>
      </c>
      <c r="L407" s="79">
        <f>IFERROR(VLOOKUP($A:$A,CS!$A:$AK,20,FALSE),"")</f>
      </c>
      <c r="M407" s="79">
        <f>IFERROR(VLOOKUP($A:$A,CS!$A:$AK,22,FALSE),"")</f>
      </c>
      <c r="N407" s="79">
        <f>IFERROR(VLOOKUP($A:$A,CS!$A:$AK,19,FALSE),"")</f>
      </c>
      <c r="O407" s="79">
        <f>IFERROR(VLOOKUP($A:$A,CS!$A:$AK,23,FALSE),"")</f>
      </c>
      <c r="P407" s="79">
        <f>IFERROR(VLOOKUP($A:$A,CS!$A:$AK,24,FALSE),"")</f>
      </c>
      <c r="Q407" s="79">
        <f>IFERROR(VLOOKUP($A:$A,CS!$A:$AK,25,FALSE),"")</f>
      </c>
      <c r="R407" s="79">
        <f>IFERROR(VLOOKUP($A:$A,CS!$A:$AK,26,FALSE),"")</f>
      </c>
      <c r="S407" s="79">
        <f>IFERROR(VLOOKUP($A:$A,CS!$A:$AK,29,FALSE),"")</f>
      </c>
      <c r="T407" s="79">
        <f>IFERROR(VLOOKUP($A:$A,CS!$A:$AK,33,FALSE),"")</f>
      </c>
      <c r="U407" s="79">
        <f>IFERROR(VLOOKUP($A:$A,CS!$A:$AK,34,FALSE),"")</f>
      </c>
      <c r="V407" s="79">
        <f>IFERROR(VLOOKUP($A:$A,CS!$A:$AK,35,FALSE),"")</f>
      </c>
      <c r="W407" s="79">
        <f>IFERROR(VLOOKUP($A:$A,CS!$A:$AK,36,FALSE),"")</f>
      </c>
    </row>
    <row r="408" ht="16.5" customHeight="1" spans="1:23" x14ac:dyDescent="0.25">
      <c r="A408" s="93"/>
      <c r="B408" s="79">
        <f>IFERROR(VLOOKUP($A:$A,CS!$A:$AK,3,FALSE),"")</f>
      </c>
      <c r="C408" s="79">
        <f>IFERROR(VLOOKUP($A:$A,CS!$A:$AK,4,FALSE),"")</f>
      </c>
      <c r="D408" s="79">
        <f>IFERROR(VLOOKUP($A:$A,CS!$A:$AK,5,FALSE),"")</f>
      </c>
      <c r="E408" s="79">
        <f>IFERROR(VLOOKUP($A:$A,CS!$A:$AK,7,FALSE),"")</f>
      </c>
      <c r="F408" s="79">
        <f>IFERROR(VLOOKUP($A:$A,CS!$A:$AK,8,FALSE),"")</f>
      </c>
      <c r="G408" s="79">
        <f>IFERROR(VLOOKUP($A:$A,CS!$A:$AK,10,FALSE),"")</f>
      </c>
      <c r="H408" s="79">
        <f>IFERROR(VLOOKUP($A:$A,CS!$A:$AK,14,FALSE),"")</f>
      </c>
      <c r="I408" s="79">
        <f>IFERROR(VLOOKUP($A:$A,CS!$A:$AK,15,FALSE),"")</f>
      </c>
      <c r="J408" s="79">
        <f>IFERROR(VLOOKUP($A:$A,CS!$A:$AK,18,FALSE),"")</f>
      </c>
      <c r="K408" s="79">
        <f>IFERROR(VLOOKUP($A:$A,CS!$A:$AK,19,FALSE),"")</f>
      </c>
      <c r="L408" s="79">
        <f>IFERROR(VLOOKUP($A:$A,CS!$A:$AK,20,FALSE),"")</f>
      </c>
      <c r="M408" s="79">
        <f>IFERROR(VLOOKUP($A:$A,CS!$A:$AK,22,FALSE),"")</f>
      </c>
      <c r="N408" s="79">
        <f>IFERROR(VLOOKUP($A:$A,CS!$A:$AK,19,FALSE),"")</f>
      </c>
      <c r="O408" s="79">
        <f>IFERROR(VLOOKUP($A:$A,CS!$A:$AK,23,FALSE),"")</f>
      </c>
      <c r="P408" s="79">
        <f>IFERROR(VLOOKUP($A:$A,CS!$A:$AK,24,FALSE),"")</f>
      </c>
      <c r="Q408" s="79">
        <f>IFERROR(VLOOKUP($A:$A,CS!$A:$AK,25,FALSE),"")</f>
      </c>
      <c r="R408" s="79">
        <f>IFERROR(VLOOKUP($A:$A,CS!$A:$AK,26,FALSE),"")</f>
      </c>
      <c r="S408" s="79">
        <f>IFERROR(VLOOKUP($A:$A,CS!$A:$AK,29,FALSE),"")</f>
      </c>
      <c r="T408" s="79">
        <f>IFERROR(VLOOKUP($A:$A,CS!$A:$AK,33,FALSE),"")</f>
      </c>
      <c r="U408" s="79">
        <f>IFERROR(VLOOKUP($A:$A,CS!$A:$AK,34,FALSE),"")</f>
      </c>
      <c r="V408" s="79">
        <f>IFERROR(VLOOKUP($A:$A,CS!$A:$AK,35,FALSE),"")</f>
      </c>
      <c r="W408" s="79">
        <f>IFERROR(VLOOKUP($A:$A,CS!$A:$AK,36,FALSE),"")</f>
      </c>
    </row>
    <row r="409" ht="16.5" customHeight="1" spans="1:23" x14ac:dyDescent="0.25">
      <c r="A409" s="93"/>
      <c r="B409" s="79">
        <f>IFERROR(VLOOKUP($A:$A,CS!$A:$AK,3,FALSE),"")</f>
      </c>
      <c r="C409" s="79">
        <f>IFERROR(VLOOKUP($A:$A,CS!$A:$AK,4,FALSE),"")</f>
      </c>
      <c r="D409" s="79">
        <f>IFERROR(VLOOKUP($A:$A,CS!$A:$AK,5,FALSE),"")</f>
      </c>
      <c r="E409" s="79">
        <f>IFERROR(VLOOKUP($A:$A,CS!$A:$AK,7,FALSE),"")</f>
      </c>
      <c r="F409" s="79">
        <f>IFERROR(VLOOKUP($A:$A,CS!$A:$AK,8,FALSE),"")</f>
      </c>
      <c r="G409" s="79">
        <f>IFERROR(VLOOKUP($A:$A,CS!$A:$AK,10,FALSE),"")</f>
      </c>
      <c r="H409" s="79">
        <f>IFERROR(VLOOKUP($A:$A,CS!$A:$AK,14,FALSE),"")</f>
      </c>
      <c r="I409" s="79">
        <f>IFERROR(VLOOKUP($A:$A,CS!$A:$AK,15,FALSE),"")</f>
      </c>
      <c r="J409" s="79">
        <f>IFERROR(VLOOKUP($A:$A,CS!$A:$AK,18,FALSE),"")</f>
      </c>
      <c r="K409" s="79">
        <f>IFERROR(VLOOKUP($A:$A,CS!$A:$AK,19,FALSE),"")</f>
      </c>
      <c r="L409" s="79">
        <f>IFERROR(VLOOKUP($A:$A,CS!$A:$AK,20,FALSE),"")</f>
      </c>
      <c r="M409" s="79">
        <f>IFERROR(VLOOKUP($A:$A,CS!$A:$AK,22,FALSE),"")</f>
      </c>
      <c r="N409" s="79">
        <f>IFERROR(VLOOKUP($A:$A,CS!$A:$AK,19,FALSE),"")</f>
      </c>
      <c r="O409" s="79">
        <f>IFERROR(VLOOKUP($A:$A,CS!$A:$AK,23,FALSE),"")</f>
      </c>
      <c r="P409" s="79">
        <f>IFERROR(VLOOKUP($A:$A,CS!$A:$AK,24,FALSE),"")</f>
      </c>
      <c r="Q409" s="79">
        <f>IFERROR(VLOOKUP($A:$A,CS!$A:$AK,25,FALSE),"")</f>
      </c>
      <c r="R409" s="79">
        <f>IFERROR(VLOOKUP($A:$A,CS!$A:$AK,26,FALSE),"")</f>
      </c>
      <c r="S409" s="79">
        <f>IFERROR(VLOOKUP($A:$A,CS!$A:$AK,29,FALSE),"")</f>
      </c>
      <c r="T409" s="79">
        <f>IFERROR(VLOOKUP($A:$A,CS!$A:$AK,33,FALSE),"")</f>
      </c>
      <c r="U409" s="79">
        <f>IFERROR(VLOOKUP($A:$A,CS!$A:$AK,34,FALSE),"")</f>
      </c>
      <c r="V409" s="79">
        <f>IFERROR(VLOOKUP($A:$A,CS!$A:$AK,35,FALSE),"")</f>
      </c>
      <c r="W409" s="79">
        <f>IFERROR(VLOOKUP($A:$A,CS!$A:$AK,36,FALSE),"")</f>
      </c>
    </row>
    <row r="410" ht="16.5" customHeight="1" spans="1:23" x14ac:dyDescent="0.25">
      <c r="A410" s="93"/>
      <c r="B410" s="79">
        <f>IFERROR(VLOOKUP($A:$A,CS!$A:$AK,3,FALSE),"")</f>
      </c>
      <c r="C410" s="79">
        <f>IFERROR(VLOOKUP($A:$A,CS!$A:$AK,4,FALSE),"")</f>
      </c>
      <c r="D410" s="79">
        <f>IFERROR(VLOOKUP($A:$A,CS!$A:$AK,5,FALSE),"")</f>
      </c>
      <c r="E410" s="79">
        <f>IFERROR(VLOOKUP($A:$A,CS!$A:$AK,7,FALSE),"")</f>
      </c>
      <c r="F410" s="79">
        <f>IFERROR(VLOOKUP($A:$A,CS!$A:$AK,8,FALSE),"")</f>
      </c>
      <c r="G410" s="79">
        <f>IFERROR(VLOOKUP($A:$A,CS!$A:$AK,10,FALSE),"")</f>
      </c>
      <c r="H410" s="79">
        <f>IFERROR(VLOOKUP($A:$A,CS!$A:$AK,14,FALSE),"")</f>
      </c>
      <c r="I410" s="79">
        <f>IFERROR(VLOOKUP($A:$A,CS!$A:$AK,15,FALSE),"")</f>
      </c>
      <c r="J410" s="79">
        <f>IFERROR(VLOOKUP($A:$A,CS!$A:$AK,18,FALSE),"")</f>
      </c>
      <c r="K410" s="79">
        <f>IFERROR(VLOOKUP($A:$A,CS!$A:$AK,19,FALSE),"")</f>
      </c>
      <c r="L410" s="79">
        <f>IFERROR(VLOOKUP($A:$A,CS!$A:$AK,20,FALSE),"")</f>
      </c>
      <c r="M410" s="79">
        <f>IFERROR(VLOOKUP($A:$A,CS!$A:$AK,22,FALSE),"")</f>
      </c>
      <c r="N410" s="79">
        <f>IFERROR(VLOOKUP($A:$A,CS!$A:$AK,19,FALSE),"")</f>
      </c>
      <c r="O410" s="79">
        <f>IFERROR(VLOOKUP($A:$A,CS!$A:$AK,23,FALSE),"")</f>
      </c>
      <c r="P410" s="79">
        <f>IFERROR(VLOOKUP($A:$A,CS!$A:$AK,24,FALSE),"")</f>
      </c>
      <c r="Q410" s="79">
        <f>IFERROR(VLOOKUP($A:$A,CS!$A:$AK,25,FALSE),"")</f>
      </c>
      <c r="R410" s="79">
        <f>IFERROR(VLOOKUP($A:$A,CS!$A:$AK,26,FALSE),"")</f>
      </c>
      <c r="S410" s="79">
        <f>IFERROR(VLOOKUP($A:$A,CS!$A:$AK,29,FALSE),"")</f>
      </c>
      <c r="T410" s="79">
        <f>IFERROR(VLOOKUP($A:$A,CS!$A:$AK,33,FALSE),"")</f>
      </c>
      <c r="U410" s="79">
        <f>IFERROR(VLOOKUP($A:$A,CS!$A:$AK,34,FALSE),"")</f>
      </c>
      <c r="V410" s="79">
        <f>IFERROR(VLOOKUP($A:$A,CS!$A:$AK,35,FALSE),"")</f>
      </c>
      <c r="W410" s="79">
        <f>IFERROR(VLOOKUP($A:$A,CS!$A:$AK,36,FALSE),"")</f>
      </c>
    </row>
    <row r="411" ht="16.5" customHeight="1" spans="1:23" x14ac:dyDescent="0.25">
      <c r="A411" s="93"/>
      <c r="B411" s="79">
        <f>IFERROR(VLOOKUP($A:$A,CS!$A:$AK,3,FALSE),"")</f>
      </c>
      <c r="C411" s="79">
        <f>IFERROR(VLOOKUP($A:$A,CS!$A:$AK,4,FALSE),"")</f>
      </c>
      <c r="D411" s="79">
        <f>IFERROR(VLOOKUP($A:$A,CS!$A:$AK,5,FALSE),"")</f>
      </c>
      <c r="E411" s="79">
        <f>IFERROR(VLOOKUP($A:$A,CS!$A:$AK,7,FALSE),"")</f>
      </c>
      <c r="F411" s="79">
        <f>IFERROR(VLOOKUP($A:$A,CS!$A:$AK,8,FALSE),"")</f>
      </c>
      <c r="G411" s="79">
        <f>IFERROR(VLOOKUP($A:$A,CS!$A:$AK,10,FALSE),"")</f>
      </c>
      <c r="H411" s="79">
        <f>IFERROR(VLOOKUP($A:$A,CS!$A:$AK,14,FALSE),"")</f>
      </c>
      <c r="I411" s="79">
        <f>IFERROR(VLOOKUP($A:$A,CS!$A:$AK,15,FALSE),"")</f>
      </c>
      <c r="J411" s="79">
        <f>IFERROR(VLOOKUP($A:$A,CS!$A:$AK,18,FALSE),"")</f>
      </c>
      <c r="K411" s="79">
        <f>IFERROR(VLOOKUP($A:$A,CS!$A:$AK,19,FALSE),"")</f>
      </c>
      <c r="L411" s="79">
        <f>IFERROR(VLOOKUP($A:$A,CS!$A:$AK,20,FALSE),"")</f>
      </c>
      <c r="M411" s="79">
        <f>IFERROR(VLOOKUP($A:$A,CS!$A:$AK,22,FALSE),"")</f>
      </c>
      <c r="N411" s="79">
        <f>IFERROR(VLOOKUP($A:$A,CS!$A:$AK,19,FALSE),"")</f>
      </c>
      <c r="O411" s="79">
        <f>IFERROR(VLOOKUP($A:$A,CS!$A:$AK,23,FALSE),"")</f>
      </c>
      <c r="P411" s="79">
        <f>IFERROR(VLOOKUP($A:$A,CS!$A:$AK,24,FALSE),"")</f>
      </c>
      <c r="Q411" s="79">
        <f>IFERROR(VLOOKUP($A:$A,CS!$A:$AK,25,FALSE),"")</f>
      </c>
      <c r="R411" s="79">
        <f>IFERROR(VLOOKUP($A:$A,CS!$A:$AK,26,FALSE),"")</f>
      </c>
      <c r="S411" s="79">
        <f>IFERROR(VLOOKUP($A:$A,CS!$A:$AK,29,FALSE),"")</f>
      </c>
      <c r="T411" s="79">
        <f>IFERROR(VLOOKUP($A:$A,CS!$A:$AK,33,FALSE),"")</f>
      </c>
      <c r="U411" s="79">
        <f>IFERROR(VLOOKUP($A:$A,CS!$A:$AK,34,FALSE),"")</f>
      </c>
      <c r="V411" s="79">
        <f>IFERROR(VLOOKUP($A:$A,CS!$A:$AK,35,FALSE),"")</f>
      </c>
      <c r="W411" s="79">
        <f>IFERROR(VLOOKUP($A:$A,CS!$A:$AK,36,FALSE),"")</f>
      </c>
    </row>
    <row r="412" ht="16.5" customHeight="1" spans="1:23" x14ac:dyDescent="0.25">
      <c r="A412" s="93"/>
      <c r="B412" s="79">
        <f>IFERROR(VLOOKUP($A:$A,CS!$A:$AK,3,FALSE),"")</f>
      </c>
      <c r="C412" s="79">
        <f>IFERROR(VLOOKUP($A:$A,CS!$A:$AK,4,FALSE),"")</f>
      </c>
      <c r="D412" s="79">
        <f>IFERROR(VLOOKUP($A:$A,CS!$A:$AK,5,FALSE),"")</f>
      </c>
      <c r="E412" s="79">
        <f>IFERROR(VLOOKUP($A:$A,CS!$A:$AK,7,FALSE),"")</f>
      </c>
      <c r="F412" s="79">
        <f>IFERROR(VLOOKUP($A:$A,CS!$A:$AK,8,FALSE),"")</f>
      </c>
      <c r="G412" s="79">
        <f>IFERROR(VLOOKUP($A:$A,CS!$A:$AK,10,FALSE),"")</f>
      </c>
      <c r="H412" s="79">
        <f>IFERROR(VLOOKUP($A:$A,CS!$A:$AK,14,FALSE),"")</f>
      </c>
      <c r="I412" s="79">
        <f>IFERROR(VLOOKUP($A:$A,CS!$A:$AK,15,FALSE),"")</f>
      </c>
      <c r="J412" s="79">
        <f>IFERROR(VLOOKUP($A:$A,CS!$A:$AK,18,FALSE),"")</f>
      </c>
      <c r="K412" s="79">
        <f>IFERROR(VLOOKUP($A:$A,CS!$A:$AK,19,FALSE),"")</f>
      </c>
      <c r="L412" s="79">
        <f>IFERROR(VLOOKUP($A:$A,CS!$A:$AK,20,FALSE),"")</f>
      </c>
      <c r="M412" s="79">
        <f>IFERROR(VLOOKUP($A:$A,CS!$A:$AK,22,FALSE),"")</f>
      </c>
      <c r="N412" s="79">
        <f>IFERROR(VLOOKUP($A:$A,CS!$A:$AK,19,FALSE),"")</f>
      </c>
      <c r="O412" s="79">
        <f>IFERROR(VLOOKUP($A:$A,CS!$A:$AK,23,FALSE),"")</f>
      </c>
      <c r="P412" s="79">
        <f>IFERROR(VLOOKUP($A:$A,CS!$A:$AK,24,FALSE),"")</f>
      </c>
      <c r="Q412" s="79">
        <f>IFERROR(VLOOKUP($A:$A,CS!$A:$AK,25,FALSE),"")</f>
      </c>
      <c r="R412" s="79">
        <f>IFERROR(VLOOKUP($A:$A,CS!$A:$AK,26,FALSE),"")</f>
      </c>
      <c r="S412" s="79">
        <f>IFERROR(VLOOKUP($A:$A,CS!$A:$AK,29,FALSE),"")</f>
      </c>
      <c r="T412" s="79">
        <f>IFERROR(VLOOKUP($A:$A,CS!$A:$AK,33,FALSE),"")</f>
      </c>
      <c r="U412" s="79">
        <f>IFERROR(VLOOKUP($A:$A,CS!$A:$AK,34,FALSE),"")</f>
      </c>
      <c r="V412" s="79">
        <f>IFERROR(VLOOKUP($A:$A,CS!$A:$AK,35,FALSE),"")</f>
      </c>
      <c r="W412" s="79">
        <f>IFERROR(VLOOKUP($A:$A,CS!$A:$AK,36,FALSE),"")</f>
      </c>
    </row>
    <row r="413" ht="16.5" customHeight="1" spans="1:23" x14ac:dyDescent="0.25">
      <c r="A413" s="93"/>
      <c r="B413" s="79">
        <f>IFERROR(VLOOKUP($A:$A,CS!$A:$AK,3,FALSE),"")</f>
      </c>
      <c r="C413" s="79">
        <f>IFERROR(VLOOKUP($A:$A,CS!$A:$AK,4,FALSE),"")</f>
      </c>
      <c r="D413" s="79">
        <f>IFERROR(VLOOKUP($A:$A,CS!$A:$AK,5,FALSE),"")</f>
      </c>
      <c r="E413" s="79">
        <f>IFERROR(VLOOKUP($A:$A,CS!$A:$AK,7,FALSE),"")</f>
      </c>
      <c r="F413" s="79">
        <f>IFERROR(VLOOKUP($A:$A,CS!$A:$AK,8,FALSE),"")</f>
      </c>
      <c r="G413" s="79">
        <f>IFERROR(VLOOKUP($A:$A,CS!$A:$AK,10,FALSE),"")</f>
      </c>
      <c r="H413" s="79">
        <f>IFERROR(VLOOKUP($A:$A,CS!$A:$AK,14,FALSE),"")</f>
      </c>
      <c r="I413" s="79">
        <f>IFERROR(VLOOKUP($A:$A,CS!$A:$AK,15,FALSE),"")</f>
      </c>
      <c r="J413" s="79">
        <f>IFERROR(VLOOKUP($A:$A,CS!$A:$AK,18,FALSE),"")</f>
      </c>
      <c r="K413" s="79">
        <f>IFERROR(VLOOKUP($A:$A,CS!$A:$AK,19,FALSE),"")</f>
      </c>
      <c r="L413" s="79">
        <f>IFERROR(VLOOKUP($A:$A,CS!$A:$AK,20,FALSE),"")</f>
      </c>
      <c r="M413" s="79">
        <f>IFERROR(VLOOKUP($A:$A,CS!$A:$AK,22,FALSE),"")</f>
      </c>
      <c r="N413" s="79">
        <f>IFERROR(VLOOKUP($A:$A,CS!$A:$AK,19,FALSE),"")</f>
      </c>
      <c r="O413" s="79">
        <f>IFERROR(VLOOKUP($A:$A,CS!$A:$AK,23,FALSE),"")</f>
      </c>
      <c r="P413" s="79">
        <f>IFERROR(VLOOKUP($A:$A,CS!$A:$AK,24,FALSE),"")</f>
      </c>
      <c r="Q413" s="79">
        <f>IFERROR(VLOOKUP($A:$A,CS!$A:$AK,25,FALSE),"")</f>
      </c>
      <c r="R413" s="79">
        <f>IFERROR(VLOOKUP($A:$A,CS!$A:$AK,26,FALSE),"")</f>
      </c>
      <c r="S413" s="79">
        <f>IFERROR(VLOOKUP($A:$A,CS!$A:$AK,29,FALSE),"")</f>
      </c>
      <c r="T413" s="79">
        <f>IFERROR(VLOOKUP($A:$A,CS!$A:$AK,33,FALSE),"")</f>
      </c>
      <c r="U413" s="79">
        <f>IFERROR(VLOOKUP($A:$A,CS!$A:$AK,34,FALSE),"")</f>
      </c>
      <c r="V413" s="79">
        <f>IFERROR(VLOOKUP($A:$A,CS!$A:$AK,35,FALSE),"")</f>
      </c>
      <c r="W413" s="79">
        <f>IFERROR(VLOOKUP($A:$A,CS!$A:$AK,36,FALSE),"")</f>
      </c>
    </row>
    <row r="414" ht="16.5" customHeight="1" spans="1:23" x14ac:dyDescent="0.25">
      <c r="A414" s="93"/>
      <c r="B414" s="79">
        <f>IFERROR(VLOOKUP($A:$A,CS!$A:$AK,3,FALSE),"")</f>
      </c>
      <c r="C414" s="79">
        <f>IFERROR(VLOOKUP($A:$A,CS!$A:$AK,4,FALSE),"")</f>
      </c>
      <c r="D414" s="79">
        <f>IFERROR(VLOOKUP($A:$A,CS!$A:$AK,5,FALSE),"")</f>
      </c>
      <c r="E414" s="79">
        <f>IFERROR(VLOOKUP($A:$A,CS!$A:$AK,7,FALSE),"")</f>
      </c>
      <c r="F414" s="79">
        <f>IFERROR(VLOOKUP($A:$A,CS!$A:$AK,8,FALSE),"")</f>
      </c>
      <c r="G414" s="79">
        <f>IFERROR(VLOOKUP($A:$A,CS!$A:$AK,10,FALSE),"")</f>
      </c>
      <c r="H414" s="79">
        <f>IFERROR(VLOOKUP($A:$A,CS!$A:$AK,14,FALSE),"")</f>
      </c>
      <c r="I414" s="79">
        <f>IFERROR(VLOOKUP($A:$A,CS!$A:$AK,15,FALSE),"")</f>
      </c>
      <c r="J414" s="79">
        <f>IFERROR(VLOOKUP($A:$A,CS!$A:$AK,18,FALSE),"")</f>
      </c>
      <c r="K414" s="79">
        <f>IFERROR(VLOOKUP($A:$A,CS!$A:$AK,19,FALSE),"")</f>
      </c>
      <c r="L414" s="79">
        <f>IFERROR(VLOOKUP($A:$A,CS!$A:$AK,20,FALSE),"")</f>
      </c>
      <c r="M414" s="79">
        <f>IFERROR(VLOOKUP($A:$A,CS!$A:$AK,22,FALSE),"")</f>
      </c>
      <c r="N414" s="79">
        <f>IFERROR(VLOOKUP($A:$A,CS!$A:$AK,19,FALSE),"")</f>
      </c>
      <c r="O414" s="79">
        <f>IFERROR(VLOOKUP($A:$A,CS!$A:$AK,23,FALSE),"")</f>
      </c>
      <c r="P414" s="79">
        <f>IFERROR(VLOOKUP($A:$A,CS!$A:$AK,24,FALSE),"")</f>
      </c>
      <c r="Q414" s="79">
        <f>IFERROR(VLOOKUP($A:$A,CS!$A:$AK,25,FALSE),"")</f>
      </c>
      <c r="R414" s="79">
        <f>IFERROR(VLOOKUP($A:$A,CS!$A:$AK,26,FALSE),"")</f>
      </c>
      <c r="S414" s="79">
        <f>IFERROR(VLOOKUP($A:$A,CS!$A:$AK,29,FALSE),"")</f>
      </c>
      <c r="T414" s="79">
        <f>IFERROR(VLOOKUP($A:$A,CS!$A:$AK,33,FALSE),"")</f>
      </c>
      <c r="U414" s="79">
        <f>IFERROR(VLOOKUP($A:$A,CS!$A:$AK,34,FALSE),"")</f>
      </c>
      <c r="V414" s="79">
        <f>IFERROR(VLOOKUP($A:$A,CS!$A:$AK,35,FALSE),"")</f>
      </c>
      <c r="W414" s="79">
        <f>IFERROR(VLOOKUP($A:$A,CS!$A:$AK,36,FALSE),"")</f>
      </c>
    </row>
    <row r="415" ht="16.5" customHeight="1" spans="1:23" x14ac:dyDescent="0.25">
      <c r="A415" s="93"/>
      <c r="B415" s="79">
        <f>IFERROR(VLOOKUP($A:$A,CS!$A:$AK,3,FALSE),"")</f>
      </c>
      <c r="C415" s="79">
        <f>IFERROR(VLOOKUP($A:$A,CS!$A:$AK,4,FALSE),"")</f>
      </c>
      <c r="D415" s="79">
        <f>IFERROR(VLOOKUP($A:$A,CS!$A:$AK,5,FALSE),"")</f>
      </c>
      <c r="E415" s="79">
        <f>IFERROR(VLOOKUP($A:$A,CS!$A:$AK,7,FALSE),"")</f>
      </c>
      <c r="F415" s="79">
        <f>IFERROR(VLOOKUP($A:$A,CS!$A:$AK,8,FALSE),"")</f>
      </c>
      <c r="G415" s="79">
        <f>IFERROR(VLOOKUP($A:$A,CS!$A:$AK,10,FALSE),"")</f>
      </c>
      <c r="H415" s="79">
        <f>IFERROR(VLOOKUP($A:$A,CS!$A:$AK,14,FALSE),"")</f>
      </c>
      <c r="I415" s="79">
        <f>IFERROR(VLOOKUP($A:$A,CS!$A:$AK,15,FALSE),"")</f>
      </c>
      <c r="J415" s="79">
        <f>IFERROR(VLOOKUP($A:$A,CS!$A:$AK,18,FALSE),"")</f>
      </c>
      <c r="K415" s="79">
        <f>IFERROR(VLOOKUP($A:$A,CS!$A:$AK,19,FALSE),"")</f>
      </c>
      <c r="L415" s="79">
        <f>IFERROR(VLOOKUP($A:$A,CS!$A:$AK,20,FALSE),"")</f>
      </c>
      <c r="M415" s="79">
        <f>IFERROR(VLOOKUP($A:$A,CS!$A:$AK,22,FALSE),"")</f>
      </c>
      <c r="N415" s="79">
        <f>IFERROR(VLOOKUP($A:$A,CS!$A:$AK,19,FALSE),"")</f>
      </c>
      <c r="O415" s="79">
        <f>IFERROR(VLOOKUP($A:$A,CS!$A:$AK,23,FALSE),"")</f>
      </c>
      <c r="P415" s="79">
        <f>IFERROR(VLOOKUP($A:$A,CS!$A:$AK,24,FALSE),"")</f>
      </c>
      <c r="Q415" s="79">
        <f>IFERROR(VLOOKUP($A:$A,CS!$A:$AK,25,FALSE),"")</f>
      </c>
      <c r="R415" s="79">
        <f>IFERROR(VLOOKUP($A:$A,CS!$A:$AK,26,FALSE),"")</f>
      </c>
      <c r="S415" s="79">
        <f>IFERROR(VLOOKUP($A:$A,CS!$A:$AK,29,FALSE),"")</f>
      </c>
      <c r="T415" s="79">
        <f>IFERROR(VLOOKUP($A:$A,CS!$A:$AK,33,FALSE),"")</f>
      </c>
      <c r="U415" s="79">
        <f>IFERROR(VLOOKUP($A:$A,CS!$A:$AK,34,FALSE),"")</f>
      </c>
      <c r="V415" s="79">
        <f>IFERROR(VLOOKUP($A:$A,CS!$A:$AK,35,FALSE),"")</f>
      </c>
      <c r="W415" s="79">
        <f>IFERROR(VLOOKUP($A:$A,CS!$A:$AK,36,FALSE),"")</f>
      </c>
    </row>
    <row r="416" ht="16.5" customHeight="1" spans="1:23" x14ac:dyDescent="0.25">
      <c r="A416" s="93"/>
      <c r="B416" s="79">
        <f>IFERROR(VLOOKUP($A:$A,CS!$A:$AK,3,FALSE),"")</f>
      </c>
      <c r="C416" s="79">
        <f>IFERROR(VLOOKUP($A:$A,CS!$A:$AK,4,FALSE),"")</f>
      </c>
      <c r="D416" s="79">
        <f>IFERROR(VLOOKUP($A:$A,CS!$A:$AK,5,FALSE),"")</f>
      </c>
      <c r="E416" s="79">
        <f>IFERROR(VLOOKUP($A:$A,CS!$A:$AK,7,FALSE),"")</f>
      </c>
      <c r="F416" s="79">
        <f>IFERROR(VLOOKUP($A:$A,CS!$A:$AK,8,FALSE),"")</f>
      </c>
      <c r="G416" s="79">
        <f>IFERROR(VLOOKUP($A:$A,CS!$A:$AK,10,FALSE),"")</f>
      </c>
      <c r="H416" s="79">
        <f>IFERROR(VLOOKUP($A:$A,CS!$A:$AK,14,FALSE),"")</f>
      </c>
      <c r="I416" s="79">
        <f>IFERROR(VLOOKUP($A:$A,CS!$A:$AK,15,FALSE),"")</f>
      </c>
      <c r="J416" s="79">
        <f>IFERROR(VLOOKUP($A:$A,CS!$A:$AK,18,FALSE),"")</f>
      </c>
      <c r="K416" s="79">
        <f>IFERROR(VLOOKUP($A:$A,CS!$A:$AK,19,FALSE),"")</f>
      </c>
      <c r="L416" s="79">
        <f>IFERROR(VLOOKUP($A:$A,CS!$A:$AK,20,FALSE),"")</f>
      </c>
      <c r="M416" s="79">
        <f>IFERROR(VLOOKUP($A:$A,CS!$A:$AK,22,FALSE),"")</f>
      </c>
      <c r="N416" s="79">
        <f>IFERROR(VLOOKUP($A:$A,CS!$A:$AK,19,FALSE),"")</f>
      </c>
      <c r="O416" s="79">
        <f>IFERROR(VLOOKUP($A:$A,CS!$A:$AK,23,FALSE),"")</f>
      </c>
      <c r="P416" s="79">
        <f>IFERROR(VLOOKUP($A:$A,CS!$A:$AK,24,FALSE),"")</f>
      </c>
      <c r="Q416" s="79">
        <f>IFERROR(VLOOKUP($A:$A,CS!$A:$AK,25,FALSE),"")</f>
      </c>
      <c r="R416" s="79">
        <f>IFERROR(VLOOKUP($A:$A,CS!$A:$AK,26,FALSE),"")</f>
      </c>
      <c r="S416" s="79">
        <f>IFERROR(VLOOKUP($A:$A,CS!$A:$AK,29,FALSE),"")</f>
      </c>
      <c r="T416" s="79">
        <f>IFERROR(VLOOKUP($A:$A,CS!$A:$AK,33,FALSE),"")</f>
      </c>
      <c r="U416" s="79">
        <f>IFERROR(VLOOKUP($A:$A,CS!$A:$AK,34,FALSE),"")</f>
      </c>
      <c r="V416" s="79">
        <f>IFERROR(VLOOKUP($A:$A,CS!$A:$AK,35,FALSE),"")</f>
      </c>
      <c r="W416" s="79">
        <f>IFERROR(VLOOKUP($A:$A,CS!$A:$AK,36,FALSE),"")</f>
      </c>
    </row>
    <row r="417" ht="16.5" customHeight="1" spans="1:23" x14ac:dyDescent="0.25">
      <c r="A417" s="93"/>
      <c r="B417" s="79">
        <f>IFERROR(VLOOKUP($A:$A,CS!$A:$AK,3,FALSE),"")</f>
      </c>
      <c r="C417" s="79">
        <f>IFERROR(VLOOKUP($A:$A,CS!$A:$AK,4,FALSE),"")</f>
      </c>
      <c r="D417" s="79">
        <f>IFERROR(VLOOKUP($A:$A,CS!$A:$AK,5,FALSE),"")</f>
      </c>
      <c r="E417" s="79">
        <f>IFERROR(VLOOKUP($A:$A,CS!$A:$AK,7,FALSE),"")</f>
      </c>
      <c r="F417" s="79">
        <f>IFERROR(VLOOKUP($A:$A,CS!$A:$AK,8,FALSE),"")</f>
      </c>
      <c r="G417" s="79">
        <f>IFERROR(VLOOKUP($A:$A,CS!$A:$AK,10,FALSE),"")</f>
      </c>
      <c r="H417" s="79">
        <f>IFERROR(VLOOKUP($A:$A,CS!$A:$AK,14,FALSE),"")</f>
      </c>
      <c r="I417" s="79">
        <f>IFERROR(VLOOKUP($A:$A,CS!$A:$AK,15,FALSE),"")</f>
      </c>
      <c r="J417" s="79">
        <f>IFERROR(VLOOKUP($A:$A,CS!$A:$AK,18,FALSE),"")</f>
      </c>
      <c r="K417" s="79">
        <f>IFERROR(VLOOKUP($A:$A,CS!$A:$AK,19,FALSE),"")</f>
      </c>
      <c r="L417" s="79">
        <f>IFERROR(VLOOKUP($A:$A,CS!$A:$AK,20,FALSE),"")</f>
      </c>
      <c r="M417" s="79">
        <f>IFERROR(VLOOKUP($A:$A,CS!$A:$AK,22,FALSE),"")</f>
      </c>
      <c r="N417" s="79">
        <f>IFERROR(VLOOKUP($A:$A,CS!$A:$AK,19,FALSE),"")</f>
      </c>
      <c r="O417" s="79">
        <f>IFERROR(VLOOKUP($A:$A,CS!$A:$AK,23,FALSE),"")</f>
      </c>
      <c r="P417" s="79">
        <f>IFERROR(VLOOKUP($A:$A,CS!$A:$AK,24,FALSE),"")</f>
      </c>
      <c r="Q417" s="79">
        <f>IFERROR(VLOOKUP($A:$A,CS!$A:$AK,25,FALSE),"")</f>
      </c>
      <c r="R417" s="79">
        <f>IFERROR(VLOOKUP($A:$A,CS!$A:$AK,26,FALSE),"")</f>
      </c>
      <c r="S417" s="79">
        <f>IFERROR(VLOOKUP($A:$A,CS!$A:$AK,29,FALSE),"")</f>
      </c>
      <c r="T417" s="79">
        <f>IFERROR(VLOOKUP($A:$A,CS!$A:$AK,33,FALSE),"")</f>
      </c>
      <c r="U417" s="79">
        <f>IFERROR(VLOOKUP($A:$A,CS!$A:$AK,34,FALSE),"")</f>
      </c>
      <c r="V417" s="79">
        <f>IFERROR(VLOOKUP($A:$A,CS!$A:$AK,35,FALSE),"")</f>
      </c>
      <c r="W417" s="79">
        <f>IFERROR(VLOOKUP($A:$A,CS!$A:$AK,36,FALSE),"")</f>
      </c>
    </row>
    <row r="418" ht="16.5" customHeight="1" spans="1:23" x14ac:dyDescent="0.25">
      <c r="A418" s="93"/>
      <c r="B418" s="79">
        <f>IFERROR(VLOOKUP($A:$A,CS!$A:$AK,3,FALSE),"")</f>
      </c>
      <c r="C418" s="79">
        <f>IFERROR(VLOOKUP($A:$A,CS!$A:$AK,4,FALSE),"")</f>
      </c>
      <c r="D418" s="79">
        <f>IFERROR(VLOOKUP($A:$A,CS!$A:$AK,5,FALSE),"")</f>
      </c>
      <c r="E418" s="79">
        <f>IFERROR(VLOOKUP($A:$A,CS!$A:$AK,7,FALSE),"")</f>
      </c>
      <c r="F418" s="79">
        <f>IFERROR(VLOOKUP($A:$A,CS!$A:$AK,8,FALSE),"")</f>
      </c>
      <c r="G418" s="79">
        <f>IFERROR(VLOOKUP($A:$A,CS!$A:$AK,10,FALSE),"")</f>
      </c>
      <c r="H418" s="79">
        <f>IFERROR(VLOOKUP($A:$A,CS!$A:$AK,14,FALSE),"")</f>
      </c>
      <c r="I418" s="79">
        <f>IFERROR(VLOOKUP($A:$A,CS!$A:$AK,15,FALSE),"")</f>
      </c>
      <c r="J418" s="79">
        <f>IFERROR(VLOOKUP($A:$A,CS!$A:$AK,18,FALSE),"")</f>
      </c>
      <c r="K418" s="79">
        <f>IFERROR(VLOOKUP($A:$A,CS!$A:$AK,19,FALSE),"")</f>
      </c>
      <c r="L418" s="79">
        <f>IFERROR(VLOOKUP($A:$A,CS!$A:$AK,20,FALSE),"")</f>
      </c>
      <c r="M418" s="79">
        <f>IFERROR(VLOOKUP($A:$A,CS!$A:$AK,22,FALSE),"")</f>
      </c>
      <c r="N418" s="79">
        <f>IFERROR(VLOOKUP($A:$A,CS!$A:$AK,19,FALSE),"")</f>
      </c>
      <c r="O418" s="79">
        <f>IFERROR(VLOOKUP($A:$A,CS!$A:$AK,23,FALSE),"")</f>
      </c>
      <c r="P418" s="79">
        <f>IFERROR(VLOOKUP($A:$A,CS!$A:$AK,24,FALSE),"")</f>
      </c>
      <c r="Q418" s="79">
        <f>IFERROR(VLOOKUP($A:$A,CS!$A:$AK,25,FALSE),"")</f>
      </c>
      <c r="R418" s="79">
        <f>IFERROR(VLOOKUP($A:$A,CS!$A:$AK,26,FALSE),"")</f>
      </c>
      <c r="S418" s="79">
        <f>IFERROR(VLOOKUP($A:$A,CS!$A:$AK,29,FALSE),"")</f>
      </c>
      <c r="T418" s="79">
        <f>IFERROR(VLOOKUP($A:$A,CS!$A:$AK,33,FALSE),"")</f>
      </c>
      <c r="U418" s="79">
        <f>IFERROR(VLOOKUP($A:$A,CS!$A:$AK,34,FALSE),"")</f>
      </c>
      <c r="V418" s="79">
        <f>IFERROR(VLOOKUP($A:$A,CS!$A:$AK,35,FALSE),"")</f>
      </c>
      <c r="W418" s="79">
        <f>IFERROR(VLOOKUP($A:$A,CS!$A:$AK,36,FALSE),"")</f>
      </c>
    </row>
    <row r="419" ht="16.5" customHeight="1" spans="1:23" x14ac:dyDescent="0.25">
      <c r="A419" s="93"/>
      <c r="B419" s="79">
        <f>IFERROR(VLOOKUP($A:$A,CS!$A:$AK,3,FALSE),"")</f>
      </c>
      <c r="C419" s="79">
        <f>IFERROR(VLOOKUP($A:$A,CS!$A:$AK,4,FALSE),"")</f>
      </c>
      <c r="D419" s="79">
        <f>IFERROR(VLOOKUP($A:$A,CS!$A:$AK,5,FALSE),"")</f>
      </c>
      <c r="E419" s="79">
        <f>IFERROR(VLOOKUP($A:$A,CS!$A:$AK,7,FALSE),"")</f>
      </c>
      <c r="F419" s="79">
        <f>IFERROR(VLOOKUP($A:$A,CS!$A:$AK,8,FALSE),"")</f>
      </c>
      <c r="G419" s="79">
        <f>IFERROR(VLOOKUP($A:$A,CS!$A:$AK,10,FALSE),"")</f>
      </c>
      <c r="H419" s="79">
        <f>IFERROR(VLOOKUP($A:$A,CS!$A:$AK,14,FALSE),"")</f>
      </c>
      <c r="I419" s="79">
        <f>IFERROR(VLOOKUP($A:$A,CS!$A:$AK,15,FALSE),"")</f>
      </c>
      <c r="J419" s="79">
        <f>IFERROR(VLOOKUP($A:$A,CS!$A:$AK,18,FALSE),"")</f>
      </c>
      <c r="K419" s="79">
        <f>IFERROR(VLOOKUP($A:$A,CS!$A:$AK,19,FALSE),"")</f>
      </c>
      <c r="L419" s="79">
        <f>IFERROR(VLOOKUP($A:$A,CS!$A:$AK,20,FALSE),"")</f>
      </c>
      <c r="M419" s="79">
        <f>IFERROR(VLOOKUP($A:$A,CS!$A:$AK,22,FALSE),"")</f>
      </c>
      <c r="N419" s="79">
        <f>IFERROR(VLOOKUP($A:$A,CS!$A:$AK,19,FALSE),"")</f>
      </c>
      <c r="O419" s="79">
        <f>IFERROR(VLOOKUP($A:$A,CS!$A:$AK,23,FALSE),"")</f>
      </c>
      <c r="P419" s="79">
        <f>IFERROR(VLOOKUP($A:$A,CS!$A:$AK,24,FALSE),"")</f>
      </c>
      <c r="Q419" s="79">
        <f>IFERROR(VLOOKUP($A:$A,CS!$A:$AK,25,FALSE),"")</f>
      </c>
      <c r="R419" s="79">
        <f>IFERROR(VLOOKUP($A:$A,CS!$A:$AK,26,FALSE),"")</f>
      </c>
      <c r="S419" s="79">
        <f>IFERROR(VLOOKUP($A:$A,CS!$A:$AK,29,FALSE),"")</f>
      </c>
      <c r="T419" s="79">
        <f>IFERROR(VLOOKUP($A:$A,CS!$A:$AK,33,FALSE),"")</f>
      </c>
      <c r="U419" s="79">
        <f>IFERROR(VLOOKUP($A:$A,CS!$A:$AK,34,FALSE),"")</f>
      </c>
      <c r="V419" s="79">
        <f>IFERROR(VLOOKUP($A:$A,CS!$A:$AK,35,FALSE),"")</f>
      </c>
      <c r="W419" s="79">
        <f>IFERROR(VLOOKUP($A:$A,CS!$A:$AK,36,FALSE),"")</f>
      </c>
    </row>
    <row r="420" ht="16.5" customHeight="1" spans="1:23" x14ac:dyDescent="0.25">
      <c r="A420" s="93"/>
      <c r="B420" s="79">
        <f>IFERROR(VLOOKUP($A:$A,CS!$A:$AK,3,FALSE),"")</f>
      </c>
      <c r="C420" s="79">
        <f>IFERROR(VLOOKUP($A:$A,CS!$A:$AK,4,FALSE),"")</f>
      </c>
      <c r="D420" s="79">
        <f>IFERROR(VLOOKUP($A:$A,CS!$A:$AK,5,FALSE),"")</f>
      </c>
      <c r="E420" s="79">
        <f>IFERROR(VLOOKUP($A:$A,CS!$A:$AK,7,FALSE),"")</f>
      </c>
      <c r="F420" s="79">
        <f>IFERROR(VLOOKUP($A:$A,CS!$A:$AK,8,FALSE),"")</f>
      </c>
      <c r="G420" s="79">
        <f>IFERROR(VLOOKUP($A:$A,CS!$A:$AK,10,FALSE),"")</f>
      </c>
      <c r="H420" s="79">
        <f>IFERROR(VLOOKUP($A:$A,CS!$A:$AK,14,FALSE),"")</f>
      </c>
      <c r="I420" s="79">
        <f>IFERROR(VLOOKUP($A:$A,CS!$A:$AK,15,FALSE),"")</f>
      </c>
      <c r="J420" s="79">
        <f>IFERROR(VLOOKUP($A:$A,CS!$A:$AK,18,FALSE),"")</f>
      </c>
      <c r="K420" s="79">
        <f>IFERROR(VLOOKUP($A:$A,CS!$A:$AK,19,FALSE),"")</f>
      </c>
      <c r="L420" s="79">
        <f>IFERROR(VLOOKUP($A:$A,CS!$A:$AK,20,FALSE),"")</f>
      </c>
      <c r="M420" s="79">
        <f>IFERROR(VLOOKUP($A:$A,CS!$A:$AK,22,FALSE),"")</f>
      </c>
      <c r="N420" s="79">
        <f>IFERROR(VLOOKUP($A:$A,CS!$A:$AK,19,FALSE),"")</f>
      </c>
      <c r="O420" s="79">
        <f>IFERROR(VLOOKUP($A:$A,CS!$A:$AK,23,FALSE),"")</f>
      </c>
      <c r="P420" s="79">
        <f>IFERROR(VLOOKUP($A:$A,CS!$A:$AK,24,FALSE),"")</f>
      </c>
      <c r="Q420" s="79">
        <f>IFERROR(VLOOKUP($A:$A,CS!$A:$AK,25,FALSE),"")</f>
      </c>
      <c r="R420" s="79">
        <f>IFERROR(VLOOKUP($A:$A,CS!$A:$AK,26,FALSE),"")</f>
      </c>
      <c r="S420" s="79">
        <f>IFERROR(VLOOKUP($A:$A,CS!$A:$AK,29,FALSE),"")</f>
      </c>
      <c r="T420" s="79">
        <f>IFERROR(VLOOKUP($A:$A,CS!$A:$AK,33,FALSE),"")</f>
      </c>
      <c r="U420" s="79">
        <f>IFERROR(VLOOKUP($A:$A,CS!$A:$AK,34,FALSE),"")</f>
      </c>
      <c r="V420" s="79">
        <f>IFERROR(VLOOKUP($A:$A,CS!$A:$AK,35,FALSE),"")</f>
      </c>
      <c r="W420" s="79">
        <f>IFERROR(VLOOKUP($A:$A,CS!$A:$AK,36,FALSE),"")</f>
      </c>
    </row>
    <row r="421" ht="16.5" customHeight="1" spans="1:23" x14ac:dyDescent="0.25">
      <c r="A421" s="93"/>
      <c r="B421" s="79">
        <f>IFERROR(VLOOKUP($A:$A,CS!$A:$AK,3,FALSE),"")</f>
      </c>
      <c r="C421" s="79">
        <f>IFERROR(VLOOKUP($A:$A,CS!$A:$AK,4,FALSE),"")</f>
      </c>
      <c r="D421" s="79">
        <f>IFERROR(VLOOKUP($A:$A,CS!$A:$AK,5,FALSE),"")</f>
      </c>
      <c r="E421" s="79">
        <f>IFERROR(VLOOKUP($A:$A,CS!$A:$AK,7,FALSE),"")</f>
      </c>
      <c r="F421" s="79">
        <f>IFERROR(VLOOKUP($A:$A,CS!$A:$AK,8,FALSE),"")</f>
      </c>
      <c r="G421" s="79">
        <f>IFERROR(VLOOKUP($A:$A,CS!$A:$AK,10,FALSE),"")</f>
      </c>
      <c r="H421" s="79">
        <f>IFERROR(VLOOKUP($A:$A,CS!$A:$AK,14,FALSE),"")</f>
      </c>
      <c r="I421" s="79">
        <f>IFERROR(VLOOKUP($A:$A,CS!$A:$AK,15,FALSE),"")</f>
      </c>
      <c r="J421" s="79">
        <f>IFERROR(VLOOKUP($A:$A,CS!$A:$AK,18,FALSE),"")</f>
      </c>
      <c r="K421" s="79">
        <f>IFERROR(VLOOKUP($A:$A,CS!$A:$AK,19,FALSE),"")</f>
      </c>
      <c r="L421" s="79">
        <f>IFERROR(VLOOKUP($A:$A,CS!$A:$AK,20,FALSE),"")</f>
      </c>
      <c r="M421" s="79">
        <f>IFERROR(VLOOKUP($A:$A,CS!$A:$AK,22,FALSE),"")</f>
      </c>
      <c r="N421" s="79">
        <f>IFERROR(VLOOKUP($A:$A,CS!$A:$AK,19,FALSE),"")</f>
      </c>
      <c r="O421" s="79">
        <f>IFERROR(VLOOKUP($A:$A,CS!$A:$AK,23,FALSE),"")</f>
      </c>
      <c r="P421" s="79">
        <f>IFERROR(VLOOKUP($A:$A,CS!$A:$AK,24,FALSE),"")</f>
      </c>
      <c r="Q421" s="79">
        <f>IFERROR(VLOOKUP($A:$A,CS!$A:$AK,25,FALSE),"")</f>
      </c>
      <c r="R421" s="79">
        <f>IFERROR(VLOOKUP($A:$A,CS!$A:$AK,26,FALSE),"")</f>
      </c>
      <c r="S421" s="79">
        <f>IFERROR(VLOOKUP($A:$A,CS!$A:$AK,29,FALSE),"")</f>
      </c>
      <c r="T421" s="79">
        <f>IFERROR(VLOOKUP($A:$A,CS!$A:$AK,33,FALSE),"")</f>
      </c>
      <c r="U421" s="79">
        <f>IFERROR(VLOOKUP($A:$A,CS!$A:$AK,34,FALSE),"")</f>
      </c>
      <c r="V421" s="79">
        <f>IFERROR(VLOOKUP($A:$A,CS!$A:$AK,35,FALSE),"")</f>
      </c>
      <c r="W421" s="79">
        <f>IFERROR(VLOOKUP($A:$A,CS!$A:$AK,36,FALSE),"")</f>
      </c>
    </row>
    <row r="422" ht="16.5" customHeight="1" spans="1:23" x14ac:dyDescent="0.25">
      <c r="A422" s="93"/>
      <c r="B422" s="79">
        <f>IFERROR(VLOOKUP($A:$A,CS!$A:$AK,3,FALSE),"")</f>
      </c>
      <c r="C422" s="79">
        <f>IFERROR(VLOOKUP($A:$A,CS!$A:$AK,4,FALSE),"")</f>
      </c>
      <c r="D422" s="79">
        <f>IFERROR(VLOOKUP($A:$A,CS!$A:$AK,5,FALSE),"")</f>
      </c>
      <c r="E422" s="79">
        <f>IFERROR(VLOOKUP($A:$A,CS!$A:$AK,7,FALSE),"")</f>
      </c>
      <c r="F422" s="79">
        <f>IFERROR(VLOOKUP($A:$A,CS!$A:$AK,8,FALSE),"")</f>
      </c>
      <c r="G422" s="79">
        <f>IFERROR(VLOOKUP($A:$A,CS!$A:$AK,10,FALSE),"")</f>
      </c>
      <c r="H422" s="79">
        <f>IFERROR(VLOOKUP($A:$A,CS!$A:$AK,14,FALSE),"")</f>
      </c>
      <c r="I422" s="79">
        <f>IFERROR(VLOOKUP($A:$A,CS!$A:$AK,15,FALSE),"")</f>
      </c>
      <c r="J422" s="79">
        <f>IFERROR(VLOOKUP($A:$A,CS!$A:$AK,18,FALSE),"")</f>
      </c>
      <c r="K422" s="79">
        <f>IFERROR(VLOOKUP($A:$A,CS!$A:$AK,19,FALSE),"")</f>
      </c>
      <c r="L422" s="79">
        <f>IFERROR(VLOOKUP($A:$A,CS!$A:$AK,20,FALSE),"")</f>
      </c>
      <c r="M422" s="79">
        <f>IFERROR(VLOOKUP($A:$A,CS!$A:$AK,22,FALSE),"")</f>
      </c>
      <c r="N422" s="79">
        <f>IFERROR(VLOOKUP($A:$A,CS!$A:$AK,19,FALSE),"")</f>
      </c>
      <c r="O422" s="79">
        <f>IFERROR(VLOOKUP($A:$A,CS!$A:$AK,23,FALSE),"")</f>
      </c>
      <c r="P422" s="79">
        <f>IFERROR(VLOOKUP($A:$A,CS!$A:$AK,24,FALSE),"")</f>
      </c>
      <c r="Q422" s="79">
        <f>IFERROR(VLOOKUP($A:$A,CS!$A:$AK,25,FALSE),"")</f>
      </c>
      <c r="R422" s="79">
        <f>IFERROR(VLOOKUP($A:$A,CS!$A:$AK,26,FALSE),"")</f>
      </c>
      <c r="S422" s="79">
        <f>IFERROR(VLOOKUP($A:$A,CS!$A:$AK,29,FALSE),"")</f>
      </c>
      <c r="T422" s="79">
        <f>IFERROR(VLOOKUP($A:$A,CS!$A:$AK,33,FALSE),"")</f>
      </c>
      <c r="U422" s="79">
        <f>IFERROR(VLOOKUP($A:$A,CS!$A:$AK,34,FALSE),"")</f>
      </c>
      <c r="V422" s="79">
        <f>IFERROR(VLOOKUP($A:$A,CS!$A:$AK,35,FALSE),"")</f>
      </c>
      <c r="W422" s="79">
        <f>IFERROR(VLOOKUP($A:$A,CS!$A:$AK,36,FALSE),"")</f>
      </c>
    </row>
    <row r="423" ht="16.5" customHeight="1" spans="1:23" x14ac:dyDescent="0.25">
      <c r="A423" s="93"/>
      <c r="B423" s="79">
        <f>IFERROR(VLOOKUP($A:$A,CS!$A:$AK,3,FALSE),"")</f>
      </c>
      <c r="C423" s="79">
        <f>IFERROR(VLOOKUP($A:$A,CS!$A:$AK,4,FALSE),"")</f>
      </c>
      <c r="D423" s="79">
        <f>IFERROR(VLOOKUP($A:$A,CS!$A:$AK,5,FALSE),"")</f>
      </c>
      <c r="E423" s="79">
        <f>IFERROR(VLOOKUP($A:$A,CS!$A:$AK,7,FALSE),"")</f>
      </c>
      <c r="F423" s="79">
        <f>IFERROR(VLOOKUP($A:$A,CS!$A:$AK,8,FALSE),"")</f>
      </c>
      <c r="G423" s="79">
        <f>IFERROR(VLOOKUP($A:$A,CS!$A:$AK,10,FALSE),"")</f>
      </c>
      <c r="H423" s="79">
        <f>IFERROR(VLOOKUP($A:$A,CS!$A:$AK,14,FALSE),"")</f>
      </c>
      <c r="I423" s="79">
        <f>IFERROR(VLOOKUP($A:$A,CS!$A:$AK,15,FALSE),"")</f>
      </c>
      <c r="J423" s="79">
        <f>IFERROR(VLOOKUP($A:$A,CS!$A:$AK,18,FALSE),"")</f>
      </c>
      <c r="K423" s="79">
        <f>IFERROR(VLOOKUP($A:$A,CS!$A:$AK,19,FALSE),"")</f>
      </c>
      <c r="L423" s="79">
        <f>IFERROR(VLOOKUP($A:$A,CS!$A:$AK,20,FALSE),"")</f>
      </c>
      <c r="M423" s="79">
        <f>IFERROR(VLOOKUP($A:$A,CS!$A:$AK,22,FALSE),"")</f>
      </c>
      <c r="N423" s="79">
        <f>IFERROR(VLOOKUP($A:$A,CS!$A:$AK,19,FALSE),"")</f>
      </c>
      <c r="O423" s="79">
        <f>IFERROR(VLOOKUP($A:$A,CS!$A:$AK,23,FALSE),"")</f>
      </c>
      <c r="P423" s="79">
        <f>IFERROR(VLOOKUP($A:$A,CS!$A:$AK,24,FALSE),"")</f>
      </c>
      <c r="Q423" s="79">
        <f>IFERROR(VLOOKUP($A:$A,CS!$A:$AK,25,FALSE),"")</f>
      </c>
      <c r="R423" s="79">
        <f>IFERROR(VLOOKUP($A:$A,CS!$A:$AK,26,FALSE),"")</f>
      </c>
      <c r="S423" s="79">
        <f>IFERROR(VLOOKUP($A:$A,CS!$A:$AK,29,FALSE),"")</f>
      </c>
      <c r="T423" s="79">
        <f>IFERROR(VLOOKUP($A:$A,CS!$A:$AK,33,FALSE),"")</f>
      </c>
      <c r="U423" s="79">
        <f>IFERROR(VLOOKUP($A:$A,CS!$A:$AK,34,FALSE),"")</f>
      </c>
      <c r="V423" s="79">
        <f>IFERROR(VLOOKUP($A:$A,CS!$A:$AK,35,FALSE),"")</f>
      </c>
      <c r="W423" s="79">
        <f>IFERROR(VLOOKUP($A:$A,CS!$A:$AK,36,FALSE),"")</f>
      </c>
    </row>
    <row r="424" ht="16.5" customHeight="1" spans="1:23" x14ac:dyDescent="0.25">
      <c r="A424" s="93"/>
      <c r="B424" s="79">
        <f>IFERROR(VLOOKUP($A:$A,CS!$A:$AK,3,FALSE),"")</f>
      </c>
      <c r="C424" s="79">
        <f>IFERROR(VLOOKUP($A:$A,CS!$A:$AK,4,FALSE),"")</f>
      </c>
      <c r="D424" s="79">
        <f>IFERROR(VLOOKUP($A:$A,CS!$A:$AK,5,FALSE),"")</f>
      </c>
      <c r="E424" s="79">
        <f>IFERROR(VLOOKUP($A:$A,CS!$A:$AK,7,FALSE),"")</f>
      </c>
      <c r="F424" s="79">
        <f>IFERROR(VLOOKUP($A:$A,CS!$A:$AK,8,FALSE),"")</f>
      </c>
      <c r="G424" s="79">
        <f>IFERROR(VLOOKUP($A:$A,CS!$A:$AK,10,FALSE),"")</f>
      </c>
      <c r="H424" s="79">
        <f>IFERROR(VLOOKUP($A:$A,CS!$A:$AK,14,FALSE),"")</f>
      </c>
      <c r="I424" s="79">
        <f>IFERROR(VLOOKUP($A:$A,CS!$A:$AK,15,FALSE),"")</f>
      </c>
      <c r="J424" s="79">
        <f>IFERROR(VLOOKUP($A:$A,CS!$A:$AK,18,FALSE),"")</f>
      </c>
      <c r="K424" s="79">
        <f>IFERROR(VLOOKUP($A:$A,CS!$A:$AK,19,FALSE),"")</f>
      </c>
      <c r="L424" s="79">
        <f>IFERROR(VLOOKUP($A:$A,CS!$A:$AK,20,FALSE),"")</f>
      </c>
      <c r="M424" s="79">
        <f>IFERROR(VLOOKUP($A:$A,CS!$A:$AK,22,FALSE),"")</f>
      </c>
      <c r="N424" s="79">
        <f>IFERROR(VLOOKUP($A:$A,CS!$A:$AK,19,FALSE),"")</f>
      </c>
      <c r="O424" s="79">
        <f>IFERROR(VLOOKUP($A:$A,CS!$A:$AK,23,FALSE),"")</f>
      </c>
      <c r="P424" s="79">
        <f>IFERROR(VLOOKUP($A:$A,CS!$A:$AK,24,FALSE),"")</f>
      </c>
      <c r="Q424" s="79">
        <f>IFERROR(VLOOKUP($A:$A,CS!$A:$AK,25,FALSE),"")</f>
      </c>
      <c r="R424" s="79">
        <f>IFERROR(VLOOKUP($A:$A,CS!$A:$AK,26,FALSE),"")</f>
      </c>
      <c r="S424" s="79">
        <f>IFERROR(VLOOKUP($A:$A,CS!$A:$AK,29,FALSE),"")</f>
      </c>
      <c r="T424" s="79">
        <f>IFERROR(VLOOKUP($A:$A,CS!$A:$AK,33,FALSE),"")</f>
      </c>
      <c r="U424" s="79">
        <f>IFERROR(VLOOKUP($A:$A,CS!$A:$AK,34,FALSE),"")</f>
      </c>
      <c r="V424" s="79">
        <f>IFERROR(VLOOKUP($A:$A,CS!$A:$AK,35,FALSE),"")</f>
      </c>
      <c r="W424" s="79">
        <f>IFERROR(VLOOKUP($A:$A,CS!$A:$AK,36,FALSE),"")</f>
      </c>
    </row>
    <row r="425" ht="16.5" customHeight="1" spans="1:23" x14ac:dyDescent="0.25">
      <c r="A425" s="93"/>
      <c r="B425" s="79">
        <f>IFERROR(VLOOKUP($A:$A,CS!$A:$AK,3,FALSE),"")</f>
      </c>
      <c r="C425" s="79">
        <f>IFERROR(VLOOKUP($A:$A,CS!$A:$AK,4,FALSE),"")</f>
      </c>
      <c r="D425" s="79">
        <f>IFERROR(VLOOKUP($A:$A,CS!$A:$AK,5,FALSE),"")</f>
      </c>
      <c r="E425" s="79">
        <f>IFERROR(VLOOKUP($A:$A,CS!$A:$AK,7,FALSE),"")</f>
      </c>
      <c r="F425" s="79">
        <f>IFERROR(VLOOKUP($A:$A,CS!$A:$AK,8,FALSE),"")</f>
      </c>
      <c r="G425" s="79">
        <f>IFERROR(VLOOKUP($A:$A,CS!$A:$AK,10,FALSE),"")</f>
      </c>
      <c r="H425" s="79">
        <f>IFERROR(VLOOKUP($A:$A,CS!$A:$AK,14,FALSE),"")</f>
      </c>
      <c r="I425" s="79">
        <f>IFERROR(VLOOKUP($A:$A,CS!$A:$AK,15,FALSE),"")</f>
      </c>
      <c r="J425" s="79">
        <f>IFERROR(VLOOKUP($A:$A,CS!$A:$AK,18,FALSE),"")</f>
      </c>
      <c r="K425" s="79">
        <f>IFERROR(VLOOKUP($A:$A,CS!$A:$AK,19,FALSE),"")</f>
      </c>
      <c r="L425" s="79">
        <f>IFERROR(VLOOKUP($A:$A,CS!$A:$AK,20,FALSE),"")</f>
      </c>
      <c r="M425" s="79">
        <f>IFERROR(VLOOKUP($A:$A,CS!$A:$AK,22,FALSE),"")</f>
      </c>
      <c r="N425" s="79">
        <f>IFERROR(VLOOKUP($A:$A,CS!$A:$AK,19,FALSE),"")</f>
      </c>
      <c r="O425" s="79">
        <f>IFERROR(VLOOKUP($A:$A,CS!$A:$AK,23,FALSE),"")</f>
      </c>
      <c r="P425" s="79">
        <f>IFERROR(VLOOKUP($A:$A,CS!$A:$AK,24,FALSE),"")</f>
      </c>
      <c r="Q425" s="79">
        <f>IFERROR(VLOOKUP($A:$A,CS!$A:$AK,25,FALSE),"")</f>
      </c>
      <c r="R425" s="79">
        <f>IFERROR(VLOOKUP($A:$A,CS!$A:$AK,26,FALSE),"")</f>
      </c>
      <c r="S425" s="79">
        <f>IFERROR(VLOOKUP($A:$A,CS!$A:$AK,29,FALSE),"")</f>
      </c>
      <c r="T425" s="79">
        <f>IFERROR(VLOOKUP($A:$A,CS!$A:$AK,33,FALSE),"")</f>
      </c>
      <c r="U425" s="79">
        <f>IFERROR(VLOOKUP($A:$A,CS!$A:$AK,34,FALSE),"")</f>
      </c>
      <c r="V425" s="79">
        <f>IFERROR(VLOOKUP($A:$A,CS!$A:$AK,35,FALSE),"")</f>
      </c>
      <c r="W425" s="79">
        <f>IFERROR(VLOOKUP($A:$A,CS!$A:$AK,36,FALSE),"")</f>
      </c>
    </row>
    <row r="426" ht="16.5" customHeight="1" spans="1:23" x14ac:dyDescent="0.25">
      <c r="A426" s="93"/>
      <c r="B426" s="79">
        <f>IFERROR(VLOOKUP($A:$A,CS!$A:$AK,3,FALSE),"")</f>
      </c>
      <c r="C426" s="79">
        <f>IFERROR(VLOOKUP($A:$A,CS!$A:$AK,4,FALSE),"")</f>
      </c>
      <c r="D426" s="79">
        <f>IFERROR(VLOOKUP($A:$A,CS!$A:$AK,5,FALSE),"")</f>
      </c>
      <c r="E426" s="79">
        <f>IFERROR(VLOOKUP($A:$A,CS!$A:$AK,7,FALSE),"")</f>
      </c>
      <c r="F426" s="79">
        <f>IFERROR(VLOOKUP($A:$A,CS!$A:$AK,8,FALSE),"")</f>
      </c>
      <c r="G426" s="79">
        <f>IFERROR(VLOOKUP($A:$A,CS!$A:$AK,10,FALSE),"")</f>
      </c>
      <c r="H426" s="79">
        <f>IFERROR(VLOOKUP($A:$A,CS!$A:$AK,14,FALSE),"")</f>
      </c>
      <c r="I426" s="79">
        <f>IFERROR(VLOOKUP($A:$A,CS!$A:$AK,15,FALSE),"")</f>
      </c>
      <c r="J426" s="79">
        <f>IFERROR(VLOOKUP($A:$A,CS!$A:$AK,18,FALSE),"")</f>
      </c>
      <c r="K426" s="79">
        <f>IFERROR(VLOOKUP($A:$A,CS!$A:$AK,19,FALSE),"")</f>
      </c>
      <c r="L426" s="79">
        <f>IFERROR(VLOOKUP($A:$A,CS!$A:$AK,20,FALSE),"")</f>
      </c>
      <c r="M426" s="79">
        <f>IFERROR(VLOOKUP($A:$A,CS!$A:$AK,22,FALSE),"")</f>
      </c>
      <c r="N426" s="79">
        <f>IFERROR(VLOOKUP($A:$A,CS!$A:$AK,19,FALSE),"")</f>
      </c>
      <c r="O426" s="79">
        <f>IFERROR(VLOOKUP($A:$A,CS!$A:$AK,23,FALSE),"")</f>
      </c>
      <c r="P426" s="79">
        <f>IFERROR(VLOOKUP($A:$A,CS!$A:$AK,24,FALSE),"")</f>
      </c>
      <c r="Q426" s="79">
        <f>IFERROR(VLOOKUP($A:$A,CS!$A:$AK,25,FALSE),"")</f>
      </c>
      <c r="R426" s="79">
        <f>IFERROR(VLOOKUP($A:$A,CS!$A:$AK,26,FALSE),"")</f>
      </c>
      <c r="S426" s="79">
        <f>IFERROR(VLOOKUP($A:$A,CS!$A:$AK,29,FALSE),"")</f>
      </c>
      <c r="T426" s="79">
        <f>IFERROR(VLOOKUP($A:$A,CS!$A:$AK,33,FALSE),"")</f>
      </c>
      <c r="U426" s="79">
        <f>IFERROR(VLOOKUP($A:$A,CS!$A:$AK,34,FALSE),"")</f>
      </c>
      <c r="V426" s="79">
        <f>IFERROR(VLOOKUP($A:$A,CS!$A:$AK,35,FALSE),"")</f>
      </c>
      <c r="W426" s="79">
        <f>IFERROR(VLOOKUP($A:$A,CS!$A:$AK,36,FALSE),"")</f>
      </c>
    </row>
    <row r="427" ht="16.5" customHeight="1" spans="1:23" x14ac:dyDescent="0.25">
      <c r="A427" s="93"/>
      <c r="B427" s="79">
        <f>IFERROR(VLOOKUP($A:$A,CS!$A:$AK,3,FALSE),"")</f>
      </c>
      <c r="C427" s="79">
        <f>IFERROR(VLOOKUP($A:$A,CS!$A:$AK,4,FALSE),"")</f>
      </c>
      <c r="D427" s="79">
        <f>IFERROR(VLOOKUP($A:$A,CS!$A:$AK,5,FALSE),"")</f>
      </c>
      <c r="E427" s="79">
        <f>IFERROR(VLOOKUP($A:$A,CS!$A:$AK,7,FALSE),"")</f>
      </c>
      <c r="F427" s="79">
        <f>IFERROR(VLOOKUP($A:$A,CS!$A:$AK,8,FALSE),"")</f>
      </c>
      <c r="G427" s="79">
        <f>IFERROR(VLOOKUP($A:$A,CS!$A:$AK,10,FALSE),"")</f>
      </c>
      <c r="H427" s="79">
        <f>IFERROR(VLOOKUP($A:$A,CS!$A:$AK,14,FALSE),"")</f>
      </c>
      <c r="I427" s="79">
        <f>IFERROR(VLOOKUP($A:$A,CS!$A:$AK,15,FALSE),"")</f>
      </c>
      <c r="J427" s="79">
        <f>IFERROR(VLOOKUP($A:$A,CS!$A:$AK,18,FALSE),"")</f>
      </c>
      <c r="K427" s="79">
        <f>IFERROR(VLOOKUP($A:$A,CS!$A:$AK,19,FALSE),"")</f>
      </c>
      <c r="L427" s="79">
        <f>IFERROR(VLOOKUP($A:$A,CS!$A:$AK,20,FALSE),"")</f>
      </c>
      <c r="M427" s="79">
        <f>IFERROR(VLOOKUP($A:$A,CS!$A:$AK,22,FALSE),"")</f>
      </c>
      <c r="N427" s="79">
        <f>IFERROR(VLOOKUP($A:$A,CS!$A:$AK,19,FALSE),"")</f>
      </c>
      <c r="O427" s="79">
        <f>IFERROR(VLOOKUP($A:$A,CS!$A:$AK,23,FALSE),"")</f>
      </c>
      <c r="P427" s="79">
        <f>IFERROR(VLOOKUP($A:$A,CS!$A:$AK,24,FALSE),"")</f>
      </c>
      <c r="Q427" s="79">
        <f>IFERROR(VLOOKUP($A:$A,CS!$A:$AK,25,FALSE),"")</f>
      </c>
      <c r="R427" s="79">
        <f>IFERROR(VLOOKUP($A:$A,CS!$A:$AK,26,FALSE),"")</f>
      </c>
      <c r="S427" s="79">
        <f>IFERROR(VLOOKUP($A:$A,CS!$A:$AK,29,FALSE),"")</f>
      </c>
      <c r="T427" s="79">
        <f>IFERROR(VLOOKUP($A:$A,CS!$A:$AK,33,FALSE),"")</f>
      </c>
      <c r="U427" s="79">
        <f>IFERROR(VLOOKUP($A:$A,CS!$A:$AK,34,FALSE),"")</f>
      </c>
      <c r="V427" s="79">
        <f>IFERROR(VLOOKUP($A:$A,CS!$A:$AK,35,FALSE),"")</f>
      </c>
      <c r="W427" s="79">
        <f>IFERROR(VLOOKUP($A:$A,CS!$A:$AK,36,FALSE),"")</f>
      </c>
    </row>
    <row r="428" ht="16.5" customHeight="1" spans="1:23" x14ac:dyDescent="0.25">
      <c r="A428" s="93"/>
      <c r="B428" s="79">
        <f>IFERROR(VLOOKUP($A:$A,CS!$A:$AK,3,FALSE),"")</f>
      </c>
      <c r="C428" s="79">
        <f>IFERROR(VLOOKUP($A:$A,CS!$A:$AK,4,FALSE),"")</f>
      </c>
      <c r="D428" s="79">
        <f>IFERROR(VLOOKUP($A:$A,CS!$A:$AK,5,FALSE),"")</f>
      </c>
      <c r="E428" s="79">
        <f>IFERROR(VLOOKUP($A:$A,CS!$A:$AK,7,FALSE),"")</f>
      </c>
      <c r="F428" s="79">
        <f>IFERROR(VLOOKUP($A:$A,CS!$A:$AK,8,FALSE),"")</f>
      </c>
      <c r="G428" s="79">
        <f>IFERROR(VLOOKUP($A:$A,CS!$A:$AK,10,FALSE),"")</f>
      </c>
      <c r="H428" s="79">
        <f>IFERROR(VLOOKUP($A:$A,CS!$A:$AK,14,FALSE),"")</f>
      </c>
      <c r="I428" s="79">
        <f>IFERROR(VLOOKUP($A:$A,CS!$A:$AK,15,FALSE),"")</f>
      </c>
      <c r="J428" s="79">
        <f>IFERROR(VLOOKUP($A:$A,CS!$A:$AK,18,FALSE),"")</f>
      </c>
      <c r="K428" s="79">
        <f>IFERROR(VLOOKUP($A:$A,CS!$A:$AK,19,FALSE),"")</f>
      </c>
      <c r="L428" s="79">
        <f>IFERROR(VLOOKUP($A:$A,CS!$A:$AK,20,FALSE),"")</f>
      </c>
      <c r="M428" s="79">
        <f>IFERROR(VLOOKUP($A:$A,CS!$A:$AK,22,FALSE),"")</f>
      </c>
      <c r="N428" s="79">
        <f>IFERROR(VLOOKUP($A:$A,CS!$A:$AK,19,FALSE),"")</f>
      </c>
      <c r="O428" s="79">
        <f>IFERROR(VLOOKUP($A:$A,CS!$A:$AK,23,FALSE),"")</f>
      </c>
      <c r="P428" s="79">
        <f>IFERROR(VLOOKUP($A:$A,CS!$A:$AK,24,FALSE),"")</f>
      </c>
      <c r="Q428" s="79">
        <f>IFERROR(VLOOKUP($A:$A,CS!$A:$AK,25,FALSE),"")</f>
      </c>
      <c r="R428" s="79">
        <f>IFERROR(VLOOKUP($A:$A,CS!$A:$AK,26,FALSE),"")</f>
      </c>
      <c r="S428" s="79">
        <f>IFERROR(VLOOKUP($A:$A,CS!$A:$AK,29,FALSE),"")</f>
      </c>
      <c r="T428" s="79">
        <f>IFERROR(VLOOKUP($A:$A,CS!$A:$AK,33,FALSE),"")</f>
      </c>
      <c r="U428" s="79">
        <f>IFERROR(VLOOKUP($A:$A,CS!$A:$AK,34,FALSE),"")</f>
      </c>
      <c r="V428" s="79">
        <f>IFERROR(VLOOKUP($A:$A,CS!$A:$AK,35,FALSE),"")</f>
      </c>
      <c r="W428" s="79">
        <f>IFERROR(VLOOKUP($A:$A,CS!$A:$AK,36,FALSE),"")</f>
      </c>
    </row>
    <row r="429" ht="16.5" customHeight="1" spans="1:23" x14ac:dyDescent="0.25">
      <c r="A429" s="93"/>
      <c r="B429" s="79">
        <f>IFERROR(VLOOKUP($A:$A,CS!$A:$AK,3,FALSE),"")</f>
      </c>
      <c r="C429" s="79">
        <f>IFERROR(VLOOKUP($A:$A,CS!$A:$AK,4,FALSE),"")</f>
      </c>
      <c r="D429" s="79">
        <f>IFERROR(VLOOKUP($A:$A,CS!$A:$AK,5,FALSE),"")</f>
      </c>
      <c r="E429" s="79">
        <f>IFERROR(VLOOKUP($A:$A,CS!$A:$AK,7,FALSE),"")</f>
      </c>
      <c r="F429" s="79">
        <f>IFERROR(VLOOKUP($A:$A,CS!$A:$AK,8,FALSE),"")</f>
      </c>
      <c r="G429" s="79">
        <f>IFERROR(VLOOKUP($A:$A,CS!$A:$AK,10,FALSE),"")</f>
      </c>
      <c r="H429" s="79">
        <f>IFERROR(VLOOKUP($A:$A,CS!$A:$AK,14,FALSE),"")</f>
      </c>
      <c r="I429" s="79">
        <f>IFERROR(VLOOKUP($A:$A,CS!$A:$AK,15,FALSE),"")</f>
      </c>
      <c r="J429" s="79">
        <f>IFERROR(VLOOKUP($A:$A,CS!$A:$AK,18,FALSE),"")</f>
      </c>
      <c r="K429" s="79">
        <f>IFERROR(VLOOKUP($A:$A,CS!$A:$AK,19,FALSE),"")</f>
      </c>
      <c r="L429" s="79">
        <f>IFERROR(VLOOKUP($A:$A,CS!$A:$AK,20,FALSE),"")</f>
      </c>
      <c r="M429" s="79">
        <f>IFERROR(VLOOKUP($A:$A,CS!$A:$AK,22,FALSE),"")</f>
      </c>
      <c r="N429" s="79">
        <f>IFERROR(VLOOKUP($A:$A,CS!$A:$AK,19,FALSE),"")</f>
      </c>
      <c r="O429" s="79">
        <f>IFERROR(VLOOKUP($A:$A,CS!$A:$AK,23,FALSE),"")</f>
      </c>
      <c r="P429" s="79">
        <f>IFERROR(VLOOKUP($A:$A,CS!$A:$AK,24,FALSE),"")</f>
      </c>
      <c r="Q429" s="79">
        <f>IFERROR(VLOOKUP($A:$A,CS!$A:$AK,25,FALSE),"")</f>
      </c>
      <c r="R429" s="79">
        <f>IFERROR(VLOOKUP($A:$A,CS!$A:$AK,26,FALSE),"")</f>
      </c>
      <c r="S429" s="79">
        <f>IFERROR(VLOOKUP($A:$A,CS!$A:$AK,29,FALSE),"")</f>
      </c>
      <c r="T429" s="79">
        <f>IFERROR(VLOOKUP($A:$A,CS!$A:$AK,33,FALSE),"")</f>
      </c>
      <c r="U429" s="79">
        <f>IFERROR(VLOOKUP($A:$A,CS!$A:$AK,34,FALSE),"")</f>
      </c>
      <c r="V429" s="79">
        <f>IFERROR(VLOOKUP($A:$A,CS!$A:$AK,35,FALSE),"")</f>
      </c>
      <c r="W429" s="79">
        <f>IFERROR(VLOOKUP($A:$A,CS!$A:$AK,36,FALSE),"")</f>
      </c>
    </row>
    <row r="430" ht="16.5" customHeight="1" spans="1:23" x14ac:dyDescent="0.25">
      <c r="A430" s="93"/>
      <c r="B430" s="79">
        <f>IFERROR(VLOOKUP($A:$A,CS!$A:$AK,3,FALSE),"")</f>
      </c>
      <c r="C430" s="79">
        <f>IFERROR(VLOOKUP($A:$A,CS!$A:$AK,4,FALSE),"")</f>
      </c>
      <c r="D430" s="79">
        <f>IFERROR(VLOOKUP($A:$A,CS!$A:$AK,5,FALSE),"")</f>
      </c>
      <c r="E430" s="79">
        <f>IFERROR(VLOOKUP($A:$A,CS!$A:$AK,7,FALSE),"")</f>
      </c>
      <c r="F430" s="79">
        <f>IFERROR(VLOOKUP($A:$A,CS!$A:$AK,8,FALSE),"")</f>
      </c>
      <c r="G430" s="79">
        <f>IFERROR(VLOOKUP($A:$A,CS!$A:$AK,10,FALSE),"")</f>
      </c>
      <c r="H430" s="79">
        <f>IFERROR(VLOOKUP($A:$A,CS!$A:$AK,14,FALSE),"")</f>
      </c>
      <c r="I430" s="79">
        <f>IFERROR(VLOOKUP($A:$A,CS!$A:$AK,15,FALSE),"")</f>
      </c>
      <c r="J430" s="79">
        <f>IFERROR(VLOOKUP($A:$A,CS!$A:$AK,18,FALSE),"")</f>
      </c>
      <c r="K430" s="79">
        <f>IFERROR(VLOOKUP($A:$A,CS!$A:$AK,19,FALSE),"")</f>
      </c>
      <c r="L430" s="79">
        <f>IFERROR(VLOOKUP($A:$A,CS!$A:$AK,20,FALSE),"")</f>
      </c>
      <c r="M430" s="79">
        <f>IFERROR(VLOOKUP($A:$A,CS!$A:$AK,22,FALSE),"")</f>
      </c>
      <c r="N430" s="79">
        <f>IFERROR(VLOOKUP($A:$A,CS!$A:$AK,19,FALSE),"")</f>
      </c>
      <c r="O430" s="79">
        <f>IFERROR(VLOOKUP($A:$A,CS!$A:$AK,23,FALSE),"")</f>
      </c>
      <c r="P430" s="79">
        <f>IFERROR(VLOOKUP($A:$A,CS!$A:$AK,24,FALSE),"")</f>
      </c>
      <c r="Q430" s="79">
        <f>IFERROR(VLOOKUP($A:$A,CS!$A:$AK,25,FALSE),"")</f>
      </c>
      <c r="R430" s="79">
        <f>IFERROR(VLOOKUP($A:$A,CS!$A:$AK,26,FALSE),"")</f>
      </c>
      <c r="S430" s="79">
        <f>IFERROR(VLOOKUP($A:$A,CS!$A:$AK,29,FALSE),"")</f>
      </c>
      <c r="T430" s="79">
        <f>IFERROR(VLOOKUP($A:$A,CS!$A:$AK,33,FALSE),"")</f>
      </c>
      <c r="U430" s="79">
        <f>IFERROR(VLOOKUP($A:$A,CS!$A:$AK,34,FALSE),"")</f>
      </c>
      <c r="V430" s="79">
        <f>IFERROR(VLOOKUP($A:$A,CS!$A:$AK,35,FALSE),"")</f>
      </c>
      <c r="W430" s="79">
        <f>IFERROR(VLOOKUP($A:$A,CS!$A:$AK,36,FALSE),"")</f>
      </c>
    </row>
    <row r="431" ht="16.5" customHeight="1" spans="1:23" x14ac:dyDescent="0.25">
      <c r="A431" s="93"/>
      <c r="B431" s="79">
        <f>IFERROR(VLOOKUP($A:$A,CS!$A:$AK,3,FALSE),"")</f>
      </c>
      <c r="C431" s="79">
        <f>IFERROR(VLOOKUP($A:$A,CS!$A:$AK,4,FALSE),"")</f>
      </c>
      <c r="D431" s="79">
        <f>IFERROR(VLOOKUP($A:$A,CS!$A:$AK,5,FALSE),"")</f>
      </c>
      <c r="E431" s="79">
        <f>IFERROR(VLOOKUP($A:$A,CS!$A:$AK,7,FALSE),"")</f>
      </c>
      <c r="F431" s="79">
        <f>IFERROR(VLOOKUP($A:$A,CS!$A:$AK,8,FALSE),"")</f>
      </c>
      <c r="G431" s="79">
        <f>IFERROR(VLOOKUP($A:$A,CS!$A:$AK,10,FALSE),"")</f>
      </c>
      <c r="H431" s="79">
        <f>IFERROR(VLOOKUP($A:$A,CS!$A:$AK,14,FALSE),"")</f>
      </c>
      <c r="I431" s="79">
        <f>IFERROR(VLOOKUP($A:$A,CS!$A:$AK,15,FALSE),"")</f>
      </c>
      <c r="J431" s="79">
        <f>IFERROR(VLOOKUP($A:$A,CS!$A:$AK,18,FALSE),"")</f>
      </c>
      <c r="K431" s="79">
        <f>IFERROR(VLOOKUP($A:$A,CS!$A:$AK,19,FALSE),"")</f>
      </c>
      <c r="L431" s="79">
        <f>IFERROR(VLOOKUP($A:$A,CS!$A:$AK,20,FALSE),"")</f>
      </c>
      <c r="M431" s="79">
        <f>IFERROR(VLOOKUP($A:$A,CS!$A:$AK,22,FALSE),"")</f>
      </c>
      <c r="N431" s="79">
        <f>IFERROR(VLOOKUP($A:$A,CS!$A:$AK,19,FALSE),"")</f>
      </c>
      <c r="O431" s="79">
        <f>IFERROR(VLOOKUP($A:$A,CS!$A:$AK,23,FALSE),"")</f>
      </c>
      <c r="P431" s="79">
        <f>IFERROR(VLOOKUP($A:$A,CS!$A:$AK,24,FALSE),"")</f>
      </c>
      <c r="Q431" s="79">
        <f>IFERROR(VLOOKUP($A:$A,CS!$A:$AK,25,FALSE),"")</f>
      </c>
      <c r="R431" s="79">
        <f>IFERROR(VLOOKUP($A:$A,CS!$A:$AK,26,FALSE),"")</f>
      </c>
      <c r="S431" s="79">
        <f>IFERROR(VLOOKUP($A:$A,CS!$A:$AK,29,FALSE),"")</f>
      </c>
      <c r="T431" s="79">
        <f>IFERROR(VLOOKUP($A:$A,CS!$A:$AK,33,FALSE),"")</f>
      </c>
      <c r="U431" s="79">
        <f>IFERROR(VLOOKUP($A:$A,CS!$A:$AK,34,FALSE),"")</f>
      </c>
      <c r="V431" s="79">
        <f>IFERROR(VLOOKUP($A:$A,CS!$A:$AK,35,FALSE),"")</f>
      </c>
      <c r="W431" s="79">
        <f>IFERROR(VLOOKUP($A:$A,CS!$A:$AK,36,FALSE),"")</f>
      </c>
    </row>
    <row r="432" ht="16.5" customHeight="1" spans="1:23" x14ac:dyDescent="0.25">
      <c r="A432" s="93"/>
      <c r="B432" s="79">
        <f>IFERROR(VLOOKUP($A:$A,CS!$A:$AK,3,FALSE),"")</f>
      </c>
      <c r="C432" s="79">
        <f>IFERROR(VLOOKUP($A:$A,CS!$A:$AK,4,FALSE),"")</f>
      </c>
      <c r="D432" s="79">
        <f>IFERROR(VLOOKUP($A:$A,CS!$A:$AK,5,FALSE),"")</f>
      </c>
      <c r="E432" s="79">
        <f>IFERROR(VLOOKUP($A:$A,CS!$A:$AK,7,FALSE),"")</f>
      </c>
      <c r="F432" s="79">
        <f>IFERROR(VLOOKUP($A:$A,CS!$A:$AK,8,FALSE),"")</f>
      </c>
      <c r="G432" s="79">
        <f>IFERROR(VLOOKUP($A:$A,CS!$A:$AK,10,FALSE),"")</f>
      </c>
      <c r="H432" s="79">
        <f>IFERROR(VLOOKUP($A:$A,CS!$A:$AK,14,FALSE),"")</f>
      </c>
      <c r="I432" s="79">
        <f>IFERROR(VLOOKUP($A:$A,CS!$A:$AK,15,FALSE),"")</f>
      </c>
      <c r="J432" s="79">
        <f>IFERROR(VLOOKUP($A:$A,CS!$A:$AK,18,FALSE),"")</f>
      </c>
      <c r="K432" s="79">
        <f>IFERROR(VLOOKUP($A:$A,CS!$A:$AK,19,FALSE),"")</f>
      </c>
      <c r="L432" s="79">
        <f>IFERROR(VLOOKUP($A:$A,CS!$A:$AK,20,FALSE),"")</f>
      </c>
      <c r="M432" s="79">
        <f>IFERROR(VLOOKUP($A:$A,CS!$A:$AK,22,FALSE),"")</f>
      </c>
      <c r="N432" s="79">
        <f>IFERROR(VLOOKUP($A:$A,CS!$A:$AK,19,FALSE),"")</f>
      </c>
      <c r="O432" s="79">
        <f>IFERROR(VLOOKUP($A:$A,CS!$A:$AK,23,FALSE),"")</f>
      </c>
      <c r="P432" s="79">
        <f>IFERROR(VLOOKUP($A:$A,CS!$A:$AK,24,FALSE),"")</f>
      </c>
      <c r="Q432" s="79">
        <f>IFERROR(VLOOKUP($A:$A,CS!$A:$AK,25,FALSE),"")</f>
      </c>
      <c r="R432" s="79">
        <f>IFERROR(VLOOKUP($A:$A,CS!$A:$AK,26,FALSE),"")</f>
      </c>
      <c r="S432" s="79">
        <f>IFERROR(VLOOKUP($A:$A,CS!$A:$AK,29,FALSE),"")</f>
      </c>
      <c r="T432" s="79">
        <f>IFERROR(VLOOKUP($A:$A,CS!$A:$AK,33,FALSE),"")</f>
      </c>
      <c r="U432" s="79">
        <f>IFERROR(VLOOKUP($A:$A,CS!$A:$AK,34,FALSE),"")</f>
      </c>
      <c r="V432" s="79">
        <f>IFERROR(VLOOKUP($A:$A,CS!$A:$AK,35,FALSE),"")</f>
      </c>
      <c r="W432" s="79">
        <f>IFERROR(VLOOKUP($A:$A,CS!$A:$AK,36,FALSE),"")</f>
      </c>
    </row>
    <row r="433" ht="16.5" customHeight="1" spans="1:23" x14ac:dyDescent="0.25">
      <c r="A433" s="93"/>
      <c r="B433" s="79">
        <f>IFERROR(VLOOKUP($A:$A,CS!$A:$AK,3,FALSE),"")</f>
      </c>
      <c r="C433" s="79">
        <f>IFERROR(VLOOKUP($A:$A,CS!$A:$AK,4,FALSE),"")</f>
      </c>
      <c r="D433" s="79">
        <f>IFERROR(VLOOKUP($A:$A,CS!$A:$AK,5,FALSE),"")</f>
      </c>
      <c r="E433" s="79">
        <f>IFERROR(VLOOKUP($A:$A,CS!$A:$AK,7,FALSE),"")</f>
      </c>
      <c r="F433" s="79">
        <f>IFERROR(VLOOKUP($A:$A,CS!$A:$AK,8,FALSE),"")</f>
      </c>
      <c r="G433" s="79">
        <f>IFERROR(VLOOKUP($A:$A,CS!$A:$AK,10,FALSE),"")</f>
      </c>
      <c r="H433" s="79">
        <f>IFERROR(VLOOKUP($A:$A,CS!$A:$AK,14,FALSE),"")</f>
      </c>
      <c r="I433" s="79">
        <f>IFERROR(VLOOKUP($A:$A,CS!$A:$AK,15,FALSE),"")</f>
      </c>
      <c r="J433" s="79">
        <f>IFERROR(VLOOKUP($A:$A,CS!$A:$AK,18,FALSE),"")</f>
      </c>
      <c r="K433" s="79">
        <f>IFERROR(VLOOKUP($A:$A,CS!$A:$AK,19,FALSE),"")</f>
      </c>
      <c r="L433" s="79">
        <f>IFERROR(VLOOKUP($A:$A,CS!$A:$AK,20,FALSE),"")</f>
      </c>
      <c r="M433" s="79">
        <f>IFERROR(VLOOKUP($A:$A,CS!$A:$AK,22,FALSE),"")</f>
      </c>
      <c r="N433" s="79">
        <f>IFERROR(VLOOKUP($A:$A,CS!$A:$AK,19,FALSE),"")</f>
      </c>
      <c r="O433" s="79">
        <f>IFERROR(VLOOKUP($A:$A,CS!$A:$AK,23,FALSE),"")</f>
      </c>
      <c r="P433" s="79">
        <f>IFERROR(VLOOKUP($A:$A,CS!$A:$AK,24,FALSE),"")</f>
      </c>
      <c r="Q433" s="79">
        <f>IFERROR(VLOOKUP($A:$A,CS!$A:$AK,25,FALSE),"")</f>
      </c>
      <c r="R433" s="79">
        <f>IFERROR(VLOOKUP($A:$A,CS!$A:$AK,26,FALSE),"")</f>
      </c>
      <c r="S433" s="79">
        <f>IFERROR(VLOOKUP($A:$A,CS!$A:$AK,29,FALSE),"")</f>
      </c>
      <c r="T433" s="79">
        <f>IFERROR(VLOOKUP($A:$A,CS!$A:$AK,33,FALSE),"")</f>
      </c>
      <c r="U433" s="79">
        <f>IFERROR(VLOOKUP($A:$A,CS!$A:$AK,34,FALSE),"")</f>
      </c>
      <c r="V433" s="79">
        <f>IFERROR(VLOOKUP($A:$A,CS!$A:$AK,35,FALSE),"")</f>
      </c>
      <c r="W433" s="79">
        <f>IFERROR(VLOOKUP($A:$A,CS!$A:$AK,36,FALSE),"")</f>
      </c>
    </row>
    <row r="434" ht="16.5" customHeight="1" spans="1:23" x14ac:dyDescent="0.25">
      <c r="A434" s="93"/>
      <c r="B434" s="79">
        <f>IFERROR(VLOOKUP($A:$A,CS!$A:$AK,3,FALSE),"")</f>
      </c>
      <c r="C434" s="79">
        <f>IFERROR(VLOOKUP($A:$A,CS!$A:$AK,4,FALSE),"")</f>
      </c>
      <c r="D434" s="79">
        <f>IFERROR(VLOOKUP($A:$A,CS!$A:$AK,5,FALSE),"")</f>
      </c>
      <c r="E434" s="79">
        <f>IFERROR(VLOOKUP($A:$A,CS!$A:$AK,7,FALSE),"")</f>
      </c>
      <c r="F434" s="79">
        <f>IFERROR(VLOOKUP($A:$A,CS!$A:$AK,8,FALSE),"")</f>
      </c>
      <c r="G434" s="79">
        <f>IFERROR(VLOOKUP($A:$A,CS!$A:$AK,10,FALSE),"")</f>
      </c>
      <c r="H434" s="79">
        <f>IFERROR(VLOOKUP($A:$A,CS!$A:$AK,14,FALSE),"")</f>
      </c>
      <c r="I434" s="79">
        <f>IFERROR(VLOOKUP($A:$A,CS!$A:$AK,15,FALSE),"")</f>
      </c>
      <c r="J434" s="79">
        <f>IFERROR(VLOOKUP($A:$A,CS!$A:$AK,18,FALSE),"")</f>
      </c>
      <c r="K434" s="79">
        <f>IFERROR(VLOOKUP($A:$A,CS!$A:$AK,19,FALSE),"")</f>
      </c>
      <c r="L434" s="79">
        <f>IFERROR(VLOOKUP($A:$A,CS!$A:$AK,20,FALSE),"")</f>
      </c>
      <c r="M434" s="79">
        <f>IFERROR(VLOOKUP($A:$A,CS!$A:$AK,22,FALSE),"")</f>
      </c>
      <c r="N434" s="79">
        <f>IFERROR(VLOOKUP($A:$A,CS!$A:$AK,19,FALSE),"")</f>
      </c>
      <c r="O434" s="79">
        <f>IFERROR(VLOOKUP($A:$A,CS!$A:$AK,23,FALSE),"")</f>
      </c>
      <c r="P434" s="79">
        <f>IFERROR(VLOOKUP($A:$A,CS!$A:$AK,24,FALSE),"")</f>
      </c>
      <c r="Q434" s="79">
        <f>IFERROR(VLOOKUP($A:$A,CS!$A:$AK,25,FALSE),"")</f>
      </c>
      <c r="R434" s="79">
        <f>IFERROR(VLOOKUP($A:$A,CS!$A:$AK,26,FALSE),"")</f>
      </c>
      <c r="S434" s="79">
        <f>IFERROR(VLOOKUP($A:$A,CS!$A:$AK,29,FALSE),"")</f>
      </c>
      <c r="T434" s="79">
        <f>IFERROR(VLOOKUP($A:$A,CS!$A:$AK,33,FALSE),"")</f>
      </c>
      <c r="U434" s="79">
        <f>IFERROR(VLOOKUP($A:$A,CS!$A:$AK,34,FALSE),"")</f>
      </c>
      <c r="V434" s="79">
        <f>IFERROR(VLOOKUP($A:$A,CS!$A:$AK,35,FALSE),"")</f>
      </c>
      <c r="W434" s="79">
        <f>IFERROR(VLOOKUP($A:$A,CS!$A:$AK,36,FALSE),"")</f>
      </c>
    </row>
    <row r="435" ht="16.5" customHeight="1" spans="1:23" x14ac:dyDescent="0.25">
      <c r="A435" s="93"/>
      <c r="B435" s="79">
        <f>IFERROR(VLOOKUP($A:$A,CS!$A:$AK,3,FALSE),"")</f>
      </c>
      <c r="C435" s="79">
        <f>IFERROR(VLOOKUP($A:$A,CS!$A:$AK,4,FALSE),"")</f>
      </c>
      <c r="D435" s="79">
        <f>IFERROR(VLOOKUP($A:$A,CS!$A:$AK,5,FALSE),"")</f>
      </c>
      <c r="E435" s="79">
        <f>IFERROR(VLOOKUP($A:$A,CS!$A:$AK,7,FALSE),"")</f>
      </c>
      <c r="F435" s="79">
        <f>IFERROR(VLOOKUP($A:$A,CS!$A:$AK,8,FALSE),"")</f>
      </c>
      <c r="G435" s="79">
        <f>IFERROR(VLOOKUP($A:$A,CS!$A:$AK,10,FALSE),"")</f>
      </c>
      <c r="H435" s="79">
        <f>IFERROR(VLOOKUP($A:$A,CS!$A:$AK,14,FALSE),"")</f>
      </c>
      <c r="I435" s="79">
        <f>IFERROR(VLOOKUP($A:$A,CS!$A:$AK,15,FALSE),"")</f>
      </c>
      <c r="J435" s="79">
        <f>IFERROR(VLOOKUP($A:$A,CS!$A:$AK,18,FALSE),"")</f>
      </c>
      <c r="K435" s="79">
        <f>IFERROR(VLOOKUP($A:$A,CS!$A:$AK,19,FALSE),"")</f>
      </c>
      <c r="L435" s="79">
        <f>IFERROR(VLOOKUP($A:$A,CS!$A:$AK,20,FALSE),"")</f>
      </c>
      <c r="M435" s="79">
        <f>IFERROR(VLOOKUP($A:$A,CS!$A:$AK,22,FALSE),"")</f>
      </c>
      <c r="N435" s="79">
        <f>IFERROR(VLOOKUP($A:$A,CS!$A:$AK,19,FALSE),"")</f>
      </c>
      <c r="O435" s="79">
        <f>IFERROR(VLOOKUP($A:$A,CS!$A:$AK,23,FALSE),"")</f>
      </c>
      <c r="P435" s="79">
        <f>IFERROR(VLOOKUP($A:$A,CS!$A:$AK,24,FALSE),"")</f>
      </c>
      <c r="Q435" s="79">
        <f>IFERROR(VLOOKUP($A:$A,CS!$A:$AK,25,FALSE),"")</f>
      </c>
      <c r="R435" s="79">
        <f>IFERROR(VLOOKUP($A:$A,CS!$A:$AK,26,FALSE),"")</f>
      </c>
      <c r="S435" s="79">
        <f>IFERROR(VLOOKUP($A:$A,CS!$A:$AK,29,FALSE),"")</f>
      </c>
      <c r="T435" s="79">
        <f>IFERROR(VLOOKUP($A:$A,CS!$A:$AK,33,FALSE),"")</f>
      </c>
      <c r="U435" s="79">
        <f>IFERROR(VLOOKUP($A:$A,CS!$A:$AK,34,FALSE),"")</f>
      </c>
      <c r="V435" s="79">
        <f>IFERROR(VLOOKUP($A:$A,CS!$A:$AK,35,FALSE),"")</f>
      </c>
      <c r="W435" s="79">
        <f>IFERROR(VLOOKUP($A:$A,CS!$A:$AK,36,FALSE),"")</f>
      </c>
    </row>
    <row r="436" ht="16.5" customHeight="1" spans="1:23" x14ac:dyDescent="0.25">
      <c r="A436" s="93"/>
      <c r="B436" s="79">
        <f>IFERROR(VLOOKUP($A:$A,CS!$A:$AK,3,FALSE),"")</f>
      </c>
      <c r="C436" s="79">
        <f>IFERROR(VLOOKUP($A:$A,CS!$A:$AK,4,FALSE),"")</f>
      </c>
      <c r="D436" s="79">
        <f>IFERROR(VLOOKUP($A:$A,CS!$A:$AK,5,FALSE),"")</f>
      </c>
      <c r="E436" s="79">
        <f>IFERROR(VLOOKUP($A:$A,CS!$A:$AK,7,FALSE),"")</f>
      </c>
      <c r="F436" s="79">
        <f>IFERROR(VLOOKUP($A:$A,CS!$A:$AK,8,FALSE),"")</f>
      </c>
      <c r="G436" s="79">
        <f>IFERROR(VLOOKUP($A:$A,CS!$A:$AK,10,FALSE),"")</f>
      </c>
      <c r="H436" s="79">
        <f>IFERROR(VLOOKUP($A:$A,CS!$A:$AK,14,FALSE),"")</f>
      </c>
      <c r="I436" s="79">
        <f>IFERROR(VLOOKUP($A:$A,CS!$A:$AK,15,FALSE),"")</f>
      </c>
      <c r="J436" s="79">
        <f>IFERROR(VLOOKUP($A:$A,CS!$A:$AK,18,FALSE),"")</f>
      </c>
      <c r="K436" s="79">
        <f>IFERROR(VLOOKUP($A:$A,CS!$A:$AK,19,FALSE),"")</f>
      </c>
      <c r="L436" s="79">
        <f>IFERROR(VLOOKUP($A:$A,CS!$A:$AK,20,FALSE),"")</f>
      </c>
      <c r="M436" s="79">
        <f>IFERROR(VLOOKUP($A:$A,CS!$A:$AK,22,FALSE),"")</f>
      </c>
      <c r="N436" s="79">
        <f>IFERROR(VLOOKUP($A:$A,CS!$A:$AK,19,FALSE),"")</f>
      </c>
      <c r="O436" s="79">
        <f>IFERROR(VLOOKUP($A:$A,CS!$A:$AK,23,FALSE),"")</f>
      </c>
      <c r="P436" s="79">
        <f>IFERROR(VLOOKUP($A:$A,CS!$A:$AK,24,FALSE),"")</f>
      </c>
      <c r="Q436" s="79">
        <f>IFERROR(VLOOKUP($A:$A,CS!$A:$AK,25,FALSE),"")</f>
      </c>
      <c r="R436" s="79">
        <f>IFERROR(VLOOKUP($A:$A,CS!$A:$AK,26,FALSE),"")</f>
      </c>
      <c r="S436" s="79">
        <f>IFERROR(VLOOKUP($A:$A,CS!$A:$AK,29,FALSE),"")</f>
      </c>
      <c r="T436" s="79">
        <f>IFERROR(VLOOKUP($A:$A,CS!$A:$AK,33,FALSE),"")</f>
      </c>
      <c r="U436" s="79">
        <f>IFERROR(VLOOKUP($A:$A,CS!$A:$AK,34,FALSE),"")</f>
      </c>
      <c r="V436" s="79">
        <f>IFERROR(VLOOKUP($A:$A,CS!$A:$AK,35,FALSE),"")</f>
      </c>
      <c r="W436" s="79">
        <f>IFERROR(VLOOKUP($A:$A,CS!$A:$AK,36,FALSE),"")</f>
      </c>
    </row>
    <row r="437" ht="16.5" customHeight="1" spans="1:23" x14ac:dyDescent="0.25">
      <c r="A437" s="93"/>
      <c r="B437" s="79">
        <f>IFERROR(VLOOKUP($A:$A,CS!$A:$AK,3,FALSE),"")</f>
      </c>
      <c r="C437" s="79">
        <f>IFERROR(VLOOKUP($A:$A,CS!$A:$AK,4,FALSE),"")</f>
      </c>
      <c r="D437" s="79">
        <f>IFERROR(VLOOKUP($A:$A,CS!$A:$AK,5,FALSE),"")</f>
      </c>
      <c r="E437" s="79">
        <f>IFERROR(VLOOKUP($A:$A,CS!$A:$AK,7,FALSE),"")</f>
      </c>
      <c r="F437" s="79">
        <f>IFERROR(VLOOKUP($A:$A,CS!$A:$AK,8,FALSE),"")</f>
      </c>
      <c r="G437" s="79">
        <f>IFERROR(VLOOKUP($A:$A,CS!$A:$AK,10,FALSE),"")</f>
      </c>
      <c r="H437" s="79">
        <f>IFERROR(VLOOKUP($A:$A,CS!$A:$AK,14,FALSE),"")</f>
      </c>
      <c r="I437" s="79">
        <f>IFERROR(VLOOKUP($A:$A,CS!$A:$AK,15,FALSE),"")</f>
      </c>
      <c r="J437" s="79">
        <f>IFERROR(VLOOKUP($A:$A,CS!$A:$AK,18,FALSE),"")</f>
      </c>
      <c r="K437" s="79">
        <f>IFERROR(VLOOKUP($A:$A,CS!$A:$AK,19,FALSE),"")</f>
      </c>
      <c r="L437" s="79">
        <f>IFERROR(VLOOKUP($A:$A,CS!$A:$AK,20,FALSE),"")</f>
      </c>
      <c r="M437" s="79">
        <f>IFERROR(VLOOKUP($A:$A,CS!$A:$AK,22,FALSE),"")</f>
      </c>
      <c r="N437" s="79">
        <f>IFERROR(VLOOKUP($A:$A,CS!$A:$AK,19,FALSE),"")</f>
      </c>
      <c r="O437" s="79">
        <f>IFERROR(VLOOKUP($A:$A,CS!$A:$AK,23,FALSE),"")</f>
      </c>
      <c r="P437" s="79">
        <f>IFERROR(VLOOKUP($A:$A,CS!$A:$AK,24,FALSE),"")</f>
      </c>
      <c r="Q437" s="79">
        <f>IFERROR(VLOOKUP($A:$A,CS!$A:$AK,25,FALSE),"")</f>
      </c>
      <c r="R437" s="79">
        <f>IFERROR(VLOOKUP($A:$A,CS!$A:$AK,26,FALSE),"")</f>
      </c>
      <c r="S437" s="79">
        <f>IFERROR(VLOOKUP($A:$A,CS!$A:$AK,29,FALSE),"")</f>
      </c>
      <c r="T437" s="79">
        <f>IFERROR(VLOOKUP($A:$A,CS!$A:$AK,33,FALSE),"")</f>
      </c>
      <c r="U437" s="79">
        <f>IFERROR(VLOOKUP($A:$A,CS!$A:$AK,34,FALSE),"")</f>
      </c>
      <c r="V437" s="79">
        <f>IFERROR(VLOOKUP($A:$A,CS!$A:$AK,35,FALSE),"")</f>
      </c>
      <c r="W437" s="79">
        <f>IFERROR(VLOOKUP($A:$A,CS!$A:$AK,36,FALSE),"")</f>
      </c>
    </row>
    <row r="438" ht="16.5" customHeight="1" spans="1:23" x14ac:dyDescent="0.25">
      <c r="A438" s="93"/>
      <c r="B438" s="79">
        <f>IFERROR(VLOOKUP($A:$A,CS!$A:$AK,3,FALSE),"")</f>
      </c>
      <c r="C438" s="79">
        <f>IFERROR(VLOOKUP($A:$A,CS!$A:$AK,4,FALSE),"")</f>
      </c>
      <c r="D438" s="79">
        <f>IFERROR(VLOOKUP($A:$A,CS!$A:$AK,5,FALSE),"")</f>
      </c>
      <c r="E438" s="79">
        <f>IFERROR(VLOOKUP($A:$A,CS!$A:$AK,7,FALSE),"")</f>
      </c>
      <c r="F438" s="79">
        <f>IFERROR(VLOOKUP($A:$A,CS!$A:$AK,8,FALSE),"")</f>
      </c>
      <c r="G438" s="79">
        <f>IFERROR(VLOOKUP($A:$A,CS!$A:$AK,10,FALSE),"")</f>
      </c>
      <c r="H438" s="79">
        <f>IFERROR(VLOOKUP($A:$A,CS!$A:$AK,14,FALSE),"")</f>
      </c>
      <c r="I438" s="79">
        <f>IFERROR(VLOOKUP($A:$A,CS!$A:$AK,15,FALSE),"")</f>
      </c>
      <c r="J438" s="79">
        <f>IFERROR(VLOOKUP($A:$A,CS!$A:$AK,18,FALSE),"")</f>
      </c>
      <c r="K438" s="79">
        <f>IFERROR(VLOOKUP($A:$A,CS!$A:$AK,19,FALSE),"")</f>
      </c>
      <c r="L438" s="79">
        <f>IFERROR(VLOOKUP($A:$A,CS!$A:$AK,20,FALSE),"")</f>
      </c>
      <c r="M438" s="79">
        <f>IFERROR(VLOOKUP($A:$A,CS!$A:$AK,22,FALSE),"")</f>
      </c>
      <c r="N438" s="79">
        <f>IFERROR(VLOOKUP($A:$A,CS!$A:$AK,19,FALSE),"")</f>
      </c>
      <c r="O438" s="79">
        <f>IFERROR(VLOOKUP($A:$A,CS!$A:$AK,23,FALSE),"")</f>
      </c>
      <c r="P438" s="79">
        <f>IFERROR(VLOOKUP($A:$A,CS!$A:$AK,24,FALSE),"")</f>
      </c>
      <c r="Q438" s="79">
        <f>IFERROR(VLOOKUP($A:$A,CS!$A:$AK,25,FALSE),"")</f>
      </c>
      <c r="R438" s="79">
        <f>IFERROR(VLOOKUP($A:$A,CS!$A:$AK,26,FALSE),"")</f>
      </c>
      <c r="S438" s="79">
        <f>IFERROR(VLOOKUP($A:$A,CS!$A:$AK,29,FALSE),"")</f>
      </c>
      <c r="T438" s="79">
        <f>IFERROR(VLOOKUP($A:$A,CS!$A:$AK,33,FALSE),"")</f>
      </c>
      <c r="U438" s="79">
        <f>IFERROR(VLOOKUP($A:$A,CS!$A:$AK,34,FALSE),"")</f>
      </c>
      <c r="V438" s="79">
        <f>IFERROR(VLOOKUP($A:$A,CS!$A:$AK,35,FALSE),"")</f>
      </c>
      <c r="W438" s="79">
        <f>IFERROR(VLOOKUP($A:$A,CS!$A:$AK,36,FALSE),"")</f>
      </c>
    </row>
    <row r="439" ht="16.5" customHeight="1" spans="1:23" x14ac:dyDescent="0.25">
      <c r="A439" s="93"/>
      <c r="B439" s="79">
        <f>IFERROR(VLOOKUP($A:$A,CS!$A:$AK,3,FALSE),"")</f>
      </c>
      <c r="C439" s="79">
        <f>IFERROR(VLOOKUP($A:$A,CS!$A:$AK,4,FALSE),"")</f>
      </c>
      <c r="D439" s="79">
        <f>IFERROR(VLOOKUP($A:$A,CS!$A:$AK,5,FALSE),"")</f>
      </c>
      <c r="E439" s="79">
        <f>IFERROR(VLOOKUP($A:$A,CS!$A:$AK,7,FALSE),"")</f>
      </c>
      <c r="F439" s="79">
        <f>IFERROR(VLOOKUP($A:$A,CS!$A:$AK,8,FALSE),"")</f>
      </c>
      <c r="G439" s="79">
        <f>IFERROR(VLOOKUP($A:$A,CS!$A:$AK,10,FALSE),"")</f>
      </c>
      <c r="H439" s="79">
        <f>IFERROR(VLOOKUP($A:$A,CS!$A:$AK,14,FALSE),"")</f>
      </c>
      <c r="I439" s="79">
        <f>IFERROR(VLOOKUP($A:$A,CS!$A:$AK,15,FALSE),"")</f>
      </c>
      <c r="J439" s="79">
        <f>IFERROR(VLOOKUP($A:$A,CS!$A:$AK,18,FALSE),"")</f>
      </c>
      <c r="K439" s="79">
        <f>IFERROR(VLOOKUP($A:$A,CS!$A:$AK,19,FALSE),"")</f>
      </c>
      <c r="L439" s="79">
        <f>IFERROR(VLOOKUP($A:$A,CS!$A:$AK,20,FALSE),"")</f>
      </c>
      <c r="M439" s="79">
        <f>IFERROR(VLOOKUP($A:$A,CS!$A:$AK,22,FALSE),"")</f>
      </c>
      <c r="N439" s="79">
        <f>IFERROR(VLOOKUP($A:$A,CS!$A:$AK,19,FALSE),"")</f>
      </c>
      <c r="O439" s="79">
        <f>IFERROR(VLOOKUP($A:$A,CS!$A:$AK,23,FALSE),"")</f>
      </c>
      <c r="P439" s="79">
        <f>IFERROR(VLOOKUP($A:$A,CS!$A:$AK,24,FALSE),"")</f>
      </c>
      <c r="Q439" s="79">
        <f>IFERROR(VLOOKUP($A:$A,CS!$A:$AK,25,FALSE),"")</f>
      </c>
      <c r="R439" s="79">
        <f>IFERROR(VLOOKUP($A:$A,CS!$A:$AK,26,FALSE),"")</f>
      </c>
      <c r="S439" s="79">
        <f>IFERROR(VLOOKUP($A:$A,CS!$A:$AK,29,FALSE),"")</f>
      </c>
      <c r="T439" s="79">
        <f>IFERROR(VLOOKUP($A:$A,CS!$A:$AK,33,FALSE),"")</f>
      </c>
      <c r="U439" s="79">
        <f>IFERROR(VLOOKUP($A:$A,CS!$A:$AK,34,FALSE),"")</f>
      </c>
      <c r="V439" s="79">
        <f>IFERROR(VLOOKUP($A:$A,CS!$A:$AK,35,FALSE),"")</f>
      </c>
      <c r="W439" s="79">
        <f>IFERROR(VLOOKUP($A:$A,CS!$A:$AK,36,FALSE),"")</f>
      </c>
    </row>
    <row r="440" ht="16.5" customHeight="1" spans="1:23" x14ac:dyDescent="0.25">
      <c r="A440" s="93"/>
      <c r="B440" s="79">
        <f>IFERROR(VLOOKUP($A:$A,CS!$A:$AK,3,FALSE),"")</f>
      </c>
      <c r="C440" s="79">
        <f>IFERROR(VLOOKUP($A:$A,CS!$A:$AK,4,FALSE),"")</f>
      </c>
      <c r="D440" s="79">
        <f>IFERROR(VLOOKUP($A:$A,CS!$A:$AK,5,FALSE),"")</f>
      </c>
      <c r="E440" s="79">
        <f>IFERROR(VLOOKUP($A:$A,CS!$A:$AK,7,FALSE),"")</f>
      </c>
      <c r="F440" s="79">
        <f>IFERROR(VLOOKUP($A:$A,CS!$A:$AK,8,FALSE),"")</f>
      </c>
      <c r="G440" s="79">
        <f>IFERROR(VLOOKUP($A:$A,CS!$A:$AK,10,FALSE),"")</f>
      </c>
      <c r="H440" s="79">
        <f>IFERROR(VLOOKUP($A:$A,CS!$A:$AK,14,FALSE),"")</f>
      </c>
      <c r="I440" s="79">
        <f>IFERROR(VLOOKUP($A:$A,CS!$A:$AK,15,FALSE),"")</f>
      </c>
      <c r="J440" s="79">
        <f>IFERROR(VLOOKUP($A:$A,CS!$A:$AK,18,FALSE),"")</f>
      </c>
      <c r="K440" s="79">
        <f>IFERROR(VLOOKUP($A:$A,CS!$A:$AK,19,FALSE),"")</f>
      </c>
      <c r="L440" s="79">
        <f>IFERROR(VLOOKUP($A:$A,CS!$A:$AK,20,FALSE),"")</f>
      </c>
      <c r="M440" s="79">
        <f>IFERROR(VLOOKUP($A:$A,CS!$A:$AK,22,FALSE),"")</f>
      </c>
      <c r="N440" s="79">
        <f>IFERROR(VLOOKUP($A:$A,CS!$A:$AK,19,FALSE),"")</f>
      </c>
      <c r="O440" s="79">
        <f>IFERROR(VLOOKUP($A:$A,CS!$A:$AK,23,FALSE),"")</f>
      </c>
      <c r="P440" s="79">
        <f>IFERROR(VLOOKUP($A:$A,CS!$A:$AK,24,FALSE),"")</f>
      </c>
      <c r="Q440" s="79">
        <f>IFERROR(VLOOKUP($A:$A,CS!$A:$AK,25,FALSE),"")</f>
      </c>
      <c r="R440" s="79">
        <f>IFERROR(VLOOKUP($A:$A,CS!$A:$AK,26,FALSE),"")</f>
      </c>
      <c r="S440" s="79">
        <f>IFERROR(VLOOKUP($A:$A,CS!$A:$AK,29,FALSE),"")</f>
      </c>
      <c r="T440" s="79">
        <f>IFERROR(VLOOKUP($A:$A,CS!$A:$AK,33,FALSE),"")</f>
      </c>
      <c r="U440" s="79">
        <f>IFERROR(VLOOKUP($A:$A,CS!$A:$AK,34,FALSE),"")</f>
      </c>
      <c r="V440" s="79">
        <f>IFERROR(VLOOKUP($A:$A,CS!$A:$AK,35,FALSE),"")</f>
      </c>
      <c r="W440" s="79">
        <f>IFERROR(VLOOKUP($A:$A,CS!$A:$AK,36,FALSE),"")</f>
      </c>
    </row>
    <row r="441" ht="16.5" customHeight="1" spans="1:23" x14ac:dyDescent="0.25">
      <c r="A441" s="93"/>
      <c r="B441" s="79">
        <f>IFERROR(VLOOKUP($A:$A,CS!$A:$AK,3,FALSE),"")</f>
      </c>
      <c r="C441" s="79">
        <f>IFERROR(VLOOKUP($A:$A,CS!$A:$AK,4,FALSE),"")</f>
      </c>
      <c r="D441" s="79">
        <f>IFERROR(VLOOKUP($A:$A,CS!$A:$AK,5,FALSE),"")</f>
      </c>
      <c r="E441" s="79">
        <f>IFERROR(VLOOKUP($A:$A,CS!$A:$AK,7,FALSE),"")</f>
      </c>
      <c r="F441" s="79">
        <f>IFERROR(VLOOKUP($A:$A,CS!$A:$AK,8,FALSE),"")</f>
      </c>
      <c r="G441" s="79">
        <f>IFERROR(VLOOKUP($A:$A,CS!$A:$AK,10,FALSE),"")</f>
      </c>
      <c r="H441" s="79">
        <f>IFERROR(VLOOKUP($A:$A,CS!$A:$AK,14,FALSE),"")</f>
      </c>
      <c r="I441" s="79">
        <f>IFERROR(VLOOKUP($A:$A,CS!$A:$AK,15,FALSE),"")</f>
      </c>
      <c r="J441" s="79">
        <f>IFERROR(VLOOKUP($A:$A,CS!$A:$AK,18,FALSE),"")</f>
      </c>
      <c r="K441" s="79">
        <f>IFERROR(VLOOKUP($A:$A,CS!$A:$AK,19,FALSE),"")</f>
      </c>
      <c r="L441" s="79">
        <f>IFERROR(VLOOKUP($A:$A,CS!$A:$AK,20,FALSE),"")</f>
      </c>
      <c r="M441" s="79">
        <f>IFERROR(VLOOKUP($A:$A,CS!$A:$AK,22,FALSE),"")</f>
      </c>
      <c r="N441" s="79">
        <f>IFERROR(VLOOKUP($A:$A,CS!$A:$AK,19,FALSE),"")</f>
      </c>
      <c r="O441" s="79">
        <f>IFERROR(VLOOKUP($A:$A,CS!$A:$AK,23,FALSE),"")</f>
      </c>
      <c r="P441" s="79">
        <f>IFERROR(VLOOKUP($A:$A,CS!$A:$AK,24,FALSE),"")</f>
      </c>
      <c r="Q441" s="79">
        <f>IFERROR(VLOOKUP($A:$A,CS!$A:$AK,25,FALSE),"")</f>
      </c>
      <c r="R441" s="79">
        <f>IFERROR(VLOOKUP($A:$A,CS!$A:$AK,26,FALSE),"")</f>
      </c>
      <c r="S441" s="79">
        <f>IFERROR(VLOOKUP($A:$A,CS!$A:$AK,29,FALSE),"")</f>
      </c>
      <c r="T441" s="79">
        <f>IFERROR(VLOOKUP($A:$A,CS!$A:$AK,33,FALSE),"")</f>
      </c>
      <c r="U441" s="79">
        <f>IFERROR(VLOOKUP($A:$A,CS!$A:$AK,34,FALSE),"")</f>
      </c>
      <c r="V441" s="79">
        <f>IFERROR(VLOOKUP($A:$A,CS!$A:$AK,35,FALSE),"")</f>
      </c>
      <c r="W441" s="79">
        <f>IFERROR(VLOOKUP($A:$A,CS!$A:$AK,36,FALSE),"")</f>
      </c>
    </row>
    <row r="442" ht="16.5" customHeight="1" spans="1:23" x14ac:dyDescent="0.25">
      <c r="A442" s="93"/>
      <c r="B442" s="79">
        <f>IFERROR(VLOOKUP($A:$A,CS!$A:$AK,3,FALSE),"")</f>
      </c>
      <c r="C442" s="79">
        <f>IFERROR(VLOOKUP($A:$A,CS!$A:$AK,4,FALSE),"")</f>
      </c>
      <c r="D442" s="79">
        <f>IFERROR(VLOOKUP($A:$A,CS!$A:$AK,5,FALSE),"")</f>
      </c>
      <c r="E442" s="79">
        <f>IFERROR(VLOOKUP($A:$A,CS!$A:$AK,7,FALSE),"")</f>
      </c>
      <c r="F442" s="79">
        <f>IFERROR(VLOOKUP($A:$A,CS!$A:$AK,8,FALSE),"")</f>
      </c>
      <c r="G442" s="79">
        <f>IFERROR(VLOOKUP($A:$A,CS!$A:$AK,10,FALSE),"")</f>
      </c>
      <c r="H442" s="79">
        <f>IFERROR(VLOOKUP($A:$A,CS!$A:$AK,14,FALSE),"")</f>
      </c>
      <c r="I442" s="79">
        <f>IFERROR(VLOOKUP($A:$A,CS!$A:$AK,15,FALSE),"")</f>
      </c>
      <c r="J442" s="79">
        <f>IFERROR(VLOOKUP($A:$A,CS!$A:$AK,18,FALSE),"")</f>
      </c>
      <c r="K442" s="79">
        <f>IFERROR(VLOOKUP($A:$A,CS!$A:$AK,19,FALSE),"")</f>
      </c>
      <c r="L442" s="79">
        <f>IFERROR(VLOOKUP($A:$A,CS!$A:$AK,20,FALSE),"")</f>
      </c>
      <c r="M442" s="79">
        <f>IFERROR(VLOOKUP($A:$A,CS!$A:$AK,22,FALSE),"")</f>
      </c>
      <c r="N442" s="79">
        <f>IFERROR(VLOOKUP($A:$A,CS!$A:$AK,19,FALSE),"")</f>
      </c>
      <c r="O442" s="79">
        <f>IFERROR(VLOOKUP($A:$A,CS!$A:$AK,23,FALSE),"")</f>
      </c>
      <c r="P442" s="79">
        <f>IFERROR(VLOOKUP($A:$A,CS!$A:$AK,24,FALSE),"")</f>
      </c>
      <c r="Q442" s="79">
        <f>IFERROR(VLOOKUP($A:$A,CS!$A:$AK,25,FALSE),"")</f>
      </c>
      <c r="R442" s="79">
        <f>IFERROR(VLOOKUP($A:$A,CS!$A:$AK,26,FALSE),"")</f>
      </c>
      <c r="S442" s="79">
        <f>IFERROR(VLOOKUP($A:$A,CS!$A:$AK,29,FALSE),"")</f>
      </c>
      <c r="T442" s="79">
        <f>IFERROR(VLOOKUP($A:$A,CS!$A:$AK,33,FALSE),"")</f>
      </c>
      <c r="U442" s="79">
        <f>IFERROR(VLOOKUP($A:$A,CS!$A:$AK,34,FALSE),"")</f>
      </c>
      <c r="V442" s="79">
        <f>IFERROR(VLOOKUP($A:$A,CS!$A:$AK,35,FALSE),"")</f>
      </c>
      <c r="W442" s="79">
        <f>IFERROR(VLOOKUP($A:$A,CS!$A:$AK,36,FALSE),"")</f>
      </c>
    </row>
    <row r="443" ht="16.5" customHeight="1" spans="1:23" x14ac:dyDescent="0.25">
      <c r="A443" s="93"/>
      <c r="B443" s="79">
        <f>IFERROR(VLOOKUP($A:$A,CS!$A:$AK,3,FALSE),"")</f>
      </c>
      <c r="C443" s="79">
        <f>IFERROR(VLOOKUP($A:$A,CS!$A:$AK,4,FALSE),"")</f>
      </c>
      <c r="D443" s="79">
        <f>IFERROR(VLOOKUP($A:$A,CS!$A:$AK,5,FALSE),"")</f>
      </c>
      <c r="E443" s="79">
        <f>IFERROR(VLOOKUP($A:$A,CS!$A:$AK,7,FALSE),"")</f>
      </c>
      <c r="F443" s="79">
        <f>IFERROR(VLOOKUP($A:$A,CS!$A:$AK,8,FALSE),"")</f>
      </c>
      <c r="G443" s="79">
        <f>IFERROR(VLOOKUP($A:$A,CS!$A:$AK,10,FALSE),"")</f>
      </c>
      <c r="H443" s="79">
        <f>IFERROR(VLOOKUP($A:$A,CS!$A:$AK,14,FALSE),"")</f>
      </c>
      <c r="I443" s="79">
        <f>IFERROR(VLOOKUP($A:$A,CS!$A:$AK,15,FALSE),"")</f>
      </c>
      <c r="J443" s="79">
        <f>IFERROR(VLOOKUP($A:$A,CS!$A:$AK,18,FALSE),"")</f>
      </c>
      <c r="K443" s="79">
        <f>IFERROR(VLOOKUP($A:$A,CS!$A:$AK,19,FALSE),"")</f>
      </c>
      <c r="L443" s="79">
        <f>IFERROR(VLOOKUP($A:$A,CS!$A:$AK,20,FALSE),"")</f>
      </c>
      <c r="M443" s="79">
        <f>IFERROR(VLOOKUP($A:$A,CS!$A:$AK,22,FALSE),"")</f>
      </c>
      <c r="N443" s="79">
        <f>IFERROR(VLOOKUP($A:$A,CS!$A:$AK,19,FALSE),"")</f>
      </c>
      <c r="O443" s="79">
        <f>IFERROR(VLOOKUP($A:$A,CS!$A:$AK,23,FALSE),"")</f>
      </c>
      <c r="P443" s="79">
        <f>IFERROR(VLOOKUP($A:$A,CS!$A:$AK,24,FALSE),"")</f>
      </c>
      <c r="Q443" s="79">
        <f>IFERROR(VLOOKUP($A:$A,CS!$A:$AK,25,FALSE),"")</f>
      </c>
      <c r="R443" s="79">
        <f>IFERROR(VLOOKUP($A:$A,CS!$A:$AK,26,FALSE),"")</f>
      </c>
      <c r="S443" s="79">
        <f>IFERROR(VLOOKUP($A:$A,CS!$A:$AK,29,FALSE),"")</f>
      </c>
      <c r="T443" s="79">
        <f>IFERROR(VLOOKUP($A:$A,CS!$A:$AK,33,FALSE),"")</f>
      </c>
      <c r="U443" s="79">
        <f>IFERROR(VLOOKUP($A:$A,CS!$A:$AK,34,FALSE),"")</f>
      </c>
      <c r="V443" s="79">
        <f>IFERROR(VLOOKUP($A:$A,CS!$A:$AK,35,FALSE),"")</f>
      </c>
      <c r="W443" s="79">
        <f>IFERROR(VLOOKUP($A:$A,CS!$A:$AK,36,FALSE),"")</f>
      </c>
    </row>
    <row r="444" ht="16.5" customHeight="1" spans="1:23" x14ac:dyDescent="0.25">
      <c r="A444" s="93"/>
      <c r="B444" s="79">
        <f>IFERROR(VLOOKUP($A:$A,CS!$A:$AK,3,FALSE),"")</f>
      </c>
      <c r="C444" s="79">
        <f>IFERROR(VLOOKUP($A:$A,CS!$A:$AK,4,FALSE),"")</f>
      </c>
      <c r="D444" s="79">
        <f>IFERROR(VLOOKUP($A:$A,CS!$A:$AK,5,FALSE),"")</f>
      </c>
      <c r="E444" s="79">
        <f>IFERROR(VLOOKUP($A:$A,CS!$A:$AK,7,FALSE),"")</f>
      </c>
      <c r="F444" s="79">
        <f>IFERROR(VLOOKUP($A:$A,CS!$A:$AK,8,FALSE),"")</f>
      </c>
      <c r="G444" s="79">
        <f>IFERROR(VLOOKUP($A:$A,CS!$A:$AK,10,FALSE),"")</f>
      </c>
      <c r="H444" s="79">
        <f>IFERROR(VLOOKUP($A:$A,CS!$A:$AK,14,FALSE),"")</f>
      </c>
      <c r="I444" s="79">
        <f>IFERROR(VLOOKUP($A:$A,CS!$A:$AK,15,FALSE),"")</f>
      </c>
      <c r="J444" s="79">
        <f>IFERROR(VLOOKUP($A:$A,CS!$A:$AK,18,FALSE),"")</f>
      </c>
      <c r="K444" s="79">
        <f>IFERROR(VLOOKUP($A:$A,CS!$A:$AK,19,FALSE),"")</f>
      </c>
      <c r="L444" s="79">
        <f>IFERROR(VLOOKUP($A:$A,CS!$A:$AK,20,FALSE),"")</f>
      </c>
      <c r="M444" s="79">
        <f>IFERROR(VLOOKUP($A:$A,CS!$A:$AK,22,FALSE),"")</f>
      </c>
      <c r="N444" s="79">
        <f>IFERROR(VLOOKUP($A:$A,CS!$A:$AK,19,FALSE),"")</f>
      </c>
      <c r="O444" s="79">
        <f>IFERROR(VLOOKUP($A:$A,CS!$A:$AK,23,FALSE),"")</f>
      </c>
      <c r="P444" s="79">
        <f>IFERROR(VLOOKUP($A:$A,CS!$A:$AK,24,FALSE),"")</f>
      </c>
      <c r="Q444" s="79">
        <f>IFERROR(VLOOKUP($A:$A,CS!$A:$AK,25,FALSE),"")</f>
      </c>
      <c r="R444" s="79">
        <f>IFERROR(VLOOKUP($A:$A,CS!$A:$AK,26,FALSE),"")</f>
      </c>
      <c r="S444" s="79">
        <f>IFERROR(VLOOKUP($A:$A,CS!$A:$AK,29,FALSE),"")</f>
      </c>
      <c r="T444" s="79">
        <f>IFERROR(VLOOKUP($A:$A,CS!$A:$AK,33,FALSE),"")</f>
      </c>
      <c r="U444" s="79">
        <f>IFERROR(VLOOKUP($A:$A,CS!$A:$AK,34,FALSE),"")</f>
      </c>
      <c r="V444" s="79">
        <f>IFERROR(VLOOKUP($A:$A,CS!$A:$AK,35,FALSE),"")</f>
      </c>
      <c r="W444" s="79">
        <f>IFERROR(VLOOKUP($A:$A,CS!$A:$AK,36,FALSE),"")</f>
      </c>
    </row>
    <row r="445" ht="16.5" customHeight="1" spans="1:23" x14ac:dyDescent="0.25">
      <c r="A445" s="93"/>
      <c r="B445" s="79">
        <f>IFERROR(VLOOKUP($A:$A,CS!$A:$AK,3,FALSE),"")</f>
      </c>
      <c r="C445" s="79">
        <f>IFERROR(VLOOKUP($A:$A,CS!$A:$AK,4,FALSE),"")</f>
      </c>
      <c r="D445" s="79">
        <f>IFERROR(VLOOKUP($A:$A,CS!$A:$AK,5,FALSE),"")</f>
      </c>
      <c r="E445" s="79">
        <f>IFERROR(VLOOKUP($A:$A,CS!$A:$AK,7,FALSE),"")</f>
      </c>
      <c r="F445" s="79">
        <f>IFERROR(VLOOKUP($A:$A,CS!$A:$AK,8,FALSE),"")</f>
      </c>
      <c r="G445" s="79">
        <f>IFERROR(VLOOKUP($A:$A,CS!$A:$AK,10,FALSE),"")</f>
      </c>
      <c r="H445" s="79">
        <f>IFERROR(VLOOKUP($A:$A,CS!$A:$AK,14,FALSE),"")</f>
      </c>
      <c r="I445" s="79">
        <f>IFERROR(VLOOKUP($A:$A,CS!$A:$AK,15,FALSE),"")</f>
      </c>
      <c r="J445" s="79">
        <f>IFERROR(VLOOKUP($A:$A,CS!$A:$AK,18,FALSE),"")</f>
      </c>
      <c r="K445" s="79">
        <f>IFERROR(VLOOKUP($A:$A,CS!$A:$AK,19,FALSE),"")</f>
      </c>
      <c r="L445" s="79">
        <f>IFERROR(VLOOKUP($A:$A,CS!$A:$AK,20,FALSE),"")</f>
      </c>
      <c r="M445" s="79">
        <f>IFERROR(VLOOKUP($A:$A,CS!$A:$AK,22,FALSE),"")</f>
      </c>
      <c r="N445" s="79">
        <f>IFERROR(VLOOKUP($A:$A,CS!$A:$AK,19,FALSE),"")</f>
      </c>
      <c r="O445" s="79">
        <f>IFERROR(VLOOKUP($A:$A,CS!$A:$AK,23,FALSE),"")</f>
      </c>
      <c r="P445" s="79">
        <f>IFERROR(VLOOKUP($A:$A,CS!$A:$AK,24,FALSE),"")</f>
      </c>
      <c r="Q445" s="79">
        <f>IFERROR(VLOOKUP($A:$A,CS!$A:$AK,25,FALSE),"")</f>
      </c>
      <c r="R445" s="79">
        <f>IFERROR(VLOOKUP($A:$A,CS!$A:$AK,26,FALSE),"")</f>
      </c>
      <c r="S445" s="79">
        <f>IFERROR(VLOOKUP($A:$A,CS!$A:$AK,29,FALSE),"")</f>
      </c>
      <c r="T445" s="79">
        <f>IFERROR(VLOOKUP($A:$A,CS!$A:$AK,33,FALSE),"")</f>
      </c>
      <c r="U445" s="79">
        <f>IFERROR(VLOOKUP($A:$A,CS!$A:$AK,34,FALSE),"")</f>
      </c>
      <c r="V445" s="79">
        <f>IFERROR(VLOOKUP($A:$A,CS!$A:$AK,35,FALSE),"")</f>
      </c>
      <c r="W445" s="79">
        <f>IFERROR(VLOOKUP($A:$A,CS!$A:$AK,36,FALSE),"")</f>
      </c>
    </row>
    <row r="446" ht="16.5" customHeight="1" spans="1:23" x14ac:dyDescent="0.25">
      <c r="A446" s="93"/>
      <c r="B446" s="79">
        <f>IFERROR(VLOOKUP($A:$A,CS!$A:$AK,3,FALSE),"")</f>
      </c>
      <c r="C446" s="79">
        <f>IFERROR(VLOOKUP($A:$A,CS!$A:$AK,4,FALSE),"")</f>
      </c>
      <c r="D446" s="79">
        <f>IFERROR(VLOOKUP($A:$A,CS!$A:$AK,5,FALSE),"")</f>
      </c>
      <c r="E446" s="79">
        <f>IFERROR(VLOOKUP($A:$A,CS!$A:$AK,7,FALSE),"")</f>
      </c>
      <c r="F446" s="79">
        <f>IFERROR(VLOOKUP($A:$A,CS!$A:$AK,8,FALSE),"")</f>
      </c>
      <c r="G446" s="79">
        <f>IFERROR(VLOOKUP($A:$A,CS!$A:$AK,10,FALSE),"")</f>
      </c>
      <c r="H446" s="79">
        <f>IFERROR(VLOOKUP($A:$A,CS!$A:$AK,14,FALSE),"")</f>
      </c>
      <c r="I446" s="79">
        <f>IFERROR(VLOOKUP($A:$A,CS!$A:$AK,15,FALSE),"")</f>
      </c>
      <c r="J446" s="79">
        <f>IFERROR(VLOOKUP($A:$A,CS!$A:$AK,18,FALSE),"")</f>
      </c>
      <c r="K446" s="79">
        <f>IFERROR(VLOOKUP($A:$A,CS!$A:$AK,19,FALSE),"")</f>
      </c>
      <c r="L446" s="79">
        <f>IFERROR(VLOOKUP($A:$A,CS!$A:$AK,20,FALSE),"")</f>
      </c>
      <c r="M446" s="79">
        <f>IFERROR(VLOOKUP($A:$A,CS!$A:$AK,22,FALSE),"")</f>
      </c>
      <c r="N446" s="79">
        <f>IFERROR(VLOOKUP($A:$A,CS!$A:$AK,19,FALSE),"")</f>
      </c>
      <c r="O446" s="79">
        <f>IFERROR(VLOOKUP($A:$A,CS!$A:$AK,23,FALSE),"")</f>
      </c>
      <c r="P446" s="79">
        <f>IFERROR(VLOOKUP($A:$A,CS!$A:$AK,24,FALSE),"")</f>
      </c>
      <c r="Q446" s="79">
        <f>IFERROR(VLOOKUP($A:$A,CS!$A:$AK,25,FALSE),"")</f>
      </c>
      <c r="R446" s="79">
        <f>IFERROR(VLOOKUP($A:$A,CS!$A:$AK,26,FALSE),"")</f>
      </c>
      <c r="S446" s="79">
        <f>IFERROR(VLOOKUP($A:$A,CS!$A:$AK,29,FALSE),"")</f>
      </c>
      <c r="T446" s="79">
        <f>IFERROR(VLOOKUP($A:$A,CS!$A:$AK,33,FALSE),"")</f>
      </c>
      <c r="U446" s="79">
        <f>IFERROR(VLOOKUP($A:$A,CS!$A:$AK,34,FALSE),"")</f>
      </c>
      <c r="V446" s="79">
        <f>IFERROR(VLOOKUP($A:$A,CS!$A:$AK,35,FALSE),"")</f>
      </c>
      <c r="W446" s="79">
        <f>IFERROR(VLOOKUP($A:$A,CS!$A:$AK,36,FALSE),"")</f>
      </c>
    </row>
    <row r="447" ht="16.5" customHeight="1" spans="1:23" x14ac:dyDescent="0.25">
      <c r="A447" s="93"/>
      <c r="B447" s="79">
        <f>IFERROR(VLOOKUP($A:$A,CS!$A:$AK,3,FALSE),"")</f>
      </c>
      <c r="C447" s="79">
        <f>IFERROR(VLOOKUP($A:$A,CS!$A:$AK,4,FALSE),"")</f>
      </c>
      <c r="D447" s="79">
        <f>IFERROR(VLOOKUP($A:$A,CS!$A:$AK,5,FALSE),"")</f>
      </c>
      <c r="E447" s="79">
        <f>IFERROR(VLOOKUP($A:$A,CS!$A:$AK,7,FALSE),"")</f>
      </c>
      <c r="F447" s="79">
        <f>IFERROR(VLOOKUP($A:$A,CS!$A:$AK,8,FALSE),"")</f>
      </c>
      <c r="G447" s="79">
        <f>IFERROR(VLOOKUP($A:$A,CS!$A:$AK,10,FALSE),"")</f>
      </c>
      <c r="H447" s="79">
        <f>IFERROR(VLOOKUP($A:$A,CS!$A:$AK,14,FALSE),"")</f>
      </c>
      <c r="I447" s="79">
        <f>IFERROR(VLOOKUP($A:$A,CS!$A:$AK,15,FALSE),"")</f>
      </c>
      <c r="J447" s="79">
        <f>IFERROR(VLOOKUP($A:$A,CS!$A:$AK,18,FALSE),"")</f>
      </c>
      <c r="K447" s="79">
        <f>IFERROR(VLOOKUP($A:$A,CS!$A:$AK,19,FALSE),"")</f>
      </c>
      <c r="L447" s="79">
        <f>IFERROR(VLOOKUP($A:$A,CS!$A:$AK,20,FALSE),"")</f>
      </c>
      <c r="M447" s="79">
        <f>IFERROR(VLOOKUP($A:$A,CS!$A:$AK,22,FALSE),"")</f>
      </c>
      <c r="N447" s="79">
        <f>IFERROR(VLOOKUP($A:$A,CS!$A:$AK,19,FALSE),"")</f>
      </c>
      <c r="O447" s="79">
        <f>IFERROR(VLOOKUP($A:$A,CS!$A:$AK,23,FALSE),"")</f>
      </c>
      <c r="P447" s="79">
        <f>IFERROR(VLOOKUP($A:$A,CS!$A:$AK,24,FALSE),"")</f>
      </c>
      <c r="Q447" s="79">
        <f>IFERROR(VLOOKUP($A:$A,CS!$A:$AK,25,FALSE),"")</f>
      </c>
      <c r="R447" s="79">
        <f>IFERROR(VLOOKUP($A:$A,CS!$A:$AK,26,FALSE),"")</f>
      </c>
      <c r="S447" s="79">
        <f>IFERROR(VLOOKUP($A:$A,CS!$A:$AK,29,FALSE),"")</f>
      </c>
      <c r="T447" s="79">
        <f>IFERROR(VLOOKUP($A:$A,CS!$A:$AK,33,FALSE),"")</f>
      </c>
      <c r="U447" s="79">
        <f>IFERROR(VLOOKUP($A:$A,CS!$A:$AK,34,FALSE),"")</f>
      </c>
      <c r="V447" s="79">
        <f>IFERROR(VLOOKUP($A:$A,CS!$A:$AK,35,FALSE),"")</f>
      </c>
      <c r="W447" s="79">
        <f>IFERROR(VLOOKUP($A:$A,CS!$A:$AK,36,FALSE),"")</f>
      </c>
    </row>
    <row r="448" ht="16.5" customHeight="1" spans="1:23" x14ac:dyDescent="0.25">
      <c r="A448" s="93"/>
      <c r="B448" s="79">
        <f>IFERROR(VLOOKUP($A:$A,CS!$A:$AK,3,FALSE),"")</f>
      </c>
      <c r="C448" s="79">
        <f>IFERROR(VLOOKUP($A:$A,CS!$A:$AK,4,FALSE),"")</f>
      </c>
      <c r="D448" s="79">
        <f>IFERROR(VLOOKUP($A:$A,CS!$A:$AK,5,FALSE),"")</f>
      </c>
      <c r="E448" s="79">
        <f>IFERROR(VLOOKUP($A:$A,CS!$A:$AK,7,FALSE),"")</f>
      </c>
      <c r="F448" s="79">
        <f>IFERROR(VLOOKUP($A:$A,CS!$A:$AK,8,FALSE),"")</f>
      </c>
      <c r="G448" s="79">
        <f>IFERROR(VLOOKUP($A:$A,CS!$A:$AK,10,FALSE),"")</f>
      </c>
      <c r="H448" s="79">
        <f>IFERROR(VLOOKUP($A:$A,CS!$A:$AK,14,FALSE),"")</f>
      </c>
      <c r="I448" s="79">
        <f>IFERROR(VLOOKUP($A:$A,CS!$A:$AK,15,FALSE),"")</f>
      </c>
      <c r="J448" s="79">
        <f>IFERROR(VLOOKUP($A:$A,CS!$A:$AK,18,FALSE),"")</f>
      </c>
      <c r="K448" s="79">
        <f>IFERROR(VLOOKUP($A:$A,CS!$A:$AK,19,FALSE),"")</f>
      </c>
      <c r="L448" s="79">
        <f>IFERROR(VLOOKUP($A:$A,CS!$A:$AK,20,FALSE),"")</f>
      </c>
      <c r="M448" s="79">
        <f>IFERROR(VLOOKUP($A:$A,CS!$A:$AK,22,FALSE),"")</f>
      </c>
      <c r="N448" s="79">
        <f>IFERROR(VLOOKUP($A:$A,CS!$A:$AK,19,FALSE),"")</f>
      </c>
      <c r="O448" s="79">
        <f>IFERROR(VLOOKUP($A:$A,CS!$A:$AK,23,FALSE),"")</f>
      </c>
      <c r="P448" s="79">
        <f>IFERROR(VLOOKUP($A:$A,CS!$A:$AK,24,FALSE),"")</f>
      </c>
      <c r="Q448" s="79">
        <f>IFERROR(VLOOKUP($A:$A,CS!$A:$AK,25,FALSE),"")</f>
      </c>
      <c r="R448" s="79">
        <f>IFERROR(VLOOKUP($A:$A,CS!$A:$AK,26,FALSE),"")</f>
      </c>
      <c r="S448" s="79">
        <f>IFERROR(VLOOKUP($A:$A,CS!$A:$AK,29,FALSE),"")</f>
      </c>
      <c r="T448" s="79">
        <f>IFERROR(VLOOKUP($A:$A,CS!$A:$AK,33,FALSE),"")</f>
      </c>
      <c r="U448" s="79">
        <f>IFERROR(VLOOKUP($A:$A,CS!$A:$AK,34,FALSE),"")</f>
      </c>
      <c r="V448" s="79">
        <f>IFERROR(VLOOKUP($A:$A,CS!$A:$AK,35,FALSE),"")</f>
      </c>
      <c r="W448" s="79">
        <f>IFERROR(VLOOKUP($A:$A,CS!$A:$AK,36,FALSE),"")</f>
      </c>
    </row>
    <row r="449" ht="16.5" customHeight="1" spans="1:23" x14ac:dyDescent="0.25">
      <c r="A449" s="93"/>
      <c r="B449" s="79">
        <f>IFERROR(VLOOKUP($A:$A,CS!$A:$AK,3,FALSE),"")</f>
      </c>
      <c r="C449" s="79">
        <f>IFERROR(VLOOKUP($A:$A,CS!$A:$AK,4,FALSE),"")</f>
      </c>
      <c r="D449" s="79">
        <f>IFERROR(VLOOKUP($A:$A,CS!$A:$AK,5,FALSE),"")</f>
      </c>
      <c r="E449" s="79">
        <f>IFERROR(VLOOKUP($A:$A,CS!$A:$AK,7,FALSE),"")</f>
      </c>
      <c r="F449" s="79">
        <f>IFERROR(VLOOKUP($A:$A,CS!$A:$AK,8,FALSE),"")</f>
      </c>
      <c r="G449" s="79">
        <f>IFERROR(VLOOKUP($A:$A,CS!$A:$AK,10,FALSE),"")</f>
      </c>
      <c r="H449" s="79">
        <f>IFERROR(VLOOKUP($A:$A,CS!$A:$AK,14,FALSE),"")</f>
      </c>
      <c r="I449" s="79">
        <f>IFERROR(VLOOKUP($A:$A,CS!$A:$AK,15,FALSE),"")</f>
      </c>
      <c r="J449" s="79">
        <f>IFERROR(VLOOKUP($A:$A,CS!$A:$AK,18,FALSE),"")</f>
      </c>
      <c r="K449" s="79">
        <f>IFERROR(VLOOKUP($A:$A,CS!$A:$AK,19,FALSE),"")</f>
      </c>
      <c r="L449" s="79">
        <f>IFERROR(VLOOKUP($A:$A,CS!$A:$AK,20,FALSE),"")</f>
      </c>
      <c r="M449" s="79">
        <f>IFERROR(VLOOKUP($A:$A,CS!$A:$AK,22,FALSE),"")</f>
      </c>
      <c r="N449" s="79">
        <f>IFERROR(VLOOKUP($A:$A,CS!$A:$AK,19,FALSE),"")</f>
      </c>
      <c r="O449" s="79">
        <f>IFERROR(VLOOKUP($A:$A,CS!$A:$AK,23,FALSE),"")</f>
      </c>
      <c r="P449" s="79">
        <f>IFERROR(VLOOKUP($A:$A,CS!$A:$AK,24,FALSE),"")</f>
      </c>
      <c r="Q449" s="79">
        <f>IFERROR(VLOOKUP($A:$A,CS!$A:$AK,25,FALSE),"")</f>
      </c>
      <c r="R449" s="79">
        <f>IFERROR(VLOOKUP($A:$A,CS!$A:$AK,26,FALSE),"")</f>
      </c>
      <c r="S449" s="79">
        <f>IFERROR(VLOOKUP($A:$A,CS!$A:$AK,29,FALSE),"")</f>
      </c>
      <c r="T449" s="79">
        <f>IFERROR(VLOOKUP($A:$A,CS!$A:$AK,33,FALSE),"")</f>
      </c>
      <c r="U449" s="79">
        <f>IFERROR(VLOOKUP($A:$A,CS!$A:$AK,34,FALSE),"")</f>
      </c>
      <c r="V449" s="79">
        <f>IFERROR(VLOOKUP($A:$A,CS!$A:$AK,35,FALSE),"")</f>
      </c>
      <c r="W449" s="79">
        <f>IFERROR(VLOOKUP($A:$A,CS!$A:$AK,36,FALSE),"")</f>
      </c>
    </row>
    <row r="450" ht="16.5" customHeight="1" spans="1:23" x14ac:dyDescent="0.25">
      <c r="A450" s="93"/>
      <c r="B450" s="79">
        <f>IFERROR(VLOOKUP($A:$A,CS!$A:$AK,3,FALSE),"")</f>
      </c>
      <c r="C450" s="79">
        <f>IFERROR(VLOOKUP($A:$A,CS!$A:$AK,4,FALSE),"")</f>
      </c>
      <c r="D450" s="79">
        <f>IFERROR(VLOOKUP($A:$A,CS!$A:$AK,5,FALSE),"")</f>
      </c>
      <c r="E450" s="79">
        <f>IFERROR(VLOOKUP($A:$A,CS!$A:$AK,7,FALSE),"")</f>
      </c>
      <c r="F450" s="79">
        <f>IFERROR(VLOOKUP($A:$A,CS!$A:$AK,8,FALSE),"")</f>
      </c>
      <c r="G450" s="79">
        <f>IFERROR(VLOOKUP($A:$A,CS!$A:$AK,10,FALSE),"")</f>
      </c>
      <c r="H450" s="79">
        <f>IFERROR(VLOOKUP($A:$A,CS!$A:$AK,14,FALSE),"")</f>
      </c>
      <c r="I450" s="79">
        <f>IFERROR(VLOOKUP($A:$A,CS!$A:$AK,15,FALSE),"")</f>
      </c>
      <c r="J450" s="79">
        <f>IFERROR(VLOOKUP($A:$A,CS!$A:$AK,18,FALSE),"")</f>
      </c>
      <c r="K450" s="79">
        <f>IFERROR(VLOOKUP($A:$A,CS!$A:$AK,19,FALSE),"")</f>
      </c>
      <c r="L450" s="79">
        <f>IFERROR(VLOOKUP($A:$A,CS!$A:$AK,20,FALSE),"")</f>
      </c>
      <c r="M450" s="79">
        <f>IFERROR(VLOOKUP($A:$A,CS!$A:$AK,22,FALSE),"")</f>
      </c>
      <c r="N450" s="79">
        <f>IFERROR(VLOOKUP($A:$A,CS!$A:$AK,19,FALSE),"")</f>
      </c>
      <c r="O450" s="79">
        <f>IFERROR(VLOOKUP($A:$A,CS!$A:$AK,23,FALSE),"")</f>
      </c>
      <c r="P450" s="79">
        <f>IFERROR(VLOOKUP($A:$A,CS!$A:$AK,24,FALSE),"")</f>
      </c>
      <c r="Q450" s="79">
        <f>IFERROR(VLOOKUP($A:$A,CS!$A:$AK,25,FALSE),"")</f>
      </c>
      <c r="R450" s="79">
        <f>IFERROR(VLOOKUP($A:$A,CS!$A:$AK,26,FALSE),"")</f>
      </c>
      <c r="S450" s="79">
        <f>IFERROR(VLOOKUP($A:$A,CS!$A:$AK,29,FALSE),"")</f>
      </c>
      <c r="T450" s="79">
        <f>IFERROR(VLOOKUP($A:$A,CS!$A:$AK,33,FALSE),"")</f>
      </c>
      <c r="U450" s="79">
        <f>IFERROR(VLOOKUP($A:$A,CS!$A:$AK,34,FALSE),"")</f>
      </c>
      <c r="V450" s="79">
        <f>IFERROR(VLOOKUP($A:$A,CS!$A:$AK,35,FALSE),"")</f>
      </c>
      <c r="W450" s="79">
        <f>IFERROR(VLOOKUP($A:$A,CS!$A:$AK,36,FALSE),"")</f>
      </c>
    </row>
    <row r="451" ht="16.5" customHeight="1" spans="1:23" x14ac:dyDescent="0.25">
      <c r="A451" s="93"/>
      <c r="B451" s="79">
        <f>IFERROR(VLOOKUP($A:$A,CS!$A:$AK,3,FALSE),"")</f>
      </c>
      <c r="C451" s="79">
        <f>IFERROR(VLOOKUP($A:$A,CS!$A:$AK,4,FALSE),"")</f>
      </c>
      <c r="D451" s="79">
        <f>IFERROR(VLOOKUP($A:$A,CS!$A:$AK,5,FALSE),"")</f>
      </c>
      <c r="E451" s="79">
        <f>IFERROR(VLOOKUP($A:$A,CS!$A:$AK,7,FALSE),"")</f>
      </c>
      <c r="F451" s="79">
        <f>IFERROR(VLOOKUP($A:$A,CS!$A:$AK,8,FALSE),"")</f>
      </c>
      <c r="G451" s="79">
        <f>IFERROR(VLOOKUP($A:$A,CS!$A:$AK,10,FALSE),"")</f>
      </c>
      <c r="H451" s="79">
        <f>IFERROR(VLOOKUP($A:$A,CS!$A:$AK,14,FALSE),"")</f>
      </c>
      <c r="I451" s="79">
        <f>IFERROR(VLOOKUP($A:$A,CS!$A:$AK,15,FALSE),"")</f>
      </c>
      <c r="J451" s="79">
        <f>IFERROR(VLOOKUP($A:$A,CS!$A:$AK,18,FALSE),"")</f>
      </c>
      <c r="K451" s="79">
        <f>IFERROR(VLOOKUP($A:$A,CS!$A:$AK,19,FALSE),"")</f>
      </c>
      <c r="L451" s="79">
        <f>IFERROR(VLOOKUP($A:$A,CS!$A:$AK,20,FALSE),"")</f>
      </c>
      <c r="M451" s="79">
        <f>IFERROR(VLOOKUP($A:$A,CS!$A:$AK,22,FALSE),"")</f>
      </c>
      <c r="N451" s="79">
        <f>IFERROR(VLOOKUP($A:$A,CS!$A:$AK,19,FALSE),"")</f>
      </c>
      <c r="O451" s="79">
        <f>IFERROR(VLOOKUP($A:$A,CS!$A:$AK,23,FALSE),"")</f>
      </c>
      <c r="P451" s="79">
        <f>IFERROR(VLOOKUP($A:$A,CS!$A:$AK,24,FALSE),"")</f>
      </c>
      <c r="Q451" s="79">
        <f>IFERROR(VLOOKUP($A:$A,CS!$A:$AK,25,FALSE),"")</f>
      </c>
      <c r="R451" s="79">
        <f>IFERROR(VLOOKUP($A:$A,CS!$A:$AK,26,FALSE),"")</f>
      </c>
      <c r="S451" s="79">
        <f>IFERROR(VLOOKUP($A:$A,CS!$A:$AK,29,FALSE),"")</f>
      </c>
      <c r="T451" s="79">
        <f>IFERROR(VLOOKUP($A:$A,CS!$A:$AK,33,FALSE),"")</f>
      </c>
      <c r="U451" s="79">
        <f>IFERROR(VLOOKUP($A:$A,CS!$A:$AK,34,FALSE),"")</f>
      </c>
      <c r="V451" s="79">
        <f>IFERROR(VLOOKUP($A:$A,CS!$A:$AK,35,FALSE),"")</f>
      </c>
      <c r="W451" s="79">
        <f>IFERROR(VLOOKUP($A:$A,CS!$A:$AK,36,FALSE),"")</f>
      </c>
    </row>
    <row r="452" ht="16.5" customHeight="1" spans="1:23" x14ac:dyDescent="0.25">
      <c r="A452" s="93"/>
      <c r="B452" s="79">
        <f>IFERROR(VLOOKUP($A:$A,CS!$A:$AK,3,FALSE),"")</f>
      </c>
      <c r="C452" s="79">
        <f>IFERROR(VLOOKUP($A:$A,CS!$A:$AK,4,FALSE),"")</f>
      </c>
      <c r="D452" s="79">
        <f>IFERROR(VLOOKUP($A:$A,CS!$A:$AK,5,FALSE),"")</f>
      </c>
      <c r="E452" s="79">
        <f>IFERROR(VLOOKUP($A:$A,CS!$A:$AK,7,FALSE),"")</f>
      </c>
      <c r="F452" s="79">
        <f>IFERROR(VLOOKUP($A:$A,CS!$A:$AK,8,FALSE),"")</f>
      </c>
      <c r="G452" s="79">
        <f>IFERROR(VLOOKUP($A:$A,CS!$A:$AK,10,FALSE),"")</f>
      </c>
      <c r="H452" s="79">
        <f>IFERROR(VLOOKUP($A:$A,CS!$A:$AK,14,FALSE),"")</f>
      </c>
      <c r="I452" s="79">
        <f>IFERROR(VLOOKUP($A:$A,CS!$A:$AK,15,FALSE),"")</f>
      </c>
      <c r="J452" s="79">
        <f>IFERROR(VLOOKUP($A:$A,CS!$A:$AK,18,FALSE),"")</f>
      </c>
      <c r="K452" s="79">
        <f>IFERROR(VLOOKUP($A:$A,CS!$A:$AK,19,FALSE),"")</f>
      </c>
      <c r="L452" s="79">
        <f>IFERROR(VLOOKUP($A:$A,CS!$A:$AK,20,FALSE),"")</f>
      </c>
      <c r="M452" s="79">
        <f>IFERROR(VLOOKUP($A:$A,CS!$A:$AK,22,FALSE),"")</f>
      </c>
      <c r="N452" s="79">
        <f>IFERROR(VLOOKUP($A:$A,CS!$A:$AK,19,FALSE),"")</f>
      </c>
      <c r="O452" s="79">
        <f>IFERROR(VLOOKUP($A:$A,CS!$A:$AK,23,FALSE),"")</f>
      </c>
      <c r="P452" s="79">
        <f>IFERROR(VLOOKUP($A:$A,CS!$A:$AK,24,FALSE),"")</f>
      </c>
      <c r="Q452" s="79">
        <f>IFERROR(VLOOKUP($A:$A,CS!$A:$AK,25,FALSE),"")</f>
      </c>
      <c r="R452" s="79">
        <f>IFERROR(VLOOKUP($A:$A,CS!$A:$AK,26,FALSE),"")</f>
      </c>
      <c r="S452" s="79">
        <f>IFERROR(VLOOKUP($A:$A,CS!$A:$AK,29,FALSE),"")</f>
      </c>
      <c r="T452" s="79">
        <f>IFERROR(VLOOKUP($A:$A,CS!$A:$AK,33,FALSE),"")</f>
      </c>
      <c r="U452" s="79">
        <f>IFERROR(VLOOKUP($A:$A,CS!$A:$AK,34,FALSE),"")</f>
      </c>
      <c r="V452" s="79">
        <f>IFERROR(VLOOKUP($A:$A,CS!$A:$AK,35,FALSE),"")</f>
      </c>
      <c r="W452" s="79">
        <f>IFERROR(VLOOKUP($A:$A,CS!$A:$AK,36,FALSE),"")</f>
      </c>
    </row>
    <row r="453" ht="16.5" customHeight="1" spans="1:23" x14ac:dyDescent="0.25">
      <c r="A453" s="93"/>
      <c r="B453" s="79">
        <f>IFERROR(VLOOKUP($A:$A,CS!$A:$AK,3,FALSE),"")</f>
      </c>
      <c r="C453" s="79">
        <f>IFERROR(VLOOKUP($A:$A,CS!$A:$AK,4,FALSE),"")</f>
      </c>
      <c r="D453" s="79">
        <f>IFERROR(VLOOKUP($A:$A,CS!$A:$AK,5,FALSE),"")</f>
      </c>
      <c r="E453" s="79">
        <f>IFERROR(VLOOKUP($A:$A,CS!$A:$AK,7,FALSE),"")</f>
      </c>
      <c r="F453" s="79">
        <f>IFERROR(VLOOKUP($A:$A,CS!$A:$AK,8,FALSE),"")</f>
      </c>
      <c r="G453" s="79">
        <f>IFERROR(VLOOKUP($A:$A,CS!$A:$AK,10,FALSE),"")</f>
      </c>
      <c r="H453" s="79">
        <f>IFERROR(VLOOKUP($A:$A,CS!$A:$AK,14,FALSE),"")</f>
      </c>
      <c r="I453" s="79">
        <f>IFERROR(VLOOKUP($A:$A,CS!$A:$AK,15,FALSE),"")</f>
      </c>
      <c r="J453" s="79">
        <f>IFERROR(VLOOKUP($A:$A,CS!$A:$AK,18,FALSE),"")</f>
      </c>
      <c r="K453" s="79">
        <f>IFERROR(VLOOKUP($A:$A,CS!$A:$AK,19,FALSE),"")</f>
      </c>
      <c r="L453" s="79">
        <f>IFERROR(VLOOKUP($A:$A,CS!$A:$AK,20,FALSE),"")</f>
      </c>
      <c r="M453" s="79">
        <f>IFERROR(VLOOKUP($A:$A,CS!$A:$AK,22,FALSE),"")</f>
      </c>
      <c r="N453" s="79">
        <f>IFERROR(VLOOKUP($A:$A,CS!$A:$AK,19,FALSE),"")</f>
      </c>
      <c r="O453" s="79">
        <f>IFERROR(VLOOKUP($A:$A,CS!$A:$AK,23,FALSE),"")</f>
      </c>
      <c r="P453" s="79">
        <f>IFERROR(VLOOKUP($A:$A,CS!$A:$AK,24,FALSE),"")</f>
      </c>
      <c r="Q453" s="79">
        <f>IFERROR(VLOOKUP($A:$A,CS!$A:$AK,25,FALSE),"")</f>
      </c>
      <c r="R453" s="79">
        <f>IFERROR(VLOOKUP($A:$A,CS!$A:$AK,26,FALSE),"")</f>
      </c>
      <c r="S453" s="79">
        <f>IFERROR(VLOOKUP($A:$A,CS!$A:$AK,29,FALSE),"")</f>
      </c>
      <c r="T453" s="79">
        <f>IFERROR(VLOOKUP($A:$A,CS!$A:$AK,33,FALSE),"")</f>
      </c>
      <c r="U453" s="79">
        <f>IFERROR(VLOOKUP($A:$A,CS!$A:$AK,34,FALSE),"")</f>
      </c>
      <c r="V453" s="79">
        <f>IFERROR(VLOOKUP($A:$A,CS!$A:$AK,35,FALSE),"")</f>
      </c>
      <c r="W453" s="79">
        <f>IFERROR(VLOOKUP($A:$A,CS!$A:$AK,36,FALSE),"")</f>
      </c>
    </row>
    <row r="454" ht="16.5" customHeight="1" spans="1:23" x14ac:dyDescent="0.25">
      <c r="A454" s="93"/>
      <c r="B454" s="79">
        <f>IFERROR(VLOOKUP($A:$A,CS!$A:$AK,3,FALSE),"")</f>
      </c>
      <c r="C454" s="79">
        <f>IFERROR(VLOOKUP($A:$A,CS!$A:$AK,4,FALSE),"")</f>
      </c>
      <c r="D454" s="79">
        <f>IFERROR(VLOOKUP($A:$A,CS!$A:$AK,5,FALSE),"")</f>
      </c>
      <c r="E454" s="79">
        <f>IFERROR(VLOOKUP($A:$A,CS!$A:$AK,7,FALSE),"")</f>
      </c>
      <c r="F454" s="79">
        <f>IFERROR(VLOOKUP($A:$A,CS!$A:$AK,8,FALSE),"")</f>
      </c>
      <c r="G454" s="79">
        <f>IFERROR(VLOOKUP($A:$A,CS!$A:$AK,10,FALSE),"")</f>
      </c>
      <c r="H454" s="79">
        <f>IFERROR(VLOOKUP($A:$A,CS!$A:$AK,14,FALSE),"")</f>
      </c>
      <c r="I454" s="79">
        <f>IFERROR(VLOOKUP($A:$A,CS!$A:$AK,15,FALSE),"")</f>
      </c>
      <c r="J454" s="79">
        <f>IFERROR(VLOOKUP($A:$A,CS!$A:$AK,18,FALSE),"")</f>
      </c>
      <c r="K454" s="79">
        <f>IFERROR(VLOOKUP($A:$A,CS!$A:$AK,19,FALSE),"")</f>
      </c>
      <c r="L454" s="79">
        <f>IFERROR(VLOOKUP($A:$A,CS!$A:$AK,20,FALSE),"")</f>
      </c>
      <c r="M454" s="79">
        <f>IFERROR(VLOOKUP($A:$A,CS!$A:$AK,22,FALSE),"")</f>
      </c>
      <c r="N454" s="79">
        <f>IFERROR(VLOOKUP($A:$A,CS!$A:$AK,19,FALSE),"")</f>
      </c>
      <c r="O454" s="79">
        <f>IFERROR(VLOOKUP($A:$A,CS!$A:$AK,23,FALSE),"")</f>
      </c>
      <c r="P454" s="79">
        <f>IFERROR(VLOOKUP($A:$A,CS!$A:$AK,24,FALSE),"")</f>
      </c>
      <c r="Q454" s="79">
        <f>IFERROR(VLOOKUP($A:$A,CS!$A:$AK,25,FALSE),"")</f>
      </c>
      <c r="R454" s="79">
        <f>IFERROR(VLOOKUP($A:$A,CS!$A:$AK,26,FALSE),"")</f>
      </c>
      <c r="S454" s="79">
        <f>IFERROR(VLOOKUP($A:$A,CS!$A:$AK,29,FALSE),"")</f>
      </c>
      <c r="T454" s="79">
        <f>IFERROR(VLOOKUP($A:$A,CS!$A:$AK,33,FALSE),"")</f>
      </c>
      <c r="U454" s="79">
        <f>IFERROR(VLOOKUP($A:$A,CS!$A:$AK,34,FALSE),"")</f>
      </c>
      <c r="V454" s="79">
        <f>IFERROR(VLOOKUP($A:$A,CS!$A:$AK,35,FALSE),"")</f>
      </c>
      <c r="W454" s="79">
        <f>IFERROR(VLOOKUP($A:$A,CS!$A:$AK,36,FALSE),"")</f>
      </c>
    </row>
    <row r="455" ht="16.5" customHeight="1" spans="1:23" x14ac:dyDescent="0.25">
      <c r="A455" s="93"/>
      <c r="B455" s="79">
        <f>IFERROR(VLOOKUP($A:$A,CS!$A:$AK,3,FALSE),"")</f>
      </c>
      <c r="C455" s="79">
        <f>IFERROR(VLOOKUP($A:$A,CS!$A:$AK,4,FALSE),"")</f>
      </c>
      <c r="D455" s="79">
        <f>IFERROR(VLOOKUP($A:$A,CS!$A:$AK,5,FALSE),"")</f>
      </c>
      <c r="E455" s="79">
        <f>IFERROR(VLOOKUP($A:$A,CS!$A:$AK,7,FALSE),"")</f>
      </c>
      <c r="F455" s="79">
        <f>IFERROR(VLOOKUP($A:$A,CS!$A:$AK,8,FALSE),"")</f>
      </c>
      <c r="G455" s="79">
        <f>IFERROR(VLOOKUP($A:$A,CS!$A:$AK,10,FALSE),"")</f>
      </c>
      <c r="H455" s="79">
        <f>IFERROR(VLOOKUP($A:$A,CS!$A:$AK,14,FALSE),"")</f>
      </c>
      <c r="I455" s="79">
        <f>IFERROR(VLOOKUP($A:$A,CS!$A:$AK,15,FALSE),"")</f>
      </c>
      <c r="J455" s="79">
        <f>IFERROR(VLOOKUP($A:$A,CS!$A:$AK,18,FALSE),"")</f>
      </c>
      <c r="K455" s="79">
        <f>IFERROR(VLOOKUP($A:$A,CS!$A:$AK,19,FALSE),"")</f>
      </c>
      <c r="L455" s="79">
        <f>IFERROR(VLOOKUP($A:$A,CS!$A:$AK,20,FALSE),"")</f>
      </c>
      <c r="M455" s="79">
        <f>IFERROR(VLOOKUP($A:$A,CS!$A:$AK,22,FALSE),"")</f>
      </c>
      <c r="N455" s="79">
        <f>IFERROR(VLOOKUP($A:$A,CS!$A:$AK,19,FALSE),"")</f>
      </c>
      <c r="O455" s="79">
        <f>IFERROR(VLOOKUP($A:$A,CS!$A:$AK,23,FALSE),"")</f>
      </c>
      <c r="P455" s="79">
        <f>IFERROR(VLOOKUP($A:$A,CS!$A:$AK,24,FALSE),"")</f>
      </c>
      <c r="Q455" s="79">
        <f>IFERROR(VLOOKUP($A:$A,CS!$A:$AK,25,FALSE),"")</f>
      </c>
      <c r="R455" s="79">
        <f>IFERROR(VLOOKUP($A:$A,CS!$A:$AK,26,FALSE),"")</f>
      </c>
      <c r="S455" s="79">
        <f>IFERROR(VLOOKUP($A:$A,CS!$A:$AK,29,FALSE),"")</f>
      </c>
      <c r="T455" s="79">
        <f>IFERROR(VLOOKUP($A:$A,CS!$A:$AK,33,FALSE),"")</f>
      </c>
      <c r="U455" s="79">
        <f>IFERROR(VLOOKUP($A:$A,CS!$A:$AK,34,FALSE),"")</f>
      </c>
      <c r="V455" s="79">
        <f>IFERROR(VLOOKUP($A:$A,CS!$A:$AK,35,FALSE),"")</f>
      </c>
      <c r="W455" s="79">
        <f>IFERROR(VLOOKUP($A:$A,CS!$A:$AK,36,FALSE),"")</f>
      </c>
    </row>
    <row r="456" ht="16.5" customHeight="1" spans="1:23" x14ac:dyDescent="0.25">
      <c r="A456" s="93"/>
      <c r="B456" s="79">
        <f>IFERROR(VLOOKUP($A:$A,CS!$A:$AK,3,FALSE),"")</f>
      </c>
      <c r="C456" s="79">
        <f>IFERROR(VLOOKUP($A:$A,CS!$A:$AK,4,FALSE),"")</f>
      </c>
      <c r="D456" s="79">
        <f>IFERROR(VLOOKUP($A:$A,CS!$A:$AK,5,FALSE),"")</f>
      </c>
      <c r="E456" s="79">
        <f>IFERROR(VLOOKUP($A:$A,CS!$A:$AK,7,FALSE),"")</f>
      </c>
      <c r="F456" s="79">
        <f>IFERROR(VLOOKUP($A:$A,CS!$A:$AK,8,FALSE),"")</f>
      </c>
      <c r="G456" s="79">
        <f>IFERROR(VLOOKUP($A:$A,CS!$A:$AK,10,FALSE),"")</f>
      </c>
      <c r="H456" s="79">
        <f>IFERROR(VLOOKUP($A:$A,CS!$A:$AK,14,FALSE),"")</f>
      </c>
      <c r="I456" s="79">
        <f>IFERROR(VLOOKUP($A:$A,CS!$A:$AK,15,FALSE),"")</f>
      </c>
      <c r="J456" s="79">
        <f>IFERROR(VLOOKUP($A:$A,CS!$A:$AK,18,FALSE),"")</f>
      </c>
      <c r="K456" s="79">
        <f>IFERROR(VLOOKUP($A:$A,CS!$A:$AK,19,FALSE),"")</f>
      </c>
      <c r="L456" s="79">
        <f>IFERROR(VLOOKUP($A:$A,CS!$A:$AK,20,FALSE),"")</f>
      </c>
      <c r="M456" s="79">
        <f>IFERROR(VLOOKUP($A:$A,CS!$A:$AK,22,FALSE),"")</f>
      </c>
      <c r="N456" s="79">
        <f>IFERROR(VLOOKUP($A:$A,CS!$A:$AK,19,FALSE),"")</f>
      </c>
      <c r="O456" s="79">
        <f>IFERROR(VLOOKUP($A:$A,CS!$A:$AK,23,FALSE),"")</f>
      </c>
      <c r="P456" s="79">
        <f>IFERROR(VLOOKUP($A:$A,CS!$A:$AK,24,FALSE),"")</f>
      </c>
      <c r="Q456" s="79">
        <f>IFERROR(VLOOKUP($A:$A,CS!$A:$AK,25,FALSE),"")</f>
      </c>
      <c r="R456" s="79">
        <f>IFERROR(VLOOKUP($A:$A,CS!$A:$AK,26,FALSE),"")</f>
      </c>
      <c r="S456" s="79">
        <f>IFERROR(VLOOKUP($A:$A,CS!$A:$AK,29,FALSE),"")</f>
      </c>
      <c r="T456" s="79">
        <f>IFERROR(VLOOKUP($A:$A,CS!$A:$AK,33,FALSE),"")</f>
      </c>
      <c r="U456" s="79">
        <f>IFERROR(VLOOKUP($A:$A,CS!$A:$AK,34,FALSE),"")</f>
      </c>
      <c r="V456" s="79">
        <f>IFERROR(VLOOKUP($A:$A,CS!$A:$AK,35,FALSE),"")</f>
      </c>
      <c r="W456" s="79">
        <f>IFERROR(VLOOKUP($A:$A,CS!$A:$AK,36,FALSE),"")</f>
      </c>
    </row>
    <row r="457" ht="16.5" customHeight="1" spans="1:23" x14ac:dyDescent="0.25">
      <c r="A457" s="93"/>
      <c r="B457" s="79">
        <f>IFERROR(VLOOKUP($A:$A,CS!$A:$AK,3,FALSE),"")</f>
      </c>
      <c r="C457" s="79">
        <f>IFERROR(VLOOKUP($A:$A,CS!$A:$AK,4,FALSE),"")</f>
      </c>
      <c r="D457" s="79">
        <f>IFERROR(VLOOKUP($A:$A,CS!$A:$AK,5,FALSE),"")</f>
      </c>
      <c r="E457" s="79">
        <f>IFERROR(VLOOKUP($A:$A,CS!$A:$AK,7,FALSE),"")</f>
      </c>
      <c r="F457" s="79">
        <f>IFERROR(VLOOKUP($A:$A,CS!$A:$AK,8,FALSE),"")</f>
      </c>
      <c r="G457" s="79">
        <f>IFERROR(VLOOKUP($A:$A,CS!$A:$AK,10,FALSE),"")</f>
      </c>
      <c r="H457" s="79">
        <f>IFERROR(VLOOKUP($A:$A,CS!$A:$AK,14,FALSE),"")</f>
      </c>
      <c r="I457" s="79">
        <f>IFERROR(VLOOKUP($A:$A,CS!$A:$AK,15,FALSE),"")</f>
      </c>
      <c r="J457" s="79">
        <f>IFERROR(VLOOKUP($A:$A,CS!$A:$AK,18,FALSE),"")</f>
      </c>
      <c r="K457" s="79">
        <f>IFERROR(VLOOKUP($A:$A,CS!$A:$AK,19,FALSE),"")</f>
      </c>
      <c r="L457" s="79">
        <f>IFERROR(VLOOKUP($A:$A,CS!$A:$AK,20,FALSE),"")</f>
      </c>
      <c r="M457" s="79">
        <f>IFERROR(VLOOKUP($A:$A,CS!$A:$AK,22,FALSE),"")</f>
      </c>
      <c r="N457" s="79">
        <f>IFERROR(VLOOKUP($A:$A,CS!$A:$AK,19,FALSE),"")</f>
      </c>
      <c r="O457" s="79">
        <f>IFERROR(VLOOKUP($A:$A,CS!$A:$AK,23,FALSE),"")</f>
      </c>
      <c r="P457" s="79">
        <f>IFERROR(VLOOKUP($A:$A,CS!$A:$AK,24,FALSE),"")</f>
      </c>
      <c r="Q457" s="79">
        <f>IFERROR(VLOOKUP($A:$A,CS!$A:$AK,25,FALSE),"")</f>
      </c>
      <c r="R457" s="79">
        <f>IFERROR(VLOOKUP($A:$A,CS!$A:$AK,26,FALSE),"")</f>
      </c>
      <c r="S457" s="79">
        <f>IFERROR(VLOOKUP($A:$A,CS!$A:$AK,29,FALSE),"")</f>
      </c>
      <c r="T457" s="79">
        <f>IFERROR(VLOOKUP($A:$A,CS!$A:$AK,33,FALSE),"")</f>
      </c>
      <c r="U457" s="79">
        <f>IFERROR(VLOOKUP($A:$A,CS!$A:$AK,34,FALSE),"")</f>
      </c>
      <c r="V457" s="79">
        <f>IFERROR(VLOOKUP($A:$A,CS!$A:$AK,35,FALSE),"")</f>
      </c>
      <c r="W457" s="79">
        <f>IFERROR(VLOOKUP($A:$A,CS!$A:$AK,36,FALSE),"")</f>
      </c>
    </row>
    <row r="458" ht="16.5" customHeight="1" spans="1:23" x14ac:dyDescent="0.25">
      <c r="A458" s="93"/>
      <c r="B458" s="79">
        <f>IFERROR(VLOOKUP($A:$A,CS!$A:$AK,3,FALSE),"")</f>
      </c>
      <c r="C458" s="79">
        <f>IFERROR(VLOOKUP($A:$A,CS!$A:$AK,4,FALSE),"")</f>
      </c>
      <c r="D458" s="79">
        <f>IFERROR(VLOOKUP($A:$A,CS!$A:$AK,5,FALSE),"")</f>
      </c>
      <c r="E458" s="79">
        <f>IFERROR(VLOOKUP($A:$A,CS!$A:$AK,7,FALSE),"")</f>
      </c>
      <c r="F458" s="79">
        <f>IFERROR(VLOOKUP($A:$A,CS!$A:$AK,8,FALSE),"")</f>
      </c>
      <c r="G458" s="79">
        <f>IFERROR(VLOOKUP($A:$A,CS!$A:$AK,10,FALSE),"")</f>
      </c>
      <c r="H458" s="79">
        <f>IFERROR(VLOOKUP($A:$A,CS!$A:$AK,14,FALSE),"")</f>
      </c>
      <c r="I458" s="79">
        <f>IFERROR(VLOOKUP($A:$A,CS!$A:$AK,15,FALSE),"")</f>
      </c>
      <c r="J458" s="79">
        <f>IFERROR(VLOOKUP($A:$A,CS!$A:$AK,18,FALSE),"")</f>
      </c>
      <c r="K458" s="79">
        <f>IFERROR(VLOOKUP($A:$A,CS!$A:$AK,19,FALSE),"")</f>
      </c>
      <c r="L458" s="79">
        <f>IFERROR(VLOOKUP($A:$A,CS!$A:$AK,20,FALSE),"")</f>
      </c>
      <c r="M458" s="79">
        <f>IFERROR(VLOOKUP($A:$A,CS!$A:$AK,22,FALSE),"")</f>
      </c>
      <c r="N458" s="79">
        <f>IFERROR(VLOOKUP($A:$A,CS!$A:$AK,19,FALSE),"")</f>
      </c>
      <c r="O458" s="79">
        <f>IFERROR(VLOOKUP($A:$A,CS!$A:$AK,23,FALSE),"")</f>
      </c>
      <c r="P458" s="79">
        <f>IFERROR(VLOOKUP($A:$A,CS!$A:$AK,24,FALSE),"")</f>
      </c>
      <c r="Q458" s="79">
        <f>IFERROR(VLOOKUP($A:$A,CS!$A:$AK,25,FALSE),"")</f>
      </c>
      <c r="R458" s="79">
        <f>IFERROR(VLOOKUP($A:$A,CS!$A:$AK,26,FALSE),"")</f>
      </c>
      <c r="S458" s="79">
        <f>IFERROR(VLOOKUP($A:$A,CS!$A:$AK,29,FALSE),"")</f>
      </c>
      <c r="T458" s="79">
        <f>IFERROR(VLOOKUP($A:$A,CS!$A:$AK,33,FALSE),"")</f>
      </c>
      <c r="U458" s="79">
        <f>IFERROR(VLOOKUP($A:$A,CS!$A:$AK,34,FALSE),"")</f>
      </c>
      <c r="V458" s="79">
        <f>IFERROR(VLOOKUP($A:$A,CS!$A:$AK,35,FALSE),"")</f>
      </c>
      <c r="W458" s="79">
        <f>IFERROR(VLOOKUP($A:$A,CS!$A:$AK,36,FALSE),"")</f>
      </c>
    </row>
    <row r="459" ht="16.5" customHeight="1" spans="1:23" x14ac:dyDescent="0.25">
      <c r="A459" s="93"/>
      <c r="B459" s="79">
        <f>IFERROR(VLOOKUP($A:$A,CS!$A:$AK,3,FALSE),"")</f>
      </c>
      <c r="C459" s="79">
        <f>IFERROR(VLOOKUP($A:$A,CS!$A:$AK,4,FALSE),"")</f>
      </c>
      <c r="D459" s="79">
        <f>IFERROR(VLOOKUP($A:$A,CS!$A:$AK,5,FALSE),"")</f>
      </c>
      <c r="E459" s="79">
        <f>IFERROR(VLOOKUP($A:$A,CS!$A:$AK,7,FALSE),"")</f>
      </c>
      <c r="F459" s="79">
        <f>IFERROR(VLOOKUP($A:$A,CS!$A:$AK,8,FALSE),"")</f>
      </c>
      <c r="G459" s="79">
        <f>IFERROR(VLOOKUP($A:$A,CS!$A:$AK,10,FALSE),"")</f>
      </c>
      <c r="H459" s="79">
        <f>IFERROR(VLOOKUP($A:$A,CS!$A:$AK,14,FALSE),"")</f>
      </c>
      <c r="I459" s="79">
        <f>IFERROR(VLOOKUP($A:$A,CS!$A:$AK,15,FALSE),"")</f>
      </c>
      <c r="J459" s="79">
        <f>IFERROR(VLOOKUP($A:$A,CS!$A:$AK,18,FALSE),"")</f>
      </c>
      <c r="K459" s="79">
        <f>IFERROR(VLOOKUP($A:$A,CS!$A:$AK,19,FALSE),"")</f>
      </c>
      <c r="L459" s="79">
        <f>IFERROR(VLOOKUP($A:$A,CS!$A:$AK,20,FALSE),"")</f>
      </c>
      <c r="M459" s="79">
        <f>IFERROR(VLOOKUP($A:$A,CS!$A:$AK,22,FALSE),"")</f>
      </c>
      <c r="N459" s="79">
        <f>IFERROR(VLOOKUP($A:$A,CS!$A:$AK,19,FALSE),"")</f>
      </c>
      <c r="O459" s="79">
        <f>IFERROR(VLOOKUP($A:$A,CS!$A:$AK,23,FALSE),"")</f>
      </c>
      <c r="P459" s="79">
        <f>IFERROR(VLOOKUP($A:$A,CS!$A:$AK,24,FALSE),"")</f>
      </c>
      <c r="Q459" s="79">
        <f>IFERROR(VLOOKUP($A:$A,CS!$A:$AK,25,FALSE),"")</f>
      </c>
      <c r="R459" s="79">
        <f>IFERROR(VLOOKUP($A:$A,CS!$A:$AK,26,FALSE),"")</f>
      </c>
      <c r="S459" s="79">
        <f>IFERROR(VLOOKUP($A:$A,CS!$A:$AK,29,FALSE),"")</f>
      </c>
      <c r="T459" s="79">
        <f>IFERROR(VLOOKUP($A:$A,CS!$A:$AK,33,FALSE),"")</f>
      </c>
      <c r="U459" s="79">
        <f>IFERROR(VLOOKUP($A:$A,CS!$A:$AK,34,FALSE),"")</f>
      </c>
      <c r="V459" s="79">
        <f>IFERROR(VLOOKUP($A:$A,CS!$A:$AK,35,FALSE),"")</f>
      </c>
      <c r="W459" s="79">
        <f>IFERROR(VLOOKUP($A:$A,CS!$A:$AK,36,FALSE),"")</f>
      </c>
    </row>
    <row r="460" ht="16.5" customHeight="1" spans="1:23" x14ac:dyDescent="0.25">
      <c r="A460" s="93"/>
      <c r="B460" s="79">
        <f>IFERROR(VLOOKUP($A:$A,CS!$A:$AK,3,FALSE),"")</f>
      </c>
      <c r="C460" s="79">
        <f>IFERROR(VLOOKUP($A:$A,CS!$A:$AK,4,FALSE),"")</f>
      </c>
      <c r="D460" s="79">
        <f>IFERROR(VLOOKUP($A:$A,CS!$A:$AK,5,FALSE),"")</f>
      </c>
      <c r="E460" s="79">
        <f>IFERROR(VLOOKUP($A:$A,CS!$A:$AK,7,FALSE),"")</f>
      </c>
      <c r="F460" s="79">
        <f>IFERROR(VLOOKUP($A:$A,CS!$A:$AK,8,FALSE),"")</f>
      </c>
      <c r="G460" s="79">
        <f>IFERROR(VLOOKUP($A:$A,CS!$A:$AK,10,FALSE),"")</f>
      </c>
      <c r="H460" s="79">
        <f>IFERROR(VLOOKUP($A:$A,CS!$A:$AK,14,FALSE),"")</f>
      </c>
      <c r="I460" s="79">
        <f>IFERROR(VLOOKUP($A:$A,CS!$A:$AK,15,FALSE),"")</f>
      </c>
      <c r="J460" s="79">
        <f>IFERROR(VLOOKUP($A:$A,CS!$A:$AK,18,FALSE),"")</f>
      </c>
      <c r="K460" s="79">
        <f>IFERROR(VLOOKUP($A:$A,CS!$A:$AK,19,FALSE),"")</f>
      </c>
      <c r="L460" s="79">
        <f>IFERROR(VLOOKUP($A:$A,CS!$A:$AK,20,FALSE),"")</f>
      </c>
      <c r="M460" s="79">
        <f>IFERROR(VLOOKUP($A:$A,CS!$A:$AK,22,FALSE),"")</f>
      </c>
      <c r="N460" s="79">
        <f>IFERROR(VLOOKUP($A:$A,CS!$A:$AK,19,FALSE),"")</f>
      </c>
      <c r="O460" s="79">
        <f>IFERROR(VLOOKUP($A:$A,CS!$A:$AK,23,FALSE),"")</f>
      </c>
      <c r="P460" s="79">
        <f>IFERROR(VLOOKUP($A:$A,CS!$A:$AK,24,FALSE),"")</f>
      </c>
      <c r="Q460" s="79">
        <f>IFERROR(VLOOKUP($A:$A,CS!$A:$AK,25,FALSE),"")</f>
      </c>
      <c r="R460" s="79">
        <f>IFERROR(VLOOKUP($A:$A,CS!$A:$AK,26,FALSE),"")</f>
      </c>
      <c r="S460" s="79">
        <f>IFERROR(VLOOKUP($A:$A,CS!$A:$AK,29,FALSE),"")</f>
      </c>
      <c r="T460" s="79">
        <f>IFERROR(VLOOKUP($A:$A,CS!$A:$AK,33,FALSE),"")</f>
      </c>
      <c r="U460" s="79">
        <f>IFERROR(VLOOKUP($A:$A,CS!$A:$AK,34,FALSE),"")</f>
      </c>
      <c r="V460" s="79">
        <f>IFERROR(VLOOKUP($A:$A,CS!$A:$AK,35,FALSE),"")</f>
      </c>
      <c r="W460" s="79">
        <f>IFERROR(VLOOKUP($A:$A,CS!$A:$AK,36,FALSE),"")</f>
      </c>
    </row>
    <row r="461" ht="16.5" customHeight="1" spans="1:23" x14ac:dyDescent="0.25">
      <c r="A461" s="93"/>
      <c r="B461" s="79">
        <f>IFERROR(VLOOKUP($A:$A,CS!$A:$AK,3,FALSE),"")</f>
      </c>
      <c r="C461" s="79">
        <f>IFERROR(VLOOKUP($A:$A,CS!$A:$AK,4,FALSE),"")</f>
      </c>
      <c r="D461" s="79">
        <f>IFERROR(VLOOKUP($A:$A,CS!$A:$AK,5,FALSE),"")</f>
      </c>
      <c r="E461" s="79">
        <f>IFERROR(VLOOKUP($A:$A,CS!$A:$AK,7,FALSE),"")</f>
      </c>
      <c r="F461" s="79">
        <f>IFERROR(VLOOKUP($A:$A,CS!$A:$AK,8,FALSE),"")</f>
      </c>
      <c r="G461" s="79">
        <f>IFERROR(VLOOKUP($A:$A,CS!$A:$AK,10,FALSE),"")</f>
      </c>
      <c r="H461" s="79">
        <f>IFERROR(VLOOKUP($A:$A,CS!$A:$AK,14,FALSE),"")</f>
      </c>
      <c r="I461" s="79">
        <f>IFERROR(VLOOKUP($A:$A,CS!$A:$AK,15,FALSE),"")</f>
      </c>
      <c r="J461" s="79">
        <f>IFERROR(VLOOKUP($A:$A,CS!$A:$AK,18,FALSE),"")</f>
      </c>
      <c r="K461" s="79">
        <f>IFERROR(VLOOKUP($A:$A,CS!$A:$AK,19,FALSE),"")</f>
      </c>
      <c r="L461" s="79">
        <f>IFERROR(VLOOKUP($A:$A,CS!$A:$AK,20,FALSE),"")</f>
      </c>
      <c r="M461" s="79">
        <f>IFERROR(VLOOKUP($A:$A,CS!$A:$AK,22,FALSE),"")</f>
      </c>
      <c r="N461" s="79">
        <f>IFERROR(VLOOKUP($A:$A,CS!$A:$AK,19,FALSE),"")</f>
      </c>
      <c r="O461" s="79">
        <f>IFERROR(VLOOKUP($A:$A,CS!$A:$AK,23,FALSE),"")</f>
      </c>
      <c r="P461" s="79">
        <f>IFERROR(VLOOKUP($A:$A,CS!$A:$AK,24,FALSE),"")</f>
      </c>
      <c r="Q461" s="79">
        <f>IFERROR(VLOOKUP($A:$A,CS!$A:$AK,25,FALSE),"")</f>
      </c>
      <c r="R461" s="79">
        <f>IFERROR(VLOOKUP($A:$A,CS!$A:$AK,26,FALSE),"")</f>
      </c>
      <c r="S461" s="79">
        <f>IFERROR(VLOOKUP($A:$A,CS!$A:$AK,29,FALSE),"")</f>
      </c>
      <c r="T461" s="79">
        <f>IFERROR(VLOOKUP($A:$A,CS!$A:$AK,33,FALSE),"")</f>
      </c>
      <c r="U461" s="79">
        <f>IFERROR(VLOOKUP($A:$A,CS!$A:$AK,34,FALSE),"")</f>
      </c>
      <c r="V461" s="79">
        <f>IFERROR(VLOOKUP($A:$A,CS!$A:$AK,35,FALSE),"")</f>
      </c>
      <c r="W461" s="79">
        <f>IFERROR(VLOOKUP($A:$A,CS!$A:$AK,36,FALSE),"")</f>
      </c>
    </row>
    <row r="462" ht="16.5" customHeight="1" spans="1:23" x14ac:dyDescent="0.25">
      <c r="A462" s="93"/>
      <c r="B462" s="79">
        <f>IFERROR(VLOOKUP($A:$A,CS!$A:$AK,3,FALSE),"")</f>
      </c>
      <c r="C462" s="79">
        <f>IFERROR(VLOOKUP($A:$A,CS!$A:$AK,4,FALSE),"")</f>
      </c>
      <c r="D462" s="79">
        <f>IFERROR(VLOOKUP($A:$A,CS!$A:$AK,5,FALSE),"")</f>
      </c>
      <c r="E462" s="79">
        <f>IFERROR(VLOOKUP($A:$A,CS!$A:$AK,7,FALSE),"")</f>
      </c>
      <c r="F462" s="79">
        <f>IFERROR(VLOOKUP($A:$A,CS!$A:$AK,8,FALSE),"")</f>
      </c>
      <c r="G462" s="79">
        <f>IFERROR(VLOOKUP($A:$A,CS!$A:$AK,10,FALSE),"")</f>
      </c>
      <c r="H462" s="79">
        <f>IFERROR(VLOOKUP($A:$A,CS!$A:$AK,14,FALSE),"")</f>
      </c>
      <c r="I462" s="79">
        <f>IFERROR(VLOOKUP($A:$A,CS!$A:$AK,15,FALSE),"")</f>
      </c>
      <c r="J462" s="79">
        <f>IFERROR(VLOOKUP($A:$A,CS!$A:$AK,18,FALSE),"")</f>
      </c>
      <c r="K462" s="79">
        <f>IFERROR(VLOOKUP($A:$A,CS!$A:$AK,19,FALSE),"")</f>
      </c>
      <c r="L462" s="79">
        <f>IFERROR(VLOOKUP($A:$A,CS!$A:$AK,20,FALSE),"")</f>
      </c>
      <c r="M462" s="79">
        <f>IFERROR(VLOOKUP($A:$A,CS!$A:$AK,22,FALSE),"")</f>
      </c>
      <c r="N462" s="79">
        <f>IFERROR(VLOOKUP($A:$A,CS!$A:$AK,19,FALSE),"")</f>
      </c>
      <c r="O462" s="79">
        <f>IFERROR(VLOOKUP($A:$A,CS!$A:$AK,23,FALSE),"")</f>
      </c>
      <c r="P462" s="79">
        <f>IFERROR(VLOOKUP($A:$A,CS!$A:$AK,24,FALSE),"")</f>
      </c>
      <c r="Q462" s="79">
        <f>IFERROR(VLOOKUP($A:$A,CS!$A:$AK,25,FALSE),"")</f>
      </c>
      <c r="R462" s="79">
        <f>IFERROR(VLOOKUP($A:$A,CS!$A:$AK,26,FALSE),"")</f>
      </c>
      <c r="S462" s="79">
        <f>IFERROR(VLOOKUP($A:$A,CS!$A:$AK,29,FALSE),"")</f>
      </c>
      <c r="T462" s="79">
        <f>IFERROR(VLOOKUP($A:$A,CS!$A:$AK,33,FALSE),"")</f>
      </c>
      <c r="U462" s="79">
        <f>IFERROR(VLOOKUP($A:$A,CS!$A:$AK,34,FALSE),"")</f>
      </c>
      <c r="V462" s="79">
        <f>IFERROR(VLOOKUP($A:$A,CS!$A:$AK,35,FALSE),"")</f>
      </c>
      <c r="W462" s="79">
        <f>IFERROR(VLOOKUP($A:$A,CS!$A:$AK,36,FALSE),"")</f>
      </c>
    </row>
    <row r="463" ht="16.5" customHeight="1" spans="1:23" x14ac:dyDescent="0.25">
      <c r="A463" s="93"/>
      <c r="B463" s="79">
        <f>IFERROR(VLOOKUP($A:$A,CS!$A:$AK,3,FALSE),"")</f>
      </c>
      <c r="C463" s="79">
        <f>IFERROR(VLOOKUP($A:$A,CS!$A:$AK,4,FALSE),"")</f>
      </c>
      <c r="D463" s="79">
        <f>IFERROR(VLOOKUP($A:$A,CS!$A:$AK,5,FALSE),"")</f>
      </c>
      <c r="E463" s="79">
        <f>IFERROR(VLOOKUP($A:$A,CS!$A:$AK,7,FALSE),"")</f>
      </c>
      <c r="F463" s="79">
        <f>IFERROR(VLOOKUP($A:$A,CS!$A:$AK,8,FALSE),"")</f>
      </c>
      <c r="G463" s="79">
        <f>IFERROR(VLOOKUP($A:$A,CS!$A:$AK,10,FALSE),"")</f>
      </c>
      <c r="H463" s="79">
        <f>IFERROR(VLOOKUP($A:$A,CS!$A:$AK,14,FALSE),"")</f>
      </c>
      <c r="I463" s="79">
        <f>IFERROR(VLOOKUP($A:$A,CS!$A:$AK,15,FALSE),"")</f>
      </c>
      <c r="J463" s="79">
        <f>IFERROR(VLOOKUP($A:$A,CS!$A:$AK,18,FALSE),"")</f>
      </c>
      <c r="K463" s="79">
        <f>IFERROR(VLOOKUP($A:$A,CS!$A:$AK,19,FALSE),"")</f>
      </c>
      <c r="L463" s="79">
        <f>IFERROR(VLOOKUP($A:$A,CS!$A:$AK,20,FALSE),"")</f>
      </c>
      <c r="M463" s="79">
        <f>IFERROR(VLOOKUP($A:$A,CS!$A:$AK,22,FALSE),"")</f>
      </c>
      <c r="N463" s="79">
        <f>IFERROR(VLOOKUP($A:$A,CS!$A:$AK,19,FALSE),"")</f>
      </c>
      <c r="O463" s="79">
        <f>IFERROR(VLOOKUP($A:$A,CS!$A:$AK,23,FALSE),"")</f>
      </c>
      <c r="P463" s="79">
        <f>IFERROR(VLOOKUP($A:$A,CS!$A:$AK,24,FALSE),"")</f>
      </c>
      <c r="Q463" s="79">
        <f>IFERROR(VLOOKUP($A:$A,CS!$A:$AK,25,FALSE),"")</f>
      </c>
      <c r="R463" s="79">
        <f>IFERROR(VLOOKUP($A:$A,CS!$A:$AK,26,FALSE),"")</f>
      </c>
      <c r="S463" s="79">
        <f>IFERROR(VLOOKUP($A:$A,CS!$A:$AK,29,FALSE),"")</f>
      </c>
      <c r="T463" s="79">
        <f>IFERROR(VLOOKUP($A:$A,CS!$A:$AK,33,FALSE),"")</f>
      </c>
      <c r="U463" s="79">
        <f>IFERROR(VLOOKUP($A:$A,CS!$A:$AK,34,FALSE),"")</f>
      </c>
      <c r="V463" s="79">
        <f>IFERROR(VLOOKUP($A:$A,CS!$A:$AK,35,FALSE),"")</f>
      </c>
      <c r="W463" s="79">
        <f>IFERROR(VLOOKUP($A:$A,CS!$A:$AK,36,FALSE),"")</f>
      </c>
    </row>
    <row r="464" ht="16.5" customHeight="1" spans="1:23" x14ac:dyDescent="0.25">
      <c r="A464" s="93"/>
      <c r="B464" s="79">
        <f>IFERROR(VLOOKUP($A:$A,CS!$A:$AK,3,FALSE),"")</f>
      </c>
      <c r="C464" s="79">
        <f>IFERROR(VLOOKUP($A:$A,CS!$A:$AK,4,FALSE),"")</f>
      </c>
      <c r="D464" s="79">
        <f>IFERROR(VLOOKUP($A:$A,CS!$A:$AK,5,FALSE),"")</f>
      </c>
      <c r="E464" s="79">
        <f>IFERROR(VLOOKUP($A:$A,CS!$A:$AK,7,FALSE),"")</f>
      </c>
      <c r="F464" s="79">
        <f>IFERROR(VLOOKUP($A:$A,CS!$A:$AK,8,FALSE),"")</f>
      </c>
      <c r="G464" s="79">
        <f>IFERROR(VLOOKUP($A:$A,CS!$A:$AK,10,FALSE),"")</f>
      </c>
      <c r="H464" s="79">
        <f>IFERROR(VLOOKUP($A:$A,CS!$A:$AK,14,FALSE),"")</f>
      </c>
      <c r="I464" s="79">
        <f>IFERROR(VLOOKUP($A:$A,CS!$A:$AK,15,FALSE),"")</f>
      </c>
      <c r="J464" s="79">
        <f>IFERROR(VLOOKUP($A:$A,CS!$A:$AK,18,FALSE),"")</f>
      </c>
      <c r="K464" s="79">
        <f>IFERROR(VLOOKUP($A:$A,CS!$A:$AK,19,FALSE),"")</f>
      </c>
      <c r="L464" s="79">
        <f>IFERROR(VLOOKUP($A:$A,CS!$A:$AK,20,FALSE),"")</f>
      </c>
      <c r="M464" s="79">
        <f>IFERROR(VLOOKUP($A:$A,CS!$A:$AK,22,FALSE),"")</f>
      </c>
      <c r="N464" s="79">
        <f>IFERROR(VLOOKUP($A:$A,CS!$A:$AK,19,FALSE),"")</f>
      </c>
      <c r="O464" s="79">
        <f>IFERROR(VLOOKUP($A:$A,CS!$A:$AK,23,FALSE),"")</f>
      </c>
      <c r="P464" s="79">
        <f>IFERROR(VLOOKUP($A:$A,CS!$A:$AK,24,FALSE),"")</f>
      </c>
      <c r="Q464" s="79">
        <f>IFERROR(VLOOKUP($A:$A,CS!$A:$AK,25,FALSE),"")</f>
      </c>
      <c r="R464" s="79">
        <f>IFERROR(VLOOKUP($A:$A,CS!$A:$AK,26,FALSE),"")</f>
      </c>
      <c r="S464" s="79">
        <f>IFERROR(VLOOKUP($A:$A,CS!$A:$AK,29,FALSE),"")</f>
      </c>
      <c r="T464" s="79">
        <f>IFERROR(VLOOKUP($A:$A,CS!$A:$AK,33,FALSE),"")</f>
      </c>
      <c r="U464" s="79">
        <f>IFERROR(VLOOKUP($A:$A,CS!$A:$AK,34,FALSE),"")</f>
      </c>
      <c r="V464" s="79">
        <f>IFERROR(VLOOKUP($A:$A,CS!$A:$AK,35,FALSE),"")</f>
      </c>
      <c r="W464" s="79">
        <f>IFERROR(VLOOKUP($A:$A,CS!$A:$AK,36,FALSE),"")</f>
      </c>
    </row>
    <row r="465" ht="16.5" customHeight="1" spans="1:23" x14ac:dyDescent="0.25">
      <c r="A465" s="93"/>
      <c r="B465" s="79">
        <f>IFERROR(VLOOKUP($A:$A,CS!$A:$AK,3,FALSE),"")</f>
      </c>
      <c r="C465" s="79">
        <f>IFERROR(VLOOKUP($A:$A,CS!$A:$AK,4,FALSE),"")</f>
      </c>
      <c r="D465" s="79">
        <f>IFERROR(VLOOKUP($A:$A,CS!$A:$AK,5,FALSE),"")</f>
      </c>
      <c r="E465" s="79">
        <f>IFERROR(VLOOKUP($A:$A,CS!$A:$AK,7,FALSE),"")</f>
      </c>
      <c r="F465" s="79">
        <f>IFERROR(VLOOKUP($A:$A,CS!$A:$AK,8,FALSE),"")</f>
      </c>
      <c r="G465" s="79">
        <f>IFERROR(VLOOKUP($A:$A,CS!$A:$AK,10,FALSE),"")</f>
      </c>
      <c r="H465" s="79">
        <f>IFERROR(VLOOKUP($A:$A,CS!$A:$AK,14,FALSE),"")</f>
      </c>
      <c r="I465" s="79">
        <f>IFERROR(VLOOKUP($A:$A,CS!$A:$AK,15,FALSE),"")</f>
      </c>
      <c r="J465" s="79">
        <f>IFERROR(VLOOKUP($A:$A,CS!$A:$AK,18,FALSE),"")</f>
      </c>
      <c r="K465" s="79">
        <f>IFERROR(VLOOKUP($A:$A,CS!$A:$AK,19,FALSE),"")</f>
      </c>
      <c r="L465" s="79">
        <f>IFERROR(VLOOKUP($A:$A,CS!$A:$AK,20,FALSE),"")</f>
      </c>
      <c r="M465" s="79">
        <f>IFERROR(VLOOKUP($A:$A,CS!$A:$AK,22,FALSE),"")</f>
      </c>
      <c r="N465" s="79">
        <f>IFERROR(VLOOKUP($A:$A,CS!$A:$AK,19,FALSE),"")</f>
      </c>
      <c r="O465" s="79">
        <f>IFERROR(VLOOKUP($A:$A,CS!$A:$AK,23,FALSE),"")</f>
      </c>
      <c r="P465" s="79">
        <f>IFERROR(VLOOKUP($A:$A,CS!$A:$AK,24,FALSE),"")</f>
      </c>
      <c r="Q465" s="79">
        <f>IFERROR(VLOOKUP($A:$A,CS!$A:$AK,25,FALSE),"")</f>
      </c>
      <c r="R465" s="79">
        <f>IFERROR(VLOOKUP($A:$A,CS!$A:$AK,26,FALSE),"")</f>
      </c>
      <c r="S465" s="79">
        <f>IFERROR(VLOOKUP($A:$A,CS!$A:$AK,29,FALSE),"")</f>
      </c>
      <c r="T465" s="79">
        <f>IFERROR(VLOOKUP($A:$A,CS!$A:$AK,33,FALSE),"")</f>
      </c>
      <c r="U465" s="79">
        <f>IFERROR(VLOOKUP($A:$A,CS!$A:$AK,34,FALSE),"")</f>
      </c>
      <c r="V465" s="79">
        <f>IFERROR(VLOOKUP($A:$A,CS!$A:$AK,35,FALSE),"")</f>
      </c>
      <c r="W465" s="79">
        <f>IFERROR(VLOOKUP($A:$A,CS!$A:$AK,36,FALSE),"")</f>
      </c>
    </row>
    <row r="466" ht="16.5" customHeight="1" spans="1:23" x14ac:dyDescent="0.25">
      <c r="A466" s="93"/>
      <c r="B466" s="79">
        <f>IFERROR(VLOOKUP($A:$A,CS!$A:$AK,3,FALSE),"")</f>
      </c>
      <c r="C466" s="79">
        <f>IFERROR(VLOOKUP($A:$A,CS!$A:$AK,4,FALSE),"")</f>
      </c>
      <c r="D466" s="79">
        <f>IFERROR(VLOOKUP($A:$A,CS!$A:$AK,5,FALSE),"")</f>
      </c>
      <c r="E466" s="79">
        <f>IFERROR(VLOOKUP($A:$A,CS!$A:$AK,7,FALSE),"")</f>
      </c>
      <c r="F466" s="79">
        <f>IFERROR(VLOOKUP($A:$A,CS!$A:$AK,8,FALSE),"")</f>
      </c>
      <c r="G466" s="79">
        <f>IFERROR(VLOOKUP($A:$A,CS!$A:$AK,10,FALSE),"")</f>
      </c>
      <c r="H466" s="79">
        <f>IFERROR(VLOOKUP($A:$A,CS!$A:$AK,14,FALSE),"")</f>
      </c>
      <c r="I466" s="79">
        <f>IFERROR(VLOOKUP($A:$A,CS!$A:$AK,15,FALSE),"")</f>
      </c>
      <c r="J466" s="79">
        <f>IFERROR(VLOOKUP($A:$A,CS!$A:$AK,18,FALSE),"")</f>
      </c>
      <c r="K466" s="79">
        <f>IFERROR(VLOOKUP($A:$A,CS!$A:$AK,19,FALSE),"")</f>
      </c>
      <c r="L466" s="79">
        <f>IFERROR(VLOOKUP($A:$A,CS!$A:$AK,20,FALSE),"")</f>
      </c>
      <c r="M466" s="79">
        <f>IFERROR(VLOOKUP($A:$A,CS!$A:$AK,22,FALSE),"")</f>
      </c>
      <c r="N466" s="79">
        <f>IFERROR(VLOOKUP($A:$A,CS!$A:$AK,19,FALSE),"")</f>
      </c>
      <c r="O466" s="79">
        <f>IFERROR(VLOOKUP($A:$A,CS!$A:$AK,23,FALSE),"")</f>
      </c>
      <c r="P466" s="79">
        <f>IFERROR(VLOOKUP($A:$A,CS!$A:$AK,24,FALSE),"")</f>
      </c>
      <c r="Q466" s="79">
        <f>IFERROR(VLOOKUP($A:$A,CS!$A:$AK,25,FALSE),"")</f>
      </c>
      <c r="R466" s="79">
        <f>IFERROR(VLOOKUP($A:$A,CS!$A:$AK,26,FALSE),"")</f>
      </c>
      <c r="S466" s="79">
        <f>IFERROR(VLOOKUP($A:$A,CS!$A:$AK,29,FALSE),"")</f>
      </c>
      <c r="T466" s="79">
        <f>IFERROR(VLOOKUP($A:$A,CS!$A:$AK,33,FALSE),"")</f>
      </c>
      <c r="U466" s="79">
        <f>IFERROR(VLOOKUP($A:$A,CS!$A:$AK,34,FALSE),"")</f>
      </c>
      <c r="V466" s="79">
        <f>IFERROR(VLOOKUP($A:$A,CS!$A:$AK,35,FALSE),"")</f>
      </c>
      <c r="W466" s="79">
        <f>IFERROR(VLOOKUP($A:$A,CS!$A:$AK,36,FALSE),"")</f>
      </c>
    </row>
    <row r="467" ht="16.5" customHeight="1" spans="1:23" x14ac:dyDescent="0.25">
      <c r="A467" s="93"/>
      <c r="B467" s="79">
        <f>IFERROR(VLOOKUP($A:$A,CS!$A:$AK,3,FALSE),"")</f>
      </c>
      <c r="C467" s="79">
        <f>IFERROR(VLOOKUP($A:$A,CS!$A:$AK,4,FALSE),"")</f>
      </c>
      <c r="D467" s="79">
        <f>IFERROR(VLOOKUP($A:$A,CS!$A:$AK,5,FALSE),"")</f>
      </c>
      <c r="E467" s="79">
        <f>IFERROR(VLOOKUP($A:$A,CS!$A:$AK,7,FALSE),"")</f>
      </c>
      <c r="F467" s="79">
        <f>IFERROR(VLOOKUP($A:$A,CS!$A:$AK,8,FALSE),"")</f>
      </c>
      <c r="G467" s="79">
        <f>IFERROR(VLOOKUP($A:$A,CS!$A:$AK,10,FALSE),"")</f>
      </c>
      <c r="H467" s="79">
        <f>IFERROR(VLOOKUP($A:$A,CS!$A:$AK,14,FALSE),"")</f>
      </c>
      <c r="I467" s="79">
        <f>IFERROR(VLOOKUP($A:$A,CS!$A:$AK,15,FALSE),"")</f>
      </c>
      <c r="J467" s="79">
        <f>IFERROR(VLOOKUP($A:$A,CS!$A:$AK,18,FALSE),"")</f>
      </c>
      <c r="K467" s="79">
        <f>IFERROR(VLOOKUP($A:$A,CS!$A:$AK,19,FALSE),"")</f>
      </c>
      <c r="L467" s="79">
        <f>IFERROR(VLOOKUP($A:$A,CS!$A:$AK,20,FALSE),"")</f>
      </c>
      <c r="M467" s="79">
        <f>IFERROR(VLOOKUP($A:$A,CS!$A:$AK,22,FALSE),"")</f>
      </c>
      <c r="N467" s="79">
        <f>IFERROR(VLOOKUP($A:$A,CS!$A:$AK,19,FALSE),"")</f>
      </c>
      <c r="O467" s="79">
        <f>IFERROR(VLOOKUP($A:$A,CS!$A:$AK,23,FALSE),"")</f>
      </c>
      <c r="P467" s="79">
        <f>IFERROR(VLOOKUP($A:$A,CS!$A:$AK,24,FALSE),"")</f>
      </c>
      <c r="Q467" s="79">
        <f>IFERROR(VLOOKUP($A:$A,CS!$A:$AK,25,FALSE),"")</f>
      </c>
      <c r="R467" s="79">
        <f>IFERROR(VLOOKUP($A:$A,CS!$A:$AK,26,FALSE),"")</f>
      </c>
      <c r="S467" s="79">
        <f>IFERROR(VLOOKUP($A:$A,CS!$A:$AK,29,FALSE),"")</f>
      </c>
      <c r="T467" s="79">
        <f>IFERROR(VLOOKUP($A:$A,CS!$A:$AK,33,FALSE),"")</f>
      </c>
      <c r="U467" s="79">
        <f>IFERROR(VLOOKUP($A:$A,CS!$A:$AK,34,FALSE),"")</f>
      </c>
      <c r="V467" s="79">
        <f>IFERROR(VLOOKUP($A:$A,CS!$A:$AK,35,FALSE),"")</f>
      </c>
      <c r="W467" s="79">
        <f>IFERROR(VLOOKUP($A:$A,CS!$A:$AK,36,FALSE),"")</f>
      </c>
    </row>
    <row r="468" ht="16.5" customHeight="1" spans="1:23" x14ac:dyDescent="0.25">
      <c r="A468" s="93"/>
      <c r="B468" s="79">
        <f>IFERROR(VLOOKUP($A:$A,CS!$A:$AK,3,FALSE),"")</f>
      </c>
      <c r="C468" s="79">
        <f>IFERROR(VLOOKUP($A:$A,CS!$A:$AK,4,FALSE),"")</f>
      </c>
      <c r="D468" s="79">
        <f>IFERROR(VLOOKUP($A:$A,CS!$A:$AK,5,FALSE),"")</f>
      </c>
      <c r="E468" s="79">
        <f>IFERROR(VLOOKUP($A:$A,CS!$A:$AK,7,FALSE),"")</f>
      </c>
      <c r="F468" s="79">
        <f>IFERROR(VLOOKUP($A:$A,CS!$A:$AK,8,FALSE),"")</f>
      </c>
      <c r="G468" s="79">
        <f>IFERROR(VLOOKUP($A:$A,CS!$A:$AK,10,FALSE),"")</f>
      </c>
      <c r="H468" s="79">
        <f>IFERROR(VLOOKUP($A:$A,CS!$A:$AK,14,FALSE),"")</f>
      </c>
      <c r="I468" s="79">
        <f>IFERROR(VLOOKUP($A:$A,CS!$A:$AK,15,FALSE),"")</f>
      </c>
      <c r="J468" s="79">
        <f>IFERROR(VLOOKUP($A:$A,CS!$A:$AK,18,FALSE),"")</f>
      </c>
      <c r="K468" s="79">
        <f>IFERROR(VLOOKUP($A:$A,CS!$A:$AK,19,FALSE),"")</f>
      </c>
      <c r="L468" s="79">
        <f>IFERROR(VLOOKUP($A:$A,CS!$A:$AK,20,FALSE),"")</f>
      </c>
      <c r="M468" s="79">
        <f>IFERROR(VLOOKUP($A:$A,CS!$A:$AK,22,FALSE),"")</f>
      </c>
      <c r="N468" s="79">
        <f>IFERROR(VLOOKUP($A:$A,CS!$A:$AK,19,FALSE),"")</f>
      </c>
      <c r="O468" s="79">
        <f>IFERROR(VLOOKUP($A:$A,CS!$A:$AK,23,FALSE),"")</f>
      </c>
      <c r="P468" s="79">
        <f>IFERROR(VLOOKUP($A:$A,CS!$A:$AK,24,FALSE),"")</f>
      </c>
      <c r="Q468" s="79">
        <f>IFERROR(VLOOKUP($A:$A,CS!$A:$AK,25,FALSE),"")</f>
      </c>
      <c r="R468" s="79">
        <f>IFERROR(VLOOKUP($A:$A,CS!$A:$AK,26,FALSE),"")</f>
      </c>
      <c r="S468" s="79">
        <f>IFERROR(VLOOKUP($A:$A,CS!$A:$AK,29,FALSE),"")</f>
      </c>
      <c r="T468" s="79">
        <f>IFERROR(VLOOKUP($A:$A,CS!$A:$AK,33,FALSE),"")</f>
      </c>
      <c r="U468" s="79">
        <f>IFERROR(VLOOKUP($A:$A,CS!$A:$AK,34,FALSE),"")</f>
      </c>
      <c r="V468" s="79">
        <f>IFERROR(VLOOKUP($A:$A,CS!$A:$AK,35,FALSE),"")</f>
      </c>
      <c r="W468" s="79">
        <f>IFERROR(VLOOKUP($A:$A,CS!$A:$AK,36,FALSE),"")</f>
      </c>
    </row>
    <row r="469" ht="16.5" customHeight="1" spans="1:23" x14ac:dyDescent="0.25">
      <c r="A469" s="93"/>
      <c r="B469" s="79">
        <f>IFERROR(VLOOKUP($A:$A,CS!$A:$AK,3,FALSE),"")</f>
      </c>
      <c r="C469" s="79">
        <f>IFERROR(VLOOKUP($A:$A,CS!$A:$AK,4,FALSE),"")</f>
      </c>
      <c r="D469" s="79">
        <f>IFERROR(VLOOKUP($A:$A,CS!$A:$AK,5,FALSE),"")</f>
      </c>
      <c r="E469" s="79">
        <f>IFERROR(VLOOKUP($A:$A,CS!$A:$AK,7,FALSE),"")</f>
      </c>
      <c r="F469" s="79">
        <f>IFERROR(VLOOKUP($A:$A,CS!$A:$AK,8,FALSE),"")</f>
      </c>
      <c r="G469" s="79">
        <f>IFERROR(VLOOKUP($A:$A,CS!$A:$AK,10,FALSE),"")</f>
      </c>
      <c r="H469" s="79">
        <f>IFERROR(VLOOKUP($A:$A,CS!$A:$AK,14,FALSE),"")</f>
      </c>
      <c r="I469" s="79">
        <f>IFERROR(VLOOKUP($A:$A,CS!$A:$AK,15,FALSE),"")</f>
      </c>
      <c r="J469" s="79">
        <f>IFERROR(VLOOKUP($A:$A,CS!$A:$AK,18,FALSE),"")</f>
      </c>
      <c r="K469" s="79">
        <f>IFERROR(VLOOKUP($A:$A,CS!$A:$AK,19,FALSE),"")</f>
      </c>
      <c r="L469" s="79">
        <f>IFERROR(VLOOKUP($A:$A,CS!$A:$AK,20,FALSE),"")</f>
      </c>
      <c r="M469" s="79">
        <f>IFERROR(VLOOKUP($A:$A,CS!$A:$AK,22,FALSE),"")</f>
      </c>
      <c r="N469" s="79">
        <f>IFERROR(VLOOKUP($A:$A,CS!$A:$AK,19,FALSE),"")</f>
      </c>
      <c r="O469" s="79">
        <f>IFERROR(VLOOKUP($A:$A,CS!$A:$AK,23,FALSE),"")</f>
      </c>
      <c r="P469" s="79">
        <f>IFERROR(VLOOKUP($A:$A,CS!$A:$AK,24,FALSE),"")</f>
      </c>
      <c r="Q469" s="79">
        <f>IFERROR(VLOOKUP($A:$A,CS!$A:$AK,25,FALSE),"")</f>
      </c>
      <c r="R469" s="79">
        <f>IFERROR(VLOOKUP($A:$A,CS!$A:$AK,26,FALSE),"")</f>
      </c>
      <c r="S469" s="79">
        <f>IFERROR(VLOOKUP($A:$A,CS!$A:$AK,29,FALSE),"")</f>
      </c>
      <c r="T469" s="79">
        <f>IFERROR(VLOOKUP($A:$A,CS!$A:$AK,33,FALSE),"")</f>
      </c>
      <c r="U469" s="79">
        <f>IFERROR(VLOOKUP($A:$A,CS!$A:$AK,34,FALSE),"")</f>
      </c>
      <c r="V469" s="79">
        <f>IFERROR(VLOOKUP($A:$A,CS!$A:$AK,35,FALSE),"")</f>
      </c>
      <c r="W469" s="79">
        <f>IFERROR(VLOOKUP($A:$A,CS!$A:$AK,36,FALSE),"")</f>
      </c>
    </row>
    <row r="470" ht="16.5" customHeight="1" spans="1:23" x14ac:dyDescent="0.25">
      <c r="A470" s="93"/>
      <c r="B470" s="79">
        <f>IFERROR(VLOOKUP($A:$A,CS!$A:$AK,3,FALSE),"")</f>
      </c>
      <c r="C470" s="79">
        <f>IFERROR(VLOOKUP($A:$A,CS!$A:$AK,4,FALSE),"")</f>
      </c>
      <c r="D470" s="79">
        <f>IFERROR(VLOOKUP($A:$A,CS!$A:$AK,5,FALSE),"")</f>
      </c>
      <c r="E470" s="79">
        <f>IFERROR(VLOOKUP($A:$A,CS!$A:$AK,7,FALSE),"")</f>
      </c>
      <c r="F470" s="79">
        <f>IFERROR(VLOOKUP($A:$A,CS!$A:$AK,8,FALSE),"")</f>
      </c>
      <c r="G470" s="79">
        <f>IFERROR(VLOOKUP($A:$A,CS!$A:$AK,10,FALSE),"")</f>
      </c>
      <c r="H470" s="79">
        <f>IFERROR(VLOOKUP($A:$A,CS!$A:$AK,14,FALSE),"")</f>
      </c>
      <c r="I470" s="79">
        <f>IFERROR(VLOOKUP($A:$A,CS!$A:$AK,15,FALSE),"")</f>
      </c>
      <c r="J470" s="79">
        <f>IFERROR(VLOOKUP($A:$A,CS!$A:$AK,18,FALSE),"")</f>
      </c>
      <c r="K470" s="79">
        <f>IFERROR(VLOOKUP($A:$A,CS!$A:$AK,19,FALSE),"")</f>
      </c>
      <c r="L470" s="79">
        <f>IFERROR(VLOOKUP($A:$A,CS!$A:$AK,20,FALSE),"")</f>
      </c>
      <c r="M470" s="79">
        <f>IFERROR(VLOOKUP($A:$A,CS!$A:$AK,22,FALSE),"")</f>
      </c>
      <c r="N470" s="79">
        <f>IFERROR(VLOOKUP($A:$A,CS!$A:$AK,19,FALSE),"")</f>
      </c>
      <c r="O470" s="79">
        <f>IFERROR(VLOOKUP($A:$A,CS!$A:$AK,23,FALSE),"")</f>
      </c>
      <c r="P470" s="79">
        <f>IFERROR(VLOOKUP($A:$A,CS!$A:$AK,24,FALSE),"")</f>
      </c>
      <c r="Q470" s="79">
        <f>IFERROR(VLOOKUP($A:$A,CS!$A:$AK,25,FALSE),"")</f>
      </c>
      <c r="R470" s="79">
        <f>IFERROR(VLOOKUP($A:$A,CS!$A:$AK,26,FALSE),"")</f>
      </c>
      <c r="S470" s="79">
        <f>IFERROR(VLOOKUP($A:$A,CS!$A:$AK,29,FALSE),"")</f>
      </c>
      <c r="T470" s="79">
        <f>IFERROR(VLOOKUP($A:$A,CS!$A:$AK,33,FALSE),"")</f>
      </c>
      <c r="U470" s="79">
        <f>IFERROR(VLOOKUP($A:$A,CS!$A:$AK,34,FALSE),"")</f>
      </c>
      <c r="V470" s="79">
        <f>IFERROR(VLOOKUP($A:$A,CS!$A:$AK,35,FALSE),"")</f>
      </c>
      <c r="W470" s="79">
        <f>IFERROR(VLOOKUP($A:$A,CS!$A:$AK,36,FALSE),"")</f>
      </c>
    </row>
    <row r="471" ht="16.5" customHeight="1" spans="1:23" x14ac:dyDescent="0.25">
      <c r="A471" s="93"/>
      <c r="B471" s="79">
        <f>IFERROR(VLOOKUP($A:$A,CS!$A:$AK,3,FALSE),"")</f>
      </c>
      <c r="C471" s="79">
        <f>IFERROR(VLOOKUP($A:$A,CS!$A:$AK,4,FALSE),"")</f>
      </c>
      <c r="D471" s="79">
        <f>IFERROR(VLOOKUP($A:$A,CS!$A:$AK,5,FALSE),"")</f>
      </c>
      <c r="E471" s="79">
        <f>IFERROR(VLOOKUP($A:$A,CS!$A:$AK,7,FALSE),"")</f>
      </c>
      <c r="F471" s="79">
        <f>IFERROR(VLOOKUP($A:$A,CS!$A:$AK,8,FALSE),"")</f>
      </c>
      <c r="G471" s="79">
        <f>IFERROR(VLOOKUP($A:$A,CS!$A:$AK,10,FALSE),"")</f>
      </c>
      <c r="H471" s="79">
        <f>IFERROR(VLOOKUP($A:$A,CS!$A:$AK,14,FALSE),"")</f>
      </c>
      <c r="I471" s="79">
        <f>IFERROR(VLOOKUP($A:$A,CS!$A:$AK,15,FALSE),"")</f>
      </c>
      <c r="J471" s="79">
        <f>IFERROR(VLOOKUP($A:$A,CS!$A:$AK,18,FALSE),"")</f>
      </c>
      <c r="K471" s="79">
        <f>IFERROR(VLOOKUP($A:$A,CS!$A:$AK,19,FALSE),"")</f>
      </c>
      <c r="L471" s="79">
        <f>IFERROR(VLOOKUP($A:$A,CS!$A:$AK,20,FALSE),"")</f>
      </c>
      <c r="M471" s="79">
        <f>IFERROR(VLOOKUP($A:$A,CS!$A:$AK,22,FALSE),"")</f>
      </c>
      <c r="N471" s="79">
        <f>IFERROR(VLOOKUP($A:$A,CS!$A:$AK,19,FALSE),"")</f>
      </c>
      <c r="O471" s="79">
        <f>IFERROR(VLOOKUP($A:$A,CS!$A:$AK,23,FALSE),"")</f>
      </c>
      <c r="P471" s="79">
        <f>IFERROR(VLOOKUP($A:$A,CS!$A:$AK,24,FALSE),"")</f>
      </c>
      <c r="Q471" s="79">
        <f>IFERROR(VLOOKUP($A:$A,CS!$A:$AK,25,FALSE),"")</f>
      </c>
      <c r="R471" s="79">
        <f>IFERROR(VLOOKUP($A:$A,CS!$A:$AK,26,FALSE),"")</f>
      </c>
      <c r="S471" s="79">
        <f>IFERROR(VLOOKUP($A:$A,CS!$A:$AK,29,FALSE),"")</f>
      </c>
      <c r="T471" s="79">
        <f>IFERROR(VLOOKUP($A:$A,CS!$A:$AK,33,FALSE),"")</f>
      </c>
      <c r="U471" s="79">
        <f>IFERROR(VLOOKUP($A:$A,CS!$A:$AK,34,FALSE),"")</f>
      </c>
      <c r="V471" s="79">
        <f>IFERROR(VLOOKUP($A:$A,CS!$A:$AK,35,FALSE),"")</f>
      </c>
      <c r="W471" s="79">
        <f>IFERROR(VLOOKUP($A:$A,CS!$A:$AK,36,FALSE),"")</f>
      </c>
    </row>
    <row r="472" ht="16.5" customHeight="1" spans="1:23" x14ac:dyDescent="0.25">
      <c r="A472" s="93"/>
      <c r="B472" s="79">
        <f>IFERROR(VLOOKUP($A:$A,CS!$A:$AK,3,FALSE),"")</f>
      </c>
      <c r="C472" s="79">
        <f>IFERROR(VLOOKUP($A:$A,CS!$A:$AK,4,FALSE),"")</f>
      </c>
      <c r="D472" s="79">
        <f>IFERROR(VLOOKUP($A:$A,CS!$A:$AK,5,FALSE),"")</f>
      </c>
      <c r="E472" s="79">
        <f>IFERROR(VLOOKUP($A:$A,CS!$A:$AK,7,FALSE),"")</f>
      </c>
      <c r="F472" s="79">
        <f>IFERROR(VLOOKUP($A:$A,CS!$A:$AK,8,FALSE),"")</f>
      </c>
      <c r="G472" s="79">
        <f>IFERROR(VLOOKUP($A:$A,CS!$A:$AK,10,FALSE),"")</f>
      </c>
      <c r="H472" s="79">
        <f>IFERROR(VLOOKUP($A:$A,CS!$A:$AK,14,FALSE),"")</f>
      </c>
      <c r="I472" s="79">
        <f>IFERROR(VLOOKUP($A:$A,CS!$A:$AK,15,FALSE),"")</f>
      </c>
      <c r="J472" s="79">
        <f>IFERROR(VLOOKUP($A:$A,CS!$A:$AK,18,FALSE),"")</f>
      </c>
      <c r="K472" s="79">
        <f>IFERROR(VLOOKUP($A:$A,CS!$A:$AK,19,FALSE),"")</f>
      </c>
      <c r="L472" s="79">
        <f>IFERROR(VLOOKUP($A:$A,CS!$A:$AK,20,FALSE),"")</f>
      </c>
      <c r="M472" s="79">
        <f>IFERROR(VLOOKUP($A:$A,CS!$A:$AK,22,FALSE),"")</f>
      </c>
      <c r="N472" s="79">
        <f>IFERROR(VLOOKUP($A:$A,CS!$A:$AK,19,FALSE),"")</f>
      </c>
      <c r="O472" s="79">
        <f>IFERROR(VLOOKUP($A:$A,CS!$A:$AK,23,FALSE),"")</f>
      </c>
      <c r="P472" s="79">
        <f>IFERROR(VLOOKUP($A:$A,CS!$A:$AK,24,FALSE),"")</f>
      </c>
      <c r="Q472" s="79">
        <f>IFERROR(VLOOKUP($A:$A,CS!$A:$AK,25,FALSE),"")</f>
      </c>
      <c r="R472" s="79">
        <f>IFERROR(VLOOKUP($A:$A,CS!$A:$AK,26,FALSE),"")</f>
      </c>
      <c r="S472" s="79">
        <f>IFERROR(VLOOKUP($A:$A,CS!$A:$AK,29,FALSE),"")</f>
      </c>
      <c r="T472" s="79">
        <f>IFERROR(VLOOKUP($A:$A,CS!$A:$AK,33,FALSE),"")</f>
      </c>
      <c r="U472" s="79">
        <f>IFERROR(VLOOKUP($A:$A,CS!$A:$AK,34,FALSE),"")</f>
      </c>
      <c r="V472" s="79">
        <f>IFERROR(VLOOKUP($A:$A,CS!$A:$AK,35,FALSE),"")</f>
      </c>
      <c r="W472" s="79">
        <f>IFERROR(VLOOKUP($A:$A,CS!$A:$AK,36,FALSE),"")</f>
      </c>
    </row>
    <row r="473" ht="16.5" customHeight="1" spans="1:23" x14ac:dyDescent="0.25">
      <c r="A473" s="93"/>
      <c r="B473" s="79">
        <f>IFERROR(VLOOKUP($A:$A,CS!$A:$AK,3,FALSE),"")</f>
      </c>
      <c r="C473" s="79">
        <f>IFERROR(VLOOKUP($A:$A,CS!$A:$AK,4,FALSE),"")</f>
      </c>
      <c r="D473" s="79">
        <f>IFERROR(VLOOKUP($A:$A,CS!$A:$AK,5,FALSE),"")</f>
      </c>
      <c r="E473" s="79">
        <f>IFERROR(VLOOKUP($A:$A,CS!$A:$AK,7,FALSE),"")</f>
      </c>
      <c r="F473" s="79">
        <f>IFERROR(VLOOKUP($A:$A,CS!$A:$AK,8,FALSE),"")</f>
      </c>
      <c r="G473" s="79">
        <f>IFERROR(VLOOKUP($A:$A,CS!$A:$AK,10,FALSE),"")</f>
      </c>
      <c r="H473" s="79">
        <f>IFERROR(VLOOKUP($A:$A,CS!$A:$AK,14,FALSE),"")</f>
      </c>
      <c r="I473" s="79">
        <f>IFERROR(VLOOKUP($A:$A,CS!$A:$AK,15,FALSE),"")</f>
      </c>
      <c r="J473" s="79">
        <f>IFERROR(VLOOKUP($A:$A,CS!$A:$AK,18,FALSE),"")</f>
      </c>
      <c r="K473" s="79">
        <f>IFERROR(VLOOKUP($A:$A,CS!$A:$AK,19,FALSE),"")</f>
      </c>
      <c r="L473" s="79">
        <f>IFERROR(VLOOKUP($A:$A,CS!$A:$AK,20,FALSE),"")</f>
      </c>
      <c r="M473" s="79">
        <f>IFERROR(VLOOKUP($A:$A,CS!$A:$AK,22,FALSE),"")</f>
      </c>
      <c r="N473" s="79">
        <f>IFERROR(VLOOKUP($A:$A,CS!$A:$AK,19,FALSE),"")</f>
      </c>
      <c r="O473" s="79">
        <f>IFERROR(VLOOKUP($A:$A,CS!$A:$AK,23,FALSE),"")</f>
      </c>
      <c r="P473" s="79">
        <f>IFERROR(VLOOKUP($A:$A,CS!$A:$AK,24,FALSE),"")</f>
      </c>
      <c r="Q473" s="79">
        <f>IFERROR(VLOOKUP($A:$A,CS!$A:$AK,25,FALSE),"")</f>
      </c>
      <c r="R473" s="79">
        <f>IFERROR(VLOOKUP($A:$A,CS!$A:$AK,26,FALSE),"")</f>
      </c>
      <c r="S473" s="79">
        <f>IFERROR(VLOOKUP($A:$A,CS!$A:$AK,29,FALSE),"")</f>
      </c>
      <c r="T473" s="79">
        <f>IFERROR(VLOOKUP($A:$A,CS!$A:$AK,33,FALSE),"")</f>
      </c>
      <c r="U473" s="79">
        <f>IFERROR(VLOOKUP($A:$A,CS!$A:$AK,34,FALSE),"")</f>
      </c>
      <c r="V473" s="79">
        <f>IFERROR(VLOOKUP($A:$A,CS!$A:$AK,35,FALSE),"")</f>
      </c>
      <c r="W473" s="79">
        <f>IFERROR(VLOOKUP($A:$A,CS!$A:$AK,36,FALSE),"")</f>
      </c>
    </row>
    <row r="474" ht="16.5" customHeight="1" spans="1:23" x14ac:dyDescent="0.25">
      <c r="A474" s="93"/>
      <c r="B474" s="79">
        <f>IFERROR(VLOOKUP($A:$A,CS!$A:$AK,3,FALSE),"")</f>
      </c>
      <c r="C474" s="79">
        <f>IFERROR(VLOOKUP($A:$A,CS!$A:$AK,4,FALSE),"")</f>
      </c>
      <c r="D474" s="79">
        <f>IFERROR(VLOOKUP($A:$A,CS!$A:$AK,5,FALSE),"")</f>
      </c>
      <c r="E474" s="79">
        <f>IFERROR(VLOOKUP($A:$A,CS!$A:$AK,7,FALSE),"")</f>
      </c>
      <c r="F474" s="79">
        <f>IFERROR(VLOOKUP($A:$A,CS!$A:$AK,8,FALSE),"")</f>
      </c>
      <c r="G474" s="79">
        <f>IFERROR(VLOOKUP($A:$A,CS!$A:$AK,10,FALSE),"")</f>
      </c>
      <c r="H474" s="79">
        <f>IFERROR(VLOOKUP($A:$A,CS!$A:$AK,14,FALSE),"")</f>
      </c>
      <c r="I474" s="79">
        <f>IFERROR(VLOOKUP($A:$A,CS!$A:$AK,15,FALSE),"")</f>
      </c>
      <c r="J474" s="79">
        <f>IFERROR(VLOOKUP($A:$A,CS!$A:$AK,18,FALSE),"")</f>
      </c>
      <c r="K474" s="79">
        <f>IFERROR(VLOOKUP($A:$A,CS!$A:$AK,19,FALSE),"")</f>
      </c>
      <c r="L474" s="79">
        <f>IFERROR(VLOOKUP($A:$A,CS!$A:$AK,20,FALSE),"")</f>
      </c>
      <c r="M474" s="79">
        <f>IFERROR(VLOOKUP($A:$A,CS!$A:$AK,22,FALSE),"")</f>
      </c>
      <c r="N474" s="79">
        <f>IFERROR(VLOOKUP($A:$A,CS!$A:$AK,19,FALSE),"")</f>
      </c>
      <c r="O474" s="79">
        <f>IFERROR(VLOOKUP($A:$A,CS!$A:$AK,23,FALSE),"")</f>
      </c>
      <c r="P474" s="79">
        <f>IFERROR(VLOOKUP($A:$A,CS!$A:$AK,24,FALSE),"")</f>
      </c>
      <c r="Q474" s="79">
        <f>IFERROR(VLOOKUP($A:$A,CS!$A:$AK,25,FALSE),"")</f>
      </c>
      <c r="R474" s="79">
        <f>IFERROR(VLOOKUP($A:$A,CS!$A:$AK,26,FALSE),"")</f>
      </c>
      <c r="S474" s="79">
        <f>IFERROR(VLOOKUP($A:$A,CS!$A:$AK,29,FALSE),"")</f>
      </c>
      <c r="T474" s="79">
        <f>IFERROR(VLOOKUP($A:$A,CS!$A:$AK,33,FALSE),"")</f>
      </c>
      <c r="U474" s="79">
        <f>IFERROR(VLOOKUP($A:$A,CS!$A:$AK,34,FALSE),"")</f>
      </c>
      <c r="V474" s="79">
        <f>IFERROR(VLOOKUP($A:$A,CS!$A:$AK,35,FALSE),"")</f>
      </c>
      <c r="W474" s="79">
        <f>IFERROR(VLOOKUP($A:$A,CS!$A:$AK,36,FALSE),"")</f>
      </c>
    </row>
    <row r="475" ht="16.5" customHeight="1" spans="1:23" x14ac:dyDescent="0.25">
      <c r="A475" s="93"/>
      <c r="B475" s="79">
        <f>IFERROR(VLOOKUP($A:$A,CS!$A:$AK,3,FALSE),"")</f>
      </c>
      <c r="C475" s="79">
        <f>IFERROR(VLOOKUP($A:$A,CS!$A:$AK,4,FALSE),"")</f>
      </c>
      <c r="D475" s="79">
        <f>IFERROR(VLOOKUP($A:$A,CS!$A:$AK,5,FALSE),"")</f>
      </c>
      <c r="E475" s="79">
        <f>IFERROR(VLOOKUP($A:$A,CS!$A:$AK,7,FALSE),"")</f>
      </c>
      <c r="F475" s="79">
        <f>IFERROR(VLOOKUP($A:$A,CS!$A:$AK,8,FALSE),"")</f>
      </c>
      <c r="G475" s="79">
        <f>IFERROR(VLOOKUP($A:$A,CS!$A:$AK,10,FALSE),"")</f>
      </c>
      <c r="H475" s="79">
        <f>IFERROR(VLOOKUP($A:$A,CS!$A:$AK,14,FALSE),"")</f>
      </c>
      <c r="I475" s="79">
        <f>IFERROR(VLOOKUP($A:$A,CS!$A:$AK,15,FALSE),"")</f>
      </c>
      <c r="J475" s="79">
        <f>IFERROR(VLOOKUP($A:$A,CS!$A:$AK,18,FALSE),"")</f>
      </c>
      <c r="K475" s="79">
        <f>IFERROR(VLOOKUP($A:$A,CS!$A:$AK,19,FALSE),"")</f>
      </c>
      <c r="L475" s="79">
        <f>IFERROR(VLOOKUP($A:$A,CS!$A:$AK,20,FALSE),"")</f>
      </c>
      <c r="M475" s="79">
        <f>IFERROR(VLOOKUP($A:$A,CS!$A:$AK,22,FALSE),"")</f>
      </c>
      <c r="N475" s="79">
        <f>IFERROR(VLOOKUP($A:$A,CS!$A:$AK,19,FALSE),"")</f>
      </c>
      <c r="O475" s="79">
        <f>IFERROR(VLOOKUP($A:$A,CS!$A:$AK,23,FALSE),"")</f>
      </c>
      <c r="P475" s="79">
        <f>IFERROR(VLOOKUP($A:$A,CS!$A:$AK,24,FALSE),"")</f>
      </c>
      <c r="Q475" s="79">
        <f>IFERROR(VLOOKUP($A:$A,CS!$A:$AK,25,FALSE),"")</f>
      </c>
      <c r="R475" s="79">
        <f>IFERROR(VLOOKUP($A:$A,CS!$A:$AK,26,FALSE),"")</f>
      </c>
      <c r="S475" s="79">
        <f>IFERROR(VLOOKUP($A:$A,CS!$A:$AK,29,FALSE),"")</f>
      </c>
      <c r="T475" s="79">
        <f>IFERROR(VLOOKUP($A:$A,CS!$A:$AK,33,FALSE),"")</f>
      </c>
      <c r="U475" s="79">
        <f>IFERROR(VLOOKUP($A:$A,CS!$A:$AK,34,FALSE),"")</f>
      </c>
      <c r="V475" s="79">
        <f>IFERROR(VLOOKUP($A:$A,CS!$A:$AK,35,FALSE),"")</f>
      </c>
      <c r="W475" s="79">
        <f>IFERROR(VLOOKUP($A:$A,CS!$A:$AK,36,FALSE),"")</f>
      </c>
    </row>
    <row r="476" ht="16.5" customHeight="1" spans="1:23" x14ac:dyDescent="0.25">
      <c r="A476" s="93"/>
      <c r="B476" s="79">
        <f>IFERROR(VLOOKUP($A:$A,CS!$A:$AK,3,FALSE),"")</f>
      </c>
      <c r="C476" s="79">
        <f>IFERROR(VLOOKUP($A:$A,CS!$A:$AK,4,FALSE),"")</f>
      </c>
      <c r="D476" s="79">
        <f>IFERROR(VLOOKUP($A:$A,CS!$A:$AK,5,FALSE),"")</f>
      </c>
      <c r="E476" s="79">
        <f>IFERROR(VLOOKUP($A:$A,CS!$A:$AK,7,FALSE),"")</f>
      </c>
      <c r="F476" s="79">
        <f>IFERROR(VLOOKUP($A:$A,CS!$A:$AK,8,FALSE),"")</f>
      </c>
      <c r="G476" s="79">
        <f>IFERROR(VLOOKUP($A:$A,CS!$A:$AK,10,FALSE),"")</f>
      </c>
      <c r="H476" s="79">
        <f>IFERROR(VLOOKUP($A:$A,CS!$A:$AK,14,FALSE),"")</f>
      </c>
      <c r="I476" s="79">
        <f>IFERROR(VLOOKUP($A:$A,CS!$A:$AK,15,FALSE),"")</f>
      </c>
      <c r="J476" s="79">
        <f>IFERROR(VLOOKUP($A:$A,CS!$A:$AK,18,FALSE),"")</f>
      </c>
      <c r="K476" s="79">
        <f>IFERROR(VLOOKUP($A:$A,CS!$A:$AK,19,FALSE),"")</f>
      </c>
      <c r="L476" s="79">
        <f>IFERROR(VLOOKUP($A:$A,CS!$A:$AK,20,FALSE),"")</f>
      </c>
      <c r="M476" s="79">
        <f>IFERROR(VLOOKUP($A:$A,CS!$A:$AK,22,FALSE),"")</f>
      </c>
      <c r="N476" s="79">
        <f>IFERROR(VLOOKUP($A:$A,CS!$A:$AK,19,FALSE),"")</f>
      </c>
      <c r="O476" s="79">
        <f>IFERROR(VLOOKUP($A:$A,CS!$A:$AK,23,FALSE),"")</f>
      </c>
      <c r="P476" s="79">
        <f>IFERROR(VLOOKUP($A:$A,CS!$A:$AK,24,FALSE),"")</f>
      </c>
      <c r="Q476" s="79">
        <f>IFERROR(VLOOKUP($A:$A,CS!$A:$AK,25,FALSE),"")</f>
      </c>
      <c r="R476" s="79">
        <f>IFERROR(VLOOKUP($A:$A,CS!$A:$AK,26,FALSE),"")</f>
      </c>
      <c r="S476" s="79">
        <f>IFERROR(VLOOKUP($A:$A,CS!$A:$AK,29,FALSE),"")</f>
      </c>
      <c r="T476" s="79">
        <f>IFERROR(VLOOKUP($A:$A,CS!$A:$AK,33,FALSE),"")</f>
      </c>
      <c r="U476" s="79">
        <f>IFERROR(VLOOKUP($A:$A,CS!$A:$AK,34,FALSE),"")</f>
      </c>
      <c r="V476" s="79">
        <f>IFERROR(VLOOKUP($A:$A,CS!$A:$AK,35,FALSE),"")</f>
      </c>
      <c r="W476" s="79">
        <f>IFERROR(VLOOKUP($A:$A,CS!$A:$AK,36,FALSE),"")</f>
      </c>
    </row>
    <row r="477" ht="16.5" customHeight="1" spans="1:23" x14ac:dyDescent="0.25">
      <c r="A477" s="93"/>
      <c r="B477" s="79">
        <f>IFERROR(VLOOKUP($A:$A,CS!$A:$AK,3,FALSE),"")</f>
      </c>
      <c r="C477" s="79">
        <f>IFERROR(VLOOKUP($A:$A,CS!$A:$AK,4,FALSE),"")</f>
      </c>
      <c r="D477" s="79">
        <f>IFERROR(VLOOKUP($A:$A,CS!$A:$AK,5,FALSE),"")</f>
      </c>
      <c r="E477" s="79">
        <f>IFERROR(VLOOKUP($A:$A,CS!$A:$AK,7,FALSE),"")</f>
      </c>
      <c r="F477" s="79">
        <f>IFERROR(VLOOKUP($A:$A,CS!$A:$AK,8,FALSE),"")</f>
      </c>
      <c r="G477" s="79">
        <f>IFERROR(VLOOKUP($A:$A,CS!$A:$AK,10,FALSE),"")</f>
      </c>
      <c r="H477" s="79">
        <f>IFERROR(VLOOKUP($A:$A,CS!$A:$AK,14,FALSE),"")</f>
      </c>
      <c r="I477" s="79">
        <f>IFERROR(VLOOKUP($A:$A,CS!$A:$AK,15,FALSE),"")</f>
      </c>
      <c r="J477" s="79">
        <f>IFERROR(VLOOKUP($A:$A,CS!$A:$AK,18,FALSE),"")</f>
      </c>
      <c r="K477" s="79">
        <f>IFERROR(VLOOKUP($A:$A,CS!$A:$AK,19,FALSE),"")</f>
      </c>
      <c r="L477" s="79">
        <f>IFERROR(VLOOKUP($A:$A,CS!$A:$AK,20,FALSE),"")</f>
      </c>
      <c r="M477" s="79">
        <f>IFERROR(VLOOKUP($A:$A,CS!$A:$AK,22,FALSE),"")</f>
      </c>
      <c r="N477" s="79">
        <f>IFERROR(VLOOKUP($A:$A,CS!$A:$AK,19,FALSE),"")</f>
      </c>
      <c r="O477" s="79">
        <f>IFERROR(VLOOKUP($A:$A,CS!$A:$AK,23,FALSE),"")</f>
      </c>
      <c r="P477" s="79">
        <f>IFERROR(VLOOKUP($A:$A,CS!$A:$AK,24,FALSE),"")</f>
      </c>
      <c r="Q477" s="79">
        <f>IFERROR(VLOOKUP($A:$A,CS!$A:$AK,25,FALSE),"")</f>
      </c>
      <c r="R477" s="79">
        <f>IFERROR(VLOOKUP($A:$A,CS!$A:$AK,26,FALSE),"")</f>
      </c>
      <c r="S477" s="79">
        <f>IFERROR(VLOOKUP($A:$A,CS!$A:$AK,29,FALSE),"")</f>
      </c>
      <c r="T477" s="79">
        <f>IFERROR(VLOOKUP($A:$A,CS!$A:$AK,33,FALSE),"")</f>
      </c>
      <c r="U477" s="79">
        <f>IFERROR(VLOOKUP($A:$A,CS!$A:$AK,34,FALSE),"")</f>
      </c>
      <c r="V477" s="79">
        <f>IFERROR(VLOOKUP($A:$A,CS!$A:$AK,35,FALSE),"")</f>
      </c>
      <c r="W477" s="79">
        <f>IFERROR(VLOOKUP($A:$A,CS!$A:$AK,36,FALSE),"")</f>
      </c>
    </row>
    <row r="478" ht="16.5" customHeight="1" spans="1:23" x14ac:dyDescent="0.25">
      <c r="A478" s="93"/>
      <c r="B478" s="79">
        <f>IFERROR(VLOOKUP($A:$A,CS!$A:$AK,3,FALSE),"")</f>
      </c>
      <c r="C478" s="79">
        <f>IFERROR(VLOOKUP($A:$A,CS!$A:$AK,4,FALSE),"")</f>
      </c>
      <c r="D478" s="79">
        <f>IFERROR(VLOOKUP($A:$A,CS!$A:$AK,5,FALSE),"")</f>
      </c>
      <c r="E478" s="79">
        <f>IFERROR(VLOOKUP($A:$A,CS!$A:$AK,7,FALSE),"")</f>
      </c>
      <c r="F478" s="79">
        <f>IFERROR(VLOOKUP($A:$A,CS!$A:$AK,8,FALSE),"")</f>
      </c>
      <c r="G478" s="79">
        <f>IFERROR(VLOOKUP($A:$A,CS!$A:$AK,10,FALSE),"")</f>
      </c>
      <c r="H478" s="79">
        <f>IFERROR(VLOOKUP($A:$A,CS!$A:$AK,14,FALSE),"")</f>
      </c>
      <c r="I478" s="79">
        <f>IFERROR(VLOOKUP($A:$A,CS!$A:$AK,15,FALSE),"")</f>
      </c>
      <c r="J478" s="79">
        <f>IFERROR(VLOOKUP($A:$A,CS!$A:$AK,18,FALSE),"")</f>
      </c>
      <c r="K478" s="79">
        <f>IFERROR(VLOOKUP($A:$A,CS!$A:$AK,19,FALSE),"")</f>
      </c>
      <c r="L478" s="79">
        <f>IFERROR(VLOOKUP($A:$A,CS!$A:$AK,20,FALSE),"")</f>
      </c>
      <c r="M478" s="79">
        <f>IFERROR(VLOOKUP($A:$A,CS!$A:$AK,22,FALSE),"")</f>
      </c>
      <c r="N478" s="79">
        <f>IFERROR(VLOOKUP($A:$A,CS!$A:$AK,19,FALSE),"")</f>
      </c>
      <c r="O478" s="79">
        <f>IFERROR(VLOOKUP($A:$A,CS!$A:$AK,23,FALSE),"")</f>
      </c>
      <c r="P478" s="79">
        <f>IFERROR(VLOOKUP($A:$A,CS!$A:$AK,24,FALSE),"")</f>
      </c>
      <c r="Q478" s="79">
        <f>IFERROR(VLOOKUP($A:$A,CS!$A:$AK,25,FALSE),"")</f>
      </c>
      <c r="R478" s="79">
        <f>IFERROR(VLOOKUP($A:$A,CS!$A:$AK,26,FALSE),"")</f>
      </c>
      <c r="S478" s="79">
        <f>IFERROR(VLOOKUP($A:$A,CS!$A:$AK,29,FALSE),"")</f>
      </c>
      <c r="T478" s="79">
        <f>IFERROR(VLOOKUP($A:$A,CS!$A:$AK,33,FALSE),"")</f>
      </c>
      <c r="U478" s="79">
        <f>IFERROR(VLOOKUP($A:$A,CS!$A:$AK,34,FALSE),"")</f>
      </c>
      <c r="V478" s="79">
        <f>IFERROR(VLOOKUP($A:$A,CS!$A:$AK,35,FALSE),"")</f>
      </c>
      <c r="W478" s="79">
        <f>IFERROR(VLOOKUP($A:$A,CS!$A:$AK,36,FALSE),"")</f>
      </c>
    </row>
    <row r="479" ht="16.5" customHeight="1" spans="1:23" x14ac:dyDescent="0.25">
      <c r="A479" s="93"/>
      <c r="B479" s="79">
        <f>IFERROR(VLOOKUP($A:$A,CS!$A:$AK,3,FALSE),"")</f>
      </c>
      <c r="C479" s="79">
        <f>IFERROR(VLOOKUP($A:$A,CS!$A:$AK,4,FALSE),"")</f>
      </c>
      <c r="D479" s="79">
        <f>IFERROR(VLOOKUP($A:$A,CS!$A:$AK,5,FALSE),"")</f>
      </c>
      <c r="E479" s="79">
        <f>IFERROR(VLOOKUP($A:$A,CS!$A:$AK,7,FALSE),"")</f>
      </c>
      <c r="F479" s="79">
        <f>IFERROR(VLOOKUP($A:$A,CS!$A:$AK,8,FALSE),"")</f>
      </c>
      <c r="G479" s="79">
        <f>IFERROR(VLOOKUP($A:$A,CS!$A:$AK,10,FALSE),"")</f>
      </c>
      <c r="H479" s="79">
        <f>IFERROR(VLOOKUP($A:$A,CS!$A:$AK,14,FALSE),"")</f>
      </c>
      <c r="I479" s="79">
        <f>IFERROR(VLOOKUP($A:$A,CS!$A:$AK,15,FALSE),"")</f>
      </c>
      <c r="J479" s="79">
        <f>IFERROR(VLOOKUP($A:$A,CS!$A:$AK,18,FALSE),"")</f>
      </c>
      <c r="K479" s="79">
        <f>IFERROR(VLOOKUP($A:$A,CS!$A:$AK,19,FALSE),"")</f>
      </c>
      <c r="L479" s="79">
        <f>IFERROR(VLOOKUP($A:$A,CS!$A:$AK,20,FALSE),"")</f>
      </c>
      <c r="M479" s="79">
        <f>IFERROR(VLOOKUP($A:$A,CS!$A:$AK,22,FALSE),"")</f>
      </c>
      <c r="N479" s="79">
        <f>IFERROR(VLOOKUP($A:$A,CS!$A:$AK,19,FALSE),"")</f>
      </c>
      <c r="O479" s="79">
        <f>IFERROR(VLOOKUP($A:$A,CS!$A:$AK,23,FALSE),"")</f>
      </c>
      <c r="P479" s="79">
        <f>IFERROR(VLOOKUP($A:$A,CS!$A:$AK,24,FALSE),"")</f>
      </c>
      <c r="Q479" s="79">
        <f>IFERROR(VLOOKUP($A:$A,CS!$A:$AK,25,FALSE),"")</f>
      </c>
      <c r="R479" s="79">
        <f>IFERROR(VLOOKUP($A:$A,CS!$A:$AK,26,FALSE),"")</f>
      </c>
      <c r="S479" s="79">
        <f>IFERROR(VLOOKUP($A:$A,CS!$A:$AK,29,FALSE),"")</f>
      </c>
      <c r="T479" s="79">
        <f>IFERROR(VLOOKUP($A:$A,CS!$A:$AK,33,FALSE),"")</f>
      </c>
      <c r="U479" s="79">
        <f>IFERROR(VLOOKUP($A:$A,CS!$A:$AK,34,FALSE),"")</f>
      </c>
      <c r="V479" s="79">
        <f>IFERROR(VLOOKUP($A:$A,CS!$A:$AK,35,FALSE),"")</f>
      </c>
      <c r="W479" s="79">
        <f>IFERROR(VLOOKUP($A:$A,CS!$A:$AK,36,FALSE),"")</f>
      </c>
    </row>
    <row r="480" ht="16.5" customHeight="1" spans="1:23" x14ac:dyDescent="0.25">
      <c r="A480" s="93"/>
      <c r="B480" s="79">
        <f>IFERROR(VLOOKUP($A:$A,CS!$A:$AK,3,FALSE),"")</f>
      </c>
      <c r="C480" s="79">
        <f>IFERROR(VLOOKUP($A:$A,CS!$A:$AK,4,FALSE),"")</f>
      </c>
      <c r="D480" s="79">
        <f>IFERROR(VLOOKUP($A:$A,CS!$A:$AK,5,FALSE),"")</f>
      </c>
      <c r="E480" s="79">
        <f>IFERROR(VLOOKUP($A:$A,CS!$A:$AK,7,FALSE),"")</f>
      </c>
      <c r="F480" s="79">
        <f>IFERROR(VLOOKUP($A:$A,CS!$A:$AK,8,FALSE),"")</f>
      </c>
      <c r="G480" s="79">
        <f>IFERROR(VLOOKUP($A:$A,CS!$A:$AK,10,FALSE),"")</f>
      </c>
      <c r="H480" s="79">
        <f>IFERROR(VLOOKUP($A:$A,CS!$A:$AK,14,FALSE),"")</f>
      </c>
      <c r="I480" s="79">
        <f>IFERROR(VLOOKUP($A:$A,CS!$A:$AK,15,FALSE),"")</f>
      </c>
      <c r="J480" s="79">
        <f>IFERROR(VLOOKUP($A:$A,CS!$A:$AK,18,FALSE),"")</f>
      </c>
      <c r="K480" s="79">
        <f>IFERROR(VLOOKUP($A:$A,CS!$A:$AK,19,FALSE),"")</f>
      </c>
      <c r="L480" s="79">
        <f>IFERROR(VLOOKUP($A:$A,CS!$A:$AK,20,FALSE),"")</f>
      </c>
      <c r="M480" s="79">
        <f>IFERROR(VLOOKUP($A:$A,CS!$A:$AK,22,FALSE),"")</f>
      </c>
      <c r="N480" s="79">
        <f>IFERROR(VLOOKUP($A:$A,CS!$A:$AK,19,FALSE),"")</f>
      </c>
      <c r="O480" s="79">
        <f>IFERROR(VLOOKUP($A:$A,CS!$A:$AK,23,FALSE),"")</f>
      </c>
      <c r="P480" s="79">
        <f>IFERROR(VLOOKUP($A:$A,CS!$A:$AK,24,FALSE),"")</f>
      </c>
      <c r="Q480" s="79">
        <f>IFERROR(VLOOKUP($A:$A,CS!$A:$AK,25,FALSE),"")</f>
      </c>
      <c r="R480" s="79">
        <f>IFERROR(VLOOKUP($A:$A,CS!$A:$AK,26,FALSE),"")</f>
      </c>
      <c r="S480" s="79">
        <f>IFERROR(VLOOKUP($A:$A,CS!$A:$AK,29,FALSE),"")</f>
      </c>
      <c r="T480" s="79">
        <f>IFERROR(VLOOKUP($A:$A,CS!$A:$AK,33,FALSE),"")</f>
      </c>
      <c r="U480" s="79">
        <f>IFERROR(VLOOKUP($A:$A,CS!$A:$AK,34,FALSE),"")</f>
      </c>
      <c r="V480" s="79">
        <f>IFERROR(VLOOKUP($A:$A,CS!$A:$AK,35,FALSE),"")</f>
      </c>
      <c r="W480" s="79">
        <f>IFERROR(VLOOKUP($A:$A,CS!$A:$AK,36,FALSE),"")</f>
      </c>
    </row>
    <row r="481" ht="16.5" customHeight="1" spans="1:23" x14ac:dyDescent="0.25">
      <c r="A481" s="93"/>
      <c r="B481" s="79">
        <f>IFERROR(VLOOKUP($A:$A,CS!$A:$AK,3,FALSE),"")</f>
      </c>
      <c r="C481" s="79">
        <f>IFERROR(VLOOKUP($A:$A,CS!$A:$AK,4,FALSE),"")</f>
      </c>
      <c r="D481" s="79">
        <f>IFERROR(VLOOKUP($A:$A,CS!$A:$AK,5,FALSE),"")</f>
      </c>
      <c r="E481" s="79">
        <f>IFERROR(VLOOKUP($A:$A,CS!$A:$AK,7,FALSE),"")</f>
      </c>
      <c r="F481" s="79">
        <f>IFERROR(VLOOKUP($A:$A,CS!$A:$AK,8,FALSE),"")</f>
      </c>
      <c r="G481" s="79">
        <f>IFERROR(VLOOKUP($A:$A,CS!$A:$AK,10,FALSE),"")</f>
      </c>
      <c r="H481" s="79">
        <f>IFERROR(VLOOKUP($A:$A,CS!$A:$AK,14,FALSE),"")</f>
      </c>
      <c r="I481" s="79">
        <f>IFERROR(VLOOKUP($A:$A,CS!$A:$AK,15,FALSE),"")</f>
      </c>
      <c r="J481" s="79">
        <f>IFERROR(VLOOKUP($A:$A,CS!$A:$AK,18,FALSE),"")</f>
      </c>
      <c r="K481" s="79">
        <f>IFERROR(VLOOKUP($A:$A,CS!$A:$AK,19,FALSE),"")</f>
      </c>
      <c r="L481" s="79">
        <f>IFERROR(VLOOKUP($A:$A,CS!$A:$AK,20,FALSE),"")</f>
      </c>
      <c r="M481" s="79">
        <f>IFERROR(VLOOKUP($A:$A,CS!$A:$AK,22,FALSE),"")</f>
      </c>
      <c r="N481" s="79">
        <f>IFERROR(VLOOKUP($A:$A,CS!$A:$AK,19,FALSE),"")</f>
      </c>
      <c r="O481" s="79">
        <f>IFERROR(VLOOKUP($A:$A,CS!$A:$AK,23,FALSE),"")</f>
      </c>
      <c r="P481" s="79">
        <f>IFERROR(VLOOKUP($A:$A,CS!$A:$AK,24,FALSE),"")</f>
      </c>
      <c r="Q481" s="79">
        <f>IFERROR(VLOOKUP($A:$A,CS!$A:$AK,25,FALSE),"")</f>
      </c>
      <c r="R481" s="79">
        <f>IFERROR(VLOOKUP($A:$A,CS!$A:$AK,26,FALSE),"")</f>
      </c>
      <c r="S481" s="79">
        <f>IFERROR(VLOOKUP($A:$A,CS!$A:$AK,29,FALSE),"")</f>
      </c>
      <c r="T481" s="79">
        <f>IFERROR(VLOOKUP($A:$A,CS!$A:$AK,33,FALSE),"")</f>
      </c>
      <c r="U481" s="79">
        <f>IFERROR(VLOOKUP($A:$A,CS!$A:$AK,34,FALSE),"")</f>
      </c>
      <c r="V481" s="79">
        <f>IFERROR(VLOOKUP($A:$A,CS!$A:$AK,35,FALSE),"")</f>
      </c>
      <c r="W481" s="79">
        <f>IFERROR(VLOOKUP($A:$A,CS!$A:$AK,36,FALSE),"")</f>
      </c>
    </row>
    <row r="482" ht="16.5" customHeight="1" spans="1:23" x14ac:dyDescent="0.25">
      <c r="A482" s="93"/>
      <c r="B482" s="79">
        <f>IFERROR(VLOOKUP($A:$A,CS!$A:$AK,3,FALSE),"")</f>
      </c>
      <c r="C482" s="79">
        <f>IFERROR(VLOOKUP($A:$A,CS!$A:$AK,4,FALSE),"")</f>
      </c>
      <c r="D482" s="79">
        <f>IFERROR(VLOOKUP($A:$A,CS!$A:$AK,5,FALSE),"")</f>
      </c>
      <c r="E482" s="79">
        <f>IFERROR(VLOOKUP($A:$A,CS!$A:$AK,7,FALSE),"")</f>
      </c>
      <c r="F482" s="79">
        <f>IFERROR(VLOOKUP($A:$A,CS!$A:$AK,8,FALSE),"")</f>
      </c>
      <c r="G482" s="79">
        <f>IFERROR(VLOOKUP($A:$A,CS!$A:$AK,10,FALSE),"")</f>
      </c>
      <c r="H482" s="79">
        <f>IFERROR(VLOOKUP($A:$A,CS!$A:$AK,14,FALSE),"")</f>
      </c>
      <c r="I482" s="79">
        <f>IFERROR(VLOOKUP($A:$A,CS!$A:$AK,15,FALSE),"")</f>
      </c>
      <c r="J482" s="79">
        <f>IFERROR(VLOOKUP($A:$A,CS!$A:$AK,18,FALSE),"")</f>
      </c>
      <c r="K482" s="79">
        <f>IFERROR(VLOOKUP($A:$A,CS!$A:$AK,19,FALSE),"")</f>
      </c>
      <c r="L482" s="79">
        <f>IFERROR(VLOOKUP($A:$A,CS!$A:$AK,20,FALSE),"")</f>
      </c>
      <c r="M482" s="79">
        <f>IFERROR(VLOOKUP($A:$A,CS!$A:$AK,22,FALSE),"")</f>
      </c>
      <c r="N482" s="79">
        <f>IFERROR(VLOOKUP($A:$A,CS!$A:$AK,19,FALSE),"")</f>
      </c>
      <c r="O482" s="79">
        <f>IFERROR(VLOOKUP($A:$A,CS!$A:$AK,23,FALSE),"")</f>
      </c>
      <c r="P482" s="79">
        <f>IFERROR(VLOOKUP($A:$A,CS!$A:$AK,24,FALSE),"")</f>
      </c>
      <c r="Q482" s="79">
        <f>IFERROR(VLOOKUP($A:$A,CS!$A:$AK,25,FALSE),"")</f>
      </c>
      <c r="R482" s="79">
        <f>IFERROR(VLOOKUP($A:$A,CS!$A:$AK,26,FALSE),"")</f>
      </c>
      <c r="S482" s="79">
        <f>IFERROR(VLOOKUP($A:$A,CS!$A:$AK,29,FALSE),"")</f>
      </c>
      <c r="T482" s="79">
        <f>IFERROR(VLOOKUP($A:$A,CS!$A:$AK,33,FALSE),"")</f>
      </c>
      <c r="U482" s="79">
        <f>IFERROR(VLOOKUP($A:$A,CS!$A:$AK,34,FALSE),"")</f>
      </c>
      <c r="V482" s="79">
        <f>IFERROR(VLOOKUP($A:$A,CS!$A:$AK,35,FALSE),"")</f>
      </c>
      <c r="W482" s="79">
        <f>IFERROR(VLOOKUP($A:$A,CS!$A:$AK,36,FALSE),"")</f>
      </c>
    </row>
    <row r="483" ht="16.5" customHeight="1" spans="1:23" x14ac:dyDescent="0.25">
      <c r="A483" s="93"/>
      <c r="B483" s="79">
        <f>IFERROR(VLOOKUP($A:$A,CS!$A:$AK,3,FALSE),"")</f>
      </c>
      <c r="C483" s="79">
        <f>IFERROR(VLOOKUP($A:$A,CS!$A:$AK,4,FALSE),"")</f>
      </c>
      <c r="D483" s="79">
        <f>IFERROR(VLOOKUP($A:$A,CS!$A:$AK,5,FALSE),"")</f>
      </c>
      <c r="E483" s="79">
        <f>IFERROR(VLOOKUP($A:$A,CS!$A:$AK,7,FALSE),"")</f>
      </c>
      <c r="F483" s="79">
        <f>IFERROR(VLOOKUP($A:$A,CS!$A:$AK,8,FALSE),"")</f>
      </c>
      <c r="G483" s="79">
        <f>IFERROR(VLOOKUP($A:$A,CS!$A:$AK,10,FALSE),"")</f>
      </c>
      <c r="H483" s="79">
        <f>IFERROR(VLOOKUP($A:$A,CS!$A:$AK,14,FALSE),"")</f>
      </c>
      <c r="I483" s="79">
        <f>IFERROR(VLOOKUP($A:$A,CS!$A:$AK,15,FALSE),"")</f>
      </c>
      <c r="J483" s="79">
        <f>IFERROR(VLOOKUP($A:$A,CS!$A:$AK,18,FALSE),"")</f>
      </c>
      <c r="K483" s="79">
        <f>IFERROR(VLOOKUP($A:$A,CS!$A:$AK,19,FALSE),"")</f>
      </c>
      <c r="L483" s="79">
        <f>IFERROR(VLOOKUP($A:$A,CS!$A:$AK,20,FALSE),"")</f>
      </c>
      <c r="M483" s="79">
        <f>IFERROR(VLOOKUP($A:$A,CS!$A:$AK,22,FALSE),"")</f>
      </c>
      <c r="N483" s="79">
        <f>IFERROR(VLOOKUP($A:$A,CS!$A:$AK,19,FALSE),"")</f>
      </c>
      <c r="O483" s="79">
        <f>IFERROR(VLOOKUP($A:$A,CS!$A:$AK,23,FALSE),"")</f>
      </c>
      <c r="P483" s="79">
        <f>IFERROR(VLOOKUP($A:$A,CS!$A:$AK,24,FALSE),"")</f>
      </c>
      <c r="Q483" s="79">
        <f>IFERROR(VLOOKUP($A:$A,CS!$A:$AK,25,FALSE),"")</f>
      </c>
      <c r="R483" s="79">
        <f>IFERROR(VLOOKUP($A:$A,CS!$A:$AK,26,FALSE),"")</f>
      </c>
      <c r="S483" s="79">
        <f>IFERROR(VLOOKUP($A:$A,CS!$A:$AK,29,FALSE),"")</f>
      </c>
      <c r="T483" s="79">
        <f>IFERROR(VLOOKUP($A:$A,CS!$A:$AK,33,FALSE),"")</f>
      </c>
      <c r="U483" s="79">
        <f>IFERROR(VLOOKUP($A:$A,CS!$A:$AK,34,FALSE),"")</f>
      </c>
      <c r="V483" s="79">
        <f>IFERROR(VLOOKUP($A:$A,CS!$A:$AK,35,FALSE),"")</f>
      </c>
      <c r="W483" s="79">
        <f>IFERROR(VLOOKUP($A:$A,CS!$A:$AK,36,FALSE),"")</f>
      </c>
    </row>
    <row r="484" ht="16.5" customHeight="1" spans="1:23" x14ac:dyDescent="0.25">
      <c r="A484" s="93"/>
      <c r="B484" s="79">
        <f>IFERROR(VLOOKUP($A:$A,CS!$A:$AK,3,FALSE),"")</f>
      </c>
      <c r="C484" s="79">
        <f>IFERROR(VLOOKUP($A:$A,CS!$A:$AK,4,FALSE),"")</f>
      </c>
      <c r="D484" s="79">
        <f>IFERROR(VLOOKUP($A:$A,CS!$A:$AK,5,FALSE),"")</f>
      </c>
      <c r="E484" s="79">
        <f>IFERROR(VLOOKUP($A:$A,CS!$A:$AK,7,FALSE),"")</f>
      </c>
      <c r="F484" s="79">
        <f>IFERROR(VLOOKUP($A:$A,CS!$A:$AK,8,FALSE),"")</f>
      </c>
      <c r="G484" s="79">
        <f>IFERROR(VLOOKUP($A:$A,CS!$A:$AK,10,FALSE),"")</f>
      </c>
      <c r="H484" s="79">
        <f>IFERROR(VLOOKUP($A:$A,CS!$A:$AK,14,FALSE),"")</f>
      </c>
      <c r="I484" s="79">
        <f>IFERROR(VLOOKUP($A:$A,CS!$A:$AK,15,FALSE),"")</f>
      </c>
      <c r="J484" s="79">
        <f>IFERROR(VLOOKUP($A:$A,CS!$A:$AK,18,FALSE),"")</f>
      </c>
      <c r="K484" s="79">
        <f>IFERROR(VLOOKUP($A:$A,CS!$A:$AK,19,FALSE),"")</f>
      </c>
      <c r="L484" s="79">
        <f>IFERROR(VLOOKUP($A:$A,CS!$A:$AK,20,FALSE),"")</f>
      </c>
      <c r="M484" s="79">
        <f>IFERROR(VLOOKUP($A:$A,CS!$A:$AK,22,FALSE),"")</f>
      </c>
      <c r="N484" s="79">
        <f>IFERROR(VLOOKUP($A:$A,CS!$A:$AK,19,FALSE),"")</f>
      </c>
      <c r="O484" s="79">
        <f>IFERROR(VLOOKUP($A:$A,CS!$A:$AK,23,FALSE),"")</f>
      </c>
      <c r="P484" s="79">
        <f>IFERROR(VLOOKUP($A:$A,CS!$A:$AK,24,FALSE),"")</f>
      </c>
      <c r="Q484" s="79">
        <f>IFERROR(VLOOKUP($A:$A,CS!$A:$AK,25,FALSE),"")</f>
      </c>
      <c r="R484" s="79">
        <f>IFERROR(VLOOKUP($A:$A,CS!$A:$AK,26,FALSE),"")</f>
      </c>
      <c r="S484" s="79">
        <f>IFERROR(VLOOKUP($A:$A,CS!$A:$AK,29,FALSE),"")</f>
      </c>
      <c r="T484" s="79">
        <f>IFERROR(VLOOKUP($A:$A,CS!$A:$AK,33,FALSE),"")</f>
      </c>
      <c r="U484" s="79">
        <f>IFERROR(VLOOKUP($A:$A,CS!$A:$AK,34,FALSE),"")</f>
      </c>
      <c r="V484" s="79">
        <f>IFERROR(VLOOKUP($A:$A,CS!$A:$AK,35,FALSE),"")</f>
      </c>
      <c r="W484" s="79">
        <f>IFERROR(VLOOKUP($A:$A,CS!$A:$AK,36,FALSE),"")</f>
      </c>
    </row>
    <row r="485" ht="16.5" customHeight="1" spans="1:23" x14ac:dyDescent="0.25">
      <c r="A485" s="93"/>
      <c r="B485" s="79">
        <f>IFERROR(VLOOKUP($A:$A,CS!$A:$AK,3,FALSE),"")</f>
      </c>
      <c r="C485" s="79">
        <f>IFERROR(VLOOKUP($A:$A,CS!$A:$AK,4,FALSE),"")</f>
      </c>
      <c r="D485" s="79">
        <f>IFERROR(VLOOKUP($A:$A,CS!$A:$AK,5,FALSE),"")</f>
      </c>
      <c r="E485" s="79">
        <f>IFERROR(VLOOKUP($A:$A,CS!$A:$AK,7,FALSE),"")</f>
      </c>
      <c r="F485" s="79">
        <f>IFERROR(VLOOKUP($A:$A,CS!$A:$AK,8,FALSE),"")</f>
      </c>
      <c r="G485" s="79">
        <f>IFERROR(VLOOKUP($A:$A,CS!$A:$AK,10,FALSE),"")</f>
      </c>
      <c r="H485" s="79">
        <f>IFERROR(VLOOKUP($A:$A,CS!$A:$AK,14,FALSE),"")</f>
      </c>
      <c r="I485" s="79">
        <f>IFERROR(VLOOKUP($A:$A,CS!$A:$AK,15,FALSE),"")</f>
      </c>
      <c r="J485" s="79">
        <f>IFERROR(VLOOKUP($A:$A,CS!$A:$AK,18,FALSE),"")</f>
      </c>
      <c r="K485" s="79">
        <f>IFERROR(VLOOKUP($A:$A,CS!$A:$AK,19,FALSE),"")</f>
      </c>
      <c r="L485" s="79">
        <f>IFERROR(VLOOKUP($A:$A,CS!$A:$AK,20,FALSE),"")</f>
      </c>
      <c r="M485" s="79">
        <f>IFERROR(VLOOKUP($A:$A,CS!$A:$AK,22,FALSE),"")</f>
      </c>
      <c r="N485" s="79">
        <f>IFERROR(VLOOKUP($A:$A,CS!$A:$AK,19,FALSE),"")</f>
      </c>
      <c r="O485" s="79">
        <f>IFERROR(VLOOKUP($A:$A,CS!$A:$AK,23,FALSE),"")</f>
      </c>
      <c r="P485" s="79">
        <f>IFERROR(VLOOKUP($A:$A,CS!$A:$AK,24,FALSE),"")</f>
      </c>
      <c r="Q485" s="79">
        <f>IFERROR(VLOOKUP($A:$A,CS!$A:$AK,25,FALSE),"")</f>
      </c>
      <c r="R485" s="79">
        <f>IFERROR(VLOOKUP($A:$A,CS!$A:$AK,26,FALSE),"")</f>
      </c>
      <c r="S485" s="79">
        <f>IFERROR(VLOOKUP($A:$A,CS!$A:$AK,29,FALSE),"")</f>
      </c>
      <c r="T485" s="79">
        <f>IFERROR(VLOOKUP($A:$A,CS!$A:$AK,33,FALSE),"")</f>
      </c>
      <c r="U485" s="79">
        <f>IFERROR(VLOOKUP($A:$A,CS!$A:$AK,34,FALSE),"")</f>
      </c>
      <c r="V485" s="79">
        <f>IFERROR(VLOOKUP($A:$A,CS!$A:$AK,35,FALSE),"")</f>
      </c>
      <c r="W485" s="79">
        <f>IFERROR(VLOOKUP($A:$A,CS!$A:$AK,36,FALSE),"")</f>
      </c>
    </row>
    <row r="486" ht="16.5" customHeight="1" spans="1:23" x14ac:dyDescent="0.25">
      <c r="A486" s="93"/>
      <c r="B486" s="79">
        <f>IFERROR(VLOOKUP($A:$A,CS!$A:$AK,3,FALSE),"")</f>
      </c>
      <c r="C486" s="79">
        <f>IFERROR(VLOOKUP($A:$A,CS!$A:$AK,4,FALSE),"")</f>
      </c>
      <c r="D486" s="79">
        <f>IFERROR(VLOOKUP($A:$A,CS!$A:$AK,5,FALSE),"")</f>
      </c>
      <c r="E486" s="79">
        <f>IFERROR(VLOOKUP($A:$A,CS!$A:$AK,7,FALSE),"")</f>
      </c>
      <c r="F486" s="79">
        <f>IFERROR(VLOOKUP($A:$A,CS!$A:$AK,8,FALSE),"")</f>
      </c>
      <c r="G486" s="79">
        <f>IFERROR(VLOOKUP($A:$A,CS!$A:$AK,10,FALSE),"")</f>
      </c>
      <c r="H486" s="79">
        <f>IFERROR(VLOOKUP($A:$A,CS!$A:$AK,14,FALSE),"")</f>
      </c>
      <c r="I486" s="79">
        <f>IFERROR(VLOOKUP($A:$A,CS!$A:$AK,15,FALSE),"")</f>
      </c>
      <c r="J486" s="79">
        <f>IFERROR(VLOOKUP($A:$A,CS!$A:$AK,18,FALSE),"")</f>
      </c>
      <c r="K486" s="79">
        <f>IFERROR(VLOOKUP($A:$A,CS!$A:$AK,19,FALSE),"")</f>
      </c>
      <c r="L486" s="79">
        <f>IFERROR(VLOOKUP($A:$A,CS!$A:$AK,20,FALSE),"")</f>
      </c>
      <c r="M486" s="79">
        <f>IFERROR(VLOOKUP($A:$A,CS!$A:$AK,22,FALSE),"")</f>
      </c>
      <c r="N486" s="79">
        <f>IFERROR(VLOOKUP($A:$A,CS!$A:$AK,19,FALSE),"")</f>
      </c>
      <c r="O486" s="79">
        <f>IFERROR(VLOOKUP($A:$A,CS!$A:$AK,23,FALSE),"")</f>
      </c>
      <c r="P486" s="79">
        <f>IFERROR(VLOOKUP($A:$A,CS!$A:$AK,24,FALSE),"")</f>
      </c>
      <c r="Q486" s="79">
        <f>IFERROR(VLOOKUP($A:$A,CS!$A:$AK,25,FALSE),"")</f>
      </c>
      <c r="R486" s="79">
        <f>IFERROR(VLOOKUP($A:$A,CS!$A:$AK,26,FALSE),"")</f>
      </c>
      <c r="S486" s="79">
        <f>IFERROR(VLOOKUP($A:$A,CS!$A:$AK,29,FALSE),"")</f>
      </c>
      <c r="T486" s="79">
        <f>IFERROR(VLOOKUP($A:$A,CS!$A:$AK,33,FALSE),"")</f>
      </c>
      <c r="U486" s="79">
        <f>IFERROR(VLOOKUP($A:$A,CS!$A:$AK,34,FALSE),"")</f>
      </c>
      <c r="V486" s="79">
        <f>IFERROR(VLOOKUP($A:$A,CS!$A:$AK,35,FALSE),"")</f>
      </c>
      <c r="W486" s="79">
        <f>IFERROR(VLOOKUP($A:$A,CS!$A:$AK,36,FALSE),"")</f>
      </c>
    </row>
    <row r="487" ht="16.5" customHeight="1" spans="1:23" x14ac:dyDescent="0.25">
      <c r="A487" s="93"/>
      <c r="B487" s="79">
        <f>IFERROR(VLOOKUP($A:$A,CS!$A:$AK,3,FALSE),"")</f>
      </c>
      <c r="C487" s="79">
        <f>IFERROR(VLOOKUP($A:$A,CS!$A:$AK,4,FALSE),"")</f>
      </c>
      <c r="D487" s="79">
        <f>IFERROR(VLOOKUP($A:$A,CS!$A:$AK,5,FALSE),"")</f>
      </c>
      <c r="E487" s="79">
        <f>IFERROR(VLOOKUP($A:$A,CS!$A:$AK,7,FALSE),"")</f>
      </c>
      <c r="F487" s="79">
        <f>IFERROR(VLOOKUP($A:$A,CS!$A:$AK,8,FALSE),"")</f>
      </c>
      <c r="G487" s="79">
        <f>IFERROR(VLOOKUP($A:$A,CS!$A:$AK,10,FALSE),"")</f>
      </c>
      <c r="H487" s="79">
        <f>IFERROR(VLOOKUP($A:$A,CS!$A:$AK,14,FALSE),"")</f>
      </c>
      <c r="I487" s="79">
        <f>IFERROR(VLOOKUP($A:$A,CS!$A:$AK,15,FALSE),"")</f>
      </c>
      <c r="J487" s="79">
        <f>IFERROR(VLOOKUP($A:$A,CS!$A:$AK,18,FALSE),"")</f>
      </c>
      <c r="K487" s="79">
        <f>IFERROR(VLOOKUP($A:$A,CS!$A:$AK,19,FALSE),"")</f>
      </c>
      <c r="L487" s="79">
        <f>IFERROR(VLOOKUP($A:$A,CS!$A:$AK,20,FALSE),"")</f>
      </c>
      <c r="M487" s="79">
        <f>IFERROR(VLOOKUP($A:$A,CS!$A:$AK,22,FALSE),"")</f>
      </c>
      <c r="N487" s="79">
        <f>IFERROR(VLOOKUP($A:$A,CS!$A:$AK,19,FALSE),"")</f>
      </c>
      <c r="O487" s="79">
        <f>IFERROR(VLOOKUP($A:$A,CS!$A:$AK,23,FALSE),"")</f>
      </c>
      <c r="P487" s="79">
        <f>IFERROR(VLOOKUP($A:$A,CS!$A:$AK,24,FALSE),"")</f>
      </c>
      <c r="Q487" s="79">
        <f>IFERROR(VLOOKUP($A:$A,CS!$A:$AK,25,FALSE),"")</f>
      </c>
      <c r="R487" s="79">
        <f>IFERROR(VLOOKUP($A:$A,CS!$A:$AK,26,FALSE),"")</f>
      </c>
      <c r="S487" s="79">
        <f>IFERROR(VLOOKUP($A:$A,CS!$A:$AK,29,FALSE),"")</f>
      </c>
      <c r="T487" s="79">
        <f>IFERROR(VLOOKUP($A:$A,CS!$A:$AK,33,FALSE),"")</f>
      </c>
      <c r="U487" s="79">
        <f>IFERROR(VLOOKUP($A:$A,CS!$A:$AK,34,FALSE),"")</f>
      </c>
      <c r="V487" s="79">
        <f>IFERROR(VLOOKUP($A:$A,CS!$A:$AK,35,FALSE),"")</f>
      </c>
      <c r="W487" s="79">
        <f>IFERROR(VLOOKUP($A:$A,CS!$A:$AK,36,FALSE),"")</f>
      </c>
    </row>
    <row r="488" ht="16.5" customHeight="1" spans="1:23" x14ac:dyDescent="0.25">
      <c r="A488" s="93"/>
      <c r="B488" s="79">
        <f>IFERROR(VLOOKUP($A:$A,CS!$A:$AK,3,FALSE),"")</f>
      </c>
      <c r="C488" s="79">
        <f>IFERROR(VLOOKUP($A:$A,CS!$A:$AK,4,FALSE),"")</f>
      </c>
      <c r="D488" s="79">
        <f>IFERROR(VLOOKUP($A:$A,CS!$A:$AK,5,FALSE),"")</f>
      </c>
      <c r="E488" s="79">
        <f>IFERROR(VLOOKUP($A:$A,CS!$A:$AK,7,FALSE),"")</f>
      </c>
      <c r="F488" s="79">
        <f>IFERROR(VLOOKUP($A:$A,CS!$A:$AK,8,FALSE),"")</f>
      </c>
      <c r="G488" s="79">
        <f>IFERROR(VLOOKUP($A:$A,CS!$A:$AK,10,FALSE),"")</f>
      </c>
      <c r="H488" s="79">
        <f>IFERROR(VLOOKUP($A:$A,CS!$A:$AK,14,FALSE),"")</f>
      </c>
      <c r="I488" s="79">
        <f>IFERROR(VLOOKUP($A:$A,CS!$A:$AK,15,FALSE),"")</f>
      </c>
      <c r="J488" s="79">
        <f>IFERROR(VLOOKUP($A:$A,CS!$A:$AK,18,FALSE),"")</f>
      </c>
      <c r="K488" s="79">
        <f>IFERROR(VLOOKUP($A:$A,CS!$A:$AK,19,FALSE),"")</f>
      </c>
      <c r="L488" s="79">
        <f>IFERROR(VLOOKUP($A:$A,CS!$A:$AK,20,FALSE),"")</f>
      </c>
      <c r="M488" s="79">
        <f>IFERROR(VLOOKUP($A:$A,CS!$A:$AK,22,FALSE),"")</f>
      </c>
      <c r="N488" s="79">
        <f>IFERROR(VLOOKUP($A:$A,CS!$A:$AK,19,FALSE),"")</f>
      </c>
      <c r="O488" s="79">
        <f>IFERROR(VLOOKUP($A:$A,CS!$A:$AK,23,FALSE),"")</f>
      </c>
      <c r="P488" s="79">
        <f>IFERROR(VLOOKUP($A:$A,CS!$A:$AK,24,FALSE),"")</f>
      </c>
      <c r="Q488" s="79">
        <f>IFERROR(VLOOKUP($A:$A,CS!$A:$AK,25,FALSE),"")</f>
      </c>
      <c r="R488" s="79">
        <f>IFERROR(VLOOKUP($A:$A,CS!$A:$AK,26,FALSE),"")</f>
      </c>
      <c r="S488" s="79">
        <f>IFERROR(VLOOKUP($A:$A,CS!$A:$AK,29,FALSE),"")</f>
      </c>
      <c r="T488" s="79">
        <f>IFERROR(VLOOKUP($A:$A,CS!$A:$AK,33,FALSE),"")</f>
      </c>
      <c r="U488" s="79">
        <f>IFERROR(VLOOKUP($A:$A,CS!$A:$AK,34,FALSE),"")</f>
      </c>
      <c r="V488" s="79">
        <f>IFERROR(VLOOKUP($A:$A,CS!$A:$AK,35,FALSE),"")</f>
      </c>
      <c r="W488" s="79">
        <f>IFERROR(VLOOKUP($A:$A,CS!$A:$AK,36,FALSE),"")</f>
      </c>
    </row>
    <row r="489" ht="16.5" customHeight="1" spans="1:23" x14ac:dyDescent="0.25">
      <c r="A489" s="93"/>
      <c r="B489" s="79">
        <f>IFERROR(VLOOKUP($A:$A,CS!$A:$AK,3,FALSE),"")</f>
      </c>
      <c r="C489" s="79">
        <f>IFERROR(VLOOKUP($A:$A,CS!$A:$AK,4,FALSE),"")</f>
      </c>
      <c r="D489" s="79">
        <f>IFERROR(VLOOKUP($A:$A,CS!$A:$AK,5,FALSE),"")</f>
      </c>
      <c r="E489" s="79">
        <f>IFERROR(VLOOKUP($A:$A,CS!$A:$AK,7,FALSE),"")</f>
      </c>
      <c r="F489" s="79">
        <f>IFERROR(VLOOKUP($A:$A,CS!$A:$AK,8,FALSE),"")</f>
      </c>
      <c r="G489" s="79">
        <f>IFERROR(VLOOKUP($A:$A,CS!$A:$AK,10,FALSE),"")</f>
      </c>
      <c r="H489" s="79">
        <f>IFERROR(VLOOKUP($A:$A,CS!$A:$AK,14,FALSE),"")</f>
      </c>
      <c r="I489" s="79">
        <f>IFERROR(VLOOKUP($A:$A,CS!$A:$AK,15,FALSE),"")</f>
      </c>
      <c r="J489" s="79">
        <f>IFERROR(VLOOKUP($A:$A,CS!$A:$AK,18,FALSE),"")</f>
      </c>
      <c r="K489" s="79">
        <f>IFERROR(VLOOKUP($A:$A,CS!$A:$AK,19,FALSE),"")</f>
      </c>
      <c r="L489" s="79">
        <f>IFERROR(VLOOKUP($A:$A,CS!$A:$AK,20,FALSE),"")</f>
      </c>
      <c r="M489" s="79">
        <f>IFERROR(VLOOKUP($A:$A,CS!$A:$AK,22,FALSE),"")</f>
      </c>
      <c r="N489" s="79">
        <f>IFERROR(VLOOKUP($A:$A,CS!$A:$AK,19,FALSE),"")</f>
      </c>
      <c r="O489" s="79">
        <f>IFERROR(VLOOKUP($A:$A,CS!$A:$AK,23,FALSE),"")</f>
      </c>
      <c r="P489" s="79">
        <f>IFERROR(VLOOKUP($A:$A,CS!$A:$AK,24,FALSE),"")</f>
      </c>
      <c r="Q489" s="79">
        <f>IFERROR(VLOOKUP($A:$A,CS!$A:$AK,25,FALSE),"")</f>
      </c>
      <c r="R489" s="79">
        <f>IFERROR(VLOOKUP($A:$A,CS!$A:$AK,26,FALSE),"")</f>
      </c>
      <c r="S489" s="79">
        <f>IFERROR(VLOOKUP($A:$A,CS!$A:$AK,29,FALSE),"")</f>
      </c>
      <c r="T489" s="79">
        <f>IFERROR(VLOOKUP($A:$A,CS!$A:$AK,33,FALSE),"")</f>
      </c>
      <c r="U489" s="79">
        <f>IFERROR(VLOOKUP($A:$A,CS!$A:$AK,34,FALSE),"")</f>
      </c>
      <c r="V489" s="79">
        <f>IFERROR(VLOOKUP($A:$A,CS!$A:$AK,35,FALSE),"")</f>
      </c>
      <c r="W489" s="79">
        <f>IFERROR(VLOOKUP($A:$A,CS!$A:$AK,36,FALSE),"")</f>
      </c>
    </row>
    <row r="490" ht="16.5" customHeight="1" spans="1:23" x14ac:dyDescent="0.25">
      <c r="A490" s="93"/>
      <c r="B490" s="79">
        <f>IFERROR(VLOOKUP($A:$A,CS!$A:$AK,3,FALSE),"")</f>
      </c>
      <c r="C490" s="79">
        <f>IFERROR(VLOOKUP($A:$A,CS!$A:$AK,4,FALSE),"")</f>
      </c>
      <c r="D490" s="79">
        <f>IFERROR(VLOOKUP($A:$A,CS!$A:$AK,5,FALSE),"")</f>
      </c>
      <c r="E490" s="79">
        <f>IFERROR(VLOOKUP($A:$A,CS!$A:$AK,7,FALSE),"")</f>
      </c>
      <c r="F490" s="79">
        <f>IFERROR(VLOOKUP($A:$A,CS!$A:$AK,8,FALSE),"")</f>
      </c>
      <c r="G490" s="79">
        <f>IFERROR(VLOOKUP($A:$A,CS!$A:$AK,10,FALSE),"")</f>
      </c>
      <c r="H490" s="79">
        <f>IFERROR(VLOOKUP($A:$A,CS!$A:$AK,14,FALSE),"")</f>
      </c>
      <c r="I490" s="79">
        <f>IFERROR(VLOOKUP($A:$A,CS!$A:$AK,15,FALSE),"")</f>
      </c>
      <c r="J490" s="79">
        <f>IFERROR(VLOOKUP($A:$A,CS!$A:$AK,18,FALSE),"")</f>
      </c>
      <c r="K490" s="79">
        <f>IFERROR(VLOOKUP($A:$A,CS!$A:$AK,19,FALSE),"")</f>
      </c>
      <c r="L490" s="79">
        <f>IFERROR(VLOOKUP($A:$A,CS!$A:$AK,20,FALSE),"")</f>
      </c>
      <c r="M490" s="79">
        <f>IFERROR(VLOOKUP($A:$A,CS!$A:$AK,22,FALSE),"")</f>
      </c>
      <c r="N490" s="79">
        <f>IFERROR(VLOOKUP($A:$A,CS!$A:$AK,19,FALSE),"")</f>
      </c>
      <c r="O490" s="79">
        <f>IFERROR(VLOOKUP($A:$A,CS!$A:$AK,23,FALSE),"")</f>
      </c>
      <c r="P490" s="79">
        <f>IFERROR(VLOOKUP($A:$A,CS!$A:$AK,24,FALSE),"")</f>
      </c>
      <c r="Q490" s="79">
        <f>IFERROR(VLOOKUP($A:$A,CS!$A:$AK,25,FALSE),"")</f>
      </c>
      <c r="R490" s="79">
        <f>IFERROR(VLOOKUP($A:$A,CS!$A:$AK,26,FALSE),"")</f>
      </c>
      <c r="S490" s="79">
        <f>IFERROR(VLOOKUP($A:$A,CS!$A:$AK,29,FALSE),"")</f>
      </c>
      <c r="T490" s="79">
        <f>IFERROR(VLOOKUP($A:$A,CS!$A:$AK,33,FALSE),"")</f>
      </c>
      <c r="U490" s="79">
        <f>IFERROR(VLOOKUP($A:$A,CS!$A:$AK,34,FALSE),"")</f>
      </c>
      <c r="V490" s="79">
        <f>IFERROR(VLOOKUP($A:$A,CS!$A:$AK,35,FALSE),"")</f>
      </c>
      <c r="W490" s="79">
        <f>IFERROR(VLOOKUP($A:$A,CS!$A:$AK,36,FALSE),"")</f>
      </c>
    </row>
    <row r="491" ht="16.5" customHeight="1" spans="1:23" x14ac:dyDescent="0.25">
      <c r="A491" s="93"/>
      <c r="B491" s="79">
        <f>IFERROR(VLOOKUP($A:$A,CS!$A:$AK,3,FALSE),"")</f>
      </c>
      <c r="C491" s="79">
        <f>IFERROR(VLOOKUP($A:$A,CS!$A:$AK,4,FALSE),"")</f>
      </c>
      <c r="D491" s="79">
        <f>IFERROR(VLOOKUP($A:$A,CS!$A:$AK,5,FALSE),"")</f>
      </c>
      <c r="E491" s="79">
        <f>IFERROR(VLOOKUP($A:$A,CS!$A:$AK,7,FALSE),"")</f>
      </c>
      <c r="F491" s="79">
        <f>IFERROR(VLOOKUP($A:$A,CS!$A:$AK,8,FALSE),"")</f>
      </c>
      <c r="G491" s="79">
        <f>IFERROR(VLOOKUP($A:$A,CS!$A:$AK,10,FALSE),"")</f>
      </c>
      <c r="H491" s="79">
        <f>IFERROR(VLOOKUP($A:$A,CS!$A:$AK,14,FALSE),"")</f>
      </c>
      <c r="I491" s="79">
        <f>IFERROR(VLOOKUP($A:$A,CS!$A:$AK,15,FALSE),"")</f>
      </c>
      <c r="J491" s="79">
        <f>IFERROR(VLOOKUP($A:$A,CS!$A:$AK,18,FALSE),"")</f>
      </c>
      <c r="K491" s="79">
        <f>IFERROR(VLOOKUP($A:$A,CS!$A:$AK,19,FALSE),"")</f>
      </c>
      <c r="L491" s="79">
        <f>IFERROR(VLOOKUP($A:$A,CS!$A:$AK,20,FALSE),"")</f>
      </c>
      <c r="M491" s="79">
        <f>IFERROR(VLOOKUP($A:$A,CS!$A:$AK,22,FALSE),"")</f>
      </c>
      <c r="N491" s="79">
        <f>IFERROR(VLOOKUP($A:$A,CS!$A:$AK,19,FALSE),"")</f>
      </c>
      <c r="O491" s="79">
        <f>IFERROR(VLOOKUP($A:$A,CS!$A:$AK,23,FALSE),"")</f>
      </c>
      <c r="P491" s="79">
        <f>IFERROR(VLOOKUP($A:$A,CS!$A:$AK,24,FALSE),"")</f>
      </c>
      <c r="Q491" s="79">
        <f>IFERROR(VLOOKUP($A:$A,CS!$A:$AK,25,FALSE),"")</f>
      </c>
      <c r="R491" s="79">
        <f>IFERROR(VLOOKUP($A:$A,CS!$A:$AK,26,FALSE),"")</f>
      </c>
      <c r="S491" s="79">
        <f>IFERROR(VLOOKUP($A:$A,CS!$A:$AK,29,FALSE),"")</f>
      </c>
      <c r="T491" s="79">
        <f>IFERROR(VLOOKUP($A:$A,CS!$A:$AK,33,FALSE),"")</f>
      </c>
      <c r="U491" s="79">
        <f>IFERROR(VLOOKUP($A:$A,CS!$A:$AK,34,FALSE),"")</f>
      </c>
      <c r="V491" s="79">
        <f>IFERROR(VLOOKUP($A:$A,CS!$A:$AK,35,FALSE),"")</f>
      </c>
      <c r="W491" s="79">
        <f>IFERROR(VLOOKUP($A:$A,CS!$A:$AK,36,FALSE),"")</f>
      </c>
    </row>
    <row r="492" ht="16.5" customHeight="1" spans="1:23" x14ac:dyDescent="0.25">
      <c r="A492" s="93"/>
      <c r="B492" s="79">
        <f>IFERROR(VLOOKUP($A:$A,CS!$A:$AK,3,FALSE),"")</f>
      </c>
      <c r="C492" s="79">
        <f>IFERROR(VLOOKUP($A:$A,CS!$A:$AK,4,FALSE),"")</f>
      </c>
      <c r="D492" s="79">
        <f>IFERROR(VLOOKUP($A:$A,CS!$A:$AK,5,FALSE),"")</f>
      </c>
      <c r="E492" s="79">
        <f>IFERROR(VLOOKUP($A:$A,CS!$A:$AK,7,FALSE),"")</f>
      </c>
      <c r="F492" s="79">
        <f>IFERROR(VLOOKUP($A:$A,CS!$A:$AK,8,FALSE),"")</f>
      </c>
      <c r="G492" s="79">
        <f>IFERROR(VLOOKUP($A:$A,CS!$A:$AK,10,FALSE),"")</f>
      </c>
      <c r="H492" s="79">
        <f>IFERROR(VLOOKUP($A:$A,CS!$A:$AK,14,FALSE),"")</f>
      </c>
      <c r="I492" s="79">
        <f>IFERROR(VLOOKUP($A:$A,CS!$A:$AK,15,FALSE),"")</f>
      </c>
      <c r="J492" s="79">
        <f>IFERROR(VLOOKUP($A:$A,CS!$A:$AK,18,FALSE),"")</f>
      </c>
      <c r="K492" s="79">
        <f>IFERROR(VLOOKUP($A:$A,CS!$A:$AK,19,FALSE),"")</f>
      </c>
      <c r="L492" s="79">
        <f>IFERROR(VLOOKUP($A:$A,CS!$A:$AK,20,FALSE),"")</f>
      </c>
      <c r="M492" s="79">
        <f>IFERROR(VLOOKUP($A:$A,CS!$A:$AK,22,FALSE),"")</f>
      </c>
      <c r="N492" s="79">
        <f>IFERROR(VLOOKUP($A:$A,CS!$A:$AK,19,FALSE),"")</f>
      </c>
      <c r="O492" s="79">
        <f>IFERROR(VLOOKUP($A:$A,CS!$A:$AK,23,FALSE),"")</f>
      </c>
      <c r="P492" s="79">
        <f>IFERROR(VLOOKUP($A:$A,CS!$A:$AK,24,FALSE),"")</f>
      </c>
      <c r="Q492" s="79">
        <f>IFERROR(VLOOKUP($A:$A,CS!$A:$AK,25,FALSE),"")</f>
      </c>
      <c r="R492" s="79">
        <f>IFERROR(VLOOKUP($A:$A,CS!$A:$AK,26,FALSE),"")</f>
      </c>
      <c r="S492" s="79">
        <f>IFERROR(VLOOKUP($A:$A,CS!$A:$AK,29,FALSE),"")</f>
      </c>
      <c r="T492" s="79">
        <f>IFERROR(VLOOKUP($A:$A,CS!$A:$AK,33,FALSE),"")</f>
      </c>
      <c r="U492" s="79">
        <f>IFERROR(VLOOKUP($A:$A,CS!$A:$AK,34,FALSE),"")</f>
      </c>
      <c r="V492" s="79">
        <f>IFERROR(VLOOKUP($A:$A,CS!$A:$AK,35,FALSE),"")</f>
      </c>
      <c r="W492" s="79">
        <f>IFERROR(VLOOKUP($A:$A,CS!$A:$AK,36,FALSE),"")</f>
      </c>
    </row>
    <row r="493" ht="16.5" customHeight="1" spans="1:23" x14ac:dyDescent="0.25">
      <c r="A493" s="93"/>
      <c r="B493" s="79">
        <f>IFERROR(VLOOKUP($A:$A,CS!$A:$AK,3,FALSE),"")</f>
      </c>
      <c r="C493" s="79">
        <f>IFERROR(VLOOKUP($A:$A,CS!$A:$AK,4,FALSE),"")</f>
      </c>
      <c r="D493" s="79">
        <f>IFERROR(VLOOKUP($A:$A,CS!$A:$AK,5,FALSE),"")</f>
      </c>
      <c r="E493" s="79">
        <f>IFERROR(VLOOKUP($A:$A,CS!$A:$AK,7,FALSE),"")</f>
      </c>
      <c r="F493" s="79">
        <f>IFERROR(VLOOKUP($A:$A,CS!$A:$AK,8,FALSE),"")</f>
      </c>
      <c r="G493" s="79">
        <f>IFERROR(VLOOKUP($A:$A,CS!$A:$AK,10,FALSE),"")</f>
      </c>
      <c r="H493" s="79">
        <f>IFERROR(VLOOKUP($A:$A,CS!$A:$AK,14,FALSE),"")</f>
      </c>
      <c r="I493" s="79">
        <f>IFERROR(VLOOKUP($A:$A,CS!$A:$AK,15,FALSE),"")</f>
      </c>
      <c r="J493" s="79">
        <f>IFERROR(VLOOKUP($A:$A,CS!$A:$AK,18,FALSE),"")</f>
      </c>
      <c r="K493" s="79">
        <f>IFERROR(VLOOKUP($A:$A,CS!$A:$AK,19,FALSE),"")</f>
      </c>
      <c r="L493" s="79">
        <f>IFERROR(VLOOKUP($A:$A,CS!$A:$AK,20,FALSE),"")</f>
      </c>
      <c r="M493" s="79">
        <f>IFERROR(VLOOKUP($A:$A,CS!$A:$AK,22,FALSE),"")</f>
      </c>
      <c r="N493" s="79">
        <f>IFERROR(VLOOKUP($A:$A,CS!$A:$AK,19,FALSE),"")</f>
      </c>
      <c r="O493" s="79">
        <f>IFERROR(VLOOKUP($A:$A,CS!$A:$AK,23,FALSE),"")</f>
      </c>
      <c r="P493" s="79">
        <f>IFERROR(VLOOKUP($A:$A,CS!$A:$AK,24,FALSE),"")</f>
      </c>
      <c r="Q493" s="79">
        <f>IFERROR(VLOOKUP($A:$A,CS!$A:$AK,25,FALSE),"")</f>
      </c>
      <c r="R493" s="79">
        <f>IFERROR(VLOOKUP($A:$A,CS!$A:$AK,26,FALSE),"")</f>
      </c>
      <c r="S493" s="79">
        <f>IFERROR(VLOOKUP($A:$A,CS!$A:$AK,29,FALSE),"")</f>
      </c>
      <c r="T493" s="79">
        <f>IFERROR(VLOOKUP($A:$A,CS!$A:$AK,33,FALSE),"")</f>
      </c>
      <c r="U493" s="79">
        <f>IFERROR(VLOOKUP($A:$A,CS!$A:$AK,34,FALSE),"")</f>
      </c>
      <c r="V493" s="79">
        <f>IFERROR(VLOOKUP($A:$A,CS!$A:$AK,35,FALSE),"")</f>
      </c>
      <c r="W493" s="79">
        <f>IFERROR(VLOOKUP($A:$A,CS!$A:$AK,36,FALSE),"")</f>
      </c>
    </row>
    <row r="494" ht="16.5" customHeight="1" spans="1:23" x14ac:dyDescent="0.25">
      <c r="A494" s="93"/>
      <c r="B494" s="79">
        <f>IFERROR(VLOOKUP($A:$A,CS!$A:$AK,3,FALSE),"")</f>
      </c>
      <c r="C494" s="79">
        <f>IFERROR(VLOOKUP($A:$A,CS!$A:$AK,4,FALSE),"")</f>
      </c>
      <c r="D494" s="79">
        <f>IFERROR(VLOOKUP($A:$A,CS!$A:$AK,5,FALSE),"")</f>
      </c>
      <c r="E494" s="79">
        <f>IFERROR(VLOOKUP($A:$A,CS!$A:$AK,7,FALSE),"")</f>
      </c>
      <c r="F494" s="79">
        <f>IFERROR(VLOOKUP($A:$A,CS!$A:$AK,8,FALSE),"")</f>
      </c>
      <c r="G494" s="79">
        <f>IFERROR(VLOOKUP($A:$A,CS!$A:$AK,10,FALSE),"")</f>
      </c>
      <c r="H494" s="79">
        <f>IFERROR(VLOOKUP($A:$A,CS!$A:$AK,14,FALSE),"")</f>
      </c>
      <c r="I494" s="79">
        <f>IFERROR(VLOOKUP($A:$A,CS!$A:$AK,15,FALSE),"")</f>
      </c>
      <c r="J494" s="79">
        <f>IFERROR(VLOOKUP($A:$A,CS!$A:$AK,18,FALSE),"")</f>
      </c>
      <c r="K494" s="79">
        <f>IFERROR(VLOOKUP($A:$A,CS!$A:$AK,19,FALSE),"")</f>
      </c>
      <c r="L494" s="79">
        <f>IFERROR(VLOOKUP($A:$A,CS!$A:$AK,20,FALSE),"")</f>
      </c>
      <c r="M494" s="79">
        <f>IFERROR(VLOOKUP($A:$A,CS!$A:$AK,22,FALSE),"")</f>
      </c>
      <c r="N494" s="79">
        <f>IFERROR(VLOOKUP($A:$A,CS!$A:$AK,19,FALSE),"")</f>
      </c>
      <c r="O494" s="79">
        <f>IFERROR(VLOOKUP($A:$A,CS!$A:$AK,23,FALSE),"")</f>
      </c>
      <c r="P494" s="79">
        <f>IFERROR(VLOOKUP($A:$A,CS!$A:$AK,24,FALSE),"")</f>
      </c>
      <c r="Q494" s="79">
        <f>IFERROR(VLOOKUP($A:$A,CS!$A:$AK,25,FALSE),"")</f>
      </c>
      <c r="R494" s="79">
        <f>IFERROR(VLOOKUP($A:$A,CS!$A:$AK,26,FALSE),"")</f>
      </c>
      <c r="S494" s="79">
        <f>IFERROR(VLOOKUP($A:$A,CS!$A:$AK,29,FALSE),"")</f>
      </c>
      <c r="T494" s="79">
        <f>IFERROR(VLOOKUP($A:$A,CS!$A:$AK,33,FALSE),"")</f>
      </c>
      <c r="U494" s="79">
        <f>IFERROR(VLOOKUP($A:$A,CS!$A:$AK,34,FALSE),"")</f>
      </c>
      <c r="V494" s="79">
        <f>IFERROR(VLOOKUP($A:$A,CS!$A:$AK,35,FALSE),"")</f>
      </c>
      <c r="W494" s="79">
        <f>IFERROR(VLOOKUP($A:$A,CS!$A:$AK,36,FALSE),"")</f>
      </c>
    </row>
    <row r="495" ht="16.5" customHeight="1" spans="1:23" x14ac:dyDescent="0.25">
      <c r="A495" s="93"/>
      <c r="B495" s="79">
        <f>IFERROR(VLOOKUP($A:$A,CS!$A:$AK,3,FALSE),"")</f>
      </c>
      <c r="C495" s="79">
        <f>IFERROR(VLOOKUP($A:$A,CS!$A:$AK,4,FALSE),"")</f>
      </c>
      <c r="D495" s="79">
        <f>IFERROR(VLOOKUP($A:$A,CS!$A:$AK,5,FALSE),"")</f>
      </c>
      <c r="E495" s="79">
        <f>IFERROR(VLOOKUP($A:$A,CS!$A:$AK,7,FALSE),"")</f>
      </c>
      <c r="F495" s="79">
        <f>IFERROR(VLOOKUP($A:$A,CS!$A:$AK,8,FALSE),"")</f>
      </c>
      <c r="G495" s="79">
        <f>IFERROR(VLOOKUP($A:$A,CS!$A:$AK,10,FALSE),"")</f>
      </c>
      <c r="H495" s="79">
        <f>IFERROR(VLOOKUP($A:$A,CS!$A:$AK,14,FALSE),"")</f>
      </c>
      <c r="I495" s="79">
        <f>IFERROR(VLOOKUP($A:$A,CS!$A:$AK,15,FALSE),"")</f>
      </c>
      <c r="J495" s="79">
        <f>IFERROR(VLOOKUP($A:$A,CS!$A:$AK,18,FALSE),"")</f>
      </c>
      <c r="K495" s="79">
        <f>IFERROR(VLOOKUP($A:$A,CS!$A:$AK,19,FALSE),"")</f>
      </c>
      <c r="L495" s="79">
        <f>IFERROR(VLOOKUP($A:$A,CS!$A:$AK,20,FALSE),"")</f>
      </c>
      <c r="M495" s="79">
        <f>IFERROR(VLOOKUP($A:$A,CS!$A:$AK,22,FALSE),"")</f>
      </c>
      <c r="N495" s="79">
        <f>IFERROR(VLOOKUP($A:$A,CS!$A:$AK,19,FALSE),"")</f>
      </c>
      <c r="O495" s="79">
        <f>IFERROR(VLOOKUP($A:$A,CS!$A:$AK,23,FALSE),"")</f>
      </c>
      <c r="P495" s="79">
        <f>IFERROR(VLOOKUP($A:$A,CS!$A:$AK,24,FALSE),"")</f>
      </c>
      <c r="Q495" s="79">
        <f>IFERROR(VLOOKUP($A:$A,CS!$A:$AK,25,FALSE),"")</f>
      </c>
      <c r="R495" s="79">
        <f>IFERROR(VLOOKUP($A:$A,CS!$A:$AK,26,FALSE),"")</f>
      </c>
      <c r="S495" s="79">
        <f>IFERROR(VLOOKUP($A:$A,CS!$A:$AK,29,FALSE),"")</f>
      </c>
      <c r="T495" s="79">
        <f>IFERROR(VLOOKUP($A:$A,CS!$A:$AK,33,FALSE),"")</f>
      </c>
      <c r="U495" s="79">
        <f>IFERROR(VLOOKUP($A:$A,CS!$A:$AK,34,FALSE),"")</f>
      </c>
      <c r="V495" s="79">
        <f>IFERROR(VLOOKUP($A:$A,CS!$A:$AK,35,FALSE),"")</f>
      </c>
      <c r="W495" s="79">
        <f>IFERROR(VLOOKUP($A:$A,CS!$A:$AK,36,FALSE),"")</f>
      </c>
    </row>
    <row r="496" ht="16.5" customHeight="1" spans="1:23" x14ac:dyDescent="0.25">
      <c r="A496" s="93"/>
      <c r="B496" s="79">
        <f>IFERROR(VLOOKUP($A:$A,CS!$A:$AK,3,FALSE),"")</f>
      </c>
      <c r="C496" s="79">
        <f>IFERROR(VLOOKUP($A:$A,CS!$A:$AK,4,FALSE),"")</f>
      </c>
      <c r="D496" s="79">
        <f>IFERROR(VLOOKUP($A:$A,CS!$A:$AK,5,FALSE),"")</f>
      </c>
      <c r="E496" s="79">
        <f>IFERROR(VLOOKUP($A:$A,CS!$A:$AK,7,FALSE),"")</f>
      </c>
      <c r="F496" s="79">
        <f>IFERROR(VLOOKUP($A:$A,CS!$A:$AK,8,FALSE),"")</f>
      </c>
      <c r="G496" s="79">
        <f>IFERROR(VLOOKUP($A:$A,CS!$A:$AK,10,FALSE),"")</f>
      </c>
      <c r="H496" s="79">
        <f>IFERROR(VLOOKUP($A:$A,CS!$A:$AK,14,FALSE),"")</f>
      </c>
      <c r="I496" s="79">
        <f>IFERROR(VLOOKUP($A:$A,CS!$A:$AK,15,FALSE),"")</f>
      </c>
      <c r="J496" s="79">
        <f>IFERROR(VLOOKUP($A:$A,CS!$A:$AK,18,FALSE),"")</f>
      </c>
      <c r="K496" s="79">
        <f>IFERROR(VLOOKUP($A:$A,CS!$A:$AK,19,FALSE),"")</f>
      </c>
      <c r="L496" s="79">
        <f>IFERROR(VLOOKUP($A:$A,CS!$A:$AK,20,FALSE),"")</f>
      </c>
      <c r="M496" s="79">
        <f>IFERROR(VLOOKUP($A:$A,CS!$A:$AK,22,FALSE),"")</f>
      </c>
      <c r="N496" s="79">
        <f>IFERROR(VLOOKUP($A:$A,CS!$A:$AK,19,FALSE),"")</f>
      </c>
      <c r="O496" s="79">
        <f>IFERROR(VLOOKUP($A:$A,CS!$A:$AK,23,FALSE),"")</f>
      </c>
      <c r="P496" s="79">
        <f>IFERROR(VLOOKUP($A:$A,CS!$A:$AK,24,FALSE),"")</f>
      </c>
      <c r="Q496" s="79">
        <f>IFERROR(VLOOKUP($A:$A,CS!$A:$AK,25,FALSE),"")</f>
      </c>
      <c r="R496" s="79">
        <f>IFERROR(VLOOKUP($A:$A,CS!$A:$AK,26,FALSE),"")</f>
      </c>
      <c r="S496" s="79">
        <f>IFERROR(VLOOKUP($A:$A,CS!$A:$AK,29,FALSE),"")</f>
      </c>
      <c r="T496" s="79">
        <f>IFERROR(VLOOKUP($A:$A,CS!$A:$AK,33,FALSE),"")</f>
      </c>
      <c r="U496" s="79">
        <f>IFERROR(VLOOKUP($A:$A,CS!$A:$AK,34,FALSE),"")</f>
      </c>
      <c r="V496" s="79">
        <f>IFERROR(VLOOKUP($A:$A,CS!$A:$AK,35,FALSE),"")</f>
      </c>
      <c r="W496" s="79">
        <f>IFERROR(VLOOKUP($A:$A,CS!$A:$AK,36,FALSE),"")</f>
      </c>
    </row>
    <row r="497" ht="16.5" customHeight="1" spans="1:23" x14ac:dyDescent="0.25">
      <c r="A497" s="93"/>
      <c r="B497" s="79">
        <f>IFERROR(VLOOKUP($A:$A,CS!$A:$AK,3,FALSE),"")</f>
      </c>
      <c r="C497" s="79">
        <f>IFERROR(VLOOKUP($A:$A,CS!$A:$AK,4,FALSE),"")</f>
      </c>
      <c r="D497" s="79">
        <f>IFERROR(VLOOKUP($A:$A,CS!$A:$AK,5,FALSE),"")</f>
      </c>
      <c r="E497" s="79">
        <f>IFERROR(VLOOKUP($A:$A,CS!$A:$AK,7,FALSE),"")</f>
      </c>
      <c r="F497" s="79">
        <f>IFERROR(VLOOKUP($A:$A,CS!$A:$AK,8,FALSE),"")</f>
      </c>
      <c r="G497" s="79">
        <f>IFERROR(VLOOKUP($A:$A,CS!$A:$AK,10,FALSE),"")</f>
      </c>
      <c r="H497" s="79">
        <f>IFERROR(VLOOKUP($A:$A,CS!$A:$AK,14,FALSE),"")</f>
      </c>
      <c r="I497" s="79">
        <f>IFERROR(VLOOKUP($A:$A,CS!$A:$AK,15,FALSE),"")</f>
      </c>
      <c r="J497" s="79">
        <f>IFERROR(VLOOKUP($A:$A,CS!$A:$AK,18,FALSE),"")</f>
      </c>
      <c r="K497" s="79">
        <f>IFERROR(VLOOKUP($A:$A,CS!$A:$AK,19,FALSE),"")</f>
      </c>
      <c r="L497" s="79">
        <f>IFERROR(VLOOKUP($A:$A,CS!$A:$AK,20,FALSE),"")</f>
      </c>
      <c r="M497" s="79">
        <f>IFERROR(VLOOKUP($A:$A,CS!$A:$AK,22,FALSE),"")</f>
      </c>
      <c r="N497" s="79">
        <f>IFERROR(VLOOKUP($A:$A,CS!$A:$AK,19,FALSE),"")</f>
      </c>
      <c r="O497" s="79">
        <f>IFERROR(VLOOKUP($A:$A,CS!$A:$AK,23,FALSE),"")</f>
      </c>
      <c r="P497" s="79">
        <f>IFERROR(VLOOKUP($A:$A,CS!$A:$AK,24,FALSE),"")</f>
      </c>
      <c r="Q497" s="79">
        <f>IFERROR(VLOOKUP($A:$A,CS!$A:$AK,25,FALSE),"")</f>
      </c>
      <c r="R497" s="79">
        <f>IFERROR(VLOOKUP($A:$A,CS!$A:$AK,26,FALSE),"")</f>
      </c>
      <c r="S497" s="79">
        <f>IFERROR(VLOOKUP($A:$A,CS!$A:$AK,29,FALSE),"")</f>
      </c>
      <c r="T497" s="79">
        <f>IFERROR(VLOOKUP($A:$A,CS!$A:$AK,33,FALSE),"")</f>
      </c>
      <c r="U497" s="79">
        <f>IFERROR(VLOOKUP($A:$A,CS!$A:$AK,34,FALSE),"")</f>
      </c>
      <c r="V497" s="79">
        <f>IFERROR(VLOOKUP($A:$A,CS!$A:$AK,35,FALSE),"")</f>
      </c>
      <c r="W497" s="79">
        <f>IFERROR(VLOOKUP($A:$A,CS!$A:$AK,36,FALSE),"")</f>
      </c>
    </row>
    <row r="498" ht="16.5" customHeight="1" spans="1:23" x14ac:dyDescent="0.25">
      <c r="A498" s="93"/>
      <c r="B498" s="79">
        <f>IFERROR(VLOOKUP($A:$A,CS!$A:$AK,3,FALSE),"")</f>
      </c>
      <c r="C498" s="79">
        <f>IFERROR(VLOOKUP($A:$A,CS!$A:$AK,4,FALSE),"")</f>
      </c>
      <c r="D498" s="79">
        <f>IFERROR(VLOOKUP($A:$A,CS!$A:$AK,5,FALSE),"")</f>
      </c>
      <c r="E498" s="79">
        <f>IFERROR(VLOOKUP($A:$A,CS!$A:$AK,7,FALSE),"")</f>
      </c>
      <c r="F498" s="79">
        <f>IFERROR(VLOOKUP($A:$A,CS!$A:$AK,8,FALSE),"")</f>
      </c>
      <c r="G498" s="79">
        <f>IFERROR(VLOOKUP($A:$A,CS!$A:$AK,10,FALSE),"")</f>
      </c>
      <c r="H498" s="79">
        <f>IFERROR(VLOOKUP($A:$A,CS!$A:$AK,14,FALSE),"")</f>
      </c>
      <c r="I498" s="79">
        <f>IFERROR(VLOOKUP($A:$A,CS!$A:$AK,15,FALSE),"")</f>
      </c>
      <c r="J498" s="79">
        <f>IFERROR(VLOOKUP($A:$A,CS!$A:$AK,18,FALSE),"")</f>
      </c>
      <c r="K498" s="79">
        <f>IFERROR(VLOOKUP($A:$A,CS!$A:$AK,19,FALSE),"")</f>
      </c>
      <c r="L498" s="79">
        <f>IFERROR(VLOOKUP($A:$A,CS!$A:$AK,20,FALSE),"")</f>
      </c>
      <c r="M498" s="79">
        <f>IFERROR(VLOOKUP($A:$A,CS!$A:$AK,22,FALSE),"")</f>
      </c>
      <c r="N498" s="79">
        <f>IFERROR(VLOOKUP($A:$A,CS!$A:$AK,19,FALSE),"")</f>
      </c>
      <c r="O498" s="79">
        <f>IFERROR(VLOOKUP($A:$A,CS!$A:$AK,23,FALSE),"")</f>
      </c>
      <c r="P498" s="79">
        <f>IFERROR(VLOOKUP($A:$A,CS!$A:$AK,24,FALSE),"")</f>
      </c>
      <c r="Q498" s="79">
        <f>IFERROR(VLOOKUP($A:$A,CS!$A:$AK,25,FALSE),"")</f>
      </c>
      <c r="R498" s="79">
        <f>IFERROR(VLOOKUP($A:$A,CS!$A:$AK,26,FALSE),"")</f>
      </c>
      <c r="S498" s="79">
        <f>IFERROR(VLOOKUP($A:$A,CS!$A:$AK,29,FALSE),"")</f>
      </c>
      <c r="T498" s="79">
        <f>IFERROR(VLOOKUP($A:$A,CS!$A:$AK,33,FALSE),"")</f>
      </c>
      <c r="U498" s="79">
        <f>IFERROR(VLOOKUP($A:$A,CS!$A:$AK,34,FALSE),"")</f>
      </c>
      <c r="V498" s="79">
        <f>IFERROR(VLOOKUP($A:$A,CS!$A:$AK,35,FALSE),"")</f>
      </c>
      <c r="W498" s="79">
        <f>IFERROR(VLOOKUP($A:$A,CS!$A:$AK,36,FALSE),"")</f>
      </c>
    </row>
    <row r="499" ht="16.5" customHeight="1" spans="1:23" x14ac:dyDescent="0.25">
      <c r="A499" s="93"/>
      <c r="B499" s="79">
        <f>IFERROR(VLOOKUP($A:$A,CS!$A:$AK,3,FALSE),"")</f>
      </c>
      <c r="C499" s="79">
        <f>IFERROR(VLOOKUP($A:$A,CS!$A:$AK,4,FALSE),"")</f>
      </c>
      <c r="D499" s="79">
        <f>IFERROR(VLOOKUP($A:$A,CS!$A:$AK,5,FALSE),"")</f>
      </c>
      <c r="E499" s="79">
        <f>IFERROR(VLOOKUP($A:$A,CS!$A:$AK,7,FALSE),"")</f>
      </c>
      <c r="F499" s="79">
        <f>IFERROR(VLOOKUP($A:$A,CS!$A:$AK,8,FALSE),"")</f>
      </c>
      <c r="G499" s="79">
        <f>IFERROR(VLOOKUP($A:$A,CS!$A:$AK,10,FALSE),"")</f>
      </c>
      <c r="H499" s="79">
        <f>IFERROR(VLOOKUP($A:$A,CS!$A:$AK,14,FALSE),"")</f>
      </c>
      <c r="I499" s="79">
        <f>IFERROR(VLOOKUP($A:$A,CS!$A:$AK,15,FALSE),"")</f>
      </c>
      <c r="J499" s="79">
        <f>IFERROR(VLOOKUP($A:$A,CS!$A:$AK,18,FALSE),"")</f>
      </c>
      <c r="K499" s="79">
        <f>IFERROR(VLOOKUP($A:$A,CS!$A:$AK,19,FALSE),"")</f>
      </c>
      <c r="L499" s="79">
        <f>IFERROR(VLOOKUP($A:$A,CS!$A:$AK,20,FALSE),"")</f>
      </c>
      <c r="M499" s="79">
        <f>IFERROR(VLOOKUP($A:$A,CS!$A:$AK,22,FALSE),"")</f>
      </c>
      <c r="N499" s="79">
        <f>IFERROR(VLOOKUP($A:$A,CS!$A:$AK,19,FALSE),"")</f>
      </c>
      <c r="O499" s="79">
        <f>IFERROR(VLOOKUP($A:$A,CS!$A:$AK,23,FALSE),"")</f>
      </c>
      <c r="P499" s="79">
        <f>IFERROR(VLOOKUP($A:$A,CS!$A:$AK,24,FALSE),"")</f>
      </c>
      <c r="Q499" s="79">
        <f>IFERROR(VLOOKUP($A:$A,CS!$A:$AK,25,FALSE),"")</f>
      </c>
      <c r="R499" s="79">
        <f>IFERROR(VLOOKUP($A:$A,CS!$A:$AK,26,FALSE),"")</f>
      </c>
      <c r="S499" s="79">
        <f>IFERROR(VLOOKUP($A:$A,CS!$A:$AK,29,FALSE),"")</f>
      </c>
      <c r="T499" s="79">
        <f>IFERROR(VLOOKUP($A:$A,CS!$A:$AK,33,FALSE),"")</f>
      </c>
      <c r="U499" s="79">
        <f>IFERROR(VLOOKUP($A:$A,CS!$A:$AK,34,FALSE),"")</f>
      </c>
      <c r="V499" s="79">
        <f>IFERROR(VLOOKUP($A:$A,CS!$A:$AK,35,FALSE),"")</f>
      </c>
      <c r="W499" s="79">
        <f>IFERROR(VLOOKUP($A:$A,CS!$A:$AK,36,FALSE),"")</f>
      </c>
    </row>
    <row r="500" ht="16.5" customHeight="1" spans="1:23" x14ac:dyDescent="0.25">
      <c r="A500" s="93"/>
      <c r="B500" s="79">
        <f>IFERROR(VLOOKUP($A:$A,CS!$A:$AK,3,FALSE),"")</f>
      </c>
      <c r="C500" s="79">
        <f>IFERROR(VLOOKUP($A:$A,CS!$A:$AK,4,FALSE),"")</f>
      </c>
      <c r="D500" s="79">
        <f>IFERROR(VLOOKUP($A:$A,CS!$A:$AK,5,FALSE),"")</f>
      </c>
      <c r="E500" s="79">
        <f>IFERROR(VLOOKUP($A:$A,CS!$A:$AK,7,FALSE),"")</f>
      </c>
      <c r="F500" s="79">
        <f>IFERROR(VLOOKUP($A:$A,CS!$A:$AK,8,FALSE),"")</f>
      </c>
      <c r="G500" s="79">
        <f>IFERROR(VLOOKUP($A:$A,CS!$A:$AK,10,FALSE),"")</f>
      </c>
      <c r="H500" s="79">
        <f>IFERROR(VLOOKUP($A:$A,CS!$A:$AK,14,FALSE),"")</f>
      </c>
      <c r="I500" s="79">
        <f>IFERROR(VLOOKUP($A:$A,CS!$A:$AK,15,FALSE),"")</f>
      </c>
      <c r="J500" s="79">
        <f>IFERROR(VLOOKUP($A:$A,CS!$A:$AK,18,FALSE),"")</f>
      </c>
      <c r="K500" s="79">
        <f>IFERROR(VLOOKUP($A:$A,CS!$A:$AK,19,FALSE),"")</f>
      </c>
      <c r="L500" s="79">
        <f>IFERROR(VLOOKUP($A:$A,CS!$A:$AK,20,FALSE),"")</f>
      </c>
      <c r="M500" s="79">
        <f>IFERROR(VLOOKUP($A:$A,CS!$A:$AK,22,FALSE),"")</f>
      </c>
      <c r="N500" s="79">
        <f>IFERROR(VLOOKUP($A:$A,CS!$A:$AK,19,FALSE),"")</f>
      </c>
      <c r="O500" s="79">
        <f>IFERROR(VLOOKUP($A:$A,CS!$A:$AK,23,FALSE),"")</f>
      </c>
      <c r="P500" s="79">
        <f>IFERROR(VLOOKUP($A:$A,CS!$A:$AK,24,FALSE),"")</f>
      </c>
      <c r="Q500" s="79">
        <f>IFERROR(VLOOKUP($A:$A,CS!$A:$AK,25,FALSE),"")</f>
      </c>
      <c r="R500" s="79">
        <f>IFERROR(VLOOKUP($A:$A,CS!$A:$AK,26,FALSE),"")</f>
      </c>
      <c r="S500" s="79">
        <f>IFERROR(VLOOKUP($A:$A,CS!$A:$AK,29,FALSE),"")</f>
      </c>
      <c r="T500" s="79">
        <f>IFERROR(VLOOKUP($A:$A,CS!$A:$AK,33,FALSE),"")</f>
      </c>
      <c r="U500" s="79">
        <f>IFERROR(VLOOKUP($A:$A,CS!$A:$AK,34,FALSE),"")</f>
      </c>
      <c r="V500" s="79">
        <f>IFERROR(VLOOKUP($A:$A,CS!$A:$AK,35,FALSE),"")</f>
      </c>
      <c r="W500" s="79">
        <f>IFERROR(VLOOKUP($A:$A,CS!$A:$AK,36,FALSE),"")</f>
      </c>
    </row>
    <row r="501" ht="16.5" customHeight="1" spans="1:23" x14ac:dyDescent="0.25">
      <c r="A501" s="93"/>
      <c r="B501" s="79">
        <f>IFERROR(VLOOKUP($A:$A,CS!$A:$AK,3,FALSE),"")</f>
      </c>
      <c r="C501" s="79">
        <f>IFERROR(VLOOKUP($A:$A,CS!$A:$AK,4,FALSE),"")</f>
      </c>
      <c r="D501" s="79">
        <f>IFERROR(VLOOKUP($A:$A,CS!$A:$AK,5,FALSE),"")</f>
      </c>
      <c r="E501" s="79">
        <f>IFERROR(VLOOKUP($A:$A,CS!$A:$AK,7,FALSE),"")</f>
      </c>
      <c r="F501" s="79">
        <f>IFERROR(VLOOKUP($A:$A,CS!$A:$AK,8,FALSE),"")</f>
      </c>
      <c r="G501" s="79">
        <f>IFERROR(VLOOKUP($A:$A,CS!$A:$AK,10,FALSE),"")</f>
      </c>
      <c r="H501" s="79">
        <f>IFERROR(VLOOKUP($A:$A,CS!$A:$AK,14,FALSE),"")</f>
      </c>
      <c r="I501" s="79">
        <f>IFERROR(VLOOKUP($A:$A,CS!$A:$AK,15,FALSE),"")</f>
      </c>
      <c r="J501" s="79">
        <f>IFERROR(VLOOKUP($A:$A,CS!$A:$AK,18,FALSE),"")</f>
      </c>
      <c r="K501" s="79">
        <f>IFERROR(VLOOKUP($A:$A,CS!$A:$AK,19,FALSE),"")</f>
      </c>
      <c r="L501" s="79">
        <f>IFERROR(VLOOKUP($A:$A,CS!$A:$AK,20,FALSE),"")</f>
      </c>
      <c r="M501" s="79">
        <f>IFERROR(VLOOKUP($A:$A,CS!$A:$AK,22,FALSE),"")</f>
      </c>
      <c r="N501" s="79">
        <f>IFERROR(VLOOKUP($A:$A,CS!$A:$AK,19,FALSE),"")</f>
      </c>
      <c r="O501" s="79">
        <f>IFERROR(VLOOKUP($A:$A,CS!$A:$AK,23,FALSE),"")</f>
      </c>
      <c r="P501" s="79">
        <f>IFERROR(VLOOKUP($A:$A,CS!$A:$AK,24,FALSE),"")</f>
      </c>
      <c r="Q501" s="79">
        <f>IFERROR(VLOOKUP($A:$A,CS!$A:$AK,25,FALSE),"")</f>
      </c>
      <c r="R501" s="79">
        <f>IFERROR(VLOOKUP($A:$A,CS!$A:$AK,26,FALSE),"")</f>
      </c>
      <c r="S501" s="79">
        <f>IFERROR(VLOOKUP($A:$A,CS!$A:$AK,29,FALSE),"")</f>
      </c>
      <c r="T501" s="79">
        <f>IFERROR(VLOOKUP($A:$A,CS!$A:$AK,33,FALSE),"")</f>
      </c>
      <c r="U501" s="79">
        <f>IFERROR(VLOOKUP($A:$A,CS!$A:$AK,34,FALSE),"")</f>
      </c>
      <c r="V501" s="79">
        <f>IFERROR(VLOOKUP($A:$A,CS!$A:$AK,35,FALSE),"")</f>
      </c>
      <c r="W501" s="79">
        <f>IFERROR(VLOOKUP($A:$A,CS!$A:$AK,36,FALSE),"")</f>
      </c>
    </row>
    <row r="502" ht="16.5" customHeight="1" spans="1:23" x14ac:dyDescent="0.25">
      <c r="A502" s="93"/>
      <c r="B502" s="79">
        <f>IFERROR(VLOOKUP($A:$A,CS!$A:$AK,3,FALSE),"")</f>
      </c>
      <c r="C502" s="79">
        <f>IFERROR(VLOOKUP($A:$A,CS!$A:$AK,4,FALSE),"")</f>
      </c>
      <c r="D502" s="79">
        <f>IFERROR(VLOOKUP($A:$A,CS!$A:$AK,5,FALSE),"")</f>
      </c>
      <c r="E502" s="79">
        <f>IFERROR(VLOOKUP($A:$A,CS!$A:$AK,7,FALSE),"")</f>
      </c>
      <c r="F502" s="79">
        <f>IFERROR(VLOOKUP($A:$A,CS!$A:$AK,8,FALSE),"")</f>
      </c>
      <c r="G502" s="79">
        <f>IFERROR(VLOOKUP($A:$A,CS!$A:$AK,10,FALSE),"")</f>
      </c>
      <c r="H502" s="79">
        <f>IFERROR(VLOOKUP($A:$A,CS!$A:$AK,14,FALSE),"")</f>
      </c>
      <c r="I502" s="79">
        <f>IFERROR(VLOOKUP($A:$A,CS!$A:$AK,15,FALSE),"")</f>
      </c>
      <c r="J502" s="79">
        <f>IFERROR(VLOOKUP($A:$A,CS!$A:$AK,18,FALSE),"")</f>
      </c>
      <c r="K502" s="79">
        <f>IFERROR(VLOOKUP($A:$A,CS!$A:$AK,19,FALSE),"")</f>
      </c>
      <c r="L502" s="79">
        <f>IFERROR(VLOOKUP($A:$A,CS!$A:$AK,20,FALSE),"")</f>
      </c>
      <c r="M502" s="79">
        <f>IFERROR(VLOOKUP($A:$A,CS!$A:$AK,22,FALSE),"")</f>
      </c>
      <c r="N502" s="79">
        <f>IFERROR(VLOOKUP($A:$A,CS!$A:$AK,19,FALSE),"")</f>
      </c>
      <c r="O502" s="79">
        <f>IFERROR(VLOOKUP($A:$A,CS!$A:$AK,23,FALSE),"")</f>
      </c>
      <c r="P502" s="79">
        <f>IFERROR(VLOOKUP($A:$A,CS!$A:$AK,24,FALSE),"")</f>
      </c>
      <c r="Q502" s="79">
        <f>IFERROR(VLOOKUP($A:$A,CS!$A:$AK,25,FALSE),"")</f>
      </c>
      <c r="R502" s="79">
        <f>IFERROR(VLOOKUP($A:$A,CS!$A:$AK,26,FALSE),"")</f>
      </c>
      <c r="S502" s="79">
        <f>IFERROR(VLOOKUP($A:$A,CS!$A:$AK,29,FALSE),"")</f>
      </c>
      <c r="T502" s="79">
        <f>IFERROR(VLOOKUP($A:$A,CS!$A:$AK,33,FALSE),"")</f>
      </c>
      <c r="U502" s="79">
        <f>IFERROR(VLOOKUP($A:$A,CS!$A:$AK,34,FALSE),"")</f>
      </c>
      <c r="V502" s="79">
        <f>IFERROR(VLOOKUP($A:$A,CS!$A:$AK,35,FALSE),"")</f>
      </c>
      <c r="W502" s="79">
        <f>IFERROR(VLOOKUP($A:$A,CS!$A:$AK,36,FALSE),"")</f>
      </c>
    </row>
    <row r="503" ht="16.5" customHeight="1" spans="1:23" x14ac:dyDescent="0.25">
      <c r="A503" s="93"/>
      <c r="B503" s="79">
        <f>IFERROR(VLOOKUP($A:$A,CS!$A:$AK,3,FALSE),"")</f>
      </c>
      <c r="C503" s="79">
        <f>IFERROR(VLOOKUP($A:$A,CS!$A:$AK,4,FALSE),"")</f>
      </c>
      <c r="D503" s="79">
        <f>IFERROR(VLOOKUP($A:$A,CS!$A:$AK,5,FALSE),"")</f>
      </c>
      <c r="E503" s="79">
        <f>IFERROR(VLOOKUP($A:$A,CS!$A:$AK,7,FALSE),"")</f>
      </c>
      <c r="F503" s="79">
        <f>IFERROR(VLOOKUP($A:$A,CS!$A:$AK,8,FALSE),"")</f>
      </c>
      <c r="G503" s="79">
        <f>IFERROR(VLOOKUP($A:$A,CS!$A:$AK,10,FALSE),"")</f>
      </c>
      <c r="H503" s="79">
        <f>IFERROR(VLOOKUP($A:$A,CS!$A:$AK,14,FALSE),"")</f>
      </c>
      <c r="I503" s="79">
        <f>IFERROR(VLOOKUP($A:$A,CS!$A:$AK,15,FALSE),"")</f>
      </c>
      <c r="J503" s="79">
        <f>IFERROR(VLOOKUP($A:$A,CS!$A:$AK,18,FALSE),"")</f>
      </c>
      <c r="K503" s="79">
        <f>IFERROR(VLOOKUP($A:$A,CS!$A:$AK,19,FALSE),"")</f>
      </c>
      <c r="L503" s="79">
        <f>IFERROR(VLOOKUP($A:$A,CS!$A:$AK,20,FALSE),"")</f>
      </c>
      <c r="M503" s="79">
        <f>IFERROR(VLOOKUP($A:$A,CS!$A:$AK,22,FALSE),"")</f>
      </c>
      <c r="N503" s="79">
        <f>IFERROR(VLOOKUP($A:$A,CS!$A:$AK,19,FALSE),"")</f>
      </c>
      <c r="O503" s="79">
        <f>IFERROR(VLOOKUP($A:$A,CS!$A:$AK,23,FALSE),"")</f>
      </c>
      <c r="P503" s="79">
        <f>IFERROR(VLOOKUP($A:$A,CS!$A:$AK,24,FALSE),"")</f>
      </c>
      <c r="Q503" s="79">
        <f>IFERROR(VLOOKUP($A:$A,CS!$A:$AK,25,FALSE),"")</f>
      </c>
      <c r="R503" s="79">
        <f>IFERROR(VLOOKUP($A:$A,CS!$A:$AK,26,FALSE),"")</f>
      </c>
      <c r="S503" s="79">
        <f>IFERROR(VLOOKUP($A:$A,CS!$A:$AK,29,FALSE),"")</f>
      </c>
      <c r="T503" s="79">
        <f>IFERROR(VLOOKUP($A:$A,CS!$A:$AK,33,FALSE),"")</f>
      </c>
      <c r="U503" s="79">
        <f>IFERROR(VLOOKUP($A:$A,CS!$A:$AK,34,FALSE),"")</f>
      </c>
      <c r="V503" s="79">
        <f>IFERROR(VLOOKUP($A:$A,CS!$A:$AK,35,FALSE),"")</f>
      </c>
      <c r="W503" s="79">
        <f>IFERROR(VLOOKUP($A:$A,CS!$A:$AK,36,FALSE),"")</f>
      </c>
    </row>
    <row r="504" ht="16.5" customHeight="1" spans="1:23" x14ac:dyDescent="0.25">
      <c r="A504" s="93"/>
      <c r="B504" s="79">
        <f>IFERROR(VLOOKUP($A:$A,CS!$A:$AK,3,FALSE),"")</f>
      </c>
      <c r="C504" s="79">
        <f>IFERROR(VLOOKUP($A:$A,CS!$A:$AK,4,FALSE),"")</f>
      </c>
      <c r="D504" s="79">
        <f>IFERROR(VLOOKUP($A:$A,CS!$A:$AK,5,FALSE),"")</f>
      </c>
      <c r="E504" s="79">
        <f>IFERROR(VLOOKUP($A:$A,CS!$A:$AK,7,FALSE),"")</f>
      </c>
      <c r="F504" s="79">
        <f>IFERROR(VLOOKUP($A:$A,CS!$A:$AK,8,FALSE),"")</f>
      </c>
      <c r="G504" s="79">
        <f>IFERROR(VLOOKUP($A:$A,CS!$A:$AK,10,FALSE),"")</f>
      </c>
      <c r="H504" s="79">
        <f>IFERROR(VLOOKUP($A:$A,CS!$A:$AK,14,FALSE),"")</f>
      </c>
      <c r="I504" s="79">
        <f>IFERROR(VLOOKUP($A:$A,CS!$A:$AK,15,FALSE),"")</f>
      </c>
      <c r="J504" s="79">
        <f>IFERROR(VLOOKUP($A:$A,CS!$A:$AK,18,FALSE),"")</f>
      </c>
      <c r="K504" s="79">
        <f>IFERROR(VLOOKUP($A:$A,CS!$A:$AK,19,FALSE),"")</f>
      </c>
      <c r="L504" s="79">
        <f>IFERROR(VLOOKUP($A:$A,CS!$A:$AK,20,FALSE),"")</f>
      </c>
      <c r="M504" s="79">
        <f>IFERROR(VLOOKUP($A:$A,CS!$A:$AK,22,FALSE),"")</f>
      </c>
      <c r="N504" s="79">
        <f>IFERROR(VLOOKUP($A:$A,CS!$A:$AK,19,FALSE),"")</f>
      </c>
      <c r="O504" s="79">
        <f>IFERROR(VLOOKUP($A:$A,CS!$A:$AK,23,FALSE),"")</f>
      </c>
      <c r="P504" s="79">
        <f>IFERROR(VLOOKUP($A:$A,CS!$A:$AK,24,FALSE),"")</f>
      </c>
      <c r="Q504" s="79">
        <f>IFERROR(VLOOKUP($A:$A,CS!$A:$AK,25,FALSE),"")</f>
      </c>
      <c r="R504" s="79">
        <f>IFERROR(VLOOKUP($A:$A,CS!$A:$AK,26,FALSE),"")</f>
      </c>
      <c r="S504" s="79">
        <f>IFERROR(VLOOKUP($A:$A,CS!$A:$AK,29,FALSE),"")</f>
      </c>
      <c r="T504" s="79">
        <f>IFERROR(VLOOKUP($A:$A,CS!$A:$AK,33,FALSE),"")</f>
      </c>
      <c r="U504" s="79">
        <f>IFERROR(VLOOKUP($A:$A,CS!$A:$AK,34,FALSE),"")</f>
      </c>
      <c r="V504" s="79">
        <f>IFERROR(VLOOKUP($A:$A,CS!$A:$AK,35,FALSE),"")</f>
      </c>
      <c r="W504" s="79">
        <f>IFERROR(VLOOKUP($A:$A,CS!$A:$AK,36,FALSE),"")</f>
      </c>
    </row>
    <row r="505" ht="16.5" customHeight="1" spans="1:23" x14ac:dyDescent="0.25">
      <c r="A505" s="93"/>
      <c r="B505" s="79">
        <f>IFERROR(VLOOKUP($A:$A,CS!$A:$AK,3,FALSE),"")</f>
      </c>
      <c r="C505" s="79">
        <f>IFERROR(VLOOKUP($A:$A,CS!$A:$AK,4,FALSE),"")</f>
      </c>
      <c r="D505" s="79">
        <f>IFERROR(VLOOKUP($A:$A,CS!$A:$AK,5,FALSE),"")</f>
      </c>
      <c r="E505" s="79">
        <f>IFERROR(VLOOKUP($A:$A,CS!$A:$AK,7,FALSE),"")</f>
      </c>
      <c r="F505" s="79">
        <f>IFERROR(VLOOKUP($A:$A,CS!$A:$AK,8,FALSE),"")</f>
      </c>
      <c r="G505" s="79">
        <f>IFERROR(VLOOKUP($A:$A,CS!$A:$AK,10,FALSE),"")</f>
      </c>
      <c r="H505" s="79">
        <f>IFERROR(VLOOKUP($A:$A,CS!$A:$AK,14,FALSE),"")</f>
      </c>
      <c r="I505" s="79">
        <f>IFERROR(VLOOKUP($A:$A,CS!$A:$AK,15,FALSE),"")</f>
      </c>
      <c r="J505" s="79">
        <f>IFERROR(VLOOKUP($A:$A,CS!$A:$AK,18,FALSE),"")</f>
      </c>
      <c r="K505" s="79">
        <f>IFERROR(VLOOKUP($A:$A,CS!$A:$AK,19,FALSE),"")</f>
      </c>
      <c r="L505" s="79">
        <f>IFERROR(VLOOKUP($A:$A,CS!$A:$AK,20,FALSE),"")</f>
      </c>
      <c r="M505" s="79">
        <f>IFERROR(VLOOKUP($A:$A,CS!$A:$AK,22,FALSE),"")</f>
      </c>
      <c r="N505" s="79">
        <f>IFERROR(VLOOKUP($A:$A,CS!$A:$AK,19,FALSE),"")</f>
      </c>
      <c r="O505" s="79">
        <f>IFERROR(VLOOKUP($A:$A,CS!$A:$AK,23,FALSE),"")</f>
      </c>
      <c r="P505" s="79">
        <f>IFERROR(VLOOKUP($A:$A,CS!$A:$AK,24,FALSE),"")</f>
      </c>
      <c r="Q505" s="79">
        <f>IFERROR(VLOOKUP($A:$A,CS!$A:$AK,25,FALSE),"")</f>
      </c>
      <c r="R505" s="79">
        <f>IFERROR(VLOOKUP($A:$A,CS!$A:$AK,26,FALSE),"")</f>
      </c>
      <c r="S505" s="79">
        <f>IFERROR(VLOOKUP($A:$A,CS!$A:$AK,29,FALSE),"")</f>
      </c>
      <c r="T505" s="79">
        <f>IFERROR(VLOOKUP($A:$A,CS!$A:$AK,33,FALSE),"")</f>
      </c>
      <c r="U505" s="79">
        <f>IFERROR(VLOOKUP($A:$A,CS!$A:$AK,34,FALSE),"")</f>
      </c>
      <c r="V505" s="79">
        <f>IFERROR(VLOOKUP($A:$A,CS!$A:$AK,35,FALSE),"")</f>
      </c>
      <c r="W505" s="79">
        <f>IFERROR(VLOOKUP($A:$A,CS!$A:$AK,36,FALSE),"")</f>
      </c>
    </row>
    <row r="506" ht="16.5" customHeight="1" spans="1:23" x14ac:dyDescent="0.25">
      <c r="A506" s="93"/>
      <c r="B506" s="79">
        <f>IFERROR(VLOOKUP($A:$A,CS!$A:$AK,3,FALSE),"")</f>
      </c>
      <c r="C506" s="79">
        <f>IFERROR(VLOOKUP($A:$A,CS!$A:$AK,4,FALSE),"")</f>
      </c>
      <c r="D506" s="79">
        <f>IFERROR(VLOOKUP($A:$A,CS!$A:$AK,5,FALSE),"")</f>
      </c>
      <c r="E506" s="79">
        <f>IFERROR(VLOOKUP($A:$A,CS!$A:$AK,7,FALSE),"")</f>
      </c>
      <c r="F506" s="79">
        <f>IFERROR(VLOOKUP($A:$A,CS!$A:$AK,8,FALSE),"")</f>
      </c>
      <c r="G506" s="79">
        <f>IFERROR(VLOOKUP($A:$A,CS!$A:$AK,10,FALSE),"")</f>
      </c>
      <c r="H506" s="79">
        <f>IFERROR(VLOOKUP($A:$A,CS!$A:$AK,14,FALSE),"")</f>
      </c>
      <c r="I506" s="79">
        <f>IFERROR(VLOOKUP($A:$A,CS!$A:$AK,15,FALSE),"")</f>
      </c>
      <c r="J506" s="79">
        <f>IFERROR(VLOOKUP($A:$A,CS!$A:$AK,18,FALSE),"")</f>
      </c>
      <c r="K506" s="79">
        <f>IFERROR(VLOOKUP($A:$A,CS!$A:$AK,19,FALSE),"")</f>
      </c>
      <c r="L506" s="79">
        <f>IFERROR(VLOOKUP($A:$A,CS!$A:$AK,20,FALSE),"")</f>
      </c>
      <c r="M506" s="79">
        <f>IFERROR(VLOOKUP($A:$A,CS!$A:$AK,22,FALSE),"")</f>
      </c>
      <c r="N506" s="79">
        <f>IFERROR(VLOOKUP($A:$A,CS!$A:$AK,19,FALSE),"")</f>
      </c>
      <c r="O506" s="79">
        <f>IFERROR(VLOOKUP($A:$A,CS!$A:$AK,23,FALSE),"")</f>
      </c>
      <c r="P506" s="79">
        <f>IFERROR(VLOOKUP($A:$A,CS!$A:$AK,24,FALSE),"")</f>
      </c>
      <c r="Q506" s="79">
        <f>IFERROR(VLOOKUP($A:$A,CS!$A:$AK,25,FALSE),"")</f>
      </c>
      <c r="R506" s="79">
        <f>IFERROR(VLOOKUP($A:$A,CS!$A:$AK,26,FALSE),"")</f>
      </c>
      <c r="S506" s="79">
        <f>IFERROR(VLOOKUP($A:$A,CS!$A:$AK,29,FALSE),"")</f>
      </c>
      <c r="T506" s="79">
        <f>IFERROR(VLOOKUP($A:$A,CS!$A:$AK,33,FALSE),"")</f>
      </c>
      <c r="U506" s="79">
        <f>IFERROR(VLOOKUP($A:$A,CS!$A:$AK,34,FALSE),"")</f>
      </c>
      <c r="V506" s="79">
        <f>IFERROR(VLOOKUP($A:$A,CS!$A:$AK,35,FALSE),"")</f>
      </c>
      <c r="W506" s="79">
        <f>IFERROR(VLOOKUP($A:$A,CS!$A:$AK,36,FALSE),"")</f>
      </c>
    </row>
    <row r="507" ht="16.5" customHeight="1" spans="1:23" x14ac:dyDescent="0.25">
      <c r="A507" s="93"/>
      <c r="B507" s="79">
        <f>IFERROR(VLOOKUP($A:$A,CS!$A:$AK,3,FALSE),"")</f>
      </c>
      <c r="C507" s="79">
        <f>IFERROR(VLOOKUP($A:$A,CS!$A:$AK,4,FALSE),"")</f>
      </c>
      <c r="D507" s="79">
        <f>IFERROR(VLOOKUP($A:$A,CS!$A:$AK,5,FALSE),"")</f>
      </c>
      <c r="E507" s="79">
        <f>IFERROR(VLOOKUP($A:$A,CS!$A:$AK,7,FALSE),"")</f>
      </c>
      <c r="F507" s="79">
        <f>IFERROR(VLOOKUP($A:$A,CS!$A:$AK,8,FALSE),"")</f>
      </c>
      <c r="G507" s="79">
        <f>IFERROR(VLOOKUP($A:$A,CS!$A:$AK,10,FALSE),"")</f>
      </c>
      <c r="H507" s="79">
        <f>IFERROR(VLOOKUP($A:$A,CS!$A:$AK,14,FALSE),"")</f>
      </c>
      <c r="I507" s="79">
        <f>IFERROR(VLOOKUP($A:$A,CS!$A:$AK,15,FALSE),"")</f>
      </c>
      <c r="J507" s="79">
        <f>IFERROR(VLOOKUP($A:$A,CS!$A:$AK,18,FALSE),"")</f>
      </c>
      <c r="K507" s="79">
        <f>IFERROR(VLOOKUP($A:$A,CS!$A:$AK,19,FALSE),"")</f>
      </c>
      <c r="L507" s="79">
        <f>IFERROR(VLOOKUP($A:$A,CS!$A:$AK,20,FALSE),"")</f>
      </c>
      <c r="M507" s="79">
        <f>IFERROR(VLOOKUP($A:$A,CS!$A:$AK,22,FALSE),"")</f>
      </c>
      <c r="N507" s="79">
        <f>IFERROR(VLOOKUP($A:$A,CS!$A:$AK,19,FALSE),"")</f>
      </c>
      <c r="O507" s="79">
        <f>IFERROR(VLOOKUP($A:$A,CS!$A:$AK,23,FALSE),"")</f>
      </c>
      <c r="P507" s="79">
        <f>IFERROR(VLOOKUP($A:$A,CS!$A:$AK,24,FALSE),"")</f>
      </c>
      <c r="Q507" s="79">
        <f>IFERROR(VLOOKUP($A:$A,CS!$A:$AK,25,FALSE),"")</f>
      </c>
      <c r="R507" s="79">
        <f>IFERROR(VLOOKUP($A:$A,CS!$A:$AK,26,FALSE),"")</f>
      </c>
      <c r="S507" s="79">
        <f>IFERROR(VLOOKUP($A:$A,CS!$A:$AK,29,FALSE),"")</f>
      </c>
      <c r="T507" s="79">
        <f>IFERROR(VLOOKUP($A:$A,CS!$A:$AK,33,FALSE),"")</f>
      </c>
      <c r="U507" s="79">
        <f>IFERROR(VLOOKUP($A:$A,CS!$A:$AK,34,FALSE),"")</f>
      </c>
      <c r="V507" s="79">
        <f>IFERROR(VLOOKUP($A:$A,CS!$A:$AK,35,FALSE),"")</f>
      </c>
      <c r="W507" s="79">
        <f>IFERROR(VLOOKUP($A:$A,CS!$A:$AK,36,FALSE),"")</f>
      </c>
    </row>
    <row r="508" ht="16.5" customHeight="1" spans="1:23" x14ac:dyDescent="0.25">
      <c r="A508" s="93"/>
      <c r="B508" s="79">
        <f>IFERROR(VLOOKUP($A:$A,CS!$A:$AK,3,FALSE),"")</f>
      </c>
      <c r="C508" s="79">
        <f>IFERROR(VLOOKUP($A:$A,CS!$A:$AK,4,FALSE),"")</f>
      </c>
      <c r="D508" s="79">
        <f>IFERROR(VLOOKUP($A:$A,CS!$A:$AK,5,FALSE),"")</f>
      </c>
      <c r="E508" s="79">
        <f>IFERROR(VLOOKUP($A:$A,CS!$A:$AK,7,FALSE),"")</f>
      </c>
      <c r="F508" s="79">
        <f>IFERROR(VLOOKUP($A:$A,CS!$A:$AK,8,FALSE),"")</f>
      </c>
      <c r="G508" s="79">
        <f>IFERROR(VLOOKUP($A:$A,CS!$A:$AK,10,FALSE),"")</f>
      </c>
      <c r="H508" s="79">
        <f>IFERROR(VLOOKUP($A:$A,CS!$A:$AK,14,FALSE),"")</f>
      </c>
      <c r="I508" s="79">
        <f>IFERROR(VLOOKUP($A:$A,CS!$A:$AK,15,FALSE),"")</f>
      </c>
      <c r="J508" s="79">
        <f>IFERROR(VLOOKUP($A:$A,CS!$A:$AK,18,FALSE),"")</f>
      </c>
      <c r="K508" s="79">
        <f>IFERROR(VLOOKUP($A:$A,CS!$A:$AK,19,FALSE),"")</f>
      </c>
      <c r="L508" s="79">
        <f>IFERROR(VLOOKUP($A:$A,CS!$A:$AK,20,FALSE),"")</f>
      </c>
      <c r="M508" s="79">
        <f>IFERROR(VLOOKUP($A:$A,CS!$A:$AK,22,FALSE),"")</f>
      </c>
      <c r="N508" s="79">
        <f>IFERROR(VLOOKUP($A:$A,CS!$A:$AK,19,FALSE),"")</f>
      </c>
      <c r="O508" s="79">
        <f>IFERROR(VLOOKUP($A:$A,CS!$A:$AK,23,FALSE),"")</f>
      </c>
      <c r="P508" s="79">
        <f>IFERROR(VLOOKUP($A:$A,CS!$A:$AK,24,FALSE),"")</f>
      </c>
      <c r="Q508" s="79">
        <f>IFERROR(VLOOKUP($A:$A,CS!$A:$AK,25,FALSE),"")</f>
      </c>
      <c r="R508" s="79">
        <f>IFERROR(VLOOKUP($A:$A,CS!$A:$AK,26,FALSE),"")</f>
      </c>
      <c r="S508" s="79">
        <f>IFERROR(VLOOKUP($A:$A,CS!$A:$AK,29,FALSE),"")</f>
      </c>
      <c r="T508" s="79">
        <f>IFERROR(VLOOKUP($A:$A,CS!$A:$AK,33,FALSE),"")</f>
      </c>
      <c r="U508" s="79">
        <f>IFERROR(VLOOKUP($A:$A,CS!$A:$AK,34,FALSE),"")</f>
      </c>
      <c r="V508" s="79">
        <f>IFERROR(VLOOKUP($A:$A,CS!$A:$AK,35,FALSE),"")</f>
      </c>
      <c r="W508" s="79">
        <f>IFERROR(VLOOKUP($A:$A,CS!$A:$AK,36,FALSE),"")</f>
      </c>
    </row>
    <row r="509" ht="16.5" customHeight="1" spans="1:23" x14ac:dyDescent="0.25">
      <c r="A509" s="93"/>
      <c r="B509" s="79">
        <f>IFERROR(VLOOKUP($A:$A,CS!$A:$AK,3,FALSE),"")</f>
      </c>
      <c r="C509" s="79">
        <f>IFERROR(VLOOKUP($A:$A,CS!$A:$AK,4,FALSE),"")</f>
      </c>
      <c r="D509" s="79">
        <f>IFERROR(VLOOKUP($A:$A,CS!$A:$AK,5,FALSE),"")</f>
      </c>
      <c r="E509" s="79">
        <f>IFERROR(VLOOKUP($A:$A,CS!$A:$AK,7,FALSE),"")</f>
      </c>
      <c r="F509" s="79">
        <f>IFERROR(VLOOKUP($A:$A,CS!$A:$AK,8,FALSE),"")</f>
      </c>
      <c r="G509" s="79">
        <f>IFERROR(VLOOKUP($A:$A,CS!$A:$AK,10,FALSE),"")</f>
      </c>
      <c r="H509" s="79">
        <f>IFERROR(VLOOKUP($A:$A,CS!$A:$AK,14,FALSE),"")</f>
      </c>
      <c r="I509" s="79">
        <f>IFERROR(VLOOKUP($A:$A,CS!$A:$AK,15,FALSE),"")</f>
      </c>
      <c r="J509" s="79">
        <f>IFERROR(VLOOKUP($A:$A,CS!$A:$AK,18,FALSE),"")</f>
      </c>
      <c r="K509" s="79">
        <f>IFERROR(VLOOKUP($A:$A,CS!$A:$AK,19,FALSE),"")</f>
      </c>
      <c r="L509" s="79">
        <f>IFERROR(VLOOKUP($A:$A,CS!$A:$AK,20,FALSE),"")</f>
      </c>
      <c r="M509" s="79">
        <f>IFERROR(VLOOKUP($A:$A,CS!$A:$AK,22,FALSE),"")</f>
      </c>
      <c r="N509" s="79">
        <f>IFERROR(VLOOKUP($A:$A,CS!$A:$AK,19,FALSE),"")</f>
      </c>
      <c r="O509" s="79">
        <f>IFERROR(VLOOKUP($A:$A,CS!$A:$AK,23,FALSE),"")</f>
      </c>
      <c r="P509" s="79">
        <f>IFERROR(VLOOKUP($A:$A,CS!$A:$AK,24,FALSE),"")</f>
      </c>
      <c r="Q509" s="79">
        <f>IFERROR(VLOOKUP($A:$A,CS!$A:$AK,25,FALSE),"")</f>
      </c>
      <c r="R509" s="79">
        <f>IFERROR(VLOOKUP($A:$A,CS!$A:$AK,26,FALSE),"")</f>
      </c>
      <c r="S509" s="79">
        <f>IFERROR(VLOOKUP($A:$A,CS!$A:$AK,29,FALSE),"")</f>
      </c>
      <c r="T509" s="79">
        <f>IFERROR(VLOOKUP($A:$A,CS!$A:$AK,33,FALSE),"")</f>
      </c>
      <c r="U509" s="79">
        <f>IFERROR(VLOOKUP($A:$A,CS!$A:$AK,34,FALSE),"")</f>
      </c>
      <c r="V509" s="79">
        <f>IFERROR(VLOOKUP($A:$A,CS!$A:$AK,35,FALSE),"")</f>
      </c>
      <c r="W509" s="79">
        <f>IFERROR(VLOOKUP($A:$A,CS!$A:$AK,36,FALSE),"")</f>
      </c>
    </row>
    <row r="510" ht="16.5" customHeight="1" spans="1:23" x14ac:dyDescent="0.25">
      <c r="A510" s="93"/>
      <c r="B510" s="79">
        <f>IFERROR(VLOOKUP($A:$A,CS!$A:$AK,3,FALSE),"")</f>
      </c>
      <c r="C510" s="79">
        <f>IFERROR(VLOOKUP($A:$A,CS!$A:$AK,4,FALSE),"")</f>
      </c>
      <c r="D510" s="79">
        <f>IFERROR(VLOOKUP($A:$A,CS!$A:$AK,5,FALSE),"")</f>
      </c>
      <c r="E510" s="79">
        <f>IFERROR(VLOOKUP($A:$A,CS!$A:$AK,7,FALSE),"")</f>
      </c>
      <c r="F510" s="79">
        <f>IFERROR(VLOOKUP($A:$A,CS!$A:$AK,8,FALSE),"")</f>
      </c>
      <c r="G510" s="79">
        <f>IFERROR(VLOOKUP($A:$A,CS!$A:$AK,10,FALSE),"")</f>
      </c>
      <c r="H510" s="79">
        <f>IFERROR(VLOOKUP($A:$A,CS!$A:$AK,14,FALSE),"")</f>
      </c>
      <c r="I510" s="79">
        <f>IFERROR(VLOOKUP($A:$A,CS!$A:$AK,15,FALSE),"")</f>
      </c>
      <c r="J510" s="79">
        <f>IFERROR(VLOOKUP($A:$A,CS!$A:$AK,18,FALSE),"")</f>
      </c>
      <c r="K510" s="79">
        <f>IFERROR(VLOOKUP($A:$A,CS!$A:$AK,19,FALSE),"")</f>
      </c>
      <c r="L510" s="79">
        <f>IFERROR(VLOOKUP($A:$A,CS!$A:$AK,20,FALSE),"")</f>
      </c>
      <c r="M510" s="79">
        <f>IFERROR(VLOOKUP($A:$A,CS!$A:$AK,22,FALSE),"")</f>
      </c>
      <c r="N510" s="79">
        <f>IFERROR(VLOOKUP($A:$A,CS!$A:$AK,19,FALSE),"")</f>
      </c>
      <c r="O510" s="79">
        <f>IFERROR(VLOOKUP($A:$A,CS!$A:$AK,23,FALSE),"")</f>
      </c>
      <c r="P510" s="79">
        <f>IFERROR(VLOOKUP($A:$A,CS!$A:$AK,24,FALSE),"")</f>
      </c>
      <c r="Q510" s="79">
        <f>IFERROR(VLOOKUP($A:$A,CS!$A:$AK,25,FALSE),"")</f>
      </c>
      <c r="R510" s="79">
        <f>IFERROR(VLOOKUP($A:$A,CS!$A:$AK,26,FALSE),"")</f>
      </c>
      <c r="S510" s="79">
        <f>IFERROR(VLOOKUP($A:$A,CS!$A:$AK,29,FALSE),"")</f>
      </c>
      <c r="T510" s="79">
        <f>IFERROR(VLOOKUP($A:$A,CS!$A:$AK,33,FALSE),"")</f>
      </c>
      <c r="U510" s="79">
        <f>IFERROR(VLOOKUP($A:$A,CS!$A:$AK,34,FALSE),"")</f>
      </c>
      <c r="V510" s="79">
        <f>IFERROR(VLOOKUP($A:$A,CS!$A:$AK,35,FALSE),"")</f>
      </c>
      <c r="W510" s="79">
        <f>IFERROR(VLOOKUP($A:$A,CS!$A:$AK,36,FALSE),"")</f>
      </c>
    </row>
    <row r="511" ht="16.5" customHeight="1" spans="1:23" x14ac:dyDescent="0.25">
      <c r="A511" s="93"/>
      <c r="B511" s="79">
        <f>IFERROR(VLOOKUP($A:$A,CS!$A:$AK,3,FALSE),"")</f>
      </c>
      <c r="C511" s="79">
        <f>IFERROR(VLOOKUP($A:$A,CS!$A:$AK,4,FALSE),"")</f>
      </c>
      <c r="D511" s="79">
        <f>IFERROR(VLOOKUP($A:$A,CS!$A:$AK,5,FALSE),"")</f>
      </c>
      <c r="E511" s="79">
        <f>IFERROR(VLOOKUP($A:$A,CS!$A:$AK,7,FALSE),"")</f>
      </c>
      <c r="F511" s="79">
        <f>IFERROR(VLOOKUP($A:$A,CS!$A:$AK,8,FALSE),"")</f>
      </c>
      <c r="G511" s="79">
        <f>IFERROR(VLOOKUP($A:$A,CS!$A:$AK,10,FALSE),"")</f>
      </c>
      <c r="H511" s="79">
        <f>IFERROR(VLOOKUP($A:$A,CS!$A:$AK,14,FALSE),"")</f>
      </c>
      <c r="I511" s="79">
        <f>IFERROR(VLOOKUP($A:$A,CS!$A:$AK,15,FALSE),"")</f>
      </c>
      <c r="J511" s="79">
        <f>IFERROR(VLOOKUP($A:$A,CS!$A:$AK,18,FALSE),"")</f>
      </c>
      <c r="K511" s="79">
        <f>IFERROR(VLOOKUP($A:$A,CS!$A:$AK,19,FALSE),"")</f>
      </c>
      <c r="L511" s="79">
        <f>IFERROR(VLOOKUP($A:$A,CS!$A:$AK,20,FALSE),"")</f>
      </c>
      <c r="M511" s="79">
        <f>IFERROR(VLOOKUP($A:$A,CS!$A:$AK,22,FALSE),"")</f>
      </c>
      <c r="N511" s="79">
        <f>IFERROR(VLOOKUP($A:$A,CS!$A:$AK,19,FALSE),"")</f>
      </c>
      <c r="O511" s="79">
        <f>IFERROR(VLOOKUP($A:$A,CS!$A:$AK,23,FALSE),"")</f>
      </c>
      <c r="P511" s="79">
        <f>IFERROR(VLOOKUP($A:$A,CS!$A:$AK,24,FALSE),"")</f>
      </c>
      <c r="Q511" s="79">
        <f>IFERROR(VLOOKUP($A:$A,CS!$A:$AK,25,FALSE),"")</f>
      </c>
      <c r="R511" s="79">
        <f>IFERROR(VLOOKUP($A:$A,CS!$A:$AK,26,FALSE),"")</f>
      </c>
      <c r="S511" s="79">
        <f>IFERROR(VLOOKUP($A:$A,CS!$A:$AK,29,FALSE),"")</f>
      </c>
      <c r="T511" s="79">
        <f>IFERROR(VLOOKUP($A:$A,CS!$A:$AK,33,FALSE),"")</f>
      </c>
      <c r="U511" s="79">
        <f>IFERROR(VLOOKUP($A:$A,CS!$A:$AK,34,FALSE),"")</f>
      </c>
      <c r="V511" s="79">
        <f>IFERROR(VLOOKUP($A:$A,CS!$A:$AK,35,FALSE),"")</f>
      </c>
      <c r="W511" s="79">
        <f>IFERROR(VLOOKUP($A:$A,CS!$A:$AK,36,FALSE),"")</f>
      </c>
    </row>
    <row r="512" ht="16.5" customHeight="1" spans="1:23" x14ac:dyDescent="0.25">
      <c r="A512" s="93"/>
      <c r="B512" s="79">
        <f>IFERROR(VLOOKUP($A:$A,CS!$A:$AK,3,FALSE),"")</f>
      </c>
      <c r="C512" s="79">
        <f>IFERROR(VLOOKUP($A:$A,CS!$A:$AK,4,FALSE),"")</f>
      </c>
      <c r="D512" s="79">
        <f>IFERROR(VLOOKUP($A:$A,CS!$A:$AK,5,FALSE),"")</f>
      </c>
      <c r="E512" s="79">
        <f>IFERROR(VLOOKUP($A:$A,CS!$A:$AK,7,FALSE),"")</f>
      </c>
      <c r="F512" s="79">
        <f>IFERROR(VLOOKUP($A:$A,CS!$A:$AK,8,FALSE),"")</f>
      </c>
      <c r="G512" s="79">
        <f>IFERROR(VLOOKUP($A:$A,CS!$A:$AK,10,FALSE),"")</f>
      </c>
      <c r="H512" s="79">
        <f>IFERROR(VLOOKUP($A:$A,CS!$A:$AK,14,FALSE),"")</f>
      </c>
      <c r="I512" s="79">
        <f>IFERROR(VLOOKUP($A:$A,CS!$A:$AK,15,FALSE),"")</f>
      </c>
      <c r="J512" s="79">
        <f>IFERROR(VLOOKUP($A:$A,CS!$A:$AK,18,FALSE),"")</f>
      </c>
      <c r="K512" s="79">
        <f>IFERROR(VLOOKUP($A:$A,CS!$A:$AK,19,FALSE),"")</f>
      </c>
      <c r="L512" s="79">
        <f>IFERROR(VLOOKUP($A:$A,CS!$A:$AK,20,FALSE),"")</f>
      </c>
      <c r="M512" s="79">
        <f>IFERROR(VLOOKUP($A:$A,CS!$A:$AK,22,FALSE),"")</f>
      </c>
      <c r="N512" s="79">
        <f>IFERROR(VLOOKUP($A:$A,CS!$A:$AK,19,FALSE),"")</f>
      </c>
      <c r="O512" s="79">
        <f>IFERROR(VLOOKUP($A:$A,CS!$A:$AK,23,FALSE),"")</f>
      </c>
      <c r="P512" s="79">
        <f>IFERROR(VLOOKUP($A:$A,CS!$A:$AK,24,FALSE),"")</f>
      </c>
      <c r="Q512" s="79">
        <f>IFERROR(VLOOKUP($A:$A,CS!$A:$AK,25,FALSE),"")</f>
      </c>
      <c r="R512" s="79">
        <f>IFERROR(VLOOKUP($A:$A,CS!$A:$AK,26,FALSE),"")</f>
      </c>
      <c r="S512" s="79">
        <f>IFERROR(VLOOKUP($A:$A,CS!$A:$AK,29,FALSE),"")</f>
      </c>
      <c r="T512" s="79">
        <f>IFERROR(VLOOKUP($A:$A,CS!$A:$AK,33,FALSE),"")</f>
      </c>
      <c r="U512" s="79">
        <f>IFERROR(VLOOKUP($A:$A,CS!$A:$AK,34,FALSE),"")</f>
      </c>
      <c r="V512" s="79">
        <f>IFERROR(VLOOKUP($A:$A,CS!$A:$AK,35,FALSE),"")</f>
      </c>
      <c r="W512" s="79">
        <f>IFERROR(VLOOKUP($A:$A,CS!$A:$AK,36,FALSE),"")</f>
      </c>
    </row>
    <row r="513" ht="16.5" customHeight="1" spans="1:23" x14ac:dyDescent="0.25">
      <c r="A513" s="93"/>
      <c r="B513" s="79">
        <f>IFERROR(VLOOKUP($A:$A,CS!$A:$AK,3,FALSE),"")</f>
      </c>
      <c r="C513" s="79">
        <f>IFERROR(VLOOKUP($A:$A,CS!$A:$AK,4,FALSE),"")</f>
      </c>
      <c r="D513" s="79">
        <f>IFERROR(VLOOKUP($A:$A,CS!$A:$AK,5,FALSE),"")</f>
      </c>
      <c r="E513" s="79">
        <f>IFERROR(VLOOKUP($A:$A,CS!$A:$AK,7,FALSE),"")</f>
      </c>
      <c r="F513" s="79">
        <f>IFERROR(VLOOKUP($A:$A,CS!$A:$AK,8,FALSE),"")</f>
      </c>
      <c r="G513" s="79">
        <f>IFERROR(VLOOKUP($A:$A,CS!$A:$AK,10,FALSE),"")</f>
      </c>
      <c r="H513" s="79">
        <f>IFERROR(VLOOKUP($A:$A,CS!$A:$AK,14,FALSE),"")</f>
      </c>
      <c r="I513" s="79">
        <f>IFERROR(VLOOKUP($A:$A,CS!$A:$AK,15,FALSE),"")</f>
      </c>
      <c r="J513" s="79">
        <f>IFERROR(VLOOKUP($A:$A,CS!$A:$AK,18,FALSE),"")</f>
      </c>
      <c r="K513" s="79">
        <f>IFERROR(VLOOKUP($A:$A,CS!$A:$AK,19,FALSE),"")</f>
      </c>
      <c r="L513" s="79">
        <f>IFERROR(VLOOKUP($A:$A,CS!$A:$AK,20,FALSE),"")</f>
      </c>
      <c r="M513" s="79">
        <f>IFERROR(VLOOKUP($A:$A,CS!$A:$AK,22,FALSE),"")</f>
      </c>
      <c r="N513" s="79">
        <f>IFERROR(VLOOKUP($A:$A,CS!$A:$AK,19,FALSE),"")</f>
      </c>
      <c r="O513" s="79">
        <f>IFERROR(VLOOKUP($A:$A,CS!$A:$AK,23,FALSE),"")</f>
      </c>
      <c r="P513" s="79">
        <f>IFERROR(VLOOKUP($A:$A,CS!$A:$AK,24,FALSE),"")</f>
      </c>
      <c r="Q513" s="79">
        <f>IFERROR(VLOOKUP($A:$A,CS!$A:$AK,25,FALSE),"")</f>
      </c>
      <c r="R513" s="79">
        <f>IFERROR(VLOOKUP($A:$A,CS!$A:$AK,26,FALSE),"")</f>
      </c>
      <c r="S513" s="79">
        <f>IFERROR(VLOOKUP($A:$A,CS!$A:$AK,29,FALSE),"")</f>
      </c>
      <c r="T513" s="79">
        <f>IFERROR(VLOOKUP($A:$A,CS!$A:$AK,33,FALSE),"")</f>
      </c>
      <c r="U513" s="79">
        <f>IFERROR(VLOOKUP($A:$A,CS!$A:$AK,34,FALSE),"")</f>
      </c>
      <c r="V513" s="79">
        <f>IFERROR(VLOOKUP($A:$A,CS!$A:$AK,35,FALSE),"")</f>
      </c>
      <c r="W513" s="79">
        <f>IFERROR(VLOOKUP($A:$A,CS!$A:$AK,36,FALSE),"")</f>
      </c>
    </row>
    <row r="514" ht="16.5" customHeight="1" spans="1:23" x14ac:dyDescent="0.25">
      <c r="A514" s="93"/>
      <c r="B514" s="79">
        <f>IFERROR(VLOOKUP($A:$A,CS!$A:$AK,3,FALSE),"")</f>
      </c>
      <c r="C514" s="79">
        <f>IFERROR(VLOOKUP($A:$A,CS!$A:$AK,4,FALSE),"")</f>
      </c>
      <c r="D514" s="79">
        <f>IFERROR(VLOOKUP($A:$A,CS!$A:$AK,5,FALSE),"")</f>
      </c>
      <c r="E514" s="79">
        <f>IFERROR(VLOOKUP($A:$A,CS!$A:$AK,7,FALSE),"")</f>
      </c>
      <c r="F514" s="79">
        <f>IFERROR(VLOOKUP($A:$A,CS!$A:$AK,8,FALSE),"")</f>
      </c>
      <c r="G514" s="79">
        <f>IFERROR(VLOOKUP($A:$A,CS!$A:$AK,10,FALSE),"")</f>
      </c>
      <c r="H514" s="79">
        <f>IFERROR(VLOOKUP($A:$A,CS!$A:$AK,14,FALSE),"")</f>
      </c>
      <c r="I514" s="79">
        <f>IFERROR(VLOOKUP($A:$A,CS!$A:$AK,15,FALSE),"")</f>
      </c>
      <c r="J514" s="79">
        <f>IFERROR(VLOOKUP($A:$A,CS!$A:$AK,18,FALSE),"")</f>
      </c>
      <c r="K514" s="79">
        <f>IFERROR(VLOOKUP($A:$A,CS!$A:$AK,19,FALSE),"")</f>
      </c>
      <c r="L514" s="79">
        <f>IFERROR(VLOOKUP($A:$A,CS!$A:$AK,20,FALSE),"")</f>
      </c>
      <c r="M514" s="79">
        <f>IFERROR(VLOOKUP($A:$A,CS!$A:$AK,22,FALSE),"")</f>
      </c>
      <c r="N514" s="79">
        <f>IFERROR(VLOOKUP($A:$A,CS!$A:$AK,19,FALSE),"")</f>
      </c>
      <c r="O514" s="79">
        <f>IFERROR(VLOOKUP($A:$A,CS!$A:$AK,23,FALSE),"")</f>
      </c>
      <c r="P514" s="79">
        <f>IFERROR(VLOOKUP($A:$A,CS!$A:$AK,24,FALSE),"")</f>
      </c>
      <c r="Q514" s="79">
        <f>IFERROR(VLOOKUP($A:$A,CS!$A:$AK,25,FALSE),"")</f>
      </c>
      <c r="R514" s="79">
        <f>IFERROR(VLOOKUP($A:$A,CS!$A:$AK,26,FALSE),"")</f>
      </c>
      <c r="S514" s="79">
        <f>IFERROR(VLOOKUP($A:$A,CS!$A:$AK,29,FALSE),"")</f>
      </c>
      <c r="T514" s="79">
        <f>IFERROR(VLOOKUP($A:$A,CS!$A:$AK,33,FALSE),"")</f>
      </c>
      <c r="U514" s="79">
        <f>IFERROR(VLOOKUP($A:$A,CS!$A:$AK,34,FALSE),"")</f>
      </c>
      <c r="V514" s="79">
        <f>IFERROR(VLOOKUP($A:$A,CS!$A:$AK,35,FALSE),"")</f>
      </c>
      <c r="W514" s="79">
        <f>IFERROR(VLOOKUP($A:$A,CS!$A:$AK,36,FALSE),"")</f>
      </c>
    </row>
    <row r="515" ht="16.5" customHeight="1" spans="1:23" x14ac:dyDescent="0.25">
      <c r="A515" s="93"/>
      <c r="B515" s="79">
        <f>IFERROR(VLOOKUP($A:$A,CS!$A:$AK,3,FALSE),"")</f>
      </c>
      <c r="C515" s="79">
        <f>IFERROR(VLOOKUP($A:$A,CS!$A:$AK,4,FALSE),"")</f>
      </c>
      <c r="D515" s="79">
        <f>IFERROR(VLOOKUP($A:$A,CS!$A:$AK,5,FALSE),"")</f>
      </c>
      <c r="E515" s="79">
        <f>IFERROR(VLOOKUP($A:$A,CS!$A:$AK,7,FALSE),"")</f>
      </c>
      <c r="F515" s="79">
        <f>IFERROR(VLOOKUP($A:$A,CS!$A:$AK,8,FALSE),"")</f>
      </c>
      <c r="G515" s="79">
        <f>IFERROR(VLOOKUP($A:$A,CS!$A:$AK,10,FALSE),"")</f>
      </c>
      <c r="H515" s="79">
        <f>IFERROR(VLOOKUP($A:$A,CS!$A:$AK,14,FALSE),"")</f>
      </c>
      <c r="I515" s="79">
        <f>IFERROR(VLOOKUP($A:$A,CS!$A:$AK,15,FALSE),"")</f>
      </c>
      <c r="J515" s="79">
        <f>IFERROR(VLOOKUP($A:$A,CS!$A:$AK,18,FALSE),"")</f>
      </c>
      <c r="K515" s="79">
        <f>IFERROR(VLOOKUP($A:$A,CS!$A:$AK,19,FALSE),"")</f>
      </c>
      <c r="L515" s="79">
        <f>IFERROR(VLOOKUP($A:$A,CS!$A:$AK,20,FALSE),"")</f>
      </c>
      <c r="M515" s="79">
        <f>IFERROR(VLOOKUP($A:$A,CS!$A:$AK,22,FALSE),"")</f>
      </c>
      <c r="N515" s="79">
        <f>IFERROR(VLOOKUP($A:$A,CS!$A:$AK,19,FALSE),"")</f>
      </c>
      <c r="O515" s="79">
        <f>IFERROR(VLOOKUP($A:$A,CS!$A:$AK,23,FALSE),"")</f>
      </c>
      <c r="P515" s="79">
        <f>IFERROR(VLOOKUP($A:$A,CS!$A:$AK,24,FALSE),"")</f>
      </c>
      <c r="Q515" s="79">
        <f>IFERROR(VLOOKUP($A:$A,CS!$A:$AK,25,FALSE),"")</f>
      </c>
      <c r="R515" s="79">
        <f>IFERROR(VLOOKUP($A:$A,CS!$A:$AK,26,FALSE),"")</f>
      </c>
      <c r="S515" s="79">
        <f>IFERROR(VLOOKUP($A:$A,CS!$A:$AK,29,FALSE),"")</f>
      </c>
      <c r="T515" s="79">
        <f>IFERROR(VLOOKUP($A:$A,CS!$A:$AK,33,FALSE),"")</f>
      </c>
      <c r="U515" s="79">
        <f>IFERROR(VLOOKUP($A:$A,CS!$A:$AK,34,FALSE),"")</f>
      </c>
      <c r="V515" s="79">
        <f>IFERROR(VLOOKUP($A:$A,CS!$A:$AK,35,FALSE),"")</f>
      </c>
      <c r="W515" s="79">
        <f>IFERROR(VLOOKUP($A:$A,CS!$A:$AK,36,FALSE),"")</f>
      </c>
    </row>
    <row r="516" ht="16.5" customHeight="1" spans="1:23" x14ac:dyDescent="0.25">
      <c r="A516" s="93"/>
      <c r="B516" s="79">
        <f>IFERROR(VLOOKUP($A:$A,CS!$A:$AK,3,FALSE),"")</f>
      </c>
      <c r="C516" s="79">
        <f>IFERROR(VLOOKUP($A:$A,CS!$A:$AK,4,FALSE),"")</f>
      </c>
      <c r="D516" s="79">
        <f>IFERROR(VLOOKUP($A:$A,CS!$A:$AK,5,FALSE),"")</f>
      </c>
      <c r="E516" s="79">
        <f>IFERROR(VLOOKUP($A:$A,CS!$A:$AK,7,FALSE),"")</f>
      </c>
      <c r="F516" s="79">
        <f>IFERROR(VLOOKUP($A:$A,CS!$A:$AK,8,FALSE),"")</f>
      </c>
      <c r="G516" s="79">
        <f>IFERROR(VLOOKUP($A:$A,CS!$A:$AK,10,FALSE),"")</f>
      </c>
      <c r="H516" s="79">
        <f>IFERROR(VLOOKUP($A:$A,CS!$A:$AK,14,FALSE),"")</f>
      </c>
      <c r="I516" s="79">
        <f>IFERROR(VLOOKUP($A:$A,CS!$A:$AK,15,FALSE),"")</f>
      </c>
      <c r="J516" s="79">
        <f>IFERROR(VLOOKUP($A:$A,CS!$A:$AK,18,FALSE),"")</f>
      </c>
      <c r="K516" s="79">
        <f>IFERROR(VLOOKUP($A:$A,CS!$A:$AK,19,FALSE),"")</f>
      </c>
      <c r="L516" s="79">
        <f>IFERROR(VLOOKUP($A:$A,CS!$A:$AK,20,FALSE),"")</f>
      </c>
      <c r="M516" s="79">
        <f>IFERROR(VLOOKUP($A:$A,CS!$A:$AK,22,FALSE),"")</f>
      </c>
      <c r="N516" s="79">
        <f>IFERROR(VLOOKUP($A:$A,CS!$A:$AK,19,FALSE),"")</f>
      </c>
      <c r="O516" s="79">
        <f>IFERROR(VLOOKUP($A:$A,CS!$A:$AK,23,FALSE),"")</f>
      </c>
      <c r="P516" s="79">
        <f>IFERROR(VLOOKUP($A:$A,CS!$A:$AK,24,FALSE),"")</f>
      </c>
      <c r="Q516" s="79">
        <f>IFERROR(VLOOKUP($A:$A,CS!$A:$AK,25,FALSE),"")</f>
      </c>
      <c r="R516" s="79">
        <f>IFERROR(VLOOKUP($A:$A,CS!$A:$AK,26,FALSE),"")</f>
      </c>
      <c r="S516" s="79">
        <f>IFERROR(VLOOKUP($A:$A,CS!$A:$AK,29,FALSE),"")</f>
      </c>
      <c r="T516" s="79">
        <f>IFERROR(VLOOKUP($A:$A,CS!$A:$AK,33,FALSE),"")</f>
      </c>
      <c r="U516" s="79">
        <f>IFERROR(VLOOKUP($A:$A,CS!$A:$AK,34,FALSE),"")</f>
      </c>
      <c r="V516" s="79">
        <f>IFERROR(VLOOKUP($A:$A,CS!$A:$AK,35,FALSE),"")</f>
      </c>
      <c r="W516" s="79">
        <f>IFERROR(VLOOKUP($A:$A,CS!$A:$AK,36,FALSE),"")</f>
      </c>
    </row>
    <row r="517" ht="16.5" customHeight="1" spans="1:23" x14ac:dyDescent="0.25">
      <c r="A517" s="93"/>
      <c r="B517" s="79">
        <f>IFERROR(VLOOKUP($A:$A,CS!$A:$AK,3,FALSE),"")</f>
      </c>
      <c r="C517" s="79">
        <f>IFERROR(VLOOKUP($A:$A,CS!$A:$AK,4,FALSE),"")</f>
      </c>
      <c r="D517" s="79">
        <f>IFERROR(VLOOKUP($A:$A,CS!$A:$AK,5,FALSE),"")</f>
      </c>
      <c r="E517" s="79">
        <f>IFERROR(VLOOKUP($A:$A,CS!$A:$AK,7,FALSE),"")</f>
      </c>
      <c r="F517" s="79">
        <f>IFERROR(VLOOKUP($A:$A,CS!$A:$AK,8,FALSE),"")</f>
      </c>
      <c r="G517" s="79">
        <f>IFERROR(VLOOKUP($A:$A,CS!$A:$AK,10,FALSE),"")</f>
      </c>
      <c r="H517" s="79">
        <f>IFERROR(VLOOKUP($A:$A,CS!$A:$AK,14,FALSE),"")</f>
      </c>
      <c r="I517" s="79">
        <f>IFERROR(VLOOKUP($A:$A,CS!$A:$AK,15,FALSE),"")</f>
      </c>
      <c r="J517" s="79">
        <f>IFERROR(VLOOKUP($A:$A,CS!$A:$AK,18,FALSE),"")</f>
      </c>
      <c r="K517" s="79">
        <f>IFERROR(VLOOKUP($A:$A,CS!$A:$AK,19,FALSE),"")</f>
      </c>
      <c r="L517" s="79">
        <f>IFERROR(VLOOKUP($A:$A,CS!$A:$AK,20,FALSE),"")</f>
      </c>
      <c r="M517" s="79">
        <f>IFERROR(VLOOKUP($A:$A,CS!$A:$AK,22,FALSE),"")</f>
      </c>
      <c r="N517" s="79">
        <f>IFERROR(VLOOKUP($A:$A,CS!$A:$AK,19,FALSE),"")</f>
      </c>
      <c r="O517" s="79">
        <f>IFERROR(VLOOKUP($A:$A,CS!$A:$AK,23,FALSE),"")</f>
      </c>
      <c r="P517" s="79">
        <f>IFERROR(VLOOKUP($A:$A,CS!$A:$AK,24,FALSE),"")</f>
      </c>
      <c r="Q517" s="79">
        <f>IFERROR(VLOOKUP($A:$A,CS!$A:$AK,25,FALSE),"")</f>
      </c>
      <c r="R517" s="79">
        <f>IFERROR(VLOOKUP($A:$A,CS!$A:$AK,26,FALSE),"")</f>
      </c>
      <c r="S517" s="79">
        <f>IFERROR(VLOOKUP($A:$A,CS!$A:$AK,29,FALSE),"")</f>
      </c>
      <c r="T517" s="79">
        <f>IFERROR(VLOOKUP($A:$A,CS!$A:$AK,33,FALSE),"")</f>
      </c>
      <c r="U517" s="79">
        <f>IFERROR(VLOOKUP($A:$A,CS!$A:$AK,34,FALSE),"")</f>
      </c>
      <c r="V517" s="79">
        <f>IFERROR(VLOOKUP($A:$A,CS!$A:$AK,35,FALSE),"")</f>
      </c>
      <c r="W517" s="79">
        <f>IFERROR(VLOOKUP($A:$A,CS!$A:$AK,36,FALSE),"")</f>
      </c>
    </row>
    <row r="518" ht="16.5" customHeight="1" spans="1:23" x14ac:dyDescent="0.25">
      <c r="A518" s="93"/>
      <c r="B518" s="79">
        <f>IFERROR(VLOOKUP($A:$A,CS!$A:$AK,3,FALSE),"")</f>
      </c>
      <c r="C518" s="79">
        <f>IFERROR(VLOOKUP($A:$A,CS!$A:$AK,4,FALSE),"")</f>
      </c>
      <c r="D518" s="79">
        <f>IFERROR(VLOOKUP($A:$A,CS!$A:$AK,5,FALSE),"")</f>
      </c>
      <c r="E518" s="79">
        <f>IFERROR(VLOOKUP($A:$A,CS!$A:$AK,7,FALSE),"")</f>
      </c>
      <c r="F518" s="79">
        <f>IFERROR(VLOOKUP($A:$A,CS!$A:$AK,8,FALSE),"")</f>
      </c>
      <c r="G518" s="79">
        <f>IFERROR(VLOOKUP($A:$A,CS!$A:$AK,10,FALSE),"")</f>
      </c>
      <c r="H518" s="79">
        <f>IFERROR(VLOOKUP($A:$A,CS!$A:$AK,14,FALSE),"")</f>
      </c>
      <c r="I518" s="79">
        <f>IFERROR(VLOOKUP($A:$A,CS!$A:$AK,15,FALSE),"")</f>
      </c>
      <c r="J518" s="79">
        <f>IFERROR(VLOOKUP($A:$A,CS!$A:$AK,18,FALSE),"")</f>
      </c>
      <c r="K518" s="79">
        <f>IFERROR(VLOOKUP($A:$A,CS!$A:$AK,19,FALSE),"")</f>
      </c>
      <c r="L518" s="79">
        <f>IFERROR(VLOOKUP($A:$A,CS!$A:$AK,20,FALSE),"")</f>
      </c>
      <c r="M518" s="79">
        <f>IFERROR(VLOOKUP($A:$A,CS!$A:$AK,22,FALSE),"")</f>
      </c>
      <c r="N518" s="79">
        <f>IFERROR(VLOOKUP($A:$A,CS!$A:$AK,19,FALSE),"")</f>
      </c>
      <c r="O518" s="79">
        <f>IFERROR(VLOOKUP($A:$A,CS!$A:$AK,23,FALSE),"")</f>
      </c>
      <c r="P518" s="79">
        <f>IFERROR(VLOOKUP($A:$A,CS!$A:$AK,24,FALSE),"")</f>
      </c>
      <c r="Q518" s="79">
        <f>IFERROR(VLOOKUP($A:$A,CS!$A:$AK,25,FALSE),"")</f>
      </c>
      <c r="R518" s="79">
        <f>IFERROR(VLOOKUP($A:$A,CS!$A:$AK,26,FALSE),"")</f>
      </c>
      <c r="S518" s="79">
        <f>IFERROR(VLOOKUP($A:$A,CS!$A:$AK,29,FALSE),"")</f>
      </c>
      <c r="T518" s="79">
        <f>IFERROR(VLOOKUP($A:$A,CS!$A:$AK,33,FALSE),"")</f>
      </c>
      <c r="U518" s="79">
        <f>IFERROR(VLOOKUP($A:$A,CS!$A:$AK,34,FALSE),"")</f>
      </c>
      <c r="V518" s="79">
        <f>IFERROR(VLOOKUP($A:$A,CS!$A:$AK,35,FALSE),"")</f>
      </c>
      <c r="W518" s="79">
        <f>IFERROR(VLOOKUP($A:$A,CS!$A:$AK,36,FALSE),"")</f>
      </c>
    </row>
    <row r="519" ht="16.5" customHeight="1" spans="1:23" x14ac:dyDescent="0.25">
      <c r="A519" s="93"/>
      <c r="B519" s="79">
        <f>IFERROR(VLOOKUP($A:$A,CS!$A:$AK,3,FALSE),"")</f>
      </c>
      <c r="C519" s="79">
        <f>IFERROR(VLOOKUP($A:$A,CS!$A:$AK,4,FALSE),"")</f>
      </c>
      <c r="D519" s="79">
        <f>IFERROR(VLOOKUP($A:$A,CS!$A:$AK,5,FALSE),"")</f>
      </c>
      <c r="E519" s="79">
        <f>IFERROR(VLOOKUP($A:$A,CS!$A:$AK,7,FALSE),"")</f>
      </c>
      <c r="F519" s="79">
        <f>IFERROR(VLOOKUP($A:$A,CS!$A:$AK,8,FALSE),"")</f>
      </c>
      <c r="G519" s="79">
        <f>IFERROR(VLOOKUP($A:$A,CS!$A:$AK,10,FALSE),"")</f>
      </c>
      <c r="H519" s="79">
        <f>IFERROR(VLOOKUP($A:$A,CS!$A:$AK,14,FALSE),"")</f>
      </c>
      <c r="I519" s="79">
        <f>IFERROR(VLOOKUP($A:$A,CS!$A:$AK,15,FALSE),"")</f>
      </c>
      <c r="J519" s="79">
        <f>IFERROR(VLOOKUP($A:$A,CS!$A:$AK,18,FALSE),"")</f>
      </c>
      <c r="K519" s="79">
        <f>IFERROR(VLOOKUP($A:$A,CS!$A:$AK,19,FALSE),"")</f>
      </c>
      <c r="L519" s="79">
        <f>IFERROR(VLOOKUP($A:$A,CS!$A:$AK,20,FALSE),"")</f>
      </c>
      <c r="M519" s="79">
        <f>IFERROR(VLOOKUP($A:$A,CS!$A:$AK,22,FALSE),"")</f>
      </c>
      <c r="N519" s="79">
        <f>IFERROR(VLOOKUP($A:$A,CS!$A:$AK,19,FALSE),"")</f>
      </c>
      <c r="O519" s="79">
        <f>IFERROR(VLOOKUP($A:$A,CS!$A:$AK,23,FALSE),"")</f>
      </c>
      <c r="P519" s="79">
        <f>IFERROR(VLOOKUP($A:$A,CS!$A:$AK,24,FALSE),"")</f>
      </c>
      <c r="Q519" s="79">
        <f>IFERROR(VLOOKUP($A:$A,CS!$A:$AK,25,FALSE),"")</f>
      </c>
      <c r="R519" s="79">
        <f>IFERROR(VLOOKUP($A:$A,CS!$A:$AK,26,FALSE),"")</f>
      </c>
      <c r="S519" s="79">
        <f>IFERROR(VLOOKUP($A:$A,CS!$A:$AK,29,FALSE),"")</f>
      </c>
      <c r="T519" s="79">
        <f>IFERROR(VLOOKUP($A:$A,CS!$A:$AK,33,FALSE),"")</f>
      </c>
      <c r="U519" s="79">
        <f>IFERROR(VLOOKUP($A:$A,CS!$A:$AK,34,FALSE),"")</f>
      </c>
      <c r="V519" s="79">
        <f>IFERROR(VLOOKUP($A:$A,CS!$A:$AK,35,FALSE),"")</f>
      </c>
      <c r="W519" s="79">
        <f>IFERROR(VLOOKUP($A:$A,CS!$A:$AK,36,FALSE),"")</f>
      </c>
    </row>
    <row r="520" ht="16.5" customHeight="1" spans="1:23" x14ac:dyDescent="0.25">
      <c r="A520" s="93"/>
      <c r="B520" s="79">
        <f>IFERROR(VLOOKUP($A:$A,CS!$A:$AK,3,FALSE),"")</f>
      </c>
      <c r="C520" s="79">
        <f>IFERROR(VLOOKUP($A:$A,CS!$A:$AK,4,FALSE),"")</f>
      </c>
      <c r="D520" s="79">
        <f>IFERROR(VLOOKUP($A:$A,CS!$A:$AK,5,FALSE),"")</f>
      </c>
      <c r="E520" s="79">
        <f>IFERROR(VLOOKUP($A:$A,CS!$A:$AK,7,FALSE),"")</f>
      </c>
      <c r="F520" s="79">
        <f>IFERROR(VLOOKUP($A:$A,CS!$A:$AK,8,FALSE),"")</f>
      </c>
      <c r="G520" s="79">
        <f>IFERROR(VLOOKUP($A:$A,CS!$A:$AK,10,FALSE),"")</f>
      </c>
      <c r="H520" s="79">
        <f>IFERROR(VLOOKUP($A:$A,CS!$A:$AK,14,FALSE),"")</f>
      </c>
      <c r="I520" s="79">
        <f>IFERROR(VLOOKUP($A:$A,CS!$A:$AK,15,FALSE),"")</f>
      </c>
      <c r="J520" s="79">
        <f>IFERROR(VLOOKUP($A:$A,CS!$A:$AK,18,FALSE),"")</f>
      </c>
      <c r="K520" s="79">
        <f>IFERROR(VLOOKUP($A:$A,CS!$A:$AK,19,FALSE),"")</f>
      </c>
      <c r="L520" s="79">
        <f>IFERROR(VLOOKUP($A:$A,CS!$A:$AK,20,FALSE),"")</f>
      </c>
      <c r="M520" s="79">
        <f>IFERROR(VLOOKUP($A:$A,CS!$A:$AK,22,FALSE),"")</f>
      </c>
      <c r="N520" s="79">
        <f>IFERROR(VLOOKUP($A:$A,CS!$A:$AK,19,FALSE),"")</f>
      </c>
      <c r="O520" s="79">
        <f>IFERROR(VLOOKUP($A:$A,CS!$A:$AK,23,FALSE),"")</f>
      </c>
      <c r="P520" s="79">
        <f>IFERROR(VLOOKUP($A:$A,CS!$A:$AK,24,FALSE),"")</f>
      </c>
      <c r="Q520" s="79">
        <f>IFERROR(VLOOKUP($A:$A,CS!$A:$AK,25,FALSE),"")</f>
      </c>
      <c r="R520" s="79">
        <f>IFERROR(VLOOKUP($A:$A,CS!$A:$AK,26,FALSE),"")</f>
      </c>
      <c r="S520" s="79">
        <f>IFERROR(VLOOKUP($A:$A,CS!$A:$AK,29,FALSE),"")</f>
      </c>
      <c r="T520" s="79">
        <f>IFERROR(VLOOKUP($A:$A,CS!$A:$AK,33,FALSE),"")</f>
      </c>
      <c r="U520" s="79">
        <f>IFERROR(VLOOKUP($A:$A,CS!$A:$AK,34,FALSE),"")</f>
      </c>
      <c r="V520" s="79">
        <f>IFERROR(VLOOKUP($A:$A,CS!$A:$AK,35,FALSE),"")</f>
      </c>
      <c r="W520" s="79">
        <f>IFERROR(VLOOKUP($A:$A,CS!$A:$AK,36,FALSE),"")</f>
      </c>
    </row>
    <row r="521" ht="16.5" customHeight="1" spans="1:23" x14ac:dyDescent="0.25">
      <c r="A521" s="93"/>
      <c r="B521" s="79">
        <f>IFERROR(VLOOKUP($A:$A,CS!$A:$AK,3,FALSE),"")</f>
      </c>
      <c r="C521" s="79">
        <f>IFERROR(VLOOKUP($A:$A,CS!$A:$AK,4,FALSE),"")</f>
      </c>
      <c r="D521" s="79">
        <f>IFERROR(VLOOKUP($A:$A,CS!$A:$AK,5,FALSE),"")</f>
      </c>
      <c r="E521" s="79">
        <f>IFERROR(VLOOKUP($A:$A,CS!$A:$AK,7,FALSE),"")</f>
      </c>
      <c r="F521" s="79">
        <f>IFERROR(VLOOKUP($A:$A,CS!$A:$AK,8,FALSE),"")</f>
      </c>
      <c r="G521" s="79">
        <f>IFERROR(VLOOKUP($A:$A,CS!$A:$AK,10,FALSE),"")</f>
      </c>
      <c r="H521" s="79">
        <f>IFERROR(VLOOKUP($A:$A,CS!$A:$AK,14,FALSE),"")</f>
      </c>
      <c r="I521" s="79">
        <f>IFERROR(VLOOKUP($A:$A,CS!$A:$AK,15,FALSE),"")</f>
      </c>
      <c r="J521" s="79">
        <f>IFERROR(VLOOKUP($A:$A,CS!$A:$AK,18,FALSE),"")</f>
      </c>
      <c r="K521" s="79">
        <f>IFERROR(VLOOKUP($A:$A,CS!$A:$AK,19,FALSE),"")</f>
      </c>
      <c r="L521" s="79">
        <f>IFERROR(VLOOKUP($A:$A,CS!$A:$AK,20,FALSE),"")</f>
      </c>
      <c r="M521" s="79">
        <f>IFERROR(VLOOKUP($A:$A,CS!$A:$AK,22,FALSE),"")</f>
      </c>
      <c r="N521" s="79">
        <f>IFERROR(VLOOKUP($A:$A,CS!$A:$AK,19,FALSE),"")</f>
      </c>
      <c r="O521" s="79">
        <f>IFERROR(VLOOKUP($A:$A,CS!$A:$AK,23,FALSE),"")</f>
      </c>
      <c r="P521" s="79">
        <f>IFERROR(VLOOKUP($A:$A,CS!$A:$AK,24,FALSE),"")</f>
      </c>
      <c r="Q521" s="79">
        <f>IFERROR(VLOOKUP($A:$A,CS!$A:$AK,25,FALSE),"")</f>
      </c>
      <c r="R521" s="79">
        <f>IFERROR(VLOOKUP($A:$A,CS!$A:$AK,26,FALSE),"")</f>
      </c>
      <c r="S521" s="79">
        <f>IFERROR(VLOOKUP($A:$A,CS!$A:$AK,29,FALSE),"")</f>
      </c>
      <c r="T521" s="79">
        <f>IFERROR(VLOOKUP($A:$A,CS!$A:$AK,33,FALSE),"")</f>
      </c>
      <c r="U521" s="79">
        <f>IFERROR(VLOOKUP($A:$A,CS!$A:$AK,34,FALSE),"")</f>
      </c>
      <c r="V521" s="79">
        <f>IFERROR(VLOOKUP($A:$A,CS!$A:$AK,35,FALSE),"")</f>
      </c>
      <c r="W521" s="79">
        <f>IFERROR(VLOOKUP($A:$A,CS!$A:$AK,36,FALSE),"")</f>
      </c>
    </row>
    <row r="522" ht="16.5" customHeight="1" spans="1:23" x14ac:dyDescent="0.25">
      <c r="A522" s="93"/>
      <c r="B522" s="79">
        <f>IFERROR(VLOOKUP($A:$A,CS!$A:$AK,3,FALSE),"")</f>
      </c>
      <c r="C522" s="79">
        <f>IFERROR(VLOOKUP($A:$A,CS!$A:$AK,4,FALSE),"")</f>
      </c>
      <c r="D522" s="79">
        <f>IFERROR(VLOOKUP($A:$A,CS!$A:$AK,5,FALSE),"")</f>
      </c>
      <c r="E522" s="79">
        <f>IFERROR(VLOOKUP($A:$A,CS!$A:$AK,7,FALSE),"")</f>
      </c>
      <c r="F522" s="79">
        <f>IFERROR(VLOOKUP($A:$A,CS!$A:$AK,8,FALSE),"")</f>
      </c>
      <c r="G522" s="79">
        <f>IFERROR(VLOOKUP($A:$A,CS!$A:$AK,10,FALSE),"")</f>
      </c>
      <c r="H522" s="79">
        <f>IFERROR(VLOOKUP($A:$A,CS!$A:$AK,14,FALSE),"")</f>
      </c>
      <c r="I522" s="79">
        <f>IFERROR(VLOOKUP($A:$A,CS!$A:$AK,15,FALSE),"")</f>
      </c>
      <c r="J522" s="79">
        <f>IFERROR(VLOOKUP($A:$A,CS!$A:$AK,18,FALSE),"")</f>
      </c>
      <c r="K522" s="79">
        <f>IFERROR(VLOOKUP($A:$A,CS!$A:$AK,19,FALSE),"")</f>
      </c>
      <c r="L522" s="79">
        <f>IFERROR(VLOOKUP($A:$A,CS!$A:$AK,20,FALSE),"")</f>
      </c>
      <c r="M522" s="79">
        <f>IFERROR(VLOOKUP($A:$A,CS!$A:$AK,22,FALSE),"")</f>
      </c>
      <c r="N522" s="79">
        <f>IFERROR(VLOOKUP($A:$A,CS!$A:$AK,19,FALSE),"")</f>
      </c>
      <c r="O522" s="79">
        <f>IFERROR(VLOOKUP($A:$A,CS!$A:$AK,23,FALSE),"")</f>
      </c>
      <c r="P522" s="79">
        <f>IFERROR(VLOOKUP($A:$A,CS!$A:$AK,24,FALSE),"")</f>
      </c>
      <c r="Q522" s="79">
        <f>IFERROR(VLOOKUP($A:$A,CS!$A:$AK,25,FALSE),"")</f>
      </c>
      <c r="R522" s="79">
        <f>IFERROR(VLOOKUP($A:$A,CS!$A:$AK,26,FALSE),"")</f>
      </c>
      <c r="S522" s="79">
        <f>IFERROR(VLOOKUP($A:$A,CS!$A:$AK,29,FALSE),"")</f>
      </c>
      <c r="T522" s="79">
        <f>IFERROR(VLOOKUP($A:$A,CS!$A:$AK,33,FALSE),"")</f>
      </c>
      <c r="U522" s="79">
        <f>IFERROR(VLOOKUP($A:$A,CS!$A:$AK,34,FALSE),"")</f>
      </c>
      <c r="V522" s="79">
        <f>IFERROR(VLOOKUP($A:$A,CS!$A:$AK,35,FALSE),"")</f>
      </c>
      <c r="W522" s="79">
        <f>IFERROR(VLOOKUP($A:$A,CS!$A:$AK,36,FALSE),"")</f>
      </c>
    </row>
    <row r="523" ht="16.5" customHeight="1" spans="1:23" x14ac:dyDescent="0.25">
      <c r="A523" s="93"/>
      <c r="B523" s="79">
        <f>IFERROR(VLOOKUP($A:$A,CS!$A:$AK,3,FALSE),"")</f>
      </c>
      <c r="C523" s="79">
        <f>IFERROR(VLOOKUP($A:$A,CS!$A:$AK,4,FALSE),"")</f>
      </c>
      <c r="D523" s="79">
        <f>IFERROR(VLOOKUP($A:$A,CS!$A:$AK,5,FALSE),"")</f>
      </c>
      <c r="E523" s="79">
        <f>IFERROR(VLOOKUP($A:$A,CS!$A:$AK,7,FALSE),"")</f>
      </c>
      <c r="F523" s="79">
        <f>IFERROR(VLOOKUP($A:$A,CS!$A:$AK,8,FALSE),"")</f>
      </c>
      <c r="G523" s="79">
        <f>IFERROR(VLOOKUP($A:$A,CS!$A:$AK,10,FALSE),"")</f>
      </c>
      <c r="H523" s="79">
        <f>IFERROR(VLOOKUP($A:$A,CS!$A:$AK,14,FALSE),"")</f>
      </c>
      <c r="I523" s="79">
        <f>IFERROR(VLOOKUP($A:$A,CS!$A:$AK,15,FALSE),"")</f>
      </c>
      <c r="J523" s="79">
        <f>IFERROR(VLOOKUP($A:$A,CS!$A:$AK,18,FALSE),"")</f>
      </c>
      <c r="K523" s="79">
        <f>IFERROR(VLOOKUP($A:$A,CS!$A:$AK,19,FALSE),"")</f>
      </c>
      <c r="L523" s="79">
        <f>IFERROR(VLOOKUP($A:$A,CS!$A:$AK,20,FALSE),"")</f>
      </c>
      <c r="M523" s="79">
        <f>IFERROR(VLOOKUP($A:$A,CS!$A:$AK,22,FALSE),"")</f>
      </c>
      <c r="N523" s="79">
        <f>IFERROR(VLOOKUP($A:$A,CS!$A:$AK,19,FALSE),"")</f>
      </c>
      <c r="O523" s="79">
        <f>IFERROR(VLOOKUP($A:$A,CS!$A:$AK,23,FALSE),"")</f>
      </c>
      <c r="P523" s="79">
        <f>IFERROR(VLOOKUP($A:$A,CS!$A:$AK,24,FALSE),"")</f>
      </c>
      <c r="Q523" s="79">
        <f>IFERROR(VLOOKUP($A:$A,CS!$A:$AK,25,FALSE),"")</f>
      </c>
      <c r="R523" s="79">
        <f>IFERROR(VLOOKUP($A:$A,CS!$A:$AK,26,FALSE),"")</f>
      </c>
      <c r="S523" s="79">
        <f>IFERROR(VLOOKUP($A:$A,CS!$A:$AK,29,FALSE),"")</f>
      </c>
      <c r="T523" s="79">
        <f>IFERROR(VLOOKUP($A:$A,CS!$A:$AK,33,FALSE),"")</f>
      </c>
      <c r="U523" s="79">
        <f>IFERROR(VLOOKUP($A:$A,CS!$A:$AK,34,FALSE),"")</f>
      </c>
      <c r="V523" s="79">
        <f>IFERROR(VLOOKUP($A:$A,CS!$A:$AK,35,FALSE),"")</f>
      </c>
      <c r="W523" s="79">
        <f>IFERROR(VLOOKUP($A:$A,CS!$A:$AK,36,FALSE),"")</f>
      </c>
    </row>
    <row r="524" ht="16.5" customHeight="1" spans="1:23" x14ac:dyDescent="0.25">
      <c r="A524" s="93"/>
      <c r="B524" s="79">
        <f>IFERROR(VLOOKUP($A:$A,CS!$A:$AK,3,FALSE),"")</f>
      </c>
      <c r="C524" s="79">
        <f>IFERROR(VLOOKUP($A:$A,CS!$A:$AK,4,FALSE),"")</f>
      </c>
      <c r="D524" s="79">
        <f>IFERROR(VLOOKUP($A:$A,CS!$A:$AK,5,FALSE),"")</f>
      </c>
      <c r="E524" s="79">
        <f>IFERROR(VLOOKUP($A:$A,CS!$A:$AK,7,FALSE),"")</f>
      </c>
      <c r="F524" s="79">
        <f>IFERROR(VLOOKUP($A:$A,CS!$A:$AK,8,FALSE),"")</f>
      </c>
      <c r="G524" s="79">
        <f>IFERROR(VLOOKUP($A:$A,CS!$A:$AK,10,FALSE),"")</f>
      </c>
      <c r="H524" s="79">
        <f>IFERROR(VLOOKUP($A:$A,CS!$A:$AK,14,FALSE),"")</f>
      </c>
      <c r="I524" s="79">
        <f>IFERROR(VLOOKUP($A:$A,CS!$A:$AK,15,FALSE),"")</f>
      </c>
      <c r="J524" s="79">
        <f>IFERROR(VLOOKUP($A:$A,CS!$A:$AK,18,FALSE),"")</f>
      </c>
      <c r="K524" s="79">
        <f>IFERROR(VLOOKUP($A:$A,CS!$A:$AK,19,FALSE),"")</f>
      </c>
      <c r="L524" s="79">
        <f>IFERROR(VLOOKUP($A:$A,CS!$A:$AK,20,FALSE),"")</f>
      </c>
      <c r="M524" s="79">
        <f>IFERROR(VLOOKUP($A:$A,CS!$A:$AK,22,FALSE),"")</f>
      </c>
      <c r="N524" s="79">
        <f>IFERROR(VLOOKUP($A:$A,CS!$A:$AK,19,FALSE),"")</f>
      </c>
      <c r="O524" s="79">
        <f>IFERROR(VLOOKUP($A:$A,CS!$A:$AK,23,FALSE),"")</f>
      </c>
      <c r="P524" s="79">
        <f>IFERROR(VLOOKUP($A:$A,CS!$A:$AK,24,FALSE),"")</f>
      </c>
      <c r="Q524" s="79">
        <f>IFERROR(VLOOKUP($A:$A,CS!$A:$AK,25,FALSE),"")</f>
      </c>
      <c r="R524" s="79">
        <f>IFERROR(VLOOKUP($A:$A,CS!$A:$AK,26,FALSE),"")</f>
      </c>
      <c r="S524" s="79">
        <f>IFERROR(VLOOKUP($A:$A,CS!$A:$AK,29,FALSE),"")</f>
      </c>
      <c r="T524" s="79">
        <f>IFERROR(VLOOKUP($A:$A,CS!$A:$AK,33,FALSE),"")</f>
      </c>
      <c r="U524" s="79">
        <f>IFERROR(VLOOKUP($A:$A,CS!$A:$AK,34,FALSE),"")</f>
      </c>
      <c r="V524" s="79">
        <f>IFERROR(VLOOKUP($A:$A,CS!$A:$AK,35,FALSE),"")</f>
      </c>
      <c r="W524" s="79">
        <f>IFERROR(VLOOKUP($A:$A,CS!$A:$AK,36,FALSE),"")</f>
      </c>
    </row>
    <row r="525" ht="16.5" customHeight="1" spans="1:23" x14ac:dyDescent="0.25">
      <c r="A525" s="93"/>
      <c r="B525" s="79">
        <f>IFERROR(VLOOKUP($A:$A,CS!$A:$AK,3,FALSE),"")</f>
      </c>
      <c r="C525" s="79">
        <f>IFERROR(VLOOKUP($A:$A,CS!$A:$AK,4,FALSE),"")</f>
      </c>
      <c r="D525" s="79">
        <f>IFERROR(VLOOKUP($A:$A,CS!$A:$AK,5,FALSE),"")</f>
      </c>
      <c r="E525" s="79">
        <f>IFERROR(VLOOKUP($A:$A,CS!$A:$AK,7,FALSE),"")</f>
      </c>
      <c r="F525" s="79">
        <f>IFERROR(VLOOKUP($A:$A,CS!$A:$AK,8,FALSE),"")</f>
      </c>
      <c r="G525" s="79">
        <f>IFERROR(VLOOKUP($A:$A,CS!$A:$AK,10,FALSE),"")</f>
      </c>
      <c r="H525" s="79">
        <f>IFERROR(VLOOKUP($A:$A,CS!$A:$AK,14,FALSE),"")</f>
      </c>
      <c r="I525" s="79">
        <f>IFERROR(VLOOKUP($A:$A,CS!$A:$AK,15,FALSE),"")</f>
      </c>
      <c r="J525" s="79">
        <f>IFERROR(VLOOKUP($A:$A,CS!$A:$AK,18,FALSE),"")</f>
      </c>
      <c r="K525" s="79">
        <f>IFERROR(VLOOKUP($A:$A,CS!$A:$AK,19,FALSE),"")</f>
      </c>
      <c r="L525" s="79">
        <f>IFERROR(VLOOKUP($A:$A,CS!$A:$AK,20,FALSE),"")</f>
      </c>
      <c r="M525" s="79">
        <f>IFERROR(VLOOKUP($A:$A,CS!$A:$AK,22,FALSE),"")</f>
      </c>
      <c r="N525" s="79">
        <f>IFERROR(VLOOKUP($A:$A,CS!$A:$AK,19,FALSE),"")</f>
      </c>
      <c r="O525" s="79">
        <f>IFERROR(VLOOKUP($A:$A,CS!$A:$AK,23,FALSE),"")</f>
      </c>
      <c r="P525" s="79">
        <f>IFERROR(VLOOKUP($A:$A,CS!$A:$AK,24,FALSE),"")</f>
      </c>
      <c r="Q525" s="79">
        <f>IFERROR(VLOOKUP($A:$A,CS!$A:$AK,25,FALSE),"")</f>
      </c>
      <c r="R525" s="79">
        <f>IFERROR(VLOOKUP($A:$A,CS!$A:$AK,26,FALSE),"")</f>
      </c>
      <c r="S525" s="79">
        <f>IFERROR(VLOOKUP($A:$A,CS!$A:$AK,29,FALSE),"")</f>
      </c>
      <c r="T525" s="79">
        <f>IFERROR(VLOOKUP($A:$A,CS!$A:$AK,33,FALSE),"")</f>
      </c>
      <c r="U525" s="79">
        <f>IFERROR(VLOOKUP($A:$A,CS!$A:$AK,34,FALSE),"")</f>
      </c>
      <c r="V525" s="79">
        <f>IFERROR(VLOOKUP($A:$A,CS!$A:$AK,35,FALSE),"")</f>
      </c>
      <c r="W525" s="79">
        <f>IFERROR(VLOOKUP($A:$A,CS!$A:$AK,36,FALSE),"")</f>
      </c>
    </row>
    <row r="526" ht="16.5" customHeight="1" spans="1:23" x14ac:dyDescent="0.25">
      <c r="A526" s="93"/>
      <c r="B526" s="79">
        <f>IFERROR(VLOOKUP($A:$A,CS!$A:$AK,3,FALSE),"")</f>
      </c>
      <c r="C526" s="79">
        <f>IFERROR(VLOOKUP($A:$A,CS!$A:$AK,4,FALSE),"")</f>
      </c>
      <c r="D526" s="79">
        <f>IFERROR(VLOOKUP($A:$A,CS!$A:$AK,5,FALSE),"")</f>
      </c>
      <c r="E526" s="79">
        <f>IFERROR(VLOOKUP($A:$A,CS!$A:$AK,7,FALSE),"")</f>
      </c>
      <c r="F526" s="79">
        <f>IFERROR(VLOOKUP($A:$A,CS!$A:$AK,8,FALSE),"")</f>
      </c>
      <c r="G526" s="79">
        <f>IFERROR(VLOOKUP($A:$A,CS!$A:$AK,10,FALSE),"")</f>
      </c>
      <c r="H526" s="79">
        <f>IFERROR(VLOOKUP($A:$A,CS!$A:$AK,14,FALSE),"")</f>
      </c>
      <c r="I526" s="79">
        <f>IFERROR(VLOOKUP($A:$A,CS!$A:$AK,15,FALSE),"")</f>
      </c>
      <c r="J526" s="79">
        <f>IFERROR(VLOOKUP($A:$A,CS!$A:$AK,18,FALSE),"")</f>
      </c>
      <c r="K526" s="79">
        <f>IFERROR(VLOOKUP($A:$A,CS!$A:$AK,19,FALSE),"")</f>
      </c>
      <c r="L526" s="79">
        <f>IFERROR(VLOOKUP($A:$A,CS!$A:$AK,20,FALSE),"")</f>
      </c>
      <c r="M526" s="79">
        <f>IFERROR(VLOOKUP($A:$A,CS!$A:$AK,22,FALSE),"")</f>
      </c>
      <c r="N526" s="79">
        <f>IFERROR(VLOOKUP($A:$A,CS!$A:$AK,19,FALSE),"")</f>
      </c>
      <c r="O526" s="79">
        <f>IFERROR(VLOOKUP($A:$A,CS!$A:$AK,23,FALSE),"")</f>
      </c>
      <c r="P526" s="79">
        <f>IFERROR(VLOOKUP($A:$A,CS!$A:$AK,24,FALSE),"")</f>
      </c>
      <c r="Q526" s="79">
        <f>IFERROR(VLOOKUP($A:$A,CS!$A:$AK,25,FALSE),"")</f>
      </c>
      <c r="R526" s="79">
        <f>IFERROR(VLOOKUP($A:$A,CS!$A:$AK,26,FALSE),"")</f>
      </c>
      <c r="S526" s="79">
        <f>IFERROR(VLOOKUP($A:$A,CS!$A:$AK,29,FALSE),"")</f>
      </c>
      <c r="T526" s="79">
        <f>IFERROR(VLOOKUP($A:$A,CS!$A:$AK,33,FALSE),"")</f>
      </c>
      <c r="U526" s="79">
        <f>IFERROR(VLOOKUP($A:$A,CS!$A:$AK,34,FALSE),"")</f>
      </c>
      <c r="V526" s="79">
        <f>IFERROR(VLOOKUP($A:$A,CS!$A:$AK,35,FALSE),"")</f>
      </c>
      <c r="W526" s="79">
        <f>IFERROR(VLOOKUP($A:$A,CS!$A:$AK,36,FALSE),"")</f>
      </c>
    </row>
    <row r="527" ht="16.5" customHeight="1" spans="1:23" x14ac:dyDescent="0.25">
      <c r="A527" s="93"/>
      <c r="B527" s="79">
        <f>IFERROR(VLOOKUP($A:$A,CS!$A:$AK,3,FALSE),"")</f>
      </c>
      <c r="C527" s="79">
        <f>IFERROR(VLOOKUP($A:$A,CS!$A:$AK,4,FALSE),"")</f>
      </c>
      <c r="D527" s="79">
        <f>IFERROR(VLOOKUP($A:$A,CS!$A:$AK,5,FALSE),"")</f>
      </c>
      <c r="E527" s="79">
        <f>IFERROR(VLOOKUP($A:$A,CS!$A:$AK,7,FALSE),"")</f>
      </c>
      <c r="F527" s="79">
        <f>IFERROR(VLOOKUP($A:$A,CS!$A:$AK,8,FALSE),"")</f>
      </c>
      <c r="G527" s="79">
        <f>IFERROR(VLOOKUP($A:$A,CS!$A:$AK,10,FALSE),"")</f>
      </c>
      <c r="H527" s="79">
        <f>IFERROR(VLOOKUP($A:$A,CS!$A:$AK,14,FALSE),"")</f>
      </c>
      <c r="I527" s="79">
        <f>IFERROR(VLOOKUP($A:$A,CS!$A:$AK,15,FALSE),"")</f>
      </c>
      <c r="J527" s="79">
        <f>IFERROR(VLOOKUP($A:$A,CS!$A:$AK,18,FALSE),"")</f>
      </c>
      <c r="K527" s="79">
        <f>IFERROR(VLOOKUP($A:$A,CS!$A:$AK,19,FALSE),"")</f>
      </c>
      <c r="L527" s="79">
        <f>IFERROR(VLOOKUP($A:$A,CS!$A:$AK,20,FALSE),"")</f>
      </c>
      <c r="M527" s="79">
        <f>IFERROR(VLOOKUP($A:$A,CS!$A:$AK,22,FALSE),"")</f>
      </c>
      <c r="N527" s="79">
        <f>IFERROR(VLOOKUP($A:$A,CS!$A:$AK,19,FALSE),"")</f>
      </c>
      <c r="O527" s="79">
        <f>IFERROR(VLOOKUP($A:$A,CS!$A:$AK,23,FALSE),"")</f>
      </c>
      <c r="P527" s="79">
        <f>IFERROR(VLOOKUP($A:$A,CS!$A:$AK,24,FALSE),"")</f>
      </c>
      <c r="Q527" s="79">
        <f>IFERROR(VLOOKUP($A:$A,CS!$A:$AK,25,FALSE),"")</f>
      </c>
      <c r="R527" s="79">
        <f>IFERROR(VLOOKUP($A:$A,CS!$A:$AK,26,FALSE),"")</f>
      </c>
      <c r="S527" s="79">
        <f>IFERROR(VLOOKUP($A:$A,CS!$A:$AK,29,FALSE),"")</f>
      </c>
      <c r="T527" s="79">
        <f>IFERROR(VLOOKUP($A:$A,CS!$A:$AK,33,FALSE),"")</f>
      </c>
      <c r="U527" s="79">
        <f>IFERROR(VLOOKUP($A:$A,CS!$A:$AK,34,FALSE),"")</f>
      </c>
      <c r="V527" s="79">
        <f>IFERROR(VLOOKUP($A:$A,CS!$A:$AK,35,FALSE),"")</f>
      </c>
      <c r="W527" s="79">
        <f>IFERROR(VLOOKUP($A:$A,CS!$A:$AK,36,FALSE),"")</f>
      </c>
    </row>
    <row r="528" ht="16.5" customHeight="1" spans="1:23" x14ac:dyDescent="0.25">
      <c r="A528" s="93"/>
      <c r="B528" s="79">
        <f>IFERROR(VLOOKUP($A:$A,CS!$A:$AK,3,FALSE),"")</f>
      </c>
      <c r="C528" s="79">
        <f>IFERROR(VLOOKUP($A:$A,CS!$A:$AK,4,FALSE),"")</f>
      </c>
      <c r="D528" s="79">
        <f>IFERROR(VLOOKUP($A:$A,CS!$A:$AK,5,FALSE),"")</f>
      </c>
      <c r="E528" s="79">
        <f>IFERROR(VLOOKUP($A:$A,CS!$A:$AK,7,FALSE),"")</f>
      </c>
      <c r="F528" s="79">
        <f>IFERROR(VLOOKUP($A:$A,CS!$A:$AK,8,FALSE),"")</f>
      </c>
      <c r="G528" s="79">
        <f>IFERROR(VLOOKUP($A:$A,CS!$A:$AK,10,FALSE),"")</f>
      </c>
      <c r="H528" s="79">
        <f>IFERROR(VLOOKUP($A:$A,CS!$A:$AK,14,FALSE),"")</f>
      </c>
      <c r="I528" s="79">
        <f>IFERROR(VLOOKUP($A:$A,CS!$A:$AK,15,FALSE),"")</f>
      </c>
      <c r="J528" s="79">
        <f>IFERROR(VLOOKUP($A:$A,CS!$A:$AK,18,FALSE),"")</f>
      </c>
      <c r="K528" s="79">
        <f>IFERROR(VLOOKUP($A:$A,CS!$A:$AK,19,FALSE),"")</f>
      </c>
      <c r="L528" s="79">
        <f>IFERROR(VLOOKUP($A:$A,CS!$A:$AK,20,FALSE),"")</f>
      </c>
      <c r="M528" s="79">
        <f>IFERROR(VLOOKUP($A:$A,CS!$A:$AK,22,FALSE),"")</f>
      </c>
      <c r="N528" s="79">
        <f>IFERROR(VLOOKUP($A:$A,CS!$A:$AK,19,FALSE),"")</f>
      </c>
      <c r="O528" s="79">
        <f>IFERROR(VLOOKUP($A:$A,CS!$A:$AK,23,FALSE),"")</f>
      </c>
      <c r="P528" s="79">
        <f>IFERROR(VLOOKUP($A:$A,CS!$A:$AK,24,FALSE),"")</f>
      </c>
      <c r="Q528" s="79">
        <f>IFERROR(VLOOKUP($A:$A,CS!$A:$AK,25,FALSE),"")</f>
      </c>
      <c r="R528" s="79">
        <f>IFERROR(VLOOKUP($A:$A,CS!$A:$AK,26,FALSE),"")</f>
      </c>
      <c r="S528" s="79">
        <f>IFERROR(VLOOKUP($A:$A,CS!$A:$AK,29,FALSE),"")</f>
      </c>
      <c r="T528" s="79">
        <f>IFERROR(VLOOKUP($A:$A,CS!$A:$AK,33,FALSE),"")</f>
      </c>
      <c r="U528" s="79">
        <f>IFERROR(VLOOKUP($A:$A,CS!$A:$AK,34,FALSE),"")</f>
      </c>
      <c r="V528" s="79">
        <f>IFERROR(VLOOKUP($A:$A,CS!$A:$AK,35,FALSE),"")</f>
      </c>
      <c r="W528" s="79">
        <f>IFERROR(VLOOKUP($A:$A,CS!$A:$AK,36,FALSE),"")</f>
      </c>
    </row>
    <row r="529" ht="16.5" customHeight="1" spans="1:23" x14ac:dyDescent="0.25">
      <c r="A529" s="93"/>
      <c r="B529" s="79">
        <f>IFERROR(VLOOKUP($A:$A,CS!$A:$AK,3,FALSE),"")</f>
      </c>
      <c r="C529" s="79">
        <f>IFERROR(VLOOKUP($A:$A,CS!$A:$AK,4,FALSE),"")</f>
      </c>
      <c r="D529" s="79">
        <f>IFERROR(VLOOKUP($A:$A,CS!$A:$AK,5,FALSE),"")</f>
      </c>
      <c r="E529" s="79">
        <f>IFERROR(VLOOKUP($A:$A,CS!$A:$AK,7,FALSE),"")</f>
      </c>
      <c r="F529" s="79">
        <f>IFERROR(VLOOKUP($A:$A,CS!$A:$AK,8,FALSE),"")</f>
      </c>
      <c r="G529" s="79">
        <f>IFERROR(VLOOKUP($A:$A,CS!$A:$AK,10,FALSE),"")</f>
      </c>
      <c r="H529" s="79">
        <f>IFERROR(VLOOKUP($A:$A,CS!$A:$AK,14,FALSE),"")</f>
      </c>
      <c r="I529" s="79">
        <f>IFERROR(VLOOKUP($A:$A,CS!$A:$AK,15,FALSE),"")</f>
      </c>
      <c r="J529" s="79">
        <f>IFERROR(VLOOKUP($A:$A,CS!$A:$AK,18,FALSE),"")</f>
      </c>
      <c r="K529" s="79">
        <f>IFERROR(VLOOKUP($A:$A,CS!$A:$AK,19,FALSE),"")</f>
      </c>
      <c r="L529" s="79">
        <f>IFERROR(VLOOKUP($A:$A,CS!$A:$AK,20,FALSE),"")</f>
      </c>
      <c r="M529" s="79">
        <f>IFERROR(VLOOKUP($A:$A,CS!$A:$AK,22,FALSE),"")</f>
      </c>
      <c r="N529" s="79">
        <f>IFERROR(VLOOKUP($A:$A,CS!$A:$AK,19,FALSE),"")</f>
      </c>
      <c r="O529" s="79">
        <f>IFERROR(VLOOKUP($A:$A,CS!$A:$AK,23,FALSE),"")</f>
      </c>
      <c r="P529" s="79">
        <f>IFERROR(VLOOKUP($A:$A,CS!$A:$AK,24,FALSE),"")</f>
      </c>
      <c r="Q529" s="79">
        <f>IFERROR(VLOOKUP($A:$A,CS!$A:$AK,25,FALSE),"")</f>
      </c>
      <c r="R529" s="79">
        <f>IFERROR(VLOOKUP($A:$A,CS!$A:$AK,26,FALSE),"")</f>
      </c>
      <c r="S529" s="79">
        <f>IFERROR(VLOOKUP($A:$A,CS!$A:$AK,29,FALSE),"")</f>
      </c>
      <c r="T529" s="79">
        <f>IFERROR(VLOOKUP($A:$A,CS!$A:$AK,33,FALSE),"")</f>
      </c>
      <c r="U529" s="79">
        <f>IFERROR(VLOOKUP($A:$A,CS!$A:$AK,34,FALSE),"")</f>
      </c>
      <c r="V529" s="79">
        <f>IFERROR(VLOOKUP($A:$A,CS!$A:$AK,35,FALSE),"")</f>
      </c>
      <c r="W529" s="79">
        <f>IFERROR(VLOOKUP($A:$A,CS!$A:$AK,36,FALSE),"")</f>
      </c>
    </row>
    <row r="530" ht="16.5" customHeight="1" spans="1:23" x14ac:dyDescent="0.25">
      <c r="A530" s="93"/>
      <c r="B530" s="79">
        <f>IFERROR(VLOOKUP($A:$A,CS!$A:$AK,3,FALSE),"")</f>
      </c>
      <c r="C530" s="79">
        <f>IFERROR(VLOOKUP($A:$A,CS!$A:$AK,4,FALSE),"")</f>
      </c>
      <c r="D530" s="79">
        <f>IFERROR(VLOOKUP($A:$A,CS!$A:$AK,5,FALSE),"")</f>
      </c>
      <c r="E530" s="79">
        <f>IFERROR(VLOOKUP($A:$A,CS!$A:$AK,7,FALSE),"")</f>
      </c>
      <c r="F530" s="79">
        <f>IFERROR(VLOOKUP($A:$A,CS!$A:$AK,8,FALSE),"")</f>
      </c>
      <c r="G530" s="79">
        <f>IFERROR(VLOOKUP($A:$A,CS!$A:$AK,10,FALSE),"")</f>
      </c>
      <c r="H530" s="79">
        <f>IFERROR(VLOOKUP($A:$A,CS!$A:$AK,14,FALSE),"")</f>
      </c>
      <c r="I530" s="79">
        <f>IFERROR(VLOOKUP($A:$A,CS!$A:$AK,15,FALSE),"")</f>
      </c>
      <c r="J530" s="79">
        <f>IFERROR(VLOOKUP($A:$A,CS!$A:$AK,18,FALSE),"")</f>
      </c>
      <c r="K530" s="79">
        <f>IFERROR(VLOOKUP($A:$A,CS!$A:$AK,19,FALSE),"")</f>
      </c>
      <c r="L530" s="79">
        <f>IFERROR(VLOOKUP($A:$A,CS!$A:$AK,20,FALSE),"")</f>
      </c>
      <c r="M530" s="79">
        <f>IFERROR(VLOOKUP($A:$A,CS!$A:$AK,22,FALSE),"")</f>
      </c>
      <c r="N530" s="79">
        <f>IFERROR(VLOOKUP($A:$A,CS!$A:$AK,19,FALSE),"")</f>
      </c>
      <c r="O530" s="79">
        <f>IFERROR(VLOOKUP($A:$A,CS!$A:$AK,23,FALSE),"")</f>
      </c>
      <c r="P530" s="79">
        <f>IFERROR(VLOOKUP($A:$A,CS!$A:$AK,24,FALSE),"")</f>
      </c>
      <c r="Q530" s="79">
        <f>IFERROR(VLOOKUP($A:$A,CS!$A:$AK,25,FALSE),"")</f>
      </c>
      <c r="R530" s="79">
        <f>IFERROR(VLOOKUP($A:$A,CS!$A:$AK,26,FALSE),"")</f>
      </c>
      <c r="S530" s="79">
        <f>IFERROR(VLOOKUP($A:$A,CS!$A:$AK,29,FALSE),"")</f>
      </c>
      <c r="T530" s="79">
        <f>IFERROR(VLOOKUP($A:$A,CS!$A:$AK,33,FALSE),"")</f>
      </c>
      <c r="U530" s="79">
        <f>IFERROR(VLOOKUP($A:$A,CS!$A:$AK,34,FALSE),"")</f>
      </c>
      <c r="V530" s="79">
        <f>IFERROR(VLOOKUP($A:$A,CS!$A:$AK,35,FALSE),"")</f>
      </c>
      <c r="W530" s="79">
        <f>IFERROR(VLOOKUP($A:$A,CS!$A:$AK,36,FALSE),"")</f>
      </c>
    </row>
    <row r="531" ht="16.5" customHeight="1" spans="1:23" x14ac:dyDescent="0.25">
      <c r="A531" s="93"/>
      <c r="B531" s="79">
        <f>IFERROR(VLOOKUP($A:$A,CS!$A:$AK,3,FALSE),"")</f>
      </c>
      <c r="C531" s="79">
        <f>IFERROR(VLOOKUP($A:$A,CS!$A:$AK,4,FALSE),"")</f>
      </c>
      <c r="D531" s="79">
        <f>IFERROR(VLOOKUP($A:$A,CS!$A:$AK,5,FALSE),"")</f>
      </c>
      <c r="E531" s="79">
        <f>IFERROR(VLOOKUP($A:$A,CS!$A:$AK,7,FALSE),"")</f>
      </c>
      <c r="F531" s="79">
        <f>IFERROR(VLOOKUP($A:$A,CS!$A:$AK,8,FALSE),"")</f>
      </c>
      <c r="G531" s="79">
        <f>IFERROR(VLOOKUP($A:$A,CS!$A:$AK,10,FALSE),"")</f>
      </c>
      <c r="H531" s="79">
        <f>IFERROR(VLOOKUP($A:$A,CS!$A:$AK,14,FALSE),"")</f>
      </c>
      <c r="I531" s="79">
        <f>IFERROR(VLOOKUP($A:$A,CS!$A:$AK,15,FALSE),"")</f>
      </c>
      <c r="J531" s="79">
        <f>IFERROR(VLOOKUP($A:$A,CS!$A:$AK,18,FALSE),"")</f>
      </c>
      <c r="K531" s="79">
        <f>IFERROR(VLOOKUP($A:$A,CS!$A:$AK,19,FALSE),"")</f>
      </c>
      <c r="L531" s="79">
        <f>IFERROR(VLOOKUP($A:$A,CS!$A:$AK,20,FALSE),"")</f>
      </c>
      <c r="M531" s="79">
        <f>IFERROR(VLOOKUP($A:$A,CS!$A:$AK,22,FALSE),"")</f>
      </c>
      <c r="N531" s="79">
        <f>IFERROR(VLOOKUP($A:$A,CS!$A:$AK,19,FALSE),"")</f>
      </c>
      <c r="O531" s="79">
        <f>IFERROR(VLOOKUP($A:$A,CS!$A:$AK,23,FALSE),"")</f>
      </c>
      <c r="P531" s="79">
        <f>IFERROR(VLOOKUP($A:$A,CS!$A:$AK,24,FALSE),"")</f>
      </c>
      <c r="Q531" s="79">
        <f>IFERROR(VLOOKUP($A:$A,CS!$A:$AK,25,FALSE),"")</f>
      </c>
      <c r="R531" s="79">
        <f>IFERROR(VLOOKUP($A:$A,CS!$A:$AK,26,FALSE),"")</f>
      </c>
      <c r="S531" s="79">
        <f>IFERROR(VLOOKUP($A:$A,CS!$A:$AK,29,FALSE),"")</f>
      </c>
      <c r="T531" s="79">
        <f>IFERROR(VLOOKUP($A:$A,CS!$A:$AK,33,FALSE),"")</f>
      </c>
      <c r="U531" s="79">
        <f>IFERROR(VLOOKUP($A:$A,CS!$A:$AK,34,FALSE),"")</f>
      </c>
      <c r="V531" s="79">
        <f>IFERROR(VLOOKUP($A:$A,CS!$A:$AK,35,FALSE),"")</f>
      </c>
      <c r="W531" s="79">
        <f>IFERROR(VLOOKUP($A:$A,CS!$A:$AK,36,FALSE),"")</f>
      </c>
    </row>
    <row r="532" ht="16.5" customHeight="1" spans="1:23" x14ac:dyDescent="0.25">
      <c r="A532" s="93"/>
      <c r="B532" s="79">
        <f>IFERROR(VLOOKUP($A:$A,CS!$A:$AK,3,FALSE),"")</f>
      </c>
      <c r="C532" s="79">
        <f>IFERROR(VLOOKUP($A:$A,CS!$A:$AK,4,FALSE),"")</f>
      </c>
      <c r="D532" s="79">
        <f>IFERROR(VLOOKUP($A:$A,CS!$A:$AK,5,FALSE),"")</f>
      </c>
      <c r="E532" s="79">
        <f>IFERROR(VLOOKUP($A:$A,CS!$A:$AK,7,FALSE),"")</f>
      </c>
      <c r="F532" s="79">
        <f>IFERROR(VLOOKUP($A:$A,CS!$A:$AK,8,FALSE),"")</f>
      </c>
      <c r="G532" s="79">
        <f>IFERROR(VLOOKUP($A:$A,CS!$A:$AK,10,FALSE),"")</f>
      </c>
      <c r="H532" s="79">
        <f>IFERROR(VLOOKUP($A:$A,CS!$A:$AK,14,FALSE),"")</f>
      </c>
      <c r="I532" s="79">
        <f>IFERROR(VLOOKUP($A:$A,CS!$A:$AK,15,FALSE),"")</f>
      </c>
      <c r="J532" s="79">
        <f>IFERROR(VLOOKUP($A:$A,CS!$A:$AK,18,FALSE),"")</f>
      </c>
      <c r="K532" s="79">
        <f>IFERROR(VLOOKUP($A:$A,CS!$A:$AK,19,FALSE),"")</f>
      </c>
      <c r="L532" s="79">
        <f>IFERROR(VLOOKUP($A:$A,CS!$A:$AK,20,FALSE),"")</f>
      </c>
      <c r="M532" s="79">
        <f>IFERROR(VLOOKUP($A:$A,CS!$A:$AK,22,FALSE),"")</f>
      </c>
      <c r="N532" s="79">
        <f>IFERROR(VLOOKUP($A:$A,CS!$A:$AK,19,FALSE),"")</f>
      </c>
      <c r="O532" s="79">
        <f>IFERROR(VLOOKUP($A:$A,CS!$A:$AK,23,FALSE),"")</f>
      </c>
      <c r="P532" s="79">
        <f>IFERROR(VLOOKUP($A:$A,CS!$A:$AK,24,FALSE),"")</f>
      </c>
      <c r="Q532" s="79">
        <f>IFERROR(VLOOKUP($A:$A,CS!$A:$AK,25,FALSE),"")</f>
      </c>
      <c r="R532" s="79">
        <f>IFERROR(VLOOKUP($A:$A,CS!$A:$AK,26,FALSE),"")</f>
      </c>
      <c r="S532" s="79">
        <f>IFERROR(VLOOKUP($A:$A,CS!$A:$AK,29,FALSE),"")</f>
      </c>
      <c r="T532" s="79">
        <f>IFERROR(VLOOKUP($A:$A,CS!$A:$AK,33,FALSE),"")</f>
      </c>
      <c r="U532" s="79">
        <f>IFERROR(VLOOKUP($A:$A,CS!$A:$AK,34,FALSE),"")</f>
      </c>
      <c r="V532" s="79">
        <f>IFERROR(VLOOKUP($A:$A,CS!$A:$AK,35,FALSE),"")</f>
      </c>
      <c r="W532" s="79">
        <f>IFERROR(VLOOKUP($A:$A,CS!$A:$AK,36,FALSE),"")</f>
      </c>
    </row>
    <row r="533" ht="16.5" customHeight="1" spans="1:23" x14ac:dyDescent="0.25">
      <c r="A533" s="93"/>
      <c r="B533" s="79">
        <f>IFERROR(VLOOKUP($A:$A,CS!$A:$AK,3,FALSE),"")</f>
      </c>
      <c r="C533" s="79">
        <f>IFERROR(VLOOKUP($A:$A,CS!$A:$AK,4,FALSE),"")</f>
      </c>
      <c r="D533" s="79">
        <f>IFERROR(VLOOKUP($A:$A,CS!$A:$AK,5,FALSE),"")</f>
      </c>
      <c r="E533" s="79">
        <f>IFERROR(VLOOKUP($A:$A,CS!$A:$AK,7,FALSE),"")</f>
      </c>
      <c r="F533" s="79">
        <f>IFERROR(VLOOKUP($A:$A,CS!$A:$AK,8,FALSE),"")</f>
      </c>
      <c r="G533" s="79">
        <f>IFERROR(VLOOKUP($A:$A,CS!$A:$AK,10,FALSE),"")</f>
      </c>
      <c r="H533" s="79">
        <f>IFERROR(VLOOKUP($A:$A,CS!$A:$AK,14,FALSE),"")</f>
      </c>
      <c r="I533" s="79">
        <f>IFERROR(VLOOKUP($A:$A,CS!$A:$AK,15,FALSE),"")</f>
      </c>
      <c r="J533" s="79">
        <f>IFERROR(VLOOKUP($A:$A,CS!$A:$AK,18,FALSE),"")</f>
      </c>
      <c r="K533" s="79">
        <f>IFERROR(VLOOKUP($A:$A,CS!$A:$AK,19,FALSE),"")</f>
      </c>
      <c r="L533" s="79">
        <f>IFERROR(VLOOKUP($A:$A,CS!$A:$AK,20,FALSE),"")</f>
      </c>
      <c r="M533" s="79">
        <f>IFERROR(VLOOKUP($A:$A,CS!$A:$AK,22,FALSE),"")</f>
      </c>
      <c r="N533" s="79">
        <f>IFERROR(VLOOKUP($A:$A,CS!$A:$AK,19,FALSE),"")</f>
      </c>
      <c r="O533" s="79">
        <f>IFERROR(VLOOKUP($A:$A,CS!$A:$AK,23,FALSE),"")</f>
      </c>
      <c r="P533" s="79">
        <f>IFERROR(VLOOKUP($A:$A,CS!$A:$AK,24,FALSE),"")</f>
      </c>
      <c r="Q533" s="79">
        <f>IFERROR(VLOOKUP($A:$A,CS!$A:$AK,25,FALSE),"")</f>
      </c>
      <c r="R533" s="79">
        <f>IFERROR(VLOOKUP($A:$A,CS!$A:$AK,26,FALSE),"")</f>
      </c>
      <c r="S533" s="79">
        <f>IFERROR(VLOOKUP($A:$A,CS!$A:$AK,29,FALSE),"")</f>
      </c>
      <c r="T533" s="79">
        <f>IFERROR(VLOOKUP($A:$A,CS!$A:$AK,33,FALSE),"")</f>
      </c>
      <c r="U533" s="79">
        <f>IFERROR(VLOOKUP($A:$A,CS!$A:$AK,34,FALSE),"")</f>
      </c>
      <c r="V533" s="79">
        <f>IFERROR(VLOOKUP($A:$A,CS!$A:$AK,35,FALSE),"")</f>
      </c>
      <c r="W533" s="79">
        <f>IFERROR(VLOOKUP($A:$A,CS!$A:$AK,36,FALSE),"")</f>
      </c>
    </row>
    <row r="534" ht="16.5" customHeight="1" spans="1:23" x14ac:dyDescent="0.25">
      <c r="A534" s="93"/>
      <c r="B534" s="79">
        <f>IFERROR(VLOOKUP($A:$A,CS!$A:$AK,3,FALSE),"")</f>
      </c>
      <c r="C534" s="79">
        <f>IFERROR(VLOOKUP($A:$A,CS!$A:$AK,4,FALSE),"")</f>
      </c>
      <c r="D534" s="79">
        <f>IFERROR(VLOOKUP($A:$A,CS!$A:$AK,5,FALSE),"")</f>
      </c>
      <c r="E534" s="79">
        <f>IFERROR(VLOOKUP($A:$A,CS!$A:$AK,7,FALSE),"")</f>
      </c>
      <c r="F534" s="79">
        <f>IFERROR(VLOOKUP($A:$A,CS!$A:$AK,8,FALSE),"")</f>
      </c>
      <c r="G534" s="79">
        <f>IFERROR(VLOOKUP($A:$A,CS!$A:$AK,10,FALSE),"")</f>
      </c>
      <c r="H534" s="79">
        <f>IFERROR(VLOOKUP($A:$A,CS!$A:$AK,14,FALSE),"")</f>
      </c>
      <c r="I534" s="79">
        <f>IFERROR(VLOOKUP($A:$A,CS!$A:$AK,15,FALSE),"")</f>
      </c>
      <c r="J534" s="79">
        <f>IFERROR(VLOOKUP($A:$A,CS!$A:$AK,18,FALSE),"")</f>
      </c>
      <c r="K534" s="79">
        <f>IFERROR(VLOOKUP($A:$A,CS!$A:$AK,19,FALSE),"")</f>
      </c>
      <c r="L534" s="79">
        <f>IFERROR(VLOOKUP($A:$A,CS!$A:$AK,20,FALSE),"")</f>
      </c>
      <c r="M534" s="79">
        <f>IFERROR(VLOOKUP($A:$A,CS!$A:$AK,22,FALSE),"")</f>
      </c>
      <c r="N534" s="79">
        <f>IFERROR(VLOOKUP($A:$A,CS!$A:$AK,19,FALSE),"")</f>
      </c>
      <c r="O534" s="79">
        <f>IFERROR(VLOOKUP($A:$A,CS!$A:$AK,23,FALSE),"")</f>
      </c>
      <c r="P534" s="79">
        <f>IFERROR(VLOOKUP($A:$A,CS!$A:$AK,24,FALSE),"")</f>
      </c>
      <c r="Q534" s="79">
        <f>IFERROR(VLOOKUP($A:$A,CS!$A:$AK,25,FALSE),"")</f>
      </c>
      <c r="R534" s="79">
        <f>IFERROR(VLOOKUP($A:$A,CS!$A:$AK,26,FALSE),"")</f>
      </c>
      <c r="S534" s="79">
        <f>IFERROR(VLOOKUP($A:$A,CS!$A:$AK,29,FALSE),"")</f>
      </c>
      <c r="T534" s="79">
        <f>IFERROR(VLOOKUP($A:$A,CS!$A:$AK,33,FALSE),"")</f>
      </c>
      <c r="U534" s="79">
        <f>IFERROR(VLOOKUP($A:$A,CS!$A:$AK,34,FALSE),"")</f>
      </c>
      <c r="V534" s="79">
        <f>IFERROR(VLOOKUP($A:$A,CS!$A:$AK,35,FALSE),"")</f>
      </c>
      <c r="W534" s="79">
        <f>IFERROR(VLOOKUP($A:$A,CS!$A:$AK,36,FALSE),"")</f>
      </c>
    </row>
    <row r="535" ht="16.5" customHeight="1" spans="1:23" x14ac:dyDescent="0.25">
      <c r="A535" s="93"/>
      <c r="B535" s="79">
        <f>IFERROR(VLOOKUP($A:$A,CS!$A:$AK,3,FALSE),"")</f>
      </c>
      <c r="C535" s="79">
        <f>IFERROR(VLOOKUP($A:$A,CS!$A:$AK,4,FALSE),"")</f>
      </c>
      <c r="D535" s="79">
        <f>IFERROR(VLOOKUP($A:$A,CS!$A:$AK,5,FALSE),"")</f>
      </c>
      <c r="E535" s="79">
        <f>IFERROR(VLOOKUP($A:$A,CS!$A:$AK,7,FALSE),"")</f>
      </c>
      <c r="F535" s="79">
        <f>IFERROR(VLOOKUP($A:$A,CS!$A:$AK,8,FALSE),"")</f>
      </c>
      <c r="G535" s="79">
        <f>IFERROR(VLOOKUP($A:$A,CS!$A:$AK,10,FALSE),"")</f>
      </c>
      <c r="H535" s="79">
        <f>IFERROR(VLOOKUP($A:$A,CS!$A:$AK,14,FALSE),"")</f>
      </c>
      <c r="I535" s="79">
        <f>IFERROR(VLOOKUP($A:$A,CS!$A:$AK,15,FALSE),"")</f>
      </c>
      <c r="J535" s="79">
        <f>IFERROR(VLOOKUP($A:$A,CS!$A:$AK,18,FALSE),"")</f>
      </c>
      <c r="K535" s="79">
        <f>IFERROR(VLOOKUP($A:$A,CS!$A:$AK,19,FALSE),"")</f>
      </c>
      <c r="L535" s="79">
        <f>IFERROR(VLOOKUP($A:$A,CS!$A:$AK,20,FALSE),"")</f>
      </c>
      <c r="M535" s="79">
        <f>IFERROR(VLOOKUP($A:$A,CS!$A:$AK,22,FALSE),"")</f>
      </c>
      <c r="N535" s="79">
        <f>IFERROR(VLOOKUP($A:$A,CS!$A:$AK,19,FALSE),"")</f>
      </c>
      <c r="O535" s="79">
        <f>IFERROR(VLOOKUP($A:$A,CS!$A:$AK,23,FALSE),"")</f>
      </c>
      <c r="P535" s="79">
        <f>IFERROR(VLOOKUP($A:$A,CS!$A:$AK,24,FALSE),"")</f>
      </c>
      <c r="Q535" s="79">
        <f>IFERROR(VLOOKUP($A:$A,CS!$A:$AK,25,FALSE),"")</f>
      </c>
      <c r="R535" s="79">
        <f>IFERROR(VLOOKUP($A:$A,CS!$A:$AK,26,FALSE),"")</f>
      </c>
      <c r="S535" s="79">
        <f>IFERROR(VLOOKUP($A:$A,CS!$A:$AK,29,FALSE),"")</f>
      </c>
      <c r="T535" s="79">
        <f>IFERROR(VLOOKUP($A:$A,CS!$A:$AK,33,FALSE),"")</f>
      </c>
      <c r="U535" s="79">
        <f>IFERROR(VLOOKUP($A:$A,CS!$A:$AK,34,FALSE),"")</f>
      </c>
      <c r="V535" s="79">
        <f>IFERROR(VLOOKUP($A:$A,CS!$A:$AK,35,FALSE),"")</f>
      </c>
      <c r="W535" s="79">
        <f>IFERROR(VLOOKUP($A:$A,CS!$A:$AK,36,FALSE),"")</f>
      </c>
    </row>
    <row r="536" ht="16.5" customHeight="1" spans="1:23" x14ac:dyDescent="0.25">
      <c r="A536" s="93"/>
      <c r="B536" s="79">
        <f>IFERROR(VLOOKUP($A:$A,CS!$A:$AK,3,FALSE),"")</f>
      </c>
      <c r="C536" s="79">
        <f>IFERROR(VLOOKUP($A:$A,CS!$A:$AK,4,FALSE),"")</f>
      </c>
      <c r="D536" s="79">
        <f>IFERROR(VLOOKUP($A:$A,CS!$A:$AK,5,FALSE),"")</f>
      </c>
      <c r="E536" s="79">
        <f>IFERROR(VLOOKUP($A:$A,CS!$A:$AK,7,FALSE),"")</f>
      </c>
      <c r="F536" s="79">
        <f>IFERROR(VLOOKUP($A:$A,CS!$A:$AK,8,FALSE),"")</f>
      </c>
      <c r="G536" s="79">
        <f>IFERROR(VLOOKUP($A:$A,CS!$A:$AK,10,FALSE),"")</f>
      </c>
      <c r="H536" s="79">
        <f>IFERROR(VLOOKUP($A:$A,CS!$A:$AK,14,FALSE),"")</f>
      </c>
      <c r="I536" s="79">
        <f>IFERROR(VLOOKUP($A:$A,CS!$A:$AK,15,FALSE),"")</f>
      </c>
      <c r="J536" s="79">
        <f>IFERROR(VLOOKUP($A:$A,CS!$A:$AK,18,FALSE),"")</f>
      </c>
      <c r="K536" s="79">
        <f>IFERROR(VLOOKUP($A:$A,CS!$A:$AK,19,FALSE),"")</f>
      </c>
      <c r="L536" s="79">
        <f>IFERROR(VLOOKUP($A:$A,CS!$A:$AK,20,FALSE),"")</f>
      </c>
      <c r="M536" s="79">
        <f>IFERROR(VLOOKUP($A:$A,CS!$A:$AK,22,FALSE),"")</f>
      </c>
      <c r="N536" s="79">
        <f>IFERROR(VLOOKUP($A:$A,CS!$A:$AK,19,FALSE),"")</f>
      </c>
      <c r="O536" s="79">
        <f>IFERROR(VLOOKUP($A:$A,CS!$A:$AK,23,FALSE),"")</f>
      </c>
      <c r="P536" s="79">
        <f>IFERROR(VLOOKUP($A:$A,CS!$A:$AK,24,FALSE),"")</f>
      </c>
      <c r="Q536" s="79">
        <f>IFERROR(VLOOKUP($A:$A,CS!$A:$AK,25,FALSE),"")</f>
      </c>
      <c r="R536" s="79">
        <f>IFERROR(VLOOKUP($A:$A,CS!$A:$AK,26,FALSE),"")</f>
      </c>
      <c r="S536" s="79">
        <f>IFERROR(VLOOKUP($A:$A,CS!$A:$AK,29,FALSE),"")</f>
      </c>
      <c r="T536" s="79">
        <f>IFERROR(VLOOKUP($A:$A,CS!$A:$AK,33,FALSE),"")</f>
      </c>
      <c r="U536" s="79">
        <f>IFERROR(VLOOKUP($A:$A,CS!$A:$AK,34,FALSE),"")</f>
      </c>
      <c r="V536" s="79">
        <f>IFERROR(VLOOKUP($A:$A,CS!$A:$AK,35,FALSE),"")</f>
      </c>
      <c r="W536" s="79">
        <f>IFERROR(VLOOKUP($A:$A,CS!$A:$AK,36,FALSE),"")</f>
      </c>
    </row>
    <row r="537" ht="16.5" customHeight="1" spans="1:23" x14ac:dyDescent="0.25">
      <c r="A537" s="93"/>
      <c r="B537" s="79">
        <f>IFERROR(VLOOKUP($A:$A,CS!$A:$AK,3,FALSE),"")</f>
      </c>
      <c r="C537" s="79">
        <f>IFERROR(VLOOKUP($A:$A,CS!$A:$AK,4,FALSE),"")</f>
      </c>
      <c r="D537" s="79">
        <f>IFERROR(VLOOKUP($A:$A,CS!$A:$AK,5,FALSE),"")</f>
      </c>
      <c r="E537" s="79">
        <f>IFERROR(VLOOKUP($A:$A,CS!$A:$AK,7,FALSE),"")</f>
      </c>
      <c r="F537" s="79">
        <f>IFERROR(VLOOKUP($A:$A,CS!$A:$AK,8,FALSE),"")</f>
      </c>
      <c r="G537" s="79">
        <f>IFERROR(VLOOKUP($A:$A,CS!$A:$AK,10,FALSE),"")</f>
      </c>
      <c r="H537" s="79">
        <f>IFERROR(VLOOKUP($A:$A,CS!$A:$AK,14,FALSE),"")</f>
      </c>
      <c r="I537" s="79">
        <f>IFERROR(VLOOKUP($A:$A,CS!$A:$AK,15,FALSE),"")</f>
      </c>
      <c r="J537" s="79">
        <f>IFERROR(VLOOKUP($A:$A,CS!$A:$AK,18,FALSE),"")</f>
      </c>
      <c r="K537" s="79">
        <f>IFERROR(VLOOKUP($A:$A,CS!$A:$AK,19,FALSE),"")</f>
      </c>
      <c r="L537" s="79">
        <f>IFERROR(VLOOKUP($A:$A,CS!$A:$AK,20,FALSE),"")</f>
      </c>
      <c r="M537" s="79">
        <f>IFERROR(VLOOKUP($A:$A,CS!$A:$AK,22,FALSE),"")</f>
      </c>
      <c r="N537" s="79">
        <f>IFERROR(VLOOKUP($A:$A,CS!$A:$AK,19,FALSE),"")</f>
      </c>
      <c r="O537" s="79">
        <f>IFERROR(VLOOKUP($A:$A,CS!$A:$AK,23,FALSE),"")</f>
      </c>
      <c r="P537" s="79">
        <f>IFERROR(VLOOKUP($A:$A,CS!$A:$AK,24,FALSE),"")</f>
      </c>
      <c r="Q537" s="79">
        <f>IFERROR(VLOOKUP($A:$A,CS!$A:$AK,25,FALSE),"")</f>
      </c>
      <c r="R537" s="79">
        <f>IFERROR(VLOOKUP($A:$A,CS!$A:$AK,26,FALSE),"")</f>
      </c>
      <c r="S537" s="79">
        <f>IFERROR(VLOOKUP($A:$A,CS!$A:$AK,29,FALSE),"")</f>
      </c>
      <c r="T537" s="79">
        <f>IFERROR(VLOOKUP($A:$A,CS!$A:$AK,33,FALSE),"")</f>
      </c>
      <c r="U537" s="79">
        <f>IFERROR(VLOOKUP($A:$A,CS!$A:$AK,34,FALSE),"")</f>
      </c>
      <c r="V537" s="79">
        <f>IFERROR(VLOOKUP($A:$A,CS!$A:$AK,35,FALSE),"")</f>
      </c>
      <c r="W537" s="79">
        <f>IFERROR(VLOOKUP($A:$A,CS!$A:$AK,36,FALSE),"")</f>
      </c>
    </row>
    <row r="538" ht="16.5" customHeight="1" spans="1:23" x14ac:dyDescent="0.25">
      <c r="A538" s="93"/>
      <c r="B538" s="79">
        <f>IFERROR(VLOOKUP($A:$A,CS!$A:$AK,3,FALSE),"")</f>
      </c>
      <c r="C538" s="79">
        <f>IFERROR(VLOOKUP($A:$A,CS!$A:$AK,4,FALSE),"")</f>
      </c>
      <c r="D538" s="79">
        <f>IFERROR(VLOOKUP($A:$A,CS!$A:$AK,5,FALSE),"")</f>
      </c>
      <c r="E538" s="79">
        <f>IFERROR(VLOOKUP($A:$A,CS!$A:$AK,7,FALSE),"")</f>
      </c>
      <c r="F538" s="79">
        <f>IFERROR(VLOOKUP($A:$A,CS!$A:$AK,8,FALSE),"")</f>
      </c>
      <c r="G538" s="79">
        <f>IFERROR(VLOOKUP($A:$A,CS!$A:$AK,10,FALSE),"")</f>
      </c>
      <c r="H538" s="79">
        <f>IFERROR(VLOOKUP($A:$A,CS!$A:$AK,14,FALSE),"")</f>
      </c>
      <c r="I538" s="79">
        <f>IFERROR(VLOOKUP($A:$A,CS!$A:$AK,15,FALSE),"")</f>
      </c>
      <c r="J538" s="79">
        <f>IFERROR(VLOOKUP($A:$A,CS!$A:$AK,18,FALSE),"")</f>
      </c>
      <c r="K538" s="79">
        <f>IFERROR(VLOOKUP($A:$A,CS!$A:$AK,19,FALSE),"")</f>
      </c>
      <c r="L538" s="79">
        <f>IFERROR(VLOOKUP($A:$A,CS!$A:$AK,20,FALSE),"")</f>
      </c>
      <c r="M538" s="79">
        <f>IFERROR(VLOOKUP($A:$A,CS!$A:$AK,22,FALSE),"")</f>
      </c>
      <c r="N538" s="79">
        <f>IFERROR(VLOOKUP($A:$A,CS!$A:$AK,19,FALSE),"")</f>
      </c>
      <c r="O538" s="79">
        <f>IFERROR(VLOOKUP($A:$A,CS!$A:$AK,23,FALSE),"")</f>
      </c>
      <c r="P538" s="79">
        <f>IFERROR(VLOOKUP($A:$A,CS!$A:$AK,24,FALSE),"")</f>
      </c>
      <c r="Q538" s="79">
        <f>IFERROR(VLOOKUP($A:$A,CS!$A:$AK,25,FALSE),"")</f>
      </c>
      <c r="R538" s="79">
        <f>IFERROR(VLOOKUP($A:$A,CS!$A:$AK,26,FALSE),"")</f>
      </c>
      <c r="S538" s="79">
        <f>IFERROR(VLOOKUP($A:$A,CS!$A:$AK,29,FALSE),"")</f>
      </c>
      <c r="T538" s="79">
        <f>IFERROR(VLOOKUP($A:$A,CS!$A:$AK,33,FALSE),"")</f>
      </c>
      <c r="U538" s="79">
        <f>IFERROR(VLOOKUP($A:$A,CS!$A:$AK,34,FALSE),"")</f>
      </c>
      <c r="V538" s="79">
        <f>IFERROR(VLOOKUP($A:$A,CS!$A:$AK,35,FALSE),"")</f>
      </c>
      <c r="W538" s="79">
        <f>IFERROR(VLOOKUP($A:$A,CS!$A:$AK,36,FALSE),"")</f>
      </c>
    </row>
    <row r="539" ht="16.5" customHeight="1" spans="1:23" x14ac:dyDescent="0.25">
      <c r="A539" s="93"/>
      <c r="B539" s="79">
        <f>IFERROR(VLOOKUP($A:$A,CS!$A:$AK,3,FALSE),"")</f>
      </c>
      <c r="C539" s="79">
        <f>IFERROR(VLOOKUP($A:$A,CS!$A:$AK,4,FALSE),"")</f>
      </c>
      <c r="D539" s="79">
        <f>IFERROR(VLOOKUP($A:$A,CS!$A:$AK,5,FALSE),"")</f>
      </c>
      <c r="E539" s="79">
        <f>IFERROR(VLOOKUP($A:$A,CS!$A:$AK,7,FALSE),"")</f>
      </c>
      <c r="F539" s="79">
        <f>IFERROR(VLOOKUP($A:$A,CS!$A:$AK,8,FALSE),"")</f>
      </c>
      <c r="G539" s="79">
        <f>IFERROR(VLOOKUP($A:$A,CS!$A:$AK,10,FALSE),"")</f>
      </c>
      <c r="H539" s="79">
        <f>IFERROR(VLOOKUP($A:$A,CS!$A:$AK,14,FALSE),"")</f>
      </c>
      <c r="I539" s="79">
        <f>IFERROR(VLOOKUP($A:$A,CS!$A:$AK,15,FALSE),"")</f>
      </c>
      <c r="J539" s="79">
        <f>IFERROR(VLOOKUP($A:$A,CS!$A:$AK,18,FALSE),"")</f>
      </c>
      <c r="K539" s="79">
        <f>IFERROR(VLOOKUP($A:$A,CS!$A:$AK,19,FALSE),"")</f>
      </c>
      <c r="L539" s="79">
        <f>IFERROR(VLOOKUP($A:$A,CS!$A:$AK,20,FALSE),"")</f>
      </c>
      <c r="M539" s="79">
        <f>IFERROR(VLOOKUP($A:$A,CS!$A:$AK,22,FALSE),"")</f>
      </c>
      <c r="N539" s="79">
        <f>IFERROR(VLOOKUP($A:$A,CS!$A:$AK,19,FALSE),"")</f>
      </c>
      <c r="O539" s="79">
        <f>IFERROR(VLOOKUP($A:$A,CS!$A:$AK,23,FALSE),"")</f>
      </c>
      <c r="P539" s="79">
        <f>IFERROR(VLOOKUP($A:$A,CS!$A:$AK,24,FALSE),"")</f>
      </c>
      <c r="Q539" s="79">
        <f>IFERROR(VLOOKUP($A:$A,CS!$A:$AK,25,FALSE),"")</f>
      </c>
      <c r="R539" s="79">
        <f>IFERROR(VLOOKUP($A:$A,CS!$A:$AK,26,FALSE),"")</f>
      </c>
      <c r="S539" s="79">
        <f>IFERROR(VLOOKUP($A:$A,CS!$A:$AK,29,FALSE),"")</f>
      </c>
      <c r="T539" s="79">
        <f>IFERROR(VLOOKUP($A:$A,CS!$A:$AK,33,FALSE),"")</f>
      </c>
      <c r="U539" s="79">
        <f>IFERROR(VLOOKUP($A:$A,CS!$A:$AK,34,FALSE),"")</f>
      </c>
      <c r="V539" s="79">
        <f>IFERROR(VLOOKUP($A:$A,CS!$A:$AK,35,FALSE),"")</f>
      </c>
      <c r="W539" s="79">
        <f>IFERROR(VLOOKUP($A:$A,CS!$A:$AK,36,FALSE),"")</f>
      </c>
    </row>
    <row r="540" ht="16.5" customHeight="1" spans="1:23" x14ac:dyDescent="0.25">
      <c r="A540" s="93"/>
      <c r="B540" s="79">
        <f>IFERROR(VLOOKUP($A:$A,CS!$A:$AK,3,FALSE),"")</f>
      </c>
      <c r="C540" s="79">
        <f>IFERROR(VLOOKUP($A:$A,CS!$A:$AK,4,FALSE),"")</f>
      </c>
      <c r="D540" s="79">
        <f>IFERROR(VLOOKUP($A:$A,CS!$A:$AK,5,FALSE),"")</f>
      </c>
      <c r="E540" s="79">
        <f>IFERROR(VLOOKUP($A:$A,CS!$A:$AK,7,FALSE),"")</f>
      </c>
      <c r="F540" s="79">
        <f>IFERROR(VLOOKUP($A:$A,CS!$A:$AK,8,FALSE),"")</f>
      </c>
      <c r="G540" s="79">
        <f>IFERROR(VLOOKUP($A:$A,CS!$A:$AK,10,FALSE),"")</f>
      </c>
      <c r="H540" s="79">
        <f>IFERROR(VLOOKUP($A:$A,CS!$A:$AK,14,FALSE),"")</f>
      </c>
      <c r="I540" s="79">
        <f>IFERROR(VLOOKUP($A:$A,CS!$A:$AK,15,FALSE),"")</f>
      </c>
      <c r="J540" s="79">
        <f>IFERROR(VLOOKUP($A:$A,CS!$A:$AK,18,FALSE),"")</f>
      </c>
      <c r="K540" s="79">
        <f>IFERROR(VLOOKUP($A:$A,CS!$A:$AK,19,FALSE),"")</f>
      </c>
      <c r="L540" s="79">
        <f>IFERROR(VLOOKUP($A:$A,CS!$A:$AK,20,FALSE),"")</f>
      </c>
      <c r="M540" s="79">
        <f>IFERROR(VLOOKUP($A:$A,CS!$A:$AK,22,FALSE),"")</f>
      </c>
      <c r="N540" s="79">
        <f>IFERROR(VLOOKUP($A:$A,CS!$A:$AK,19,FALSE),"")</f>
      </c>
      <c r="O540" s="79">
        <f>IFERROR(VLOOKUP($A:$A,CS!$A:$AK,23,FALSE),"")</f>
      </c>
      <c r="P540" s="79">
        <f>IFERROR(VLOOKUP($A:$A,CS!$A:$AK,24,FALSE),"")</f>
      </c>
      <c r="Q540" s="79">
        <f>IFERROR(VLOOKUP($A:$A,CS!$A:$AK,25,FALSE),"")</f>
      </c>
      <c r="R540" s="79">
        <f>IFERROR(VLOOKUP($A:$A,CS!$A:$AK,26,FALSE),"")</f>
      </c>
      <c r="S540" s="79">
        <f>IFERROR(VLOOKUP($A:$A,CS!$A:$AK,29,FALSE),"")</f>
      </c>
      <c r="T540" s="79">
        <f>IFERROR(VLOOKUP($A:$A,CS!$A:$AK,33,FALSE),"")</f>
      </c>
      <c r="U540" s="79">
        <f>IFERROR(VLOOKUP($A:$A,CS!$A:$AK,34,FALSE),"")</f>
      </c>
      <c r="V540" s="79">
        <f>IFERROR(VLOOKUP($A:$A,CS!$A:$AK,35,FALSE),"")</f>
      </c>
      <c r="W540" s="79">
        <f>IFERROR(VLOOKUP($A:$A,CS!$A:$AK,36,FALSE),"")</f>
      </c>
    </row>
    <row r="541" ht="16.5" customHeight="1" spans="1:23" x14ac:dyDescent="0.25">
      <c r="A541" s="93"/>
      <c r="B541" s="79">
        <f>IFERROR(VLOOKUP($A:$A,CS!$A:$AK,3,FALSE),"")</f>
      </c>
      <c r="C541" s="79">
        <f>IFERROR(VLOOKUP($A:$A,CS!$A:$AK,4,FALSE),"")</f>
      </c>
      <c r="D541" s="79">
        <f>IFERROR(VLOOKUP($A:$A,CS!$A:$AK,5,FALSE),"")</f>
      </c>
      <c r="E541" s="79">
        <f>IFERROR(VLOOKUP($A:$A,CS!$A:$AK,7,FALSE),"")</f>
      </c>
      <c r="F541" s="79">
        <f>IFERROR(VLOOKUP($A:$A,CS!$A:$AK,8,FALSE),"")</f>
      </c>
      <c r="G541" s="79">
        <f>IFERROR(VLOOKUP($A:$A,CS!$A:$AK,10,FALSE),"")</f>
      </c>
      <c r="H541" s="79">
        <f>IFERROR(VLOOKUP($A:$A,CS!$A:$AK,14,FALSE),"")</f>
      </c>
      <c r="I541" s="79">
        <f>IFERROR(VLOOKUP($A:$A,CS!$A:$AK,15,FALSE),"")</f>
      </c>
      <c r="J541" s="79">
        <f>IFERROR(VLOOKUP($A:$A,CS!$A:$AK,18,FALSE),"")</f>
      </c>
      <c r="K541" s="79">
        <f>IFERROR(VLOOKUP($A:$A,CS!$A:$AK,19,FALSE),"")</f>
      </c>
      <c r="L541" s="79">
        <f>IFERROR(VLOOKUP($A:$A,CS!$A:$AK,20,FALSE),"")</f>
      </c>
      <c r="M541" s="79">
        <f>IFERROR(VLOOKUP($A:$A,CS!$A:$AK,22,FALSE),"")</f>
      </c>
      <c r="N541" s="79">
        <f>IFERROR(VLOOKUP($A:$A,CS!$A:$AK,19,FALSE),"")</f>
      </c>
      <c r="O541" s="79">
        <f>IFERROR(VLOOKUP($A:$A,CS!$A:$AK,23,FALSE),"")</f>
      </c>
      <c r="P541" s="79">
        <f>IFERROR(VLOOKUP($A:$A,CS!$A:$AK,24,FALSE),"")</f>
      </c>
      <c r="Q541" s="79">
        <f>IFERROR(VLOOKUP($A:$A,CS!$A:$AK,25,FALSE),"")</f>
      </c>
      <c r="R541" s="79">
        <f>IFERROR(VLOOKUP($A:$A,CS!$A:$AK,26,FALSE),"")</f>
      </c>
      <c r="S541" s="79">
        <f>IFERROR(VLOOKUP($A:$A,CS!$A:$AK,29,FALSE),"")</f>
      </c>
      <c r="T541" s="79">
        <f>IFERROR(VLOOKUP($A:$A,CS!$A:$AK,33,FALSE),"")</f>
      </c>
      <c r="U541" s="79">
        <f>IFERROR(VLOOKUP($A:$A,CS!$A:$AK,34,FALSE),"")</f>
      </c>
      <c r="V541" s="79">
        <f>IFERROR(VLOOKUP($A:$A,CS!$A:$AK,35,FALSE),"")</f>
      </c>
      <c r="W541" s="79">
        <f>IFERROR(VLOOKUP($A:$A,CS!$A:$AK,36,FALSE),"")</f>
      </c>
    </row>
    <row r="542" ht="16.5" customHeight="1" spans="1:23" x14ac:dyDescent="0.25">
      <c r="A542" s="93"/>
      <c r="B542" s="79">
        <f>IFERROR(VLOOKUP($A:$A,CS!$A:$AK,3,FALSE),"")</f>
      </c>
      <c r="C542" s="79">
        <f>IFERROR(VLOOKUP($A:$A,CS!$A:$AK,4,FALSE),"")</f>
      </c>
      <c r="D542" s="79">
        <f>IFERROR(VLOOKUP($A:$A,CS!$A:$AK,5,FALSE),"")</f>
      </c>
      <c r="E542" s="79">
        <f>IFERROR(VLOOKUP($A:$A,CS!$A:$AK,7,FALSE),"")</f>
      </c>
      <c r="F542" s="79">
        <f>IFERROR(VLOOKUP($A:$A,CS!$A:$AK,8,FALSE),"")</f>
      </c>
      <c r="G542" s="79">
        <f>IFERROR(VLOOKUP($A:$A,CS!$A:$AK,10,FALSE),"")</f>
      </c>
      <c r="H542" s="79">
        <f>IFERROR(VLOOKUP($A:$A,CS!$A:$AK,14,FALSE),"")</f>
      </c>
      <c r="I542" s="79">
        <f>IFERROR(VLOOKUP($A:$A,CS!$A:$AK,15,FALSE),"")</f>
      </c>
      <c r="J542" s="79">
        <f>IFERROR(VLOOKUP($A:$A,CS!$A:$AK,18,FALSE),"")</f>
      </c>
      <c r="K542" s="79">
        <f>IFERROR(VLOOKUP($A:$A,CS!$A:$AK,19,FALSE),"")</f>
      </c>
      <c r="L542" s="79">
        <f>IFERROR(VLOOKUP($A:$A,CS!$A:$AK,20,FALSE),"")</f>
      </c>
      <c r="M542" s="79">
        <f>IFERROR(VLOOKUP($A:$A,CS!$A:$AK,22,FALSE),"")</f>
      </c>
      <c r="N542" s="79">
        <f>IFERROR(VLOOKUP($A:$A,CS!$A:$AK,19,FALSE),"")</f>
      </c>
      <c r="O542" s="79">
        <f>IFERROR(VLOOKUP($A:$A,CS!$A:$AK,23,FALSE),"")</f>
      </c>
      <c r="P542" s="79">
        <f>IFERROR(VLOOKUP($A:$A,CS!$A:$AK,24,FALSE),"")</f>
      </c>
      <c r="Q542" s="79">
        <f>IFERROR(VLOOKUP($A:$A,CS!$A:$AK,25,FALSE),"")</f>
      </c>
      <c r="R542" s="79">
        <f>IFERROR(VLOOKUP($A:$A,CS!$A:$AK,26,FALSE),"")</f>
      </c>
      <c r="S542" s="79">
        <f>IFERROR(VLOOKUP($A:$A,CS!$A:$AK,29,FALSE),"")</f>
      </c>
      <c r="T542" s="79">
        <f>IFERROR(VLOOKUP($A:$A,CS!$A:$AK,33,FALSE),"")</f>
      </c>
      <c r="U542" s="79">
        <f>IFERROR(VLOOKUP($A:$A,CS!$A:$AK,34,FALSE),"")</f>
      </c>
      <c r="V542" s="79">
        <f>IFERROR(VLOOKUP($A:$A,CS!$A:$AK,35,FALSE),"")</f>
      </c>
      <c r="W542" s="79">
        <f>IFERROR(VLOOKUP($A:$A,CS!$A:$AK,36,FALSE),"")</f>
      </c>
    </row>
    <row r="543" ht="16.5" customHeight="1" spans="1:23" x14ac:dyDescent="0.25">
      <c r="A543" s="93"/>
      <c r="B543" s="79">
        <f>IFERROR(VLOOKUP($A:$A,CS!$A:$AK,3,FALSE),"")</f>
      </c>
      <c r="C543" s="79">
        <f>IFERROR(VLOOKUP($A:$A,CS!$A:$AK,4,FALSE),"")</f>
      </c>
      <c r="D543" s="79">
        <f>IFERROR(VLOOKUP($A:$A,CS!$A:$AK,5,FALSE),"")</f>
      </c>
      <c r="E543" s="79">
        <f>IFERROR(VLOOKUP($A:$A,CS!$A:$AK,7,FALSE),"")</f>
      </c>
      <c r="F543" s="79">
        <f>IFERROR(VLOOKUP($A:$A,CS!$A:$AK,8,FALSE),"")</f>
      </c>
      <c r="G543" s="79">
        <f>IFERROR(VLOOKUP($A:$A,CS!$A:$AK,10,FALSE),"")</f>
      </c>
      <c r="H543" s="79">
        <f>IFERROR(VLOOKUP($A:$A,CS!$A:$AK,14,FALSE),"")</f>
      </c>
      <c r="I543" s="79">
        <f>IFERROR(VLOOKUP($A:$A,CS!$A:$AK,15,FALSE),"")</f>
      </c>
      <c r="J543" s="79">
        <f>IFERROR(VLOOKUP($A:$A,CS!$A:$AK,18,FALSE),"")</f>
      </c>
      <c r="K543" s="79">
        <f>IFERROR(VLOOKUP($A:$A,CS!$A:$AK,19,FALSE),"")</f>
      </c>
      <c r="L543" s="79">
        <f>IFERROR(VLOOKUP($A:$A,CS!$A:$AK,20,FALSE),"")</f>
      </c>
      <c r="M543" s="79">
        <f>IFERROR(VLOOKUP($A:$A,CS!$A:$AK,22,FALSE),"")</f>
      </c>
      <c r="N543" s="79">
        <f>IFERROR(VLOOKUP($A:$A,CS!$A:$AK,19,FALSE),"")</f>
      </c>
      <c r="O543" s="79">
        <f>IFERROR(VLOOKUP($A:$A,CS!$A:$AK,23,FALSE),"")</f>
      </c>
      <c r="P543" s="79">
        <f>IFERROR(VLOOKUP($A:$A,CS!$A:$AK,24,FALSE),"")</f>
      </c>
      <c r="Q543" s="79">
        <f>IFERROR(VLOOKUP($A:$A,CS!$A:$AK,25,FALSE),"")</f>
      </c>
      <c r="R543" s="79">
        <f>IFERROR(VLOOKUP($A:$A,CS!$A:$AK,26,FALSE),"")</f>
      </c>
      <c r="S543" s="79">
        <f>IFERROR(VLOOKUP($A:$A,CS!$A:$AK,29,FALSE),"")</f>
      </c>
      <c r="T543" s="79">
        <f>IFERROR(VLOOKUP($A:$A,CS!$A:$AK,33,FALSE),"")</f>
      </c>
      <c r="U543" s="79">
        <f>IFERROR(VLOOKUP($A:$A,CS!$A:$AK,34,FALSE),"")</f>
      </c>
      <c r="V543" s="79">
        <f>IFERROR(VLOOKUP($A:$A,CS!$A:$AK,35,FALSE),"")</f>
      </c>
      <c r="W543" s="79">
        <f>IFERROR(VLOOKUP($A:$A,CS!$A:$AK,36,FALSE),"")</f>
      </c>
    </row>
    <row r="544" ht="16.5" customHeight="1" spans="1:23" x14ac:dyDescent="0.25">
      <c r="A544" s="93"/>
      <c r="B544" s="79">
        <f>IFERROR(VLOOKUP($A:$A,CS!$A:$AK,3,FALSE),"")</f>
      </c>
      <c r="C544" s="79">
        <f>IFERROR(VLOOKUP($A:$A,CS!$A:$AK,4,FALSE),"")</f>
      </c>
      <c r="D544" s="79">
        <f>IFERROR(VLOOKUP($A:$A,CS!$A:$AK,5,FALSE),"")</f>
      </c>
      <c r="E544" s="79">
        <f>IFERROR(VLOOKUP($A:$A,CS!$A:$AK,7,FALSE),"")</f>
      </c>
      <c r="F544" s="79">
        <f>IFERROR(VLOOKUP($A:$A,CS!$A:$AK,8,FALSE),"")</f>
      </c>
      <c r="G544" s="79">
        <f>IFERROR(VLOOKUP($A:$A,CS!$A:$AK,10,FALSE),"")</f>
      </c>
      <c r="H544" s="79">
        <f>IFERROR(VLOOKUP($A:$A,CS!$A:$AK,14,FALSE),"")</f>
      </c>
      <c r="I544" s="79">
        <f>IFERROR(VLOOKUP($A:$A,CS!$A:$AK,15,FALSE),"")</f>
      </c>
      <c r="J544" s="79">
        <f>IFERROR(VLOOKUP($A:$A,CS!$A:$AK,18,FALSE),"")</f>
      </c>
      <c r="K544" s="79">
        <f>IFERROR(VLOOKUP($A:$A,CS!$A:$AK,19,FALSE),"")</f>
      </c>
      <c r="L544" s="79">
        <f>IFERROR(VLOOKUP($A:$A,CS!$A:$AK,20,FALSE),"")</f>
      </c>
      <c r="M544" s="79">
        <f>IFERROR(VLOOKUP($A:$A,CS!$A:$AK,22,FALSE),"")</f>
      </c>
      <c r="N544" s="79">
        <f>IFERROR(VLOOKUP($A:$A,CS!$A:$AK,19,FALSE),"")</f>
      </c>
      <c r="O544" s="79">
        <f>IFERROR(VLOOKUP($A:$A,CS!$A:$AK,23,FALSE),"")</f>
      </c>
      <c r="P544" s="79">
        <f>IFERROR(VLOOKUP($A:$A,CS!$A:$AK,24,FALSE),"")</f>
      </c>
      <c r="Q544" s="79">
        <f>IFERROR(VLOOKUP($A:$A,CS!$A:$AK,25,FALSE),"")</f>
      </c>
      <c r="R544" s="79">
        <f>IFERROR(VLOOKUP($A:$A,CS!$A:$AK,26,FALSE),"")</f>
      </c>
      <c r="S544" s="79">
        <f>IFERROR(VLOOKUP($A:$A,CS!$A:$AK,29,FALSE),"")</f>
      </c>
      <c r="T544" s="79">
        <f>IFERROR(VLOOKUP($A:$A,CS!$A:$AK,33,FALSE),"")</f>
      </c>
      <c r="U544" s="79">
        <f>IFERROR(VLOOKUP($A:$A,CS!$A:$AK,34,FALSE),"")</f>
      </c>
      <c r="V544" s="79">
        <f>IFERROR(VLOOKUP($A:$A,CS!$A:$AK,35,FALSE),"")</f>
      </c>
      <c r="W544" s="79">
        <f>IFERROR(VLOOKUP($A:$A,CS!$A:$AK,36,FALSE),"")</f>
      </c>
    </row>
    <row r="545" ht="16.5" customHeight="1" spans="1:23" x14ac:dyDescent="0.25">
      <c r="A545" s="93"/>
      <c r="B545" s="79">
        <f>IFERROR(VLOOKUP($A:$A,CS!$A:$AK,3,FALSE),"")</f>
      </c>
      <c r="C545" s="79">
        <f>IFERROR(VLOOKUP($A:$A,CS!$A:$AK,4,FALSE),"")</f>
      </c>
      <c r="D545" s="79">
        <f>IFERROR(VLOOKUP($A:$A,CS!$A:$AK,5,FALSE),"")</f>
      </c>
      <c r="E545" s="79">
        <f>IFERROR(VLOOKUP($A:$A,CS!$A:$AK,7,FALSE),"")</f>
      </c>
      <c r="F545" s="79">
        <f>IFERROR(VLOOKUP($A:$A,CS!$A:$AK,8,FALSE),"")</f>
      </c>
      <c r="G545" s="79">
        <f>IFERROR(VLOOKUP($A:$A,CS!$A:$AK,10,FALSE),"")</f>
      </c>
      <c r="H545" s="79">
        <f>IFERROR(VLOOKUP($A:$A,CS!$A:$AK,14,FALSE),"")</f>
      </c>
      <c r="I545" s="79">
        <f>IFERROR(VLOOKUP($A:$A,CS!$A:$AK,15,FALSE),"")</f>
      </c>
      <c r="J545" s="79">
        <f>IFERROR(VLOOKUP($A:$A,CS!$A:$AK,18,FALSE),"")</f>
      </c>
      <c r="K545" s="79">
        <f>IFERROR(VLOOKUP($A:$A,CS!$A:$AK,19,FALSE),"")</f>
      </c>
      <c r="L545" s="79">
        <f>IFERROR(VLOOKUP($A:$A,CS!$A:$AK,20,FALSE),"")</f>
      </c>
      <c r="M545" s="79">
        <f>IFERROR(VLOOKUP($A:$A,CS!$A:$AK,22,FALSE),"")</f>
      </c>
      <c r="N545" s="79">
        <f>IFERROR(VLOOKUP($A:$A,CS!$A:$AK,19,FALSE),"")</f>
      </c>
      <c r="O545" s="79">
        <f>IFERROR(VLOOKUP($A:$A,CS!$A:$AK,23,FALSE),"")</f>
      </c>
      <c r="P545" s="79">
        <f>IFERROR(VLOOKUP($A:$A,CS!$A:$AK,24,FALSE),"")</f>
      </c>
      <c r="Q545" s="79">
        <f>IFERROR(VLOOKUP($A:$A,CS!$A:$AK,25,FALSE),"")</f>
      </c>
      <c r="R545" s="79">
        <f>IFERROR(VLOOKUP($A:$A,CS!$A:$AK,26,FALSE),"")</f>
      </c>
      <c r="S545" s="79">
        <f>IFERROR(VLOOKUP($A:$A,CS!$A:$AK,29,FALSE),"")</f>
      </c>
      <c r="T545" s="79">
        <f>IFERROR(VLOOKUP($A:$A,CS!$A:$AK,33,FALSE),"")</f>
      </c>
      <c r="U545" s="79">
        <f>IFERROR(VLOOKUP($A:$A,CS!$A:$AK,34,FALSE),"")</f>
      </c>
      <c r="V545" s="79">
        <f>IFERROR(VLOOKUP($A:$A,CS!$A:$AK,35,FALSE),"")</f>
      </c>
      <c r="W545" s="79">
        <f>IFERROR(VLOOKUP($A:$A,CS!$A:$AK,36,FALSE),"")</f>
      </c>
    </row>
    <row r="546" ht="16.5" customHeight="1" spans="1:23" x14ac:dyDescent="0.25">
      <c r="A546" s="93"/>
      <c r="B546" s="79">
        <f>IFERROR(VLOOKUP($A:$A,CS!$A:$AK,3,FALSE),"")</f>
      </c>
      <c r="C546" s="79">
        <f>IFERROR(VLOOKUP($A:$A,CS!$A:$AK,4,FALSE),"")</f>
      </c>
      <c r="D546" s="79">
        <f>IFERROR(VLOOKUP($A:$A,CS!$A:$AK,5,FALSE),"")</f>
      </c>
      <c r="E546" s="79">
        <f>IFERROR(VLOOKUP($A:$A,CS!$A:$AK,7,FALSE),"")</f>
      </c>
      <c r="F546" s="79">
        <f>IFERROR(VLOOKUP($A:$A,CS!$A:$AK,8,FALSE),"")</f>
      </c>
      <c r="G546" s="79">
        <f>IFERROR(VLOOKUP($A:$A,CS!$A:$AK,10,FALSE),"")</f>
      </c>
      <c r="H546" s="79">
        <f>IFERROR(VLOOKUP($A:$A,CS!$A:$AK,14,FALSE),"")</f>
      </c>
      <c r="I546" s="79">
        <f>IFERROR(VLOOKUP($A:$A,CS!$A:$AK,15,FALSE),"")</f>
      </c>
      <c r="J546" s="79">
        <f>IFERROR(VLOOKUP($A:$A,CS!$A:$AK,18,FALSE),"")</f>
      </c>
      <c r="K546" s="79">
        <f>IFERROR(VLOOKUP($A:$A,CS!$A:$AK,19,FALSE),"")</f>
      </c>
      <c r="L546" s="79">
        <f>IFERROR(VLOOKUP($A:$A,CS!$A:$AK,20,FALSE),"")</f>
      </c>
      <c r="M546" s="79">
        <f>IFERROR(VLOOKUP($A:$A,CS!$A:$AK,22,FALSE),"")</f>
      </c>
      <c r="N546" s="79">
        <f>IFERROR(VLOOKUP($A:$A,CS!$A:$AK,19,FALSE),"")</f>
      </c>
      <c r="O546" s="79">
        <f>IFERROR(VLOOKUP($A:$A,CS!$A:$AK,23,FALSE),"")</f>
      </c>
      <c r="P546" s="79">
        <f>IFERROR(VLOOKUP($A:$A,CS!$A:$AK,24,FALSE),"")</f>
      </c>
      <c r="Q546" s="79">
        <f>IFERROR(VLOOKUP($A:$A,CS!$A:$AK,25,FALSE),"")</f>
      </c>
      <c r="R546" s="79">
        <f>IFERROR(VLOOKUP($A:$A,CS!$A:$AK,26,FALSE),"")</f>
      </c>
      <c r="S546" s="79">
        <f>IFERROR(VLOOKUP($A:$A,CS!$A:$AK,29,FALSE),"")</f>
      </c>
      <c r="T546" s="79">
        <f>IFERROR(VLOOKUP($A:$A,CS!$A:$AK,33,FALSE),"")</f>
      </c>
      <c r="U546" s="79">
        <f>IFERROR(VLOOKUP($A:$A,CS!$A:$AK,34,FALSE),"")</f>
      </c>
      <c r="V546" s="79">
        <f>IFERROR(VLOOKUP($A:$A,CS!$A:$AK,35,FALSE),"")</f>
      </c>
      <c r="W546" s="79">
        <f>IFERROR(VLOOKUP($A:$A,CS!$A:$AK,36,FALSE),"")</f>
      </c>
    </row>
    <row r="547" ht="16.5" customHeight="1" spans="1:23" x14ac:dyDescent="0.25">
      <c r="A547" s="93"/>
      <c r="B547" s="79">
        <f>IFERROR(VLOOKUP($A:$A,CS!$A:$AK,3,FALSE),"")</f>
      </c>
      <c r="C547" s="79">
        <f>IFERROR(VLOOKUP($A:$A,CS!$A:$AK,4,FALSE),"")</f>
      </c>
      <c r="D547" s="79">
        <f>IFERROR(VLOOKUP($A:$A,CS!$A:$AK,5,FALSE),"")</f>
      </c>
      <c r="E547" s="79">
        <f>IFERROR(VLOOKUP($A:$A,CS!$A:$AK,7,FALSE),"")</f>
      </c>
      <c r="F547" s="79">
        <f>IFERROR(VLOOKUP($A:$A,CS!$A:$AK,8,FALSE),"")</f>
      </c>
      <c r="G547" s="79">
        <f>IFERROR(VLOOKUP($A:$A,CS!$A:$AK,10,FALSE),"")</f>
      </c>
      <c r="H547" s="79">
        <f>IFERROR(VLOOKUP($A:$A,CS!$A:$AK,14,FALSE),"")</f>
      </c>
      <c r="I547" s="79">
        <f>IFERROR(VLOOKUP($A:$A,CS!$A:$AK,15,FALSE),"")</f>
      </c>
      <c r="J547" s="79">
        <f>IFERROR(VLOOKUP($A:$A,CS!$A:$AK,18,FALSE),"")</f>
      </c>
      <c r="K547" s="79">
        <f>IFERROR(VLOOKUP($A:$A,CS!$A:$AK,19,FALSE),"")</f>
      </c>
      <c r="L547" s="79">
        <f>IFERROR(VLOOKUP($A:$A,CS!$A:$AK,20,FALSE),"")</f>
      </c>
      <c r="M547" s="79">
        <f>IFERROR(VLOOKUP($A:$A,CS!$A:$AK,22,FALSE),"")</f>
      </c>
      <c r="N547" s="79">
        <f>IFERROR(VLOOKUP($A:$A,CS!$A:$AK,19,FALSE),"")</f>
      </c>
      <c r="O547" s="79">
        <f>IFERROR(VLOOKUP($A:$A,CS!$A:$AK,23,FALSE),"")</f>
      </c>
      <c r="P547" s="79">
        <f>IFERROR(VLOOKUP($A:$A,CS!$A:$AK,24,FALSE),"")</f>
      </c>
      <c r="Q547" s="79">
        <f>IFERROR(VLOOKUP($A:$A,CS!$A:$AK,25,FALSE),"")</f>
      </c>
      <c r="R547" s="79">
        <f>IFERROR(VLOOKUP($A:$A,CS!$A:$AK,26,FALSE),"")</f>
      </c>
      <c r="S547" s="79">
        <f>IFERROR(VLOOKUP($A:$A,CS!$A:$AK,29,FALSE),"")</f>
      </c>
      <c r="T547" s="79">
        <f>IFERROR(VLOOKUP($A:$A,CS!$A:$AK,33,FALSE),"")</f>
      </c>
      <c r="U547" s="79">
        <f>IFERROR(VLOOKUP($A:$A,CS!$A:$AK,34,FALSE),"")</f>
      </c>
      <c r="V547" s="79">
        <f>IFERROR(VLOOKUP($A:$A,CS!$A:$AK,35,FALSE),"")</f>
      </c>
      <c r="W547" s="79">
        <f>IFERROR(VLOOKUP($A:$A,CS!$A:$AK,36,FALSE),"")</f>
      </c>
    </row>
    <row r="548" ht="16.5" customHeight="1" spans="1:23" x14ac:dyDescent="0.25">
      <c r="A548" s="93"/>
      <c r="B548" s="79">
        <f>IFERROR(VLOOKUP($A:$A,CS!$A:$AK,3,FALSE),"")</f>
      </c>
      <c r="C548" s="79">
        <f>IFERROR(VLOOKUP($A:$A,CS!$A:$AK,4,FALSE),"")</f>
      </c>
      <c r="D548" s="79">
        <f>IFERROR(VLOOKUP($A:$A,CS!$A:$AK,5,FALSE),"")</f>
      </c>
      <c r="E548" s="79">
        <f>IFERROR(VLOOKUP($A:$A,CS!$A:$AK,7,FALSE),"")</f>
      </c>
      <c r="F548" s="79">
        <f>IFERROR(VLOOKUP($A:$A,CS!$A:$AK,8,FALSE),"")</f>
      </c>
      <c r="G548" s="79">
        <f>IFERROR(VLOOKUP($A:$A,CS!$A:$AK,10,FALSE),"")</f>
      </c>
      <c r="H548" s="79">
        <f>IFERROR(VLOOKUP($A:$A,CS!$A:$AK,14,FALSE),"")</f>
      </c>
      <c r="I548" s="79">
        <f>IFERROR(VLOOKUP($A:$A,CS!$A:$AK,15,FALSE),"")</f>
      </c>
      <c r="J548" s="79">
        <f>IFERROR(VLOOKUP($A:$A,CS!$A:$AK,18,FALSE),"")</f>
      </c>
      <c r="K548" s="79">
        <f>IFERROR(VLOOKUP($A:$A,CS!$A:$AK,19,FALSE),"")</f>
      </c>
      <c r="L548" s="79">
        <f>IFERROR(VLOOKUP($A:$A,CS!$A:$AK,20,FALSE),"")</f>
      </c>
      <c r="M548" s="79">
        <f>IFERROR(VLOOKUP($A:$A,CS!$A:$AK,22,FALSE),"")</f>
      </c>
      <c r="N548" s="79">
        <f>IFERROR(VLOOKUP($A:$A,CS!$A:$AK,19,FALSE),"")</f>
      </c>
      <c r="O548" s="79">
        <f>IFERROR(VLOOKUP($A:$A,CS!$A:$AK,23,FALSE),"")</f>
      </c>
      <c r="P548" s="79">
        <f>IFERROR(VLOOKUP($A:$A,CS!$A:$AK,24,FALSE),"")</f>
      </c>
      <c r="Q548" s="79">
        <f>IFERROR(VLOOKUP($A:$A,CS!$A:$AK,25,FALSE),"")</f>
      </c>
      <c r="R548" s="79">
        <f>IFERROR(VLOOKUP($A:$A,CS!$A:$AK,26,FALSE),"")</f>
      </c>
      <c r="S548" s="79">
        <f>IFERROR(VLOOKUP($A:$A,CS!$A:$AK,29,FALSE),"")</f>
      </c>
      <c r="T548" s="79">
        <f>IFERROR(VLOOKUP($A:$A,CS!$A:$AK,33,FALSE),"")</f>
      </c>
      <c r="U548" s="79">
        <f>IFERROR(VLOOKUP($A:$A,CS!$A:$AK,34,FALSE),"")</f>
      </c>
      <c r="V548" s="79">
        <f>IFERROR(VLOOKUP($A:$A,CS!$A:$AK,35,FALSE),"")</f>
      </c>
      <c r="W548" s="79">
        <f>IFERROR(VLOOKUP($A:$A,CS!$A:$AK,36,FALSE),"")</f>
      </c>
    </row>
    <row r="549" ht="16.5" customHeight="1" spans="1:23" x14ac:dyDescent="0.25">
      <c r="A549" s="93"/>
      <c r="B549" s="79">
        <f>IFERROR(VLOOKUP($A:$A,CS!$A:$AK,3,FALSE),"")</f>
      </c>
      <c r="C549" s="79">
        <f>IFERROR(VLOOKUP($A:$A,CS!$A:$AK,4,FALSE),"")</f>
      </c>
      <c r="D549" s="79">
        <f>IFERROR(VLOOKUP($A:$A,CS!$A:$AK,5,FALSE),"")</f>
      </c>
      <c r="E549" s="79">
        <f>IFERROR(VLOOKUP($A:$A,CS!$A:$AK,7,FALSE),"")</f>
      </c>
      <c r="F549" s="79">
        <f>IFERROR(VLOOKUP($A:$A,CS!$A:$AK,8,FALSE),"")</f>
      </c>
      <c r="G549" s="79">
        <f>IFERROR(VLOOKUP($A:$A,CS!$A:$AK,10,FALSE),"")</f>
      </c>
      <c r="H549" s="79">
        <f>IFERROR(VLOOKUP($A:$A,CS!$A:$AK,14,FALSE),"")</f>
      </c>
      <c r="I549" s="79">
        <f>IFERROR(VLOOKUP($A:$A,CS!$A:$AK,15,FALSE),"")</f>
      </c>
      <c r="J549" s="79">
        <f>IFERROR(VLOOKUP($A:$A,CS!$A:$AK,18,FALSE),"")</f>
      </c>
      <c r="K549" s="79">
        <f>IFERROR(VLOOKUP($A:$A,CS!$A:$AK,19,FALSE),"")</f>
      </c>
      <c r="L549" s="79">
        <f>IFERROR(VLOOKUP($A:$A,CS!$A:$AK,20,FALSE),"")</f>
      </c>
      <c r="M549" s="79">
        <f>IFERROR(VLOOKUP($A:$A,CS!$A:$AK,22,FALSE),"")</f>
      </c>
      <c r="N549" s="79">
        <f>IFERROR(VLOOKUP($A:$A,CS!$A:$AK,19,FALSE),"")</f>
      </c>
      <c r="O549" s="79">
        <f>IFERROR(VLOOKUP($A:$A,CS!$A:$AK,23,FALSE),"")</f>
      </c>
      <c r="P549" s="79">
        <f>IFERROR(VLOOKUP($A:$A,CS!$A:$AK,24,FALSE),"")</f>
      </c>
      <c r="Q549" s="79">
        <f>IFERROR(VLOOKUP($A:$A,CS!$A:$AK,25,FALSE),"")</f>
      </c>
      <c r="R549" s="79">
        <f>IFERROR(VLOOKUP($A:$A,CS!$A:$AK,26,FALSE),"")</f>
      </c>
      <c r="S549" s="79">
        <f>IFERROR(VLOOKUP($A:$A,CS!$A:$AK,29,FALSE),"")</f>
      </c>
      <c r="T549" s="79">
        <f>IFERROR(VLOOKUP($A:$A,CS!$A:$AK,33,FALSE),"")</f>
      </c>
      <c r="U549" s="79">
        <f>IFERROR(VLOOKUP($A:$A,CS!$A:$AK,34,FALSE),"")</f>
      </c>
      <c r="V549" s="79">
        <f>IFERROR(VLOOKUP($A:$A,CS!$A:$AK,35,FALSE),"")</f>
      </c>
      <c r="W549" s="79">
        <f>IFERROR(VLOOKUP($A:$A,CS!$A:$AK,36,FALSE),"")</f>
      </c>
    </row>
    <row r="550" ht="16.5" customHeight="1" spans="1:23" x14ac:dyDescent="0.25">
      <c r="A550" s="93"/>
      <c r="B550" s="79">
        <f>IFERROR(VLOOKUP($A:$A,CS!$A:$AK,3,FALSE),"")</f>
      </c>
      <c r="C550" s="79">
        <f>IFERROR(VLOOKUP($A:$A,CS!$A:$AK,4,FALSE),"")</f>
      </c>
      <c r="D550" s="79">
        <f>IFERROR(VLOOKUP($A:$A,CS!$A:$AK,5,FALSE),"")</f>
      </c>
      <c r="E550" s="79">
        <f>IFERROR(VLOOKUP($A:$A,CS!$A:$AK,7,FALSE),"")</f>
      </c>
      <c r="F550" s="79">
        <f>IFERROR(VLOOKUP($A:$A,CS!$A:$AK,8,FALSE),"")</f>
      </c>
      <c r="G550" s="79">
        <f>IFERROR(VLOOKUP($A:$A,CS!$A:$AK,10,FALSE),"")</f>
      </c>
      <c r="H550" s="79">
        <f>IFERROR(VLOOKUP($A:$A,CS!$A:$AK,14,FALSE),"")</f>
      </c>
      <c r="I550" s="79">
        <f>IFERROR(VLOOKUP($A:$A,CS!$A:$AK,15,FALSE),"")</f>
      </c>
      <c r="J550" s="79">
        <f>IFERROR(VLOOKUP($A:$A,CS!$A:$AK,18,FALSE),"")</f>
      </c>
      <c r="K550" s="79">
        <f>IFERROR(VLOOKUP($A:$A,CS!$A:$AK,19,FALSE),"")</f>
      </c>
      <c r="L550" s="79">
        <f>IFERROR(VLOOKUP($A:$A,CS!$A:$AK,20,FALSE),"")</f>
      </c>
      <c r="M550" s="79">
        <f>IFERROR(VLOOKUP($A:$A,CS!$A:$AK,22,FALSE),"")</f>
      </c>
      <c r="N550" s="79">
        <f>IFERROR(VLOOKUP($A:$A,CS!$A:$AK,19,FALSE),"")</f>
      </c>
      <c r="O550" s="79">
        <f>IFERROR(VLOOKUP($A:$A,CS!$A:$AK,23,FALSE),"")</f>
      </c>
      <c r="P550" s="79">
        <f>IFERROR(VLOOKUP($A:$A,CS!$A:$AK,24,FALSE),"")</f>
      </c>
      <c r="Q550" s="79">
        <f>IFERROR(VLOOKUP($A:$A,CS!$A:$AK,25,FALSE),"")</f>
      </c>
      <c r="R550" s="79">
        <f>IFERROR(VLOOKUP($A:$A,CS!$A:$AK,26,FALSE),"")</f>
      </c>
      <c r="S550" s="79">
        <f>IFERROR(VLOOKUP($A:$A,CS!$A:$AK,29,FALSE),"")</f>
      </c>
      <c r="T550" s="79">
        <f>IFERROR(VLOOKUP($A:$A,CS!$A:$AK,33,FALSE),"")</f>
      </c>
      <c r="U550" s="79">
        <f>IFERROR(VLOOKUP($A:$A,CS!$A:$AK,34,FALSE),"")</f>
      </c>
      <c r="V550" s="79">
        <f>IFERROR(VLOOKUP($A:$A,CS!$A:$AK,35,FALSE),"")</f>
      </c>
      <c r="W550" s="79">
        <f>IFERROR(VLOOKUP($A:$A,CS!$A:$AK,36,FALSE),"")</f>
      </c>
    </row>
    <row r="551" ht="16.5" customHeight="1" spans="1:23" x14ac:dyDescent="0.25">
      <c r="A551" s="93"/>
      <c r="B551" s="79">
        <f>IFERROR(VLOOKUP($A:$A,CS!$A:$AK,3,FALSE),"")</f>
      </c>
      <c r="C551" s="79">
        <f>IFERROR(VLOOKUP($A:$A,CS!$A:$AK,4,FALSE),"")</f>
      </c>
      <c r="D551" s="79">
        <f>IFERROR(VLOOKUP($A:$A,CS!$A:$AK,5,FALSE),"")</f>
      </c>
      <c r="E551" s="79">
        <f>IFERROR(VLOOKUP($A:$A,CS!$A:$AK,7,FALSE),"")</f>
      </c>
      <c r="F551" s="79">
        <f>IFERROR(VLOOKUP($A:$A,CS!$A:$AK,8,FALSE),"")</f>
      </c>
      <c r="G551" s="79">
        <f>IFERROR(VLOOKUP($A:$A,CS!$A:$AK,10,FALSE),"")</f>
      </c>
      <c r="H551" s="79">
        <f>IFERROR(VLOOKUP($A:$A,CS!$A:$AK,14,FALSE),"")</f>
      </c>
      <c r="I551" s="79">
        <f>IFERROR(VLOOKUP($A:$A,CS!$A:$AK,15,FALSE),"")</f>
      </c>
      <c r="J551" s="79">
        <f>IFERROR(VLOOKUP($A:$A,CS!$A:$AK,18,FALSE),"")</f>
      </c>
      <c r="K551" s="79">
        <f>IFERROR(VLOOKUP($A:$A,CS!$A:$AK,19,FALSE),"")</f>
      </c>
      <c r="L551" s="79">
        <f>IFERROR(VLOOKUP($A:$A,CS!$A:$AK,20,FALSE),"")</f>
      </c>
      <c r="M551" s="79">
        <f>IFERROR(VLOOKUP($A:$A,CS!$A:$AK,22,FALSE),"")</f>
      </c>
      <c r="N551" s="79">
        <f>IFERROR(VLOOKUP($A:$A,CS!$A:$AK,19,FALSE),"")</f>
      </c>
      <c r="O551" s="79">
        <f>IFERROR(VLOOKUP($A:$A,CS!$A:$AK,23,FALSE),"")</f>
      </c>
      <c r="P551" s="79">
        <f>IFERROR(VLOOKUP($A:$A,CS!$A:$AK,24,FALSE),"")</f>
      </c>
      <c r="Q551" s="79">
        <f>IFERROR(VLOOKUP($A:$A,CS!$A:$AK,25,FALSE),"")</f>
      </c>
      <c r="R551" s="79">
        <f>IFERROR(VLOOKUP($A:$A,CS!$A:$AK,26,FALSE),"")</f>
      </c>
      <c r="S551" s="79">
        <f>IFERROR(VLOOKUP($A:$A,CS!$A:$AK,29,FALSE),"")</f>
      </c>
      <c r="T551" s="79">
        <f>IFERROR(VLOOKUP($A:$A,CS!$A:$AK,33,FALSE),"")</f>
      </c>
      <c r="U551" s="79">
        <f>IFERROR(VLOOKUP($A:$A,CS!$A:$AK,34,FALSE),"")</f>
      </c>
      <c r="V551" s="79">
        <f>IFERROR(VLOOKUP($A:$A,CS!$A:$AK,35,FALSE),"")</f>
      </c>
      <c r="W551" s="79">
        <f>IFERROR(VLOOKUP($A:$A,CS!$A:$AK,36,FALSE),"")</f>
      </c>
    </row>
    <row r="552" ht="16.5" customHeight="1" spans="1:23" x14ac:dyDescent="0.25">
      <c r="A552" s="93"/>
      <c r="B552" s="79">
        <f>IFERROR(VLOOKUP($A:$A,CS!$A:$AK,3,FALSE),"")</f>
      </c>
      <c r="C552" s="79">
        <f>IFERROR(VLOOKUP($A:$A,CS!$A:$AK,4,FALSE),"")</f>
      </c>
      <c r="D552" s="79">
        <f>IFERROR(VLOOKUP($A:$A,CS!$A:$AK,5,FALSE),"")</f>
      </c>
      <c r="E552" s="79">
        <f>IFERROR(VLOOKUP($A:$A,CS!$A:$AK,7,FALSE),"")</f>
      </c>
      <c r="F552" s="79">
        <f>IFERROR(VLOOKUP($A:$A,CS!$A:$AK,8,FALSE),"")</f>
      </c>
      <c r="G552" s="79">
        <f>IFERROR(VLOOKUP($A:$A,CS!$A:$AK,10,FALSE),"")</f>
      </c>
      <c r="H552" s="79">
        <f>IFERROR(VLOOKUP($A:$A,CS!$A:$AK,14,FALSE),"")</f>
      </c>
      <c r="I552" s="79">
        <f>IFERROR(VLOOKUP($A:$A,CS!$A:$AK,15,FALSE),"")</f>
      </c>
      <c r="J552" s="79">
        <f>IFERROR(VLOOKUP($A:$A,CS!$A:$AK,18,FALSE),"")</f>
      </c>
      <c r="K552" s="79">
        <f>IFERROR(VLOOKUP($A:$A,CS!$A:$AK,19,FALSE),"")</f>
      </c>
      <c r="L552" s="79">
        <f>IFERROR(VLOOKUP($A:$A,CS!$A:$AK,20,FALSE),"")</f>
      </c>
      <c r="M552" s="79">
        <f>IFERROR(VLOOKUP($A:$A,CS!$A:$AK,22,FALSE),"")</f>
      </c>
      <c r="N552" s="79">
        <f>IFERROR(VLOOKUP($A:$A,CS!$A:$AK,19,FALSE),"")</f>
      </c>
      <c r="O552" s="79">
        <f>IFERROR(VLOOKUP($A:$A,CS!$A:$AK,23,FALSE),"")</f>
      </c>
      <c r="P552" s="79">
        <f>IFERROR(VLOOKUP($A:$A,CS!$A:$AK,24,FALSE),"")</f>
      </c>
      <c r="Q552" s="79">
        <f>IFERROR(VLOOKUP($A:$A,CS!$A:$AK,25,FALSE),"")</f>
      </c>
      <c r="R552" s="79">
        <f>IFERROR(VLOOKUP($A:$A,CS!$A:$AK,26,FALSE),"")</f>
      </c>
      <c r="S552" s="79">
        <f>IFERROR(VLOOKUP($A:$A,CS!$A:$AK,29,FALSE),"")</f>
      </c>
      <c r="T552" s="79">
        <f>IFERROR(VLOOKUP($A:$A,CS!$A:$AK,33,FALSE),"")</f>
      </c>
      <c r="U552" s="79">
        <f>IFERROR(VLOOKUP($A:$A,CS!$A:$AK,34,FALSE),"")</f>
      </c>
      <c r="V552" s="79">
        <f>IFERROR(VLOOKUP($A:$A,CS!$A:$AK,35,FALSE),"")</f>
      </c>
      <c r="W552" s="79">
        <f>IFERROR(VLOOKUP($A:$A,CS!$A:$AK,36,FALSE),"")</f>
      </c>
    </row>
    <row r="553" ht="16.5" customHeight="1" spans="1:23" x14ac:dyDescent="0.25">
      <c r="A553" s="93"/>
      <c r="B553" s="79">
        <f>IFERROR(VLOOKUP($A:$A,CS!$A:$AK,3,FALSE),"")</f>
      </c>
      <c r="C553" s="79">
        <f>IFERROR(VLOOKUP($A:$A,CS!$A:$AK,4,FALSE),"")</f>
      </c>
      <c r="D553" s="79">
        <f>IFERROR(VLOOKUP($A:$A,CS!$A:$AK,5,FALSE),"")</f>
      </c>
      <c r="E553" s="79">
        <f>IFERROR(VLOOKUP($A:$A,CS!$A:$AK,7,FALSE),"")</f>
      </c>
      <c r="F553" s="79">
        <f>IFERROR(VLOOKUP($A:$A,CS!$A:$AK,8,FALSE),"")</f>
      </c>
      <c r="G553" s="79">
        <f>IFERROR(VLOOKUP($A:$A,CS!$A:$AK,10,FALSE),"")</f>
      </c>
      <c r="H553" s="79">
        <f>IFERROR(VLOOKUP($A:$A,CS!$A:$AK,14,FALSE),"")</f>
      </c>
      <c r="I553" s="79">
        <f>IFERROR(VLOOKUP($A:$A,CS!$A:$AK,15,FALSE),"")</f>
      </c>
      <c r="J553" s="79">
        <f>IFERROR(VLOOKUP($A:$A,CS!$A:$AK,18,FALSE),"")</f>
      </c>
      <c r="K553" s="79">
        <f>IFERROR(VLOOKUP($A:$A,CS!$A:$AK,19,FALSE),"")</f>
      </c>
      <c r="L553" s="79">
        <f>IFERROR(VLOOKUP($A:$A,CS!$A:$AK,20,FALSE),"")</f>
      </c>
      <c r="M553" s="79">
        <f>IFERROR(VLOOKUP($A:$A,CS!$A:$AK,22,FALSE),"")</f>
      </c>
      <c r="N553" s="79">
        <f>IFERROR(VLOOKUP($A:$A,CS!$A:$AK,19,FALSE),"")</f>
      </c>
      <c r="O553" s="79">
        <f>IFERROR(VLOOKUP($A:$A,CS!$A:$AK,23,FALSE),"")</f>
      </c>
      <c r="P553" s="79">
        <f>IFERROR(VLOOKUP($A:$A,CS!$A:$AK,24,FALSE),"")</f>
      </c>
      <c r="Q553" s="79">
        <f>IFERROR(VLOOKUP($A:$A,CS!$A:$AK,25,FALSE),"")</f>
      </c>
      <c r="R553" s="79">
        <f>IFERROR(VLOOKUP($A:$A,CS!$A:$AK,26,FALSE),"")</f>
      </c>
      <c r="S553" s="79">
        <f>IFERROR(VLOOKUP($A:$A,CS!$A:$AK,29,FALSE),"")</f>
      </c>
      <c r="T553" s="79">
        <f>IFERROR(VLOOKUP($A:$A,CS!$A:$AK,33,FALSE),"")</f>
      </c>
      <c r="U553" s="79">
        <f>IFERROR(VLOOKUP($A:$A,CS!$A:$AK,34,FALSE),"")</f>
      </c>
      <c r="V553" s="79">
        <f>IFERROR(VLOOKUP($A:$A,CS!$A:$AK,35,FALSE),"")</f>
      </c>
      <c r="W553" s="79">
        <f>IFERROR(VLOOKUP($A:$A,CS!$A:$AK,36,FALSE),"")</f>
      </c>
    </row>
    <row r="554" ht="16.5" customHeight="1" spans="1:23" x14ac:dyDescent="0.25">
      <c r="A554" s="93"/>
      <c r="B554" s="79">
        <f>IFERROR(VLOOKUP($A:$A,CS!$A:$AK,3,FALSE),"")</f>
      </c>
      <c r="C554" s="79">
        <f>IFERROR(VLOOKUP($A:$A,CS!$A:$AK,4,FALSE),"")</f>
      </c>
      <c r="D554" s="79">
        <f>IFERROR(VLOOKUP($A:$A,CS!$A:$AK,5,FALSE),"")</f>
      </c>
      <c r="E554" s="79">
        <f>IFERROR(VLOOKUP($A:$A,CS!$A:$AK,7,FALSE),"")</f>
      </c>
      <c r="F554" s="79">
        <f>IFERROR(VLOOKUP($A:$A,CS!$A:$AK,8,FALSE),"")</f>
      </c>
      <c r="G554" s="79">
        <f>IFERROR(VLOOKUP($A:$A,CS!$A:$AK,10,FALSE),"")</f>
      </c>
      <c r="H554" s="79">
        <f>IFERROR(VLOOKUP($A:$A,CS!$A:$AK,14,FALSE),"")</f>
      </c>
      <c r="I554" s="79">
        <f>IFERROR(VLOOKUP($A:$A,CS!$A:$AK,15,FALSE),"")</f>
      </c>
      <c r="J554" s="79">
        <f>IFERROR(VLOOKUP($A:$A,CS!$A:$AK,18,FALSE),"")</f>
      </c>
      <c r="K554" s="79">
        <f>IFERROR(VLOOKUP($A:$A,CS!$A:$AK,19,FALSE),"")</f>
      </c>
      <c r="L554" s="79">
        <f>IFERROR(VLOOKUP($A:$A,CS!$A:$AK,20,FALSE),"")</f>
      </c>
      <c r="M554" s="79">
        <f>IFERROR(VLOOKUP($A:$A,CS!$A:$AK,22,FALSE),"")</f>
      </c>
      <c r="N554" s="79">
        <f>IFERROR(VLOOKUP($A:$A,CS!$A:$AK,19,FALSE),"")</f>
      </c>
      <c r="O554" s="79">
        <f>IFERROR(VLOOKUP($A:$A,CS!$A:$AK,23,FALSE),"")</f>
      </c>
      <c r="P554" s="79">
        <f>IFERROR(VLOOKUP($A:$A,CS!$A:$AK,24,FALSE),"")</f>
      </c>
      <c r="Q554" s="79">
        <f>IFERROR(VLOOKUP($A:$A,CS!$A:$AK,25,FALSE),"")</f>
      </c>
      <c r="R554" s="79">
        <f>IFERROR(VLOOKUP($A:$A,CS!$A:$AK,26,FALSE),"")</f>
      </c>
      <c r="S554" s="79">
        <f>IFERROR(VLOOKUP($A:$A,CS!$A:$AK,29,FALSE),"")</f>
      </c>
      <c r="T554" s="79">
        <f>IFERROR(VLOOKUP($A:$A,CS!$A:$AK,33,FALSE),"")</f>
      </c>
      <c r="U554" s="79">
        <f>IFERROR(VLOOKUP($A:$A,CS!$A:$AK,34,FALSE),"")</f>
      </c>
      <c r="V554" s="79">
        <f>IFERROR(VLOOKUP($A:$A,CS!$A:$AK,35,FALSE),"")</f>
      </c>
      <c r="W554" s="79">
        <f>IFERROR(VLOOKUP($A:$A,CS!$A:$AK,36,FALSE),"")</f>
      </c>
    </row>
    <row r="555" ht="16.5" customHeight="1" spans="1:23" x14ac:dyDescent="0.25">
      <c r="A555" s="93"/>
      <c r="B555" s="79">
        <f>IFERROR(VLOOKUP($A:$A,CS!$A:$AK,3,FALSE),"")</f>
      </c>
      <c r="C555" s="79">
        <f>IFERROR(VLOOKUP($A:$A,CS!$A:$AK,4,FALSE),"")</f>
      </c>
      <c r="D555" s="79">
        <f>IFERROR(VLOOKUP($A:$A,CS!$A:$AK,5,FALSE),"")</f>
      </c>
      <c r="E555" s="79">
        <f>IFERROR(VLOOKUP($A:$A,CS!$A:$AK,7,FALSE),"")</f>
      </c>
      <c r="F555" s="79">
        <f>IFERROR(VLOOKUP($A:$A,CS!$A:$AK,8,FALSE),"")</f>
      </c>
      <c r="G555" s="79">
        <f>IFERROR(VLOOKUP($A:$A,CS!$A:$AK,10,FALSE),"")</f>
      </c>
      <c r="H555" s="79">
        <f>IFERROR(VLOOKUP($A:$A,CS!$A:$AK,14,FALSE),"")</f>
      </c>
      <c r="I555" s="79">
        <f>IFERROR(VLOOKUP($A:$A,CS!$A:$AK,15,FALSE),"")</f>
      </c>
      <c r="J555" s="79">
        <f>IFERROR(VLOOKUP($A:$A,CS!$A:$AK,18,FALSE),"")</f>
      </c>
      <c r="K555" s="79">
        <f>IFERROR(VLOOKUP($A:$A,CS!$A:$AK,19,FALSE),"")</f>
      </c>
      <c r="L555" s="79">
        <f>IFERROR(VLOOKUP($A:$A,CS!$A:$AK,20,FALSE),"")</f>
      </c>
      <c r="M555" s="79">
        <f>IFERROR(VLOOKUP($A:$A,CS!$A:$AK,22,FALSE),"")</f>
      </c>
      <c r="N555" s="79">
        <f>IFERROR(VLOOKUP($A:$A,CS!$A:$AK,19,FALSE),"")</f>
      </c>
      <c r="O555" s="79">
        <f>IFERROR(VLOOKUP($A:$A,CS!$A:$AK,23,FALSE),"")</f>
      </c>
      <c r="P555" s="79">
        <f>IFERROR(VLOOKUP($A:$A,CS!$A:$AK,24,FALSE),"")</f>
      </c>
      <c r="Q555" s="79">
        <f>IFERROR(VLOOKUP($A:$A,CS!$A:$AK,25,FALSE),"")</f>
      </c>
      <c r="R555" s="79">
        <f>IFERROR(VLOOKUP($A:$A,CS!$A:$AK,26,FALSE),"")</f>
      </c>
      <c r="S555" s="79">
        <f>IFERROR(VLOOKUP($A:$A,CS!$A:$AK,29,FALSE),"")</f>
      </c>
      <c r="T555" s="79">
        <f>IFERROR(VLOOKUP($A:$A,CS!$A:$AK,33,FALSE),"")</f>
      </c>
      <c r="U555" s="79">
        <f>IFERROR(VLOOKUP($A:$A,CS!$A:$AK,34,FALSE),"")</f>
      </c>
      <c r="V555" s="79">
        <f>IFERROR(VLOOKUP($A:$A,CS!$A:$AK,35,FALSE),"")</f>
      </c>
      <c r="W555" s="79">
        <f>IFERROR(VLOOKUP($A:$A,CS!$A:$AK,36,FALSE),"")</f>
      </c>
    </row>
    <row r="556" ht="16.5" customHeight="1" spans="1:23" x14ac:dyDescent="0.25">
      <c r="A556" s="93"/>
      <c r="B556" s="79">
        <f>IFERROR(VLOOKUP($A:$A,CS!$A:$AK,3,FALSE),"")</f>
      </c>
      <c r="C556" s="79">
        <f>IFERROR(VLOOKUP($A:$A,CS!$A:$AK,4,FALSE),"")</f>
      </c>
      <c r="D556" s="79">
        <f>IFERROR(VLOOKUP($A:$A,CS!$A:$AK,5,FALSE),"")</f>
      </c>
      <c r="E556" s="79">
        <f>IFERROR(VLOOKUP($A:$A,CS!$A:$AK,7,FALSE),"")</f>
      </c>
      <c r="F556" s="79">
        <f>IFERROR(VLOOKUP($A:$A,CS!$A:$AK,8,FALSE),"")</f>
      </c>
      <c r="G556" s="79">
        <f>IFERROR(VLOOKUP($A:$A,CS!$A:$AK,10,FALSE),"")</f>
      </c>
      <c r="H556" s="79">
        <f>IFERROR(VLOOKUP($A:$A,CS!$A:$AK,14,FALSE),"")</f>
      </c>
      <c r="I556" s="79">
        <f>IFERROR(VLOOKUP($A:$A,CS!$A:$AK,15,FALSE),"")</f>
      </c>
      <c r="J556" s="79">
        <f>IFERROR(VLOOKUP($A:$A,CS!$A:$AK,18,FALSE),"")</f>
      </c>
      <c r="K556" s="79">
        <f>IFERROR(VLOOKUP($A:$A,CS!$A:$AK,19,FALSE),"")</f>
      </c>
      <c r="L556" s="79">
        <f>IFERROR(VLOOKUP($A:$A,CS!$A:$AK,20,FALSE),"")</f>
      </c>
      <c r="M556" s="79">
        <f>IFERROR(VLOOKUP($A:$A,CS!$A:$AK,22,FALSE),"")</f>
      </c>
      <c r="N556" s="79">
        <f>IFERROR(VLOOKUP($A:$A,CS!$A:$AK,19,FALSE),"")</f>
      </c>
      <c r="O556" s="79">
        <f>IFERROR(VLOOKUP($A:$A,CS!$A:$AK,23,FALSE),"")</f>
      </c>
      <c r="P556" s="79">
        <f>IFERROR(VLOOKUP($A:$A,CS!$A:$AK,24,FALSE),"")</f>
      </c>
      <c r="Q556" s="79">
        <f>IFERROR(VLOOKUP($A:$A,CS!$A:$AK,25,FALSE),"")</f>
      </c>
      <c r="R556" s="79">
        <f>IFERROR(VLOOKUP($A:$A,CS!$A:$AK,26,FALSE),"")</f>
      </c>
      <c r="S556" s="79">
        <f>IFERROR(VLOOKUP($A:$A,CS!$A:$AK,29,FALSE),"")</f>
      </c>
      <c r="T556" s="79">
        <f>IFERROR(VLOOKUP($A:$A,CS!$A:$AK,33,FALSE),"")</f>
      </c>
      <c r="U556" s="79">
        <f>IFERROR(VLOOKUP($A:$A,CS!$A:$AK,34,FALSE),"")</f>
      </c>
      <c r="V556" s="79">
        <f>IFERROR(VLOOKUP($A:$A,CS!$A:$AK,35,FALSE),"")</f>
      </c>
      <c r="W556" s="79">
        <f>IFERROR(VLOOKUP($A:$A,CS!$A:$AK,36,FALSE),"")</f>
      </c>
    </row>
    <row r="557" ht="16.5" customHeight="1" spans="1:23" x14ac:dyDescent="0.25">
      <c r="A557" s="93"/>
      <c r="B557" s="79">
        <f>IFERROR(VLOOKUP($A:$A,CS!$A:$AK,3,FALSE),"")</f>
      </c>
      <c r="C557" s="79">
        <f>IFERROR(VLOOKUP($A:$A,CS!$A:$AK,4,FALSE),"")</f>
      </c>
      <c r="D557" s="79">
        <f>IFERROR(VLOOKUP($A:$A,CS!$A:$AK,5,FALSE),"")</f>
      </c>
      <c r="E557" s="79">
        <f>IFERROR(VLOOKUP($A:$A,CS!$A:$AK,7,FALSE),"")</f>
      </c>
      <c r="F557" s="79">
        <f>IFERROR(VLOOKUP($A:$A,CS!$A:$AK,8,FALSE),"")</f>
      </c>
      <c r="G557" s="79">
        <f>IFERROR(VLOOKUP($A:$A,CS!$A:$AK,10,FALSE),"")</f>
      </c>
      <c r="H557" s="79">
        <f>IFERROR(VLOOKUP($A:$A,CS!$A:$AK,14,FALSE),"")</f>
      </c>
      <c r="I557" s="79">
        <f>IFERROR(VLOOKUP($A:$A,CS!$A:$AK,15,FALSE),"")</f>
      </c>
      <c r="J557" s="79">
        <f>IFERROR(VLOOKUP($A:$A,CS!$A:$AK,18,FALSE),"")</f>
      </c>
      <c r="K557" s="79">
        <f>IFERROR(VLOOKUP($A:$A,CS!$A:$AK,19,FALSE),"")</f>
      </c>
      <c r="L557" s="79">
        <f>IFERROR(VLOOKUP($A:$A,CS!$A:$AK,20,FALSE),"")</f>
      </c>
      <c r="M557" s="79">
        <f>IFERROR(VLOOKUP($A:$A,CS!$A:$AK,22,FALSE),"")</f>
      </c>
      <c r="N557" s="79">
        <f>IFERROR(VLOOKUP($A:$A,CS!$A:$AK,19,FALSE),"")</f>
      </c>
      <c r="O557" s="79">
        <f>IFERROR(VLOOKUP($A:$A,CS!$A:$AK,23,FALSE),"")</f>
      </c>
      <c r="P557" s="79">
        <f>IFERROR(VLOOKUP($A:$A,CS!$A:$AK,24,FALSE),"")</f>
      </c>
      <c r="Q557" s="79">
        <f>IFERROR(VLOOKUP($A:$A,CS!$A:$AK,25,FALSE),"")</f>
      </c>
      <c r="R557" s="79">
        <f>IFERROR(VLOOKUP($A:$A,CS!$A:$AK,26,FALSE),"")</f>
      </c>
      <c r="S557" s="79">
        <f>IFERROR(VLOOKUP($A:$A,CS!$A:$AK,29,FALSE),"")</f>
      </c>
      <c r="T557" s="79">
        <f>IFERROR(VLOOKUP($A:$A,CS!$A:$AK,33,FALSE),"")</f>
      </c>
      <c r="U557" s="79">
        <f>IFERROR(VLOOKUP($A:$A,CS!$A:$AK,34,FALSE),"")</f>
      </c>
      <c r="V557" s="79">
        <f>IFERROR(VLOOKUP($A:$A,CS!$A:$AK,35,FALSE),"")</f>
      </c>
      <c r="W557" s="79">
        <f>IFERROR(VLOOKUP($A:$A,CS!$A:$AK,36,FALSE),"")</f>
      </c>
    </row>
    <row r="558" ht="16.5" customHeight="1" spans="1:23" x14ac:dyDescent="0.25">
      <c r="A558" s="93"/>
      <c r="B558" s="79">
        <f>IFERROR(VLOOKUP($A:$A,CS!$A:$AK,3,FALSE),"")</f>
      </c>
      <c r="C558" s="79">
        <f>IFERROR(VLOOKUP($A:$A,CS!$A:$AK,4,FALSE),"")</f>
      </c>
      <c r="D558" s="79">
        <f>IFERROR(VLOOKUP($A:$A,CS!$A:$AK,5,FALSE),"")</f>
      </c>
      <c r="E558" s="79">
        <f>IFERROR(VLOOKUP($A:$A,CS!$A:$AK,7,FALSE),"")</f>
      </c>
      <c r="F558" s="79">
        <f>IFERROR(VLOOKUP($A:$A,CS!$A:$AK,8,FALSE),"")</f>
      </c>
      <c r="G558" s="79">
        <f>IFERROR(VLOOKUP($A:$A,CS!$A:$AK,10,FALSE),"")</f>
      </c>
      <c r="H558" s="79">
        <f>IFERROR(VLOOKUP($A:$A,CS!$A:$AK,14,FALSE),"")</f>
      </c>
      <c r="I558" s="79">
        <f>IFERROR(VLOOKUP($A:$A,CS!$A:$AK,15,FALSE),"")</f>
      </c>
      <c r="J558" s="79">
        <f>IFERROR(VLOOKUP($A:$A,CS!$A:$AK,18,FALSE),"")</f>
      </c>
      <c r="K558" s="79">
        <f>IFERROR(VLOOKUP($A:$A,CS!$A:$AK,19,FALSE),"")</f>
      </c>
      <c r="L558" s="79">
        <f>IFERROR(VLOOKUP($A:$A,CS!$A:$AK,20,FALSE),"")</f>
      </c>
      <c r="M558" s="79">
        <f>IFERROR(VLOOKUP($A:$A,CS!$A:$AK,22,FALSE),"")</f>
      </c>
      <c r="N558" s="79">
        <f>IFERROR(VLOOKUP($A:$A,CS!$A:$AK,19,FALSE),"")</f>
      </c>
      <c r="O558" s="79">
        <f>IFERROR(VLOOKUP($A:$A,CS!$A:$AK,23,FALSE),"")</f>
      </c>
      <c r="P558" s="79">
        <f>IFERROR(VLOOKUP($A:$A,CS!$A:$AK,24,FALSE),"")</f>
      </c>
      <c r="Q558" s="79">
        <f>IFERROR(VLOOKUP($A:$A,CS!$A:$AK,25,FALSE),"")</f>
      </c>
      <c r="R558" s="79">
        <f>IFERROR(VLOOKUP($A:$A,CS!$A:$AK,26,FALSE),"")</f>
      </c>
      <c r="S558" s="79">
        <f>IFERROR(VLOOKUP($A:$A,CS!$A:$AK,29,FALSE),"")</f>
      </c>
      <c r="T558" s="79">
        <f>IFERROR(VLOOKUP($A:$A,CS!$A:$AK,33,FALSE),"")</f>
      </c>
      <c r="U558" s="79">
        <f>IFERROR(VLOOKUP($A:$A,CS!$A:$AK,34,FALSE),"")</f>
      </c>
      <c r="V558" s="79">
        <f>IFERROR(VLOOKUP($A:$A,CS!$A:$AK,35,FALSE),"")</f>
      </c>
      <c r="W558" s="79">
        <f>IFERROR(VLOOKUP($A:$A,CS!$A:$AK,36,FALSE),"")</f>
      </c>
    </row>
    <row r="559" ht="16.5" customHeight="1" spans="1:23" x14ac:dyDescent="0.25">
      <c r="A559" s="93"/>
      <c r="B559" s="79">
        <f>IFERROR(VLOOKUP($A:$A,CS!$A:$AK,3,FALSE),"")</f>
      </c>
      <c r="C559" s="79">
        <f>IFERROR(VLOOKUP($A:$A,CS!$A:$AK,4,FALSE),"")</f>
      </c>
      <c r="D559" s="79">
        <f>IFERROR(VLOOKUP($A:$A,CS!$A:$AK,5,FALSE),"")</f>
      </c>
      <c r="E559" s="79">
        <f>IFERROR(VLOOKUP($A:$A,CS!$A:$AK,7,FALSE),"")</f>
      </c>
      <c r="F559" s="79">
        <f>IFERROR(VLOOKUP($A:$A,CS!$A:$AK,8,FALSE),"")</f>
      </c>
      <c r="G559" s="79">
        <f>IFERROR(VLOOKUP($A:$A,CS!$A:$AK,10,FALSE),"")</f>
      </c>
      <c r="H559" s="79">
        <f>IFERROR(VLOOKUP($A:$A,CS!$A:$AK,14,FALSE),"")</f>
      </c>
      <c r="I559" s="79">
        <f>IFERROR(VLOOKUP($A:$A,CS!$A:$AK,15,FALSE),"")</f>
      </c>
      <c r="J559" s="79">
        <f>IFERROR(VLOOKUP($A:$A,CS!$A:$AK,18,FALSE),"")</f>
      </c>
      <c r="K559" s="79">
        <f>IFERROR(VLOOKUP($A:$A,CS!$A:$AK,19,FALSE),"")</f>
      </c>
      <c r="L559" s="79">
        <f>IFERROR(VLOOKUP($A:$A,CS!$A:$AK,20,FALSE),"")</f>
      </c>
      <c r="M559" s="79">
        <f>IFERROR(VLOOKUP($A:$A,CS!$A:$AK,22,FALSE),"")</f>
      </c>
      <c r="N559" s="79">
        <f>IFERROR(VLOOKUP($A:$A,CS!$A:$AK,19,FALSE),"")</f>
      </c>
      <c r="O559" s="79">
        <f>IFERROR(VLOOKUP($A:$A,CS!$A:$AK,23,FALSE),"")</f>
      </c>
      <c r="P559" s="79">
        <f>IFERROR(VLOOKUP($A:$A,CS!$A:$AK,24,FALSE),"")</f>
      </c>
      <c r="Q559" s="79">
        <f>IFERROR(VLOOKUP($A:$A,CS!$A:$AK,25,FALSE),"")</f>
      </c>
      <c r="R559" s="79">
        <f>IFERROR(VLOOKUP($A:$A,CS!$A:$AK,26,FALSE),"")</f>
      </c>
      <c r="S559" s="79">
        <f>IFERROR(VLOOKUP($A:$A,CS!$A:$AK,29,FALSE),"")</f>
      </c>
      <c r="T559" s="79">
        <f>IFERROR(VLOOKUP($A:$A,CS!$A:$AK,33,FALSE),"")</f>
      </c>
      <c r="U559" s="79">
        <f>IFERROR(VLOOKUP($A:$A,CS!$A:$AK,34,FALSE),"")</f>
      </c>
      <c r="V559" s="79">
        <f>IFERROR(VLOOKUP($A:$A,CS!$A:$AK,35,FALSE),"")</f>
      </c>
      <c r="W559" s="79">
        <f>IFERROR(VLOOKUP($A:$A,CS!$A:$AK,36,FALSE),"")</f>
      </c>
    </row>
    <row r="560" ht="16.5" customHeight="1" spans="1:23" x14ac:dyDescent="0.25">
      <c r="A560" s="93"/>
      <c r="B560" s="79">
        <f>IFERROR(VLOOKUP($A:$A,CS!$A:$AK,3,FALSE),"")</f>
      </c>
      <c r="C560" s="79">
        <f>IFERROR(VLOOKUP($A:$A,CS!$A:$AK,4,FALSE),"")</f>
      </c>
      <c r="D560" s="79">
        <f>IFERROR(VLOOKUP($A:$A,CS!$A:$AK,5,FALSE),"")</f>
      </c>
      <c r="E560" s="79">
        <f>IFERROR(VLOOKUP($A:$A,CS!$A:$AK,7,FALSE),"")</f>
      </c>
      <c r="F560" s="79">
        <f>IFERROR(VLOOKUP($A:$A,CS!$A:$AK,8,FALSE),"")</f>
      </c>
      <c r="G560" s="79">
        <f>IFERROR(VLOOKUP($A:$A,CS!$A:$AK,10,FALSE),"")</f>
      </c>
      <c r="H560" s="79">
        <f>IFERROR(VLOOKUP($A:$A,CS!$A:$AK,14,FALSE),"")</f>
      </c>
      <c r="I560" s="79">
        <f>IFERROR(VLOOKUP($A:$A,CS!$A:$AK,15,FALSE),"")</f>
      </c>
      <c r="J560" s="79">
        <f>IFERROR(VLOOKUP($A:$A,CS!$A:$AK,18,FALSE),"")</f>
      </c>
      <c r="K560" s="79">
        <f>IFERROR(VLOOKUP($A:$A,CS!$A:$AK,19,FALSE),"")</f>
      </c>
      <c r="L560" s="79">
        <f>IFERROR(VLOOKUP($A:$A,CS!$A:$AK,20,FALSE),"")</f>
      </c>
      <c r="M560" s="79">
        <f>IFERROR(VLOOKUP($A:$A,CS!$A:$AK,22,FALSE),"")</f>
      </c>
      <c r="N560" s="79">
        <f>IFERROR(VLOOKUP($A:$A,CS!$A:$AK,19,FALSE),"")</f>
      </c>
      <c r="O560" s="79">
        <f>IFERROR(VLOOKUP($A:$A,CS!$A:$AK,23,FALSE),"")</f>
      </c>
      <c r="P560" s="79">
        <f>IFERROR(VLOOKUP($A:$A,CS!$A:$AK,24,FALSE),"")</f>
      </c>
      <c r="Q560" s="79">
        <f>IFERROR(VLOOKUP($A:$A,CS!$A:$AK,25,FALSE),"")</f>
      </c>
      <c r="R560" s="79">
        <f>IFERROR(VLOOKUP($A:$A,CS!$A:$AK,26,FALSE),"")</f>
      </c>
      <c r="S560" s="79">
        <f>IFERROR(VLOOKUP($A:$A,CS!$A:$AK,29,FALSE),"")</f>
      </c>
      <c r="T560" s="79">
        <f>IFERROR(VLOOKUP($A:$A,CS!$A:$AK,33,FALSE),"")</f>
      </c>
      <c r="U560" s="79">
        <f>IFERROR(VLOOKUP($A:$A,CS!$A:$AK,34,FALSE),"")</f>
      </c>
      <c r="V560" s="79">
        <f>IFERROR(VLOOKUP($A:$A,CS!$A:$AK,35,FALSE),"")</f>
      </c>
      <c r="W560" s="79">
        <f>IFERROR(VLOOKUP($A:$A,CS!$A:$AK,36,FALSE),"")</f>
      </c>
    </row>
    <row r="561" ht="16.5" customHeight="1" spans="1:23" x14ac:dyDescent="0.25">
      <c r="A561" s="93"/>
      <c r="B561" s="79">
        <f>IFERROR(VLOOKUP($A:$A,CS!$A:$AK,3,FALSE),"")</f>
      </c>
      <c r="C561" s="79">
        <f>IFERROR(VLOOKUP($A:$A,CS!$A:$AK,4,FALSE),"")</f>
      </c>
      <c r="D561" s="79">
        <f>IFERROR(VLOOKUP($A:$A,CS!$A:$AK,5,FALSE),"")</f>
      </c>
      <c r="E561" s="79">
        <f>IFERROR(VLOOKUP($A:$A,CS!$A:$AK,7,FALSE),"")</f>
      </c>
      <c r="F561" s="79">
        <f>IFERROR(VLOOKUP($A:$A,CS!$A:$AK,8,FALSE),"")</f>
      </c>
      <c r="G561" s="79">
        <f>IFERROR(VLOOKUP($A:$A,CS!$A:$AK,10,FALSE),"")</f>
      </c>
      <c r="H561" s="79">
        <f>IFERROR(VLOOKUP($A:$A,CS!$A:$AK,14,FALSE),"")</f>
      </c>
      <c r="I561" s="79">
        <f>IFERROR(VLOOKUP($A:$A,CS!$A:$AK,15,FALSE),"")</f>
      </c>
      <c r="J561" s="79">
        <f>IFERROR(VLOOKUP($A:$A,CS!$A:$AK,18,FALSE),"")</f>
      </c>
      <c r="K561" s="79">
        <f>IFERROR(VLOOKUP($A:$A,CS!$A:$AK,19,FALSE),"")</f>
      </c>
      <c r="L561" s="79">
        <f>IFERROR(VLOOKUP($A:$A,CS!$A:$AK,20,FALSE),"")</f>
      </c>
      <c r="M561" s="79">
        <f>IFERROR(VLOOKUP($A:$A,CS!$A:$AK,22,FALSE),"")</f>
      </c>
      <c r="N561" s="79">
        <f>IFERROR(VLOOKUP($A:$A,CS!$A:$AK,19,FALSE),"")</f>
      </c>
      <c r="O561" s="79">
        <f>IFERROR(VLOOKUP($A:$A,CS!$A:$AK,23,FALSE),"")</f>
      </c>
      <c r="P561" s="79">
        <f>IFERROR(VLOOKUP($A:$A,CS!$A:$AK,24,FALSE),"")</f>
      </c>
      <c r="Q561" s="79">
        <f>IFERROR(VLOOKUP($A:$A,CS!$A:$AK,25,FALSE),"")</f>
      </c>
      <c r="R561" s="79">
        <f>IFERROR(VLOOKUP($A:$A,CS!$A:$AK,26,FALSE),"")</f>
      </c>
      <c r="S561" s="79">
        <f>IFERROR(VLOOKUP($A:$A,CS!$A:$AK,29,FALSE),"")</f>
      </c>
      <c r="T561" s="79">
        <f>IFERROR(VLOOKUP($A:$A,CS!$A:$AK,33,FALSE),"")</f>
      </c>
      <c r="U561" s="79">
        <f>IFERROR(VLOOKUP($A:$A,CS!$A:$AK,34,FALSE),"")</f>
      </c>
      <c r="V561" s="79">
        <f>IFERROR(VLOOKUP($A:$A,CS!$A:$AK,35,FALSE),"")</f>
      </c>
      <c r="W561" s="79">
        <f>IFERROR(VLOOKUP($A:$A,CS!$A:$AK,36,FALSE),"")</f>
      </c>
    </row>
    <row r="562" ht="16.5" customHeight="1" spans="1:23" x14ac:dyDescent="0.25">
      <c r="A562" s="93"/>
      <c r="B562" s="79">
        <f>IFERROR(VLOOKUP($A:$A,CS!$A:$AK,3,FALSE),"")</f>
      </c>
      <c r="C562" s="79">
        <f>IFERROR(VLOOKUP($A:$A,CS!$A:$AK,4,FALSE),"")</f>
      </c>
      <c r="D562" s="79">
        <f>IFERROR(VLOOKUP($A:$A,CS!$A:$AK,5,FALSE),"")</f>
      </c>
      <c r="E562" s="79">
        <f>IFERROR(VLOOKUP($A:$A,CS!$A:$AK,7,FALSE),"")</f>
      </c>
      <c r="F562" s="79">
        <f>IFERROR(VLOOKUP($A:$A,CS!$A:$AK,8,FALSE),"")</f>
      </c>
      <c r="G562" s="79">
        <f>IFERROR(VLOOKUP($A:$A,CS!$A:$AK,10,FALSE),"")</f>
      </c>
      <c r="H562" s="79">
        <f>IFERROR(VLOOKUP($A:$A,CS!$A:$AK,14,FALSE),"")</f>
      </c>
      <c r="I562" s="79">
        <f>IFERROR(VLOOKUP($A:$A,CS!$A:$AK,15,FALSE),"")</f>
      </c>
      <c r="J562" s="79">
        <f>IFERROR(VLOOKUP($A:$A,CS!$A:$AK,18,FALSE),"")</f>
      </c>
      <c r="K562" s="79">
        <f>IFERROR(VLOOKUP($A:$A,CS!$A:$AK,19,FALSE),"")</f>
      </c>
      <c r="L562" s="79">
        <f>IFERROR(VLOOKUP($A:$A,CS!$A:$AK,20,FALSE),"")</f>
      </c>
      <c r="M562" s="79">
        <f>IFERROR(VLOOKUP($A:$A,CS!$A:$AK,22,FALSE),"")</f>
      </c>
      <c r="N562" s="79">
        <f>IFERROR(VLOOKUP($A:$A,CS!$A:$AK,19,FALSE),"")</f>
      </c>
      <c r="O562" s="79">
        <f>IFERROR(VLOOKUP($A:$A,CS!$A:$AK,23,FALSE),"")</f>
      </c>
      <c r="P562" s="79">
        <f>IFERROR(VLOOKUP($A:$A,CS!$A:$AK,24,FALSE),"")</f>
      </c>
      <c r="Q562" s="79">
        <f>IFERROR(VLOOKUP($A:$A,CS!$A:$AK,25,FALSE),"")</f>
      </c>
      <c r="R562" s="79">
        <f>IFERROR(VLOOKUP($A:$A,CS!$A:$AK,26,FALSE),"")</f>
      </c>
      <c r="S562" s="79">
        <f>IFERROR(VLOOKUP($A:$A,CS!$A:$AK,29,FALSE),"")</f>
      </c>
      <c r="T562" s="79">
        <f>IFERROR(VLOOKUP($A:$A,CS!$A:$AK,33,FALSE),"")</f>
      </c>
      <c r="U562" s="79">
        <f>IFERROR(VLOOKUP($A:$A,CS!$A:$AK,34,FALSE),"")</f>
      </c>
      <c r="V562" s="79">
        <f>IFERROR(VLOOKUP($A:$A,CS!$A:$AK,35,FALSE),"")</f>
      </c>
      <c r="W562" s="79">
        <f>IFERROR(VLOOKUP($A:$A,CS!$A:$AK,36,FALSE),"")</f>
      </c>
    </row>
    <row r="563" ht="16.5" customHeight="1" spans="1:23" x14ac:dyDescent="0.25">
      <c r="A563" s="94"/>
      <c r="B563" s="79"/>
      <c r="C563" s="79"/>
      <c r="D563" s="80"/>
      <c r="E563" s="79"/>
      <c r="F563" s="79"/>
      <c r="G563" s="79"/>
      <c r="H563" s="79"/>
      <c r="I563" s="79"/>
      <c r="J563" s="90"/>
      <c r="K563" s="79"/>
      <c r="L563" s="82"/>
      <c r="M563" s="79"/>
      <c r="N563" s="79"/>
      <c r="O563" s="82"/>
      <c r="P563" s="81"/>
      <c r="Q563" s="82"/>
      <c r="R563" s="82"/>
      <c r="S563" s="81"/>
      <c r="T563" s="85"/>
      <c r="U563" s="82"/>
      <c r="V563" s="95"/>
      <c r="W563" s="81"/>
    </row>
    <row r="564" ht="16.5" customHeight="1" spans="1:23" x14ac:dyDescent="0.25">
      <c r="A564" s="94"/>
      <c r="B564" s="79"/>
      <c r="C564" s="79"/>
      <c r="D564" s="80"/>
      <c r="E564" s="79"/>
      <c r="F564" s="79"/>
      <c r="G564" s="79"/>
      <c r="H564" s="79"/>
      <c r="I564" s="79"/>
      <c r="J564" s="90"/>
      <c r="K564" s="79"/>
      <c r="L564" s="82"/>
      <c r="M564" s="79"/>
      <c r="N564" s="79"/>
      <c r="O564" s="82"/>
      <c r="P564" s="81"/>
      <c r="Q564" s="82"/>
      <c r="R564" s="82"/>
      <c r="S564" s="81"/>
      <c r="T564" s="85"/>
      <c r="U564" s="82"/>
      <c r="V564" s="96"/>
      <c r="W564" s="81"/>
    </row>
    <row r="565" ht="16.5" customHeight="1" spans="1:23" x14ac:dyDescent="0.25">
      <c r="A565" s="94"/>
      <c r="B565" s="79"/>
      <c r="C565" s="79"/>
      <c r="D565" s="80"/>
      <c r="E565" s="79"/>
      <c r="F565" s="79"/>
      <c r="G565" s="79"/>
      <c r="H565" s="79"/>
      <c r="I565" s="79"/>
      <c r="J565" s="90"/>
      <c r="K565" s="79"/>
      <c r="L565" s="82"/>
      <c r="M565" s="79"/>
      <c r="N565" s="79"/>
      <c r="O565" s="82"/>
      <c r="P565" s="81"/>
      <c r="Q565" s="82"/>
      <c r="R565" s="82"/>
      <c r="S565" s="81"/>
      <c r="T565" s="85"/>
      <c r="U565" s="82"/>
      <c r="V565" s="96"/>
      <c r="W565" s="81"/>
    </row>
    <row r="566" ht="16.5" customHeight="1" spans="1:23" x14ac:dyDescent="0.25">
      <c r="A566" s="94"/>
      <c r="B566" s="79"/>
      <c r="C566" s="79"/>
      <c r="D566" s="80"/>
      <c r="E566" s="79"/>
      <c r="F566" s="79"/>
      <c r="G566" s="79"/>
      <c r="H566" s="79"/>
      <c r="I566" s="79"/>
      <c r="J566" s="90"/>
      <c r="K566" s="79"/>
      <c r="L566" s="82"/>
      <c r="M566" s="79"/>
      <c r="N566" s="79"/>
      <c r="O566" s="82"/>
      <c r="P566" s="81"/>
      <c r="Q566" s="82"/>
      <c r="R566" s="82"/>
      <c r="S566" s="81"/>
      <c r="T566" s="85"/>
      <c r="U566" s="82"/>
      <c r="V566" s="96"/>
      <c r="W566" s="81"/>
    </row>
    <row r="567" ht="16.5" customHeight="1" spans="1:23" x14ac:dyDescent="0.25">
      <c r="A567" s="94"/>
      <c r="B567" s="79"/>
      <c r="C567" s="79"/>
      <c r="D567" s="80"/>
      <c r="E567" s="79"/>
      <c r="F567" s="79"/>
      <c r="G567" s="79"/>
      <c r="H567" s="79"/>
      <c r="I567" s="79"/>
      <c r="J567" s="90"/>
      <c r="K567" s="79"/>
      <c r="L567" s="82"/>
      <c r="M567" s="79"/>
      <c r="N567" s="79"/>
      <c r="O567" s="82"/>
      <c r="P567" s="81"/>
      <c r="Q567" s="82"/>
      <c r="R567" s="82"/>
      <c r="S567" s="81"/>
      <c r="T567" s="85"/>
      <c r="U567" s="82"/>
      <c r="V567" s="96"/>
      <c r="W567" s="81"/>
    </row>
    <row r="568" ht="16.5" customHeight="1" spans="1:23" x14ac:dyDescent="0.25">
      <c r="A568" s="94"/>
      <c r="B568" s="79"/>
      <c r="C568" s="79"/>
      <c r="D568" s="80"/>
      <c r="E568" s="79"/>
      <c r="F568" s="79"/>
      <c r="G568" s="79"/>
      <c r="H568" s="79"/>
      <c r="I568" s="79"/>
      <c r="J568" s="90"/>
      <c r="K568" s="79"/>
      <c r="L568" s="82"/>
      <c r="M568" s="79"/>
      <c r="N568" s="79"/>
      <c r="O568" s="82"/>
      <c r="P568" s="81"/>
      <c r="Q568" s="82"/>
      <c r="R568" s="82"/>
      <c r="S568" s="81"/>
      <c r="T568" s="85"/>
      <c r="U568" s="82"/>
      <c r="V568" s="96"/>
      <c r="W568" s="81"/>
    </row>
    <row r="569" ht="16.5" customHeight="1" spans="1:23" x14ac:dyDescent="0.25">
      <c r="A569" s="94"/>
      <c r="B569" s="79"/>
      <c r="C569" s="79"/>
      <c r="D569" s="80"/>
      <c r="E569" s="79"/>
      <c r="F569" s="79"/>
      <c r="G569" s="79"/>
      <c r="H569" s="79"/>
      <c r="I569" s="79"/>
      <c r="J569" s="90"/>
      <c r="K569" s="79"/>
      <c r="L569" s="82"/>
      <c r="M569" s="79"/>
      <c r="N569" s="79"/>
      <c r="O569" s="82"/>
      <c r="P569" s="81"/>
      <c r="Q569" s="82"/>
      <c r="R569" s="82"/>
      <c r="S569" s="81"/>
      <c r="T569" s="85"/>
      <c r="U569" s="82"/>
      <c r="V569" s="96"/>
      <c r="W569" s="81"/>
    </row>
    <row r="570" ht="16.5" customHeight="1" spans="1:23" x14ac:dyDescent="0.25">
      <c r="A570" s="94"/>
      <c r="B570" s="79"/>
      <c r="C570" s="79"/>
      <c r="D570" s="80"/>
      <c r="E570" s="79"/>
      <c r="F570" s="79"/>
      <c r="G570" s="79"/>
      <c r="H570" s="79"/>
      <c r="I570" s="79"/>
      <c r="J570" s="90"/>
      <c r="K570" s="79"/>
      <c r="L570" s="82"/>
      <c r="M570" s="79"/>
      <c r="N570" s="79"/>
      <c r="O570" s="82"/>
      <c r="P570" s="81"/>
      <c r="Q570" s="82"/>
      <c r="R570" s="82"/>
      <c r="S570" s="81"/>
      <c r="T570" s="85"/>
      <c r="U570" s="82"/>
      <c r="V570" s="96"/>
      <c r="W570" s="81"/>
    </row>
    <row r="571" ht="16.5" customHeight="1" spans="1:23" x14ac:dyDescent="0.25">
      <c r="A571" s="94"/>
      <c r="B571" s="79"/>
      <c r="C571" s="79"/>
      <c r="D571" s="80"/>
      <c r="E571" s="79"/>
      <c r="F571" s="79"/>
      <c r="G571" s="79"/>
      <c r="H571" s="79"/>
      <c r="I571" s="79"/>
      <c r="J571" s="90"/>
      <c r="K571" s="79"/>
      <c r="L571" s="82"/>
      <c r="M571" s="79"/>
      <c r="N571" s="79"/>
      <c r="O571" s="82"/>
      <c r="P571" s="81"/>
      <c r="Q571" s="82"/>
      <c r="R571" s="82"/>
      <c r="S571" s="81"/>
      <c r="T571" s="85"/>
      <c r="U571" s="82"/>
      <c r="V571" s="96"/>
      <c r="W571" s="81"/>
    </row>
    <row r="572" ht="16.5" customHeight="1" spans="1:23" x14ac:dyDescent="0.25">
      <c r="A572" s="94"/>
      <c r="B572" s="79"/>
      <c r="C572" s="79"/>
      <c r="D572" s="80"/>
      <c r="E572" s="79"/>
      <c r="F572" s="79"/>
      <c r="G572" s="79"/>
      <c r="H572" s="79"/>
      <c r="I572" s="79"/>
      <c r="J572" s="90"/>
      <c r="K572" s="79"/>
      <c r="L572" s="82"/>
      <c r="M572" s="79"/>
      <c r="N572" s="79"/>
      <c r="O572" s="82"/>
      <c r="P572" s="81"/>
      <c r="Q572" s="82"/>
      <c r="R572" s="82"/>
      <c r="S572" s="81"/>
      <c r="T572" s="85"/>
      <c r="U572" s="82"/>
      <c r="V572" s="96"/>
      <c r="W572" s="81"/>
    </row>
    <row r="573" ht="16.5" customHeight="1" spans="1:23" x14ac:dyDescent="0.25">
      <c r="A573" s="94"/>
      <c r="B573" s="79"/>
      <c r="C573" s="79"/>
      <c r="D573" s="80"/>
      <c r="E573" s="79"/>
      <c r="F573" s="79"/>
      <c r="G573" s="79"/>
      <c r="H573" s="79"/>
      <c r="I573" s="79"/>
      <c r="J573" s="90"/>
      <c r="K573" s="79"/>
      <c r="L573" s="82"/>
      <c r="M573" s="79"/>
      <c r="N573" s="79"/>
      <c r="O573" s="82"/>
      <c r="P573" s="81"/>
      <c r="Q573" s="82"/>
      <c r="R573" s="82"/>
      <c r="S573" s="81"/>
      <c r="T573" s="85"/>
      <c r="U573" s="82"/>
      <c r="V573" s="96"/>
      <c r="W573" s="81"/>
    </row>
    <row r="574" ht="16.5" customHeight="1" spans="1:23" x14ac:dyDescent="0.25">
      <c r="A574" s="94"/>
      <c r="B574" s="79"/>
      <c r="C574" s="79"/>
      <c r="D574" s="80"/>
      <c r="E574" s="79"/>
      <c r="F574" s="79"/>
      <c r="G574" s="79"/>
      <c r="H574" s="79"/>
      <c r="I574" s="79"/>
      <c r="J574" s="90"/>
      <c r="K574" s="79"/>
      <c r="L574" s="82"/>
      <c r="M574" s="79"/>
      <c r="N574" s="79"/>
      <c r="O574" s="82"/>
      <c r="P574" s="81"/>
      <c r="Q574" s="82"/>
      <c r="R574" s="82"/>
      <c r="S574" s="81"/>
      <c r="T574" s="85"/>
      <c r="U574" s="82"/>
      <c r="V574" s="96"/>
      <c r="W574" s="81"/>
    </row>
    <row r="575" ht="16.5" customHeight="1" spans="1:23" x14ac:dyDescent="0.25">
      <c r="A575" s="94"/>
      <c r="B575" s="79"/>
      <c r="C575" s="79"/>
      <c r="D575" s="80"/>
      <c r="E575" s="79"/>
      <c r="F575" s="79"/>
      <c r="G575" s="79"/>
      <c r="H575" s="79"/>
      <c r="I575" s="79"/>
      <c r="J575" s="90"/>
      <c r="K575" s="79"/>
      <c r="L575" s="82"/>
      <c r="M575" s="79"/>
      <c r="N575" s="79"/>
      <c r="O575" s="82"/>
      <c r="P575" s="81"/>
      <c r="Q575" s="82"/>
      <c r="R575" s="82"/>
      <c r="S575" s="81"/>
      <c r="T575" s="85"/>
      <c r="U575" s="82"/>
      <c r="V575" s="96"/>
      <c r="W575" s="81"/>
    </row>
    <row r="576" ht="16.5" customHeight="1" spans="1:23" x14ac:dyDescent="0.25">
      <c r="A576" s="94"/>
      <c r="B576" s="79"/>
      <c r="C576" s="79"/>
      <c r="D576" s="80"/>
      <c r="E576" s="79"/>
      <c r="F576" s="79"/>
      <c r="G576" s="79"/>
      <c r="H576" s="79"/>
      <c r="I576" s="79"/>
      <c r="J576" s="90"/>
      <c r="K576" s="79"/>
      <c r="L576" s="82"/>
      <c r="M576" s="79"/>
      <c r="N576" s="79"/>
      <c r="O576" s="82"/>
      <c r="P576" s="81"/>
      <c r="Q576" s="82"/>
      <c r="R576" s="82"/>
      <c r="S576" s="81"/>
      <c r="T576" s="85"/>
      <c r="U576" s="82"/>
      <c r="V576" s="96"/>
      <c r="W576" s="81"/>
    </row>
    <row r="577" ht="16.5" customHeight="1" spans="1:23" x14ac:dyDescent="0.25">
      <c r="A577" s="94"/>
      <c r="B577" s="79"/>
      <c r="C577" s="79"/>
      <c r="D577" s="80"/>
      <c r="E577" s="79"/>
      <c r="F577" s="79"/>
      <c r="G577" s="79"/>
      <c r="H577" s="79"/>
      <c r="I577" s="79"/>
      <c r="J577" s="90"/>
      <c r="K577" s="79"/>
      <c r="L577" s="82"/>
      <c r="M577" s="79"/>
      <c r="N577" s="79"/>
      <c r="O577" s="82"/>
      <c r="P577" s="81"/>
      <c r="Q577" s="82"/>
      <c r="R577" s="82"/>
      <c r="S577" s="81"/>
      <c r="T577" s="85"/>
      <c r="U577" s="82"/>
      <c r="V577" s="96"/>
      <c r="W577" s="81"/>
    </row>
    <row r="578" ht="16.5" customHeight="1" spans="1:23" x14ac:dyDescent="0.25">
      <c r="A578" s="94"/>
      <c r="B578" s="79"/>
      <c r="C578" s="79"/>
      <c r="D578" s="80"/>
      <c r="E578" s="79"/>
      <c r="F578" s="79"/>
      <c r="G578" s="79"/>
      <c r="H578" s="79"/>
      <c r="I578" s="79"/>
      <c r="J578" s="90"/>
      <c r="K578" s="79"/>
      <c r="L578" s="82"/>
      <c r="M578" s="79"/>
      <c r="N578" s="79"/>
      <c r="O578" s="82"/>
      <c r="P578" s="81"/>
      <c r="Q578" s="82"/>
      <c r="R578" s="82"/>
      <c r="S578" s="81"/>
      <c r="T578" s="85"/>
      <c r="U578" s="82"/>
      <c r="V578" s="96"/>
      <c r="W578" s="81"/>
    </row>
    <row r="579" ht="16.5" customHeight="1" spans="1:23" x14ac:dyDescent="0.25">
      <c r="A579" s="94"/>
      <c r="B579" s="79"/>
      <c r="C579" s="79"/>
      <c r="D579" s="80"/>
      <c r="E579" s="79"/>
      <c r="F579" s="79"/>
      <c r="G579" s="79"/>
      <c r="H579" s="79"/>
      <c r="I579" s="79"/>
      <c r="J579" s="90"/>
      <c r="K579" s="79"/>
      <c r="L579" s="82"/>
      <c r="M579" s="79"/>
      <c r="N579" s="79"/>
      <c r="O579" s="82"/>
      <c r="P579" s="81"/>
      <c r="Q579" s="82"/>
      <c r="R579" s="82"/>
      <c r="S579" s="81"/>
      <c r="T579" s="85"/>
      <c r="U579" s="82"/>
      <c r="V579" s="96"/>
      <c r="W579" s="81"/>
    </row>
    <row r="580" ht="16.5" customHeight="1" spans="1:23" x14ac:dyDescent="0.25">
      <c r="A580" s="94"/>
      <c r="B580" s="79"/>
      <c r="C580" s="79"/>
      <c r="D580" s="80"/>
      <c r="E580" s="79"/>
      <c r="F580" s="79"/>
      <c r="G580" s="79"/>
      <c r="H580" s="79"/>
      <c r="I580" s="79"/>
      <c r="J580" s="90"/>
      <c r="K580" s="79"/>
      <c r="L580" s="82"/>
      <c r="M580" s="79"/>
      <c r="N580" s="79"/>
      <c r="O580" s="82"/>
      <c r="P580" s="81"/>
      <c r="Q580" s="82"/>
      <c r="R580" s="82"/>
      <c r="S580" s="81"/>
      <c r="T580" s="85"/>
      <c r="U580" s="82"/>
      <c r="V580" s="96"/>
      <c r="W580" s="81"/>
    </row>
    <row r="581" ht="16.5" customHeight="1" spans="1:23" x14ac:dyDescent="0.25">
      <c r="A581" s="94"/>
      <c r="B581" s="79"/>
      <c r="C581" s="79"/>
      <c r="D581" s="80"/>
      <c r="E581" s="79"/>
      <c r="F581" s="79"/>
      <c r="G581" s="79"/>
      <c r="H581" s="79"/>
      <c r="I581" s="79"/>
      <c r="J581" s="90"/>
      <c r="K581" s="79"/>
      <c r="L581" s="82"/>
      <c r="M581" s="79"/>
      <c r="N581" s="79"/>
      <c r="O581" s="82"/>
      <c r="P581" s="81"/>
      <c r="Q581" s="82"/>
      <c r="R581" s="82"/>
      <c r="S581" s="81"/>
      <c r="T581" s="85"/>
      <c r="U581" s="82"/>
      <c r="V581" s="96"/>
      <c r="W581" s="81"/>
    </row>
    <row r="582" ht="16.5" customHeight="1" spans="1:23" x14ac:dyDescent="0.25">
      <c r="A582" s="94"/>
      <c r="B582" s="79"/>
      <c r="C582" s="79"/>
      <c r="D582" s="80"/>
      <c r="E582" s="79"/>
      <c r="F582" s="79"/>
      <c r="G582" s="79"/>
      <c r="H582" s="79"/>
      <c r="I582" s="79"/>
      <c r="J582" s="90"/>
      <c r="K582" s="79"/>
      <c r="L582" s="82"/>
      <c r="M582" s="79"/>
      <c r="N582" s="79"/>
      <c r="O582" s="82"/>
      <c r="P582" s="81"/>
      <c r="Q582" s="82"/>
      <c r="R582" s="82"/>
      <c r="S582" s="81"/>
      <c r="T582" s="85"/>
      <c r="U582" s="82"/>
      <c r="V582" s="96"/>
      <c r="W582" s="81"/>
    </row>
    <row r="583" ht="16.5" customHeight="1" spans="1:23" x14ac:dyDescent="0.25">
      <c r="A583" s="94"/>
      <c r="B583" s="79"/>
      <c r="C583" s="79"/>
      <c r="D583" s="80"/>
      <c r="E583" s="79"/>
      <c r="F583" s="79"/>
      <c r="G583" s="79"/>
      <c r="H583" s="79"/>
      <c r="I583" s="79"/>
      <c r="J583" s="90"/>
      <c r="K583" s="79"/>
      <c r="L583" s="82"/>
      <c r="M583" s="79"/>
      <c r="N583" s="79"/>
      <c r="O583" s="82"/>
      <c r="P583" s="81"/>
      <c r="Q583" s="82"/>
      <c r="R583" s="82"/>
      <c r="S583" s="81"/>
      <c r="T583" s="85"/>
      <c r="U583" s="82"/>
      <c r="V583" s="96"/>
      <c r="W583" s="81"/>
    </row>
    <row r="584" ht="16.5" customHeight="1" spans="1:23" x14ac:dyDescent="0.25">
      <c r="A584" s="94"/>
      <c r="B584" s="79"/>
      <c r="C584" s="79"/>
      <c r="D584" s="80"/>
      <c r="E584" s="79"/>
      <c r="F584" s="79"/>
      <c r="G584" s="79"/>
      <c r="H584" s="79"/>
      <c r="I584" s="79"/>
      <c r="J584" s="90"/>
      <c r="K584" s="79"/>
      <c r="L584" s="82"/>
      <c r="M584" s="79"/>
      <c r="N584" s="79"/>
      <c r="O584" s="82"/>
      <c r="P584" s="81"/>
      <c r="Q584" s="82"/>
      <c r="R584" s="82"/>
      <c r="S584" s="81"/>
      <c r="T584" s="85"/>
      <c r="U584" s="82"/>
      <c r="V584" s="96"/>
      <c r="W584" s="81"/>
    </row>
    <row r="585" ht="16.5" customHeight="1" spans="1:23" x14ac:dyDescent="0.25">
      <c r="A585" s="94"/>
      <c r="B585" s="79"/>
      <c r="C585" s="79"/>
      <c r="D585" s="80"/>
      <c r="E585" s="79"/>
      <c r="F585" s="79"/>
      <c r="G585" s="79"/>
      <c r="H585" s="79"/>
      <c r="I585" s="79"/>
      <c r="J585" s="90"/>
      <c r="K585" s="79"/>
      <c r="L585" s="82"/>
      <c r="M585" s="79"/>
      <c r="N585" s="79"/>
      <c r="O585" s="82"/>
      <c r="P585" s="81"/>
      <c r="Q585" s="82"/>
      <c r="R585" s="82"/>
      <c r="S585" s="81"/>
      <c r="T585" s="85"/>
      <c r="U585" s="82"/>
      <c r="V585" s="96"/>
      <c r="W585" s="81"/>
    </row>
    <row r="586" ht="16.5" customHeight="1" spans="1:23" x14ac:dyDescent="0.25">
      <c r="A586" s="94"/>
      <c r="B586" s="79"/>
      <c r="C586" s="79"/>
      <c r="D586" s="80"/>
      <c r="E586" s="79"/>
      <c r="F586" s="79"/>
      <c r="G586" s="79"/>
      <c r="H586" s="79"/>
      <c r="I586" s="79"/>
      <c r="J586" s="90"/>
      <c r="K586" s="79"/>
      <c r="L586" s="82"/>
      <c r="M586" s="79"/>
      <c r="N586" s="79"/>
      <c r="O586" s="82"/>
      <c r="P586" s="81"/>
      <c r="Q586" s="82"/>
      <c r="R586" s="82"/>
      <c r="S586" s="81"/>
      <c r="T586" s="85"/>
      <c r="U586" s="82"/>
      <c r="V586" s="96"/>
      <c r="W586" s="81"/>
    </row>
    <row r="587" ht="16.5" customHeight="1" spans="1:23" x14ac:dyDescent="0.25">
      <c r="A587" s="94"/>
      <c r="B587" s="79"/>
      <c r="C587" s="79"/>
      <c r="D587" s="80"/>
      <c r="E587" s="79"/>
      <c r="F587" s="79"/>
      <c r="G587" s="79"/>
      <c r="H587" s="79"/>
      <c r="I587" s="79"/>
      <c r="J587" s="90"/>
      <c r="K587" s="79"/>
      <c r="L587" s="82"/>
      <c r="M587" s="79"/>
      <c r="N587" s="79"/>
      <c r="O587" s="82"/>
      <c r="P587" s="81"/>
      <c r="Q587" s="82"/>
      <c r="R587" s="82"/>
      <c r="S587" s="81"/>
      <c r="T587" s="85"/>
      <c r="U587" s="82"/>
      <c r="V587" s="96"/>
      <c r="W587" s="81"/>
    </row>
    <row r="588" ht="16.5" customHeight="1" spans="1:23" x14ac:dyDescent="0.25">
      <c r="A588" s="94"/>
      <c r="B588" s="79"/>
      <c r="C588" s="79"/>
      <c r="D588" s="80"/>
      <c r="E588" s="79"/>
      <c r="F588" s="79"/>
      <c r="G588" s="79"/>
      <c r="H588" s="79"/>
      <c r="I588" s="79"/>
      <c r="J588" s="90"/>
      <c r="K588" s="79"/>
      <c r="L588" s="82"/>
      <c r="M588" s="79"/>
      <c r="N588" s="79"/>
      <c r="O588" s="82"/>
      <c r="P588" s="81"/>
      <c r="Q588" s="82"/>
      <c r="R588" s="82"/>
      <c r="S588" s="81"/>
      <c r="T588" s="85"/>
      <c r="U588" s="82"/>
      <c r="V588" s="96"/>
      <c r="W588" s="81"/>
    </row>
    <row r="589" ht="16.5" customHeight="1" spans="1:23" x14ac:dyDescent="0.25">
      <c r="A589" s="94"/>
      <c r="B589" s="79"/>
      <c r="C589" s="79"/>
      <c r="D589" s="80"/>
      <c r="E589" s="79"/>
      <c r="F589" s="79"/>
      <c r="G589" s="79"/>
      <c r="H589" s="79"/>
      <c r="I589" s="79"/>
      <c r="J589" s="90"/>
      <c r="K589" s="79"/>
      <c r="L589" s="82"/>
      <c r="M589" s="79"/>
      <c r="N589" s="79"/>
      <c r="O589" s="82"/>
      <c r="P589" s="81"/>
      <c r="Q589" s="82"/>
      <c r="R589" s="82"/>
      <c r="S589" s="81"/>
      <c r="T589" s="85"/>
      <c r="U589" s="82"/>
      <c r="V589" s="96"/>
      <c r="W589" s="81"/>
    </row>
    <row r="590" ht="16.5" customHeight="1" spans="1:23" x14ac:dyDescent="0.25">
      <c r="A590" s="94"/>
      <c r="B590" s="79"/>
      <c r="C590" s="79"/>
      <c r="D590" s="80"/>
      <c r="E590" s="79"/>
      <c r="F590" s="79"/>
      <c r="G590" s="79"/>
      <c r="H590" s="79"/>
      <c r="I590" s="79"/>
      <c r="J590" s="90"/>
      <c r="K590" s="79"/>
      <c r="L590" s="82"/>
      <c r="M590" s="79"/>
      <c r="N590" s="79"/>
      <c r="O590" s="82"/>
      <c r="P590" s="81"/>
      <c r="Q590" s="82"/>
      <c r="R590" s="82"/>
      <c r="S590" s="81"/>
      <c r="T590" s="85"/>
      <c r="U590" s="82"/>
      <c r="V590" s="96"/>
      <c r="W590" s="81"/>
    </row>
    <row r="591" ht="16.5" customHeight="1" spans="1:23" x14ac:dyDescent="0.25">
      <c r="A591" s="94"/>
      <c r="B591" s="79"/>
      <c r="C591" s="79"/>
      <c r="D591" s="80"/>
      <c r="E591" s="79"/>
      <c r="F591" s="79"/>
      <c r="G591" s="79"/>
      <c r="H591" s="79"/>
      <c r="I591" s="79"/>
      <c r="J591" s="90"/>
      <c r="K591" s="79"/>
      <c r="L591" s="82"/>
      <c r="M591" s="79"/>
      <c r="N591" s="79"/>
      <c r="O591" s="82"/>
      <c r="P591" s="81"/>
      <c r="Q591" s="82"/>
      <c r="R591" s="82"/>
      <c r="S591" s="81"/>
      <c r="T591" s="85"/>
      <c r="U591" s="82"/>
      <c r="V591" s="96"/>
      <c r="W591" s="81"/>
    </row>
    <row r="592" ht="16.5" customHeight="1" spans="1:23" x14ac:dyDescent="0.25">
      <c r="A592" s="94"/>
      <c r="B592" s="79"/>
      <c r="C592" s="79"/>
      <c r="D592" s="80"/>
      <c r="E592" s="79"/>
      <c r="F592" s="79"/>
      <c r="G592" s="79"/>
      <c r="H592" s="79"/>
      <c r="I592" s="79"/>
      <c r="J592" s="90"/>
      <c r="K592" s="79"/>
      <c r="L592" s="82"/>
      <c r="M592" s="79"/>
      <c r="N592" s="79"/>
      <c r="O592" s="82"/>
      <c r="P592" s="81"/>
      <c r="Q592" s="82"/>
      <c r="R592" s="82"/>
      <c r="S592" s="81"/>
      <c r="T592" s="85"/>
      <c r="U592" s="82"/>
      <c r="V592" s="96"/>
      <c r="W592" s="81"/>
    </row>
    <row r="593" ht="16.5" customHeight="1" spans="1:23" x14ac:dyDescent="0.25">
      <c r="A593" s="94"/>
      <c r="B593" s="79"/>
      <c r="C593" s="79"/>
      <c r="D593" s="80"/>
      <c r="E593" s="79"/>
      <c r="F593" s="79"/>
      <c r="G593" s="79"/>
      <c r="H593" s="79"/>
      <c r="I593" s="79"/>
      <c r="J593" s="90"/>
      <c r="K593" s="79"/>
      <c r="L593" s="82"/>
      <c r="M593" s="79"/>
      <c r="N593" s="79"/>
      <c r="O593" s="82"/>
      <c r="P593" s="81"/>
      <c r="Q593" s="82"/>
      <c r="R593" s="82"/>
      <c r="S593" s="81"/>
      <c r="T593" s="85"/>
      <c r="U593" s="82"/>
      <c r="V593" s="96"/>
      <c r="W593" s="81"/>
    </row>
    <row r="594" ht="16.5" customHeight="1" spans="1:23" x14ac:dyDescent="0.25">
      <c r="A594" s="94"/>
      <c r="B594" s="79"/>
      <c r="C594" s="79"/>
      <c r="D594" s="80"/>
      <c r="E594" s="79"/>
      <c r="F594" s="79"/>
      <c r="G594" s="79"/>
      <c r="H594" s="79"/>
      <c r="I594" s="79"/>
      <c r="J594" s="90"/>
      <c r="K594" s="79"/>
      <c r="L594" s="82"/>
      <c r="M594" s="79"/>
      <c r="N594" s="79"/>
      <c r="O594" s="82"/>
      <c r="P594" s="81"/>
      <c r="Q594" s="82"/>
      <c r="R594" s="82"/>
      <c r="S594" s="81"/>
      <c r="T594" s="85"/>
      <c r="U594" s="82"/>
      <c r="V594" s="96"/>
      <c r="W594" s="81"/>
    </row>
    <row r="595" ht="16.5" customHeight="1" spans="1:23" x14ac:dyDescent="0.25">
      <c r="A595" s="94"/>
      <c r="B595" s="79"/>
      <c r="C595" s="79"/>
      <c r="D595" s="80"/>
      <c r="E595" s="79"/>
      <c r="F595" s="79"/>
      <c r="G595" s="79"/>
      <c r="H595" s="79"/>
      <c r="I595" s="79"/>
      <c r="J595" s="90"/>
      <c r="K595" s="79"/>
      <c r="L595" s="82"/>
      <c r="M595" s="79"/>
      <c r="N595" s="79"/>
      <c r="O595" s="82"/>
      <c r="P595" s="81"/>
      <c r="Q595" s="82"/>
      <c r="R595" s="82"/>
      <c r="S595" s="81"/>
      <c r="T595" s="85"/>
      <c r="U595" s="82"/>
      <c r="V595" s="96"/>
      <c r="W595" s="81"/>
    </row>
    <row r="596" ht="16.5" customHeight="1" spans="1:23" x14ac:dyDescent="0.25">
      <c r="A596" s="94"/>
      <c r="B596" s="79"/>
      <c r="C596" s="79"/>
      <c r="D596" s="80"/>
      <c r="E596" s="79"/>
      <c r="F596" s="79"/>
      <c r="G596" s="79"/>
      <c r="H596" s="79"/>
      <c r="I596" s="79"/>
      <c r="J596" s="90"/>
      <c r="K596" s="79"/>
      <c r="L596" s="82"/>
      <c r="M596" s="79"/>
      <c r="N596" s="79"/>
      <c r="O596" s="82"/>
      <c r="P596" s="81"/>
      <c r="Q596" s="82"/>
      <c r="R596" s="82"/>
      <c r="S596" s="81"/>
      <c r="T596" s="85"/>
      <c r="U596" s="82"/>
      <c r="V596" s="96"/>
      <c r="W596" s="81"/>
    </row>
    <row r="597" ht="16.5" customHeight="1" spans="1:23" x14ac:dyDescent="0.25">
      <c r="A597" s="94"/>
      <c r="B597" s="79"/>
      <c r="C597" s="79"/>
      <c r="D597" s="80"/>
      <c r="E597" s="79"/>
      <c r="F597" s="79"/>
      <c r="G597" s="79"/>
      <c r="H597" s="79"/>
      <c r="I597" s="79"/>
      <c r="J597" s="90"/>
      <c r="K597" s="79"/>
      <c r="L597" s="82"/>
      <c r="M597" s="79"/>
      <c r="N597" s="79"/>
      <c r="O597" s="82"/>
      <c r="P597" s="81"/>
      <c r="Q597" s="82"/>
      <c r="R597" s="82"/>
      <c r="S597" s="81"/>
      <c r="T597" s="85"/>
      <c r="U597" s="82"/>
      <c r="V597" s="96"/>
      <c r="W597" s="81"/>
    </row>
    <row r="598" ht="16.5" customHeight="1" spans="1:23" x14ac:dyDescent="0.25">
      <c r="A598" s="94"/>
      <c r="B598" s="79"/>
      <c r="C598" s="79"/>
      <c r="D598" s="80"/>
      <c r="E598" s="79"/>
      <c r="F598" s="79"/>
      <c r="G598" s="79"/>
      <c r="H598" s="79"/>
      <c r="I598" s="79"/>
      <c r="J598" s="90"/>
      <c r="K598" s="79"/>
      <c r="L598" s="82"/>
      <c r="M598" s="79"/>
      <c r="N598" s="79"/>
      <c r="O598" s="82"/>
      <c r="P598" s="81"/>
      <c r="Q598" s="82"/>
      <c r="R598" s="82"/>
      <c r="S598" s="81"/>
      <c r="T598" s="85"/>
      <c r="U598" s="82"/>
      <c r="V598" s="96"/>
      <c r="W598" s="81"/>
    </row>
    <row r="599" ht="16.5" customHeight="1" spans="1:23" x14ac:dyDescent="0.25">
      <c r="A599" s="94"/>
      <c r="B599" s="79"/>
      <c r="C599" s="79"/>
      <c r="D599" s="80"/>
      <c r="E599" s="79"/>
      <c r="F599" s="79"/>
      <c r="G599" s="79"/>
      <c r="H599" s="79"/>
      <c r="I599" s="79"/>
      <c r="J599" s="90"/>
      <c r="K599" s="79"/>
      <c r="L599" s="82"/>
      <c r="M599" s="79"/>
      <c r="N599" s="79"/>
      <c r="O599" s="82"/>
      <c r="P599" s="81"/>
      <c r="Q599" s="82"/>
      <c r="R599" s="82"/>
      <c r="S599" s="81"/>
      <c r="T599" s="85"/>
      <c r="U599" s="82"/>
      <c r="V599" s="96"/>
      <c r="W599" s="81"/>
    </row>
    <row r="600" ht="16.5" customHeight="1" spans="1:23" x14ac:dyDescent="0.25">
      <c r="A600" s="94"/>
      <c r="B600" s="79"/>
      <c r="C600" s="79"/>
      <c r="D600" s="80"/>
      <c r="E600" s="79"/>
      <c r="F600" s="79"/>
      <c r="G600" s="79"/>
      <c r="H600" s="79"/>
      <c r="I600" s="79"/>
      <c r="J600" s="90"/>
      <c r="K600" s="79"/>
      <c r="L600" s="82"/>
      <c r="M600" s="79"/>
      <c r="N600" s="79"/>
      <c r="O600" s="82"/>
      <c r="P600" s="81"/>
      <c r="Q600" s="82"/>
      <c r="R600" s="82"/>
      <c r="S600" s="81"/>
      <c r="T600" s="85"/>
      <c r="U600" s="82"/>
      <c r="V600" s="96"/>
      <c r="W600" s="81"/>
    </row>
    <row r="601" ht="16.5" customHeight="1" spans="1:23" x14ac:dyDescent="0.25">
      <c r="A601" s="94"/>
      <c r="B601" s="79"/>
      <c r="C601" s="79"/>
      <c r="D601" s="80"/>
      <c r="E601" s="79"/>
      <c r="F601" s="79"/>
      <c r="G601" s="79"/>
      <c r="H601" s="79"/>
      <c r="I601" s="79"/>
      <c r="J601" s="90"/>
      <c r="K601" s="79"/>
      <c r="L601" s="82"/>
      <c r="M601" s="79"/>
      <c r="N601" s="79"/>
      <c r="O601" s="82"/>
      <c r="P601" s="81"/>
      <c r="Q601" s="82"/>
      <c r="R601" s="82"/>
      <c r="S601" s="81"/>
      <c r="T601" s="85"/>
      <c r="U601" s="82"/>
      <c r="V601" s="96"/>
      <c r="W601" s="81"/>
    </row>
    <row r="602" ht="16.5" customHeight="1" spans="1:23" x14ac:dyDescent="0.25">
      <c r="A602" s="94"/>
      <c r="B602" s="79"/>
      <c r="C602" s="79"/>
      <c r="D602" s="80"/>
      <c r="E602" s="79"/>
      <c r="F602" s="79"/>
      <c r="G602" s="79"/>
      <c r="H602" s="79"/>
      <c r="I602" s="79"/>
      <c r="J602" s="90"/>
      <c r="K602" s="79"/>
      <c r="L602" s="82"/>
      <c r="M602" s="79"/>
      <c r="N602" s="79"/>
      <c r="O602" s="82"/>
      <c r="P602" s="81"/>
      <c r="Q602" s="82"/>
      <c r="R602" s="82"/>
      <c r="S602" s="81"/>
      <c r="T602" s="85"/>
      <c r="U602" s="82"/>
      <c r="V602" s="96"/>
      <c r="W602" s="81"/>
    </row>
    <row r="603" ht="16.5" customHeight="1" spans="1:23" x14ac:dyDescent="0.25">
      <c r="A603" s="94"/>
      <c r="B603" s="79"/>
      <c r="C603" s="79"/>
      <c r="D603" s="80"/>
      <c r="E603" s="79"/>
      <c r="F603" s="79"/>
      <c r="G603" s="79"/>
      <c r="H603" s="79"/>
      <c r="I603" s="79"/>
      <c r="J603" s="90"/>
      <c r="K603" s="79"/>
      <c r="L603" s="82"/>
      <c r="M603" s="79"/>
      <c r="N603" s="79"/>
      <c r="O603" s="82"/>
      <c r="P603" s="81"/>
      <c r="Q603" s="82"/>
      <c r="R603" s="82"/>
      <c r="S603" s="81"/>
      <c r="T603" s="85"/>
      <c r="U603" s="82"/>
      <c r="V603" s="96"/>
      <c r="W603" s="81"/>
    </row>
    <row r="604" ht="16.5" customHeight="1" spans="1:23" x14ac:dyDescent="0.25">
      <c r="A604" s="94"/>
      <c r="B604" s="79"/>
      <c r="C604" s="79"/>
      <c r="D604" s="80"/>
      <c r="E604" s="79"/>
      <c r="F604" s="79"/>
      <c r="G604" s="79"/>
      <c r="H604" s="79"/>
      <c r="I604" s="79"/>
      <c r="J604" s="90"/>
      <c r="K604" s="79"/>
      <c r="L604" s="82"/>
      <c r="M604" s="79"/>
      <c r="N604" s="79"/>
      <c r="O604" s="82"/>
      <c r="P604" s="81"/>
      <c r="Q604" s="82"/>
      <c r="R604" s="82"/>
      <c r="S604" s="81"/>
      <c r="T604" s="85"/>
      <c r="U604" s="82"/>
      <c r="V604" s="96"/>
      <c r="W604" s="81"/>
    </row>
    <row r="605" ht="16.5" customHeight="1" spans="1:23" x14ac:dyDescent="0.25">
      <c r="A605" s="94"/>
      <c r="B605" s="79"/>
      <c r="C605" s="79"/>
      <c r="D605" s="80"/>
      <c r="E605" s="79"/>
      <c r="F605" s="79"/>
      <c r="G605" s="79"/>
      <c r="H605" s="79"/>
      <c r="I605" s="79"/>
      <c r="J605" s="90"/>
      <c r="K605" s="79"/>
      <c r="L605" s="82"/>
      <c r="M605" s="79"/>
      <c r="N605" s="79"/>
      <c r="O605" s="82"/>
      <c r="P605" s="81"/>
      <c r="Q605" s="82"/>
      <c r="R605" s="82"/>
      <c r="S605" s="81"/>
      <c r="T605" s="85"/>
      <c r="U605" s="82"/>
      <c r="V605" s="96"/>
      <c r="W605" s="81"/>
    </row>
    <row r="606" ht="16.5" customHeight="1" spans="1:23" x14ac:dyDescent="0.25">
      <c r="A606" s="94"/>
      <c r="B606" s="79"/>
      <c r="C606" s="79"/>
      <c r="D606" s="80"/>
      <c r="E606" s="79"/>
      <c r="F606" s="79"/>
      <c r="G606" s="79"/>
      <c r="H606" s="79"/>
      <c r="I606" s="79"/>
      <c r="J606" s="90"/>
      <c r="K606" s="79"/>
      <c r="L606" s="82"/>
      <c r="M606" s="79"/>
      <c r="N606" s="79"/>
      <c r="O606" s="82"/>
      <c r="P606" s="81"/>
      <c r="Q606" s="82"/>
      <c r="R606" s="82"/>
      <c r="S606" s="81"/>
      <c r="T606" s="85"/>
      <c r="U606" s="82"/>
      <c r="V606" s="96"/>
      <c r="W606" s="81"/>
    </row>
    <row r="607" ht="16.5" customHeight="1" spans="1:23" x14ac:dyDescent="0.25">
      <c r="A607" s="94"/>
      <c r="B607" s="79"/>
      <c r="C607" s="79"/>
      <c r="D607" s="80"/>
      <c r="E607" s="79"/>
      <c r="F607" s="79"/>
      <c r="G607" s="79"/>
      <c r="H607" s="79"/>
      <c r="I607" s="79"/>
      <c r="J607" s="90"/>
      <c r="K607" s="79"/>
      <c r="L607" s="82"/>
      <c r="M607" s="79"/>
      <c r="N607" s="79"/>
      <c r="O607" s="82"/>
      <c r="P607" s="81"/>
      <c r="Q607" s="82"/>
      <c r="R607" s="82"/>
      <c r="S607" s="81"/>
      <c r="T607" s="85"/>
      <c r="U607" s="82"/>
      <c r="V607" s="96"/>
      <c r="W607" s="81"/>
    </row>
    <row r="608" ht="16.5" customHeight="1" spans="1:23" x14ac:dyDescent="0.25">
      <c r="A608" s="94"/>
      <c r="B608" s="79"/>
      <c r="C608" s="79"/>
      <c r="D608" s="80"/>
      <c r="E608" s="79"/>
      <c r="F608" s="79"/>
      <c r="G608" s="79"/>
      <c r="H608" s="79"/>
      <c r="I608" s="79"/>
      <c r="J608" s="90"/>
      <c r="K608" s="79"/>
      <c r="L608" s="82"/>
      <c r="M608" s="79"/>
      <c r="N608" s="79"/>
      <c r="O608" s="82"/>
      <c r="P608" s="81"/>
      <c r="Q608" s="82"/>
      <c r="R608" s="82"/>
      <c r="S608" s="81"/>
      <c r="T608" s="85"/>
      <c r="U608" s="82"/>
      <c r="V608" s="96"/>
      <c r="W608" s="81"/>
    </row>
    <row r="609" ht="16.5" customHeight="1" spans="1:23" x14ac:dyDescent="0.25">
      <c r="A609" s="94"/>
      <c r="B609" s="79"/>
      <c r="C609" s="79"/>
      <c r="D609" s="80"/>
      <c r="E609" s="79"/>
      <c r="F609" s="79"/>
      <c r="G609" s="79"/>
      <c r="H609" s="79"/>
      <c r="I609" s="79"/>
      <c r="J609" s="90"/>
      <c r="K609" s="79"/>
      <c r="L609" s="82"/>
      <c r="M609" s="79"/>
      <c r="N609" s="79"/>
      <c r="O609" s="82"/>
      <c r="P609" s="81"/>
      <c r="Q609" s="82"/>
      <c r="R609" s="82"/>
      <c r="S609" s="81"/>
      <c r="T609" s="85"/>
      <c r="U609" s="82"/>
      <c r="V609" s="96"/>
      <c r="W609" s="81"/>
    </row>
    <row r="610" ht="16.5" customHeight="1" spans="1:23" x14ac:dyDescent="0.25">
      <c r="A610" s="94"/>
      <c r="B610" s="79"/>
      <c r="C610" s="79"/>
      <c r="D610" s="80"/>
      <c r="E610" s="79"/>
      <c r="F610" s="79"/>
      <c r="G610" s="79"/>
      <c r="H610" s="79"/>
      <c r="I610" s="79"/>
      <c r="J610" s="90"/>
      <c r="K610" s="79"/>
      <c r="L610" s="82"/>
      <c r="M610" s="79"/>
      <c r="N610" s="79"/>
      <c r="O610" s="82"/>
      <c r="P610" s="81"/>
      <c r="Q610" s="82"/>
      <c r="R610" s="82"/>
      <c r="S610" s="81"/>
      <c r="T610" s="85"/>
      <c r="U610" s="82"/>
      <c r="V610" s="96"/>
      <c r="W610" s="81"/>
    </row>
    <row r="611" ht="16.5" customHeight="1" spans="1:23" x14ac:dyDescent="0.25">
      <c r="A611" s="94"/>
      <c r="B611" s="79"/>
      <c r="C611" s="79"/>
      <c r="D611" s="80"/>
      <c r="E611" s="79"/>
      <c r="F611" s="79"/>
      <c r="G611" s="79"/>
      <c r="H611" s="79"/>
      <c r="I611" s="79"/>
      <c r="J611" s="90"/>
      <c r="K611" s="79"/>
      <c r="L611" s="82"/>
      <c r="M611" s="79"/>
      <c r="N611" s="79"/>
      <c r="O611" s="82"/>
      <c r="P611" s="81"/>
      <c r="Q611" s="82"/>
      <c r="R611" s="82"/>
      <c r="S611" s="81"/>
      <c r="T611" s="85"/>
      <c r="U611" s="82"/>
      <c r="V611" s="96"/>
      <c r="W611" s="81"/>
    </row>
    <row r="612" ht="16.5" customHeight="1" spans="1:23" x14ac:dyDescent="0.25">
      <c r="A612" s="94"/>
      <c r="B612" s="79"/>
      <c r="C612" s="79"/>
      <c r="D612" s="80"/>
      <c r="E612" s="79"/>
      <c r="F612" s="79"/>
      <c r="G612" s="79"/>
      <c r="H612" s="79"/>
      <c r="I612" s="79"/>
      <c r="J612" s="90"/>
      <c r="K612" s="79"/>
      <c r="L612" s="82"/>
      <c r="M612" s="79"/>
      <c r="N612" s="79"/>
      <c r="O612" s="82"/>
      <c r="P612" s="81"/>
      <c r="Q612" s="82"/>
      <c r="R612" s="82"/>
      <c r="S612" s="81"/>
      <c r="T612" s="85"/>
      <c r="U612" s="82"/>
      <c r="V612" s="96"/>
      <c r="W612" s="81"/>
    </row>
    <row r="613" ht="16.5" customHeight="1" spans="1:23" x14ac:dyDescent="0.25">
      <c r="A613" s="94"/>
      <c r="B613" s="79"/>
      <c r="C613" s="79"/>
      <c r="D613" s="80"/>
      <c r="E613" s="79"/>
      <c r="F613" s="79"/>
      <c r="G613" s="79"/>
      <c r="H613" s="79"/>
      <c r="I613" s="79"/>
      <c r="J613" s="90"/>
      <c r="K613" s="79"/>
      <c r="L613" s="82"/>
      <c r="M613" s="79"/>
      <c r="N613" s="79"/>
      <c r="O613" s="82"/>
      <c r="P613" s="81"/>
      <c r="Q613" s="82"/>
      <c r="R613" s="82"/>
      <c r="S613" s="81"/>
      <c r="T613" s="85"/>
      <c r="U613" s="82"/>
      <c r="V613" s="96"/>
      <c r="W613" s="81"/>
    </row>
    <row r="614" ht="16.5" customHeight="1" spans="1:23" x14ac:dyDescent="0.25">
      <c r="A614" s="94"/>
      <c r="B614" s="79"/>
      <c r="C614" s="79"/>
      <c r="D614" s="80"/>
      <c r="E614" s="79"/>
      <c r="F614" s="79"/>
      <c r="G614" s="79"/>
      <c r="H614" s="79"/>
      <c r="I614" s="79"/>
      <c r="J614" s="90"/>
      <c r="K614" s="79"/>
      <c r="L614" s="82"/>
      <c r="M614" s="79"/>
      <c r="N614" s="79"/>
      <c r="O614" s="82"/>
      <c r="P614" s="81"/>
      <c r="Q614" s="82"/>
      <c r="R614" s="82"/>
      <c r="S614" s="81"/>
      <c r="T614" s="85"/>
      <c r="U614" s="82"/>
      <c r="V614" s="96"/>
      <c r="W614" s="81"/>
    </row>
    <row r="615" ht="16.5" customHeight="1" spans="1:23" x14ac:dyDescent="0.25">
      <c r="A615" s="94"/>
      <c r="B615" s="79"/>
      <c r="C615" s="79"/>
      <c r="D615" s="80"/>
      <c r="E615" s="79"/>
      <c r="F615" s="79"/>
      <c r="G615" s="79"/>
      <c r="H615" s="79"/>
      <c r="I615" s="79"/>
      <c r="J615" s="90"/>
      <c r="K615" s="79"/>
      <c r="L615" s="82"/>
      <c r="M615" s="79"/>
      <c r="N615" s="79"/>
      <c r="O615" s="82"/>
      <c r="P615" s="81"/>
      <c r="Q615" s="82"/>
      <c r="R615" s="82"/>
      <c r="S615" s="81"/>
      <c r="T615" s="85"/>
      <c r="U615" s="82"/>
      <c r="V615" s="96"/>
      <c r="W615" s="81"/>
    </row>
    <row r="616" ht="16.5" customHeight="1" spans="1:23" x14ac:dyDescent="0.25">
      <c r="A616" s="94"/>
      <c r="B616" s="79"/>
      <c r="C616" s="79"/>
      <c r="D616" s="80"/>
      <c r="E616" s="79"/>
      <c r="F616" s="79"/>
      <c r="G616" s="79"/>
      <c r="H616" s="79"/>
      <c r="I616" s="79"/>
      <c r="J616" s="90"/>
      <c r="K616" s="79"/>
      <c r="L616" s="82"/>
      <c r="M616" s="79"/>
      <c r="N616" s="79"/>
      <c r="O616" s="82"/>
      <c r="P616" s="81"/>
      <c r="Q616" s="82"/>
      <c r="R616" s="82"/>
      <c r="S616" s="81"/>
      <c r="T616" s="85"/>
      <c r="U616" s="82"/>
      <c r="V616" s="96"/>
      <c r="W616" s="81"/>
    </row>
    <row r="617" ht="16.5" customHeight="1" spans="1:23" x14ac:dyDescent="0.25">
      <c r="A617" s="94"/>
      <c r="B617" s="79"/>
      <c r="C617" s="79"/>
      <c r="D617" s="80"/>
      <c r="E617" s="79"/>
      <c r="F617" s="79"/>
      <c r="G617" s="79"/>
      <c r="H617" s="79"/>
      <c r="I617" s="79"/>
      <c r="J617" s="90"/>
      <c r="K617" s="79"/>
      <c r="L617" s="82"/>
      <c r="M617" s="79"/>
      <c r="N617" s="79"/>
      <c r="O617" s="82"/>
      <c r="P617" s="81"/>
      <c r="Q617" s="82"/>
      <c r="R617" s="82"/>
      <c r="S617" s="81"/>
      <c r="T617" s="85"/>
      <c r="U617" s="82"/>
      <c r="V617" s="96"/>
      <c r="W617" s="81"/>
    </row>
    <row r="618" ht="16.5" customHeight="1" spans="1:23" x14ac:dyDescent="0.25">
      <c r="A618" s="94"/>
      <c r="B618" s="79"/>
      <c r="C618" s="79"/>
      <c r="D618" s="80"/>
      <c r="E618" s="79"/>
      <c r="F618" s="79"/>
      <c r="G618" s="79"/>
      <c r="H618" s="79"/>
      <c r="I618" s="79"/>
      <c r="J618" s="90"/>
      <c r="K618" s="79"/>
      <c r="L618" s="82"/>
      <c r="M618" s="79"/>
      <c r="N618" s="79"/>
      <c r="O618" s="82"/>
      <c r="P618" s="81"/>
      <c r="Q618" s="82"/>
      <c r="R618" s="82"/>
      <c r="S618" s="81"/>
      <c r="T618" s="85"/>
      <c r="U618" s="82"/>
      <c r="V618" s="96"/>
      <c r="W618" s="81"/>
    </row>
    <row r="619" ht="16.5" customHeight="1" spans="1:23" x14ac:dyDescent="0.25">
      <c r="A619" s="94"/>
      <c r="B619" s="79"/>
      <c r="C619" s="79"/>
      <c r="D619" s="80"/>
      <c r="E619" s="79"/>
      <c r="F619" s="79"/>
      <c r="G619" s="79"/>
      <c r="H619" s="79"/>
      <c r="I619" s="79"/>
      <c r="J619" s="90"/>
      <c r="K619" s="79"/>
      <c r="L619" s="82"/>
      <c r="M619" s="79"/>
      <c r="N619" s="79"/>
      <c r="O619" s="82"/>
      <c r="P619" s="81"/>
      <c r="Q619" s="82"/>
      <c r="R619" s="82"/>
      <c r="S619" s="81"/>
      <c r="T619" s="85"/>
      <c r="U619" s="82"/>
      <c r="V619" s="96"/>
      <c r="W619" s="81"/>
    </row>
    <row r="620" ht="16.5" customHeight="1" spans="1:23" x14ac:dyDescent="0.25">
      <c r="A620" s="94"/>
      <c r="B620" s="79"/>
      <c r="C620" s="79"/>
      <c r="D620" s="80"/>
      <c r="E620" s="79"/>
      <c r="F620" s="79"/>
      <c r="G620" s="79"/>
      <c r="H620" s="79"/>
      <c r="I620" s="79"/>
      <c r="J620" s="90"/>
      <c r="K620" s="79"/>
      <c r="L620" s="82"/>
      <c r="M620" s="79"/>
      <c r="N620" s="79"/>
      <c r="O620" s="82"/>
      <c r="P620" s="81"/>
      <c r="Q620" s="82"/>
      <c r="R620" s="82"/>
      <c r="S620" s="81"/>
      <c r="T620" s="85"/>
      <c r="U620" s="82"/>
      <c r="V620" s="96"/>
      <c r="W620" s="81"/>
    </row>
    <row r="621" ht="16.5" customHeight="1" spans="1:23" x14ac:dyDescent="0.25">
      <c r="A621" s="94"/>
      <c r="B621" s="79"/>
      <c r="C621" s="79"/>
      <c r="D621" s="80"/>
      <c r="E621" s="79"/>
      <c r="F621" s="79"/>
      <c r="G621" s="79"/>
      <c r="H621" s="79"/>
      <c r="I621" s="79"/>
      <c r="J621" s="90"/>
      <c r="K621" s="79"/>
      <c r="L621" s="82"/>
      <c r="M621" s="79"/>
      <c r="N621" s="79"/>
      <c r="O621" s="82"/>
      <c r="P621" s="81"/>
      <c r="Q621" s="82"/>
      <c r="R621" s="82"/>
      <c r="S621" s="81"/>
      <c r="T621" s="85"/>
      <c r="U621" s="82"/>
      <c r="V621" s="96"/>
      <c r="W621" s="81"/>
    </row>
    <row r="622" ht="16.5" customHeight="1" spans="1:23" x14ac:dyDescent="0.25">
      <c r="A622" s="94"/>
      <c r="B622" s="79"/>
      <c r="C622" s="79"/>
      <c r="D622" s="80"/>
      <c r="E622" s="79"/>
      <c r="F622" s="79"/>
      <c r="G622" s="79"/>
      <c r="H622" s="79"/>
      <c r="I622" s="79"/>
      <c r="J622" s="90"/>
      <c r="K622" s="79"/>
      <c r="L622" s="82"/>
      <c r="M622" s="79"/>
      <c r="N622" s="79"/>
      <c r="O622" s="82"/>
      <c r="P622" s="81"/>
      <c r="Q622" s="82"/>
      <c r="R622" s="82"/>
      <c r="S622" s="81"/>
      <c r="T622" s="85"/>
      <c r="U622" s="82"/>
      <c r="V622" s="96"/>
      <c r="W622" s="81"/>
    </row>
    <row r="623" ht="16.5" customHeight="1" spans="1:23" x14ac:dyDescent="0.25">
      <c r="A623" s="94"/>
      <c r="B623" s="79"/>
      <c r="C623" s="79"/>
      <c r="D623" s="80"/>
      <c r="E623" s="79"/>
      <c r="F623" s="79"/>
      <c r="G623" s="79"/>
      <c r="H623" s="79"/>
      <c r="I623" s="79"/>
      <c r="J623" s="90"/>
      <c r="K623" s="79"/>
      <c r="L623" s="82"/>
      <c r="M623" s="79"/>
      <c r="N623" s="79"/>
      <c r="O623" s="82"/>
      <c r="P623" s="81"/>
      <c r="Q623" s="82"/>
      <c r="R623" s="82"/>
      <c r="S623" s="81"/>
      <c r="T623" s="85"/>
      <c r="U623" s="82"/>
      <c r="V623" s="96"/>
      <c r="W623" s="81"/>
    </row>
    <row r="624" ht="16.5" customHeight="1" spans="1:23" x14ac:dyDescent="0.25">
      <c r="A624" s="94"/>
      <c r="B624" s="79"/>
      <c r="C624" s="79"/>
      <c r="D624" s="80"/>
      <c r="E624" s="79"/>
      <c r="F624" s="79"/>
      <c r="G624" s="79"/>
      <c r="H624" s="79"/>
      <c r="I624" s="79"/>
      <c r="J624" s="90"/>
      <c r="K624" s="79"/>
      <c r="L624" s="82"/>
      <c r="M624" s="79"/>
      <c r="N624" s="79"/>
      <c r="O624" s="82"/>
      <c r="P624" s="81"/>
      <c r="Q624" s="82"/>
      <c r="R624" s="82"/>
      <c r="S624" s="81"/>
      <c r="T624" s="85"/>
      <c r="U624" s="82"/>
      <c r="V624" s="96"/>
      <c r="W624" s="81"/>
    </row>
    <row r="625" ht="16.5" customHeight="1" spans="1:23" x14ac:dyDescent="0.25">
      <c r="A625" s="94"/>
      <c r="B625" s="79"/>
      <c r="C625" s="79"/>
      <c r="D625" s="80"/>
      <c r="E625" s="79"/>
      <c r="F625" s="79"/>
      <c r="G625" s="79"/>
      <c r="H625" s="79"/>
      <c r="I625" s="79"/>
      <c r="J625" s="90"/>
      <c r="K625" s="79"/>
      <c r="L625" s="82"/>
      <c r="M625" s="79"/>
      <c r="N625" s="79"/>
      <c r="O625" s="82"/>
      <c r="P625" s="81"/>
      <c r="Q625" s="82"/>
      <c r="R625" s="82"/>
      <c r="S625" s="81"/>
      <c r="T625" s="85"/>
      <c r="U625" s="82"/>
      <c r="V625" s="96"/>
      <c r="W625" s="81"/>
    </row>
    <row r="626" ht="16.5" customHeight="1" spans="1:23" x14ac:dyDescent="0.25">
      <c r="A626" s="94"/>
      <c r="B626" s="79"/>
      <c r="C626" s="79"/>
      <c r="D626" s="80"/>
      <c r="E626" s="79"/>
      <c r="F626" s="79"/>
      <c r="G626" s="79"/>
      <c r="H626" s="79"/>
      <c r="I626" s="79"/>
      <c r="J626" s="90"/>
      <c r="K626" s="79"/>
      <c r="L626" s="82"/>
      <c r="M626" s="79"/>
      <c r="N626" s="79"/>
      <c r="O626" s="82"/>
      <c r="P626" s="81"/>
      <c r="Q626" s="82"/>
      <c r="R626" s="82"/>
      <c r="S626" s="81"/>
      <c r="T626" s="85"/>
      <c r="U626" s="82"/>
      <c r="V626" s="96"/>
      <c r="W626" s="81"/>
    </row>
    <row r="627" ht="16.5" customHeight="1" spans="1:23" x14ac:dyDescent="0.25">
      <c r="A627" s="94"/>
      <c r="B627" s="79"/>
      <c r="C627" s="79"/>
      <c r="D627" s="80"/>
      <c r="E627" s="79"/>
      <c r="F627" s="79"/>
      <c r="G627" s="79"/>
      <c r="H627" s="79"/>
      <c r="I627" s="79"/>
      <c r="J627" s="90"/>
      <c r="K627" s="79"/>
      <c r="L627" s="82"/>
      <c r="M627" s="79"/>
      <c r="N627" s="79"/>
      <c r="O627" s="82"/>
      <c r="P627" s="81"/>
      <c r="Q627" s="82"/>
      <c r="R627" s="82"/>
      <c r="S627" s="81"/>
      <c r="T627" s="85"/>
      <c r="U627" s="82"/>
      <c r="V627" s="96"/>
      <c r="W627" s="81"/>
    </row>
    <row r="628" ht="16.5" customHeight="1" spans="1:23" x14ac:dyDescent="0.25">
      <c r="A628" s="94"/>
      <c r="B628" s="79"/>
      <c r="C628" s="79"/>
      <c r="D628" s="80"/>
      <c r="E628" s="79"/>
      <c r="F628" s="79"/>
      <c r="G628" s="79"/>
      <c r="H628" s="79"/>
      <c r="I628" s="79"/>
      <c r="J628" s="90"/>
      <c r="K628" s="79"/>
      <c r="L628" s="82"/>
      <c r="M628" s="79"/>
      <c r="N628" s="79"/>
      <c r="O628" s="82"/>
      <c r="P628" s="81"/>
      <c r="Q628" s="82"/>
      <c r="R628" s="82"/>
      <c r="S628" s="81"/>
      <c r="T628" s="85"/>
      <c r="U628" s="82"/>
      <c r="V628" s="96"/>
      <c r="W628" s="81"/>
    </row>
    <row r="629" ht="16.5" customHeight="1" spans="1:23" x14ac:dyDescent="0.25">
      <c r="A629" s="94"/>
      <c r="B629" s="79"/>
      <c r="C629" s="79"/>
      <c r="D629" s="80"/>
      <c r="E629" s="79"/>
      <c r="F629" s="79"/>
      <c r="G629" s="79"/>
      <c r="H629" s="79"/>
      <c r="I629" s="79"/>
      <c r="J629" s="90"/>
      <c r="K629" s="79"/>
      <c r="L629" s="82"/>
      <c r="M629" s="79"/>
      <c r="N629" s="79"/>
      <c r="O629" s="82"/>
      <c r="P629" s="81"/>
      <c r="Q629" s="82"/>
      <c r="R629" s="82"/>
      <c r="S629" s="81"/>
      <c r="T629" s="85"/>
      <c r="U629" s="82"/>
      <c r="V629" s="96"/>
      <c r="W629" s="81"/>
    </row>
    <row r="630" ht="16.5" customHeight="1" spans="1:23" x14ac:dyDescent="0.25">
      <c r="A630" s="94"/>
      <c r="B630" s="79"/>
      <c r="C630" s="79"/>
      <c r="D630" s="80"/>
      <c r="E630" s="79"/>
      <c r="F630" s="79"/>
      <c r="G630" s="79"/>
      <c r="H630" s="79"/>
      <c r="I630" s="79"/>
      <c r="J630" s="90"/>
      <c r="K630" s="79"/>
      <c r="L630" s="82"/>
      <c r="M630" s="79"/>
      <c r="N630" s="79"/>
      <c r="O630" s="82"/>
      <c r="P630" s="81"/>
      <c r="Q630" s="82"/>
      <c r="R630" s="82"/>
      <c r="S630" s="81"/>
      <c r="T630" s="85"/>
      <c r="U630" s="82"/>
      <c r="V630" s="96"/>
      <c r="W630" s="81"/>
    </row>
    <row r="631" ht="16.5" customHeight="1" spans="1:23" x14ac:dyDescent="0.25">
      <c r="A631" s="94"/>
      <c r="B631" s="79"/>
      <c r="C631" s="79"/>
      <c r="D631" s="80"/>
      <c r="E631" s="79"/>
      <c r="F631" s="79"/>
      <c r="G631" s="79"/>
      <c r="H631" s="79"/>
      <c r="I631" s="79"/>
      <c r="J631" s="90"/>
      <c r="K631" s="79"/>
      <c r="L631" s="82"/>
      <c r="M631" s="79"/>
      <c r="N631" s="79"/>
      <c r="O631" s="82"/>
      <c r="P631" s="81"/>
      <c r="Q631" s="82"/>
      <c r="R631" s="82"/>
      <c r="S631" s="81"/>
      <c r="T631" s="85"/>
      <c r="U631" s="82"/>
      <c r="V631" s="96"/>
      <c r="W631" s="81"/>
    </row>
    <row r="632" ht="16.5" customHeight="1" spans="1:23" x14ac:dyDescent="0.25">
      <c r="A632" s="94"/>
      <c r="B632" s="79"/>
      <c r="C632" s="79"/>
      <c r="D632" s="80"/>
      <c r="E632" s="79"/>
      <c r="F632" s="79"/>
      <c r="G632" s="79"/>
      <c r="H632" s="79"/>
      <c r="I632" s="79"/>
      <c r="J632" s="90"/>
      <c r="K632" s="79"/>
      <c r="L632" s="82"/>
      <c r="M632" s="79"/>
      <c r="N632" s="79"/>
      <c r="O632" s="82"/>
      <c r="P632" s="81"/>
      <c r="Q632" s="82"/>
      <c r="R632" s="82"/>
      <c r="S632" s="81"/>
      <c r="T632" s="85"/>
      <c r="U632" s="82"/>
      <c r="V632" s="96"/>
      <c r="W632" s="81"/>
    </row>
    <row r="633" ht="16.5" customHeight="1" spans="1:23" x14ac:dyDescent="0.25">
      <c r="A633" s="94"/>
      <c r="B633" s="79"/>
      <c r="C633" s="79"/>
      <c r="D633" s="80"/>
      <c r="E633" s="79"/>
      <c r="F633" s="79"/>
      <c r="G633" s="79"/>
      <c r="H633" s="79"/>
      <c r="I633" s="79"/>
      <c r="J633" s="90"/>
      <c r="K633" s="79"/>
      <c r="L633" s="82"/>
      <c r="M633" s="79"/>
      <c r="N633" s="79"/>
      <c r="O633" s="82"/>
      <c r="P633" s="81"/>
      <c r="Q633" s="82"/>
      <c r="R633" s="82"/>
      <c r="S633" s="81"/>
      <c r="T633" s="85"/>
      <c r="U633" s="82"/>
      <c r="V633" s="96"/>
      <c r="W633" s="81"/>
    </row>
    <row r="634" ht="16.5" customHeight="1" spans="1:23" x14ac:dyDescent="0.25">
      <c r="A634" s="94"/>
      <c r="B634" s="79"/>
      <c r="C634" s="79"/>
      <c r="D634" s="80"/>
      <c r="E634" s="79"/>
      <c r="F634" s="79"/>
      <c r="G634" s="79"/>
      <c r="H634" s="79"/>
      <c r="I634" s="79"/>
      <c r="J634" s="90"/>
      <c r="K634" s="79"/>
      <c r="L634" s="82"/>
      <c r="M634" s="79"/>
      <c r="N634" s="79"/>
      <c r="O634" s="82"/>
      <c r="P634" s="81"/>
      <c r="Q634" s="82"/>
      <c r="R634" s="82"/>
      <c r="S634" s="81"/>
      <c r="T634" s="85"/>
      <c r="U634" s="82"/>
      <c r="V634" s="96"/>
      <c r="W634" s="81"/>
    </row>
    <row r="635" ht="16.5" customHeight="1" spans="1:23" x14ac:dyDescent="0.25">
      <c r="A635" s="94"/>
      <c r="B635" s="79"/>
      <c r="C635" s="79"/>
      <c r="D635" s="80"/>
      <c r="E635" s="79"/>
      <c r="F635" s="79"/>
      <c r="G635" s="79"/>
      <c r="H635" s="79"/>
      <c r="I635" s="79"/>
      <c r="J635" s="90"/>
      <c r="K635" s="79"/>
      <c r="L635" s="82"/>
      <c r="M635" s="79"/>
      <c r="N635" s="79"/>
      <c r="O635" s="82"/>
      <c r="P635" s="81"/>
      <c r="Q635" s="82"/>
      <c r="R635" s="82"/>
      <c r="S635" s="81"/>
      <c r="T635" s="85"/>
      <c r="U635" s="82"/>
      <c r="V635" s="96"/>
      <c r="W635" s="81"/>
    </row>
    <row r="636" ht="16.5" customHeight="1" spans="1:23" x14ac:dyDescent="0.25">
      <c r="A636" s="94"/>
      <c r="B636" s="79"/>
      <c r="C636" s="79"/>
      <c r="D636" s="80"/>
      <c r="E636" s="79"/>
      <c r="F636" s="79"/>
      <c r="G636" s="79"/>
      <c r="H636" s="79"/>
      <c r="I636" s="79"/>
      <c r="J636" s="90"/>
      <c r="K636" s="79"/>
      <c r="L636" s="82"/>
      <c r="M636" s="79"/>
      <c r="N636" s="79"/>
      <c r="O636" s="82"/>
      <c r="P636" s="81"/>
      <c r="Q636" s="82"/>
      <c r="R636" s="82"/>
      <c r="S636" s="81"/>
      <c r="T636" s="85"/>
      <c r="U636" s="82"/>
      <c r="V636" s="96"/>
      <c r="W636" s="81"/>
    </row>
    <row r="637" ht="16.5" customHeight="1" spans="1:23" x14ac:dyDescent="0.25">
      <c r="A637" s="94"/>
      <c r="B637" s="79"/>
      <c r="C637" s="79"/>
      <c r="D637" s="80"/>
      <c r="E637" s="79"/>
      <c r="F637" s="79"/>
      <c r="G637" s="79"/>
      <c r="H637" s="79"/>
      <c r="I637" s="79"/>
      <c r="J637" s="90"/>
      <c r="K637" s="79"/>
      <c r="L637" s="82"/>
      <c r="M637" s="79"/>
      <c r="N637" s="79"/>
      <c r="O637" s="82"/>
      <c r="P637" s="81"/>
      <c r="Q637" s="82"/>
      <c r="R637" s="82"/>
      <c r="S637" s="81"/>
      <c r="T637" s="85"/>
      <c r="U637" s="82"/>
      <c r="V637" s="96"/>
      <c r="W637" s="81"/>
    </row>
    <row r="638" ht="16.5" customHeight="1" spans="1:23" x14ac:dyDescent="0.25">
      <c r="A638" s="94"/>
      <c r="B638" s="79"/>
      <c r="C638" s="79"/>
      <c r="D638" s="80"/>
      <c r="E638" s="79"/>
      <c r="F638" s="79"/>
      <c r="G638" s="79"/>
      <c r="H638" s="79"/>
      <c r="I638" s="79"/>
      <c r="J638" s="90"/>
      <c r="K638" s="79"/>
      <c r="L638" s="82"/>
      <c r="M638" s="79"/>
      <c r="N638" s="79"/>
      <c r="O638" s="82"/>
      <c r="P638" s="81"/>
      <c r="Q638" s="82"/>
      <c r="R638" s="82"/>
      <c r="S638" s="81"/>
      <c r="T638" s="85"/>
      <c r="U638" s="82"/>
      <c r="V638" s="96"/>
      <c r="W638" s="81"/>
    </row>
    <row r="639" ht="16.5" customHeight="1" spans="1:23" x14ac:dyDescent="0.25">
      <c r="A639" s="94"/>
      <c r="B639" s="79"/>
      <c r="C639" s="79"/>
      <c r="D639" s="80"/>
      <c r="E639" s="79"/>
      <c r="F639" s="79"/>
      <c r="G639" s="79"/>
      <c r="H639" s="79"/>
      <c r="I639" s="79"/>
      <c r="J639" s="90"/>
      <c r="K639" s="79"/>
      <c r="L639" s="82"/>
      <c r="M639" s="79"/>
      <c r="N639" s="79"/>
      <c r="O639" s="82"/>
      <c r="P639" s="81"/>
      <c r="Q639" s="82"/>
      <c r="R639" s="82"/>
      <c r="S639" s="81"/>
      <c r="T639" s="85"/>
      <c r="U639" s="82"/>
      <c r="V639" s="96"/>
      <c r="W639" s="81"/>
    </row>
    <row r="640" ht="16.5" customHeight="1" spans="1:23" x14ac:dyDescent="0.25">
      <c r="A640" s="94"/>
      <c r="B640" s="79"/>
      <c r="C640" s="79"/>
      <c r="D640" s="80"/>
      <c r="E640" s="79"/>
      <c r="F640" s="79"/>
      <c r="G640" s="79"/>
      <c r="H640" s="79"/>
      <c r="I640" s="79"/>
      <c r="J640" s="90"/>
      <c r="K640" s="79"/>
      <c r="L640" s="82"/>
      <c r="M640" s="79"/>
      <c r="N640" s="79"/>
      <c r="O640" s="82"/>
      <c r="P640" s="81"/>
      <c r="Q640" s="82"/>
      <c r="R640" s="82"/>
      <c r="S640" s="81"/>
      <c r="T640" s="85"/>
      <c r="U640" s="82"/>
      <c r="V640" s="96"/>
      <c r="W640" s="81"/>
    </row>
    <row r="641" ht="16.5" customHeight="1" spans="1:23" x14ac:dyDescent="0.25">
      <c r="A641" s="94"/>
      <c r="B641" s="79"/>
      <c r="C641" s="79"/>
      <c r="D641" s="80"/>
      <c r="E641" s="79"/>
      <c r="F641" s="79"/>
      <c r="G641" s="79"/>
      <c r="H641" s="79"/>
      <c r="I641" s="79"/>
      <c r="J641" s="90"/>
      <c r="K641" s="79"/>
      <c r="L641" s="82"/>
      <c r="M641" s="79"/>
      <c r="N641" s="79"/>
      <c r="O641" s="82"/>
      <c r="P641" s="81"/>
      <c r="Q641" s="82"/>
      <c r="R641" s="82"/>
      <c r="S641" s="81"/>
      <c r="T641" s="85"/>
      <c r="U641" s="82"/>
      <c r="V641" s="96"/>
      <c r="W641" s="81"/>
    </row>
    <row r="642" ht="16.5" customHeight="1" spans="1:23" x14ac:dyDescent="0.25">
      <c r="A642" s="94"/>
      <c r="B642" s="79"/>
      <c r="C642" s="79"/>
      <c r="D642" s="80"/>
      <c r="E642" s="79"/>
      <c r="F642" s="79"/>
      <c r="G642" s="79"/>
      <c r="H642" s="79"/>
      <c r="I642" s="79"/>
      <c r="J642" s="90"/>
      <c r="K642" s="79"/>
      <c r="L642" s="82"/>
      <c r="M642" s="79"/>
      <c r="N642" s="79"/>
      <c r="O642" s="82"/>
      <c r="P642" s="81"/>
      <c r="Q642" s="82"/>
      <c r="R642" s="82"/>
      <c r="S642" s="81"/>
      <c r="T642" s="85"/>
      <c r="U642" s="82"/>
      <c r="V642" s="96"/>
      <c r="W642" s="81"/>
    </row>
    <row r="643" ht="16.5" customHeight="1" spans="1:23" x14ac:dyDescent="0.25">
      <c r="A643" s="94"/>
      <c r="B643" s="79"/>
      <c r="C643" s="79"/>
      <c r="D643" s="80"/>
      <c r="E643" s="79"/>
      <c r="F643" s="79"/>
      <c r="G643" s="79"/>
      <c r="H643" s="79"/>
      <c r="I643" s="79"/>
      <c r="J643" s="90"/>
      <c r="K643" s="79"/>
      <c r="L643" s="82"/>
      <c r="M643" s="79"/>
      <c r="N643" s="79"/>
      <c r="O643" s="82"/>
      <c r="P643" s="81"/>
      <c r="Q643" s="82"/>
      <c r="R643" s="82"/>
      <c r="S643" s="81"/>
      <c r="T643" s="85"/>
      <c r="U643" s="82"/>
      <c r="V643" s="96"/>
      <c r="W643" s="81"/>
    </row>
    <row r="644" ht="16.5" customHeight="1" spans="1:23" x14ac:dyDescent="0.25">
      <c r="A644" s="94"/>
      <c r="B644" s="79"/>
      <c r="C644" s="79"/>
      <c r="D644" s="80"/>
      <c r="E644" s="79"/>
      <c r="F644" s="79"/>
      <c r="G644" s="79"/>
      <c r="H644" s="79"/>
      <c r="I644" s="79"/>
      <c r="J644" s="90"/>
      <c r="K644" s="79"/>
      <c r="L644" s="82"/>
      <c r="M644" s="79"/>
      <c r="N644" s="79"/>
      <c r="O644" s="82"/>
      <c r="P644" s="81"/>
      <c r="Q644" s="82"/>
      <c r="R644" s="82"/>
      <c r="S644" s="81"/>
      <c r="T644" s="85"/>
      <c r="U644" s="82"/>
      <c r="V644" s="96"/>
      <c r="W644" s="81"/>
    </row>
    <row r="645" ht="16.5" customHeight="1" spans="1:23" x14ac:dyDescent="0.25">
      <c r="A645" s="94"/>
      <c r="B645" s="79"/>
      <c r="C645" s="79"/>
      <c r="D645" s="80"/>
      <c r="E645" s="79"/>
      <c r="F645" s="79"/>
      <c r="G645" s="79"/>
      <c r="H645" s="79"/>
      <c r="I645" s="79"/>
      <c r="J645" s="90"/>
      <c r="K645" s="79"/>
      <c r="L645" s="82"/>
      <c r="M645" s="79"/>
      <c r="N645" s="79"/>
      <c r="O645" s="82"/>
      <c r="P645" s="81"/>
      <c r="Q645" s="82"/>
      <c r="R645" s="82"/>
      <c r="S645" s="81"/>
      <c r="T645" s="85"/>
      <c r="U645" s="82"/>
      <c r="V645" s="96"/>
      <c r="W645" s="81"/>
    </row>
    <row r="646" ht="16.5" customHeight="1" spans="1:23" x14ac:dyDescent="0.25">
      <c r="A646" s="94"/>
      <c r="B646" s="79"/>
      <c r="C646" s="79"/>
      <c r="D646" s="80"/>
      <c r="E646" s="79"/>
      <c r="F646" s="79"/>
      <c r="G646" s="79"/>
      <c r="H646" s="79"/>
      <c r="I646" s="79"/>
      <c r="J646" s="90"/>
      <c r="K646" s="79"/>
      <c r="L646" s="82"/>
      <c r="M646" s="79"/>
      <c r="N646" s="79"/>
      <c r="O646" s="82"/>
      <c r="P646" s="81"/>
      <c r="Q646" s="82"/>
      <c r="R646" s="82"/>
      <c r="S646" s="81"/>
      <c r="T646" s="85"/>
      <c r="U646" s="82"/>
      <c r="V646" s="96"/>
      <c r="W646" s="81"/>
    </row>
    <row r="647" ht="16.5" customHeight="1" spans="1:23" x14ac:dyDescent="0.25">
      <c r="A647" s="94"/>
      <c r="B647" s="79"/>
      <c r="C647" s="79"/>
      <c r="D647" s="80"/>
      <c r="E647" s="79"/>
      <c r="F647" s="79"/>
      <c r="G647" s="79"/>
      <c r="H647" s="79"/>
      <c r="I647" s="79"/>
      <c r="J647" s="90"/>
      <c r="K647" s="79"/>
      <c r="L647" s="82"/>
      <c r="M647" s="79"/>
      <c r="N647" s="79"/>
      <c r="O647" s="82"/>
      <c r="P647" s="81"/>
      <c r="Q647" s="82"/>
      <c r="R647" s="82"/>
      <c r="S647" s="81"/>
      <c r="T647" s="85"/>
      <c r="U647" s="82"/>
      <c r="V647" s="96"/>
      <c r="W647" s="81"/>
    </row>
    <row r="648" ht="16.5" customHeight="1" spans="1:23" x14ac:dyDescent="0.25">
      <c r="A648" s="94"/>
      <c r="B648" s="79"/>
      <c r="C648" s="79"/>
      <c r="D648" s="80"/>
      <c r="E648" s="79"/>
      <c r="F648" s="79"/>
      <c r="G648" s="79"/>
      <c r="H648" s="79"/>
      <c r="I648" s="79"/>
      <c r="J648" s="90"/>
      <c r="K648" s="79"/>
      <c r="L648" s="82"/>
      <c r="M648" s="79"/>
      <c r="N648" s="79"/>
      <c r="O648" s="82"/>
      <c r="P648" s="81"/>
      <c r="Q648" s="82"/>
      <c r="R648" s="82"/>
      <c r="S648" s="81"/>
      <c r="T648" s="85"/>
      <c r="U648" s="82"/>
      <c r="V648" s="96"/>
      <c r="W648" s="81"/>
    </row>
    <row r="649" ht="16.5" customHeight="1" spans="1:23" x14ac:dyDescent="0.25">
      <c r="A649" s="94"/>
      <c r="B649" s="79"/>
      <c r="C649" s="79"/>
      <c r="D649" s="80"/>
      <c r="E649" s="79"/>
      <c r="F649" s="79"/>
      <c r="G649" s="79"/>
      <c r="H649" s="79"/>
      <c r="I649" s="79"/>
      <c r="J649" s="90"/>
      <c r="K649" s="79"/>
      <c r="L649" s="82"/>
      <c r="M649" s="79"/>
      <c r="N649" s="79"/>
      <c r="O649" s="82"/>
      <c r="P649" s="81"/>
      <c r="Q649" s="82"/>
      <c r="R649" s="82"/>
      <c r="S649" s="81"/>
      <c r="T649" s="85"/>
      <c r="U649" s="82"/>
      <c r="V649" s="96"/>
      <c r="W649" s="81"/>
    </row>
    <row r="650" ht="16.5" customHeight="1" spans="1:23" x14ac:dyDescent="0.25">
      <c r="A650" s="94"/>
      <c r="B650" s="79"/>
      <c r="C650" s="79"/>
      <c r="D650" s="80"/>
      <c r="E650" s="79"/>
      <c r="F650" s="79"/>
      <c r="G650" s="79"/>
      <c r="H650" s="79"/>
      <c r="I650" s="79"/>
      <c r="J650" s="90"/>
      <c r="K650" s="79"/>
      <c r="L650" s="82"/>
      <c r="M650" s="79"/>
      <c r="N650" s="79"/>
      <c r="O650" s="82"/>
      <c r="P650" s="81"/>
      <c r="Q650" s="82"/>
      <c r="R650" s="82"/>
      <c r="S650" s="81"/>
      <c r="T650" s="85"/>
      <c r="U650" s="82"/>
      <c r="V650" s="96"/>
      <c r="W650" s="81"/>
    </row>
    <row r="651" ht="16.5" customHeight="1" spans="1:23" x14ac:dyDescent="0.25">
      <c r="A651" s="94"/>
      <c r="B651" s="79"/>
      <c r="C651" s="79"/>
      <c r="D651" s="80"/>
      <c r="E651" s="79"/>
      <c r="F651" s="79"/>
      <c r="G651" s="79"/>
      <c r="H651" s="79"/>
      <c r="I651" s="79"/>
      <c r="J651" s="90"/>
      <c r="K651" s="79"/>
      <c r="L651" s="82"/>
      <c r="M651" s="79"/>
      <c r="N651" s="79"/>
      <c r="O651" s="82"/>
      <c r="P651" s="81"/>
      <c r="Q651" s="82"/>
      <c r="R651" s="82"/>
      <c r="S651" s="81"/>
      <c r="T651" s="85"/>
      <c r="U651" s="82"/>
      <c r="V651" s="96"/>
      <c r="W651" s="81"/>
    </row>
    <row r="652" ht="16.5" customHeight="1" spans="1:23" x14ac:dyDescent="0.25">
      <c r="A652" s="94"/>
      <c r="B652" s="79"/>
      <c r="C652" s="79"/>
      <c r="D652" s="80"/>
      <c r="E652" s="79"/>
      <c r="F652" s="79"/>
      <c r="G652" s="79"/>
      <c r="H652" s="79"/>
      <c r="I652" s="79"/>
      <c r="J652" s="90"/>
      <c r="K652" s="79"/>
      <c r="L652" s="82"/>
      <c r="M652" s="79"/>
      <c r="N652" s="79"/>
      <c r="O652" s="82"/>
      <c r="P652" s="81"/>
      <c r="Q652" s="82"/>
      <c r="R652" s="82"/>
      <c r="S652" s="81"/>
      <c r="T652" s="85"/>
      <c r="U652" s="82"/>
      <c r="V652" s="96"/>
      <c r="W652" s="81"/>
    </row>
    <row r="653" ht="16.5" customHeight="1" spans="1:23" x14ac:dyDescent="0.25">
      <c r="A653" s="94"/>
      <c r="B653" s="79"/>
      <c r="C653" s="79"/>
      <c r="D653" s="80"/>
      <c r="E653" s="79"/>
      <c r="F653" s="79"/>
      <c r="G653" s="79"/>
      <c r="H653" s="79"/>
      <c r="I653" s="79"/>
      <c r="J653" s="90"/>
      <c r="K653" s="79"/>
      <c r="L653" s="82"/>
      <c r="M653" s="79"/>
      <c r="N653" s="79"/>
      <c r="O653" s="82"/>
      <c r="P653" s="81"/>
      <c r="Q653" s="82"/>
      <c r="R653" s="82"/>
      <c r="S653" s="81"/>
      <c r="T653" s="85"/>
      <c r="U653" s="82"/>
      <c r="V653" s="96"/>
      <c r="W653" s="81"/>
    </row>
    <row r="654" ht="16.5" customHeight="1" spans="1:23" x14ac:dyDescent="0.25">
      <c r="A654" s="94"/>
      <c r="B654" s="79"/>
      <c r="C654" s="79"/>
      <c r="D654" s="80"/>
      <c r="E654" s="79"/>
      <c r="F654" s="79"/>
      <c r="G654" s="79"/>
      <c r="H654" s="79"/>
      <c r="I654" s="79"/>
      <c r="J654" s="90"/>
      <c r="K654" s="79"/>
      <c r="L654" s="82"/>
      <c r="M654" s="79"/>
      <c r="N654" s="79"/>
      <c r="O654" s="82"/>
      <c r="P654" s="81"/>
      <c r="Q654" s="82"/>
      <c r="R654" s="82"/>
      <c r="S654" s="81"/>
      <c r="T654" s="85"/>
      <c r="U654" s="82"/>
      <c r="V654" s="96"/>
      <c r="W654" s="81"/>
    </row>
    <row r="655" ht="16.5" customHeight="1" spans="1:23" x14ac:dyDescent="0.25">
      <c r="A655" s="94"/>
      <c r="B655" s="79"/>
      <c r="C655" s="79"/>
      <c r="D655" s="80"/>
      <c r="E655" s="79"/>
      <c r="F655" s="79"/>
      <c r="G655" s="79"/>
      <c r="H655" s="79"/>
      <c r="I655" s="79"/>
      <c r="J655" s="90"/>
      <c r="K655" s="79"/>
      <c r="L655" s="82"/>
      <c r="M655" s="79"/>
      <c r="N655" s="79"/>
      <c r="O655" s="82"/>
      <c r="P655" s="81"/>
      <c r="Q655" s="82"/>
      <c r="R655" s="82"/>
      <c r="S655" s="81"/>
      <c r="T655" s="85"/>
      <c r="U655" s="82"/>
      <c r="V655" s="96"/>
      <c r="W655" s="81"/>
    </row>
    <row r="656" ht="16.5" customHeight="1" spans="1:23" x14ac:dyDescent="0.25">
      <c r="A656" s="94"/>
      <c r="B656" s="79"/>
      <c r="C656" s="79"/>
      <c r="D656" s="80"/>
      <c r="E656" s="79"/>
      <c r="F656" s="79"/>
      <c r="G656" s="79"/>
      <c r="H656" s="79"/>
      <c r="I656" s="79"/>
      <c r="J656" s="90"/>
      <c r="K656" s="79"/>
      <c r="L656" s="82"/>
      <c r="M656" s="79"/>
      <c r="N656" s="79"/>
      <c r="O656" s="82"/>
      <c r="P656" s="81"/>
      <c r="Q656" s="82"/>
      <c r="R656" s="82"/>
      <c r="S656" s="81"/>
      <c r="T656" s="85"/>
      <c r="U656" s="82"/>
      <c r="V656" s="81"/>
      <c r="W656" s="81"/>
    </row>
    <row r="657" ht="16.5" customHeight="1" spans="1:23" x14ac:dyDescent="0.25">
      <c r="A657" s="94"/>
      <c r="B657" s="79"/>
      <c r="C657" s="79"/>
      <c r="D657" s="80"/>
      <c r="E657" s="79"/>
      <c r="F657" s="79"/>
      <c r="G657" s="79"/>
      <c r="H657" s="79"/>
      <c r="I657" s="79"/>
      <c r="J657" s="90"/>
      <c r="K657" s="79"/>
      <c r="L657" s="82"/>
      <c r="M657" s="79"/>
      <c r="N657" s="79"/>
      <c r="O657" s="82"/>
      <c r="P657" s="81"/>
      <c r="Q657" s="82"/>
      <c r="R657" s="82"/>
      <c r="S657" s="81"/>
      <c r="T657" s="85"/>
      <c r="U657" s="82"/>
      <c r="V657" s="81"/>
      <c r="W657" s="81"/>
    </row>
    <row r="658" ht="16.5" customHeight="1" spans="1:23" x14ac:dyDescent="0.25">
      <c r="A658" s="94"/>
      <c r="B658" s="79"/>
      <c r="C658" s="79"/>
      <c r="D658" s="80"/>
      <c r="E658" s="79"/>
      <c r="F658" s="79"/>
      <c r="G658" s="79"/>
      <c r="H658" s="79"/>
      <c r="I658" s="79"/>
      <c r="J658" s="90"/>
      <c r="K658" s="79"/>
      <c r="L658" s="82"/>
      <c r="M658" s="79"/>
      <c r="N658" s="79"/>
      <c r="O658" s="82"/>
      <c r="P658" s="81"/>
      <c r="Q658" s="82"/>
      <c r="R658" s="82"/>
      <c r="S658" s="81"/>
      <c r="T658" s="85"/>
      <c r="U658" s="82"/>
      <c r="V658" s="81"/>
      <c r="W658" s="81"/>
    </row>
    <row r="659" ht="16.5" customHeight="1" spans="1:23" x14ac:dyDescent="0.25">
      <c r="A659" s="94"/>
      <c r="B659" s="79"/>
      <c r="C659" s="79"/>
      <c r="D659" s="80"/>
      <c r="E659" s="79"/>
      <c r="F659" s="79"/>
      <c r="G659" s="79"/>
      <c r="H659" s="79"/>
      <c r="I659" s="79"/>
      <c r="J659" s="90"/>
      <c r="K659" s="79"/>
      <c r="L659" s="82"/>
      <c r="M659" s="79"/>
      <c r="N659" s="79"/>
      <c r="O659" s="82"/>
      <c r="P659" s="81"/>
      <c r="Q659" s="82"/>
      <c r="R659" s="82"/>
      <c r="S659" s="81"/>
      <c r="T659" s="85"/>
      <c r="U659" s="82"/>
      <c r="V659" s="81"/>
      <c r="W659" s="81"/>
    </row>
    <row r="660" ht="16.5" customHeight="1" spans="1:23" x14ac:dyDescent="0.25">
      <c r="A660" s="94"/>
      <c r="B660" s="79"/>
      <c r="C660" s="79"/>
      <c r="D660" s="80"/>
      <c r="E660" s="79"/>
      <c r="F660" s="79"/>
      <c r="G660" s="79"/>
      <c r="H660" s="79"/>
      <c r="I660" s="79"/>
      <c r="J660" s="90"/>
      <c r="K660" s="79"/>
      <c r="L660" s="82"/>
      <c r="M660" s="79"/>
      <c r="N660" s="79"/>
      <c r="O660" s="82"/>
      <c r="P660" s="81"/>
      <c r="Q660" s="82"/>
      <c r="R660" s="82"/>
      <c r="S660" s="81"/>
      <c r="T660" s="85"/>
      <c r="U660" s="82"/>
      <c r="V660" s="81"/>
      <c r="W660" s="81"/>
    </row>
    <row r="661" ht="16.5" customHeight="1" spans="1:23" x14ac:dyDescent="0.25">
      <c r="A661" s="94"/>
      <c r="B661" s="79"/>
      <c r="C661" s="79"/>
      <c r="D661" s="80"/>
      <c r="E661" s="79"/>
      <c r="F661" s="79"/>
      <c r="G661" s="79"/>
      <c r="H661" s="79"/>
      <c r="I661" s="79"/>
      <c r="J661" s="90"/>
      <c r="K661" s="79"/>
      <c r="L661" s="82"/>
      <c r="M661" s="79"/>
      <c r="N661" s="79"/>
      <c r="O661" s="82"/>
      <c r="P661" s="81"/>
      <c r="Q661" s="82"/>
      <c r="R661" s="82"/>
      <c r="S661" s="81"/>
      <c r="T661" s="85"/>
      <c r="U661" s="82"/>
      <c r="V661" s="81"/>
      <c r="W661" s="81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X574"/>
  <sheetViews>
    <sheetView workbookViewId="0" zoomScale="100" zoomScaleNormal="100">
      <selection activeCell="A4" sqref="A4"/>
    </sheetView>
  </sheetViews>
  <sheetFormatPr defaultRowHeight="10.5" outlineLevelRow="0" outlineLevelCol="0" x14ac:dyDescent="0" defaultColWidth="9.125" customHeight="1"/>
  <cols>
    <col min="1" max="1" width="12.25" style="44" customWidth="1"/>
    <col min="2" max="2" width="6.75" style="44" customWidth="1"/>
    <col min="3" max="3" width="16.375" style="44" customWidth="1"/>
    <col min="4" max="4" width="29.75" style="44" customWidth="1"/>
    <col min="5" max="7" width="6" style="44" customWidth="1"/>
    <col min="8" max="9" width="5.25" style="44" customWidth="1"/>
    <col min="10" max="10" width="10.875" style="44" customWidth="1"/>
    <col min="11" max="11" width="10.125" style="44" customWidth="1"/>
    <col min="12" max="12" width="6" style="44" customWidth="1"/>
    <col min="13" max="14" width="10.375" style="44" customWidth="1"/>
    <col min="15" max="15" width="7.875" style="44" customWidth="1"/>
    <col min="16" max="16" width="12.625" style="44" customWidth="1"/>
    <col min="17" max="17" width="12.125" style="44" customWidth="1"/>
    <col min="18" max="18" width="14.375" style="44" customWidth="1"/>
    <col min="19" max="19" width="9.875" style="44" customWidth="1"/>
    <col min="20" max="20" width="12.75" style="47" customWidth="1"/>
    <col min="21" max="21" width="12.75" style="44" customWidth="1"/>
    <col min="22" max="22" width="27.375" style="46" customWidth="1"/>
    <col min="23" max="23" width="21.625" style="46" customWidth="1"/>
    <col min="24" max="24" width="6" style="46" customWidth="1"/>
    <col min="25" max="16384" width="9.125" style="44" customWidth="1"/>
  </cols>
  <sheetData>
    <row r="1" ht="27" customHeight="1" spans="10:10" x14ac:dyDescent="0.25">
      <c r="J1" s="44"/>
    </row>
    <row r="2" ht="27.75" customHeight="1" spans="10:24" s="49" customFormat="1" x14ac:dyDescent="0.25">
      <c r="J2" s="55"/>
      <c r="L2" s="55"/>
      <c r="O2" s="55"/>
      <c r="P2" s="55"/>
      <c r="Q2" s="57"/>
      <c r="R2" s="57">
        <f>SUM(R4:R574)</f>
      </c>
      <c r="S2" s="46" t="s">
        <v>545</v>
      </c>
      <c r="T2" s="57">
        <f>SUM(T4:T574)</f>
      </c>
      <c r="U2" s="57">
        <f>SUM(U4:U574)</f>
      </c>
      <c r="W2" s="51"/>
      <c r="X2" s="51"/>
    </row>
    <row r="3" ht="35.25" customHeight="1" spans="1:24" s="61" customFormat="1" x14ac:dyDescent="0.25">
      <c r="A3" s="65" t="s">
        <v>0</v>
      </c>
      <c r="B3" s="65" t="s">
        <v>13</v>
      </c>
      <c r="C3" s="65" t="s">
        <v>16</v>
      </c>
      <c r="D3" s="65" t="s">
        <v>22</v>
      </c>
      <c r="E3" s="65" t="s">
        <v>166</v>
      </c>
      <c r="F3" s="65" t="s">
        <v>170</v>
      </c>
      <c r="G3" s="68" t="s">
        <v>4</v>
      </c>
      <c r="H3" s="65" t="s">
        <v>2</v>
      </c>
      <c r="I3" s="65" t="s">
        <v>3</v>
      </c>
      <c r="J3" s="69" t="s">
        <v>526</v>
      </c>
      <c r="K3" s="87" t="s">
        <v>546</v>
      </c>
      <c r="L3" s="69" t="s">
        <v>527</v>
      </c>
      <c r="M3" s="88" t="s">
        <v>529</v>
      </c>
      <c r="N3" s="88" t="s">
        <v>547</v>
      </c>
      <c r="O3" s="71" t="s">
        <v>530</v>
      </c>
      <c r="P3" s="71" t="s">
        <v>548</v>
      </c>
      <c r="Q3" s="71" t="s">
        <v>549</v>
      </c>
      <c r="R3" s="89" t="s">
        <v>550</v>
      </c>
      <c r="S3" s="71" t="s">
        <v>536</v>
      </c>
      <c r="T3" s="74" t="s">
        <v>551</v>
      </c>
      <c r="U3" s="89" t="s">
        <v>552</v>
      </c>
      <c r="V3" s="79" t="s">
        <v>20</v>
      </c>
      <c r="W3" s="90" t="s">
        <v>190</v>
      </c>
      <c r="X3" s="91"/>
    </row>
    <row r="4" ht="16.5" customHeight="1" spans="1:23" x14ac:dyDescent="0.25">
      <c r="A4" s="92"/>
      <c r="B4" s="79">
        <f>IFERROR(VLOOKUP($A:$A,CS!$A:$AK,3,FALSE),"")</f>
      </c>
      <c r="C4" s="79">
        <f>IFERROR(VLOOKUP($A:$A,CS!$A:$AK,4,FALSE),"")</f>
      </c>
      <c r="D4" s="79">
        <f>IFERROR(VLOOKUP($A:$A,CS!$A:$AK,5,FALSE),"")</f>
      </c>
      <c r="E4" s="79">
        <f>IFERROR(VLOOKUP($A:$A,CS!$A:$AK,7,FALSE),"")</f>
      </c>
      <c r="F4" s="79">
        <f>IFERROR(VLOOKUP($A:$A,CS!$A:$AK,8,FALSE),"")</f>
      </c>
      <c r="G4" s="79">
        <f>IFERROR(VLOOKUP($A:$A,CS!$A:$AK,10,FALSE),"")</f>
      </c>
      <c r="H4" s="79">
        <f>IFERROR(VLOOKUP($A:$A,CS!$A:$AK,14,FALSE),"")</f>
      </c>
      <c r="I4" s="79">
        <f>IFERROR(VLOOKUP($A:$A,CS!$A:$AK,15,FALSE),"")</f>
      </c>
      <c r="J4" s="79">
        <f>IFERROR(VLOOKUP($A:$A,CS!$A:$AK,18,FALSE),"")</f>
      </c>
      <c r="K4" s="79">
        <f>IFERROR(VLOOKUP($A:$A,CS!$A:$AK,19,FALSE),"")</f>
      </c>
      <c r="L4" s="79">
        <f>IFERROR(VLOOKUP($A:$A,CS!$A:$AK,20,FALSE),"")</f>
      </c>
      <c r="M4" s="79">
        <f>IFERROR(VLOOKUP($A:$A,CS!$A:$AK,22,FALSE),"")</f>
      </c>
      <c r="N4" s="79">
        <f>IFERROR(VLOOKUP($A:$A,CS!$A:$AK,19,FALSE),"")</f>
      </c>
      <c r="O4" s="79">
        <f>IFERROR(VLOOKUP($A:$A,CS!$A:$AK,23,FALSE),"")</f>
      </c>
      <c r="P4" s="79">
        <f>IFERROR(VLOOKUP($A:$A,CS!$A:$AK,24,FALSE),"")</f>
      </c>
      <c r="Q4" s="79">
        <f>IFERROR(VLOOKUP($A:$A,CS!$A:$AK,25,FALSE),"")</f>
      </c>
      <c r="R4" s="79">
        <f>IFERROR(VLOOKUP($A:$A,CS!$A:$AK,26,FALSE),"")</f>
      </c>
      <c r="S4" s="79">
        <f>IFERROR(VLOOKUP($A:$A,CS!$A:$AK,29,FALSE),"")</f>
      </c>
      <c r="T4" s="79">
        <f>IFERROR(VLOOKUP($A:$A,CS!$A:$AK,33,FALSE),"")</f>
      </c>
      <c r="U4" s="79">
        <f>IFERROR(VLOOKUP($A:$A,CS!$A:$AK,34,FALSE),"")</f>
      </c>
      <c r="V4" s="79">
        <f>IFERROR(VLOOKUP($A:$A,CS!$A:$AK,35,FALSE),"")</f>
      </c>
      <c r="W4" s="79">
        <f>IFERROR(VLOOKUP($A:$A,CS!$A:$AK,36,FALSE),"")</f>
      </c>
    </row>
    <row r="5" ht="16.5" customHeight="1" spans="1:23" x14ac:dyDescent="0.25">
      <c r="A5" s="3"/>
      <c r="B5" s="79">
        <f>IFERROR(VLOOKUP($A:$A,CS!$A:$AK,3,FALSE),"")</f>
      </c>
      <c r="C5" s="79">
        <f>IFERROR(VLOOKUP($A:$A,CS!$A:$AK,4,FALSE),"")</f>
      </c>
      <c r="D5" s="79">
        <f>IFERROR(VLOOKUP($A:$A,CS!$A:$AK,5,FALSE),"")</f>
      </c>
      <c r="E5" s="79">
        <f>IFERROR(VLOOKUP($A:$A,CS!$A:$AK,7,FALSE),"")</f>
      </c>
      <c r="F5" s="79">
        <f>IFERROR(VLOOKUP($A:$A,CS!$A:$AK,8,FALSE),"")</f>
      </c>
      <c r="G5" s="79">
        <f>IFERROR(VLOOKUP($A:$A,CS!$A:$AK,10,FALSE),"")</f>
      </c>
      <c r="H5" s="79">
        <f>IFERROR(VLOOKUP($A:$A,CS!$A:$AK,14,FALSE),"")</f>
      </c>
      <c r="I5" s="79">
        <f>IFERROR(VLOOKUP($A:$A,CS!$A:$AK,15,FALSE),"")</f>
      </c>
      <c r="J5" s="79">
        <f>IFERROR(VLOOKUP($A:$A,CS!$A:$AK,18,FALSE),"")</f>
      </c>
      <c r="K5" s="79">
        <f>IFERROR(VLOOKUP($A:$A,CS!$A:$AK,19,FALSE),"")</f>
      </c>
      <c r="L5" s="79">
        <f>IFERROR(VLOOKUP($A:$A,CS!$A:$AK,20,FALSE),"")</f>
      </c>
      <c r="M5" s="79">
        <f>IFERROR(VLOOKUP($A:$A,CS!$A:$AK,22,FALSE),"")</f>
      </c>
      <c r="N5" s="79">
        <f>IFERROR(VLOOKUP($A:$A,CS!$A:$AK,19,FALSE),"")</f>
      </c>
      <c r="O5" s="79">
        <f>IFERROR(VLOOKUP($A:$A,CS!$A:$AK,23,FALSE),"")</f>
      </c>
      <c r="P5" s="79">
        <f>IFERROR(VLOOKUP($A:$A,CS!$A:$AK,24,FALSE),"")</f>
      </c>
      <c r="Q5" s="79">
        <f>IFERROR(VLOOKUP($A:$A,CS!$A:$AK,25,FALSE),"")</f>
      </c>
      <c r="R5" s="79">
        <f>IFERROR(VLOOKUP($A:$A,CS!$A:$AK,26,FALSE),"")</f>
      </c>
      <c r="S5" s="79">
        <f>IFERROR(VLOOKUP($A:$A,CS!$A:$AK,29,FALSE),"")</f>
      </c>
      <c r="T5" s="79">
        <f>IFERROR(VLOOKUP($A:$A,CS!$A:$AK,33,FALSE),"")</f>
      </c>
      <c r="U5" s="79">
        <f>IFERROR(VLOOKUP($A:$A,CS!$A:$AK,34,FALSE),"")</f>
      </c>
      <c r="V5" s="79">
        <f>IFERROR(VLOOKUP($A:$A,CS!$A:$AK,35,FALSE),"")</f>
      </c>
      <c r="W5" s="79">
        <f>IFERROR(VLOOKUP($A:$A,CS!$A:$AK,36,FALSE),"")</f>
      </c>
    </row>
    <row r="6" ht="16.5" customHeight="1" spans="1:23" x14ac:dyDescent="0.25">
      <c r="A6" s="3"/>
      <c r="B6" s="79">
        <f>IFERROR(VLOOKUP($A:$A,CS!$A:$AK,3,FALSE),"")</f>
      </c>
      <c r="C6" s="79">
        <f>IFERROR(VLOOKUP($A:$A,CS!$A:$AK,4,FALSE),"")</f>
      </c>
      <c r="D6" s="79">
        <f>IFERROR(VLOOKUP($A:$A,CS!$A:$AK,5,FALSE),"")</f>
      </c>
      <c r="E6" s="79">
        <f>IFERROR(VLOOKUP($A:$A,CS!$A:$AK,7,FALSE),"")</f>
      </c>
      <c r="F6" s="79">
        <f>IFERROR(VLOOKUP($A:$A,CS!$A:$AK,8,FALSE),"")</f>
      </c>
      <c r="G6" s="79">
        <f>IFERROR(VLOOKUP($A:$A,CS!$A:$AK,10,FALSE),"")</f>
      </c>
      <c r="H6" s="79">
        <f>IFERROR(VLOOKUP($A:$A,CS!$A:$AK,14,FALSE),"")</f>
      </c>
      <c r="I6" s="79">
        <f>IFERROR(VLOOKUP($A:$A,CS!$A:$AK,15,FALSE),"")</f>
      </c>
      <c r="J6" s="79">
        <f>IFERROR(VLOOKUP($A:$A,CS!$A:$AK,18,FALSE),"")</f>
      </c>
      <c r="K6" s="79">
        <f>IFERROR(VLOOKUP($A:$A,CS!$A:$AK,19,FALSE),"")</f>
      </c>
      <c r="L6" s="79">
        <f>IFERROR(VLOOKUP($A:$A,CS!$A:$AK,20,FALSE),"")</f>
      </c>
      <c r="M6" s="79">
        <f>IFERROR(VLOOKUP($A:$A,CS!$A:$AK,22,FALSE),"")</f>
      </c>
      <c r="N6" s="79">
        <f>IFERROR(VLOOKUP($A:$A,CS!$A:$AK,19,FALSE),"")</f>
      </c>
      <c r="O6" s="79">
        <f>IFERROR(VLOOKUP($A:$A,CS!$A:$AK,23,FALSE),"")</f>
      </c>
      <c r="P6" s="79">
        <f>IFERROR(VLOOKUP($A:$A,CS!$A:$AK,24,FALSE),"")</f>
      </c>
      <c r="Q6" s="79">
        <f>IFERROR(VLOOKUP($A:$A,CS!$A:$AK,25,FALSE),"")</f>
      </c>
      <c r="R6" s="79">
        <f>IFERROR(VLOOKUP($A:$A,CS!$A:$AK,26,FALSE),"")</f>
      </c>
      <c r="S6" s="79">
        <f>IFERROR(VLOOKUP($A:$A,CS!$A:$AK,29,FALSE),"")</f>
      </c>
      <c r="T6" s="79">
        <f>IFERROR(VLOOKUP($A:$A,CS!$A:$AK,33,FALSE),"")</f>
      </c>
      <c r="U6" s="79">
        <f>IFERROR(VLOOKUP($A:$A,CS!$A:$AK,34,FALSE),"")</f>
      </c>
      <c r="V6" s="79">
        <f>IFERROR(VLOOKUP($A:$A,CS!$A:$AK,35,FALSE),"")</f>
      </c>
      <c r="W6" s="79">
        <f>IFERROR(VLOOKUP($A:$A,CS!$A:$AK,36,FALSE),"")</f>
      </c>
    </row>
    <row r="7" ht="16.5" customHeight="1" spans="1:23" x14ac:dyDescent="0.25">
      <c r="A7" s="3"/>
      <c r="B7" s="79">
        <f>IFERROR(VLOOKUP($A:$A,CS!$A:$AK,3,FALSE),"")</f>
      </c>
      <c r="C7" s="79">
        <f>IFERROR(VLOOKUP($A:$A,CS!$A:$AK,4,FALSE),"")</f>
      </c>
      <c r="D7" s="79">
        <f>IFERROR(VLOOKUP($A:$A,CS!$A:$AK,5,FALSE),"")</f>
      </c>
      <c r="E7" s="79">
        <f>IFERROR(VLOOKUP($A:$A,CS!$A:$AK,7,FALSE),"")</f>
      </c>
      <c r="F7" s="79">
        <f>IFERROR(VLOOKUP($A:$A,CS!$A:$AK,8,FALSE),"")</f>
      </c>
      <c r="G7" s="79">
        <f>IFERROR(VLOOKUP($A:$A,CS!$A:$AK,10,FALSE),"")</f>
      </c>
      <c r="H7" s="79">
        <f>IFERROR(VLOOKUP($A:$A,CS!$A:$AK,14,FALSE),"")</f>
      </c>
      <c r="I7" s="79">
        <f>IFERROR(VLOOKUP($A:$A,CS!$A:$AK,15,FALSE),"")</f>
      </c>
      <c r="J7" s="79">
        <f>IFERROR(VLOOKUP($A:$A,CS!$A:$AK,18,FALSE),"")</f>
      </c>
      <c r="K7" s="79">
        <f>IFERROR(VLOOKUP($A:$A,CS!$A:$AK,19,FALSE),"")</f>
      </c>
      <c r="L7" s="79">
        <f>IFERROR(VLOOKUP($A:$A,CS!$A:$AK,20,FALSE),"")</f>
      </c>
      <c r="M7" s="79">
        <f>IFERROR(VLOOKUP($A:$A,CS!$A:$AK,22,FALSE),"")</f>
      </c>
      <c r="N7" s="79">
        <f>IFERROR(VLOOKUP($A:$A,CS!$A:$AK,19,FALSE),"")</f>
      </c>
      <c r="O7" s="79">
        <f>IFERROR(VLOOKUP($A:$A,CS!$A:$AK,23,FALSE),"")</f>
      </c>
      <c r="P7" s="79">
        <f>IFERROR(VLOOKUP($A:$A,CS!$A:$AK,24,FALSE),"")</f>
      </c>
      <c r="Q7" s="79">
        <f>IFERROR(VLOOKUP($A:$A,CS!$A:$AK,25,FALSE),"")</f>
      </c>
      <c r="R7" s="79">
        <f>IFERROR(VLOOKUP($A:$A,CS!$A:$AK,26,FALSE),"")</f>
      </c>
      <c r="S7" s="79">
        <f>IFERROR(VLOOKUP($A:$A,CS!$A:$AK,29,FALSE),"")</f>
      </c>
      <c r="T7" s="79">
        <f>IFERROR(VLOOKUP($A:$A,CS!$A:$AK,33,FALSE),"")</f>
      </c>
      <c r="U7" s="79">
        <f>IFERROR(VLOOKUP($A:$A,CS!$A:$AK,34,FALSE),"")</f>
      </c>
      <c r="V7" s="79">
        <f>IFERROR(VLOOKUP($A:$A,CS!$A:$AK,35,FALSE),"")</f>
      </c>
      <c r="W7" s="79">
        <f>IFERROR(VLOOKUP($A:$A,CS!$A:$AK,36,FALSE),"")</f>
      </c>
    </row>
    <row r="8" ht="16.5" customHeight="1" spans="1:23" x14ac:dyDescent="0.25">
      <c r="A8" s="3"/>
      <c r="B8" s="79">
        <f>IFERROR(VLOOKUP($A:$A,CS!$A:$AK,3,FALSE),"")</f>
      </c>
      <c r="C8" s="79">
        <f>IFERROR(VLOOKUP($A:$A,CS!$A:$AK,4,FALSE),"")</f>
      </c>
      <c r="D8" s="79">
        <f>IFERROR(VLOOKUP($A:$A,CS!$A:$AK,5,FALSE),"")</f>
      </c>
      <c r="E8" s="79">
        <f>IFERROR(VLOOKUP($A:$A,CS!$A:$AK,7,FALSE),"")</f>
      </c>
      <c r="F8" s="79">
        <f>IFERROR(VLOOKUP($A:$A,CS!$A:$AK,8,FALSE),"")</f>
      </c>
      <c r="G8" s="79">
        <f>IFERROR(VLOOKUP($A:$A,CS!$A:$AK,10,FALSE),"")</f>
      </c>
      <c r="H8" s="79">
        <f>IFERROR(VLOOKUP($A:$A,CS!$A:$AK,14,FALSE),"")</f>
      </c>
      <c r="I8" s="79">
        <f>IFERROR(VLOOKUP($A:$A,CS!$A:$AK,15,FALSE),"")</f>
      </c>
      <c r="J8" s="79">
        <f>IFERROR(VLOOKUP($A:$A,CS!$A:$AK,18,FALSE),"")</f>
      </c>
      <c r="K8" s="79">
        <f>IFERROR(VLOOKUP($A:$A,CS!$A:$AK,19,FALSE),"")</f>
      </c>
      <c r="L8" s="79">
        <f>IFERROR(VLOOKUP($A:$A,CS!$A:$AK,20,FALSE),"")</f>
      </c>
      <c r="M8" s="79">
        <f>IFERROR(VLOOKUP($A:$A,CS!$A:$AK,22,FALSE),"")</f>
      </c>
      <c r="N8" s="79">
        <f>IFERROR(VLOOKUP($A:$A,CS!$A:$AK,19,FALSE),"")</f>
      </c>
      <c r="O8" s="79">
        <f>IFERROR(VLOOKUP($A:$A,CS!$A:$AK,23,FALSE),"")</f>
      </c>
      <c r="P8" s="79">
        <f>IFERROR(VLOOKUP($A:$A,CS!$A:$AK,24,FALSE),"")</f>
      </c>
      <c r="Q8" s="79">
        <f>IFERROR(VLOOKUP($A:$A,CS!$A:$AK,25,FALSE),"")</f>
      </c>
      <c r="R8" s="79">
        <f>IFERROR(VLOOKUP($A:$A,CS!$A:$AK,26,FALSE),"")</f>
      </c>
      <c r="S8" s="79">
        <f>IFERROR(VLOOKUP($A:$A,CS!$A:$AK,29,FALSE),"")</f>
      </c>
      <c r="T8" s="79">
        <f>IFERROR(VLOOKUP($A:$A,CS!$A:$AK,33,FALSE),"")</f>
      </c>
      <c r="U8" s="79">
        <f>IFERROR(VLOOKUP($A:$A,CS!$A:$AK,34,FALSE),"")</f>
      </c>
      <c r="V8" s="79">
        <f>IFERROR(VLOOKUP($A:$A,CS!$A:$AK,35,FALSE),"")</f>
      </c>
      <c r="W8" s="79">
        <f>IFERROR(VLOOKUP($A:$A,CS!$A:$AK,36,FALSE),"")</f>
      </c>
    </row>
    <row r="9" ht="16.5" customHeight="1" spans="1:23" x14ac:dyDescent="0.25">
      <c r="A9" s="3"/>
      <c r="B9" s="79">
        <f>IFERROR(VLOOKUP($A:$A,CS!$A:$AK,3,FALSE),"")</f>
      </c>
      <c r="C9" s="79">
        <f>IFERROR(VLOOKUP($A:$A,CS!$A:$AK,4,FALSE),"")</f>
      </c>
      <c r="D9" s="79">
        <f>IFERROR(VLOOKUP($A:$A,CS!$A:$AK,5,FALSE),"")</f>
      </c>
      <c r="E9" s="79">
        <f>IFERROR(VLOOKUP($A:$A,CS!$A:$AK,7,FALSE),"")</f>
      </c>
      <c r="F9" s="79">
        <f>IFERROR(VLOOKUP($A:$A,CS!$A:$AK,8,FALSE),"")</f>
      </c>
      <c r="G9" s="79">
        <f>IFERROR(VLOOKUP($A:$A,CS!$A:$AK,10,FALSE),"")</f>
      </c>
      <c r="H9" s="79">
        <f>IFERROR(VLOOKUP($A:$A,CS!$A:$AK,14,FALSE),"")</f>
      </c>
      <c r="I9" s="79">
        <f>IFERROR(VLOOKUP($A:$A,CS!$A:$AK,15,FALSE),"")</f>
      </c>
      <c r="J9" s="79">
        <f>IFERROR(VLOOKUP($A:$A,CS!$A:$AK,18,FALSE),"")</f>
      </c>
      <c r="K9" s="79">
        <f>IFERROR(VLOOKUP($A:$A,CS!$A:$AK,19,FALSE),"")</f>
      </c>
      <c r="L9" s="79">
        <f>IFERROR(VLOOKUP($A:$A,CS!$A:$AK,20,FALSE),"")</f>
      </c>
      <c r="M9" s="79">
        <f>IFERROR(VLOOKUP($A:$A,CS!$A:$AK,22,FALSE),"")</f>
      </c>
      <c r="N9" s="79">
        <f>IFERROR(VLOOKUP($A:$A,CS!$A:$AK,19,FALSE),"")</f>
      </c>
      <c r="O9" s="79">
        <f>IFERROR(VLOOKUP($A:$A,CS!$A:$AK,23,FALSE),"")</f>
      </c>
      <c r="P9" s="79">
        <f>IFERROR(VLOOKUP($A:$A,CS!$A:$AK,24,FALSE),"")</f>
      </c>
      <c r="Q9" s="79">
        <f>IFERROR(VLOOKUP($A:$A,CS!$A:$AK,25,FALSE),"")</f>
      </c>
      <c r="R9" s="79">
        <f>IFERROR(VLOOKUP($A:$A,CS!$A:$AK,26,FALSE),"")</f>
      </c>
      <c r="S9" s="79">
        <f>IFERROR(VLOOKUP($A:$A,CS!$A:$AK,29,FALSE),"")</f>
      </c>
      <c r="T9" s="79">
        <f>IFERROR(VLOOKUP($A:$A,CS!$A:$AK,33,FALSE),"")</f>
      </c>
      <c r="U9" s="79">
        <f>IFERROR(VLOOKUP($A:$A,CS!$A:$AK,34,FALSE),"")</f>
      </c>
      <c r="V9" s="79">
        <f>IFERROR(VLOOKUP($A:$A,CS!$A:$AK,35,FALSE),"")</f>
      </c>
      <c r="W9" s="79">
        <f>IFERROR(VLOOKUP($A:$A,CS!$A:$AK,36,FALSE),"")</f>
      </c>
    </row>
    <row r="10" ht="16.5" customHeight="1" spans="1:23" x14ac:dyDescent="0.25">
      <c r="A10" s="3"/>
      <c r="B10" s="79">
        <f>IFERROR(VLOOKUP($A:$A,CS!$A:$AK,3,FALSE),"")</f>
      </c>
      <c r="C10" s="79">
        <f>IFERROR(VLOOKUP($A:$A,CS!$A:$AK,4,FALSE),"")</f>
      </c>
      <c r="D10" s="79">
        <f>IFERROR(VLOOKUP($A:$A,CS!$A:$AK,5,FALSE),"")</f>
      </c>
      <c r="E10" s="79">
        <f>IFERROR(VLOOKUP($A:$A,CS!$A:$AK,7,FALSE),"")</f>
      </c>
      <c r="F10" s="79">
        <f>IFERROR(VLOOKUP($A:$A,CS!$A:$AK,8,FALSE),"")</f>
      </c>
      <c r="G10" s="79">
        <f>IFERROR(VLOOKUP($A:$A,CS!$A:$AK,10,FALSE),"")</f>
      </c>
      <c r="H10" s="79">
        <f>IFERROR(VLOOKUP($A:$A,CS!$A:$AK,14,FALSE),"")</f>
      </c>
      <c r="I10" s="79">
        <f>IFERROR(VLOOKUP($A:$A,CS!$A:$AK,15,FALSE),"")</f>
      </c>
      <c r="J10" s="79">
        <f>IFERROR(VLOOKUP($A:$A,CS!$A:$AK,18,FALSE),"")</f>
      </c>
      <c r="K10" s="79">
        <f>IFERROR(VLOOKUP($A:$A,CS!$A:$AK,19,FALSE),"")</f>
      </c>
      <c r="L10" s="79">
        <f>IFERROR(VLOOKUP($A:$A,CS!$A:$AK,20,FALSE),"")</f>
      </c>
      <c r="M10" s="79">
        <f>IFERROR(VLOOKUP($A:$A,CS!$A:$AK,22,FALSE),"")</f>
      </c>
      <c r="N10" s="79">
        <f>IFERROR(VLOOKUP($A:$A,CS!$A:$AK,19,FALSE),"")</f>
      </c>
      <c r="O10" s="79">
        <f>IFERROR(VLOOKUP($A:$A,CS!$A:$AK,23,FALSE),"")</f>
      </c>
      <c r="P10" s="79">
        <f>IFERROR(VLOOKUP($A:$A,CS!$A:$AK,24,FALSE),"")</f>
      </c>
      <c r="Q10" s="79">
        <f>IFERROR(VLOOKUP($A:$A,CS!$A:$AK,25,FALSE),"")</f>
      </c>
      <c r="R10" s="79">
        <f>IFERROR(VLOOKUP($A:$A,CS!$A:$AK,26,FALSE),"")</f>
      </c>
      <c r="S10" s="79">
        <f>IFERROR(VLOOKUP($A:$A,CS!$A:$AK,29,FALSE),"")</f>
      </c>
      <c r="T10" s="79">
        <f>IFERROR(VLOOKUP($A:$A,CS!$A:$AK,33,FALSE),"")</f>
      </c>
      <c r="U10" s="79">
        <f>IFERROR(VLOOKUP($A:$A,CS!$A:$AK,34,FALSE),"")</f>
      </c>
      <c r="V10" s="79">
        <f>IFERROR(VLOOKUP($A:$A,CS!$A:$AK,35,FALSE),"")</f>
      </c>
      <c r="W10" s="79">
        <f>IFERROR(VLOOKUP($A:$A,CS!$A:$AK,36,FALSE),"")</f>
      </c>
    </row>
    <row r="11" ht="16.5" customHeight="1" spans="1:23" x14ac:dyDescent="0.25">
      <c r="A11" s="3"/>
      <c r="B11" s="79">
        <f>IFERROR(VLOOKUP($A:$A,CS!$A:$AK,3,FALSE),"")</f>
      </c>
      <c r="C11" s="79">
        <f>IFERROR(VLOOKUP($A:$A,CS!$A:$AK,4,FALSE),"")</f>
      </c>
      <c r="D11" s="79">
        <f>IFERROR(VLOOKUP($A:$A,CS!$A:$AK,5,FALSE),"")</f>
      </c>
      <c r="E11" s="79">
        <f>IFERROR(VLOOKUP($A:$A,CS!$A:$AK,7,FALSE),"")</f>
      </c>
      <c r="F11" s="79">
        <f>IFERROR(VLOOKUP($A:$A,CS!$A:$AK,8,FALSE),"")</f>
      </c>
      <c r="G11" s="79">
        <f>IFERROR(VLOOKUP($A:$A,CS!$A:$AK,10,FALSE),"")</f>
      </c>
      <c r="H11" s="79">
        <f>IFERROR(VLOOKUP($A:$A,CS!$A:$AK,14,FALSE),"")</f>
      </c>
      <c r="I11" s="79">
        <f>IFERROR(VLOOKUP($A:$A,CS!$A:$AK,15,FALSE),"")</f>
      </c>
      <c r="J11" s="79">
        <f>IFERROR(VLOOKUP($A:$A,CS!$A:$AK,18,FALSE),"")</f>
      </c>
      <c r="K11" s="79">
        <f>IFERROR(VLOOKUP($A:$A,CS!$A:$AK,19,FALSE),"")</f>
      </c>
      <c r="L11" s="79">
        <f>IFERROR(VLOOKUP($A:$A,CS!$A:$AK,20,FALSE),"")</f>
      </c>
      <c r="M11" s="79">
        <f>IFERROR(VLOOKUP($A:$A,CS!$A:$AK,22,FALSE),"")</f>
      </c>
      <c r="N11" s="79">
        <f>IFERROR(VLOOKUP($A:$A,CS!$A:$AK,19,FALSE),"")</f>
      </c>
      <c r="O11" s="79">
        <f>IFERROR(VLOOKUP($A:$A,CS!$A:$AK,23,FALSE),"")</f>
      </c>
      <c r="P11" s="79">
        <f>IFERROR(VLOOKUP($A:$A,CS!$A:$AK,24,FALSE),"")</f>
      </c>
      <c r="Q11" s="79">
        <f>IFERROR(VLOOKUP($A:$A,CS!$A:$AK,25,FALSE),"")</f>
      </c>
      <c r="R11" s="79">
        <f>IFERROR(VLOOKUP($A:$A,CS!$A:$AK,26,FALSE),"")</f>
      </c>
      <c r="S11" s="79">
        <f>IFERROR(VLOOKUP($A:$A,CS!$A:$AK,29,FALSE),"")</f>
      </c>
      <c r="T11" s="79">
        <f>IFERROR(VLOOKUP($A:$A,CS!$A:$AK,33,FALSE),"")</f>
      </c>
      <c r="U11" s="79">
        <f>IFERROR(VLOOKUP($A:$A,CS!$A:$AK,34,FALSE),"")</f>
      </c>
      <c r="V11" s="79">
        <f>IFERROR(VLOOKUP($A:$A,CS!$A:$AK,35,FALSE),"")</f>
      </c>
      <c r="W11" s="79">
        <f>IFERROR(VLOOKUP($A:$A,CS!$A:$AK,36,FALSE),"")</f>
      </c>
    </row>
    <row r="12" ht="16.5" customHeight="1" spans="1:23" x14ac:dyDescent="0.25">
      <c r="A12" s="3"/>
      <c r="B12" s="79">
        <f>IFERROR(VLOOKUP($A:$A,CS!$A:$AK,3,FALSE),"")</f>
      </c>
      <c r="C12" s="79">
        <f>IFERROR(VLOOKUP($A:$A,CS!$A:$AK,4,FALSE),"")</f>
      </c>
      <c r="D12" s="79">
        <f>IFERROR(VLOOKUP($A:$A,CS!$A:$AK,5,FALSE),"")</f>
      </c>
      <c r="E12" s="79">
        <f>IFERROR(VLOOKUP($A:$A,CS!$A:$AK,7,FALSE),"")</f>
      </c>
      <c r="F12" s="79">
        <f>IFERROR(VLOOKUP($A:$A,CS!$A:$AK,8,FALSE),"")</f>
      </c>
      <c r="G12" s="79">
        <f>IFERROR(VLOOKUP($A:$A,CS!$A:$AK,10,FALSE),"")</f>
      </c>
      <c r="H12" s="79">
        <f>IFERROR(VLOOKUP($A:$A,CS!$A:$AK,14,FALSE),"")</f>
      </c>
      <c r="I12" s="79">
        <f>IFERROR(VLOOKUP($A:$A,CS!$A:$AK,15,FALSE),"")</f>
      </c>
      <c r="J12" s="79">
        <f>IFERROR(VLOOKUP($A:$A,CS!$A:$AK,18,FALSE),"")</f>
      </c>
      <c r="K12" s="79">
        <f>IFERROR(VLOOKUP($A:$A,CS!$A:$AK,19,FALSE),"")</f>
      </c>
      <c r="L12" s="79">
        <f>IFERROR(VLOOKUP($A:$A,CS!$A:$AK,20,FALSE),"")</f>
      </c>
      <c r="M12" s="79">
        <f>IFERROR(VLOOKUP($A:$A,CS!$A:$AK,22,FALSE),"")</f>
      </c>
      <c r="N12" s="79">
        <f>IFERROR(VLOOKUP($A:$A,CS!$A:$AK,19,FALSE),"")</f>
      </c>
      <c r="O12" s="79">
        <f>IFERROR(VLOOKUP($A:$A,CS!$A:$AK,23,FALSE),"")</f>
      </c>
      <c r="P12" s="79">
        <f>IFERROR(VLOOKUP($A:$A,CS!$A:$AK,24,FALSE),"")</f>
      </c>
      <c r="Q12" s="79">
        <f>IFERROR(VLOOKUP($A:$A,CS!$A:$AK,25,FALSE),"")</f>
      </c>
      <c r="R12" s="79">
        <f>IFERROR(VLOOKUP($A:$A,CS!$A:$AK,26,FALSE),"")</f>
      </c>
      <c r="S12" s="79">
        <f>IFERROR(VLOOKUP($A:$A,CS!$A:$AK,29,FALSE),"")</f>
      </c>
      <c r="T12" s="79">
        <f>IFERROR(VLOOKUP($A:$A,CS!$A:$AK,33,FALSE),"")</f>
      </c>
      <c r="U12" s="79">
        <f>IFERROR(VLOOKUP($A:$A,CS!$A:$AK,34,FALSE),"")</f>
      </c>
      <c r="V12" s="79">
        <f>IFERROR(VLOOKUP($A:$A,CS!$A:$AK,35,FALSE),"")</f>
      </c>
      <c r="W12" s="79">
        <f>IFERROR(VLOOKUP($A:$A,CS!$A:$AK,36,FALSE),"")</f>
      </c>
    </row>
    <row r="13" ht="16.5" customHeight="1" spans="1:23" x14ac:dyDescent="0.25">
      <c r="A13" s="3"/>
      <c r="B13" s="79">
        <f>IFERROR(VLOOKUP($A:$A,CS!$A:$AK,3,FALSE),"")</f>
      </c>
      <c r="C13" s="79">
        <f>IFERROR(VLOOKUP($A:$A,CS!$A:$AK,4,FALSE),"")</f>
      </c>
      <c r="D13" s="79">
        <f>IFERROR(VLOOKUP($A:$A,CS!$A:$AK,5,FALSE),"")</f>
      </c>
      <c r="E13" s="79">
        <f>IFERROR(VLOOKUP($A:$A,CS!$A:$AK,7,FALSE),"")</f>
      </c>
      <c r="F13" s="79">
        <f>IFERROR(VLOOKUP($A:$A,CS!$A:$AK,8,FALSE),"")</f>
      </c>
      <c r="G13" s="79">
        <f>IFERROR(VLOOKUP($A:$A,CS!$A:$AK,10,FALSE),"")</f>
      </c>
      <c r="H13" s="79">
        <f>IFERROR(VLOOKUP($A:$A,CS!$A:$AK,14,FALSE),"")</f>
      </c>
      <c r="I13" s="79">
        <f>IFERROR(VLOOKUP($A:$A,CS!$A:$AK,15,FALSE),"")</f>
      </c>
      <c r="J13" s="79">
        <f>IFERROR(VLOOKUP($A:$A,CS!$A:$AK,18,FALSE),"")</f>
      </c>
      <c r="K13" s="79">
        <f>IFERROR(VLOOKUP($A:$A,CS!$A:$AK,19,FALSE),"")</f>
      </c>
      <c r="L13" s="79">
        <f>IFERROR(VLOOKUP($A:$A,CS!$A:$AK,20,FALSE),"")</f>
      </c>
      <c r="M13" s="79">
        <f>IFERROR(VLOOKUP($A:$A,CS!$A:$AK,22,FALSE),"")</f>
      </c>
      <c r="N13" s="79">
        <f>IFERROR(VLOOKUP($A:$A,CS!$A:$AK,19,FALSE),"")</f>
      </c>
      <c r="O13" s="79">
        <f>IFERROR(VLOOKUP($A:$A,CS!$A:$AK,23,FALSE),"")</f>
      </c>
      <c r="P13" s="79">
        <f>IFERROR(VLOOKUP($A:$A,CS!$A:$AK,24,FALSE),"")</f>
      </c>
      <c r="Q13" s="79">
        <f>IFERROR(VLOOKUP($A:$A,CS!$A:$AK,25,FALSE),"")</f>
      </c>
      <c r="R13" s="79">
        <f>IFERROR(VLOOKUP($A:$A,CS!$A:$AK,26,FALSE),"")</f>
      </c>
      <c r="S13" s="79">
        <f>IFERROR(VLOOKUP($A:$A,CS!$A:$AK,29,FALSE),"")</f>
      </c>
      <c r="T13" s="79">
        <f>IFERROR(VLOOKUP($A:$A,CS!$A:$AK,33,FALSE),"")</f>
      </c>
      <c r="U13" s="79">
        <f>IFERROR(VLOOKUP($A:$A,CS!$A:$AK,34,FALSE),"")</f>
      </c>
      <c r="V13" s="79">
        <f>IFERROR(VLOOKUP($A:$A,CS!$A:$AK,35,FALSE),"")</f>
      </c>
      <c r="W13" s="79">
        <f>IFERROR(VLOOKUP($A:$A,CS!$A:$AK,36,FALSE),"")</f>
      </c>
    </row>
    <row r="14" ht="16.5" customHeight="1" spans="1:23" x14ac:dyDescent="0.25">
      <c r="A14" s="3"/>
      <c r="B14" s="79">
        <f>IFERROR(VLOOKUP($A:$A,CS!$A:$AK,3,FALSE),"")</f>
      </c>
      <c r="C14" s="79">
        <f>IFERROR(VLOOKUP($A:$A,CS!$A:$AK,4,FALSE),"")</f>
      </c>
      <c r="D14" s="79">
        <f>IFERROR(VLOOKUP($A:$A,CS!$A:$AK,5,FALSE),"")</f>
      </c>
      <c r="E14" s="79">
        <f>IFERROR(VLOOKUP($A:$A,CS!$A:$AK,7,FALSE),"")</f>
      </c>
      <c r="F14" s="79">
        <f>IFERROR(VLOOKUP($A:$A,CS!$A:$AK,8,FALSE),"")</f>
      </c>
      <c r="G14" s="79">
        <f>IFERROR(VLOOKUP($A:$A,CS!$A:$AK,10,FALSE),"")</f>
      </c>
      <c r="H14" s="79">
        <f>IFERROR(VLOOKUP($A:$A,CS!$A:$AK,14,FALSE),"")</f>
      </c>
      <c r="I14" s="79">
        <f>IFERROR(VLOOKUP($A:$A,CS!$A:$AK,15,FALSE),"")</f>
      </c>
      <c r="J14" s="79">
        <f>IFERROR(VLOOKUP($A:$A,CS!$A:$AK,18,FALSE),"")</f>
      </c>
      <c r="K14" s="79">
        <f>IFERROR(VLOOKUP($A:$A,CS!$A:$AK,19,FALSE),"")</f>
      </c>
      <c r="L14" s="79">
        <f>IFERROR(VLOOKUP($A:$A,CS!$A:$AK,20,FALSE),"")</f>
      </c>
      <c r="M14" s="79">
        <f>IFERROR(VLOOKUP($A:$A,CS!$A:$AK,22,FALSE),"")</f>
      </c>
      <c r="N14" s="79">
        <f>IFERROR(VLOOKUP($A:$A,CS!$A:$AK,19,FALSE),"")</f>
      </c>
      <c r="O14" s="79">
        <f>IFERROR(VLOOKUP($A:$A,CS!$A:$AK,23,FALSE),"")</f>
      </c>
      <c r="P14" s="79">
        <f>IFERROR(VLOOKUP($A:$A,CS!$A:$AK,24,FALSE),"")</f>
      </c>
      <c r="Q14" s="79">
        <f>IFERROR(VLOOKUP($A:$A,CS!$A:$AK,25,FALSE),"")</f>
      </c>
      <c r="R14" s="79">
        <f>IFERROR(VLOOKUP($A:$A,CS!$A:$AK,26,FALSE),"")</f>
      </c>
      <c r="S14" s="79">
        <f>IFERROR(VLOOKUP($A:$A,CS!$A:$AK,29,FALSE),"")</f>
      </c>
      <c r="T14" s="79">
        <f>IFERROR(VLOOKUP($A:$A,CS!$A:$AK,33,FALSE),"")</f>
      </c>
      <c r="U14" s="79">
        <f>IFERROR(VLOOKUP($A:$A,CS!$A:$AK,34,FALSE),"")</f>
      </c>
      <c r="V14" s="79">
        <f>IFERROR(VLOOKUP($A:$A,CS!$A:$AK,35,FALSE),"")</f>
      </c>
      <c r="W14" s="79">
        <f>IFERROR(VLOOKUP($A:$A,CS!$A:$AK,36,FALSE),"")</f>
      </c>
    </row>
    <row r="15" ht="16.5" customHeight="1" spans="1:23" x14ac:dyDescent="0.25">
      <c r="A15" s="3"/>
      <c r="B15" s="79">
        <f>IFERROR(VLOOKUP($A:$A,CS!$A:$AK,3,FALSE),"")</f>
      </c>
      <c r="C15" s="79">
        <f>IFERROR(VLOOKUP($A:$A,CS!$A:$AK,4,FALSE),"")</f>
      </c>
      <c r="D15" s="79">
        <f>IFERROR(VLOOKUP($A:$A,CS!$A:$AK,5,FALSE),"")</f>
      </c>
      <c r="E15" s="79">
        <f>IFERROR(VLOOKUP($A:$A,CS!$A:$AK,7,FALSE),"")</f>
      </c>
      <c r="F15" s="79">
        <f>IFERROR(VLOOKUP($A:$A,CS!$A:$AK,8,FALSE),"")</f>
      </c>
      <c r="G15" s="79">
        <f>IFERROR(VLOOKUP($A:$A,CS!$A:$AK,10,FALSE),"")</f>
      </c>
      <c r="H15" s="79">
        <f>IFERROR(VLOOKUP($A:$A,CS!$A:$AK,14,FALSE),"")</f>
      </c>
      <c r="I15" s="79">
        <f>IFERROR(VLOOKUP($A:$A,CS!$A:$AK,15,FALSE),"")</f>
      </c>
      <c r="J15" s="79">
        <f>IFERROR(VLOOKUP($A:$A,CS!$A:$AK,18,FALSE),"")</f>
      </c>
      <c r="K15" s="79">
        <f>IFERROR(VLOOKUP($A:$A,CS!$A:$AK,19,FALSE),"")</f>
      </c>
      <c r="L15" s="79">
        <f>IFERROR(VLOOKUP($A:$A,CS!$A:$AK,20,FALSE),"")</f>
      </c>
      <c r="M15" s="79">
        <f>IFERROR(VLOOKUP($A:$A,CS!$A:$AK,22,FALSE),"")</f>
      </c>
      <c r="N15" s="79">
        <f>IFERROR(VLOOKUP($A:$A,CS!$A:$AK,19,FALSE),"")</f>
      </c>
      <c r="O15" s="79">
        <f>IFERROR(VLOOKUP($A:$A,CS!$A:$AK,23,FALSE),"")</f>
      </c>
      <c r="P15" s="79">
        <f>IFERROR(VLOOKUP($A:$A,CS!$A:$AK,24,FALSE),"")</f>
      </c>
      <c r="Q15" s="79">
        <f>IFERROR(VLOOKUP($A:$A,CS!$A:$AK,25,FALSE),"")</f>
      </c>
      <c r="R15" s="79">
        <f>IFERROR(VLOOKUP($A:$A,CS!$A:$AK,26,FALSE),"")</f>
      </c>
      <c r="S15" s="79">
        <f>IFERROR(VLOOKUP($A:$A,CS!$A:$AK,29,FALSE),"")</f>
      </c>
      <c r="T15" s="79">
        <f>IFERROR(VLOOKUP($A:$A,CS!$A:$AK,33,FALSE),"")</f>
      </c>
      <c r="U15" s="79">
        <f>IFERROR(VLOOKUP($A:$A,CS!$A:$AK,34,FALSE),"")</f>
      </c>
      <c r="V15" s="79">
        <f>IFERROR(VLOOKUP($A:$A,CS!$A:$AK,35,FALSE),"")</f>
      </c>
      <c r="W15" s="79">
        <f>IFERROR(VLOOKUP($A:$A,CS!$A:$AK,36,FALSE),"")</f>
      </c>
    </row>
    <row r="16" ht="16.5" customHeight="1" spans="1:23" x14ac:dyDescent="0.25">
      <c r="A16" s="3"/>
      <c r="B16" s="79">
        <f>IFERROR(VLOOKUP($A:$A,CS!$A:$AK,3,FALSE),"")</f>
      </c>
      <c r="C16" s="79">
        <f>IFERROR(VLOOKUP($A:$A,CS!$A:$AK,4,FALSE),"")</f>
      </c>
      <c r="D16" s="79">
        <f>IFERROR(VLOOKUP($A:$A,CS!$A:$AK,5,FALSE),"")</f>
      </c>
      <c r="E16" s="79">
        <f>IFERROR(VLOOKUP($A:$A,CS!$A:$AK,7,FALSE),"")</f>
      </c>
      <c r="F16" s="79">
        <f>IFERROR(VLOOKUP($A:$A,CS!$A:$AK,8,FALSE),"")</f>
      </c>
      <c r="G16" s="79">
        <f>IFERROR(VLOOKUP($A:$A,CS!$A:$AK,10,FALSE),"")</f>
      </c>
      <c r="H16" s="79">
        <f>IFERROR(VLOOKUP($A:$A,CS!$A:$AK,14,FALSE),"")</f>
      </c>
      <c r="I16" s="79">
        <f>IFERROR(VLOOKUP($A:$A,CS!$A:$AK,15,FALSE),"")</f>
      </c>
      <c r="J16" s="79">
        <f>IFERROR(VLOOKUP($A:$A,CS!$A:$AK,18,FALSE),"")</f>
      </c>
      <c r="K16" s="79">
        <f>IFERROR(VLOOKUP($A:$A,CS!$A:$AK,19,FALSE),"")</f>
      </c>
      <c r="L16" s="79">
        <f>IFERROR(VLOOKUP($A:$A,CS!$A:$AK,20,FALSE),"")</f>
      </c>
      <c r="M16" s="79">
        <f>IFERROR(VLOOKUP($A:$A,CS!$A:$AK,22,FALSE),"")</f>
      </c>
      <c r="N16" s="79">
        <f>IFERROR(VLOOKUP($A:$A,CS!$A:$AK,19,FALSE),"")</f>
      </c>
      <c r="O16" s="79">
        <f>IFERROR(VLOOKUP($A:$A,CS!$A:$AK,23,FALSE),"")</f>
      </c>
      <c r="P16" s="79">
        <f>IFERROR(VLOOKUP($A:$A,CS!$A:$AK,24,FALSE),"")</f>
      </c>
      <c r="Q16" s="79">
        <f>IFERROR(VLOOKUP($A:$A,CS!$A:$AK,25,FALSE),"")</f>
      </c>
      <c r="R16" s="79">
        <f>IFERROR(VLOOKUP($A:$A,CS!$A:$AK,26,FALSE),"")</f>
      </c>
      <c r="S16" s="79">
        <f>IFERROR(VLOOKUP($A:$A,CS!$A:$AK,29,FALSE),"")</f>
      </c>
      <c r="T16" s="79">
        <f>IFERROR(VLOOKUP($A:$A,CS!$A:$AK,33,FALSE),"")</f>
      </c>
      <c r="U16" s="79">
        <f>IFERROR(VLOOKUP($A:$A,CS!$A:$AK,34,FALSE),"")</f>
      </c>
      <c r="V16" s="79">
        <f>IFERROR(VLOOKUP($A:$A,CS!$A:$AK,35,FALSE),"")</f>
      </c>
      <c r="W16" s="79">
        <f>IFERROR(VLOOKUP($A:$A,CS!$A:$AK,36,FALSE),"")</f>
      </c>
    </row>
    <row r="17" ht="16.5" customHeight="1" spans="1:23" x14ac:dyDescent="0.25">
      <c r="A17" s="3"/>
      <c r="B17" s="79">
        <f>IFERROR(VLOOKUP($A:$A,CS!$A:$AK,3,FALSE),"")</f>
      </c>
      <c r="C17" s="79">
        <f>IFERROR(VLOOKUP($A:$A,CS!$A:$AK,4,FALSE),"")</f>
      </c>
      <c r="D17" s="79">
        <f>IFERROR(VLOOKUP($A:$A,CS!$A:$AK,5,FALSE),"")</f>
      </c>
      <c r="E17" s="79">
        <f>IFERROR(VLOOKUP($A:$A,CS!$A:$AK,7,FALSE),"")</f>
      </c>
      <c r="F17" s="79">
        <f>IFERROR(VLOOKUP($A:$A,CS!$A:$AK,8,FALSE),"")</f>
      </c>
      <c r="G17" s="79">
        <f>IFERROR(VLOOKUP($A:$A,CS!$A:$AK,10,FALSE),"")</f>
      </c>
      <c r="H17" s="79">
        <f>IFERROR(VLOOKUP($A:$A,CS!$A:$AK,14,FALSE),"")</f>
      </c>
      <c r="I17" s="79">
        <f>IFERROR(VLOOKUP($A:$A,CS!$A:$AK,15,FALSE),"")</f>
      </c>
      <c r="J17" s="79">
        <f>IFERROR(VLOOKUP($A:$A,CS!$A:$AK,18,FALSE),"")</f>
      </c>
      <c r="K17" s="79">
        <f>IFERROR(VLOOKUP($A:$A,CS!$A:$AK,19,FALSE),"")</f>
      </c>
      <c r="L17" s="79">
        <f>IFERROR(VLOOKUP($A:$A,CS!$A:$AK,20,FALSE),"")</f>
      </c>
      <c r="M17" s="79">
        <f>IFERROR(VLOOKUP($A:$A,CS!$A:$AK,22,FALSE),"")</f>
      </c>
      <c r="N17" s="79">
        <f>IFERROR(VLOOKUP($A:$A,CS!$A:$AK,19,FALSE),"")</f>
      </c>
      <c r="O17" s="79">
        <f>IFERROR(VLOOKUP($A:$A,CS!$A:$AK,23,FALSE),"")</f>
      </c>
      <c r="P17" s="79">
        <f>IFERROR(VLOOKUP($A:$A,CS!$A:$AK,24,FALSE),"")</f>
      </c>
      <c r="Q17" s="79">
        <f>IFERROR(VLOOKUP($A:$A,CS!$A:$AK,25,FALSE),"")</f>
      </c>
      <c r="R17" s="79">
        <f>IFERROR(VLOOKUP($A:$A,CS!$A:$AK,26,FALSE),"")</f>
      </c>
      <c r="S17" s="79">
        <f>IFERROR(VLOOKUP($A:$A,CS!$A:$AK,29,FALSE),"")</f>
      </c>
      <c r="T17" s="79">
        <f>IFERROR(VLOOKUP($A:$A,CS!$A:$AK,33,FALSE),"")</f>
      </c>
      <c r="U17" s="79">
        <f>IFERROR(VLOOKUP($A:$A,CS!$A:$AK,34,FALSE),"")</f>
      </c>
      <c r="V17" s="79">
        <f>IFERROR(VLOOKUP($A:$A,CS!$A:$AK,35,FALSE),"")</f>
      </c>
      <c r="W17" s="79">
        <f>IFERROR(VLOOKUP($A:$A,CS!$A:$AK,36,FALSE),"")</f>
      </c>
    </row>
    <row r="18" ht="16.5" customHeight="1" spans="1:23" x14ac:dyDescent="0.25">
      <c r="A18" s="3"/>
      <c r="B18" s="79">
        <f>IFERROR(VLOOKUP($A:$A,CS!$A:$AK,3,FALSE),"")</f>
      </c>
      <c r="C18" s="79">
        <f>IFERROR(VLOOKUP($A:$A,CS!$A:$AK,4,FALSE),"")</f>
      </c>
      <c r="D18" s="79">
        <f>IFERROR(VLOOKUP($A:$A,CS!$A:$AK,5,FALSE),"")</f>
      </c>
      <c r="E18" s="79">
        <f>IFERROR(VLOOKUP($A:$A,CS!$A:$AK,7,FALSE),"")</f>
      </c>
      <c r="F18" s="79">
        <f>IFERROR(VLOOKUP($A:$A,CS!$A:$AK,8,FALSE),"")</f>
      </c>
      <c r="G18" s="79">
        <f>IFERROR(VLOOKUP($A:$A,CS!$A:$AK,10,FALSE),"")</f>
      </c>
      <c r="H18" s="79">
        <f>IFERROR(VLOOKUP($A:$A,CS!$A:$AK,14,FALSE),"")</f>
      </c>
      <c r="I18" s="79">
        <f>IFERROR(VLOOKUP($A:$A,CS!$A:$AK,15,FALSE),"")</f>
      </c>
      <c r="J18" s="79">
        <f>IFERROR(VLOOKUP($A:$A,CS!$A:$AK,18,FALSE),"")</f>
      </c>
      <c r="K18" s="79">
        <f>IFERROR(VLOOKUP($A:$A,CS!$A:$AK,19,FALSE),"")</f>
      </c>
      <c r="L18" s="79">
        <f>IFERROR(VLOOKUP($A:$A,CS!$A:$AK,20,FALSE),"")</f>
      </c>
      <c r="M18" s="79">
        <f>IFERROR(VLOOKUP($A:$A,CS!$A:$AK,22,FALSE),"")</f>
      </c>
      <c r="N18" s="79">
        <f>IFERROR(VLOOKUP($A:$A,CS!$A:$AK,19,FALSE),"")</f>
      </c>
      <c r="O18" s="79">
        <f>IFERROR(VLOOKUP($A:$A,CS!$A:$AK,23,FALSE),"")</f>
      </c>
      <c r="P18" s="79">
        <f>IFERROR(VLOOKUP($A:$A,CS!$A:$AK,24,FALSE),"")</f>
      </c>
      <c r="Q18" s="79">
        <f>IFERROR(VLOOKUP($A:$A,CS!$A:$AK,25,FALSE),"")</f>
      </c>
      <c r="R18" s="79">
        <f>IFERROR(VLOOKUP($A:$A,CS!$A:$AK,26,FALSE),"")</f>
      </c>
      <c r="S18" s="79">
        <f>IFERROR(VLOOKUP($A:$A,CS!$A:$AK,29,FALSE),"")</f>
      </c>
      <c r="T18" s="79">
        <f>IFERROR(VLOOKUP($A:$A,CS!$A:$AK,33,FALSE),"")</f>
      </c>
      <c r="U18" s="79">
        <f>IFERROR(VLOOKUP($A:$A,CS!$A:$AK,34,FALSE),"")</f>
      </c>
      <c r="V18" s="79">
        <f>IFERROR(VLOOKUP($A:$A,CS!$A:$AK,35,FALSE),"")</f>
      </c>
      <c r="W18" s="79">
        <f>IFERROR(VLOOKUP($A:$A,CS!$A:$AK,36,FALSE),"")</f>
      </c>
    </row>
    <row r="19" ht="16.5" customHeight="1" spans="1:23" x14ac:dyDescent="0.25">
      <c r="A19" s="3"/>
      <c r="B19" s="79">
        <f>IFERROR(VLOOKUP($A:$A,CS!$A:$AK,3,FALSE),"")</f>
      </c>
      <c r="C19" s="79">
        <f>IFERROR(VLOOKUP($A:$A,CS!$A:$AK,4,FALSE),"")</f>
      </c>
      <c r="D19" s="79">
        <f>IFERROR(VLOOKUP($A:$A,CS!$A:$AK,5,FALSE),"")</f>
      </c>
      <c r="E19" s="79">
        <f>IFERROR(VLOOKUP($A:$A,CS!$A:$AK,7,FALSE),"")</f>
      </c>
      <c r="F19" s="79">
        <f>IFERROR(VLOOKUP($A:$A,CS!$A:$AK,8,FALSE),"")</f>
      </c>
      <c r="G19" s="79">
        <f>IFERROR(VLOOKUP($A:$A,CS!$A:$AK,10,FALSE),"")</f>
      </c>
      <c r="H19" s="79">
        <f>IFERROR(VLOOKUP($A:$A,CS!$A:$AK,14,FALSE),"")</f>
      </c>
      <c r="I19" s="79">
        <f>IFERROR(VLOOKUP($A:$A,CS!$A:$AK,15,FALSE),"")</f>
      </c>
      <c r="J19" s="79">
        <f>IFERROR(VLOOKUP($A:$A,CS!$A:$AK,18,FALSE),"")</f>
      </c>
      <c r="K19" s="79">
        <f>IFERROR(VLOOKUP($A:$A,CS!$A:$AK,19,FALSE),"")</f>
      </c>
      <c r="L19" s="79">
        <f>IFERROR(VLOOKUP($A:$A,CS!$A:$AK,20,FALSE),"")</f>
      </c>
      <c r="M19" s="79">
        <f>IFERROR(VLOOKUP($A:$A,CS!$A:$AK,22,FALSE),"")</f>
      </c>
      <c r="N19" s="79">
        <f>IFERROR(VLOOKUP($A:$A,CS!$A:$AK,19,FALSE),"")</f>
      </c>
      <c r="O19" s="79">
        <f>IFERROR(VLOOKUP($A:$A,CS!$A:$AK,23,FALSE),"")</f>
      </c>
      <c r="P19" s="79">
        <f>IFERROR(VLOOKUP($A:$A,CS!$A:$AK,24,FALSE),"")</f>
      </c>
      <c r="Q19" s="79">
        <f>IFERROR(VLOOKUP($A:$A,CS!$A:$AK,25,FALSE),"")</f>
      </c>
      <c r="R19" s="79">
        <f>IFERROR(VLOOKUP($A:$A,CS!$A:$AK,26,FALSE),"")</f>
      </c>
      <c r="S19" s="79">
        <f>IFERROR(VLOOKUP($A:$A,CS!$A:$AK,29,FALSE),"")</f>
      </c>
      <c r="T19" s="79">
        <f>IFERROR(VLOOKUP($A:$A,CS!$A:$AK,33,FALSE),"")</f>
      </c>
      <c r="U19" s="79">
        <f>IFERROR(VLOOKUP($A:$A,CS!$A:$AK,34,FALSE),"")</f>
      </c>
      <c r="V19" s="79">
        <f>IFERROR(VLOOKUP($A:$A,CS!$A:$AK,35,FALSE),"")</f>
      </c>
      <c r="W19" s="79">
        <f>IFERROR(VLOOKUP($A:$A,CS!$A:$AK,36,FALSE),"")</f>
      </c>
    </row>
    <row r="20" ht="16.5" customHeight="1" spans="1:23" x14ac:dyDescent="0.25">
      <c r="A20" s="3"/>
      <c r="B20" s="79">
        <f>IFERROR(VLOOKUP($A:$A,CS!$A:$AK,3,FALSE),"")</f>
      </c>
      <c r="C20" s="79">
        <f>IFERROR(VLOOKUP($A:$A,CS!$A:$AK,4,FALSE),"")</f>
      </c>
      <c r="D20" s="79">
        <f>IFERROR(VLOOKUP($A:$A,CS!$A:$AK,5,FALSE),"")</f>
      </c>
      <c r="E20" s="79">
        <f>IFERROR(VLOOKUP($A:$A,CS!$A:$AK,7,FALSE),"")</f>
      </c>
      <c r="F20" s="79">
        <f>IFERROR(VLOOKUP($A:$A,CS!$A:$AK,8,FALSE),"")</f>
      </c>
      <c r="G20" s="79">
        <f>IFERROR(VLOOKUP($A:$A,CS!$A:$AK,10,FALSE),"")</f>
      </c>
      <c r="H20" s="79">
        <f>IFERROR(VLOOKUP($A:$A,CS!$A:$AK,14,FALSE),"")</f>
      </c>
      <c r="I20" s="79">
        <f>IFERROR(VLOOKUP($A:$A,CS!$A:$AK,15,FALSE),"")</f>
      </c>
      <c r="J20" s="79">
        <f>IFERROR(VLOOKUP($A:$A,CS!$A:$AK,18,FALSE),"")</f>
      </c>
      <c r="K20" s="79">
        <f>IFERROR(VLOOKUP($A:$A,CS!$A:$AK,19,FALSE),"")</f>
      </c>
      <c r="L20" s="79">
        <f>IFERROR(VLOOKUP($A:$A,CS!$A:$AK,20,FALSE),"")</f>
      </c>
      <c r="M20" s="79">
        <f>IFERROR(VLOOKUP($A:$A,CS!$A:$AK,22,FALSE),"")</f>
      </c>
      <c r="N20" s="79">
        <f>IFERROR(VLOOKUP($A:$A,CS!$A:$AK,19,FALSE),"")</f>
      </c>
      <c r="O20" s="79">
        <f>IFERROR(VLOOKUP($A:$A,CS!$A:$AK,23,FALSE),"")</f>
      </c>
      <c r="P20" s="79">
        <f>IFERROR(VLOOKUP($A:$A,CS!$A:$AK,24,FALSE),"")</f>
      </c>
      <c r="Q20" s="79">
        <f>IFERROR(VLOOKUP($A:$A,CS!$A:$AK,25,FALSE),"")</f>
      </c>
      <c r="R20" s="79">
        <f>IFERROR(VLOOKUP($A:$A,CS!$A:$AK,26,FALSE),"")</f>
      </c>
      <c r="S20" s="79">
        <f>IFERROR(VLOOKUP($A:$A,CS!$A:$AK,29,FALSE),"")</f>
      </c>
      <c r="T20" s="79">
        <f>IFERROR(VLOOKUP($A:$A,CS!$A:$AK,33,FALSE),"")</f>
      </c>
      <c r="U20" s="79">
        <f>IFERROR(VLOOKUP($A:$A,CS!$A:$AK,34,FALSE),"")</f>
      </c>
      <c r="V20" s="79">
        <f>IFERROR(VLOOKUP($A:$A,CS!$A:$AK,35,FALSE),"")</f>
      </c>
      <c r="W20" s="79">
        <f>IFERROR(VLOOKUP($A:$A,CS!$A:$AK,36,FALSE),"")</f>
      </c>
    </row>
    <row r="21" ht="16.5" customHeight="1" spans="1:23" x14ac:dyDescent="0.25">
      <c r="A21" s="3"/>
      <c r="B21" s="79">
        <f>IFERROR(VLOOKUP($A:$A,CS!$A:$AK,3,FALSE),"")</f>
      </c>
      <c r="C21" s="79">
        <f>IFERROR(VLOOKUP($A:$A,CS!$A:$AK,4,FALSE),"")</f>
      </c>
      <c r="D21" s="79">
        <f>IFERROR(VLOOKUP($A:$A,CS!$A:$AK,5,FALSE),"")</f>
      </c>
      <c r="E21" s="79">
        <f>IFERROR(VLOOKUP($A:$A,CS!$A:$AK,7,FALSE),"")</f>
      </c>
      <c r="F21" s="79">
        <f>IFERROR(VLOOKUP($A:$A,CS!$A:$AK,8,FALSE),"")</f>
      </c>
      <c r="G21" s="79">
        <f>IFERROR(VLOOKUP($A:$A,CS!$A:$AK,10,FALSE),"")</f>
      </c>
      <c r="H21" s="79">
        <f>IFERROR(VLOOKUP($A:$A,CS!$A:$AK,14,FALSE),"")</f>
      </c>
      <c r="I21" s="79">
        <f>IFERROR(VLOOKUP($A:$A,CS!$A:$AK,15,FALSE),"")</f>
      </c>
      <c r="J21" s="79">
        <f>IFERROR(VLOOKUP($A:$A,CS!$A:$AK,18,FALSE),"")</f>
      </c>
      <c r="K21" s="79">
        <f>IFERROR(VLOOKUP($A:$A,CS!$A:$AK,19,FALSE),"")</f>
      </c>
      <c r="L21" s="79">
        <f>IFERROR(VLOOKUP($A:$A,CS!$A:$AK,20,FALSE),"")</f>
      </c>
      <c r="M21" s="79">
        <f>IFERROR(VLOOKUP($A:$A,CS!$A:$AK,22,FALSE),"")</f>
      </c>
      <c r="N21" s="79">
        <f>IFERROR(VLOOKUP($A:$A,CS!$A:$AK,19,FALSE),"")</f>
      </c>
      <c r="O21" s="79">
        <f>IFERROR(VLOOKUP($A:$A,CS!$A:$AK,23,FALSE),"")</f>
      </c>
      <c r="P21" s="79">
        <f>IFERROR(VLOOKUP($A:$A,CS!$A:$AK,24,FALSE),"")</f>
      </c>
      <c r="Q21" s="79">
        <f>IFERROR(VLOOKUP($A:$A,CS!$A:$AK,25,FALSE),"")</f>
      </c>
      <c r="R21" s="79">
        <f>IFERROR(VLOOKUP($A:$A,CS!$A:$AK,26,FALSE),"")</f>
      </c>
      <c r="S21" s="79">
        <f>IFERROR(VLOOKUP($A:$A,CS!$A:$AK,29,FALSE),"")</f>
      </c>
      <c r="T21" s="79">
        <f>IFERROR(VLOOKUP($A:$A,CS!$A:$AK,33,FALSE),"")</f>
      </c>
      <c r="U21" s="79">
        <f>IFERROR(VLOOKUP($A:$A,CS!$A:$AK,34,FALSE),"")</f>
      </c>
      <c r="V21" s="79">
        <f>IFERROR(VLOOKUP($A:$A,CS!$A:$AK,35,FALSE),"")</f>
      </c>
      <c r="W21" s="79">
        <f>IFERROR(VLOOKUP($A:$A,CS!$A:$AK,36,FALSE),"")</f>
      </c>
    </row>
    <row r="22" ht="16.5" customHeight="1" spans="1:23" x14ac:dyDescent="0.25">
      <c r="A22" s="3"/>
      <c r="B22" s="79">
        <f>IFERROR(VLOOKUP($A:$A,CS!$A:$AK,3,FALSE),"")</f>
      </c>
      <c r="C22" s="79">
        <f>IFERROR(VLOOKUP($A:$A,CS!$A:$AK,4,FALSE),"")</f>
      </c>
      <c r="D22" s="79">
        <f>IFERROR(VLOOKUP($A:$A,CS!$A:$AK,5,FALSE),"")</f>
      </c>
      <c r="E22" s="79">
        <f>IFERROR(VLOOKUP($A:$A,CS!$A:$AK,7,FALSE),"")</f>
      </c>
      <c r="F22" s="79">
        <f>IFERROR(VLOOKUP($A:$A,CS!$A:$AK,8,FALSE),"")</f>
      </c>
      <c r="G22" s="79">
        <f>IFERROR(VLOOKUP($A:$A,CS!$A:$AK,10,FALSE),"")</f>
      </c>
      <c r="H22" s="79">
        <f>IFERROR(VLOOKUP($A:$A,CS!$A:$AK,14,FALSE),"")</f>
      </c>
      <c r="I22" s="79">
        <f>IFERROR(VLOOKUP($A:$A,CS!$A:$AK,15,FALSE),"")</f>
      </c>
      <c r="J22" s="79">
        <f>IFERROR(VLOOKUP($A:$A,CS!$A:$AK,18,FALSE),"")</f>
      </c>
      <c r="K22" s="79">
        <f>IFERROR(VLOOKUP($A:$A,CS!$A:$AK,19,FALSE),"")</f>
      </c>
      <c r="L22" s="79">
        <f>IFERROR(VLOOKUP($A:$A,CS!$A:$AK,20,FALSE),"")</f>
      </c>
      <c r="M22" s="79">
        <f>IFERROR(VLOOKUP($A:$A,CS!$A:$AK,22,FALSE),"")</f>
      </c>
      <c r="N22" s="79">
        <f>IFERROR(VLOOKUP($A:$A,CS!$A:$AK,19,FALSE),"")</f>
      </c>
      <c r="O22" s="79">
        <f>IFERROR(VLOOKUP($A:$A,CS!$A:$AK,23,FALSE),"")</f>
      </c>
      <c r="P22" s="79">
        <f>IFERROR(VLOOKUP($A:$A,CS!$A:$AK,24,FALSE),"")</f>
      </c>
      <c r="Q22" s="79">
        <f>IFERROR(VLOOKUP($A:$A,CS!$A:$AK,25,FALSE),"")</f>
      </c>
      <c r="R22" s="79">
        <f>IFERROR(VLOOKUP($A:$A,CS!$A:$AK,26,FALSE),"")</f>
      </c>
      <c r="S22" s="79">
        <f>IFERROR(VLOOKUP($A:$A,CS!$A:$AK,29,FALSE),"")</f>
      </c>
      <c r="T22" s="79">
        <f>IFERROR(VLOOKUP($A:$A,CS!$A:$AK,33,FALSE),"")</f>
      </c>
      <c r="U22" s="79">
        <f>IFERROR(VLOOKUP($A:$A,CS!$A:$AK,34,FALSE),"")</f>
      </c>
      <c r="V22" s="79">
        <f>IFERROR(VLOOKUP($A:$A,CS!$A:$AK,35,FALSE),"")</f>
      </c>
      <c r="W22" s="79">
        <f>IFERROR(VLOOKUP($A:$A,CS!$A:$AK,36,FALSE),"")</f>
      </c>
    </row>
    <row r="23" ht="16.5" customHeight="1" spans="1:23" x14ac:dyDescent="0.25">
      <c r="A23" s="3"/>
      <c r="B23" s="79">
        <f>IFERROR(VLOOKUP($A:$A,CS!$A:$AK,3,FALSE),"")</f>
      </c>
      <c r="C23" s="79">
        <f>IFERROR(VLOOKUP($A:$A,CS!$A:$AK,4,FALSE),"")</f>
      </c>
      <c r="D23" s="79">
        <f>IFERROR(VLOOKUP($A:$A,CS!$A:$AK,5,FALSE),"")</f>
      </c>
      <c r="E23" s="79">
        <f>IFERROR(VLOOKUP($A:$A,CS!$A:$AK,7,FALSE),"")</f>
      </c>
      <c r="F23" s="79">
        <f>IFERROR(VLOOKUP($A:$A,CS!$A:$AK,8,FALSE),"")</f>
      </c>
      <c r="G23" s="79">
        <f>IFERROR(VLOOKUP($A:$A,CS!$A:$AK,10,FALSE),"")</f>
      </c>
      <c r="H23" s="79">
        <f>IFERROR(VLOOKUP($A:$A,CS!$A:$AK,14,FALSE),"")</f>
      </c>
      <c r="I23" s="79">
        <f>IFERROR(VLOOKUP($A:$A,CS!$A:$AK,15,FALSE),"")</f>
      </c>
      <c r="J23" s="79">
        <f>IFERROR(VLOOKUP($A:$A,CS!$A:$AK,18,FALSE),"")</f>
      </c>
      <c r="K23" s="79">
        <f>IFERROR(VLOOKUP($A:$A,CS!$A:$AK,19,FALSE),"")</f>
      </c>
      <c r="L23" s="79">
        <f>IFERROR(VLOOKUP($A:$A,CS!$A:$AK,20,FALSE),"")</f>
      </c>
      <c r="M23" s="79">
        <f>IFERROR(VLOOKUP($A:$A,CS!$A:$AK,22,FALSE),"")</f>
      </c>
      <c r="N23" s="79">
        <f>IFERROR(VLOOKUP($A:$A,CS!$A:$AK,19,FALSE),"")</f>
      </c>
      <c r="O23" s="79">
        <f>IFERROR(VLOOKUP($A:$A,CS!$A:$AK,23,FALSE),"")</f>
      </c>
      <c r="P23" s="79">
        <f>IFERROR(VLOOKUP($A:$A,CS!$A:$AK,24,FALSE),"")</f>
      </c>
      <c r="Q23" s="79">
        <f>IFERROR(VLOOKUP($A:$A,CS!$A:$AK,25,FALSE),"")</f>
      </c>
      <c r="R23" s="79">
        <f>IFERROR(VLOOKUP($A:$A,CS!$A:$AK,26,FALSE),"")</f>
      </c>
      <c r="S23" s="79">
        <f>IFERROR(VLOOKUP($A:$A,CS!$A:$AK,29,FALSE),"")</f>
      </c>
      <c r="T23" s="79">
        <f>IFERROR(VLOOKUP($A:$A,CS!$A:$AK,33,FALSE),"")</f>
      </c>
      <c r="U23" s="79">
        <f>IFERROR(VLOOKUP($A:$A,CS!$A:$AK,34,FALSE),"")</f>
      </c>
      <c r="V23" s="79">
        <f>IFERROR(VLOOKUP($A:$A,CS!$A:$AK,35,FALSE),"")</f>
      </c>
      <c r="W23" s="79">
        <f>IFERROR(VLOOKUP($A:$A,CS!$A:$AK,36,FALSE),"")</f>
      </c>
    </row>
    <row r="24" ht="16.5" customHeight="1" spans="1:23" x14ac:dyDescent="0.25">
      <c r="A24" s="3"/>
      <c r="B24" s="79">
        <f>IFERROR(VLOOKUP($A:$A,CS!$A:$AK,3,FALSE),"")</f>
      </c>
      <c r="C24" s="79">
        <f>IFERROR(VLOOKUP($A:$A,CS!$A:$AK,4,FALSE),"")</f>
      </c>
      <c r="D24" s="79">
        <f>IFERROR(VLOOKUP($A:$A,CS!$A:$AK,5,FALSE),"")</f>
      </c>
      <c r="E24" s="79">
        <f>IFERROR(VLOOKUP($A:$A,CS!$A:$AK,7,FALSE),"")</f>
      </c>
      <c r="F24" s="79">
        <f>IFERROR(VLOOKUP($A:$A,CS!$A:$AK,8,FALSE),"")</f>
      </c>
      <c r="G24" s="79">
        <f>IFERROR(VLOOKUP($A:$A,CS!$A:$AK,10,FALSE),"")</f>
      </c>
      <c r="H24" s="79">
        <f>IFERROR(VLOOKUP($A:$A,CS!$A:$AK,14,FALSE),"")</f>
      </c>
      <c r="I24" s="79">
        <f>IFERROR(VLOOKUP($A:$A,CS!$A:$AK,15,FALSE),"")</f>
      </c>
      <c r="J24" s="79">
        <f>IFERROR(VLOOKUP($A:$A,CS!$A:$AK,18,FALSE),"")</f>
      </c>
      <c r="K24" s="79">
        <f>IFERROR(VLOOKUP($A:$A,CS!$A:$AK,19,FALSE),"")</f>
      </c>
      <c r="L24" s="79">
        <f>IFERROR(VLOOKUP($A:$A,CS!$A:$AK,20,FALSE),"")</f>
      </c>
      <c r="M24" s="79">
        <f>IFERROR(VLOOKUP($A:$A,CS!$A:$AK,22,FALSE),"")</f>
      </c>
      <c r="N24" s="79">
        <f>IFERROR(VLOOKUP($A:$A,CS!$A:$AK,19,FALSE),"")</f>
      </c>
      <c r="O24" s="79">
        <f>IFERROR(VLOOKUP($A:$A,CS!$A:$AK,23,FALSE),"")</f>
      </c>
      <c r="P24" s="79">
        <f>IFERROR(VLOOKUP($A:$A,CS!$A:$AK,24,FALSE),"")</f>
      </c>
      <c r="Q24" s="79">
        <f>IFERROR(VLOOKUP($A:$A,CS!$A:$AK,25,FALSE),"")</f>
      </c>
      <c r="R24" s="79">
        <f>IFERROR(VLOOKUP($A:$A,CS!$A:$AK,26,FALSE),"")</f>
      </c>
      <c r="S24" s="79">
        <f>IFERROR(VLOOKUP($A:$A,CS!$A:$AK,29,FALSE),"")</f>
      </c>
      <c r="T24" s="79">
        <f>IFERROR(VLOOKUP($A:$A,CS!$A:$AK,33,FALSE),"")</f>
      </c>
      <c r="U24" s="79">
        <f>IFERROR(VLOOKUP($A:$A,CS!$A:$AK,34,FALSE),"")</f>
      </c>
      <c r="V24" s="79">
        <f>IFERROR(VLOOKUP($A:$A,CS!$A:$AK,35,FALSE),"")</f>
      </c>
      <c r="W24" s="79">
        <f>IFERROR(VLOOKUP($A:$A,CS!$A:$AK,36,FALSE),"")</f>
      </c>
    </row>
    <row r="25" ht="16.5" customHeight="1" spans="1:23" x14ac:dyDescent="0.25">
      <c r="A25" s="3"/>
      <c r="B25" s="79">
        <f>IFERROR(VLOOKUP($A:$A,CS!$A:$AK,3,FALSE),"")</f>
      </c>
      <c r="C25" s="79">
        <f>IFERROR(VLOOKUP($A:$A,CS!$A:$AK,4,FALSE),"")</f>
      </c>
      <c r="D25" s="79">
        <f>IFERROR(VLOOKUP($A:$A,CS!$A:$AK,5,FALSE),"")</f>
      </c>
      <c r="E25" s="79">
        <f>IFERROR(VLOOKUP($A:$A,CS!$A:$AK,7,FALSE),"")</f>
      </c>
      <c r="F25" s="79">
        <f>IFERROR(VLOOKUP($A:$A,CS!$A:$AK,8,FALSE),"")</f>
      </c>
      <c r="G25" s="79">
        <f>IFERROR(VLOOKUP($A:$A,CS!$A:$AK,10,FALSE),"")</f>
      </c>
      <c r="H25" s="79">
        <f>IFERROR(VLOOKUP($A:$A,CS!$A:$AK,14,FALSE),"")</f>
      </c>
      <c r="I25" s="79">
        <f>IFERROR(VLOOKUP($A:$A,CS!$A:$AK,15,FALSE),"")</f>
      </c>
      <c r="J25" s="79">
        <f>IFERROR(VLOOKUP($A:$A,CS!$A:$AK,18,FALSE),"")</f>
      </c>
      <c r="K25" s="79">
        <f>IFERROR(VLOOKUP($A:$A,CS!$A:$AK,19,FALSE),"")</f>
      </c>
      <c r="L25" s="79">
        <f>IFERROR(VLOOKUP($A:$A,CS!$A:$AK,20,FALSE),"")</f>
      </c>
      <c r="M25" s="79">
        <f>IFERROR(VLOOKUP($A:$A,CS!$A:$AK,22,FALSE),"")</f>
      </c>
      <c r="N25" s="79">
        <f>IFERROR(VLOOKUP($A:$A,CS!$A:$AK,19,FALSE),"")</f>
      </c>
      <c r="O25" s="79">
        <f>IFERROR(VLOOKUP($A:$A,CS!$A:$AK,23,FALSE),"")</f>
      </c>
      <c r="P25" s="79">
        <f>IFERROR(VLOOKUP($A:$A,CS!$A:$AK,24,FALSE),"")</f>
      </c>
      <c r="Q25" s="79">
        <f>IFERROR(VLOOKUP($A:$A,CS!$A:$AK,25,FALSE),"")</f>
      </c>
      <c r="R25" s="79">
        <f>IFERROR(VLOOKUP($A:$A,CS!$A:$AK,26,FALSE),"")</f>
      </c>
      <c r="S25" s="79">
        <f>IFERROR(VLOOKUP($A:$A,CS!$A:$AK,29,FALSE),"")</f>
      </c>
      <c r="T25" s="79">
        <f>IFERROR(VLOOKUP($A:$A,CS!$A:$AK,33,FALSE),"")</f>
      </c>
      <c r="U25" s="79">
        <f>IFERROR(VLOOKUP($A:$A,CS!$A:$AK,34,FALSE),"")</f>
      </c>
      <c r="V25" s="79">
        <f>IFERROR(VLOOKUP($A:$A,CS!$A:$AK,35,FALSE),"")</f>
      </c>
      <c r="W25" s="79">
        <f>IFERROR(VLOOKUP($A:$A,CS!$A:$AK,36,FALSE),"")</f>
      </c>
    </row>
    <row r="26" ht="16.5" customHeight="1" spans="1:23" x14ac:dyDescent="0.25">
      <c r="A26" s="3"/>
      <c r="B26" s="79">
        <f>IFERROR(VLOOKUP($A:$A,CS!$A:$AK,3,FALSE),"")</f>
      </c>
      <c r="C26" s="79">
        <f>IFERROR(VLOOKUP($A:$A,CS!$A:$AK,4,FALSE),"")</f>
      </c>
      <c r="D26" s="79">
        <f>IFERROR(VLOOKUP($A:$A,CS!$A:$AK,5,FALSE),"")</f>
      </c>
      <c r="E26" s="79">
        <f>IFERROR(VLOOKUP($A:$A,CS!$A:$AK,7,FALSE),"")</f>
      </c>
      <c r="F26" s="79">
        <f>IFERROR(VLOOKUP($A:$A,CS!$A:$AK,8,FALSE),"")</f>
      </c>
      <c r="G26" s="79">
        <f>IFERROR(VLOOKUP($A:$A,CS!$A:$AK,10,FALSE),"")</f>
      </c>
      <c r="H26" s="79">
        <f>IFERROR(VLOOKUP($A:$A,CS!$A:$AK,14,FALSE),"")</f>
      </c>
      <c r="I26" s="79">
        <f>IFERROR(VLOOKUP($A:$A,CS!$A:$AK,15,FALSE),"")</f>
      </c>
      <c r="J26" s="79">
        <f>IFERROR(VLOOKUP($A:$A,CS!$A:$AK,18,FALSE),"")</f>
      </c>
      <c r="K26" s="79">
        <f>IFERROR(VLOOKUP($A:$A,CS!$A:$AK,19,FALSE),"")</f>
      </c>
      <c r="L26" s="79">
        <f>IFERROR(VLOOKUP($A:$A,CS!$A:$AK,20,FALSE),"")</f>
      </c>
      <c r="M26" s="79">
        <f>IFERROR(VLOOKUP($A:$A,CS!$A:$AK,22,FALSE),"")</f>
      </c>
      <c r="N26" s="79">
        <f>IFERROR(VLOOKUP($A:$A,CS!$A:$AK,19,FALSE),"")</f>
      </c>
      <c r="O26" s="79">
        <f>IFERROR(VLOOKUP($A:$A,CS!$A:$AK,23,FALSE),"")</f>
      </c>
      <c r="P26" s="79">
        <f>IFERROR(VLOOKUP($A:$A,CS!$A:$AK,24,FALSE),"")</f>
      </c>
      <c r="Q26" s="79">
        <f>IFERROR(VLOOKUP($A:$A,CS!$A:$AK,25,FALSE),"")</f>
      </c>
      <c r="R26" s="79">
        <f>IFERROR(VLOOKUP($A:$A,CS!$A:$AK,26,FALSE),"")</f>
      </c>
      <c r="S26" s="79">
        <f>IFERROR(VLOOKUP($A:$A,CS!$A:$AK,29,FALSE),"")</f>
      </c>
      <c r="T26" s="79">
        <f>IFERROR(VLOOKUP($A:$A,CS!$A:$AK,33,FALSE),"")</f>
      </c>
      <c r="U26" s="79">
        <f>IFERROR(VLOOKUP($A:$A,CS!$A:$AK,34,FALSE),"")</f>
      </c>
      <c r="V26" s="79">
        <f>IFERROR(VLOOKUP($A:$A,CS!$A:$AK,35,FALSE),"")</f>
      </c>
      <c r="W26" s="79">
        <f>IFERROR(VLOOKUP($A:$A,CS!$A:$AK,36,FALSE),"")</f>
      </c>
    </row>
    <row r="27" ht="16.5" customHeight="1" spans="1:23" x14ac:dyDescent="0.25">
      <c r="A27" s="3"/>
      <c r="B27" s="79">
        <f>IFERROR(VLOOKUP($A:$A,CS!$A:$AK,3,FALSE),"")</f>
      </c>
      <c r="C27" s="79">
        <f>IFERROR(VLOOKUP($A:$A,CS!$A:$AK,4,FALSE),"")</f>
      </c>
      <c r="D27" s="79">
        <f>IFERROR(VLOOKUP($A:$A,CS!$A:$AK,5,FALSE),"")</f>
      </c>
      <c r="E27" s="79">
        <f>IFERROR(VLOOKUP($A:$A,CS!$A:$AK,7,FALSE),"")</f>
      </c>
      <c r="F27" s="79">
        <f>IFERROR(VLOOKUP($A:$A,CS!$A:$AK,8,FALSE),"")</f>
      </c>
      <c r="G27" s="79">
        <f>IFERROR(VLOOKUP($A:$A,CS!$A:$AK,10,FALSE),"")</f>
      </c>
      <c r="H27" s="79">
        <f>IFERROR(VLOOKUP($A:$A,CS!$A:$AK,14,FALSE),"")</f>
      </c>
      <c r="I27" s="79">
        <f>IFERROR(VLOOKUP($A:$A,CS!$A:$AK,15,FALSE),"")</f>
      </c>
      <c r="J27" s="79">
        <f>IFERROR(VLOOKUP($A:$A,CS!$A:$AK,18,FALSE),"")</f>
      </c>
      <c r="K27" s="79">
        <f>IFERROR(VLOOKUP($A:$A,CS!$A:$AK,19,FALSE),"")</f>
      </c>
      <c r="L27" s="79">
        <f>IFERROR(VLOOKUP($A:$A,CS!$A:$AK,20,FALSE),"")</f>
      </c>
      <c r="M27" s="79">
        <f>IFERROR(VLOOKUP($A:$A,CS!$A:$AK,22,FALSE),"")</f>
      </c>
      <c r="N27" s="79">
        <f>IFERROR(VLOOKUP($A:$A,CS!$A:$AK,19,FALSE),"")</f>
      </c>
      <c r="O27" s="79">
        <f>IFERROR(VLOOKUP($A:$A,CS!$A:$AK,23,FALSE),"")</f>
      </c>
      <c r="P27" s="79">
        <f>IFERROR(VLOOKUP($A:$A,CS!$A:$AK,24,FALSE),"")</f>
      </c>
      <c r="Q27" s="79">
        <f>IFERROR(VLOOKUP($A:$A,CS!$A:$AK,25,FALSE),"")</f>
      </c>
      <c r="R27" s="79">
        <f>IFERROR(VLOOKUP($A:$A,CS!$A:$AK,26,FALSE),"")</f>
      </c>
      <c r="S27" s="79">
        <f>IFERROR(VLOOKUP($A:$A,CS!$A:$AK,29,FALSE),"")</f>
      </c>
      <c r="T27" s="79">
        <f>IFERROR(VLOOKUP($A:$A,CS!$A:$AK,33,FALSE),"")</f>
      </c>
      <c r="U27" s="79">
        <f>IFERROR(VLOOKUP($A:$A,CS!$A:$AK,34,FALSE),"")</f>
      </c>
      <c r="V27" s="79">
        <f>IFERROR(VLOOKUP($A:$A,CS!$A:$AK,35,FALSE),"")</f>
      </c>
      <c r="W27" s="79">
        <f>IFERROR(VLOOKUP($A:$A,CS!$A:$AK,36,FALSE),"")</f>
      </c>
    </row>
    <row r="28" ht="16.5" customHeight="1" spans="1:23" x14ac:dyDescent="0.25">
      <c r="A28" s="3"/>
      <c r="B28" s="79">
        <f>IFERROR(VLOOKUP($A:$A,CS!$A:$AK,3,FALSE),"")</f>
      </c>
      <c r="C28" s="79">
        <f>IFERROR(VLOOKUP($A:$A,CS!$A:$AK,4,FALSE),"")</f>
      </c>
      <c r="D28" s="79">
        <f>IFERROR(VLOOKUP($A:$A,CS!$A:$AK,5,FALSE),"")</f>
      </c>
      <c r="E28" s="79">
        <f>IFERROR(VLOOKUP($A:$A,CS!$A:$AK,7,FALSE),"")</f>
      </c>
      <c r="F28" s="79">
        <f>IFERROR(VLOOKUP($A:$A,CS!$A:$AK,8,FALSE),"")</f>
      </c>
      <c r="G28" s="79">
        <f>IFERROR(VLOOKUP($A:$A,CS!$A:$AK,10,FALSE),"")</f>
      </c>
      <c r="H28" s="79">
        <f>IFERROR(VLOOKUP($A:$A,CS!$A:$AK,14,FALSE),"")</f>
      </c>
      <c r="I28" s="79">
        <f>IFERROR(VLOOKUP($A:$A,CS!$A:$AK,15,FALSE),"")</f>
      </c>
      <c r="J28" s="79">
        <f>IFERROR(VLOOKUP($A:$A,CS!$A:$AK,18,FALSE),"")</f>
      </c>
      <c r="K28" s="79">
        <f>IFERROR(VLOOKUP($A:$A,CS!$A:$AK,19,FALSE),"")</f>
      </c>
      <c r="L28" s="79">
        <f>IFERROR(VLOOKUP($A:$A,CS!$A:$AK,20,FALSE),"")</f>
      </c>
      <c r="M28" s="79">
        <f>IFERROR(VLOOKUP($A:$A,CS!$A:$AK,22,FALSE),"")</f>
      </c>
      <c r="N28" s="79">
        <f>IFERROR(VLOOKUP($A:$A,CS!$A:$AK,19,FALSE),"")</f>
      </c>
      <c r="O28" s="79">
        <f>IFERROR(VLOOKUP($A:$A,CS!$A:$AK,23,FALSE),"")</f>
      </c>
      <c r="P28" s="79">
        <f>IFERROR(VLOOKUP($A:$A,CS!$A:$AK,24,FALSE),"")</f>
      </c>
      <c r="Q28" s="79">
        <f>IFERROR(VLOOKUP($A:$A,CS!$A:$AK,25,FALSE),"")</f>
      </c>
      <c r="R28" s="79">
        <f>IFERROR(VLOOKUP($A:$A,CS!$A:$AK,26,FALSE),"")</f>
      </c>
      <c r="S28" s="79">
        <f>IFERROR(VLOOKUP($A:$A,CS!$A:$AK,29,FALSE),"")</f>
      </c>
      <c r="T28" s="79">
        <f>IFERROR(VLOOKUP($A:$A,CS!$A:$AK,33,FALSE),"")</f>
      </c>
      <c r="U28" s="79">
        <f>IFERROR(VLOOKUP($A:$A,CS!$A:$AK,34,FALSE),"")</f>
      </c>
      <c r="V28" s="79">
        <f>IFERROR(VLOOKUP($A:$A,CS!$A:$AK,35,FALSE),"")</f>
      </c>
      <c r="W28" s="79">
        <f>IFERROR(VLOOKUP($A:$A,CS!$A:$AK,36,FALSE),"")</f>
      </c>
    </row>
    <row r="29" ht="16.5" customHeight="1" spans="1:23" x14ac:dyDescent="0.25">
      <c r="A29" s="3"/>
      <c r="B29" s="79">
        <f>IFERROR(VLOOKUP($A:$A,CS!$A:$AK,3,FALSE),"")</f>
      </c>
      <c r="C29" s="79">
        <f>IFERROR(VLOOKUP($A:$A,CS!$A:$AK,4,FALSE),"")</f>
      </c>
      <c r="D29" s="79">
        <f>IFERROR(VLOOKUP($A:$A,CS!$A:$AK,5,FALSE),"")</f>
      </c>
      <c r="E29" s="79">
        <f>IFERROR(VLOOKUP($A:$A,CS!$A:$AK,7,FALSE),"")</f>
      </c>
      <c r="F29" s="79">
        <f>IFERROR(VLOOKUP($A:$A,CS!$A:$AK,8,FALSE),"")</f>
      </c>
      <c r="G29" s="79">
        <f>IFERROR(VLOOKUP($A:$A,CS!$A:$AK,10,FALSE),"")</f>
      </c>
      <c r="H29" s="79">
        <f>IFERROR(VLOOKUP($A:$A,CS!$A:$AK,14,FALSE),"")</f>
      </c>
      <c r="I29" s="79">
        <f>IFERROR(VLOOKUP($A:$A,CS!$A:$AK,15,FALSE),"")</f>
      </c>
      <c r="J29" s="79">
        <f>IFERROR(VLOOKUP($A:$A,CS!$A:$AK,18,FALSE),"")</f>
      </c>
      <c r="K29" s="79">
        <f>IFERROR(VLOOKUP($A:$A,CS!$A:$AK,19,FALSE),"")</f>
      </c>
      <c r="L29" s="79">
        <f>IFERROR(VLOOKUP($A:$A,CS!$A:$AK,20,FALSE),"")</f>
      </c>
      <c r="M29" s="79">
        <f>IFERROR(VLOOKUP($A:$A,CS!$A:$AK,22,FALSE),"")</f>
      </c>
      <c r="N29" s="79">
        <f>IFERROR(VLOOKUP($A:$A,CS!$A:$AK,19,FALSE),"")</f>
      </c>
      <c r="O29" s="79">
        <f>IFERROR(VLOOKUP($A:$A,CS!$A:$AK,23,FALSE),"")</f>
      </c>
      <c r="P29" s="79">
        <f>IFERROR(VLOOKUP($A:$A,CS!$A:$AK,24,FALSE),"")</f>
      </c>
      <c r="Q29" s="79">
        <f>IFERROR(VLOOKUP($A:$A,CS!$A:$AK,25,FALSE),"")</f>
      </c>
      <c r="R29" s="79">
        <f>IFERROR(VLOOKUP($A:$A,CS!$A:$AK,26,FALSE),"")</f>
      </c>
      <c r="S29" s="79">
        <f>IFERROR(VLOOKUP($A:$A,CS!$A:$AK,29,FALSE),"")</f>
      </c>
      <c r="T29" s="79">
        <f>IFERROR(VLOOKUP($A:$A,CS!$A:$AK,33,FALSE),"")</f>
      </c>
      <c r="U29" s="79">
        <f>IFERROR(VLOOKUP($A:$A,CS!$A:$AK,34,FALSE),"")</f>
      </c>
      <c r="V29" s="79">
        <f>IFERROR(VLOOKUP($A:$A,CS!$A:$AK,35,FALSE),"")</f>
      </c>
      <c r="W29" s="79">
        <f>IFERROR(VLOOKUP($A:$A,CS!$A:$AK,36,FALSE),"")</f>
      </c>
    </row>
    <row r="30" ht="16.5" customHeight="1" spans="1:23" x14ac:dyDescent="0.25">
      <c r="A30" s="3"/>
      <c r="B30" s="79">
        <f>IFERROR(VLOOKUP($A:$A,CS!$A:$AK,3,FALSE),"")</f>
      </c>
      <c r="C30" s="79">
        <f>IFERROR(VLOOKUP($A:$A,CS!$A:$AK,4,FALSE),"")</f>
      </c>
      <c r="D30" s="79">
        <f>IFERROR(VLOOKUP($A:$A,CS!$A:$AK,5,FALSE),"")</f>
      </c>
      <c r="E30" s="79">
        <f>IFERROR(VLOOKUP($A:$A,CS!$A:$AK,7,FALSE),"")</f>
      </c>
      <c r="F30" s="79">
        <f>IFERROR(VLOOKUP($A:$A,CS!$A:$AK,8,FALSE),"")</f>
      </c>
      <c r="G30" s="79">
        <f>IFERROR(VLOOKUP($A:$A,CS!$A:$AK,10,FALSE),"")</f>
      </c>
      <c r="H30" s="79">
        <f>IFERROR(VLOOKUP($A:$A,CS!$A:$AK,14,FALSE),"")</f>
      </c>
      <c r="I30" s="79">
        <f>IFERROR(VLOOKUP($A:$A,CS!$A:$AK,15,FALSE),"")</f>
      </c>
      <c r="J30" s="79">
        <f>IFERROR(VLOOKUP($A:$A,CS!$A:$AK,18,FALSE),"")</f>
      </c>
      <c r="K30" s="79">
        <f>IFERROR(VLOOKUP($A:$A,CS!$A:$AK,19,FALSE),"")</f>
      </c>
      <c r="L30" s="79">
        <f>IFERROR(VLOOKUP($A:$A,CS!$A:$AK,20,FALSE),"")</f>
      </c>
      <c r="M30" s="79">
        <f>IFERROR(VLOOKUP($A:$A,CS!$A:$AK,22,FALSE),"")</f>
      </c>
      <c r="N30" s="79">
        <f>IFERROR(VLOOKUP($A:$A,CS!$A:$AK,19,FALSE),"")</f>
      </c>
      <c r="O30" s="79">
        <f>IFERROR(VLOOKUP($A:$A,CS!$A:$AK,23,FALSE),"")</f>
      </c>
      <c r="P30" s="79">
        <f>IFERROR(VLOOKUP($A:$A,CS!$A:$AK,24,FALSE),"")</f>
      </c>
      <c r="Q30" s="79">
        <f>IFERROR(VLOOKUP($A:$A,CS!$A:$AK,25,FALSE),"")</f>
      </c>
      <c r="R30" s="79">
        <f>IFERROR(VLOOKUP($A:$A,CS!$A:$AK,26,FALSE),"")</f>
      </c>
      <c r="S30" s="79">
        <f>IFERROR(VLOOKUP($A:$A,CS!$A:$AK,29,FALSE),"")</f>
      </c>
      <c r="T30" s="79">
        <f>IFERROR(VLOOKUP($A:$A,CS!$A:$AK,33,FALSE),"")</f>
      </c>
      <c r="U30" s="79">
        <f>IFERROR(VLOOKUP($A:$A,CS!$A:$AK,34,FALSE),"")</f>
      </c>
      <c r="V30" s="79">
        <f>IFERROR(VLOOKUP($A:$A,CS!$A:$AK,35,FALSE),"")</f>
      </c>
      <c r="W30" s="79">
        <f>IFERROR(VLOOKUP($A:$A,CS!$A:$AK,36,FALSE),"")</f>
      </c>
    </row>
    <row r="31" ht="16.5" customHeight="1" spans="1:23" x14ac:dyDescent="0.25">
      <c r="A31" s="3"/>
      <c r="B31" s="79">
        <f>IFERROR(VLOOKUP($A:$A,CS!$A:$AK,3,FALSE),"")</f>
      </c>
      <c r="C31" s="79">
        <f>IFERROR(VLOOKUP($A:$A,CS!$A:$AK,4,FALSE),"")</f>
      </c>
      <c r="D31" s="79">
        <f>IFERROR(VLOOKUP($A:$A,CS!$A:$AK,5,FALSE),"")</f>
      </c>
      <c r="E31" s="79">
        <f>IFERROR(VLOOKUP($A:$A,CS!$A:$AK,7,FALSE),"")</f>
      </c>
      <c r="F31" s="79">
        <f>IFERROR(VLOOKUP($A:$A,CS!$A:$AK,8,FALSE),"")</f>
      </c>
      <c r="G31" s="79">
        <f>IFERROR(VLOOKUP($A:$A,CS!$A:$AK,10,FALSE),"")</f>
      </c>
      <c r="H31" s="79">
        <f>IFERROR(VLOOKUP($A:$A,CS!$A:$AK,14,FALSE),"")</f>
      </c>
      <c r="I31" s="79">
        <f>IFERROR(VLOOKUP($A:$A,CS!$A:$AK,15,FALSE),"")</f>
      </c>
      <c r="J31" s="79">
        <f>IFERROR(VLOOKUP($A:$A,CS!$A:$AK,18,FALSE),"")</f>
      </c>
      <c r="K31" s="79">
        <f>IFERROR(VLOOKUP($A:$A,CS!$A:$AK,19,FALSE),"")</f>
      </c>
      <c r="L31" s="79">
        <f>IFERROR(VLOOKUP($A:$A,CS!$A:$AK,20,FALSE),"")</f>
      </c>
      <c r="M31" s="79">
        <f>IFERROR(VLOOKUP($A:$A,CS!$A:$AK,22,FALSE),"")</f>
      </c>
      <c r="N31" s="79">
        <f>IFERROR(VLOOKUP($A:$A,CS!$A:$AK,19,FALSE),"")</f>
      </c>
      <c r="O31" s="79">
        <f>IFERROR(VLOOKUP($A:$A,CS!$A:$AK,23,FALSE),"")</f>
      </c>
      <c r="P31" s="79">
        <f>IFERROR(VLOOKUP($A:$A,CS!$A:$AK,24,FALSE),"")</f>
      </c>
      <c r="Q31" s="79">
        <f>IFERROR(VLOOKUP($A:$A,CS!$A:$AK,25,FALSE),"")</f>
      </c>
      <c r="R31" s="79">
        <f>IFERROR(VLOOKUP($A:$A,CS!$A:$AK,26,FALSE),"")</f>
      </c>
      <c r="S31" s="79">
        <f>IFERROR(VLOOKUP($A:$A,CS!$A:$AK,29,FALSE),"")</f>
      </c>
      <c r="T31" s="79">
        <f>IFERROR(VLOOKUP($A:$A,CS!$A:$AK,33,FALSE),"")</f>
      </c>
      <c r="U31" s="79">
        <f>IFERROR(VLOOKUP($A:$A,CS!$A:$AK,34,FALSE),"")</f>
      </c>
      <c r="V31" s="79">
        <f>IFERROR(VLOOKUP($A:$A,CS!$A:$AK,35,FALSE),"")</f>
      </c>
      <c r="W31" s="79">
        <f>IFERROR(VLOOKUP($A:$A,CS!$A:$AK,36,FALSE),"")</f>
      </c>
    </row>
    <row r="32" ht="16.5" customHeight="1" spans="1:23" x14ac:dyDescent="0.25">
      <c r="A32" s="3"/>
      <c r="B32" s="79">
        <f>IFERROR(VLOOKUP($A:$A,CS!$A:$AK,3,FALSE),"")</f>
      </c>
      <c r="C32" s="79">
        <f>IFERROR(VLOOKUP($A:$A,CS!$A:$AK,4,FALSE),"")</f>
      </c>
      <c r="D32" s="79">
        <f>IFERROR(VLOOKUP($A:$A,CS!$A:$AK,5,FALSE),"")</f>
      </c>
      <c r="E32" s="79">
        <f>IFERROR(VLOOKUP($A:$A,CS!$A:$AK,7,FALSE),"")</f>
      </c>
      <c r="F32" s="79">
        <f>IFERROR(VLOOKUP($A:$A,CS!$A:$AK,8,FALSE),"")</f>
      </c>
      <c r="G32" s="79">
        <f>IFERROR(VLOOKUP($A:$A,CS!$A:$AK,10,FALSE),"")</f>
      </c>
      <c r="H32" s="79">
        <f>IFERROR(VLOOKUP($A:$A,CS!$A:$AK,14,FALSE),"")</f>
      </c>
      <c r="I32" s="79">
        <f>IFERROR(VLOOKUP($A:$A,CS!$A:$AK,15,FALSE),"")</f>
      </c>
      <c r="J32" s="79">
        <f>IFERROR(VLOOKUP($A:$A,CS!$A:$AK,18,FALSE),"")</f>
      </c>
      <c r="K32" s="79">
        <f>IFERROR(VLOOKUP($A:$A,CS!$A:$AK,19,FALSE),"")</f>
      </c>
      <c r="L32" s="79">
        <f>IFERROR(VLOOKUP($A:$A,CS!$A:$AK,20,FALSE),"")</f>
      </c>
      <c r="M32" s="79">
        <f>IFERROR(VLOOKUP($A:$A,CS!$A:$AK,22,FALSE),"")</f>
      </c>
      <c r="N32" s="79">
        <f>IFERROR(VLOOKUP($A:$A,CS!$A:$AK,19,FALSE),"")</f>
      </c>
      <c r="O32" s="79">
        <f>IFERROR(VLOOKUP($A:$A,CS!$A:$AK,23,FALSE),"")</f>
      </c>
      <c r="P32" s="79">
        <f>IFERROR(VLOOKUP($A:$A,CS!$A:$AK,24,FALSE),"")</f>
      </c>
      <c r="Q32" s="79">
        <f>IFERROR(VLOOKUP($A:$A,CS!$A:$AK,25,FALSE),"")</f>
      </c>
      <c r="R32" s="79">
        <f>IFERROR(VLOOKUP($A:$A,CS!$A:$AK,26,FALSE),"")</f>
      </c>
      <c r="S32" s="79">
        <f>IFERROR(VLOOKUP($A:$A,CS!$A:$AK,29,FALSE),"")</f>
      </c>
      <c r="T32" s="79">
        <f>IFERROR(VLOOKUP($A:$A,CS!$A:$AK,33,FALSE),"")</f>
      </c>
      <c r="U32" s="79">
        <f>IFERROR(VLOOKUP($A:$A,CS!$A:$AK,34,FALSE),"")</f>
      </c>
      <c r="V32" s="79">
        <f>IFERROR(VLOOKUP($A:$A,CS!$A:$AK,35,FALSE),"")</f>
      </c>
      <c r="W32" s="79">
        <f>IFERROR(VLOOKUP($A:$A,CS!$A:$AK,36,FALSE),"")</f>
      </c>
    </row>
    <row r="33" ht="16.5" customHeight="1" spans="1:23" x14ac:dyDescent="0.25">
      <c r="A33" s="3"/>
      <c r="B33" s="79">
        <f>IFERROR(VLOOKUP($A:$A,CS!$A:$AK,3,FALSE),"")</f>
      </c>
      <c r="C33" s="79">
        <f>IFERROR(VLOOKUP($A:$A,CS!$A:$AK,4,FALSE),"")</f>
      </c>
      <c r="D33" s="79">
        <f>IFERROR(VLOOKUP($A:$A,CS!$A:$AK,5,FALSE),"")</f>
      </c>
      <c r="E33" s="79">
        <f>IFERROR(VLOOKUP($A:$A,CS!$A:$AK,7,FALSE),"")</f>
      </c>
      <c r="F33" s="79">
        <f>IFERROR(VLOOKUP($A:$A,CS!$A:$AK,8,FALSE),"")</f>
      </c>
      <c r="G33" s="79">
        <f>IFERROR(VLOOKUP($A:$A,CS!$A:$AK,10,FALSE),"")</f>
      </c>
      <c r="H33" s="79">
        <f>IFERROR(VLOOKUP($A:$A,CS!$A:$AK,14,FALSE),"")</f>
      </c>
      <c r="I33" s="79">
        <f>IFERROR(VLOOKUP($A:$A,CS!$A:$AK,15,FALSE),"")</f>
      </c>
      <c r="J33" s="79">
        <f>IFERROR(VLOOKUP($A:$A,CS!$A:$AK,18,FALSE),"")</f>
      </c>
      <c r="K33" s="79">
        <f>IFERROR(VLOOKUP($A:$A,CS!$A:$AK,19,FALSE),"")</f>
      </c>
      <c r="L33" s="79">
        <f>IFERROR(VLOOKUP($A:$A,CS!$A:$AK,20,FALSE),"")</f>
      </c>
      <c r="M33" s="79">
        <f>IFERROR(VLOOKUP($A:$A,CS!$A:$AK,22,FALSE),"")</f>
      </c>
      <c r="N33" s="79">
        <f>IFERROR(VLOOKUP($A:$A,CS!$A:$AK,19,FALSE),"")</f>
      </c>
      <c r="O33" s="79">
        <f>IFERROR(VLOOKUP($A:$A,CS!$A:$AK,23,FALSE),"")</f>
      </c>
      <c r="P33" s="79">
        <f>IFERROR(VLOOKUP($A:$A,CS!$A:$AK,24,FALSE),"")</f>
      </c>
      <c r="Q33" s="79">
        <f>IFERROR(VLOOKUP($A:$A,CS!$A:$AK,25,FALSE),"")</f>
      </c>
      <c r="R33" s="79">
        <f>IFERROR(VLOOKUP($A:$A,CS!$A:$AK,26,FALSE),"")</f>
      </c>
      <c r="S33" s="79">
        <f>IFERROR(VLOOKUP($A:$A,CS!$A:$AK,29,FALSE),"")</f>
      </c>
      <c r="T33" s="79">
        <f>IFERROR(VLOOKUP($A:$A,CS!$A:$AK,33,FALSE),"")</f>
      </c>
      <c r="U33" s="79">
        <f>IFERROR(VLOOKUP($A:$A,CS!$A:$AK,34,FALSE),"")</f>
      </c>
      <c r="V33" s="79">
        <f>IFERROR(VLOOKUP($A:$A,CS!$A:$AK,35,FALSE),"")</f>
      </c>
      <c r="W33" s="79">
        <f>IFERROR(VLOOKUP($A:$A,CS!$A:$AK,36,FALSE),"")</f>
      </c>
    </row>
    <row r="34" ht="16.5" customHeight="1" spans="1:23" x14ac:dyDescent="0.25">
      <c r="A34" s="3"/>
      <c r="B34" s="79">
        <f>IFERROR(VLOOKUP($A:$A,CS!$A:$AK,3,FALSE),"")</f>
      </c>
      <c r="C34" s="79">
        <f>IFERROR(VLOOKUP($A:$A,CS!$A:$AK,4,FALSE),"")</f>
      </c>
      <c r="D34" s="79">
        <f>IFERROR(VLOOKUP($A:$A,CS!$A:$AK,5,FALSE),"")</f>
      </c>
      <c r="E34" s="79">
        <f>IFERROR(VLOOKUP($A:$A,CS!$A:$AK,7,FALSE),"")</f>
      </c>
      <c r="F34" s="79">
        <f>IFERROR(VLOOKUP($A:$A,CS!$A:$AK,8,FALSE),"")</f>
      </c>
      <c r="G34" s="79">
        <f>IFERROR(VLOOKUP($A:$A,CS!$A:$AK,10,FALSE),"")</f>
      </c>
      <c r="H34" s="79">
        <f>IFERROR(VLOOKUP($A:$A,CS!$A:$AK,14,FALSE),"")</f>
      </c>
      <c r="I34" s="79">
        <f>IFERROR(VLOOKUP($A:$A,CS!$A:$AK,15,FALSE),"")</f>
      </c>
      <c r="J34" s="79">
        <f>IFERROR(VLOOKUP($A:$A,CS!$A:$AK,18,FALSE),"")</f>
      </c>
      <c r="K34" s="79">
        <f>IFERROR(VLOOKUP($A:$A,CS!$A:$AK,19,FALSE),"")</f>
      </c>
      <c r="L34" s="79">
        <f>IFERROR(VLOOKUP($A:$A,CS!$A:$AK,20,FALSE),"")</f>
      </c>
      <c r="M34" s="79">
        <f>IFERROR(VLOOKUP($A:$A,CS!$A:$AK,22,FALSE),"")</f>
      </c>
      <c r="N34" s="79">
        <f>IFERROR(VLOOKUP($A:$A,CS!$A:$AK,19,FALSE),"")</f>
      </c>
      <c r="O34" s="79">
        <f>IFERROR(VLOOKUP($A:$A,CS!$A:$AK,23,FALSE),"")</f>
      </c>
      <c r="P34" s="79">
        <f>IFERROR(VLOOKUP($A:$A,CS!$A:$AK,24,FALSE),"")</f>
      </c>
      <c r="Q34" s="79">
        <f>IFERROR(VLOOKUP($A:$A,CS!$A:$AK,25,FALSE),"")</f>
      </c>
      <c r="R34" s="79">
        <f>IFERROR(VLOOKUP($A:$A,CS!$A:$AK,26,FALSE),"")</f>
      </c>
      <c r="S34" s="79">
        <f>IFERROR(VLOOKUP($A:$A,CS!$A:$AK,29,FALSE),"")</f>
      </c>
      <c r="T34" s="79">
        <f>IFERROR(VLOOKUP($A:$A,CS!$A:$AK,33,FALSE),"")</f>
      </c>
      <c r="U34" s="79">
        <f>IFERROR(VLOOKUP($A:$A,CS!$A:$AK,34,FALSE),"")</f>
      </c>
      <c r="V34" s="79">
        <f>IFERROR(VLOOKUP($A:$A,CS!$A:$AK,35,FALSE),"")</f>
      </c>
      <c r="W34" s="79">
        <f>IFERROR(VLOOKUP($A:$A,CS!$A:$AK,36,FALSE),"")</f>
      </c>
    </row>
    <row r="35" ht="16.5" customHeight="1" spans="1:23" x14ac:dyDescent="0.25">
      <c r="A35" s="3"/>
      <c r="B35" s="79">
        <f>IFERROR(VLOOKUP($A:$A,CS!$A:$AK,3,FALSE),"")</f>
      </c>
      <c r="C35" s="79">
        <f>IFERROR(VLOOKUP($A:$A,CS!$A:$AK,4,FALSE),"")</f>
      </c>
      <c r="D35" s="79">
        <f>IFERROR(VLOOKUP($A:$A,CS!$A:$AK,5,FALSE),"")</f>
      </c>
      <c r="E35" s="79">
        <f>IFERROR(VLOOKUP($A:$A,CS!$A:$AK,7,FALSE),"")</f>
      </c>
      <c r="F35" s="79">
        <f>IFERROR(VLOOKUP($A:$A,CS!$A:$AK,8,FALSE),"")</f>
      </c>
      <c r="G35" s="79">
        <f>IFERROR(VLOOKUP($A:$A,CS!$A:$AK,10,FALSE),"")</f>
      </c>
      <c r="H35" s="79">
        <f>IFERROR(VLOOKUP($A:$A,CS!$A:$AK,14,FALSE),"")</f>
      </c>
      <c r="I35" s="79">
        <f>IFERROR(VLOOKUP($A:$A,CS!$A:$AK,15,FALSE),"")</f>
      </c>
      <c r="J35" s="79">
        <f>IFERROR(VLOOKUP($A:$A,CS!$A:$AK,18,FALSE),"")</f>
      </c>
      <c r="K35" s="79">
        <f>IFERROR(VLOOKUP($A:$A,CS!$A:$AK,19,FALSE),"")</f>
      </c>
      <c r="L35" s="79">
        <f>IFERROR(VLOOKUP($A:$A,CS!$A:$AK,20,FALSE),"")</f>
      </c>
      <c r="M35" s="79">
        <f>IFERROR(VLOOKUP($A:$A,CS!$A:$AK,22,FALSE),"")</f>
      </c>
      <c r="N35" s="79">
        <f>IFERROR(VLOOKUP($A:$A,CS!$A:$AK,19,FALSE),"")</f>
      </c>
      <c r="O35" s="79">
        <f>IFERROR(VLOOKUP($A:$A,CS!$A:$AK,23,FALSE),"")</f>
      </c>
      <c r="P35" s="79">
        <f>IFERROR(VLOOKUP($A:$A,CS!$A:$AK,24,FALSE),"")</f>
      </c>
      <c r="Q35" s="79">
        <f>IFERROR(VLOOKUP($A:$A,CS!$A:$AK,25,FALSE),"")</f>
      </c>
      <c r="R35" s="79">
        <f>IFERROR(VLOOKUP($A:$A,CS!$A:$AK,26,FALSE),"")</f>
      </c>
      <c r="S35" s="79">
        <f>IFERROR(VLOOKUP($A:$A,CS!$A:$AK,29,FALSE),"")</f>
      </c>
      <c r="T35" s="79">
        <f>IFERROR(VLOOKUP($A:$A,CS!$A:$AK,33,FALSE),"")</f>
      </c>
      <c r="U35" s="79">
        <f>IFERROR(VLOOKUP($A:$A,CS!$A:$AK,34,FALSE),"")</f>
      </c>
      <c r="V35" s="79">
        <f>IFERROR(VLOOKUP($A:$A,CS!$A:$AK,35,FALSE),"")</f>
      </c>
      <c r="W35" s="79">
        <f>IFERROR(VLOOKUP($A:$A,CS!$A:$AK,36,FALSE),"")</f>
      </c>
    </row>
    <row r="36" ht="16.5" customHeight="1" spans="1:23" x14ac:dyDescent="0.25">
      <c r="A36" s="3"/>
      <c r="B36" s="79">
        <f>IFERROR(VLOOKUP($A:$A,CS!$A:$AK,3,FALSE),"")</f>
      </c>
      <c r="C36" s="79">
        <f>IFERROR(VLOOKUP($A:$A,CS!$A:$AK,4,FALSE),"")</f>
      </c>
      <c r="D36" s="79">
        <f>IFERROR(VLOOKUP($A:$A,CS!$A:$AK,5,FALSE),"")</f>
      </c>
      <c r="E36" s="79">
        <f>IFERROR(VLOOKUP($A:$A,CS!$A:$AK,7,FALSE),"")</f>
      </c>
      <c r="F36" s="79">
        <f>IFERROR(VLOOKUP($A:$A,CS!$A:$AK,8,FALSE),"")</f>
      </c>
      <c r="G36" s="79">
        <f>IFERROR(VLOOKUP($A:$A,CS!$A:$AK,10,FALSE),"")</f>
      </c>
      <c r="H36" s="79">
        <f>IFERROR(VLOOKUP($A:$A,CS!$A:$AK,14,FALSE),"")</f>
      </c>
      <c r="I36" s="79">
        <f>IFERROR(VLOOKUP($A:$A,CS!$A:$AK,15,FALSE),"")</f>
      </c>
      <c r="J36" s="79">
        <f>IFERROR(VLOOKUP($A:$A,CS!$A:$AK,18,FALSE),"")</f>
      </c>
      <c r="K36" s="79">
        <f>IFERROR(VLOOKUP($A:$A,CS!$A:$AK,19,FALSE),"")</f>
      </c>
      <c r="L36" s="79">
        <f>IFERROR(VLOOKUP($A:$A,CS!$A:$AK,20,FALSE),"")</f>
      </c>
      <c r="M36" s="79">
        <f>IFERROR(VLOOKUP($A:$A,CS!$A:$AK,22,FALSE),"")</f>
      </c>
      <c r="N36" s="79">
        <f>IFERROR(VLOOKUP($A:$A,CS!$A:$AK,19,FALSE),"")</f>
      </c>
      <c r="O36" s="79">
        <f>IFERROR(VLOOKUP($A:$A,CS!$A:$AK,23,FALSE),"")</f>
      </c>
      <c r="P36" s="79">
        <f>IFERROR(VLOOKUP($A:$A,CS!$A:$AK,24,FALSE),"")</f>
      </c>
      <c r="Q36" s="79">
        <f>IFERROR(VLOOKUP($A:$A,CS!$A:$AK,25,FALSE),"")</f>
      </c>
      <c r="R36" s="79">
        <f>IFERROR(VLOOKUP($A:$A,CS!$A:$AK,26,FALSE),"")</f>
      </c>
      <c r="S36" s="79">
        <f>IFERROR(VLOOKUP($A:$A,CS!$A:$AK,29,FALSE),"")</f>
      </c>
      <c r="T36" s="79">
        <f>IFERROR(VLOOKUP($A:$A,CS!$A:$AK,33,FALSE),"")</f>
      </c>
      <c r="U36" s="79">
        <f>IFERROR(VLOOKUP($A:$A,CS!$A:$AK,34,FALSE),"")</f>
      </c>
      <c r="V36" s="79">
        <f>IFERROR(VLOOKUP($A:$A,CS!$A:$AK,35,FALSE),"")</f>
      </c>
      <c r="W36" s="79">
        <f>IFERROR(VLOOKUP($A:$A,CS!$A:$AK,36,FALSE),"")</f>
      </c>
    </row>
    <row r="37" ht="16.5" customHeight="1" spans="1:23" x14ac:dyDescent="0.25">
      <c r="A37" s="3"/>
      <c r="B37" s="79">
        <f>IFERROR(VLOOKUP($A:$A,CS!$A:$AK,3,FALSE),"")</f>
      </c>
      <c r="C37" s="79">
        <f>IFERROR(VLOOKUP($A:$A,CS!$A:$AK,4,FALSE),"")</f>
      </c>
      <c r="D37" s="79">
        <f>IFERROR(VLOOKUP($A:$A,CS!$A:$AK,5,FALSE),"")</f>
      </c>
      <c r="E37" s="79">
        <f>IFERROR(VLOOKUP($A:$A,CS!$A:$AK,7,FALSE),"")</f>
      </c>
      <c r="F37" s="79">
        <f>IFERROR(VLOOKUP($A:$A,CS!$A:$AK,8,FALSE),"")</f>
      </c>
      <c r="G37" s="79">
        <f>IFERROR(VLOOKUP($A:$A,CS!$A:$AK,10,FALSE),"")</f>
      </c>
      <c r="H37" s="79">
        <f>IFERROR(VLOOKUP($A:$A,CS!$A:$AK,14,FALSE),"")</f>
      </c>
      <c r="I37" s="79">
        <f>IFERROR(VLOOKUP($A:$A,CS!$A:$AK,15,FALSE),"")</f>
      </c>
      <c r="J37" s="79">
        <f>IFERROR(VLOOKUP($A:$A,CS!$A:$AK,18,FALSE),"")</f>
      </c>
      <c r="K37" s="79">
        <f>IFERROR(VLOOKUP($A:$A,CS!$A:$AK,19,FALSE),"")</f>
      </c>
      <c r="L37" s="79">
        <f>IFERROR(VLOOKUP($A:$A,CS!$A:$AK,20,FALSE),"")</f>
      </c>
      <c r="M37" s="79">
        <f>IFERROR(VLOOKUP($A:$A,CS!$A:$AK,22,FALSE),"")</f>
      </c>
      <c r="N37" s="79">
        <f>IFERROR(VLOOKUP($A:$A,CS!$A:$AK,19,FALSE),"")</f>
      </c>
      <c r="O37" s="79">
        <f>IFERROR(VLOOKUP($A:$A,CS!$A:$AK,23,FALSE),"")</f>
      </c>
      <c r="P37" s="79">
        <f>IFERROR(VLOOKUP($A:$A,CS!$A:$AK,24,FALSE),"")</f>
      </c>
      <c r="Q37" s="79">
        <f>IFERROR(VLOOKUP($A:$A,CS!$A:$AK,25,FALSE),"")</f>
      </c>
      <c r="R37" s="79">
        <f>IFERROR(VLOOKUP($A:$A,CS!$A:$AK,26,FALSE),"")</f>
      </c>
      <c r="S37" s="79">
        <f>IFERROR(VLOOKUP($A:$A,CS!$A:$AK,29,FALSE),"")</f>
      </c>
      <c r="T37" s="79">
        <f>IFERROR(VLOOKUP($A:$A,CS!$A:$AK,33,FALSE),"")</f>
      </c>
      <c r="U37" s="79">
        <f>IFERROR(VLOOKUP($A:$A,CS!$A:$AK,34,FALSE),"")</f>
      </c>
      <c r="V37" s="79">
        <f>IFERROR(VLOOKUP($A:$A,CS!$A:$AK,35,FALSE),"")</f>
      </c>
      <c r="W37" s="79">
        <f>IFERROR(VLOOKUP($A:$A,CS!$A:$AK,36,FALSE),"")</f>
      </c>
    </row>
    <row r="38" ht="16.5" customHeight="1" spans="1:23" x14ac:dyDescent="0.25">
      <c r="A38" s="3"/>
      <c r="B38" s="79">
        <f>IFERROR(VLOOKUP($A:$A,CS!$A:$AK,3,FALSE),"")</f>
      </c>
      <c r="C38" s="79">
        <f>IFERROR(VLOOKUP($A:$A,CS!$A:$AK,4,FALSE),"")</f>
      </c>
      <c r="D38" s="79">
        <f>IFERROR(VLOOKUP($A:$A,CS!$A:$AK,5,FALSE),"")</f>
      </c>
      <c r="E38" s="79">
        <f>IFERROR(VLOOKUP($A:$A,CS!$A:$AK,7,FALSE),"")</f>
      </c>
      <c r="F38" s="79">
        <f>IFERROR(VLOOKUP($A:$A,CS!$A:$AK,8,FALSE),"")</f>
      </c>
      <c r="G38" s="79">
        <f>IFERROR(VLOOKUP($A:$A,CS!$A:$AK,10,FALSE),"")</f>
      </c>
      <c r="H38" s="79">
        <f>IFERROR(VLOOKUP($A:$A,CS!$A:$AK,14,FALSE),"")</f>
      </c>
      <c r="I38" s="79">
        <f>IFERROR(VLOOKUP($A:$A,CS!$A:$AK,15,FALSE),"")</f>
      </c>
      <c r="J38" s="79">
        <f>IFERROR(VLOOKUP($A:$A,CS!$A:$AK,18,FALSE),"")</f>
      </c>
      <c r="K38" s="79">
        <f>IFERROR(VLOOKUP($A:$A,CS!$A:$AK,19,FALSE),"")</f>
      </c>
      <c r="L38" s="79">
        <f>IFERROR(VLOOKUP($A:$A,CS!$A:$AK,20,FALSE),"")</f>
      </c>
      <c r="M38" s="79">
        <f>IFERROR(VLOOKUP($A:$A,CS!$A:$AK,22,FALSE),"")</f>
      </c>
      <c r="N38" s="79">
        <f>IFERROR(VLOOKUP($A:$A,CS!$A:$AK,19,FALSE),"")</f>
      </c>
      <c r="O38" s="79">
        <f>IFERROR(VLOOKUP($A:$A,CS!$A:$AK,23,FALSE),"")</f>
      </c>
      <c r="P38" s="79">
        <f>IFERROR(VLOOKUP($A:$A,CS!$A:$AK,24,FALSE),"")</f>
      </c>
      <c r="Q38" s="79">
        <f>IFERROR(VLOOKUP($A:$A,CS!$A:$AK,25,FALSE),"")</f>
      </c>
      <c r="R38" s="79">
        <f>IFERROR(VLOOKUP($A:$A,CS!$A:$AK,26,FALSE),"")</f>
      </c>
      <c r="S38" s="79">
        <f>IFERROR(VLOOKUP($A:$A,CS!$A:$AK,29,FALSE),"")</f>
      </c>
      <c r="T38" s="79">
        <f>IFERROR(VLOOKUP($A:$A,CS!$A:$AK,33,FALSE),"")</f>
      </c>
      <c r="U38" s="79">
        <f>IFERROR(VLOOKUP($A:$A,CS!$A:$AK,34,FALSE),"")</f>
      </c>
      <c r="V38" s="79">
        <f>IFERROR(VLOOKUP($A:$A,CS!$A:$AK,35,FALSE),"")</f>
      </c>
      <c r="W38" s="79">
        <f>IFERROR(VLOOKUP($A:$A,CS!$A:$AK,36,FALSE),"")</f>
      </c>
    </row>
    <row r="39" ht="16.5" customHeight="1" spans="1:23" x14ac:dyDescent="0.25">
      <c r="A39" s="3"/>
      <c r="B39" s="79">
        <f>IFERROR(VLOOKUP($A:$A,CS!$A:$AK,3,FALSE),"")</f>
      </c>
      <c r="C39" s="79">
        <f>IFERROR(VLOOKUP($A:$A,CS!$A:$AK,4,FALSE),"")</f>
      </c>
      <c r="D39" s="79">
        <f>IFERROR(VLOOKUP($A:$A,CS!$A:$AK,5,FALSE),"")</f>
      </c>
      <c r="E39" s="79">
        <f>IFERROR(VLOOKUP($A:$A,CS!$A:$AK,7,FALSE),"")</f>
      </c>
      <c r="F39" s="79">
        <f>IFERROR(VLOOKUP($A:$A,CS!$A:$AK,8,FALSE),"")</f>
      </c>
      <c r="G39" s="79">
        <f>IFERROR(VLOOKUP($A:$A,CS!$A:$AK,10,FALSE),"")</f>
      </c>
      <c r="H39" s="79">
        <f>IFERROR(VLOOKUP($A:$A,CS!$A:$AK,14,FALSE),"")</f>
      </c>
      <c r="I39" s="79">
        <f>IFERROR(VLOOKUP($A:$A,CS!$A:$AK,15,FALSE),"")</f>
      </c>
      <c r="J39" s="79">
        <f>IFERROR(VLOOKUP($A:$A,CS!$A:$AK,18,FALSE),"")</f>
      </c>
      <c r="K39" s="79">
        <f>IFERROR(VLOOKUP($A:$A,CS!$A:$AK,19,FALSE),"")</f>
      </c>
      <c r="L39" s="79">
        <f>IFERROR(VLOOKUP($A:$A,CS!$A:$AK,20,FALSE),"")</f>
      </c>
      <c r="M39" s="79">
        <f>IFERROR(VLOOKUP($A:$A,CS!$A:$AK,22,FALSE),"")</f>
      </c>
      <c r="N39" s="79">
        <f>IFERROR(VLOOKUP($A:$A,CS!$A:$AK,19,FALSE),"")</f>
      </c>
      <c r="O39" s="79">
        <f>IFERROR(VLOOKUP($A:$A,CS!$A:$AK,23,FALSE),"")</f>
      </c>
      <c r="P39" s="79">
        <f>IFERROR(VLOOKUP($A:$A,CS!$A:$AK,24,FALSE),"")</f>
      </c>
      <c r="Q39" s="79">
        <f>IFERROR(VLOOKUP($A:$A,CS!$A:$AK,25,FALSE),"")</f>
      </c>
      <c r="R39" s="79">
        <f>IFERROR(VLOOKUP($A:$A,CS!$A:$AK,26,FALSE),"")</f>
      </c>
      <c r="S39" s="79">
        <f>IFERROR(VLOOKUP($A:$A,CS!$A:$AK,29,FALSE),"")</f>
      </c>
      <c r="T39" s="79">
        <f>IFERROR(VLOOKUP($A:$A,CS!$A:$AK,33,FALSE),"")</f>
      </c>
      <c r="U39" s="79">
        <f>IFERROR(VLOOKUP($A:$A,CS!$A:$AK,34,FALSE),"")</f>
      </c>
      <c r="V39" s="79">
        <f>IFERROR(VLOOKUP($A:$A,CS!$A:$AK,35,FALSE),"")</f>
      </c>
      <c r="W39" s="79">
        <f>IFERROR(VLOOKUP($A:$A,CS!$A:$AK,36,FALSE),"")</f>
      </c>
    </row>
    <row r="40" ht="16.5" customHeight="1" spans="1:23" x14ac:dyDescent="0.25">
      <c r="A40" s="93"/>
      <c r="B40" s="79">
        <f>IFERROR(VLOOKUP($A:$A,CS!$A:$AK,3,FALSE),"")</f>
      </c>
      <c r="C40" s="79">
        <f>IFERROR(VLOOKUP($A:$A,CS!$A:$AK,4,FALSE),"")</f>
      </c>
      <c r="D40" s="79">
        <f>IFERROR(VLOOKUP($A:$A,CS!$A:$AK,5,FALSE),"")</f>
      </c>
      <c r="E40" s="79">
        <f>IFERROR(VLOOKUP($A:$A,CS!$A:$AK,7,FALSE),"")</f>
      </c>
      <c r="F40" s="79">
        <f>IFERROR(VLOOKUP($A:$A,CS!$A:$AK,8,FALSE),"")</f>
      </c>
      <c r="G40" s="79">
        <f>IFERROR(VLOOKUP($A:$A,CS!$A:$AK,10,FALSE),"")</f>
      </c>
      <c r="H40" s="79">
        <f>IFERROR(VLOOKUP($A:$A,CS!$A:$AK,14,FALSE),"")</f>
      </c>
      <c r="I40" s="79">
        <f>IFERROR(VLOOKUP($A:$A,CS!$A:$AK,15,FALSE),"")</f>
      </c>
      <c r="J40" s="79">
        <f>IFERROR(VLOOKUP($A:$A,CS!$A:$AK,18,FALSE),"")</f>
      </c>
      <c r="K40" s="79">
        <f>IFERROR(VLOOKUP($A:$A,CS!$A:$AK,19,FALSE),"")</f>
      </c>
      <c r="L40" s="79">
        <f>IFERROR(VLOOKUP($A:$A,CS!$A:$AK,20,FALSE),"")</f>
      </c>
      <c r="M40" s="79">
        <f>IFERROR(VLOOKUP($A:$A,CS!$A:$AK,22,FALSE),"")</f>
      </c>
      <c r="N40" s="79">
        <f>IFERROR(VLOOKUP($A:$A,CS!$A:$AK,19,FALSE),"")</f>
      </c>
      <c r="O40" s="79">
        <f>IFERROR(VLOOKUP($A:$A,CS!$A:$AK,23,FALSE),"")</f>
      </c>
      <c r="P40" s="79">
        <f>IFERROR(VLOOKUP($A:$A,CS!$A:$AK,24,FALSE),"")</f>
      </c>
      <c r="Q40" s="79">
        <f>IFERROR(VLOOKUP($A:$A,CS!$A:$AK,25,FALSE),"")</f>
      </c>
      <c r="R40" s="79">
        <f>IFERROR(VLOOKUP($A:$A,CS!$A:$AK,26,FALSE),"")</f>
      </c>
      <c r="S40" s="79">
        <f>IFERROR(VLOOKUP($A:$A,CS!$A:$AK,29,FALSE),"")</f>
      </c>
      <c r="T40" s="79">
        <f>IFERROR(VLOOKUP($A:$A,CS!$A:$AK,33,FALSE),"")</f>
      </c>
      <c r="U40" s="79">
        <f>IFERROR(VLOOKUP($A:$A,CS!$A:$AK,34,FALSE),"")</f>
      </c>
      <c r="V40" s="79">
        <f>IFERROR(VLOOKUP($A:$A,CS!$A:$AK,35,FALSE),"")</f>
      </c>
      <c r="W40" s="79">
        <f>IFERROR(VLOOKUP($A:$A,CS!$A:$AK,36,FALSE),"")</f>
      </c>
    </row>
    <row r="41" ht="16.5" customHeight="1" spans="1:23" x14ac:dyDescent="0.25">
      <c r="A41" s="93"/>
      <c r="B41" s="79">
        <f>IFERROR(VLOOKUP($A:$A,CS!$A:$AK,3,FALSE),"")</f>
      </c>
      <c r="C41" s="79">
        <f>IFERROR(VLOOKUP($A:$A,CS!$A:$AK,4,FALSE),"")</f>
      </c>
      <c r="D41" s="79">
        <f>IFERROR(VLOOKUP($A:$A,CS!$A:$AK,5,FALSE),"")</f>
      </c>
      <c r="E41" s="79">
        <f>IFERROR(VLOOKUP($A:$A,CS!$A:$AK,7,FALSE),"")</f>
      </c>
      <c r="F41" s="79">
        <f>IFERROR(VLOOKUP($A:$A,CS!$A:$AK,8,FALSE),"")</f>
      </c>
      <c r="G41" s="79">
        <f>IFERROR(VLOOKUP($A:$A,CS!$A:$AK,10,FALSE),"")</f>
      </c>
      <c r="H41" s="79">
        <f>IFERROR(VLOOKUP($A:$A,CS!$A:$AK,14,FALSE),"")</f>
      </c>
      <c r="I41" s="79">
        <f>IFERROR(VLOOKUP($A:$A,CS!$A:$AK,15,FALSE),"")</f>
      </c>
      <c r="J41" s="79">
        <f>IFERROR(VLOOKUP($A:$A,CS!$A:$AK,18,FALSE),"")</f>
      </c>
      <c r="K41" s="79">
        <f>IFERROR(VLOOKUP($A:$A,CS!$A:$AK,19,FALSE),"")</f>
      </c>
      <c r="L41" s="79">
        <f>IFERROR(VLOOKUP($A:$A,CS!$A:$AK,20,FALSE),"")</f>
      </c>
      <c r="M41" s="79">
        <f>IFERROR(VLOOKUP($A:$A,CS!$A:$AK,22,FALSE),"")</f>
      </c>
      <c r="N41" s="79">
        <f>IFERROR(VLOOKUP($A:$A,CS!$A:$AK,19,FALSE),"")</f>
      </c>
      <c r="O41" s="79">
        <f>IFERROR(VLOOKUP($A:$A,CS!$A:$AK,23,FALSE),"")</f>
      </c>
      <c r="P41" s="79">
        <f>IFERROR(VLOOKUP($A:$A,CS!$A:$AK,24,FALSE),"")</f>
      </c>
      <c r="Q41" s="79">
        <f>IFERROR(VLOOKUP($A:$A,CS!$A:$AK,25,FALSE),"")</f>
      </c>
      <c r="R41" s="79">
        <f>IFERROR(VLOOKUP($A:$A,CS!$A:$AK,26,FALSE),"")</f>
      </c>
      <c r="S41" s="79">
        <f>IFERROR(VLOOKUP($A:$A,CS!$A:$AK,29,FALSE),"")</f>
      </c>
      <c r="T41" s="79">
        <f>IFERROR(VLOOKUP($A:$A,CS!$A:$AK,33,FALSE),"")</f>
      </c>
      <c r="U41" s="79">
        <f>IFERROR(VLOOKUP($A:$A,CS!$A:$AK,34,FALSE),"")</f>
      </c>
      <c r="V41" s="79">
        <f>IFERROR(VLOOKUP($A:$A,CS!$A:$AK,35,FALSE),"")</f>
      </c>
      <c r="W41" s="79">
        <f>IFERROR(VLOOKUP($A:$A,CS!$A:$AK,36,FALSE),"")</f>
      </c>
    </row>
    <row r="42" ht="16.5" customHeight="1" spans="1:23" x14ac:dyDescent="0.25">
      <c r="A42" s="93"/>
      <c r="B42" s="79">
        <f>IFERROR(VLOOKUP($A:$A,CS!$A:$AK,3,FALSE),"")</f>
      </c>
      <c r="C42" s="79">
        <f>IFERROR(VLOOKUP($A:$A,CS!$A:$AK,4,FALSE),"")</f>
      </c>
      <c r="D42" s="79">
        <f>IFERROR(VLOOKUP($A:$A,CS!$A:$AK,5,FALSE),"")</f>
      </c>
      <c r="E42" s="79">
        <f>IFERROR(VLOOKUP($A:$A,CS!$A:$AK,7,FALSE),"")</f>
      </c>
      <c r="F42" s="79">
        <f>IFERROR(VLOOKUP($A:$A,CS!$A:$AK,8,FALSE),"")</f>
      </c>
      <c r="G42" s="79">
        <f>IFERROR(VLOOKUP($A:$A,CS!$A:$AK,10,FALSE),"")</f>
      </c>
      <c r="H42" s="79">
        <f>IFERROR(VLOOKUP($A:$A,CS!$A:$AK,14,FALSE),"")</f>
      </c>
      <c r="I42" s="79">
        <f>IFERROR(VLOOKUP($A:$A,CS!$A:$AK,15,FALSE),"")</f>
      </c>
      <c r="J42" s="79">
        <f>IFERROR(VLOOKUP($A:$A,CS!$A:$AK,18,FALSE),"")</f>
      </c>
      <c r="K42" s="79">
        <f>IFERROR(VLOOKUP($A:$A,CS!$A:$AK,19,FALSE),"")</f>
      </c>
      <c r="L42" s="79">
        <f>IFERROR(VLOOKUP($A:$A,CS!$A:$AK,20,FALSE),"")</f>
      </c>
      <c r="M42" s="79">
        <f>IFERROR(VLOOKUP($A:$A,CS!$A:$AK,22,FALSE),"")</f>
      </c>
      <c r="N42" s="79">
        <f>IFERROR(VLOOKUP($A:$A,CS!$A:$AK,19,FALSE),"")</f>
      </c>
      <c r="O42" s="79">
        <f>IFERROR(VLOOKUP($A:$A,CS!$A:$AK,23,FALSE),"")</f>
      </c>
      <c r="P42" s="79">
        <f>IFERROR(VLOOKUP($A:$A,CS!$A:$AK,24,FALSE),"")</f>
      </c>
      <c r="Q42" s="79">
        <f>IFERROR(VLOOKUP($A:$A,CS!$A:$AK,25,FALSE),"")</f>
      </c>
      <c r="R42" s="79">
        <f>IFERROR(VLOOKUP($A:$A,CS!$A:$AK,26,FALSE),"")</f>
      </c>
      <c r="S42" s="79">
        <f>IFERROR(VLOOKUP($A:$A,CS!$A:$AK,29,FALSE),"")</f>
      </c>
      <c r="T42" s="79">
        <f>IFERROR(VLOOKUP($A:$A,CS!$A:$AK,33,FALSE),"")</f>
      </c>
      <c r="U42" s="79">
        <f>IFERROR(VLOOKUP($A:$A,CS!$A:$AK,34,FALSE),"")</f>
      </c>
      <c r="V42" s="79">
        <f>IFERROR(VLOOKUP($A:$A,CS!$A:$AK,35,FALSE),"")</f>
      </c>
      <c r="W42" s="79">
        <f>IFERROR(VLOOKUP($A:$A,CS!$A:$AK,36,FALSE),"")</f>
      </c>
    </row>
    <row r="43" ht="16.5" customHeight="1" spans="1:23" x14ac:dyDescent="0.25">
      <c r="A43" s="93"/>
      <c r="B43" s="79">
        <f>IFERROR(VLOOKUP($A:$A,CS!$A:$AK,3,FALSE),"")</f>
      </c>
      <c r="C43" s="79">
        <f>IFERROR(VLOOKUP($A:$A,CS!$A:$AK,4,FALSE),"")</f>
      </c>
      <c r="D43" s="79">
        <f>IFERROR(VLOOKUP($A:$A,CS!$A:$AK,5,FALSE),"")</f>
      </c>
      <c r="E43" s="79">
        <f>IFERROR(VLOOKUP($A:$A,CS!$A:$AK,7,FALSE),"")</f>
      </c>
      <c r="F43" s="79">
        <f>IFERROR(VLOOKUP($A:$A,CS!$A:$AK,8,FALSE),"")</f>
      </c>
      <c r="G43" s="79">
        <f>IFERROR(VLOOKUP($A:$A,CS!$A:$AK,10,FALSE),"")</f>
      </c>
      <c r="H43" s="79">
        <f>IFERROR(VLOOKUP($A:$A,CS!$A:$AK,14,FALSE),"")</f>
      </c>
      <c r="I43" s="79">
        <f>IFERROR(VLOOKUP($A:$A,CS!$A:$AK,15,FALSE),"")</f>
      </c>
      <c r="J43" s="79">
        <f>IFERROR(VLOOKUP($A:$A,CS!$A:$AK,18,FALSE),"")</f>
      </c>
      <c r="K43" s="79">
        <f>IFERROR(VLOOKUP($A:$A,CS!$A:$AK,19,FALSE),"")</f>
      </c>
      <c r="L43" s="79">
        <f>IFERROR(VLOOKUP($A:$A,CS!$A:$AK,20,FALSE),"")</f>
      </c>
      <c r="M43" s="79">
        <f>IFERROR(VLOOKUP($A:$A,CS!$A:$AK,22,FALSE),"")</f>
      </c>
      <c r="N43" s="79">
        <f>IFERROR(VLOOKUP($A:$A,CS!$A:$AK,19,FALSE),"")</f>
      </c>
      <c r="O43" s="79">
        <f>IFERROR(VLOOKUP($A:$A,CS!$A:$AK,23,FALSE),"")</f>
      </c>
      <c r="P43" s="79">
        <f>IFERROR(VLOOKUP($A:$A,CS!$A:$AK,24,FALSE),"")</f>
      </c>
      <c r="Q43" s="79">
        <f>IFERROR(VLOOKUP($A:$A,CS!$A:$AK,25,FALSE),"")</f>
      </c>
      <c r="R43" s="79">
        <f>IFERROR(VLOOKUP($A:$A,CS!$A:$AK,26,FALSE),"")</f>
      </c>
      <c r="S43" s="79">
        <f>IFERROR(VLOOKUP($A:$A,CS!$A:$AK,29,FALSE),"")</f>
      </c>
      <c r="T43" s="79">
        <f>IFERROR(VLOOKUP($A:$A,CS!$A:$AK,33,FALSE),"")</f>
      </c>
      <c r="U43" s="79">
        <f>IFERROR(VLOOKUP($A:$A,CS!$A:$AK,34,FALSE),"")</f>
      </c>
      <c r="V43" s="79">
        <f>IFERROR(VLOOKUP($A:$A,CS!$A:$AK,35,FALSE),"")</f>
      </c>
      <c r="W43" s="79">
        <f>IFERROR(VLOOKUP($A:$A,CS!$A:$AK,36,FALSE),"")</f>
      </c>
    </row>
    <row r="44" ht="16.5" customHeight="1" spans="1:23" x14ac:dyDescent="0.25">
      <c r="A44" s="93"/>
      <c r="B44" s="79">
        <f>IFERROR(VLOOKUP($A:$A,CS!$A:$AK,3,FALSE),"")</f>
      </c>
      <c r="C44" s="79">
        <f>IFERROR(VLOOKUP($A:$A,CS!$A:$AK,4,FALSE),"")</f>
      </c>
      <c r="D44" s="79">
        <f>IFERROR(VLOOKUP($A:$A,CS!$A:$AK,5,FALSE),"")</f>
      </c>
      <c r="E44" s="79">
        <f>IFERROR(VLOOKUP($A:$A,CS!$A:$AK,7,FALSE),"")</f>
      </c>
      <c r="F44" s="79">
        <f>IFERROR(VLOOKUP($A:$A,CS!$A:$AK,8,FALSE),"")</f>
      </c>
      <c r="G44" s="79">
        <f>IFERROR(VLOOKUP($A:$A,CS!$A:$AK,10,FALSE),"")</f>
      </c>
      <c r="H44" s="79">
        <f>IFERROR(VLOOKUP($A:$A,CS!$A:$AK,14,FALSE),"")</f>
      </c>
      <c r="I44" s="79">
        <f>IFERROR(VLOOKUP($A:$A,CS!$A:$AK,15,FALSE),"")</f>
      </c>
      <c r="J44" s="79">
        <f>IFERROR(VLOOKUP($A:$A,CS!$A:$AK,18,FALSE),"")</f>
      </c>
      <c r="K44" s="79">
        <f>IFERROR(VLOOKUP($A:$A,CS!$A:$AK,19,FALSE),"")</f>
      </c>
      <c r="L44" s="79">
        <f>IFERROR(VLOOKUP($A:$A,CS!$A:$AK,20,FALSE),"")</f>
      </c>
      <c r="M44" s="79">
        <f>IFERROR(VLOOKUP($A:$A,CS!$A:$AK,22,FALSE),"")</f>
      </c>
      <c r="N44" s="79">
        <f>IFERROR(VLOOKUP($A:$A,CS!$A:$AK,19,FALSE),"")</f>
      </c>
      <c r="O44" s="79">
        <f>IFERROR(VLOOKUP($A:$A,CS!$A:$AK,23,FALSE),"")</f>
      </c>
      <c r="P44" s="79">
        <f>IFERROR(VLOOKUP($A:$A,CS!$A:$AK,24,FALSE),"")</f>
      </c>
      <c r="Q44" s="79">
        <f>IFERROR(VLOOKUP($A:$A,CS!$A:$AK,25,FALSE),"")</f>
      </c>
      <c r="R44" s="79">
        <f>IFERROR(VLOOKUP($A:$A,CS!$A:$AK,26,FALSE),"")</f>
      </c>
      <c r="S44" s="79">
        <f>IFERROR(VLOOKUP($A:$A,CS!$A:$AK,29,FALSE),"")</f>
      </c>
      <c r="T44" s="79">
        <f>IFERROR(VLOOKUP($A:$A,CS!$A:$AK,33,FALSE),"")</f>
      </c>
      <c r="U44" s="79">
        <f>IFERROR(VLOOKUP($A:$A,CS!$A:$AK,34,FALSE),"")</f>
      </c>
      <c r="V44" s="79">
        <f>IFERROR(VLOOKUP($A:$A,CS!$A:$AK,35,FALSE),"")</f>
      </c>
      <c r="W44" s="79">
        <f>IFERROR(VLOOKUP($A:$A,CS!$A:$AK,36,FALSE),"")</f>
      </c>
    </row>
    <row r="45" ht="16.5" customHeight="1" spans="1:23" x14ac:dyDescent="0.25">
      <c r="A45" s="93"/>
      <c r="B45" s="79">
        <f>IFERROR(VLOOKUP($A:$A,CS!$A:$AK,3,FALSE),"")</f>
      </c>
      <c r="C45" s="79">
        <f>IFERROR(VLOOKUP($A:$A,CS!$A:$AK,4,FALSE),"")</f>
      </c>
      <c r="D45" s="79">
        <f>IFERROR(VLOOKUP($A:$A,CS!$A:$AK,5,FALSE),"")</f>
      </c>
      <c r="E45" s="79">
        <f>IFERROR(VLOOKUP($A:$A,CS!$A:$AK,7,FALSE),"")</f>
      </c>
      <c r="F45" s="79">
        <f>IFERROR(VLOOKUP($A:$A,CS!$A:$AK,8,FALSE),"")</f>
      </c>
      <c r="G45" s="79">
        <f>IFERROR(VLOOKUP($A:$A,CS!$A:$AK,10,FALSE),"")</f>
      </c>
      <c r="H45" s="79">
        <f>IFERROR(VLOOKUP($A:$A,CS!$A:$AK,14,FALSE),"")</f>
      </c>
      <c r="I45" s="79">
        <f>IFERROR(VLOOKUP($A:$A,CS!$A:$AK,15,FALSE),"")</f>
      </c>
      <c r="J45" s="79">
        <f>IFERROR(VLOOKUP($A:$A,CS!$A:$AK,18,FALSE),"")</f>
      </c>
      <c r="K45" s="79">
        <f>IFERROR(VLOOKUP($A:$A,CS!$A:$AK,19,FALSE),"")</f>
      </c>
      <c r="L45" s="79">
        <f>IFERROR(VLOOKUP($A:$A,CS!$A:$AK,20,FALSE),"")</f>
      </c>
      <c r="M45" s="79">
        <f>IFERROR(VLOOKUP($A:$A,CS!$A:$AK,22,FALSE),"")</f>
      </c>
      <c r="N45" s="79">
        <f>IFERROR(VLOOKUP($A:$A,CS!$A:$AK,19,FALSE),"")</f>
      </c>
      <c r="O45" s="79">
        <f>IFERROR(VLOOKUP($A:$A,CS!$A:$AK,23,FALSE),"")</f>
      </c>
      <c r="P45" s="79">
        <f>IFERROR(VLOOKUP($A:$A,CS!$A:$AK,24,FALSE),"")</f>
      </c>
      <c r="Q45" s="79">
        <f>IFERROR(VLOOKUP($A:$A,CS!$A:$AK,25,FALSE),"")</f>
      </c>
      <c r="R45" s="79">
        <f>IFERROR(VLOOKUP($A:$A,CS!$A:$AK,26,FALSE),"")</f>
      </c>
      <c r="S45" s="79">
        <f>IFERROR(VLOOKUP($A:$A,CS!$A:$AK,29,FALSE),"")</f>
      </c>
      <c r="T45" s="79">
        <f>IFERROR(VLOOKUP($A:$A,CS!$A:$AK,33,FALSE),"")</f>
      </c>
      <c r="U45" s="79">
        <f>IFERROR(VLOOKUP($A:$A,CS!$A:$AK,34,FALSE),"")</f>
      </c>
      <c r="V45" s="79">
        <f>IFERROR(VLOOKUP($A:$A,CS!$A:$AK,35,FALSE),"")</f>
      </c>
      <c r="W45" s="79">
        <f>IFERROR(VLOOKUP($A:$A,CS!$A:$AK,36,FALSE),"")</f>
      </c>
    </row>
    <row r="46" ht="16.5" customHeight="1" spans="1:23" x14ac:dyDescent="0.25">
      <c r="A46" s="93"/>
      <c r="B46" s="79">
        <f>IFERROR(VLOOKUP($A:$A,CS!$A:$AK,3,FALSE),"")</f>
      </c>
      <c r="C46" s="79">
        <f>IFERROR(VLOOKUP($A:$A,CS!$A:$AK,4,FALSE),"")</f>
      </c>
      <c r="D46" s="79">
        <f>IFERROR(VLOOKUP($A:$A,CS!$A:$AK,5,FALSE),"")</f>
      </c>
      <c r="E46" s="79">
        <f>IFERROR(VLOOKUP($A:$A,CS!$A:$AK,7,FALSE),"")</f>
      </c>
      <c r="F46" s="79">
        <f>IFERROR(VLOOKUP($A:$A,CS!$A:$AK,8,FALSE),"")</f>
      </c>
      <c r="G46" s="79">
        <f>IFERROR(VLOOKUP($A:$A,CS!$A:$AK,10,FALSE),"")</f>
      </c>
      <c r="H46" s="79">
        <f>IFERROR(VLOOKUP($A:$A,CS!$A:$AK,14,FALSE),"")</f>
      </c>
      <c r="I46" s="79">
        <f>IFERROR(VLOOKUP($A:$A,CS!$A:$AK,15,FALSE),"")</f>
      </c>
      <c r="J46" s="79">
        <f>IFERROR(VLOOKUP($A:$A,CS!$A:$AK,18,FALSE),"")</f>
      </c>
      <c r="K46" s="79">
        <f>IFERROR(VLOOKUP($A:$A,CS!$A:$AK,19,FALSE),"")</f>
      </c>
      <c r="L46" s="79">
        <f>IFERROR(VLOOKUP($A:$A,CS!$A:$AK,20,FALSE),"")</f>
      </c>
      <c r="M46" s="79">
        <f>IFERROR(VLOOKUP($A:$A,CS!$A:$AK,22,FALSE),"")</f>
      </c>
      <c r="N46" s="79">
        <f>IFERROR(VLOOKUP($A:$A,CS!$A:$AK,19,FALSE),"")</f>
      </c>
      <c r="O46" s="79">
        <f>IFERROR(VLOOKUP($A:$A,CS!$A:$AK,23,FALSE),"")</f>
      </c>
      <c r="P46" s="79">
        <f>IFERROR(VLOOKUP($A:$A,CS!$A:$AK,24,FALSE),"")</f>
      </c>
      <c r="Q46" s="79">
        <f>IFERROR(VLOOKUP($A:$A,CS!$A:$AK,25,FALSE),"")</f>
      </c>
      <c r="R46" s="79">
        <f>IFERROR(VLOOKUP($A:$A,CS!$A:$AK,26,FALSE),"")</f>
      </c>
      <c r="S46" s="79">
        <f>IFERROR(VLOOKUP($A:$A,CS!$A:$AK,29,FALSE),"")</f>
      </c>
      <c r="T46" s="79">
        <f>IFERROR(VLOOKUP($A:$A,CS!$A:$AK,33,FALSE),"")</f>
      </c>
      <c r="U46" s="79">
        <f>IFERROR(VLOOKUP($A:$A,CS!$A:$AK,34,FALSE),"")</f>
      </c>
      <c r="V46" s="79">
        <f>IFERROR(VLOOKUP($A:$A,CS!$A:$AK,35,FALSE),"")</f>
      </c>
      <c r="W46" s="79">
        <f>IFERROR(VLOOKUP($A:$A,CS!$A:$AK,36,FALSE),"")</f>
      </c>
    </row>
    <row r="47" ht="16.5" customHeight="1" spans="1:23" x14ac:dyDescent="0.25">
      <c r="A47" s="93"/>
      <c r="B47" s="79">
        <f>IFERROR(VLOOKUP($A:$A,CS!$A:$AK,3,FALSE),"")</f>
      </c>
      <c r="C47" s="79">
        <f>IFERROR(VLOOKUP($A:$A,CS!$A:$AK,4,FALSE),"")</f>
      </c>
      <c r="D47" s="79">
        <f>IFERROR(VLOOKUP($A:$A,CS!$A:$AK,5,FALSE),"")</f>
      </c>
      <c r="E47" s="79">
        <f>IFERROR(VLOOKUP($A:$A,CS!$A:$AK,7,FALSE),"")</f>
      </c>
      <c r="F47" s="79">
        <f>IFERROR(VLOOKUP($A:$A,CS!$A:$AK,8,FALSE),"")</f>
      </c>
      <c r="G47" s="79">
        <f>IFERROR(VLOOKUP($A:$A,CS!$A:$AK,10,FALSE),"")</f>
      </c>
      <c r="H47" s="79">
        <f>IFERROR(VLOOKUP($A:$A,CS!$A:$AK,14,FALSE),"")</f>
      </c>
      <c r="I47" s="79">
        <f>IFERROR(VLOOKUP($A:$A,CS!$A:$AK,15,FALSE),"")</f>
      </c>
      <c r="J47" s="79">
        <f>IFERROR(VLOOKUP($A:$A,CS!$A:$AK,18,FALSE),"")</f>
      </c>
      <c r="K47" s="79">
        <f>IFERROR(VLOOKUP($A:$A,CS!$A:$AK,19,FALSE),"")</f>
      </c>
      <c r="L47" s="79">
        <f>IFERROR(VLOOKUP($A:$A,CS!$A:$AK,20,FALSE),"")</f>
      </c>
      <c r="M47" s="79">
        <f>IFERROR(VLOOKUP($A:$A,CS!$A:$AK,22,FALSE),"")</f>
      </c>
      <c r="N47" s="79">
        <f>IFERROR(VLOOKUP($A:$A,CS!$A:$AK,19,FALSE),"")</f>
      </c>
      <c r="O47" s="79">
        <f>IFERROR(VLOOKUP($A:$A,CS!$A:$AK,23,FALSE),"")</f>
      </c>
      <c r="P47" s="79">
        <f>IFERROR(VLOOKUP($A:$A,CS!$A:$AK,24,FALSE),"")</f>
      </c>
      <c r="Q47" s="79">
        <f>IFERROR(VLOOKUP($A:$A,CS!$A:$AK,25,FALSE),"")</f>
      </c>
      <c r="R47" s="79">
        <f>IFERROR(VLOOKUP($A:$A,CS!$A:$AK,26,FALSE),"")</f>
      </c>
      <c r="S47" s="79">
        <f>IFERROR(VLOOKUP($A:$A,CS!$A:$AK,29,FALSE),"")</f>
      </c>
      <c r="T47" s="79">
        <f>IFERROR(VLOOKUP($A:$A,CS!$A:$AK,33,FALSE),"")</f>
      </c>
      <c r="U47" s="79">
        <f>IFERROR(VLOOKUP($A:$A,CS!$A:$AK,34,FALSE),"")</f>
      </c>
      <c r="V47" s="79">
        <f>IFERROR(VLOOKUP($A:$A,CS!$A:$AK,35,FALSE),"")</f>
      </c>
      <c r="W47" s="79">
        <f>IFERROR(VLOOKUP($A:$A,CS!$A:$AK,36,FALSE),"")</f>
      </c>
    </row>
    <row r="48" ht="16.5" customHeight="1" spans="1:23" x14ac:dyDescent="0.25">
      <c r="A48" s="93"/>
      <c r="B48" s="79">
        <f>IFERROR(VLOOKUP($A:$A,CS!$A:$AK,3,FALSE),"")</f>
      </c>
      <c r="C48" s="79">
        <f>IFERROR(VLOOKUP($A:$A,CS!$A:$AK,4,FALSE),"")</f>
      </c>
      <c r="D48" s="79">
        <f>IFERROR(VLOOKUP($A:$A,CS!$A:$AK,5,FALSE),"")</f>
      </c>
      <c r="E48" s="79">
        <f>IFERROR(VLOOKUP($A:$A,CS!$A:$AK,7,FALSE),"")</f>
      </c>
      <c r="F48" s="79">
        <f>IFERROR(VLOOKUP($A:$A,CS!$A:$AK,8,FALSE),"")</f>
      </c>
      <c r="G48" s="79">
        <f>IFERROR(VLOOKUP($A:$A,CS!$A:$AK,10,FALSE),"")</f>
      </c>
      <c r="H48" s="79">
        <f>IFERROR(VLOOKUP($A:$A,CS!$A:$AK,14,FALSE),"")</f>
      </c>
      <c r="I48" s="79">
        <f>IFERROR(VLOOKUP($A:$A,CS!$A:$AK,15,FALSE),"")</f>
      </c>
      <c r="J48" s="79">
        <f>IFERROR(VLOOKUP($A:$A,CS!$A:$AK,18,FALSE),"")</f>
      </c>
      <c r="K48" s="79">
        <f>IFERROR(VLOOKUP($A:$A,CS!$A:$AK,19,FALSE),"")</f>
      </c>
      <c r="L48" s="79">
        <f>IFERROR(VLOOKUP($A:$A,CS!$A:$AK,20,FALSE),"")</f>
      </c>
      <c r="M48" s="79">
        <f>IFERROR(VLOOKUP($A:$A,CS!$A:$AK,22,FALSE),"")</f>
      </c>
      <c r="N48" s="79">
        <f>IFERROR(VLOOKUP($A:$A,CS!$A:$AK,19,FALSE),"")</f>
      </c>
      <c r="O48" s="79">
        <f>IFERROR(VLOOKUP($A:$A,CS!$A:$AK,23,FALSE),"")</f>
      </c>
      <c r="P48" s="79">
        <f>IFERROR(VLOOKUP($A:$A,CS!$A:$AK,24,FALSE),"")</f>
      </c>
      <c r="Q48" s="79">
        <f>IFERROR(VLOOKUP($A:$A,CS!$A:$AK,25,FALSE),"")</f>
      </c>
      <c r="R48" s="79">
        <f>IFERROR(VLOOKUP($A:$A,CS!$A:$AK,26,FALSE),"")</f>
      </c>
      <c r="S48" s="79">
        <f>IFERROR(VLOOKUP($A:$A,CS!$A:$AK,29,FALSE),"")</f>
      </c>
      <c r="T48" s="79">
        <f>IFERROR(VLOOKUP($A:$A,CS!$A:$AK,33,FALSE),"")</f>
      </c>
      <c r="U48" s="79">
        <f>IFERROR(VLOOKUP($A:$A,CS!$A:$AK,34,FALSE),"")</f>
      </c>
      <c r="V48" s="79">
        <f>IFERROR(VLOOKUP($A:$A,CS!$A:$AK,35,FALSE),"")</f>
      </c>
      <c r="W48" s="79">
        <f>IFERROR(VLOOKUP($A:$A,CS!$A:$AK,36,FALSE),"")</f>
      </c>
    </row>
    <row r="49" ht="16.5" customHeight="1" spans="1:23" x14ac:dyDescent="0.25">
      <c r="A49" s="93"/>
      <c r="B49" s="79">
        <f>IFERROR(VLOOKUP($A:$A,CS!$A:$AK,3,FALSE),"")</f>
      </c>
      <c r="C49" s="79">
        <f>IFERROR(VLOOKUP($A:$A,CS!$A:$AK,4,FALSE),"")</f>
      </c>
      <c r="D49" s="79">
        <f>IFERROR(VLOOKUP($A:$A,CS!$A:$AK,5,FALSE),"")</f>
      </c>
      <c r="E49" s="79">
        <f>IFERROR(VLOOKUP($A:$A,CS!$A:$AK,7,FALSE),"")</f>
      </c>
      <c r="F49" s="79">
        <f>IFERROR(VLOOKUP($A:$A,CS!$A:$AK,8,FALSE),"")</f>
      </c>
      <c r="G49" s="79">
        <f>IFERROR(VLOOKUP($A:$A,CS!$A:$AK,10,FALSE),"")</f>
      </c>
      <c r="H49" s="79">
        <f>IFERROR(VLOOKUP($A:$A,CS!$A:$AK,14,FALSE),"")</f>
      </c>
      <c r="I49" s="79">
        <f>IFERROR(VLOOKUP($A:$A,CS!$A:$AK,15,FALSE),"")</f>
      </c>
      <c r="J49" s="79">
        <f>IFERROR(VLOOKUP($A:$A,CS!$A:$AK,18,FALSE),"")</f>
      </c>
      <c r="K49" s="79">
        <f>IFERROR(VLOOKUP($A:$A,CS!$A:$AK,19,FALSE),"")</f>
      </c>
      <c r="L49" s="79">
        <f>IFERROR(VLOOKUP($A:$A,CS!$A:$AK,20,FALSE),"")</f>
      </c>
      <c r="M49" s="79">
        <f>IFERROR(VLOOKUP($A:$A,CS!$A:$AK,22,FALSE),"")</f>
      </c>
      <c r="N49" s="79">
        <f>IFERROR(VLOOKUP($A:$A,CS!$A:$AK,19,FALSE),"")</f>
      </c>
      <c r="O49" s="79">
        <f>IFERROR(VLOOKUP($A:$A,CS!$A:$AK,23,FALSE),"")</f>
      </c>
      <c r="P49" s="79">
        <f>IFERROR(VLOOKUP($A:$A,CS!$A:$AK,24,FALSE),"")</f>
      </c>
      <c r="Q49" s="79">
        <f>IFERROR(VLOOKUP($A:$A,CS!$A:$AK,25,FALSE),"")</f>
      </c>
      <c r="R49" s="79">
        <f>IFERROR(VLOOKUP($A:$A,CS!$A:$AK,26,FALSE),"")</f>
      </c>
      <c r="S49" s="79">
        <f>IFERROR(VLOOKUP($A:$A,CS!$A:$AK,29,FALSE),"")</f>
      </c>
      <c r="T49" s="79">
        <f>IFERROR(VLOOKUP($A:$A,CS!$A:$AK,33,FALSE),"")</f>
      </c>
      <c r="U49" s="79">
        <f>IFERROR(VLOOKUP($A:$A,CS!$A:$AK,34,FALSE),"")</f>
      </c>
      <c r="V49" s="79">
        <f>IFERROR(VLOOKUP($A:$A,CS!$A:$AK,35,FALSE),"")</f>
      </c>
      <c r="W49" s="79">
        <f>IFERROR(VLOOKUP($A:$A,CS!$A:$AK,36,FALSE),"")</f>
      </c>
    </row>
    <row r="50" ht="16.5" customHeight="1" spans="1:23" x14ac:dyDescent="0.25">
      <c r="A50" s="93"/>
      <c r="B50" s="79">
        <f>IFERROR(VLOOKUP($A:$A,CS!$A:$AK,3,FALSE),"")</f>
      </c>
      <c r="C50" s="79">
        <f>IFERROR(VLOOKUP($A:$A,CS!$A:$AK,4,FALSE),"")</f>
      </c>
      <c r="D50" s="79">
        <f>IFERROR(VLOOKUP($A:$A,CS!$A:$AK,5,FALSE),"")</f>
      </c>
      <c r="E50" s="79">
        <f>IFERROR(VLOOKUP($A:$A,CS!$A:$AK,7,FALSE),"")</f>
      </c>
      <c r="F50" s="79">
        <f>IFERROR(VLOOKUP($A:$A,CS!$A:$AK,8,FALSE),"")</f>
      </c>
      <c r="G50" s="79">
        <f>IFERROR(VLOOKUP($A:$A,CS!$A:$AK,10,FALSE),"")</f>
      </c>
      <c r="H50" s="79">
        <f>IFERROR(VLOOKUP($A:$A,CS!$A:$AK,14,FALSE),"")</f>
      </c>
      <c r="I50" s="79">
        <f>IFERROR(VLOOKUP($A:$A,CS!$A:$AK,15,FALSE),"")</f>
      </c>
      <c r="J50" s="79">
        <f>IFERROR(VLOOKUP($A:$A,CS!$A:$AK,18,FALSE),"")</f>
      </c>
      <c r="K50" s="79">
        <f>IFERROR(VLOOKUP($A:$A,CS!$A:$AK,19,FALSE),"")</f>
      </c>
      <c r="L50" s="79">
        <f>IFERROR(VLOOKUP($A:$A,CS!$A:$AK,20,FALSE),"")</f>
      </c>
      <c r="M50" s="79">
        <f>IFERROR(VLOOKUP($A:$A,CS!$A:$AK,22,FALSE),"")</f>
      </c>
      <c r="N50" s="79">
        <f>IFERROR(VLOOKUP($A:$A,CS!$A:$AK,19,FALSE),"")</f>
      </c>
      <c r="O50" s="79">
        <f>IFERROR(VLOOKUP($A:$A,CS!$A:$AK,23,FALSE),"")</f>
      </c>
      <c r="P50" s="79">
        <f>IFERROR(VLOOKUP($A:$A,CS!$A:$AK,24,FALSE),"")</f>
      </c>
      <c r="Q50" s="79">
        <f>IFERROR(VLOOKUP($A:$A,CS!$A:$AK,25,FALSE),"")</f>
      </c>
      <c r="R50" s="79">
        <f>IFERROR(VLOOKUP($A:$A,CS!$A:$AK,26,FALSE),"")</f>
      </c>
      <c r="S50" s="79">
        <f>IFERROR(VLOOKUP($A:$A,CS!$A:$AK,29,FALSE),"")</f>
      </c>
      <c r="T50" s="79">
        <f>IFERROR(VLOOKUP($A:$A,CS!$A:$AK,33,FALSE),"")</f>
      </c>
      <c r="U50" s="79">
        <f>IFERROR(VLOOKUP($A:$A,CS!$A:$AK,34,FALSE),"")</f>
      </c>
      <c r="V50" s="79">
        <f>IFERROR(VLOOKUP($A:$A,CS!$A:$AK,35,FALSE),"")</f>
      </c>
      <c r="W50" s="79">
        <f>IFERROR(VLOOKUP($A:$A,CS!$A:$AK,36,FALSE),"")</f>
      </c>
    </row>
    <row r="51" ht="16.5" customHeight="1" spans="1:23" x14ac:dyDescent="0.25">
      <c r="A51" s="93"/>
      <c r="B51" s="79">
        <f>IFERROR(VLOOKUP($A:$A,CS!$A:$AK,3,FALSE),"")</f>
      </c>
      <c r="C51" s="79">
        <f>IFERROR(VLOOKUP($A:$A,CS!$A:$AK,4,FALSE),"")</f>
      </c>
      <c r="D51" s="79">
        <f>IFERROR(VLOOKUP($A:$A,CS!$A:$AK,5,FALSE),"")</f>
      </c>
      <c r="E51" s="79">
        <f>IFERROR(VLOOKUP($A:$A,CS!$A:$AK,7,FALSE),"")</f>
      </c>
      <c r="F51" s="79">
        <f>IFERROR(VLOOKUP($A:$A,CS!$A:$AK,8,FALSE),"")</f>
      </c>
      <c r="G51" s="79">
        <f>IFERROR(VLOOKUP($A:$A,CS!$A:$AK,10,FALSE),"")</f>
      </c>
      <c r="H51" s="79">
        <f>IFERROR(VLOOKUP($A:$A,CS!$A:$AK,14,FALSE),"")</f>
      </c>
      <c r="I51" s="79">
        <f>IFERROR(VLOOKUP($A:$A,CS!$A:$AK,15,FALSE),"")</f>
      </c>
      <c r="J51" s="79">
        <f>IFERROR(VLOOKUP($A:$A,CS!$A:$AK,18,FALSE),"")</f>
      </c>
      <c r="K51" s="79">
        <f>IFERROR(VLOOKUP($A:$A,CS!$A:$AK,19,FALSE),"")</f>
      </c>
      <c r="L51" s="79">
        <f>IFERROR(VLOOKUP($A:$A,CS!$A:$AK,20,FALSE),"")</f>
      </c>
      <c r="M51" s="79">
        <f>IFERROR(VLOOKUP($A:$A,CS!$A:$AK,22,FALSE),"")</f>
      </c>
      <c r="N51" s="79">
        <f>IFERROR(VLOOKUP($A:$A,CS!$A:$AK,19,FALSE),"")</f>
      </c>
      <c r="O51" s="79">
        <f>IFERROR(VLOOKUP($A:$A,CS!$A:$AK,23,FALSE),"")</f>
      </c>
      <c r="P51" s="79">
        <f>IFERROR(VLOOKUP($A:$A,CS!$A:$AK,24,FALSE),"")</f>
      </c>
      <c r="Q51" s="79">
        <f>IFERROR(VLOOKUP($A:$A,CS!$A:$AK,25,FALSE),"")</f>
      </c>
      <c r="R51" s="79">
        <f>IFERROR(VLOOKUP($A:$A,CS!$A:$AK,26,FALSE),"")</f>
      </c>
      <c r="S51" s="79">
        <f>IFERROR(VLOOKUP($A:$A,CS!$A:$AK,29,FALSE),"")</f>
      </c>
      <c r="T51" s="79">
        <f>IFERROR(VLOOKUP($A:$A,CS!$A:$AK,33,FALSE),"")</f>
      </c>
      <c r="U51" s="79">
        <f>IFERROR(VLOOKUP($A:$A,CS!$A:$AK,34,FALSE),"")</f>
      </c>
      <c r="V51" s="79">
        <f>IFERROR(VLOOKUP($A:$A,CS!$A:$AK,35,FALSE),"")</f>
      </c>
      <c r="W51" s="79">
        <f>IFERROR(VLOOKUP($A:$A,CS!$A:$AK,36,FALSE),"")</f>
      </c>
    </row>
    <row r="52" ht="16.5" customHeight="1" spans="1:23" x14ac:dyDescent="0.25">
      <c r="A52" s="93"/>
      <c r="B52" s="79">
        <f>IFERROR(VLOOKUP($A:$A,CS!$A:$AK,3,FALSE),"")</f>
      </c>
      <c r="C52" s="79">
        <f>IFERROR(VLOOKUP($A:$A,CS!$A:$AK,4,FALSE),"")</f>
      </c>
      <c r="D52" s="79">
        <f>IFERROR(VLOOKUP($A:$A,CS!$A:$AK,5,FALSE),"")</f>
      </c>
      <c r="E52" s="79">
        <f>IFERROR(VLOOKUP($A:$A,CS!$A:$AK,7,FALSE),"")</f>
      </c>
      <c r="F52" s="79">
        <f>IFERROR(VLOOKUP($A:$A,CS!$A:$AK,8,FALSE),"")</f>
      </c>
      <c r="G52" s="79">
        <f>IFERROR(VLOOKUP($A:$A,CS!$A:$AK,10,FALSE),"")</f>
      </c>
      <c r="H52" s="79">
        <f>IFERROR(VLOOKUP($A:$A,CS!$A:$AK,14,FALSE),"")</f>
      </c>
      <c r="I52" s="79">
        <f>IFERROR(VLOOKUP($A:$A,CS!$A:$AK,15,FALSE),"")</f>
      </c>
      <c r="J52" s="79">
        <f>IFERROR(VLOOKUP($A:$A,CS!$A:$AK,18,FALSE),"")</f>
      </c>
      <c r="K52" s="79">
        <f>IFERROR(VLOOKUP($A:$A,CS!$A:$AK,19,FALSE),"")</f>
      </c>
      <c r="L52" s="79">
        <f>IFERROR(VLOOKUP($A:$A,CS!$A:$AK,20,FALSE),"")</f>
      </c>
      <c r="M52" s="79">
        <f>IFERROR(VLOOKUP($A:$A,CS!$A:$AK,22,FALSE),"")</f>
      </c>
      <c r="N52" s="79">
        <f>IFERROR(VLOOKUP($A:$A,CS!$A:$AK,19,FALSE),"")</f>
      </c>
      <c r="O52" s="79">
        <f>IFERROR(VLOOKUP($A:$A,CS!$A:$AK,23,FALSE),"")</f>
      </c>
      <c r="P52" s="79">
        <f>IFERROR(VLOOKUP($A:$A,CS!$A:$AK,24,FALSE),"")</f>
      </c>
      <c r="Q52" s="79">
        <f>IFERROR(VLOOKUP($A:$A,CS!$A:$AK,25,FALSE),"")</f>
      </c>
      <c r="R52" s="79">
        <f>IFERROR(VLOOKUP($A:$A,CS!$A:$AK,26,FALSE),"")</f>
      </c>
      <c r="S52" s="79">
        <f>IFERROR(VLOOKUP($A:$A,CS!$A:$AK,29,FALSE),"")</f>
      </c>
      <c r="T52" s="79">
        <f>IFERROR(VLOOKUP($A:$A,CS!$A:$AK,33,FALSE),"")</f>
      </c>
      <c r="U52" s="79">
        <f>IFERROR(VLOOKUP($A:$A,CS!$A:$AK,34,FALSE),"")</f>
      </c>
      <c r="V52" s="79">
        <f>IFERROR(VLOOKUP($A:$A,CS!$A:$AK,35,FALSE),"")</f>
      </c>
      <c r="W52" s="79">
        <f>IFERROR(VLOOKUP($A:$A,CS!$A:$AK,36,FALSE),"")</f>
      </c>
    </row>
    <row r="53" ht="16.5" customHeight="1" spans="1:23" x14ac:dyDescent="0.25">
      <c r="A53" s="93"/>
      <c r="B53" s="79">
        <f>IFERROR(VLOOKUP($A:$A,CS!$A:$AK,3,FALSE),"")</f>
      </c>
      <c r="C53" s="79">
        <f>IFERROR(VLOOKUP($A:$A,CS!$A:$AK,4,FALSE),"")</f>
      </c>
      <c r="D53" s="79">
        <f>IFERROR(VLOOKUP($A:$A,CS!$A:$AK,5,FALSE),"")</f>
      </c>
      <c r="E53" s="79">
        <f>IFERROR(VLOOKUP($A:$A,CS!$A:$AK,7,FALSE),"")</f>
      </c>
      <c r="F53" s="79">
        <f>IFERROR(VLOOKUP($A:$A,CS!$A:$AK,8,FALSE),"")</f>
      </c>
      <c r="G53" s="79">
        <f>IFERROR(VLOOKUP($A:$A,CS!$A:$AK,10,FALSE),"")</f>
      </c>
      <c r="H53" s="79">
        <f>IFERROR(VLOOKUP($A:$A,CS!$A:$AK,14,FALSE),"")</f>
      </c>
      <c r="I53" s="79">
        <f>IFERROR(VLOOKUP($A:$A,CS!$A:$AK,15,FALSE),"")</f>
      </c>
      <c r="J53" s="79">
        <f>IFERROR(VLOOKUP($A:$A,CS!$A:$AK,18,FALSE),"")</f>
      </c>
      <c r="K53" s="79">
        <f>IFERROR(VLOOKUP($A:$A,CS!$A:$AK,19,FALSE),"")</f>
      </c>
      <c r="L53" s="79">
        <f>IFERROR(VLOOKUP($A:$A,CS!$A:$AK,20,FALSE),"")</f>
      </c>
      <c r="M53" s="79">
        <f>IFERROR(VLOOKUP($A:$A,CS!$A:$AK,22,FALSE),"")</f>
      </c>
      <c r="N53" s="79">
        <f>IFERROR(VLOOKUP($A:$A,CS!$A:$AK,19,FALSE),"")</f>
      </c>
      <c r="O53" s="79">
        <f>IFERROR(VLOOKUP($A:$A,CS!$A:$AK,23,FALSE),"")</f>
      </c>
      <c r="P53" s="79">
        <f>IFERROR(VLOOKUP($A:$A,CS!$A:$AK,24,FALSE),"")</f>
      </c>
      <c r="Q53" s="79">
        <f>IFERROR(VLOOKUP($A:$A,CS!$A:$AK,25,FALSE),"")</f>
      </c>
      <c r="R53" s="79">
        <f>IFERROR(VLOOKUP($A:$A,CS!$A:$AK,26,FALSE),"")</f>
      </c>
      <c r="S53" s="79">
        <f>IFERROR(VLOOKUP($A:$A,CS!$A:$AK,29,FALSE),"")</f>
      </c>
      <c r="T53" s="79">
        <f>IFERROR(VLOOKUP($A:$A,CS!$A:$AK,33,FALSE),"")</f>
      </c>
      <c r="U53" s="79">
        <f>IFERROR(VLOOKUP($A:$A,CS!$A:$AK,34,FALSE),"")</f>
      </c>
      <c r="V53" s="79">
        <f>IFERROR(VLOOKUP($A:$A,CS!$A:$AK,35,FALSE),"")</f>
      </c>
      <c r="W53" s="79">
        <f>IFERROR(VLOOKUP($A:$A,CS!$A:$AK,36,FALSE),"")</f>
      </c>
    </row>
    <row r="54" ht="16.5" customHeight="1" spans="1:23" x14ac:dyDescent="0.25">
      <c r="A54" s="93"/>
      <c r="B54" s="79">
        <f>IFERROR(VLOOKUP($A:$A,CS!$A:$AK,3,FALSE),"")</f>
      </c>
      <c r="C54" s="79">
        <f>IFERROR(VLOOKUP($A:$A,CS!$A:$AK,4,FALSE),"")</f>
      </c>
      <c r="D54" s="79">
        <f>IFERROR(VLOOKUP($A:$A,CS!$A:$AK,5,FALSE),"")</f>
      </c>
      <c r="E54" s="79">
        <f>IFERROR(VLOOKUP($A:$A,CS!$A:$AK,7,FALSE),"")</f>
      </c>
      <c r="F54" s="79">
        <f>IFERROR(VLOOKUP($A:$A,CS!$A:$AK,8,FALSE),"")</f>
      </c>
      <c r="G54" s="79">
        <f>IFERROR(VLOOKUP($A:$A,CS!$A:$AK,10,FALSE),"")</f>
      </c>
      <c r="H54" s="79">
        <f>IFERROR(VLOOKUP($A:$A,CS!$A:$AK,14,FALSE),"")</f>
      </c>
      <c r="I54" s="79">
        <f>IFERROR(VLOOKUP($A:$A,CS!$A:$AK,15,FALSE),"")</f>
      </c>
      <c r="J54" s="79">
        <f>IFERROR(VLOOKUP($A:$A,CS!$A:$AK,18,FALSE),"")</f>
      </c>
      <c r="K54" s="79">
        <f>IFERROR(VLOOKUP($A:$A,CS!$A:$AK,19,FALSE),"")</f>
      </c>
      <c r="L54" s="79">
        <f>IFERROR(VLOOKUP($A:$A,CS!$A:$AK,20,FALSE),"")</f>
      </c>
      <c r="M54" s="79">
        <f>IFERROR(VLOOKUP($A:$A,CS!$A:$AK,22,FALSE),"")</f>
      </c>
      <c r="N54" s="79">
        <f>IFERROR(VLOOKUP($A:$A,CS!$A:$AK,19,FALSE),"")</f>
      </c>
      <c r="O54" s="79">
        <f>IFERROR(VLOOKUP($A:$A,CS!$A:$AK,23,FALSE),"")</f>
      </c>
      <c r="P54" s="79">
        <f>IFERROR(VLOOKUP($A:$A,CS!$A:$AK,24,FALSE),"")</f>
      </c>
      <c r="Q54" s="79">
        <f>IFERROR(VLOOKUP($A:$A,CS!$A:$AK,25,FALSE),"")</f>
      </c>
      <c r="R54" s="79">
        <f>IFERROR(VLOOKUP($A:$A,CS!$A:$AK,26,FALSE),"")</f>
      </c>
      <c r="S54" s="79">
        <f>IFERROR(VLOOKUP($A:$A,CS!$A:$AK,29,FALSE),"")</f>
      </c>
      <c r="T54" s="79">
        <f>IFERROR(VLOOKUP($A:$A,CS!$A:$AK,33,FALSE),"")</f>
      </c>
      <c r="U54" s="79">
        <f>IFERROR(VLOOKUP($A:$A,CS!$A:$AK,34,FALSE),"")</f>
      </c>
      <c r="V54" s="79">
        <f>IFERROR(VLOOKUP($A:$A,CS!$A:$AK,35,FALSE),"")</f>
      </c>
      <c r="W54" s="79">
        <f>IFERROR(VLOOKUP($A:$A,CS!$A:$AK,36,FALSE),"")</f>
      </c>
    </row>
    <row r="55" ht="16.5" customHeight="1" spans="1:23" x14ac:dyDescent="0.25">
      <c r="A55" s="93"/>
      <c r="B55" s="79">
        <f>IFERROR(VLOOKUP($A:$A,CS!$A:$AK,3,FALSE),"")</f>
      </c>
      <c r="C55" s="79">
        <f>IFERROR(VLOOKUP($A:$A,CS!$A:$AK,4,FALSE),"")</f>
      </c>
      <c r="D55" s="79">
        <f>IFERROR(VLOOKUP($A:$A,CS!$A:$AK,5,FALSE),"")</f>
      </c>
      <c r="E55" s="79">
        <f>IFERROR(VLOOKUP($A:$A,CS!$A:$AK,7,FALSE),"")</f>
      </c>
      <c r="F55" s="79">
        <f>IFERROR(VLOOKUP($A:$A,CS!$A:$AK,8,FALSE),"")</f>
      </c>
      <c r="G55" s="79">
        <f>IFERROR(VLOOKUP($A:$A,CS!$A:$AK,10,FALSE),"")</f>
      </c>
      <c r="H55" s="79">
        <f>IFERROR(VLOOKUP($A:$A,CS!$A:$AK,14,FALSE),"")</f>
      </c>
      <c r="I55" s="79">
        <f>IFERROR(VLOOKUP($A:$A,CS!$A:$AK,15,FALSE),"")</f>
      </c>
      <c r="J55" s="79">
        <f>IFERROR(VLOOKUP($A:$A,CS!$A:$AK,18,FALSE),"")</f>
      </c>
      <c r="K55" s="79">
        <f>IFERROR(VLOOKUP($A:$A,CS!$A:$AK,19,FALSE),"")</f>
      </c>
      <c r="L55" s="79">
        <f>IFERROR(VLOOKUP($A:$A,CS!$A:$AK,20,FALSE),"")</f>
      </c>
      <c r="M55" s="79">
        <f>IFERROR(VLOOKUP($A:$A,CS!$A:$AK,22,FALSE),"")</f>
      </c>
      <c r="N55" s="79">
        <f>IFERROR(VLOOKUP($A:$A,CS!$A:$AK,19,FALSE),"")</f>
      </c>
      <c r="O55" s="79">
        <f>IFERROR(VLOOKUP($A:$A,CS!$A:$AK,23,FALSE),"")</f>
      </c>
      <c r="P55" s="79">
        <f>IFERROR(VLOOKUP($A:$A,CS!$A:$AK,24,FALSE),"")</f>
      </c>
      <c r="Q55" s="79">
        <f>IFERROR(VLOOKUP($A:$A,CS!$A:$AK,25,FALSE),"")</f>
      </c>
      <c r="R55" s="79">
        <f>IFERROR(VLOOKUP($A:$A,CS!$A:$AK,26,FALSE),"")</f>
      </c>
      <c r="S55" s="79">
        <f>IFERROR(VLOOKUP($A:$A,CS!$A:$AK,29,FALSE),"")</f>
      </c>
      <c r="T55" s="79">
        <f>IFERROR(VLOOKUP($A:$A,CS!$A:$AK,33,FALSE),"")</f>
      </c>
      <c r="U55" s="79">
        <f>IFERROR(VLOOKUP($A:$A,CS!$A:$AK,34,FALSE),"")</f>
      </c>
      <c r="V55" s="79">
        <f>IFERROR(VLOOKUP($A:$A,CS!$A:$AK,35,FALSE),"")</f>
      </c>
      <c r="W55" s="79">
        <f>IFERROR(VLOOKUP($A:$A,CS!$A:$AK,36,FALSE),"")</f>
      </c>
    </row>
    <row r="56" ht="16.5" customHeight="1" spans="1:23" x14ac:dyDescent="0.25">
      <c r="A56" s="93"/>
      <c r="B56" s="79">
        <f>IFERROR(VLOOKUP($A:$A,CS!$A:$AK,3,FALSE),"")</f>
      </c>
      <c r="C56" s="79">
        <f>IFERROR(VLOOKUP($A:$A,CS!$A:$AK,4,FALSE),"")</f>
      </c>
      <c r="D56" s="79">
        <f>IFERROR(VLOOKUP($A:$A,CS!$A:$AK,5,FALSE),"")</f>
      </c>
      <c r="E56" s="79">
        <f>IFERROR(VLOOKUP($A:$A,CS!$A:$AK,7,FALSE),"")</f>
      </c>
      <c r="F56" s="79">
        <f>IFERROR(VLOOKUP($A:$A,CS!$A:$AK,8,FALSE),"")</f>
      </c>
      <c r="G56" s="79">
        <f>IFERROR(VLOOKUP($A:$A,CS!$A:$AK,10,FALSE),"")</f>
      </c>
      <c r="H56" s="79">
        <f>IFERROR(VLOOKUP($A:$A,CS!$A:$AK,14,FALSE),"")</f>
      </c>
      <c r="I56" s="79">
        <f>IFERROR(VLOOKUP($A:$A,CS!$A:$AK,15,FALSE),"")</f>
      </c>
      <c r="J56" s="79">
        <f>IFERROR(VLOOKUP($A:$A,CS!$A:$AK,18,FALSE),"")</f>
      </c>
      <c r="K56" s="79">
        <f>IFERROR(VLOOKUP($A:$A,CS!$A:$AK,19,FALSE),"")</f>
      </c>
      <c r="L56" s="79">
        <f>IFERROR(VLOOKUP($A:$A,CS!$A:$AK,20,FALSE),"")</f>
      </c>
      <c r="M56" s="79">
        <f>IFERROR(VLOOKUP($A:$A,CS!$A:$AK,22,FALSE),"")</f>
      </c>
      <c r="N56" s="79">
        <f>IFERROR(VLOOKUP($A:$A,CS!$A:$AK,19,FALSE),"")</f>
      </c>
      <c r="O56" s="79">
        <f>IFERROR(VLOOKUP($A:$A,CS!$A:$AK,23,FALSE),"")</f>
      </c>
      <c r="P56" s="79">
        <f>IFERROR(VLOOKUP($A:$A,CS!$A:$AK,24,FALSE),"")</f>
      </c>
      <c r="Q56" s="79">
        <f>IFERROR(VLOOKUP($A:$A,CS!$A:$AK,25,FALSE),"")</f>
      </c>
      <c r="R56" s="79">
        <f>IFERROR(VLOOKUP($A:$A,CS!$A:$AK,26,FALSE),"")</f>
      </c>
      <c r="S56" s="79">
        <f>IFERROR(VLOOKUP($A:$A,CS!$A:$AK,29,FALSE),"")</f>
      </c>
      <c r="T56" s="79">
        <f>IFERROR(VLOOKUP($A:$A,CS!$A:$AK,33,FALSE),"")</f>
      </c>
      <c r="U56" s="79">
        <f>IFERROR(VLOOKUP($A:$A,CS!$A:$AK,34,FALSE),"")</f>
      </c>
      <c r="V56" s="79">
        <f>IFERROR(VLOOKUP($A:$A,CS!$A:$AK,35,FALSE),"")</f>
      </c>
      <c r="W56" s="79">
        <f>IFERROR(VLOOKUP($A:$A,CS!$A:$AK,36,FALSE),"")</f>
      </c>
    </row>
    <row r="57" ht="16.5" customHeight="1" spans="1:23" x14ac:dyDescent="0.25">
      <c r="A57" s="93"/>
      <c r="B57" s="79">
        <f>IFERROR(VLOOKUP($A:$A,CS!$A:$AK,3,FALSE),"")</f>
      </c>
      <c r="C57" s="79">
        <f>IFERROR(VLOOKUP($A:$A,CS!$A:$AK,4,FALSE),"")</f>
      </c>
      <c r="D57" s="79">
        <f>IFERROR(VLOOKUP($A:$A,CS!$A:$AK,5,FALSE),"")</f>
      </c>
      <c r="E57" s="79">
        <f>IFERROR(VLOOKUP($A:$A,CS!$A:$AK,7,FALSE),"")</f>
      </c>
      <c r="F57" s="79">
        <f>IFERROR(VLOOKUP($A:$A,CS!$A:$AK,8,FALSE),"")</f>
      </c>
      <c r="G57" s="79">
        <f>IFERROR(VLOOKUP($A:$A,CS!$A:$AK,10,FALSE),"")</f>
      </c>
      <c r="H57" s="79">
        <f>IFERROR(VLOOKUP($A:$A,CS!$A:$AK,14,FALSE),"")</f>
      </c>
      <c r="I57" s="79">
        <f>IFERROR(VLOOKUP($A:$A,CS!$A:$AK,15,FALSE),"")</f>
      </c>
      <c r="J57" s="79">
        <f>IFERROR(VLOOKUP($A:$A,CS!$A:$AK,18,FALSE),"")</f>
      </c>
      <c r="K57" s="79">
        <f>IFERROR(VLOOKUP($A:$A,CS!$A:$AK,19,FALSE),"")</f>
      </c>
      <c r="L57" s="79">
        <f>IFERROR(VLOOKUP($A:$A,CS!$A:$AK,20,FALSE),"")</f>
      </c>
      <c r="M57" s="79">
        <f>IFERROR(VLOOKUP($A:$A,CS!$A:$AK,22,FALSE),"")</f>
      </c>
      <c r="N57" s="79">
        <f>IFERROR(VLOOKUP($A:$A,CS!$A:$AK,19,FALSE),"")</f>
      </c>
      <c r="O57" s="79">
        <f>IFERROR(VLOOKUP($A:$A,CS!$A:$AK,23,FALSE),"")</f>
      </c>
      <c r="P57" s="79">
        <f>IFERROR(VLOOKUP($A:$A,CS!$A:$AK,24,FALSE),"")</f>
      </c>
      <c r="Q57" s="79">
        <f>IFERROR(VLOOKUP($A:$A,CS!$A:$AK,25,FALSE),"")</f>
      </c>
      <c r="R57" s="79">
        <f>IFERROR(VLOOKUP($A:$A,CS!$A:$AK,26,FALSE),"")</f>
      </c>
      <c r="S57" s="79">
        <f>IFERROR(VLOOKUP($A:$A,CS!$A:$AK,29,FALSE),"")</f>
      </c>
      <c r="T57" s="79">
        <f>IFERROR(VLOOKUP($A:$A,CS!$A:$AK,33,FALSE),"")</f>
      </c>
      <c r="U57" s="79">
        <f>IFERROR(VLOOKUP($A:$A,CS!$A:$AK,34,FALSE),"")</f>
      </c>
      <c r="V57" s="79">
        <f>IFERROR(VLOOKUP($A:$A,CS!$A:$AK,35,FALSE),"")</f>
      </c>
      <c r="W57" s="79">
        <f>IFERROR(VLOOKUP($A:$A,CS!$A:$AK,36,FALSE),"")</f>
      </c>
    </row>
    <row r="58" ht="16.5" customHeight="1" spans="1:23" x14ac:dyDescent="0.25">
      <c r="A58" s="93"/>
      <c r="B58" s="79">
        <f>IFERROR(VLOOKUP($A:$A,CS!$A:$AK,3,FALSE),"")</f>
      </c>
      <c r="C58" s="79">
        <f>IFERROR(VLOOKUP($A:$A,CS!$A:$AK,4,FALSE),"")</f>
      </c>
      <c r="D58" s="79">
        <f>IFERROR(VLOOKUP($A:$A,CS!$A:$AK,5,FALSE),"")</f>
      </c>
      <c r="E58" s="79">
        <f>IFERROR(VLOOKUP($A:$A,CS!$A:$AK,7,FALSE),"")</f>
      </c>
      <c r="F58" s="79">
        <f>IFERROR(VLOOKUP($A:$A,CS!$A:$AK,8,FALSE),"")</f>
      </c>
      <c r="G58" s="79">
        <f>IFERROR(VLOOKUP($A:$A,CS!$A:$AK,10,FALSE),"")</f>
      </c>
      <c r="H58" s="79">
        <f>IFERROR(VLOOKUP($A:$A,CS!$A:$AK,14,FALSE),"")</f>
      </c>
      <c r="I58" s="79">
        <f>IFERROR(VLOOKUP($A:$A,CS!$A:$AK,15,FALSE),"")</f>
      </c>
      <c r="J58" s="79">
        <f>IFERROR(VLOOKUP($A:$A,CS!$A:$AK,18,FALSE),"")</f>
      </c>
      <c r="K58" s="79">
        <f>IFERROR(VLOOKUP($A:$A,CS!$A:$AK,19,FALSE),"")</f>
      </c>
      <c r="L58" s="79">
        <f>IFERROR(VLOOKUP($A:$A,CS!$A:$AK,20,FALSE),"")</f>
      </c>
      <c r="M58" s="79">
        <f>IFERROR(VLOOKUP($A:$A,CS!$A:$AK,22,FALSE),"")</f>
      </c>
      <c r="N58" s="79">
        <f>IFERROR(VLOOKUP($A:$A,CS!$A:$AK,19,FALSE),"")</f>
      </c>
      <c r="O58" s="79">
        <f>IFERROR(VLOOKUP($A:$A,CS!$A:$AK,23,FALSE),"")</f>
      </c>
      <c r="P58" s="79">
        <f>IFERROR(VLOOKUP($A:$A,CS!$A:$AK,24,FALSE),"")</f>
      </c>
      <c r="Q58" s="79">
        <f>IFERROR(VLOOKUP($A:$A,CS!$A:$AK,25,FALSE),"")</f>
      </c>
      <c r="R58" s="79">
        <f>IFERROR(VLOOKUP($A:$A,CS!$A:$AK,26,FALSE),"")</f>
      </c>
      <c r="S58" s="79">
        <f>IFERROR(VLOOKUP($A:$A,CS!$A:$AK,29,FALSE),"")</f>
      </c>
      <c r="T58" s="79">
        <f>IFERROR(VLOOKUP($A:$A,CS!$A:$AK,33,FALSE),"")</f>
      </c>
      <c r="U58" s="79">
        <f>IFERROR(VLOOKUP($A:$A,CS!$A:$AK,34,FALSE),"")</f>
      </c>
      <c r="V58" s="79">
        <f>IFERROR(VLOOKUP($A:$A,CS!$A:$AK,35,FALSE),"")</f>
      </c>
      <c r="W58" s="79">
        <f>IFERROR(VLOOKUP($A:$A,CS!$A:$AK,36,FALSE),"")</f>
      </c>
    </row>
    <row r="59" ht="16.5" customHeight="1" spans="1:23" x14ac:dyDescent="0.25">
      <c r="A59" s="93"/>
      <c r="B59" s="79">
        <f>IFERROR(VLOOKUP($A:$A,CS!$A:$AK,3,FALSE),"")</f>
      </c>
      <c r="C59" s="79">
        <f>IFERROR(VLOOKUP($A:$A,CS!$A:$AK,4,FALSE),"")</f>
      </c>
      <c r="D59" s="79">
        <f>IFERROR(VLOOKUP($A:$A,CS!$A:$AK,5,FALSE),"")</f>
      </c>
      <c r="E59" s="79">
        <f>IFERROR(VLOOKUP($A:$A,CS!$A:$AK,7,FALSE),"")</f>
      </c>
      <c r="F59" s="79">
        <f>IFERROR(VLOOKUP($A:$A,CS!$A:$AK,8,FALSE),"")</f>
      </c>
      <c r="G59" s="79">
        <f>IFERROR(VLOOKUP($A:$A,CS!$A:$AK,10,FALSE),"")</f>
      </c>
      <c r="H59" s="79">
        <f>IFERROR(VLOOKUP($A:$A,CS!$A:$AK,14,FALSE),"")</f>
      </c>
      <c r="I59" s="79">
        <f>IFERROR(VLOOKUP($A:$A,CS!$A:$AK,15,FALSE),"")</f>
      </c>
      <c r="J59" s="79">
        <f>IFERROR(VLOOKUP($A:$A,CS!$A:$AK,18,FALSE),"")</f>
      </c>
      <c r="K59" s="79">
        <f>IFERROR(VLOOKUP($A:$A,CS!$A:$AK,19,FALSE),"")</f>
      </c>
      <c r="L59" s="79">
        <f>IFERROR(VLOOKUP($A:$A,CS!$A:$AK,20,FALSE),"")</f>
      </c>
      <c r="M59" s="79">
        <f>IFERROR(VLOOKUP($A:$A,CS!$A:$AK,22,FALSE),"")</f>
      </c>
      <c r="N59" s="79">
        <f>IFERROR(VLOOKUP($A:$A,CS!$A:$AK,19,FALSE),"")</f>
      </c>
      <c r="O59" s="79">
        <f>IFERROR(VLOOKUP($A:$A,CS!$A:$AK,23,FALSE),"")</f>
      </c>
      <c r="P59" s="79">
        <f>IFERROR(VLOOKUP($A:$A,CS!$A:$AK,24,FALSE),"")</f>
      </c>
      <c r="Q59" s="79">
        <f>IFERROR(VLOOKUP($A:$A,CS!$A:$AK,25,FALSE),"")</f>
      </c>
      <c r="R59" s="79">
        <f>IFERROR(VLOOKUP($A:$A,CS!$A:$AK,26,FALSE),"")</f>
      </c>
      <c r="S59" s="79">
        <f>IFERROR(VLOOKUP($A:$A,CS!$A:$AK,29,FALSE),"")</f>
      </c>
      <c r="T59" s="79">
        <f>IFERROR(VLOOKUP($A:$A,CS!$A:$AK,33,FALSE),"")</f>
      </c>
      <c r="U59" s="79">
        <f>IFERROR(VLOOKUP($A:$A,CS!$A:$AK,34,FALSE),"")</f>
      </c>
      <c r="V59" s="79">
        <f>IFERROR(VLOOKUP($A:$A,CS!$A:$AK,35,FALSE),"")</f>
      </c>
      <c r="W59" s="79">
        <f>IFERROR(VLOOKUP($A:$A,CS!$A:$AK,36,FALSE),"")</f>
      </c>
    </row>
    <row r="60" ht="16.5" customHeight="1" spans="1:23" x14ac:dyDescent="0.25">
      <c r="A60" s="93"/>
      <c r="B60" s="79">
        <f>IFERROR(VLOOKUP($A:$A,CS!$A:$AK,3,FALSE),"")</f>
      </c>
      <c r="C60" s="79">
        <f>IFERROR(VLOOKUP($A:$A,CS!$A:$AK,4,FALSE),"")</f>
      </c>
      <c r="D60" s="79">
        <f>IFERROR(VLOOKUP($A:$A,CS!$A:$AK,5,FALSE),"")</f>
      </c>
      <c r="E60" s="79">
        <f>IFERROR(VLOOKUP($A:$A,CS!$A:$AK,7,FALSE),"")</f>
      </c>
      <c r="F60" s="79">
        <f>IFERROR(VLOOKUP($A:$A,CS!$A:$AK,8,FALSE),"")</f>
      </c>
      <c r="G60" s="79">
        <f>IFERROR(VLOOKUP($A:$A,CS!$A:$AK,10,FALSE),"")</f>
      </c>
      <c r="H60" s="79">
        <f>IFERROR(VLOOKUP($A:$A,CS!$A:$AK,14,FALSE),"")</f>
      </c>
      <c r="I60" s="79">
        <f>IFERROR(VLOOKUP($A:$A,CS!$A:$AK,15,FALSE),"")</f>
      </c>
      <c r="J60" s="79">
        <f>IFERROR(VLOOKUP($A:$A,CS!$A:$AK,18,FALSE),"")</f>
      </c>
      <c r="K60" s="79">
        <f>IFERROR(VLOOKUP($A:$A,CS!$A:$AK,19,FALSE),"")</f>
      </c>
      <c r="L60" s="79">
        <f>IFERROR(VLOOKUP($A:$A,CS!$A:$AK,20,FALSE),"")</f>
      </c>
      <c r="M60" s="79">
        <f>IFERROR(VLOOKUP($A:$A,CS!$A:$AK,22,FALSE),"")</f>
      </c>
      <c r="N60" s="79">
        <f>IFERROR(VLOOKUP($A:$A,CS!$A:$AK,19,FALSE),"")</f>
      </c>
      <c r="O60" s="79">
        <f>IFERROR(VLOOKUP($A:$A,CS!$A:$AK,23,FALSE),"")</f>
      </c>
      <c r="P60" s="79">
        <f>IFERROR(VLOOKUP($A:$A,CS!$A:$AK,24,FALSE),"")</f>
      </c>
      <c r="Q60" s="79">
        <f>IFERROR(VLOOKUP($A:$A,CS!$A:$AK,25,FALSE),"")</f>
      </c>
      <c r="R60" s="79">
        <f>IFERROR(VLOOKUP($A:$A,CS!$A:$AK,26,FALSE),"")</f>
      </c>
      <c r="S60" s="79">
        <f>IFERROR(VLOOKUP($A:$A,CS!$A:$AK,29,FALSE),"")</f>
      </c>
      <c r="T60" s="79">
        <f>IFERROR(VLOOKUP($A:$A,CS!$A:$AK,33,FALSE),"")</f>
      </c>
      <c r="U60" s="79">
        <f>IFERROR(VLOOKUP($A:$A,CS!$A:$AK,34,FALSE),"")</f>
      </c>
      <c r="V60" s="79">
        <f>IFERROR(VLOOKUP($A:$A,CS!$A:$AK,35,FALSE),"")</f>
      </c>
      <c r="W60" s="79">
        <f>IFERROR(VLOOKUP($A:$A,CS!$A:$AK,36,FALSE),"")</f>
      </c>
    </row>
    <row r="61" ht="16.5" customHeight="1" spans="1:23" x14ac:dyDescent="0.25">
      <c r="A61" s="93"/>
      <c r="B61" s="79">
        <f>IFERROR(VLOOKUP($A:$A,CS!$A:$AK,3,FALSE),"")</f>
      </c>
      <c r="C61" s="79">
        <f>IFERROR(VLOOKUP($A:$A,CS!$A:$AK,4,FALSE),"")</f>
      </c>
      <c r="D61" s="79">
        <f>IFERROR(VLOOKUP($A:$A,CS!$A:$AK,5,FALSE),"")</f>
      </c>
      <c r="E61" s="79">
        <f>IFERROR(VLOOKUP($A:$A,CS!$A:$AK,7,FALSE),"")</f>
      </c>
      <c r="F61" s="79">
        <f>IFERROR(VLOOKUP($A:$A,CS!$A:$AK,8,FALSE),"")</f>
      </c>
      <c r="G61" s="79">
        <f>IFERROR(VLOOKUP($A:$A,CS!$A:$AK,10,FALSE),"")</f>
      </c>
      <c r="H61" s="79">
        <f>IFERROR(VLOOKUP($A:$A,CS!$A:$AK,14,FALSE),"")</f>
      </c>
      <c r="I61" s="79">
        <f>IFERROR(VLOOKUP($A:$A,CS!$A:$AK,15,FALSE),"")</f>
      </c>
      <c r="J61" s="79">
        <f>IFERROR(VLOOKUP($A:$A,CS!$A:$AK,18,FALSE),"")</f>
      </c>
      <c r="K61" s="79">
        <f>IFERROR(VLOOKUP($A:$A,CS!$A:$AK,19,FALSE),"")</f>
      </c>
      <c r="L61" s="79">
        <f>IFERROR(VLOOKUP($A:$A,CS!$A:$AK,20,FALSE),"")</f>
      </c>
      <c r="M61" s="79">
        <f>IFERROR(VLOOKUP($A:$A,CS!$A:$AK,22,FALSE),"")</f>
      </c>
      <c r="N61" s="79">
        <f>IFERROR(VLOOKUP($A:$A,CS!$A:$AK,19,FALSE),"")</f>
      </c>
      <c r="O61" s="79">
        <f>IFERROR(VLOOKUP($A:$A,CS!$A:$AK,23,FALSE),"")</f>
      </c>
      <c r="P61" s="79">
        <f>IFERROR(VLOOKUP($A:$A,CS!$A:$AK,24,FALSE),"")</f>
      </c>
      <c r="Q61" s="79">
        <f>IFERROR(VLOOKUP($A:$A,CS!$A:$AK,25,FALSE),"")</f>
      </c>
      <c r="R61" s="79">
        <f>IFERROR(VLOOKUP($A:$A,CS!$A:$AK,26,FALSE),"")</f>
      </c>
      <c r="S61" s="79">
        <f>IFERROR(VLOOKUP($A:$A,CS!$A:$AK,29,FALSE),"")</f>
      </c>
      <c r="T61" s="79">
        <f>IFERROR(VLOOKUP($A:$A,CS!$A:$AK,33,FALSE),"")</f>
      </c>
      <c r="U61" s="79">
        <f>IFERROR(VLOOKUP($A:$A,CS!$A:$AK,34,FALSE),"")</f>
      </c>
      <c r="V61" s="79">
        <f>IFERROR(VLOOKUP($A:$A,CS!$A:$AK,35,FALSE),"")</f>
      </c>
      <c r="W61" s="79">
        <f>IFERROR(VLOOKUP($A:$A,CS!$A:$AK,36,FALSE),"")</f>
      </c>
    </row>
    <row r="62" ht="16.5" customHeight="1" spans="1:23" x14ac:dyDescent="0.25">
      <c r="A62" s="93"/>
      <c r="B62" s="79">
        <f>IFERROR(VLOOKUP($A:$A,CS!$A:$AK,3,FALSE),"")</f>
      </c>
      <c r="C62" s="79">
        <f>IFERROR(VLOOKUP($A:$A,CS!$A:$AK,4,FALSE),"")</f>
      </c>
      <c r="D62" s="79">
        <f>IFERROR(VLOOKUP($A:$A,CS!$A:$AK,5,FALSE),"")</f>
      </c>
      <c r="E62" s="79">
        <f>IFERROR(VLOOKUP($A:$A,CS!$A:$AK,7,FALSE),"")</f>
      </c>
      <c r="F62" s="79">
        <f>IFERROR(VLOOKUP($A:$A,CS!$A:$AK,8,FALSE),"")</f>
      </c>
      <c r="G62" s="79">
        <f>IFERROR(VLOOKUP($A:$A,CS!$A:$AK,10,FALSE),"")</f>
      </c>
      <c r="H62" s="79">
        <f>IFERROR(VLOOKUP($A:$A,CS!$A:$AK,14,FALSE),"")</f>
      </c>
      <c r="I62" s="79">
        <f>IFERROR(VLOOKUP($A:$A,CS!$A:$AK,15,FALSE),"")</f>
      </c>
      <c r="J62" s="79">
        <f>IFERROR(VLOOKUP($A:$A,CS!$A:$AK,18,FALSE),"")</f>
      </c>
      <c r="K62" s="79">
        <f>IFERROR(VLOOKUP($A:$A,CS!$A:$AK,19,FALSE),"")</f>
      </c>
      <c r="L62" s="79">
        <f>IFERROR(VLOOKUP($A:$A,CS!$A:$AK,20,FALSE),"")</f>
      </c>
      <c r="M62" s="79">
        <f>IFERROR(VLOOKUP($A:$A,CS!$A:$AK,22,FALSE),"")</f>
      </c>
      <c r="N62" s="79">
        <f>IFERROR(VLOOKUP($A:$A,CS!$A:$AK,19,FALSE),"")</f>
      </c>
      <c r="O62" s="79">
        <f>IFERROR(VLOOKUP($A:$A,CS!$A:$AK,23,FALSE),"")</f>
      </c>
      <c r="P62" s="79">
        <f>IFERROR(VLOOKUP($A:$A,CS!$A:$AK,24,FALSE),"")</f>
      </c>
      <c r="Q62" s="79">
        <f>IFERROR(VLOOKUP($A:$A,CS!$A:$AK,25,FALSE),"")</f>
      </c>
      <c r="R62" s="79">
        <f>IFERROR(VLOOKUP($A:$A,CS!$A:$AK,26,FALSE),"")</f>
      </c>
      <c r="S62" s="79">
        <f>IFERROR(VLOOKUP($A:$A,CS!$A:$AK,29,FALSE),"")</f>
      </c>
      <c r="T62" s="79">
        <f>IFERROR(VLOOKUP($A:$A,CS!$A:$AK,33,FALSE),"")</f>
      </c>
      <c r="U62" s="79">
        <f>IFERROR(VLOOKUP($A:$A,CS!$A:$AK,34,FALSE),"")</f>
      </c>
      <c r="V62" s="79">
        <f>IFERROR(VLOOKUP($A:$A,CS!$A:$AK,35,FALSE),"")</f>
      </c>
      <c r="W62" s="79">
        <f>IFERROR(VLOOKUP($A:$A,CS!$A:$AK,36,FALSE),"")</f>
      </c>
    </row>
    <row r="63" ht="16.5" customHeight="1" spans="1:23" x14ac:dyDescent="0.25">
      <c r="A63" s="93"/>
      <c r="B63" s="79">
        <f>IFERROR(VLOOKUP($A:$A,CS!$A:$AK,3,FALSE),"")</f>
      </c>
      <c r="C63" s="79">
        <f>IFERROR(VLOOKUP($A:$A,CS!$A:$AK,4,FALSE),"")</f>
      </c>
      <c r="D63" s="79">
        <f>IFERROR(VLOOKUP($A:$A,CS!$A:$AK,5,FALSE),"")</f>
      </c>
      <c r="E63" s="79">
        <f>IFERROR(VLOOKUP($A:$A,CS!$A:$AK,7,FALSE),"")</f>
      </c>
      <c r="F63" s="79">
        <f>IFERROR(VLOOKUP($A:$A,CS!$A:$AK,8,FALSE),"")</f>
      </c>
      <c r="G63" s="79">
        <f>IFERROR(VLOOKUP($A:$A,CS!$A:$AK,10,FALSE),"")</f>
      </c>
      <c r="H63" s="79">
        <f>IFERROR(VLOOKUP($A:$A,CS!$A:$AK,14,FALSE),"")</f>
      </c>
      <c r="I63" s="79">
        <f>IFERROR(VLOOKUP($A:$A,CS!$A:$AK,15,FALSE),"")</f>
      </c>
      <c r="J63" s="79">
        <f>IFERROR(VLOOKUP($A:$A,CS!$A:$AK,18,FALSE),"")</f>
      </c>
      <c r="K63" s="79">
        <f>IFERROR(VLOOKUP($A:$A,CS!$A:$AK,19,FALSE),"")</f>
      </c>
      <c r="L63" s="79">
        <f>IFERROR(VLOOKUP($A:$A,CS!$A:$AK,20,FALSE),"")</f>
      </c>
      <c r="M63" s="79">
        <f>IFERROR(VLOOKUP($A:$A,CS!$A:$AK,22,FALSE),"")</f>
      </c>
      <c r="N63" s="79">
        <f>IFERROR(VLOOKUP($A:$A,CS!$A:$AK,19,FALSE),"")</f>
      </c>
      <c r="O63" s="79">
        <f>IFERROR(VLOOKUP($A:$A,CS!$A:$AK,23,FALSE),"")</f>
      </c>
      <c r="P63" s="79">
        <f>IFERROR(VLOOKUP($A:$A,CS!$A:$AK,24,FALSE),"")</f>
      </c>
      <c r="Q63" s="79">
        <f>IFERROR(VLOOKUP($A:$A,CS!$A:$AK,25,FALSE),"")</f>
      </c>
      <c r="R63" s="79">
        <f>IFERROR(VLOOKUP($A:$A,CS!$A:$AK,26,FALSE),"")</f>
      </c>
      <c r="S63" s="79">
        <f>IFERROR(VLOOKUP($A:$A,CS!$A:$AK,29,FALSE),"")</f>
      </c>
      <c r="T63" s="79">
        <f>IFERROR(VLOOKUP($A:$A,CS!$A:$AK,33,FALSE),"")</f>
      </c>
      <c r="U63" s="79">
        <f>IFERROR(VLOOKUP($A:$A,CS!$A:$AK,34,FALSE),"")</f>
      </c>
      <c r="V63" s="79">
        <f>IFERROR(VLOOKUP($A:$A,CS!$A:$AK,35,FALSE),"")</f>
      </c>
      <c r="W63" s="79">
        <f>IFERROR(VLOOKUP($A:$A,CS!$A:$AK,36,FALSE),"")</f>
      </c>
    </row>
    <row r="64" ht="16.5" customHeight="1" spans="1:23" x14ac:dyDescent="0.25">
      <c r="A64" s="93"/>
      <c r="B64" s="79">
        <f>IFERROR(VLOOKUP($A:$A,CS!$A:$AK,3,FALSE),"")</f>
      </c>
      <c r="C64" s="79">
        <f>IFERROR(VLOOKUP($A:$A,CS!$A:$AK,4,FALSE),"")</f>
      </c>
      <c r="D64" s="79">
        <f>IFERROR(VLOOKUP($A:$A,CS!$A:$AK,5,FALSE),"")</f>
      </c>
      <c r="E64" s="79">
        <f>IFERROR(VLOOKUP($A:$A,CS!$A:$AK,7,FALSE),"")</f>
      </c>
      <c r="F64" s="79">
        <f>IFERROR(VLOOKUP($A:$A,CS!$A:$AK,8,FALSE),"")</f>
      </c>
      <c r="G64" s="79">
        <f>IFERROR(VLOOKUP($A:$A,CS!$A:$AK,10,FALSE),"")</f>
      </c>
      <c r="H64" s="79">
        <f>IFERROR(VLOOKUP($A:$A,CS!$A:$AK,14,FALSE),"")</f>
      </c>
      <c r="I64" s="79">
        <f>IFERROR(VLOOKUP($A:$A,CS!$A:$AK,15,FALSE),"")</f>
      </c>
      <c r="J64" s="79">
        <f>IFERROR(VLOOKUP($A:$A,CS!$A:$AK,18,FALSE),"")</f>
      </c>
      <c r="K64" s="79">
        <f>IFERROR(VLOOKUP($A:$A,CS!$A:$AK,19,FALSE),"")</f>
      </c>
      <c r="L64" s="79">
        <f>IFERROR(VLOOKUP($A:$A,CS!$A:$AK,20,FALSE),"")</f>
      </c>
      <c r="M64" s="79">
        <f>IFERROR(VLOOKUP($A:$A,CS!$A:$AK,22,FALSE),"")</f>
      </c>
      <c r="N64" s="79">
        <f>IFERROR(VLOOKUP($A:$A,CS!$A:$AK,19,FALSE),"")</f>
      </c>
      <c r="O64" s="79">
        <f>IFERROR(VLOOKUP($A:$A,CS!$A:$AK,23,FALSE),"")</f>
      </c>
      <c r="P64" s="79">
        <f>IFERROR(VLOOKUP($A:$A,CS!$A:$AK,24,FALSE),"")</f>
      </c>
      <c r="Q64" s="79">
        <f>IFERROR(VLOOKUP($A:$A,CS!$A:$AK,25,FALSE),"")</f>
      </c>
      <c r="R64" s="79">
        <f>IFERROR(VLOOKUP($A:$A,CS!$A:$AK,26,FALSE),"")</f>
      </c>
      <c r="S64" s="79">
        <f>IFERROR(VLOOKUP($A:$A,CS!$A:$AK,29,FALSE),"")</f>
      </c>
      <c r="T64" s="79">
        <f>IFERROR(VLOOKUP($A:$A,CS!$A:$AK,33,FALSE),"")</f>
      </c>
      <c r="U64" s="79">
        <f>IFERROR(VLOOKUP($A:$A,CS!$A:$AK,34,FALSE),"")</f>
      </c>
      <c r="V64" s="79">
        <f>IFERROR(VLOOKUP($A:$A,CS!$A:$AK,35,FALSE),"")</f>
      </c>
      <c r="W64" s="79">
        <f>IFERROR(VLOOKUP($A:$A,CS!$A:$AK,36,FALSE),"")</f>
      </c>
    </row>
    <row r="65" ht="16.5" customHeight="1" spans="1:23" x14ac:dyDescent="0.25">
      <c r="A65" s="93"/>
      <c r="B65" s="79">
        <f>IFERROR(VLOOKUP($A:$A,CS!$A:$AK,3,FALSE),"")</f>
      </c>
      <c r="C65" s="79">
        <f>IFERROR(VLOOKUP($A:$A,CS!$A:$AK,4,FALSE),"")</f>
      </c>
      <c r="D65" s="79">
        <f>IFERROR(VLOOKUP($A:$A,CS!$A:$AK,5,FALSE),"")</f>
      </c>
      <c r="E65" s="79">
        <f>IFERROR(VLOOKUP($A:$A,CS!$A:$AK,7,FALSE),"")</f>
      </c>
      <c r="F65" s="79">
        <f>IFERROR(VLOOKUP($A:$A,CS!$A:$AK,8,FALSE),"")</f>
      </c>
      <c r="G65" s="79">
        <f>IFERROR(VLOOKUP($A:$A,CS!$A:$AK,10,FALSE),"")</f>
      </c>
      <c r="H65" s="79">
        <f>IFERROR(VLOOKUP($A:$A,CS!$A:$AK,14,FALSE),"")</f>
      </c>
      <c r="I65" s="79">
        <f>IFERROR(VLOOKUP($A:$A,CS!$A:$AK,15,FALSE),"")</f>
      </c>
      <c r="J65" s="79">
        <f>IFERROR(VLOOKUP($A:$A,CS!$A:$AK,18,FALSE),"")</f>
      </c>
      <c r="K65" s="79">
        <f>IFERROR(VLOOKUP($A:$A,CS!$A:$AK,19,FALSE),"")</f>
      </c>
      <c r="L65" s="79">
        <f>IFERROR(VLOOKUP($A:$A,CS!$A:$AK,20,FALSE),"")</f>
      </c>
      <c r="M65" s="79">
        <f>IFERROR(VLOOKUP($A:$A,CS!$A:$AK,22,FALSE),"")</f>
      </c>
      <c r="N65" s="79">
        <f>IFERROR(VLOOKUP($A:$A,CS!$A:$AK,19,FALSE),"")</f>
      </c>
      <c r="O65" s="79">
        <f>IFERROR(VLOOKUP($A:$A,CS!$A:$AK,23,FALSE),"")</f>
      </c>
      <c r="P65" s="79">
        <f>IFERROR(VLOOKUP($A:$A,CS!$A:$AK,24,FALSE),"")</f>
      </c>
      <c r="Q65" s="79">
        <f>IFERROR(VLOOKUP($A:$A,CS!$A:$AK,25,FALSE),"")</f>
      </c>
      <c r="R65" s="79">
        <f>IFERROR(VLOOKUP($A:$A,CS!$A:$AK,26,FALSE),"")</f>
      </c>
      <c r="S65" s="79">
        <f>IFERROR(VLOOKUP($A:$A,CS!$A:$AK,29,FALSE),"")</f>
      </c>
      <c r="T65" s="79">
        <f>IFERROR(VLOOKUP($A:$A,CS!$A:$AK,33,FALSE),"")</f>
      </c>
      <c r="U65" s="79">
        <f>IFERROR(VLOOKUP($A:$A,CS!$A:$AK,34,FALSE),"")</f>
      </c>
      <c r="V65" s="79">
        <f>IFERROR(VLOOKUP($A:$A,CS!$A:$AK,35,FALSE),"")</f>
      </c>
      <c r="W65" s="79">
        <f>IFERROR(VLOOKUP($A:$A,CS!$A:$AK,36,FALSE),"")</f>
      </c>
    </row>
    <row r="66" ht="16.5" customHeight="1" spans="1:23" x14ac:dyDescent="0.25">
      <c r="A66" s="93"/>
      <c r="B66" s="79">
        <f>IFERROR(VLOOKUP($A:$A,CS!$A:$AK,3,FALSE),"")</f>
      </c>
      <c r="C66" s="79">
        <f>IFERROR(VLOOKUP($A:$A,CS!$A:$AK,4,FALSE),"")</f>
      </c>
      <c r="D66" s="79">
        <f>IFERROR(VLOOKUP($A:$A,CS!$A:$AK,5,FALSE),"")</f>
      </c>
      <c r="E66" s="79">
        <f>IFERROR(VLOOKUP($A:$A,CS!$A:$AK,7,FALSE),"")</f>
      </c>
      <c r="F66" s="79">
        <f>IFERROR(VLOOKUP($A:$A,CS!$A:$AK,8,FALSE),"")</f>
      </c>
      <c r="G66" s="79">
        <f>IFERROR(VLOOKUP($A:$A,CS!$A:$AK,10,FALSE),"")</f>
      </c>
      <c r="H66" s="79">
        <f>IFERROR(VLOOKUP($A:$A,CS!$A:$AK,14,FALSE),"")</f>
      </c>
      <c r="I66" s="79">
        <f>IFERROR(VLOOKUP($A:$A,CS!$A:$AK,15,FALSE),"")</f>
      </c>
      <c r="J66" s="79">
        <f>IFERROR(VLOOKUP($A:$A,CS!$A:$AK,18,FALSE),"")</f>
      </c>
      <c r="K66" s="79">
        <f>IFERROR(VLOOKUP($A:$A,CS!$A:$AK,19,FALSE),"")</f>
      </c>
      <c r="L66" s="79">
        <f>IFERROR(VLOOKUP($A:$A,CS!$A:$AK,20,FALSE),"")</f>
      </c>
      <c r="M66" s="79">
        <f>IFERROR(VLOOKUP($A:$A,CS!$A:$AK,22,FALSE),"")</f>
      </c>
      <c r="N66" s="79">
        <f>IFERROR(VLOOKUP($A:$A,CS!$A:$AK,19,FALSE),"")</f>
      </c>
      <c r="O66" s="79">
        <f>IFERROR(VLOOKUP($A:$A,CS!$A:$AK,23,FALSE),"")</f>
      </c>
      <c r="P66" s="79">
        <f>IFERROR(VLOOKUP($A:$A,CS!$A:$AK,24,FALSE),"")</f>
      </c>
      <c r="Q66" s="79">
        <f>IFERROR(VLOOKUP($A:$A,CS!$A:$AK,25,FALSE),"")</f>
      </c>
      <c r="R66" s="79">
        <f>IFERROR(VLOOKUP($A:$A,CS!$A:$AK,26,FALSE),"")</f>
      </c>
      <c r="S66" s="79">
        <f>IFERROR(VLOOKUP($A:$A,CS!$A:$AK,29,FALSE),"")</f>
      </c>
      <c r="T66" s="79">
        <f>IFERROR(VLOOKUP($A:$A,CS!$A:$AK,33,FALSE),"")</f>
      </c>
      <c r="U66" s="79">
        <f>IFERROR(VLOOKUP($A:$A,CS!$A:$AK,34,FALSE),"")</f>
      </c>
      <c r="V66" s="79">
        <f>IFERROR(VLOOKUP($A:$A,CS!$A:$AK,35,FALSE),"")</f>
      </c>
      <c r="W66" s="79">
        <f>IFERROR(VLOOKUP($A:$A,CS!$A:$AK,36,FALSE),"")</f>
      </c>
    </row>
    <row r="67" ht="16.5" customHeight="1" spans="1:23" x14ac:dyDescent="0.25">
      <c r="A67" s="93"/>
      <c r="B67" s="79">
        <f>IFERROR(VLOOKUP($A:$A,CS!$A:$AK,3,FALSE),"")</f>
      </c>
      <c r="C67" s="79">
        <f>IFERROR(VLOOKUP($A:$A,CS!$A:$AK,4,FALSE),"")</f>
      </c>
      <c r="D67" s="79">
        <f>IFERROR(VLOOKUP($A:$A,CS!$A:$AK,5,FALSE),"")</f>
      </c>
      <c r="E67" s="79">
        <f>IFERROR(VLOOKUP($A:$A,CS!$A:$AK,7,FALSE),"")</f>
      </c>
      <c r="F67" s="79">
        <f>IFERROR(VLOOKUP($A:$A,CS!$A:$AK,8,FALSE),"")</f>
      </c>
      <c r="G67" s="79">
        <f>IFERROR(VLOOKUP($A:$A,CS!$A:$AK,10,FALSE),"")</f>
      </c>
      <c r="H67" s="79">
        <f>IFERROR(VLOOKUP($A:$A,CS!$A:$AK,14,FALSE),"")</f>
      </c>
      <c r="I67" s="79">
        <f>IFERROR(VLOOKUP($A:$A,CS!$A:$AK,15,FALSE),"")</f>
      </c>
      <c r="J67" s="79">
        <f>IFERROR(VLOOKUP($A:$A,CS!$A:$AK,18,FALSE),"")</f>
      </c>
      <c r="K67" s="79">
        <f>IFERROR(VLOOKUP($A:$A,CS!$A:$AK,19,FALSE),"")</f>
      </c>
      <c r="L67" s="79">
        <f>IFERROR(VLOOKUP($A:$A,CS!$A:$AK,20,FALSE),"")</f>
      </c>
      <c r="M67" s="79">
        <f>IFERROR(VLOOKUP($A:$A,CS!$A:$AK,22,FALSE),"")</f>
      </c>
      <c r="N67" s="79">
        <f>IFERROR(VLOOKUP($A:$A,CS!$A:$AK,19,FALSE),"")</f>
      </c>
      <c r="O67" s="79">
        <f>IFERROR(VLOOKUP($A:$A,CS!$A:$AK,23,FALSE),"")</f>
      </c>
      <c r="P67" s="79">
        <f>IFERROR(VLOOKUP($A:$A,CS!$A:$AK,24,FALSE),"")</f>
      </c>
      <c r="Q67" s="79">
        <f>IFERROR(VLOOKUP($A:$A,CS!$A:$AK,25,FALSE),"")</f>
      </c>
      <c r="R67" s="79">
        <f>IFERROR(VLOOKUP($A:$A,CS!$A:$AK,26,FALSE),"")</f>
      </c>
      <c r="S67" s="79">
        <f>IFERROR(VLOOKUP($A:$A,CS!$A:$AK,29,FALSE),"")</f>
      </c>
      <c r="T67" s="79">
        <f>IFERROR(VLOOKUP($A:$A,CS!$A:$AK,33,FALSE),"")</f>
      </c>
      <c r="U67" s="79">
        <f>IFERROR(VLOOKUP($A:$A,CS!$A:$AK,34,FALSE),"")</f>
      </c>
      <c r="V67" s="79">
        <f>IFERROR(VLOOKUP($A:$A,CS!$A:$AK,35,FALSE),"")</f>
      </c>
      <c r="W67" s="79">
        <f>IFERROR(VLOOKUP($A:$A,CS!$A:$AK,36,FALSE),"")</f>
      </c>
    </row>
    <row r="68" ht="16.5" customHeight="1" spans="1:23" x14ac:dyDescent="0.25">
      <c r="A68" s="93"/>
      <c r="B68" s="79">
        <f>IFERROR(VLOOKUP($A:$A,CS!$A:$AK,3,FALSE),"")</f>
      </c>
      <c r="C68" s="79">
        <f>IFERROR(VLOOKUP($A:$A,CS!$A:$AK,4,FALSE),"")</f>
      </c>
      <c r="D68" s="79">
        <f>IFERROR(VLOOKUP($A:$A,CS!$A:$AK,5,FALSE),"")</f>
      </c>
      <c r="E68" s="79">
        <f>IFERROR(VLOOKUP($A:$A,CS!$A:$AK,7,FALSE),"")</f>
      </c>
      <c r="F68" s="79">
        <f>IFERROR(VLOOKUP($A:$A,CS!$A:$AK,8,FALSE),"")</f>
      </c>
      <c r="G68" s="79">
        <f>IFERROR(VLOOKUP($A:$A,CS!$A:$AK,10,FALSE),"")</f>
      </c>
      <c r="H68" s="79">
        <f>IFERROR(VLOOKUP($A:$A,CS!$A:$AK,14,FALSE),"")</f>
      </c>
      <c r="I68" s="79">
        <f>IFERROR(VLOOKUP($A:$A,CS!$A:$AK,15,FALSE),"")</f>
      </c>
      <c r="J68" s="79">
        <f>IFERROR(VLOOKUP($A:$A,CS!$A:$AK,18,FALSE),"")</f>
      </c>
      <c r="K68" s="79">
        <f>IFERROR(VLOOKUP($A:$A,CS!$A:$AK,19,FALSE),"")</f>
      </c>
      <c r="L68" s="79">
        <f>IFERROR(VLOOKUP($A:$A,CS!$A:$AK,20,FALSE),"")</f>
      </c>
      <c r="M68" s="79">
        <f>IFERROR(VLOOKUP($A:$A,CS!$A:$AK,22,FALSE),"")</f>
      </c>
      <c r="N68" s="79">
        <f>IFERROR(VLOOKUP($A:$A,CS!$A:$AK,19,FALSE),"")</f>
      </c>
      <c r="O68" s="79">
        <f>IFERROR(VLOOKUP($A:$A,CS!$A:$AK,23,FALSE),"")</f>
      </c>
      <c r="P68" s="79">
        <f>IFERROR(VLOOKUP($A:$A,CS!$A:$AK,24,FALSE),"")</f>
      </c>
      <c r="Q68" s="79">
        <f>IFERROR(VLOOKUP($A:$A,CS!$A:$AK,25,FALSE),"")</f>
      </c>
      <c r="R68" s="79">
        <f>IFERROR(VLOOKUP($A:$A,CS!$A:$AK,26,FALSE),"")</f>
      </c>
      <c r="S68" s="79">
        <f>IFERROR(VLOOKUP($A:$A,CS!$A:$AK,29,FALSE),"")</f>
      </c>
      <c r="T68" s="79">
        <f>IFERROR(VLOOKUP($A:$A,CS!$A:$AK,33,FALSE),"")</f>
      </c>
      <c r="U68" s="79">
        <f>IFERROR(VLOOKUP($A:$A,CS!$A:$AK,34,FALSE),"")</f>
      </c>
      <c r="V68" s="79">
        <f>IFERROR(VLOOKUP($A:$A,CS!$A:$AK,35,FALSE),"")</f>
      </c>
      <c r="W68" s="79">
        <f>IFERROR(VLOOKUP($A:$A,CS!$A:$AK,36,FALSE),"")</f>
      </c>
    </row>
    <row r="69" ht="16.5" customHeight="1" spans="1:23" x14ac:dyDescent="0.25">
      <c r="A69" s="93"/>
      <c r="B69" s="79">
        <f>IFERROR(VLOOKUP($A:$A,CS!$A:$AK,3,FALSE),"")</f>
      </c>
      <c r="C69" s="79">
        <f>IFERROR(VLOOKUP($A:$A,CS!$A:$AK,4,FALSE),"")</f>
      </c>
      <c r="D69" s="79">
        <f>IFERROR(VLOOKUP($A:$A,CS!$A:$AK,5,FALSE),"")</f>
      </c>
      <c r="E69" s="79">
        <f>IFERROR(VLOOKUP($A:$A,CS!$A:$AK,7,FALSE),"")</f>
      </c>
      <c r="F69" s="79">
        <f>IFERROR(VLOOKUP($A:$A,CS!$A:$AK,8,FALSE),"")</f>
      </c>
      <c r="G69" s="79">
        <f>IFERROR(VLOOKUP($A:$A,CS!$A:$AK,10,FALSE),"")</f>
      </c>
      <c r="H69" s="79">
        <f>IFERROR(VLOOKUP($A:$A,CS!$A:$AK,14,FALSE),"")</f>
      </c>
      <c r="I69" s="79">
        <f>IFERROR(VLOOKUP($A:$A,CS!$A:$AK,15,FALSE),"")</f>
      </c>
      <c r="J69" s="79">
        <f>IFERROR(VLOOKUP($A:$A,CS!$A:$AK,18,FALSE),"")</f>
      </c>
      <c r="K69" s="79">
        <f>IFERROR(VLOOKUP($A:$A,CS!$A:$AK,19,FALSE),"")</f>
      </c>
      <c r="L69" s="79">
        <f>IFERROR(VLOOKUP($A:$A,CS!$A:$AK,20,FALSE),"")</f>
      </c>
      <c r="M69" s="79">
        <f>IFERROR(VLOOKUP($A:$A,CS!$A:$AK,22,FALSE),"")</f>
      </c>
      <c r="N69" s="79">
        <f>IFERROR(VLOOKUP($A:$A,CS!$A:$AK,19,FALSE),"")</f>
      </c>
      <c r="O69" s="79">
        <f>IFERROR(VLOOKUP($A:$A,CS!$A:$AK,23,FALSE),"")</f>
      </c>
      <c r="P69" s="79">
        <f>IFERROR(VLOOKUP($A:$A,CS!$A:$AK,24,FALSE),"")</f>
      </c>
      <c r="Q69" s="79">
        <f>IFERROR(VLOOKUP($A:$A,CS!$A:$AK,25,FALSE),"")</f>
      </c>
      <c r="R69" s="79">
        <f>IFERROR(VLOOKUP($A:$A,CS!$A:$AK,26,FALSE),"")</f>
      </c>
      <c r="S69" s="79">
        <f>IFERROR(VLOOKUP($A:$A,CS!$A:$AK,29,FALSE),"")</f>
      </c>
      <c r="T69" s="79">
        <f>IFERROR(VLOOKUP($A:$A,CS!$A:$AK,33,FALSE),"")</f>
      </c>
      <c r="U69" s="79">
        <f>IFERROR(VLOOKUP($A:$A,CS!$A:$AK,34,FALSE),"")</f>
      </c>
      <c r="V69" s="79">
        <f>IFERROR(VLOOKUP($A:$A,CS!$A:$AK,35,FALSE),"")</f>
      </c>
      <c r="W69" s="79">
        <f>IFERROR(VLOOKUP($A:$A,CS!$A:$AK,36,FALSE),"")</f>
      </c>
    </row>
    <row r="70" ht="16.5" customHeight="1" spans="1:23" x14ac:dyDescent="0.25">
      <c r="A70" s="93"/>
      <c r="B70" s="79">
        <f>IFERROR(VLOOKUP($A:$A,CS!$A:$AK,3,FALSE),"")</f>
      </c>
      <c r="C70" s="79">
        <f>IFERROR(VLOOKUP($A:$A,CS!$A:$AK,4,FALSE),"")</f>
      </c>
      <c r="D70" s="79">
        <f>IFERROR(VLOOKUP($A:$A,CS!$A:$AK,5,FALSE),"")</f>
      </c>
      <c r="E70" s="79">
        <f>IFERROR(VLOOKUP($A:$A,CS!$A:$AK,7,FALSE),"")</f>
      </c>
      <c r="F70" s="79">
        <f>IFERROR(VLOOKUP($A:$A,CS!$A:$AK,8,FALSE),"")</f>
      </c>
      <c r="G70" s="79">
        <f>IFERROR(VLOOKUP($A:$A,CS!$A:$AK,10,FALSE),"")</f>
      </c>
      <c r="H70" s="79">
        <f>IFERROR(VLOOKUP($A:$A,CS!$A:$AK,14,FALSE),"")</f>
      </c>
      <c r="I70" s="79">
        <f>IFERROR(VLOOKUP($A:$A,CS!$A:$AK,15,FALSE),"")</f>
      </c>
      <c r="J70" s="79">
        <f>IFERROR(VLOOKUP($A:$A,CS!$A:$AK,18,FALSE),"")</f>
      </c>
      <c r="K70" s="79">
        <f>IFERROR(VLOOKUP($A:$A,CS!$A:$AK,19,FALSE),"")</f>
      </c>
      <c r="L70" s="79">
        <f>IFERROR(VLOOKUP($A:$A,CS!$A:$AK,20,FALSE),"")</f>
      </c>
      <c r="M70" s="79">
        <f>IFERROR(VLOOKUP($A:$A,CS!$A:$AK,22,FALSE),"")</f>
      </c>
      <c r="N70" s="79">
        <f>IFERROR(VLOOKUP($A:$A,CS!$A:$AK,19,FALSE),"")</f>
      </c>
      <c r="O70" s="79">
        <f>IFERROR(VLOOKUP($A:$A,CS!$A:$AK,23,FALSE),"")</f>
      </c>
      <c r="P70" s="79">
        <f>IFERROR(VLOOKUP($A:$A,CS!$A:$AK,24,FALSE),"")</f>
      </c>
      <c r="Q70" s="79">
        <f>IFERROR(VLOOKUP($A:$A,CS!$A:$AK,25,FALSE),"")</f>
      </c>
      <c r="R70" s="79">
        <f>IFERROR(VLOOKUP($A:$A,CS!$A:$AK,26,FALSE),"")</f>
      </c>
      <c r="S70" s="79">
        <f>IFERROR(VLOOKUP($A:$A,CS!$A:$AK,29,FALSE),"")</f>
      </c>
      <c r="T70" s="79">
        <f>IFERROR(VLOOKUP($A:$A,CS!$A:$AK,33,FALSE),"")</f>
      </c>
      <c r="U70" s="79">
        <f>IFERROR(VLOOKUP($A:$A,CS!$A:$AK,34,FALSE),"")</f>
      </c>
      <c r="V70" s="79">
        <f>IFERROR(VLOOKUP($A:$A,CS!$A:$AK,35,FALSE),"")</f>
      </c>
      <c r="W70" s="79">
        <f>IFERROR(VLOOKUP($A:$A,CS!$A:$AK,36,FALSE),"")</f>
      </c>
    </row>
    <row r="71" ht="16.5" customHeight="1" spans="1:23" x14ac:dyDescent="0.25">
      <c r="A71" s="93"/>
      <c r="B71" s="79">
        <f>IFERROR(VLOOKUP($A:$A,CS!$A:$AK,3,FALSE),"")</f>
      </c>
      <c r="C71" s="79">
        <f>IFERROR(VLOOKUP($A:$A,CS!$A:$AK,4,FALSE),"")</f>
      </c>
      <c r="D71" s="79">
        <f>IFERROR(VLOOKUP($A:$A,CS!$A:$AK,5,FALSE),"")</f>
      </c>
      <c r="E71" s="79">
        <f>IFERROR(VLOOKUP($A:$A,CS!$A:$AK,7,FALSE),"")</f>
      </c>
      <c r="F71" s="79">
        <f>IFERROR(VLOOKUP($A:$A,CS!$A:$AK,8,FALSE),"")</f>
      </c>
      <c r="G71" s="79">
        <f>IFERROR(VLOOKUP($A:$A,CS!$A:$AK,10,FALSE),"")</f>
      </c>
      <c r="H71" s="79">
        <f>IFERROR(VLOOKUP($A:$A,CS!$A:$AK,14,FALSE),"")</f>
      </c>
      <c r="I71" s="79">
        <f>IFERROR(VLOOKUP($A:$A,CS!$A:$AK,15,FALSE),"")</f>
      </c>
      <c r="J71" s="79">
        <f>IFERROR(VLOOKUP($A:$A,CS!$A:$AK,18,FALSE),"")</f>
      </c>
      <c r="K71" s="79">
        <f>IFERROR(VLOOKUP($A:$A,CS!$A:$AK,19,FALSE),"")</f>
      </c>
      <c r="L71" s="79">
        <f>IFERROR(VLOOKUP($A:$A,CS!$A:$AK,20,FALSE),"")</f>
      </c>
      <c r="M71" s="79">
        <f>IFERROR(VLOOKUP($A:$A,CS!$A:$AK,22,FALSE),"")</f>
      </c>
      <c r="N71" s="79">
        <f>IFERROR(VLOOKUP($A:$A,CS!$A:$AK,19,FALSE),"")</f>
      </c>
      <c r="O71" s="79">
        <f>IFERROR(VLOOKUP($A:$A,CS!$A:$AK,23,FALSE),"")</f>
      </c>
      <c r="P71" s="79">
        <f>IFERROR(VLOOKUP($A:$A,CS!$A:$AK,24,FALSE),"")</f>
      </c>
      <c r="Q71" s="79">
        <f>IFERROR(VLOOKUP($A:$A,CS!$A:$AK,25,FALSE),"")</f>
      </c>
      <c r="R71" s="79">
        <f>IFERROR(VLOOKUP($A:$A,CS!$A:$AK,26,FALSE),"")</f>
      </c>
      <c r="S71" s="79">
        <f>IFERROR(VLOOKUP($A:$A,CS!$A:$AK,29,FALSE),"")</f>
      </c>
      <c r="T71" s="79">
        <f>IFERROR(VLOOKUP($A:$A,CS!$A:$AK,33,FALSE),"")</f>
      </c>
      <c r="U71" s="79">
        <f>IFERROR(VLOOKUP($A:$A,CS!$A:$AK,34,FALSE),"")</f>
      </c>
      <c r="V71" s="79">
        <f>IFERROR(VLOOKUP($A:$A,CS!$A:$AK,35,FALSE),"")</f>
      </c>
      <c r="W71" s="79">
        <f>IFERROR(VLOOKUP($A:$A,CS!$A:$AK,36,FALSE),"")</f>
      </c>
    </row>
    <row r="72" ht="16.5" customHeight="1" spans="1:23" x14ac:dyDescent="0.25">
      <c r="A72" s="93"/>
      <c r="B72" s="79">
        <f>IFERROR(VLOOKUP($A:$A,CS!$A:$AK,3,FALSE),"")</f>
      </c>
      <c r="C72" s="79">
        <f>IFERROR(VLOOKUP($A:$A,CS!$A:$AK,4,FALSE),"")</f>
      </c>
      <c r="D72" s="79">
        <f>IFERROR(VLOOKUP($A:$A,CS!$A:$AK,5,FALSE),"")</f>
      </c>
      <c r="E72" s="79">
        <f>IFERROR(VLOOKUP($A:$A,CS!$A:$AK,7,FALSE),"")</f>
      </c>
      <c r="F72" s="79">
        <f>IFERROR(VLOOKUP($A:$A,CS!$A:$AK,8,FALSE),"")</f>
      </c>
      <c r="G72" s="79">
        <f>IFERROR(VLOOKUP($A:$A,CS!$A:$AK,10,FALSE),"")</f>
      </c>
      <c r="H72" s="79">
        <f>IFERROR(VLOOKUP($A:$A,CS!$A:$AK,14,FALSE),"")</f>
      </c>
      <c r="I72" s="79">
        <f>IFERROR(VLOOKUP($A:$A,CS!$A:$AK,15,FALSE),"")</f>
      </c>
      <c r="J72" s="79">
        <f>IFERROR(VLOOKUP($A:$A,CS!$A:$AK,18,FALSE),"")</f>
      </c>
      <c r="K72" s="79">
        <f>IFERROR(VLOOKUP($A:$A,CS!$A:$AK,19,FALSE),"")</f>
      </c>
      <c r="L72" s="79">
        <f>IFERROR(VLOOKUP($A:$A,CS!$A:$AK,20,FALSE),"")</f>
      </c>
      <c r="M72" s="79">
        <f>IFERROR(VLOOKUP($A:$A,CS!$A:$AK,22,FALSE),"")</f>
      </c>
      <c r="N72" s="79">
        <f>IFERROR(VLOOKUP($A:$A,CS!$A:$AK,19,FALSE),"")</f>
      </c>
      <c r="O72" s="79">
        <f>IFERROR(VLOOKUP($A:$A,CS!$A:$AK,23,FALSE),"")</f>
      </c>
      <c r="P72" s="79">
        <f>IFERROR(VLOOKUP($A:$A,CS!$A:$AK,24,FALSE),"")</f>
      </c>
      <c r="Q72" s="79">
        <f>IFERROR(VLOOKUP($A:$A,CS!$A:$AK,25,FALSE),"")</f>
      </c>
      <c r="R72" s="79">
        <f>IFERROR(VLOOKUP($A:$A,CS!$A:$AK,26,FALSE),"")</f>
      </c>
      <c r="S72" s="79">
        <f>IFERROR(VLOOKUP($A:$A,CS!$A:$AK,29,FALSE),"")</f>
      </c>
      <c r="T72" s="79">
        <f>IFERROR(VLOOKUP($A:$A,CS!$A:$AK,33,FALSE),"")</f>
      </c>
      <c r="U72" s="79">
        <f>IFERROR(VLOOKUP($A:$A,CS!$A:$AK,34,FALSE),"")</f>
      </c>
      <c r="V72" s="79">
        <f>IFERROR(VLOOKUP($A:$A,CS!$A:$AK,35,FALSE),"")</f>
      </c>
      <c r="W72" s="79">
        <f>IFERROR(VLOOKUP($A:$A,CS!$A:$AK,36,FALSE),"")</f>
      </c>
    </row>
    <row r="73" ht="16.5" customHeight="1" spans="1:23" x14ac:dyDescent="0.25">
      <c r="A73" s="93"/>
      <c r="B73" s="79">
        <f>IFERROR(VLOOKUP($A:$A,CS!$A:$AK,3,FALSE),"")</f>
      </c>
      <c r="C73" s="79">
        <f>IFERROR(VLOOKUP($A:$A,CS!$A:$AK,4,FALSE),"")</f>
      </c>
      <c r="D73" s="79">
        <f>IFERROR(VLOOKUP($A:$A,CS!$A:$AK,5,FALSE),"")</f>
      </c>
      <c r="E73" s="79">
        <f>IFERROR(VLOOKUP($A:$A,CS!$A:$AK,7,FALSE),"")</f>
      </c>
      <c r="F73" s="79">
        <f>IFERROR(VLOOKUP($A:$A,CS!$A:$AK,8,FALSE),"")</f>
      </c>
      <c r="G73" s="79">
        <f>IFERROR(VLOOKUP($A:$A,CS!$A:$AK,10,FALSE),"")</f>
      </c>
      <c r="H73" s="79">
        <f>IFERROR(VLOOKUP($A:$A,CS!$A:$AK,14,FALSE),"")</f>
      </c>
      <c r="I73" s="79">
        <f>IFERROR(VLOOKUP($A:$A,CS!$A:$AK,15,FALSE),"")</f>
      </c>
      <c r="J73" s="79">
        <f>IFERROR(VLOOKUP($A:$A,CS!$A:$AK,18,FALSE),"")</f>
      </c>
      <c r="K73" s="79">
        <f>IFERROR(VLOOKUP($A:$A,CS!$A:$AK,19,FALSE),"")</f>
      </c>
      <c r="L73" s="79">
        <f>IFERROR(VLOOKUP($A:$A,CS!$A:$AK,20,FALSE),"")</f>
      </c>
      <c r="M73" s="79">
        <f>IFERROR(VLOOKUP($A:$A,CS!$A:$AK,22,FALSE),"")</f>
      </c>
      <c r="N73" s="79">
        <f>IFERROR(VLOOKUP($A:$A,CS!$A:$AK,19,FALSE),"")</f>
      </c>
      <c r="O73" s="79">
        <f>IFERROR(VLOOKUP($A:$A,CS!$A:$AK,23,FALSE),"")</f>
      </c>
      <c r="P73" s="79">
        <f>IFERROR(VLOOKUP($A:$A,CS!$A:$AK,24,FALSE),"")</f>
      </c>
      <c r="Q73" s="79">
        <f>IFERROR(VLOOKUP($A:$A,CS!$A:$AK,25,FALSE),"")</f>
      </c>
      <c r="R73" s="79">
        <f>IFERROR(VLOOKUP($A:$A,CS!$A:$AK,26,FALSE),"")</f>
      </c>
      <c r="S73" s="79">
        <f>IFERROR(VLOOKUP($A:$A,CS!$A:$AK,29,FALSE),"")</f>
      </c>
      <c r="T73" s="79">
        <f>IFERROR(VLOOKUP($A:$A,CS!$A:$AK,33,FALSE),"")</f>
      </c>
      <c r="U73" s="79">
        <f>IFERROR(VLOOKUP($A:$A,CS!$A:$AK,34,FALSE),"")</f>
      </c>
      <c r="V73" s="79">
        <f>IFERROR(VLOOKUP($A:$A,CS!$A:$AK,35,FALSE),"")</f>
      </c>
      <c r="W73" s="79">
        <f>IFERROR(VLOOKUP($A:$A,CS!$A:$AK,36,FALSE),"")</f>
      </c>
    </row>
    <row r="74" ht="16.5" customHeight="1" spans="1:23" x14ac:dyDescent="0.25">
      <c r="A74" s="93"/>
      <c r="B74" s="79">
        <f>IFERROR(VLOOKUP($A:$A,CS!$A:$AK,3,FALSE),"")</f>
      </c>
      <c r="C74" s="79">
        <f>IFERROR(VLOOKUP($A:$A,CS!$A:$AK,4,FALSE),"")</f>
      </c>
      <c r="D74" s="79">
        <f>IFERROR(VLOOKUP($A:$A,CS!$A:$AK,5,FALSE),"")</f>
      </c>
      <c r="E74" s="79">
        <f>IFERROR(VLOOKUP($A:$A,CS!$A:$AK,7,FALSE),"")</f>
      </c>
      <c r="F74" s="79">
        <f>IFERROR(VLOOKUP($A:$A,CS!$A:$AK,8,FALSE),"")</f>
      </c>
      <c r="G74" s="79">
        <f>IFERROR(VLOOKUP($A:$A,CS!$A:$AK,10,FALSE),"")</f>
      </c>
      <c r="H74" s="79">
        <f>IFERROR(VLOOKUP($A:$A,CS!$A:$AK,14,FALSE),"")</f>
      </c>
      <c r="I74" s="79">
        <f>IFERROR(VLOOKUP($A:$A,CS!$A:$AK,15,FALSE),"")</f>
      </c>
      <c r="J74" s="79">
        <f>IFERROR(VLOOKUP($A:$A,CS!$A:$AK,18,FALSE),"")</f>
      </c>
      <c r="K74" s="79">
        <f>IFERROR(VLOOKUP($A:$A,CS!$A:$AK,19,FALSE),"")</f>
      </c>
      <c r="L74" s="79">
        <f>IFERROR(VLOOKUP($A:$A,CS!$A:$AK,20,FALSE),"")</f>
      </c>
      <c r="M74" s="79">
        <f>IFERROR(VLOOKUP($A:$A,CS!$A:$AK,22,FALSE),"")</f>
      </c>
      <c r="N74" s="79">
        <f>IFERROR(VLOOKUP($A:$A,CS!$A:$AK,19,FALSE),"")</f>
      </c>
      <c r="O74" s="79">
        <f>IFERROR(VLOOKUP($A:$A,CS!$A:$AK,23,FALSE),"")</f>
      </c>
      <c r="P74" s="79">
        <f>IFERROR(VLOOKUP($A:$A,CS!$A:$AK,24,FALSE),"")</f>
      </c>
      <c r="Q74" s="79">
        <f>IFERROR(VLOOKUP($A:$A,CS!$A:$AK,25,FALSE),"")</f>
      </c>
      <c r="R74" s="79">
        <f>IFERROR(VLOOKUP($A:$A,CS!$A:$AK,26,FALSE),"")</f>
      </c>
      <c r="S74" s="79">
        <f>IFERROR(VLOOKUP($A:$A,CS!$A:$AK,29,FALSE),"")</f>
      </c>
      <c r="T74" s="79">
        <f>IFERROR(VLOOKUP($A:$A,CS!$A:$AK,33,FALSE),"")</f>
      </c>
      <c r="U74" s="79">
        <f>IFERROR(VLOOKUP($A:$A,CS!$A:$AK,34,FALSE),"")</f>
      </c>
      <c r="V74" s="79">
        <f>IFERROR(VLOOKUP($A:$A,CS!$A:$AK,35,FALSE),"")</f>
      </c>
      <c r="W74" s="79">
        <f>IFERROR(VLOOKUP($A:$A,CS!$A:$AK,36,FALSE),"")</f>
      </c>
    </row>
    <row r="75" ht="16.5" customHeight="1" spans="1:23" x14ac:dyDescent="0.25">
      <c r="A75" s="93"/>
      <c r="B75" s="79">
        <f>IFERROR(VLOOKUP($A:$A,CS!$A:$AK,3,FALSE),"")</f>
      </c>
      <c r="C75" s="79">
        <f>IFERROR(VLOOKUP($A:$A,CS!$A:$AK,4,FALSE),"")</f>
      </c>
      <c r="D75" s="79">
        <f>IFERROR(VLOOKUP($A:$A,CS!$A:$AK,5,FALSE),"")</f>
      </c>
      <c r="E75" s="79">
        <f>IFERROR(VLOOKUP($A:$A,CS!$A:$AK,7,FALSE),"")</f>
      </c>
      <c r="F75" s="79">
        <f>IFERROR(VLOOKUP($A:$A,CS!$A:$AK,8,FALSE),"")</f>
      </c>
      <c r="G75" s="79">
        <f>IFERROR(VLOOKUP($A:$A,CS!$A:$AK,10,FALSE),"")</f>
      </c>
      <c r="H75" s="79">
        <f>IFERROR(VLOOKUP($A:$A,CS!$A:$AK,14,FALSE),"")</f>
      </c>
      <c r="I75" s="79">
        <f>IFERROR(VLOOKUP($A:$A,CS!$A:$AK,15,FALSE),"")</f>
      </c>
      <c r="J75" s="79">
        <f>IFERROR(VLOOKUP($A:$A,CS!$A:$AK,18,FALSE),"")</f>
      </c>
      <c r="K75" s="79">
        <f>IFERROR(VLOOKUP($A:$A,CS!$A:$AK,19,FALSE),"")</f>
      </c>
      <c r="L75" s="79">
        <f>IFERROR(VLOOKUP($A:$A,CS!$A:$AK,20,FALSE),"")</f>
      </c>
      <c r="M75" s="79">
        <f>IFERROR(VLOOKUP($A:$A,CS!$A:$AK,22,FALSE),"")</f>
      </c>
      <c r="N75" s="79">
        <f>IFERROR(VLOOKUP($A:$A,CS!$A:$AK,19,FALSE),"")</f>
      </c>
      <c r="O75" s="79">
        <f>IFERROR(VLOOKUP($A:$A,CS!$A:$AK,23,FALSE),"")</f>
      </c>
      <c r="P75" s="79">
        <f>IFERROR(VLOOKUP($A:$A,CS!$A:$AK,24,FALSE),"")</f>
      </c>
      <c r="Q75" s="79">
        <f>IFERROR(VLOOKUP($A:$A,CS!$A:$AK,25,FALSE),"")</f>
      </c>
      <c r="R75" s="79">
        <f>IFERROR(VLOOKUP($A:$A,CS!$A:$AK,26,FALSE),"")</f>
      </c>
      <c r="S75" s="79">
        <f>IFERROR(VLOOKUP($A:$A,CS!$A:$AK,29,FALSE),"")</f>
      </c>
      <c r="T75" s="79">
        <f>IFERROR(VLOOKUP($A:$A,CS!$A:$AK,33,FALSE),"")</f>
      </c>
      <c r="U75" s="79">
        <f>IFERROR(VLOOKUP($A:$A,CS!$A:$AK,34,FALSE),"")</f>
      </c>
      <c r="V75" s="79">
        <f>IFERROR(VLOOKUP($A:$A,CS!$A:$AK,35,FALSE),"")</f>
      </c>
      <c r="W75" s="79">
        <f>IFERROR(VLOOKUP($A:$A,CS!$A:$AK,36,FALSE),"")</f>
      </c>
    </row>
    <row r="76" ht="16.5" customHeight="1" spans="1:23" x14ac:dyDescent="0.25">
      <c r="A76" s="93"/>
      <c r="B76" s="79">
        <f>IFERROR(VLOOKUP($A:$A,CS!$A:$AK,3,FALSE),"")</f>
      </c>
      <c r="C76" s="79">
        <f>IFERROR(VLOOKUP($A:$A,CS!$A:$AK,4,FALSE),"")</f>
      </c>
      <c r="D76" s="79">
        <f>IFERROR(VLOOKUP($A:$A,CS!$A:$AK,5,FALSE),"")</f>
      </c>
      <c r="E76" s="79">
        <f>IFERROR(VLOOKUP($A:$A,CS!$A:$AK,7,FALSE),"")</f>
      </c>
      <c r="F76" s="79">
        <f>IFERROR(VLOOKUP($A:$A,CS!$A:$AK,8,FALSE),"")</f>
      </c>
      <c r="G76" s="79">
        <f>IFERROR(VLOOKUP($A:$A,CS!$A:$AK,10,FALSE),"")</f>
      </c>
      <c r="H76" s="79">
        <f>IFERROR(VLOOKUP($A:$A,CS!$A:$AK,14,FALSE),"")</f>
      </c>
      <c r="I76" s="79">
        <f>IFERROR(VLOOKUP($A:$A,CS!$A:$AK,15,FALSE),"")</f>
      </c>
      <c r="J76" s="79">
        <f>IFERROR(VLOOKUP($A:$A,CS!$A:$AK,18,FALSE),"")</f>
      </c>
      <c r="K76" s="79">
        <f>IFERROR(VLOOKUP($A:$A,CS!$A:$AK,19,FALSE),"")</f>
      </c>
      <c r="L76" s="79">
        <f>IFERROR(VLOOKUP($A:$A,CS!$A:$AK,20,FALSE),"")</f>
      </c>
      <c r="M76" s="79">
        <f>IFERROR(VLOOKUP($A:$A,CS!$A:$AK,22,FALSE),"")</f>
      </c>
      <c r="N76" s="79">
        <f>IFERROR(VLOOKUP($A:$A,CS!$A:$AK,19,FALSE),"")</f>
      </c>
      <c r="O76" s="79">
        <f>IFERROR(VLOOKUP($A:$A,CS!$A:$AK,23,FALSE),"")</f>
      </c>
      <c r="P76" s="79">
        <f>IFERROR(VLOOKUP($A:$A,CS!$A:$AK,24,FALSE),"")</f>
      </c>
      <c r="Q76" s="79">
        <f>IFERROR(VLOOKUP($A:$A,CS!$A:$AK,25,FALSE),"")</f>
      </c>
      <c r="R76" s="79">
        <f>IFERROR(VLOOKUP($A:$A,CS!$A:$AK,26,FALSE),"")</f>
      </c>
      <c r="S76" s="79">
        <f>IFERROR(VLOOKUP($A:$A,CS!$A:$AK,29,FALSE),"")</f>
      </c>
      <c r="T76" s="79">
        <f>IFERROR(VLOOKUP($A:$A,CS!$A:$AK,33,FALSE),"")</f>
      </c>
      <c r="U76" s="79">
        <f>IFERROR(VLOOKUP($A:$A,CS!$A:$AK,34,FALSE),"")</f>
      </c>
      <c r="V76" s="79">
        <f>IFERROR(VLOOKUP($A:$A,CS!$A:$AK,35,FALSE),"")</f>
      </c>
      <c r="W76" s="79">
        <f>IFERROR(VLOOKUP($A:$A,CS!$A:$AK,36,FALSE),"")</f>
      </c>
    </row>
    <row r="77" ht="16.5" customHeight="1" spans="1:23" x14ac:dyDescent="0.25">
      <c r="A77" s="93"/>
      <c r="B77" s="79">
        <f>IFERROR(VLOOKUP($A:$A,CS!$A:$AK,3,FALSE),"")</f>
      </c>
      <c r="C77" s="79">
        <f>IFERROR(VLOOKUP($A:$A,CS!$A:$AK,4,FALSE),"")</f>
      </c>
      <c r="D77" s="79">
        <f>IFERROR(VLOOKUP($A:$A,CS!$A:$AK,5,FALSE),"")</f>
      </c>
      <c r="E77" s="79">
        <f>IFERROR(VLOOKUP($A:$A,CS!$A:$AK,7,FALSE),"")</f>
      </c>
      <c r="F77" s="79">
        <f>IFERROR(VLOOKUP($A:$A,CS!$A:$AK,8,FALSE),"")</f>
      </c>
      <c r="G77" s="79">
        <f>IFERROR(VLOOKUP($A:$A,CS!$A:$AK,10,FALSE),"")</f>
      </c>
      <c r="H77" s="79">
        <f>IFERROR(VLOOKUP($A:$A,CS!$A:$AK,14,FALSE),"")</f>
      </c>
      <c r="I77" s="79">
        <f>IFERROR(VLOOKUP($A:$A,CS!$A:$AK,15,FALSE),"")</f>
      </c>
      <c r="J77" s="79">
        <f>IFERROR(VLOOKUP($A:$A,CS!$A:$AK,18,FALSE),"")</f>
      </c>
      <c r="K77" s="79">
        <f>IFERROR(VLOOKUP($A:$A,CS!$A:$AK,19,FALSE),"")</f>
      </c>
      <c r="L77" s="79">
        <f>IFERROR(VLOOKUP($A:$A,CS!$A:$AK,20,FALSE),"")</f>
      </c>
      <c r="M77" s="79">
        <f>IFERROR(VLOOKUP($A:$A,CS!$A:$AK,22,FALSE),"")</f>
      </c>
      <c r="N77" s="79">
        <f>IFERROR(VLOOKUP($A:$A,CS!$A:$AK,19,FALSE),"")</f>
      </c>
      <c r="O77" s="79">
        <f>IFERROR(VLOOKUP($A:$A,CS!$A:$AK,23,FALSE),"")</f>
      </c>
      <c r="P77" s="79">
        <f>IFERROR(VLOOKUP($A:$A,CS!$A:$AK,24,FALSE),"")</f>
      </c>
      <c r="Q77" s="79">
        <f>IFERROR(VLOOKUP($A:$A,CS!$A:$AK,25,FALSE),"")</f>
      </c>
      <c r="R77" s="79">
        <f>IFERROR(VLOOKUP($A:$A,CS!$A:$AK,26,FALSE),"")</f>
      </c>
      <c r="S77" s="79">
        <f>IFERROR(VLOOKUP($A:$A,CS!$A:$AK,29,FALSE),"")</f>
      </c>
      <c r="T77" s="79">
        <f>IFERROR(VLOOKUP($A:$A,CS!$A:$AK,33,FALSE),"")</f>
      </c>
      <c r="U77" s="79">
        <f>IFERROR(VLOOKUP($A:$A,CS!$A:$AK,34,FALSE),"")</f>
      </c>
      <c r="V77" s="79">
        <f>IFERROR(VLOOKUP($A:$A,CS!$A:$AK,35,FALSE),"")</f>
      </c>
      <c r="W77" s="79">
        <f>IFERROR(VLOOKUP($A:$A,CS!$A:$AK,36,FALSE),"")</f>
      </c>
    </row>
    <row r="78" ht="16.5" customHeight="1" spans="1:23" x14ac:dyDescent="0.25">
      <c r="A78" s="93"/>
      <c r="B78" s="79">
        <f>IFERROR(VLOOKUP($A:$A,CS!$A:$AK,3,FALSE),"")</f>
      </c>
      <c r="C78" s="79">
        <f>IFERROR(VLOOKUP($A:$A,CS!$A:$AK,4,FALSE),"")</f>
      </c>
      <c r="D78" s="79">
        <f>IFERROR(VLOOKUP($A:$A,CS!$A:$AK,5,FALSE),"")</f>
      </c>
      <c r="E78" s="79">
        <f>IFERROR(VLOOKUP($A:$A,CS!$A:$AK,7,FALSE),"")</f>
      </c>
      <c r="F78" s="79">
        <f>IFERROR(VLOOKUP($A:$A,CS!$A:$AK,8,FALSE),"")</f>
      </c>
      <c r="G78" s="79">
        <f>IFERROR(VLOOKUP($A:$A,CS!$A:$AK,10,FALSE),"")</f>
      </c>
      <c r="H78" s="79">
        <f>IFERROR(VLOOKUP($A:$A,CS!$A:$AK,14,FALSE),"")</f>
      </c>
      <c r="I78" s="79">
        <f>IFERROR(VLOOKUP($A:$A,CS!$A:$AK,15,FALSE),"")</f>
      </c>
      <c r="J78" s="79">
        <f>IFERROR(VLOOKUP($A:$A,CS!$A:$AK,18,FALSE),"")</f>
      </c>
      <c r="K78" s="79">
        <f>IFERROR(VLOOKUP($A:$A,CS!$A:$AK,19,FALSE),"")</f>
      </c>
      <c r="L78" s="79">
        <f>IFERROR(VLOOKUP($A:$A,CS!$A:$AK,20,FALSE),"")</f>
      </c>
      <c r="M78" s="79">
        <f>IFERROR(VLOOKUP($A:$A,CS!$A:$AK,22,FALSE),"")</f>
      </c>
      <c r="N78" s="79">
        <f>IFERROR(VLOOKUP($A:$A,CS!$A:$AK,19,FALSE),"")</f>
      </c>
      <c r="O78" s="79">
        <f>IFERROR(VLOOKUP($A:$A,CS!$A:$AK,23,FALSE),"")</f>
      </c>
      <c r="P78" s="79">
        <f>IFERROR(VLOOKUP($A:$A,CS!$A:$AK,24,FALSE),"")</f>
      </c>
      <c r="Q78" s="79">
        <f>IFERROR(VLOOKUP($A:$A,CS!$A:$AK,25,FALSE),"")</f>
      </c>
      <c r="R78" s="79">
        <f>IFERROR(VLOOKUP($A:$A,CS!$A:$AK,26,FALSE),"")</f>
      </c>
      <c r="S78" s="79">
        <f>IFERROR(VLOOKUP($A:$A,CS!$A:$AK,29,FALSE),"")</f>
      </c>
      <c r="T78" s="79">
        <f>IFERROR(VLOOKUP($A:$A,CS!$A:$AK,33,FALSE),"")</f>
      </c>
      <c r="U78" s="79">
        <f>IFERROR(VLOOKUP($A:$A,CS!$A:$AK,34,FALSE),"")</f>
      </c>
      <c r="V78" s="79">
        <f>IFERROR(VLOOKUP($A:$A,CS!$A:$AK,35,FALSE),"")</f>
      </c>
      <c r="W78" s="79">
        <f>IFERROR(VLOOKUP($A:$A,CS!$A:$AK,36,FALSE),"")</f>
      </c>
    </row>
    <row r="79" ht="16.5" customHeight="1" spans="1:23" x14ac:dyDescent="0.25">
      <c r="A79" s="93"/>
      <c r="B79" s="79">
        <f>IFERROR(VLOOKUP($A:$A,CS!$A:$AK,3,FALSE),"")</f>
      </c>
      <c r="C79" s="79">
        <f>IFERROR(VLOOKUP($A:$A,CS!$A:$AK,4,FALSE),"")</f>
      </c>
      <c r="D79" s="79">
        <f>IFERROR(VLOOKUP($A:$A,CS!$A:$AK,5,FALSE),"")</f>
      </c>
      <c r="E79" s="79">
        <f>IFERROR(VLOOKUP($A:$A,CS!$A:$AK,7,FALSE),"")</f>
      </c>
      <c r="F79" s="79">
        <f>IFERROR(VLOOKUP($A:$A,CS!$A:$AK,8,FALSE),"")</f>
      </c>
      <c r="G79" s="79">
        <f>IFERROR(VLOOKUP($A:$A,CS!$A:$AK,10,FALSE),"")</f>
      </c>
      <c r="H79" s="79">
        <f>IFERROR(VLOOKUP($A:$A,CS!$A:$AK,14,FALSE),"")</f>
      </c>
      <c r="I79" s="79">
        <f>IFERROR(VLOOKUP($A:$A,CS!$A:$AK,15,FALSE),"")</f>
      </c>
      <c r="J79" s="79">
        <f>IFERROR(VLOOKUP($A:$A,CS!$A:$AK,18,FALSE),"")</f>
      </c>
      <c r="K79" s="79">
        <f>IFERROR(VLOOKUP($A:$A,CS!$A:$AK,19,FALSE),"")</f>
      </c>
      <c r="L79" s="79">
        <f>IFERROR(VLOOKUP($A:$A,CS!$A:$AK,20,FALSE),"")</f>
      </c>
      <c r="M79" s="79">
        <f>IFERROR(VLOOKUP($A:$A,CS!$A:$AK,22,FALSE),"")</f>
      </c>
      <c r="N79" s="79">
        <f>IFERROR(VLOOKUP($A:$A,CS!$A:$AK,19,FALSE),"")</f>
      </c>
      <c r="O79" s="79">
        <f>IFERROR(VLOOKUP($A:$A,CS!$A:$AK,23,FALSE),"")</f>
      </c>
      <c r="P79" s="79">
        <f>IFERROR(VLOOKUP($A:$A,CS!$A:$AK,24,FALSE),"")</f>
      </c>
      <c r="Q79" s="79">
        <f>IFERROR(VLOOKUP($A:$A,CS!$A:$AK,25,FALSE),"")</f>
      </c>
      <c r="R79" s="79">
        <f>IFERROR(VLOOKUP($A:$A,CS!$A:$AK,26,FALSE),"")</f>
      </c>
      <c r="S79" s="79">
        <f>IFERROR(VLOOKUP($A:$A,CS!$A:$AK,29,FALSE),"")</f>
      </c>
      <c r="T79" s="79">
        <f>IFERROR(VLOOKUP($A:$A,CS!$A:$AK,33,FALSE),"")</f>
      </c>
      <c r="U79" s="79">
        <f>IFERROR(VLOOKUP($A:$A,CS!$A:$AK,34,FALSE),"")</f>
      </c>
      <c r="V79" s="79">
        <f>IFERROR(VLOOKUP($A:$A,CS!$A:$AK,35,FALSE),"")</f>
      </c>
      <c r="W79" s="79">
        <f>IFERROR(VLOOKUP($A:$A,CS!$A:$AK,36,FALSE),"")</f>
      </c>
    </row>
    <row r="80" ht="16.5" customHeight="1" spans="1:23" x14ac:dyDescent="0.25">
      <c r="A80" s="93"/>
      <c r="B80" s="79">
        <f>IFERROR(VLOOKUP($A:$A,CS!$A:$AK,3,FALSE),"")</f>
      </c>
      <c r="C80" s="79">
        <f>IFERROR(VLOOKUP($A:$A,CS!$A:$AK,4,FALSE),"")</f>
      </c>
      <c r="D80" s="79">
        <f>IFERROR(VLOOKUP($A:$A,CS!$A:$AK,5,FALSE),"")</f>
      </c>
      <c r="E80" s="79">
        <f>IFERROR(VLOOKUP($A:$A,CS!$A:$AK,7,FALSE),"")</f>
      </c>
      <c r="F80" s="79">
        <f>IFERROR(VLOOKUP($A:$A,CS!$A:$AK,8,FALSE),"")</f>
      </c>
      <c r="G80" s="79">
        <f>IFERROR(VLOOKUP($A:$A,CS!$A:$AK,10,FALSE),"")</f>
      </c>
      <c r="H80" s="79">
        <f>IFERROR(VLOOKUP($A:$A,CS!$A:$AK,14,FALSE),"")</f>
      </c>
      <c r="I80" s="79">
        <f>IFERROR(VLOOKUP($A:$A,CS!$A:$AK,15,FALSE),"")</f>
      </c>
      <c r="J80" s="79">
        <f>IFERROR(VLOOKUP($A:$A,CS!$A:$AK,18,FALSE),"")</f>
      </c>
      <c r="K80" s="79">
        <f>IFERROR(VLOOKUP($A:$A,CS!$A:$AK,19,FALSE),"")</f>
      </c>
      <c r="L80" s="79">
        <f>IFERROR(VLOOKUP($A:$A,CS!$A:$AK,20,FALSE),"")</f>
      </c>
      <c r="M80" s="79">
        <f>IFERROR(VLOOKUP($A:$A,CS!$A:$AK,22,FALSE),"")</f>
      </c>
      <c r="N80" s="79">
        <f>IFERROR(VLOOKUP($A:$A,CS!$A:$AK,19,FALSE),"")</f>
      </c>
      <c r="O80" s="79">
        <f>IFERROR(VLOOKUP($A:$A,CS!$A:$AK,23,FALSE),"")</f>
      </c>
      <c r="P80" s="79">
        <f>IFERROR(VLOOKUP($A:$A,CS!$A:$AK,24,FALSE),"")</f>
      </c>
      <c r="Q80" s="79">
        <f>IFERROR(VLOOKUP($A:$A,CS!$A:$AK,25,FALSE),"")</f>
      </c>
      <c r="R80" s="79">
        <f>IFERROR(VLOOKUP($A:$A,CS!$A:$AK,26,FALSE),"")</f>
      </c>
      <c r="S80" s="79">
        <f>IFERROR(VLOOKUP($A:$A,CS!$A:$AK,29,FALSE),"")</f>
      </c>
      <c r="T80" s="79">
        <f>IFERROR(VLOOKUP($A:$A,CS!$A:$AK,33,FALSE),"")</f>
      </c>
      <c r="U80" s="79">
        <f>IFERROR(VLOOKUP($A:$A,CS!$A:$AK,34,FALSE),"")</f>
      </c>
      <c r="V80" s="79">
        <f>IFERROR(VLOOKUP($A:$A,CS!$A:$AK,35,FALSE),"")</f>
      </c>
      <c r="W80" s="79">
        <f>IFERROR(VLOOKUP($A:$A,CS!$A:$AK,36,FALSE),"")</f>
      </c>
    </row>
    <row r="81" ht="16.5" customHeight="1" spans="1:23" x14ac:dyDescent="0.25">
      <c r="A81" s="93"/>
      <c r="B81" s="79">
        <f>IFERROR(VLOOKUP($A:$A,CS!$A:$AK,3,FALSE),"")</f>
      </c>
      <c r="C81" s="79">
        <f>IFERROR(VLOOKUP($A:$A,CS!$A:$AK,4,FALSE),"")</f>
      </c>
      <c r="D81" s="79">
        <f>IFERROR(VLOOKUP($A:$A,CS!$A:$AK,5,FALSE),"")</f>
      </c>
      <c r="E81" s="79">
        <f>IFERROR(VLOOKUP($A:$A,CS!$A:$AK,7,FALSE),"")</f>
      </c>
      <c r="F81" s="79">
        <f>IFERROR(VLOOKUP($A:$A,CS!$A:$AK,8,FALSE),"")</f>
      </c>
      <c r="G81" s="79">
        <f>IFERROR(VLOOKUP($A:$A,CS!$A:$AK,10,FALSE),"")</f>
      </c>
      <c r="H81" s="79">
        <f>IFERROR(VLOOKUP($A:$A,CS!$A:$AK,14,FALSE),"")</f>
      </c>
      <c r="I81" s="79">
        <f>IFERROR(VLOOKUP($A:$A,CS!$A:$AK,15,FALSE),"")</f>
      </c>
      <c r="J81" s="79">
        <f>IFERROR(VLOOKUP($A:$A,CS!$A:$AK,18,FALSE),"")</f>
      </c>
      <c r="K81" s="79">
        <f>IFERROR(VLOOKUP($A:$A,CS!$A:$AK,19,FALSE),"")</f>
      </c>
      <c r="L81" s="79">
        <f>IFERROR(VLOOKUP($A:$A,CS!$A:$AK,20,FALSE),"")</f>
      </c>
      <c r="M81" s="79">
        <f>IFERROR(VLOOKUP($A:$A,CS!$A:$AK,22,FALSE),"")</f>
      </c>
      <c r="N81" s="79">
        <f>IFERROR(VLOOKUP($A:$A,CS!$A:$AK,19,FALSE),"")</f>
      </c>
      <c r="O81" s="79">
        <f>IFERROR(VLOOKUP($A:$A,CS!$A:$AK,23,FALSE),"")</f>
      </c>
      <c r="P81" s="79">
        <f>IFERROR(VLOOKUP($A:$A,CS!$A:$AK,24,FALSE),"")</f>
      </c>
      <c r="Q81" s="79">
        <f>IFERROR(VLOOKUP($A:$A,CS!$A:$AK,25,FALSE),"")</f>
      </c>
      <c r="R81" s="79">
        <f>IFERROR(VLOOKUP($A:$A,CS!$A:$AK,26,FALSE),"")</f>
      </c>
      <c r="S81" s="79">
        <f>IFERROR(VLOOKUP($A:$A,CS!$A:$AK,29,FALSE),"")</f>
      </c>
      <c r="T81" s="79">
        <f>IFERROR(VLOOKUP($A:$A,CS!$A:$AK,33,FALSE),"")</f>
      </c>
      <c r="U81" s="79">
        <f>IFERROR(VLOOKUP($A:$A,CS!$A:$AK,34,FALSE),"")</f>
      </c>
      <c r="V81" s="79">
        <f>IFERROR(VLOOKUP($A:$A,CS!$A:$AK,35,FALSE),"")</f>
      </c>
      <c r="W81" s="79">
        <f>IFERROR(VLOOKUP($A:$A,CS!$A:$AK,36,FALSE),"")</f>
      </c>
    </row>
    <row r="82" ht="16.5" customHeight="1" spans="1:23" x14ac:dyDescent="0.25">
      <c r="A82" s="93"/>
      <c r="B82" s="79">
        <f>IFERROR(VLOOKUP($A:$A,CS!$A:$AK,3,FALSE),"")</f>
      </c>
      <c r="C82" s="79">
        <f>IFERROR(VLOOKUP($A:$A,CS!$A:$AK,4,FALSE),"")</f>
      </c>
      <c r="D82" s="79">
        <f>IFERROR(VLOOKUP($A:$A,CS!$A:$AK,5,FALSE),"")</f>
      </c>
      <c r="E82" s="79">
        <f>IFERROR(VLOOKUP($A:$A,CS!$A:$AK,7,FALSE),"")</f>
      </c>
      <c r="F82" s="79">
        <f>IFERROR(VLOOKUP($A:$A,CS!$A:$AK,8,FALSE),"")</f>
      </c>
      <c r="G82" s="79">
        <f>IFERROR(VLOOKUP($A:$A,CS!$A:$AK,10,FALSE),"")</f>
      </c>
      <c r="H82" s="79">
        <f>IFERROR(VLOOKUP($A:$A,CS!$A:$AK,14,FALSE),"")</f>
      </c>
      <c r="I82" s="79">
        <f>IFERROR(VLOOKUP($A:$A,CS!$A:$AK,15,FALSE),"")</f>
      </c>
      <c r="J82" s="79">
        <f>IFERROR(VLOOKUP($A:$A,CS!$A:$AK,18,FALSE),"")</f>
      </c>
      <c r="K82" s="79">
        <f>IFERROR(VLOOKUP($A:$A,CS!$A:$AK,19,FALSE),"")</f>
      </c>
      <c r="L82" s="79">
        <f>IFERROR(VLOOKUP($A:$A,CS!$A:$AK,20,FALSE),"")</f>
      </c>
      <c r="M82" s="79">
        <f>IFERROR(VLOOKUP($A:$A,CS!$A:$AK,22,FALSE),"")</f>
      </c>
      <c r="N82" s="79">
        <f>IFERROR(VLOOKUP($A:$A,CS!$A:$AK,19,FALSE),"")</f>
      </c>
      <c r="O82" s="79">
        <f>IFERROR(VLOOKUP($A:$A,CS!$A:$AK,23,FALSE),"")</f>
      </c>
      <c r="P82" s="79">
        <f>IFERROR(VLOOKUP($A:$A,CS!$A:$AK,24,FALSE),"")</f>
      </c>
      <c r="Q82" s="79">
        <f>IFERROR(VLOOKUP($A:$A,CS!$A:$AK,25,FALSE),"")</f>
      </c>
      <c r="R82" s="79">
        <f>IFERROR(VLOOKUP($A:$A,CS!$A:$AK,26,FALSE),"")</f>
      </c>
      <c r="S82" s="79">
        <f>IFERROR(VLOOKUP($A:$A,CS!$A:$AK,29,FALSE),"")</f>
      </c>
      <c r="T82" s="79">
        <f>IFERROR(VLOOKUP($A:$A,CS!$A:$AK,33,FALSE),"")</f>
      </c>
      <c r="U82" s="79">
        <f>IFERROR(VLOOKUP($A:$A,CS!$A:$AK,34,FALSE),"")</f>
      </c>
      <c r="V82" s="79">
        <f>IFERROR(VLOOKUP($A:$A,CS!$A:$AK,35,FALSE),"")</f>
      </c>
      <c r="W82" s="79">
        <f>IFERROR(VLOOKUP($A:$A,CS!$A:$AK,36,FALSE),"")</f>
      </c>
    </row>
    <row r="83" ht="16.5" customHeight="1" spans="1:23" x14ac:dyDescent="0.25">
      <c r="A83" s="93"/>
      <c r="B83" s="79">
        <f>IFERROR(VLOOKUP($A:$A,CS!$A:$AK,3,FALSE),"")</f>
      </c>
      <c r="C83" s="79">
        <f>IFERROR(VLOOKUP($A:$A,CS!$A:$AK,4,FALSE),"")</f>
      </c>
      <c r="D83" s="79">
        <f>IFERROR(VLOOKUP($A:$A,CS!$A:$AK,5,FALSE),"")</f>
      </c>
      <c r="E83" s="79">
        <f>IFERROR(VLOOKUP($A:$A,CS!$A:$AK,7,FALSE),"")</f>
      </c>
      <c r="F83" s="79">
        <f>IFERROR(VLOOKUP($A:$A,CS!$A:$AK,8,FALSE),"")</f>
      </c>
      <c r="G83" s="79">
        <f>IFERROR(VLOOKUP($A:$A,CS!$A:$AK,10,FALSE),"")</f>
      </c>
      <c r="H83" s="79">
        <f>IFERROR(VLOOKUP($A:$A,CS!$A:$AK,14,FALSE),"")</f>
      </c>
      <c r="I83" s="79">
        <f>IFERROR(VLOOKUP($A:$A,CS!$A:$AK,15,FALSE),"")</f>
      </c>
      <c r="J83" s="79">
        <f>IFERROR(VLOOKUP($A:$A,CS!$A:$AK,18,FALSE),"")</f>
      </c>
      <c r="K83" s="79">
        <f>IFERROR(VLOOKUP($A:$A,CS!$A:$AK,19,FALSE),"")</f>
      </c>
      <c r="L83" s="79">
        <f>IFERROR(VLOOKUP($A:$A,CS!$A:$AK,20,FALSE),"")</f>
      </c>
      <c r="M83" s="79">
        <f>IFERROR(VLOOKUP($A:$A,CS!$A:$AK,22,FALSE),"")</f>
      </c>
      <c r="N83" s="79">
        <f>IFERROR(VLOOKUP($A:$A,CS!$A:$AK,19,FALSE),"")</f>
      </c>
      <c r="O83" s="79">
        <f>IFERROR(VLOOKUP($A:$A,CS!$A:$AK,23,FALSE),"")</f>
      </c>
      <c r="P83" s="79">
        <f>IFERROR(VLOOKUP($A:$A,CS!$A:$AK,24,FALSE),"")</f>
      </c>
      <c r="Q83" s="79">
        <f>IFERROR(VLOOKUP($A:$A,CS!$A:$AK,25,FALSE),"")</f>
      </c>
      <c r="R83" s="79">
        <f>IFERROR(VLOOKUP($A:$A,CS!$A:$AK,26,FALSE),"")</f>
      </c>
      <c r="S83" s="79">
        <f>IFERROR(VLOOKUP($A:$A,CS!$A:$AK,29,FALSE),"")</f>
      </c>
      <c r="T83" s="79">
        <f>IFERROR(VLOOKUP($A:$A,CS!$A:$AK,33,FALSE),"")</f>
      </c>
      <c r="U83" s="79">
        <f>IFERROR(VLOOKUP($A:$A,CS!$A:$AK,34,FALSE),"")</f>
      </c>
      <c r="V83" s="79">
        <f>IFERROR(VLOOKUP($A:$A,CS!$A:$AK,35,FALSE),"")</f>
      </c>
      <c r="W83" s="79">
        <f>IFERROR(VLOOKUP($A:$A,CS!$A:$AK,36,FALSE),"")</f>
      </c>
    </row>
    <row r="84" ht="16.5" customHeight="1" spans="1:23" x14ac:dyDescent="0.25">
      <c r="A84" s="93"/>
      <c r="B84" s="79">
        <f>IFERROR(VLOOKUP($A:$A,CS!$A:$AK,3,FALSE),"")</f>
      </c>
      <c r="C84" s="79">
        <f>IFERROR(VLOOKUP($A:$A,CS!$A:$AK,4,FALSE),"")</f>
      </c>
      <c r="D84" s="79">
        <f>IFERROR(VLOOKUP($A:$A,CS!$A:$AK,5,FALSE),"")</f>
      </c>
      <c r="E84" s="79">
        <f>IFERROR(VLOOKUP($A:$A,CS!$A:$AK,7,FALSE),"")</f>
      </c>
      <c r="F84" s="79">
        <f>IFERROR(VLOOKUP($A:$A,CS!$A:$AK,8,FALSE),"")</f>
      </c>
      <c r="G84" s="79">
        <f>IFERROR(VLOOKUP($A:$A,CS!$A:$AK,10,FALSE),"")</f>
      </c>
      <c r="H84" s="79">
        <f>IFERROR(VLOOKUP($A:$A,CS!$A:$AK,14,FALSE),"")</f>
      </c>
      <c r="I84" s="79">
        <f>IFERROR(VLOOKUP($A:$A,CS!$A:$AK,15,FALSE),"")</f>
      </c>
      <c r="J84" s="79">
        <f>IFERROR(VLOOKUP($A:$A,CS!$A:$AK,18,FALSE),"")</f>
      </c>
      <c r="K84" s="79">
        <f>IFERROR(VLOOKUP($A:$A,CS!$A:$AK,19,FALSE),"")</f>
      </c>
      <c r="L84" s="79">
        <f>IFERROR(VLOOKUP($A:$A,CS!$A:$AK,20,FALSE),"")</f>
      </c>
      <c r="M84" s="79">
        <f>IFERROR(VLOOKUP($A:$A,CS!$A:$AK,22,FALSE),"")</f>
      </c>
      <c r="N84" s="79">
        <f>IFERROR(VLOOKUP($A:$A,CS!$A:$AK,19,FALSE),"")</f>
      </c>
      <c r="O84" s="79">
        <f>IFERROR(VLOOKUP($A:$A,CS!$A:$AK,23,FALSE),"")</f>
      </c>
      <c r="P84" s="79">
        <f>IFERROR(VLOOKUP($A:$A,CS!$A:$AK,24,FALSE),"")</f>
      </c>
      <c r="Q84" s="79">
        <f>IFERROR(VLOOKUP($A:$A,CS!$A:$AK,25,FALSE),"")</f>
      </c>
      <c r="R84" s="79">
        <f>IFERROR(VLOOKUP($A:$A,CS!$A:$AK,26,FALSE),"")</f>
      </c>
      <c r="S84" s="79">
        <f>IFERROR(VLOOKUP($A:$A,CS!$A:$AK,29,FALSE),"")</f>
      </c>
      <c r="T84" s="79">
        <f>IFERROR(VLOOKUP($A:$A,CS!$A:$AK,33,FALSE),"")</f>
      </c>
      <c r="U84" s="79">
        <f>IFERROR(VLOOKUP($A:$A,CS!$A:$AK,34,FALSE),"")</f>
      </c>
      <c r="V84" s="79">
        <f>IFERROR(VLOOKUP($A:$A,CS!$A:$AK,35,FALSE),"")</f>
      </c>
      <c r="W84" s="79">
        <f>IFERROR(VLOOKUP($A:$A,CS!$A:$AK,36,FALSE),"")</f>
      </c>
    </row>
    <row r="85" ht="16.5" customHeight="1" spans="1:23" x14ac:dyDescent="0.25">
      <c r="A85" s="93"/>
      <c r="B85" s="79">
        <f>IFERROR(VLOOKUP($A:$A,CS!$A:$AK,3,FALSE),"")</f>
      </c>
      <c r="C85" s="79">
        <f>IFERROR(VLOOKUP($A:$A,CS!$A:$AK,4,FALSE),"")</f>
      </c>
      <c r="D85" s="79">
        <f>IFERROR(VLOOKUP($A:$A,CS!$A:$AK,5,FALSE),"")</f>
      </c>
      <c r="E85" s="79">
        <f>IFERROR(VLOOKUP($A:$A,CS!$A:$AK,7,FALSE),"")</f>
      </c>
      <c r="F85" s="79">
        <f>IFERROR(VLOOKUP($A:$A,CS!$A:$AK,8,FALSE),"")</f>
      </c>
      <c r="G85" s="79">
        <f>IFERROR(VLOOKUP($A:$A,CS!$A:$AK,10,FALSE),"")</f>
      </c>
      <c r="H85" s="79">
        <f>IFERROR(VLOOKUP($A:$A,CS!$A:$AK,14,FALSE),"")</f>
      </c>
      <c r="I85" s="79">
        <f>IFERROR(VLOOKUP($A:$A,CS!$A:$AK,15,FALSE),"")</f>
      </c>
      <c r="J85" s="79">
        <f>IFERROR(VLOOKUP($A:$A,CS!$A:$AK,18,FALSE),"")</f>
      </c>
      <c r="K85" s="79">
        <f>IFERROR(VLOOKUP($A:$A,CS!$A:$AK,19,FALSE),"")</f>
      </c>
      <c r="L85" s="79">
        <f>IFERROR(VLOOKUP($A:$A,CS!$A:$AK,20,FALSE),"")</f>
      </c>
      <c r="M85" s="79">
        <f>IFERROR(VLOOKUP($A:$A,CS!$A:$AK,22,FALSE),"")</f>
      </c>
      <c r="N85" s="79">
        <f>IFERROR(VLOOKUP($A:$A,CS!$A:$AK,19,FALSE),"")</f>
      </c>
      <c r="O85" s="79">
        <f>IFERROR(VLOOKUP($A:$A,CS!$A:$AK,23,FALSE),"")</f>
      </c>
      <c r="P85" s="79">
        <f>IFERROR(VLOOKUP($A:$A,CS!$A:$AK,24,FALSE),"")</f>
      </c>
      <c r="Q85" s="79">
        <f>IFERROR(VLOOKUP($A:$A,CS!$A:$AK,25,FALSE),"")</f>
      </c>
      <c r="R85" s="79">
        <f>IFERROR(VLOOKUP($A:$A,CS!$A:$AK,26,FALSE),"")</f>
      </c>
      <c r="S85" s="79">
        <f>IFERROR(VLOOKUP($A:$A,CS!$A:$AK,29,FALSE),"")</f>
      </c>
      <c r="T85" s="79">
        <f>IFERROR(VLOOKUP($A:$A,CS!$A:$AK,33,FALSE),"")</f>
      </c>
      <c r="U85" s="79">
        <f>IFERROR(VLOOKUP($A:$A,CS!$A:$AK,34,FALSE),"")</f>
      </c>
      <c r="V85" s="79">
        <f>IFERROR(VLOOKUP($A:$A,CS!$A:$AK,35,FALSE),"")</f>
      </c>
      <c r="W85" s="79">
        <f>IFERROR(VLOOKUP($A:$A,CS!$A:$AK,36,FALSE),"")</f>
      </c>
    </row>
    <row r="86" ht="16.5" customHeight="1" spans="1:23" x14ac:dyDescent="0.25">
      <c r="A86" s="93"/>
      <c r="B86" s="79">
        <f>IFERROR(VLOOKUP($A:$A,CS!$A:$AK,3,FALSE),"")</f>
      </c>
      <c r="C86" s="79">
        <f>IFERROR(VLOOKUP($A:$A,CS!$A:$AK,4,FALSE),"")</f>
      </c>
      <c r="D86" s="79">
        <f>IFERROR(VLOOKUP($A:$A,CS!$A:$AK,5,FALSE),"")</f>
      </c>
      <c r="E86" s="79">
        <f>IFERROR(VLOOKUP($A:$A,CS!$A:$AK,7,FALSE),"")</f>
      </c>
      <c r="F86" s="79">
        <f>IFERROR(VLOOKUP($A:$A,CS!$A:$AK,8,FALSE),"")</f>
      </c>
      <c r="G86" s="79">
        <f>IFERROR(VLOOKUP($A:$A,CS!$A:$AK,10,FALSE),"")</f>
      </c>
      <c r="H86" s="79">
        <f>IFERROR(VLOOKUP($A:$A,CS!$A:$AK,14,FALSE),"")</f>
      </c>
      <c r="I86" s="79">
        <f>IFERROR(VLOOKUP($A:$A,CS!$A:$AK,15,FALSE),"")</f>
      </c>
      <c r="J86" s="79">
        <f>IFERROR(VLOOKUP($A:$A,CS!$A:$AK,18,FALSE),"")</f>
      </c>
      <c r="K86" s="79">
        <f>IFERROR(VLOOKUP($A:$A,CS!$A:$AK,19,FALSE),"")</f>
      </c>
      <c r="L86" s="79">
        <f>IFERROR(VLOOKUP($A:$A,CS!$A:$AK,20,FALSE),"")</f>
      </c>
      <c r="M86" s="79">
        <f>IFERROR(VLOOKUP($A:$A,CS!$A:$AK,22,FALSE),"")</f>
      </c>
      <c r="N86" s="79">
        <f>IFERROR(VLOOKUP($A:$A,CS!$A:$AK,19,FALSE),"")</f>
      </c>
      <c r="O86" s="79">
        <f>IFERROR(VLOOKUP($A:$A,CS!$A:$AK,23,FALSE),"")</f>
      </c>
      <c r="P86" s="79">
        <f>IFERROR(VLOOKUP($A:$A,CS!$A:$AK,24,FALSE),"")</f>
      </c>
      <c r="Q86" s="79">
        <f>IFERROR(VLOOKUP($A:$A,CS!$A:$AK,25,FALSE),"")</f>
      </c>
      <c r="R86" s="79">
        <f>IFERROR(VLOOKUP($A:$A,CS!$A:$AK,26,FALSE),"")</f>
      </c>
      <c r="S86" s="79">
        <f>IFERROR(VLOOKUP($A:$A,CS!$A:$AK,29,FALSE),"")</f>
      </c>
      <c r="T86" s="79">
        <f>IFERROR(VLOOKUP($A:$A,CS!$A:$AK,33,FALSE),"")</f>
      </c>
      <c r="U86" s="79">
        <f>IFERROR(VLOOKUP($A:$A,CS!$A:$AK,34,FALSE),"")</f>
      </c>
      <c r="V86" s="79">
        <f>IFERROR(VLOOKUP($A:$A,CS!$A:$AK,35,FALSE),"")</f>
      </c>
      <c r="W86" s="79">
        <f>IFERROR(VLOOKUP($A:$A,CS!$A:$AK,36,FALSE),"")</f>
      </c>
    </row>
    <row r="87" ht="16.5" customHeight="1" spans="1:23" x14ac:dyDescent="0.25">
      <c r="A87" s="93"/>
      <c r="B87" s="79">
        <f>IFERROR(VLOOKUP($A:$A,CS!$A:$AK,3,FALSE),"")</f>
      </c>
      <c r="C87" s="79">
        <f>IFERROR(VLOOKUP($A:$A,CS!$A:$AK,4,FALSE),"")</f>
      </c>
      <c r="D87" s="79">
        <f>IFERROR(VLOOKUP($A:$A,CS!$A:$AK,5,FALSE),"")</f>
      </c>
      <c r="E87" s="79">
        <f>IFERROR(VLOOKUP($A:$A,CS!$A:$AK,7,FALSE),"")</f>
      </c>
      <c r="F87" s="79">
        <f>IFERROR(VLOOKUP($A:$A,CS!$A:$AK,8,FALSE),"")</f>
      </c>
      <c r="G87" s="79">
        <f>IFERROR(VLOOKUP($A:$A,CS!$A:$AK,10,FALSE),"")</f>
      </c>
      <c r="H87" s="79">
        <f>IFERROR(VLOOKUP($A:$A,CS!$A:$AK,14,FALSE),"")</f>
      </c>
      <c r="I87" s="79">
        <f>IFERROR(VLOOKUP($A:$A,CS!$A:$AK,15,FALSE),"")</f>
      </c>
      <c r="J87" s="79">
        <f>IFERROR(VLOOKUP($A:$A,CS!$A:$AK,18,FALSE),"")</f>
      </c>
      <c r="K87" s="79">
        <f>IFERROR(VLOOKUP($A:$A,CS!$A:$AK,19,FALSE),"")</f>
      </c>
      <c r="L87" s="79">
        <f>IFERROR(VLOOKUP($A:$A,CS!$A:$AK,20,FALSE),"")</f>
      </c>
      <c r="M87" s="79">
        <f>IFERROR(VLOOKUP($A:$A,CS!$A:$AK,22,FALSE),"")</f>
      </c>
      <c r="N87" s="79">
        <f>IFERROR(VLOOKUP($A:$A,CS!$A:$AK,19,FALSE),"")</f>
      </c>
      <c r="O87" s="79">
        <f>IFERROR(VLOOKUP($A:$A,CS!$A:$AK,23,FALSE),"")</f>
      </c>
      <c r="P87" s="79">
        <f>IFERROR(VLOOKUP($A:$A,CS!$A:$AK,24,FALSE),"")</f>
      </c>
      <c r="Q87" s="79">
        <f>IFERROR(VLOOKUP($A:$A,CS!$A:$AK,25,FALSE),"")</f>
      </c>
      <c r="R87" s="79">
        <f>IFERROR(VLOOKUP($A:$A,CS!$A:$AK,26,FALSE),"")</f>
      </c>
      <c r="S87" s="79">
        <f>IFERROR(VLOOKUP($A:$A,CS!$A:$AK,29,FALSE),"")</f>
      </c>
      <c r="T87" s="79">
        <f>IFERROR(VLOOKUP($A:$A,CS!$A:$AK,33,FALSE),"")</f>
      </c>
      <c r="U87" s="79">
        <f>IFERROR(VLOOKUP($A:$A,CS!$A:$AK,34,FALSE),"")</f>
      </c>
      <c r="V87" s="79">
        <f>IFERROR(VLOOKUP($A:$A,CS!$A:$AK,35,FALSE),"")</f>
      </c>
      <c r="W87" s="79">
        <f>IFERROR(VLOOKUP($A:$A,CS!$A:$AK,36,FALSE),"")</f>
      </c>
    </row>
    <row r="88" ht="16.5" customHeight="1" spans="1:23" x14ac:dyDescent="0.25">
      <c r="A88" s="93"/>
      <c r="B88" s="79">
        <f>IFERROR(VLOOKUP($A:$A,CS!$A:$AK,3,FALSE),"")</f>
      </c>
      <c r="C88" s="79">
        <f>IFERROR(VLOOKUP($A:$A,CS!$A:$AK,4,FALSE),"")</f>
      </c>
      <c r="D88" s="79">
        <f>IFERROR(VLOOKUP($A:$A,CS!$A:$AK,5,FALSE),"")</f>
      </c>
      <c r="E88" s="79">
        <f>IFERROR(VLOOKUP($A:$A,CS!$A:$AK,7,FALSE),"")</f>
      </c>
      <c r="F88" s="79">
        <f>IFERROR(VLOOKUP($A:$A,CS!$A:$AK,8,FALSE),"")</f>
      </c>
      <c r="G88" s="79">
        <f>IFERROR(VLOOKUP($A:$A,CS!$A:$AK,10,FALSE),"")</f>
      </c>
      <c r="H88" s="79">
        <f>IFERROR(VLOOKUP($A:$A,CS!$A:$AK,14,FALSE),"")</f>
      </c>
      <c r="I88" s="79">
        <f>IFERROR(VLOOKUP($A:$A,CS!$A:$AK,15,FALSE),"")</f>
      </c>
      <c r="J88" s="79">
        <f>IFERROR(VLOOKUP($A:$A,CS!$A:$AK,18,FALSE),"")</f>
      </c>
      <c r="K88" s="79">
        <f>IFERROR(VLOOKUP($A:$A,CS!$A:$AK,19,FALSE),"")</f>
      </c>
      <c r="L88" s="79">
        <f>IFERROR(VLOOKUP($A:$A,CS!$A:$AK,20,FALSE),"")</f>
      </c>
      <c r="M88" s="79">
        <f>IFERROR(VLOOKUP($A:$A,CS!$A:$AK,22,FALSE),"")</f>
      </c>
      <c r="N88" s="79">
        <f>IFERROR(VLOOKUP($A:$A,CS!$A:$AK,19,FALSE),"")</f>
      </c>
      <c r="O88" s="79">
        <f>IFERROR(VLOOKUP($A:$A,CS!$A:$AK,23,FALSE),"")</f>
      </c>
      <c r="P88" s="79">
        <f>IFERROR(VLOOKUP($A:$A,CS!$A:$AK,24,FALSE),"")</f>
      </c>
      <c r="Q88" s="79">
        <f>IFERROR(VLOOKUP($A:$A,CS!$A:$AK,25,FALSE),"")</f>
      </c>
      <c r="R88" s="79">
        <f>IFERROR(VLOOKUP($A:$A,CS!$A:$AK,26,FALSE),"")</f>
      </c>
      <c r="S88" s="79">
        <f>IFERROR(VLOOKUP($A:$A,CS!$A:$AK,29,FALSE),"")</f>
      </c>
      <c r="T88" s="79">
        <f>IFERROR(VLOOKUP($A:$A,CS!$A:$AK,33,FALSE),"")</f>
      </c>
      <c r="U88" s="79">
        <f>IFERROR(VLOOKUP($A:$A,CS!$A:$AK,34,FALSE),"")</f>
      </c>
      <c r="V88" s="79">
        <f>IFERROR(VLOOKUP($A:$A,CS!$A:$AK,35,FALSE),"")</f>
      </c>
      <c r="W88" s="79">
        <f>IFERROR(VLOOKUP($A:$A,CS!$A:$AK,36,FALSE),"")</f>
      </c>
    </row>
    <row r="89" ht="16.5" customHeight="1" spans="1:23" x14ac:dyDescent="0.25">
      <c r="A89" s="93"/>
      <c r="B89" s="79">
        <f>IFERROR(VLOOKUP($A:$A,CS!$A:$AK,3,FALSE),"")</f>
      </c>
      <c r="C89" s="79">
        <f>IFERROR(VLOOKUP($A:$A,CS!$A:$AK,4,FALSE),"")</f>
      </c>
      <c r="D89" s="79">
        <f>IFERROR(VLOOKUP($A:$A,CS!$A:$AK,5,FALSE),"")</f>
      </c>
      <c r="E89" s="79">
        <f>IFERROR(VLOOKUP($A:$A,CS!$A:$AK,7,FALSE),"")</f>
      </c>
      <c r="F89" s="79">
        <f>IFERROR(VLOOKUP($A:$A,CS!$A:$AK,8,FALSE),"")</f>
      </c>
      <c r="G89" s="79">
        <f>IFERROR(VLOOKUP($A:$A,CS!$A:$AK,10,FALSE),"")</f>
      </c>
      <c r="H89" s="79">
        <f>IFERROR(VLOOKUP($A:$A,CS!$A:$AK,14,FALSE),"")</f>
      </c>
      <c r="I89" s="79">
        <f>IFERROR(VLOOKUP($A:$A,CS!$A:$AK,15,FALSE),"")</f>
      </c>
      <c r="J89" s="79">
        <f>IFERROR(VLOOKUP($A:$A,CS!$A:$AK,18,FALSE),"")</f>
      </c>
      <c r="K89" s="79">
        <f>IFERROR(VLOOKUP($A:$A,CS!$A:$AK,19,FALSE),"")</f>
      </c>
      <c r="L89" s="79">
        <f>IFERROR(VLOOKUP($A:$A,CS!$A:$AK,20,FALSE),"")</f>
      </c>
      <c r="M89" s="79">
        <f>IFERROR(VLOOKUP($A:$A,CS!$A:$AK,22,FALSE),"")</f>
      </c>
      <c r="N89" s="79">
        <f>IFERROR(VLOOKUP($A:$A,CS!$A:$AK,19,FALSE),"")</f>
      </c>
      <c r="O89" s="79">
        <f>IFERROR(VLOOKUP($A:$A,CS!$A:$AK,23,FALSE),"")</f>
      </c>
      <c r="P89" s="79">
        <f>IFERROR(VLOOKUP($A:$A,CS!$A:$AK,24,FALSE),"")</f>
      </c>
      <c r="Q89" s="79">
        <f>IFERROR(VLOOKUP($A:$A,CS!$A:$AK,25,FALSE),"")</f>
      </c>
      <c r="R89" s="79">
        <f>IFERROR(VLOOKUP($A:$A,CS!$A:$AK,26,FALSE),"")</f>
      </c>
      <c r="S89" s="79">
        <f>IFERROR(VLOOKUP($A:$A,CS!$A:$AK,29,FALSE),"")</f>
      </c>
      <c r="T89" s="79">
        <f>IFERROR(VLOOKUP($A:$A,CS!$A:$AK,33,FALSE),"")</f>
      </c>
      <c r="U89" s="79">
        <f>IFERROR(VLOOKUP($A:$A,CS!$A:$AK,34,FALSE),"")</f>
      </c>
      <c r="V89" s="79">
        <f>IFERROR(VLOOKUP($A:$A,CS!$A:$AK,35,FALSE),"")</f>
      </c>
      <c r="W89" s="79">
        <f>IFERROR(VLOOKUP($A:$A,CS!$A:$AK,36,FALSE),"")</f>
      </c>
    </row>
    <row r="90" ht="16.5" customHeight="1" spans="1:23" x14ac:dyDescent="0.25">
      <c r="A90" s="93"/>
      <c r="B90" s="79">
        <f>IFERROR(VLOOKUP($A:$A,CS!$A:$AK,3,FALSE),"")</f>
      </c>
      <c r="C90" s="79">
        <f>IFERROR(VLOOKUP($A:$A,CS!$A:$AK,4,FALSE),"")</f>
      </c>
      <c r="D90" s="79">
        <f>IFERROR(VLOOKUP($A:$A,CS!$A:$AK,5,FALSE),"")</f>
      </c>
      <c r="E90" s="79">
        <f>IFERROR(VLOOKUP($A:$A,CS!$A:$AK,7,FALSE),"")</f>
      </c>
      <c r="F90" s="79">
        <f>IFERROR(VLOOKUP($A:$A,CS!$A:$AK,8,FALSE),"")</f>
      </c>
      <c r="G90" s="79">
        <f>IFERROR(VLOOKUP($A:$A,CS!$A:$AK,10,FALSE),"")</f>
      </c>
      <c r="H90" s="79">
        <f>IFERROR(VLOOKUP($A:$A,CS!$A:$AK,14,FALSE),"")</f>
      </c>
      <c r="I90" s="79">
        <f>IFERROR(VLOOKUP($A:$A,CS!$A:$AK,15,FALSE),"")</f>
      </c>
      <c r="J90" s="79">
        <f>IFERROR(VLOOKUP($A:$A,CS!$A:$AK,18,FALSE),"")</f>
      </c>
      <c r="K90" s="79">
        <f>IFERROR(VLOOKUP($A:$A,CS!$A:$AK,19,FALSE),"")</f>
      </c>
      <c r="L90" s="79">
        <f>IFERROR(VLOOKUP($A:$A,CS!$A:$AK,20,FALSE),"")</f>
      </c>
      <c r="M90" s="79">
        <f>IFERROR(VLOOKUP($A:$A,CS!$A:$AK,22,FALSE),"")</f>
      </c>
      <c r="N90" s="79">
        <f>IFERROR(VLOOKUP($A:$A,CS!$A:$AK,19,FALSE),"")</f>
      </c>
      <c r="O90" s="79">
        <f>IFERROR(VLOOKUP($A:$A,CS!$A:$AK,23,FALSE),"")</f>
      </c>
      <c r="P90" s="79">
        <f>IFERROR(VLOOKUP($A:$A,CS!$A:$AK,24,FALSE),"")</f>
      </c>
      <c r="Q90" s="79">
        <f>IFERROR(VLOOKUP($A:$A,CS!$A:$AK,25,FALSE),"")</f>
      </c>
      <c r="R90" s="79">
        <f>IFERROR(VLOOKUP($A:$A,CS!$A:$AK,26,FALSE),"")</f>
      </c>
      <c r="S90" s="79">
        <f>IFERROR(VLOOKUP($A:$A,CS!$A:$AK,29,FALSE),"")</f>
      </c>
      <c r="T90" s="79">
        <f>IFERROR(VLOOKUP($A:$A,CS!$A:$AK,33,FALSE),"")</f>
      </c>
      <c r="U90" s="79">
        <f>IFERROR(VLOOKUP($A:$A,CS!$A:$AK,34,FALSE),"")</f>
      </c>
      <c r="V90" s="79">
        <f>IFERROR(VLOOKUP($A:$A,CS!$A:$AK,35,FALSE),"")</f>
      </c>
      <c r="W90" s="79">
        <f>IFERROR(VLOOKUP($A:$A,CS!$A:$AK,36,FALSE),"")</f>
      </c>
    </row>
    <row r="91" ht="16.5" customHeight="1" spans="1:23" x14ac:dyDescent="0.25">
      <c r="A91" s="93"/>
      <c r="B91" s="79">
        <f>IFERROR(VLOOKUP($A:$A,CS!$A:$AK,3,FALSE),"")</f>
      </c>
      <c r="C91" s="79">
        <f>IFERROR(VLOOKUP($A:$A,CS!$A:$AK,4,FALSE),"")</f>
      </c>
      <c r="D91" s="79">
        <f>IFERROR(VLOOKUP($A:$A,CS!$A:$AK,5,FALSE),"")</f>
      </c>
      <c r="E91" s="79">
        <f>IFERROR(VLOOKUP($A:$A,CS!$A:$AK,7,FALSE),"")</f>
      </c>
      <c r="F91" s="79">
        <f>IFERROR(VLOOKUP($A:$A,CS!$A:$AK,8,FALSE),"")</f>
      </c>
      <c r="G91" s="79">
        <f>IFERROR(VLOOKUP($A:$A,CS!$A:$AK,10,FALSE),"")</f>
      </c>
      <c r="H91" s="79">
        <f>IFERROR(VLOOKUP($A:$A,CS!$A:$AK,14,FALSE),"")</f>
      </c>
      <c r="I91" s="79">
        <f>IFERROR(VLOOKUP($A:$A,CS!$A:$AK,15,FALSE),"")</f>
      </c>
      <c r="J91" s="79">
        <f>IFERROR(VLOOKUP($A:$A,CS!$A:$AK,18,FALSE),"")</f>
      </c>
      <c r="K91" s="79">
        <f>IFERROR(VLOOKUP($A:$A,CS!$A:$AK,19,FALSE),"")</f>
      </c>
      <c r="L91" s="79">
        <f>IFERROR(VLOOKUP($A:$A,CS!$A:$AK,20,FALSE),"")</f>
      </c>
      <c r="M91" s="79">
        <f>IFERROR(VLOOKUP($A:$A,CS!$A:$AK,22,FALSE),"")</f>
      </c>
      <c r="N91" s="79">
        <f>IFERROR(VLOOKUP($A:$A,CS!$A:$AK,19,FALSE),"")</f>
      </c>
      <c r="O91" s="79">
        <f>IFERROR(VLOOKUP($A:$A,CS!$A:$AK,23,FALSE),"")</f>
      </c>
      <c r="P91" s="79">
        <f>IFERROR(VLOOKUP($A:$A,CS!$A:$AK,24,FALSE),"")</f>
      </c>
      <c r="Q91" s="79">
        <f>IFERROR(VLOOKUP($A:$A,CS!$A:$AK,25,FALSE),"")</f>
      </c>
      <c r="R91" s="79">
        <f>IFERROR(VLOOKUP($A:$A,CS!$A:$AK,26,FALSE),"")</f>
      </c>
      <c r="S91" s="79">
        <f>IFERROR(VLOOKUP($A:$A,CS!$A:$AK,29,FALSE),"")</f>
      </c>
      <c r="T91" s="79">
        <f>IFERROR(VLOOKUP($A:$A,CS!$A:$AK,33,FALSE),"")</f>
      </c>
      <c r="U91" s="79">
        <f>IFERROR(VLOOKUP($A:$A,CS!$A:$AK,34,FALSE),"")</f>
      </c>
      <c r="V91" s="79">
        <f>IFERROR(VLOOKUP($A:$A,CS!$A:$AK,35,FALSE),"")</f>
      </c>
      <c r="W91" s="79">
        <f>IFERROR(VLOOKUP($A:$A,CS!$A:$AK,36,FALSE),"")</f>
      </c>
    </row>
    <row r="92" ht="16.5" customHeight="1" spans="1:23" x14ac:dyDescent="0.25">
      <c r="A92" s="93"/>
      <c r="B92" s="79">
        <f>IFERROR(VLOOKUP($A:$A,CS!$A:$AK,3,FALSE),"")</f>
      </c>
      <c r="C92" s="79">
        <f>IFERROR(VLOOKUP($A:$A,CS!$A:$AK,4,FALSE),"")</f>
      </c>
      <c r="D92" s="79">
        <f>IFERROR(VLOOKUP($A:$A,CS!$A:$AK,5,FALSE),"")</f>
      </c>
      <c r="E92" s="79">
        <f>IFERROR(VLOOKUP($A:$A,CS!$A:$AK,7,FALSE),"")</f>
      </c>
      <c r="F92" s="79">
        <f>IFERROR(VLOOKUP($A:$A,CS!$A:$AK,8,FALSE),"")</f>
      </c>
      <c r="G92" s="79">
        <f>IFERROR(VLOOKUP($A:$A,CS!$A:$AK,10,FALSE),"")</f>
      </c>
      <c r="H92" s="79">
        <f>IFERROR(VLOOKUP($A:$A,CS!$A:$AK,14,FALSE),"")</f>
      </c>
      <c r="I92" s="79">
        <f>IFERROR(VLOOKUP($A:$A,CS!$A:$AK,15,FALSE),"")</f>
      </c>
      <c r="J92" s="79">
        <f>IFERROR(VLOOKUP($A:$A,CS!$A:$AK,18,FALSE),"")</f>
      </c>
      <c r="K92" s="79">
        <f>IFERROR(VLOOKUP($A:$A,CS!$A:$AK,19,FALSE),"")</f>
      </c>
      <c r="L92" s="79">
        <f>IFERROR(VLOOKUP($A:$A,CS!$A:$AK,20,FALSE),"")</f>
      </c>
      <c r="M92" s="79">
        <f>IFERROR(VLOOKUP($A:$A,CS!$A:$AK,22,FALSE),"")</f>
      </c>
      <c r="N92" s="79">
        <f>IFERROR(VLOOKUP($A:$A,CS!$A:$AK,19,FALSE),"")</f>
      </c>
      <c r="O92" s="79">
        <f>IFERROR(VLOOKUP($A:$A,CS!$A:$AK,23,FALSE),"")</f>
      </c>
      <c r="P92" s="79">
        <f>IFERROR(VLOOKUP($A:$A,CS!$A:$AK,24,FALSE),"")</f>
      </c>
      <c r="Q92" s="79">
        <f>IFERROR(VLOOKUP($A:$A,CS!$A:$AK,25,FALSE),"")</f>
      </c>
      <c r="R92" s="79">
        <f>IFERROR(VLOOKUP($A:$A,CS!$A:$AK,26,FALSE),"")</f>
      </c>
      <c r="S92" s="79">
        <f>IFERROR(VLOOKUP($A:$A,CS!$A:$AK,29,FALSE),"")</f>
      </c>
      <c r="T92" s="79">
        <f>IFERROR(VLOOKUP($A:$A,CS!$A:$AK,33,FALSE),"")</f>
      </c>
      <c r="U92" s="79">
        <f>IFERROR(VLOOKUP($A:$A,CS!$A:$AK,34,FALSE),"")</f>
      </c>
      <c r="V92" s="79">
        <f>IFERROR(VLOOKUP($A:$A,CS!$A:$AK,35,FALSE),"")</f>
      </c>
      <c r="W92" s="79">
        <f>IFERROR(VLOOKUP($A:$A,CS!$A:$AK,36,FALSE),"")</f>
      </c>
    </row>
    <row r="93" ht="16.5" customHeight="1" spans="1:23" x14ac:dyDescent="0.25">
      <c r="A93" s="93"/>
      <c r="B93" s="79">
        <f>IFERROR(VLOOKUP($A:$A,CS!$A:$AK,3,FALSE),"")</f>
      </c>
      <c r="C93" s="79">
        <f>IFERROR(VLOOKUP($A:$A,CS!$A:$AK,4,FALSE),"")</f>
      </c>
      <c r="D93" s="79">
        <f>IFERROR(VLOOKUP($A:$A,CS!$A:$AK,5,FALSE),"")</f>
      </c>
      <c r="E93" s="79">
        <f>IFERROR(VLOOKUP($A:$A,CS!$A:$AK,7,FALSE),"")</f>
      </c>
      <c r="F93" s="79">
        <f>IFERROR(VLOOKUP($A:$A,CS!$A:$AK,8,FALSE),"")</f>
      </c>
      <c r="G93" s="79">
        <f>IFERROR(VLOOKUP($A:$A,CS!$A:$AK,10,FALSE),"")</f>
      </c>
      <c r="H93" s="79">
        <f>IFERROR(VLOOKUP($A:$A,CS!$A:$AK,14,FALSE),"")</f>
      </c>
      <c r="I93" s="79">
        <f>IFERROR(VLOOKUP($A:$A,CS!$A:$AK,15,FALSE),"")</f>
      </c>
      <c r="J93" s="79">
        <f>IFERROR(VLOOKUP($A:$A,CS!$A:$AK,18,FALSE),"")</f>
      </c>
      <c r="K93" s="79">
        <f>IFERROR(VLOOKUP($A:$A,CS!$A:$AK,19,FALSE),"")</f>
      </c>
      <c r="L93" s="79">
        <f>IFERROR(VLOOKUP($A:$A,CS!$A:$AK,20,FALSE),"")</f>
      </c>
      <c r="M93" s="79">
        <f>IFERROR(VLOOKUP($A:$A,CS!$A:$AK,22,FALSE),"")</f>
      </c>
      <c r="N93" s="79">
        <f>IFERROR(VLOOKUP($A:$A,CS!$A:$AK,19,FALSE),"")</f>
      </c>
      <c r="O93" s="79">
        <f>IFERROR(VLOOKUP($A:$A,CS!$A:$AK,23,FALSE),"")</f>
      </c>
      <c r="P93" s="79">
        <f>IFERROR(VLOOKUP($A:$A,CS!$A:$AK,24,FALSE),"")</f>
      </c>
      <c r="Q93" s="79">
        <f>IFERROR(VLOOKUP($A:$A,CS!$A:$AK,25,FALSE),"")</f>
      </c>
      <c r="R93" s="79">
        <f>IFERROR(VLOOKUP($A:$A,CS!$A:$AK,26,FALSE),"")</f>
      </c>
      <c r="S93" s="79">
        <f>IFERROR(VLOOKUP($A:$A,CS!$A:$AK,29,FALSE),"")</f>
      </c>
      <c r="T93" s="79">
        <f>IFERROR(VLOOKUP($A:$A,CS!$A:$AK,33,FALSE),"")</f>
      </c>
      <c r="U93" s="79">
        <f>IFERROR(VLOOKUP($A:$A,CS!$A:$AK,34,FALSE),"")</f>
      </c>
      <c r="V93" s="79">
        <f>IFERROR(VLOOKUP($A:$A,CS!$A:$AK,35,FALSE),"")</f>
      </c>
      <c r="W93" s="79">
        <f>IFERROR(VLOOKUP($A:$A,CS!$A:$AK,36,FALSE),"")</f>
      </c>
    </row>
    <row r="94" ht="16.5" customHeight="1" spans="1:23" x14ac:dyDescent="0.25">
      <c r="A94" s="93"/>
      <c r="B94" s="79">
        <f>IFERROR(VLOOKUP($A:$A,CS!$A:$AK,3,FALSE),"")</f>
      </c>
      <c r="C94" s="79">
        <f>IFERROR(VLOOKUP($A:$A,CS!$A:$AK,4,FALSE),"")</f>
      </c>
      <c r="D94" s="79">
        <f>IFERROR(VLOOKUP($A:$A,CS!$A:$AK,5,FALSE),"")</f>
      </c>
      <c r="E94" s="79">
        <f>IFERROR(VLOOKUP($A:$A,CS!$A:$AK,7,FALSE),"")</f>
      </c>
      <c r="F94" s="79">
        <f>IFERROR(VLOOKUP($A:$A,CS!$A:$AK,8,FALSE),"")</f>
      </c>
      <c r="G94" s="79">
        <f>IFERROR(VLOOKUP($A:$A,CS!$A:$AK,10,FALSE),"")</f>
      </c>
      <c r="H94" s="79">
        <f>IFERROR(VLOOKUP($A:$A,CS!$A:$AK,14,FALSE),"")</f>
      </c>
      <c r="I94" s="79">
        <f>IFERROR(VLOOKUP($A:$A,CS!$A:$AK,15,FALSE),"")</f>
      </c>
      <c r="J94" s="79">
        <f>IFERROR(VLOOKUP($A:$A,CS!$A:$AK,18,FALSE),"")</f>
      </c>
      <c r="K94" s="79">
        <f>IFERROR(VLOOKUP($A:$A,CS!$A:$AK,19,FALSE),"")</f>
      </c>
      <c r="L94" s="79">
        <f>IFERROR(VLOOKUP($A:$A,CS!$A:$AK,20,FALSE),"")</f>
      </c>
      <c r="M94" s="79">
        <f>IFERROR(VLOOKUP($A:$A,CS!$A:$AK,22,FALSE),"")</f>
      </c>
      <c r="N94" s="79">
        <f>IFERROR(VLOOKUP($A:$A,CS!$A:$AK,19,FALSE),"")</f>
      </c>
      <c r="O94" s="79">
        <f>IFERROR(VLOOKUP($A:$A,CS!$A:$AK,23,FALSE),"")</f>
      </c>
      <c r="P94" s="79">
        <f>IFERROR(VLOOKUP($A:$A,CS!$A:$AK,24,FALSE),"")</f>
      </c>
      <c r="Q94" s="79">
        <f>IFERROR(VLOOKUP($A:$A,CS!$A:$AK,25,FALSE),"")</f>
      </c>
      <c r="R94" s="79">
        <f>IFERROR(VLOOKUP($A:$A,CS!$A:$AK,26,FALSE),"")</f>
      </c>
      <c r="S94" s="79">
        <f>IFERROR(VLOOKUP($A:$A,CS!$A:$AK,29,FALSE),"")</f>
      </c>
      <c r="T94" s="79">
        <f>IFERROR(VLOOKUP($A:$A,CS!$A:$AK,33,FALSE),"")</f>
      </c>
      <c r="U94" s="79">
        <f>IFERROR(VLOOKUP($A:$A,CS!$A:$AK,34,FALSE),"")</f>
      </c>
      <c r="V94" s="79">
        <f>IFERROR(VLOOKUP($A:$A,CS!$A:$AK,35,FALSE),"")</f>
      </c>
      <c r="W94" s="79">
        <f>IFERROR(VLOOKUP($A:$A,CS!$A:$AK,36,FALSE),"")</f>
      </c>
    </row>
    <row r="95" ht="16.5" customHeight="1" spans="1:23" x14ac:dyDescent="0.25">
      <c r="A95" s="93"/>
      <c r="B95" s="79">
        <f>IFERROR(VLOOKUP($A:$A,CS!$A:$AK,3,FALSE),"")</f>
      </c>
      <c r="C95" s="79">
        <f>IFERROR(VLOOKUP($A:$A,CS!$A:$AK,4,FALSE),"")</f>
      </c>
      <c r="D95" s="79">
        <f>IFERROR(VLOOKUP($A:$A,CS!$A:$AK,5,FALSE),"")</f>
      </c>
      <c r="E95" s="79">
        <f>IFERROR(VLOOKUP($A:$A,CS!$A:$AK,7,FALSE),"")</f>
      </c>
      <c r="F95" s="79">
        <f>IFERROR(VLOOKUP($A:$A,CS!$A:$AK,8,FALSE),"")</f>
      </c>
      <c r="G95" s="79">
        <f>IFERROR(VLOOKUP($A:$A,CS!$A:$AK,10,FALSE),"")</f>
      </c>
      <c r="H95" s="79">
        <f>IFERROR(VLOOKUP($A:$A,CS!$A:$AK,14,FALSE),"")</f>
      </c>
      <c r="I95" s="79">
        <f>IFERROR(VLOOKUP($A:$A,CS!$A:$AK,15,FALSE),"")</f>
      </c>
      <c r="J95" s="79">
        <f>IFERROR(VLOOKUP($A:$A,CS!$A:$AK,18,FALSE),"")</f>
      </c>
      <c r="K95" s="79">
        <f>IFERROR(VLOOKUP($A:$A,CS!$A:$AK,19,FALSE),"")</f>
      </c>
      <c r="L95" s="79">
        <f>IFERROR(VLOOKUP($A:$A,CS!$A:$AK,20,FALSE),"")</f>
      </c>
      <c r="M95" s="79">
        <f>IFERROR(VLOOKUP($A:$A,CS!$A:$AK,22,FALSE),"")</f>
      </c>
      <c r="N95" s="79">
        <f>IFERROR(VLOOKUP($A:$A,CS!$A:$AK,19,FALSE),"")</f>
      </c>
      <c r="O95" s="79">
        <f>IFERROR(VLOOKUP($A:$A,CS!$A:$AK,23,FALSE),"")</f>
      </c>
      <c r="P95" s="79">
        <f>IFERROR(VLOOKUP($A:$A,CS!$A:$AK,24,FALSE),"")</f>
      </c>
      <c r="Q95" s="79">
        <f>IFERROR(VLOOKUP($A:$A,CS!$A:$AK,25,FALSE),"")</f>
      </c>
      <c r="R95" s="79">
        <f>IFERROR(VLOOKUP($A:$A,CS!$A:$AK,26,FALSE),"")</f>
      </c>
      <c r="S95" s="79">
        <f>IFERROR(VLOOKUP($A:$A,CS!$A:$AK,29,FALSE),"")</f>
      </c>
      <c r="T95" s="79">
        <f>IFERROR(VLOOKUP($A:$A,CS!$A:$AK,33,FALSE),"")</f>
      </c>
      <c r="U95" s="79">
        <f>IFERROR(VLOOKUP($A:$A,CS!$A:$AK,34,FALSE),"")</f>
      </c>
      <c r="V95" s="79">
        <f>IFERROR(VLOOKUP($A:$A,CS!$A:$AK,35,FALSE),"")</f>
      </c>
      <c r="W95" s="79">
        <f>IFERROR(VLOOKUP($A:$A,CS!$A:$AK,36,FALSE),"")</f>
      </c>
    </row>
    <row r="96" ht="16.5" customHeight="1" spans="1:23" x14ac:dyDescent="0.25">
      <c r="A96" s="93"/>
      <c r="B96" s="79">
        <f>IFERROR(VLOOKUP($A:$A,CS!$A:$AK,3,FALSE),"")</f>
      </c>
      <c r="C96" s="79">
        <f>IFERROR(VLOOKUP($A:$A,CS!$A:$AK,4,FALSE),"")</f>
      </c>
      <c r="D96" s="79">
        <f>IFERROR(VLOOKUP($A:$A,CS!$A:$AK,5,FALSE),"")</f>
      </c>
      <c r="E96" s="79">
        <f>IFERROR(VLOOKUP($A:$A,CS!$A:$AK,7,FALSE),"")</f>
      </c>
      <c r="F96" s="79">
        <f>IFERROR(VLOOKUP($A:$A,CS!$A:$AK,8,FALSE),"")</f>
      </c>
      <c r="G96" s="79">
        <f>IFERROR(VLOOKUP($A:$A,CS!$A:$AK,10,FALSE),"")</f>
      </c>
      <c r="H96" s="79">
        <f>IFERROR(VLOOKUP($A:$A,CS!$A:$AK,14,FALSE),"")</f>
      </c>
      <c r="I96" s="79">
        <f>IFERROR(VLOOKUP($A:$A,CS!$A:$AK,15,FALSE),"")</f>
      </c>
      <c r="J96" s="79">
        <f>IFERROR(VLOOKUP($A:$A,CS!$A:$AK,18,FALSE),"")</f>
      </c>
      <c r="K96" s="79">
        <f>IFERROR(VLOOKUP($A:$A,CS!$A:$AK,19,FALSE),"")</f>
      </c>
      <c r="L96" s="79">
        <f>IFERROR(VLOOKUP($A:$A,CS!$A:$AK,20,FALSE),"")</f>
      </c>
      <c r="M96" s="79">
        <f>IFERROR(VLOOKUP($A:$A,CS!$A:$AK,22,FALSE),"")</f>
      </c>
      <c r="N96" s="79">
        <f>IFERROR(VLOOKUP($A:$A,CS!$A:$AK,19,FALSE),"")</f>
      </c>
      <c r="O96" s="79">
        <f>IFERROR(VLOOKUP($A:$A,CS!$A:$AK,23,FALSE),"")</f>
      </c>
      <c r="P96" s="79">
        <f>IFERROR(VLOOKUP($A:$A,CS!$A:$AK,24,FALSE),"")</f>
      </c>
      <c r="Q96" s="79">
        <f>IFERROR(VLOOKUP($A:$A,CS!$A:$AK,25,FALSE),"")</f>
      </c>
      <c r="R96" s="79">
        <f>IFERROR(VLOOKUP($A:$A,CS!$A:$AK,26,FALSE),"")</f>
      </c>
      <c r="S96" s="79">
        <f>IFERROR(VLOOKUP($A:$A,CS!$A:$AK,29,FALSE),"")</f>
      </c>
      <c r="T96" s="79">
        <f>IFERROR(VLOOKUP($A:$A,CS!$A:$AK,33,FALSE),"")</f>
      </c>
      <c r="U96" s="79">
        <f>IFERROR(VLOOKUP($A:$A,CS!$A:$AK,34,FALSE),"")</f>
      </c>
      <c r="V96" s="79">
        <f>IFERROR(VLOOKUP($A:$A,CS!$A:$AK,35,FALSE),"")</f>
      </c>
      <c r="W96" s="79">
        <f>IFERROR(VLOOKUP($A:$A,CS!$A:$AK,36,FALSE),"")</f>
      </c>
    </row>
    <row r="97" ht="16.5" customHeight="1" spans="1:23" x14ac:dyDescent="0.25">
      <c r="A97" s="93"/>
      <c r="B97" s="79">
        <f>IFERROR(VLOOKUP($A:$A,CS!$A:$AK,3,FALSE),"")</f>
      </c>
      <c r="C97" s="79">
        <f>IFERROR(VLOOKUP($A:$A,CS!$A:$AK,4,FALSE),"")</f>
      </c>
      <c r="D97" s="79">
        <f>IFERROR(VLOOKUP($A:$A,CS!$A:$AK,5,FALSE),"")</f>
      </c>
      <c r="E97" s="79">
        <f>IFERROR(VLOOKUP($A:$A,CS!$A:$AK,7,FALSE),"")</f>
      </c>
      <c r="F97" s="79">
        <f>IFERROR(VLOOKUP($A:$A,CS!$A:$AK,8,FALSE),"")</f>
      </c>
      <c r="G97" s="79">
        <f>IFERROR(VLOOKUP($A:$A,CS!$A:$AK,10,FALSE),"")</f>
      </c>
      <c r="H97" s="79">
        <f>IFERROR(VLOOKUP($A:$A,CS!$A:$AK,14,FALSE),"")</f>
      </c>
      <c r="I97" s="79">
        <f>IFERROR(VLOOKUP($A:$A,CS!$A:$AK,15,FALSE),"")</f>
      </c>
      <c r="J97" s="79">
        <f>IFERROR(VLOOKUP($A:$A,CS!$A:$AK,18,FALSE),"")</f>
      </c>
      <c r="K97" s="79">
        <f>IFERROR(VLOOKUP($A:$A,CS!$A:$AK,19,FALSE),"")</f>
      </c>
      <c r="L97" s="79">
        <f>IFERROR(VLOOKUP($A:$A,CS!$A:$AK,20,FALSE),"")</f>
      </c>
      <c r="M97" s="79">
        <f>IFERROR(VLOOKUP($A:$A,CS!$A:$AK,22,FALSE),"")</f>
      </c>
      <c r="N97" s="79">
        <f>IFERROR(VLOOKUP($A:$A,CS!$A:$AK,19,FALSE),"")</f>
      </c>
      <c r="O97" s="79">
        <f>IFERROR(VLOOKUP($A:$A,CS!$A:$AK,23,FALSE),"")</f>
      </c>
      <c r="P97" s="79">
        <f>IFERROR(VLOOKUP($A:$A,CS!$A:$AK,24,FALSE),"")</f>
      </c>
      <c r="Q97" s="79">
        <f>IFERROR(VLOOKUP($A:$A,CS!$A:$AK,25,FALSE),"")</f>
      </c>
      <c r="R97" s="79">
        <f>IFERROR(VLOOKUP($A:$A,CS!$A:$AK,26,FALSE),"")</f>
      </c>
      <c r="S97" s="79">
        <f>IFERROR(VLOOKUP($A:$A,CS!$A:$AK,29,FALSE),"")</f>
      </c>
      <c r="T97" s="79">
        <f>IFERROR(VLOOKUP($A:$A,CS!$A:$AK,33,FALSE),"")</f>
      </c>
      <c r="U97" s="79">
        <f>IFERROR(VLOOKUP($A:$A,CS!$A:$AK,34,FALSE),"")</f>
      </c>
      <c r="V97" s="79">
        <f>IFERROR(VLOOKUP($A:$A,CS!$A:$AK,35,FALSE),"")</f>
      </c>
      <c r="W97" s="79">
        <f>IFERROR(VLOOKUP($A:$A,CS!$A:$AK,36,FALSE),"")</f>
      </c>
    </row>
    <row r="98" ht="16.5" customHeight="1" spans="1:23" x14ac:dyDescent="0.25">
      <c r="A98" s="93"/>
      <c r="B98" s="79">
        <f>IFERROR(VLOOKUP($A:$A,CS!$A:$AK,3,FALSE),"")</f>
      </c>
      <c r="C98" s="79">
        <f>IFERROR(VLOOKUP($A:$A,CS!$A:$AK,4,FALSE),"")</f>
      </c>
      <c r="D98" s="79">
        <f>IFERROR(VLOOKUP($A:$A,CS!$A:$AK,5,FALSE),"")</f>
      </c>
      <c r="E98" s="79">
        <f>IFERROR(VLOOKUP($A:$A,CS!$A:$AK,7,FALSE),"")</f>
      </c>
      <c r="F98" s="79">
        <f>IFERROR(VLOOKUP($A:$A,CS!$A:$AK,8,FALSE),"")</f>
      </c>
      <c r="G98" s="79">
        <f>IFERROR(VLOOKUP($A:$A,CS!$A:$AK,10,FALSE),"")</f>
      </c>
      <c r="H98" s="79">
        <f>IFERROR(VLOOKUP($A:$A,CS!$A:$AK,14,FALSE),"")</f>
      </c>
      <c r="I98" s="79">
        <f>IFERROR(VLOOKUP($A:$A,CS!$A:$AK,15,FALSE),"")</f>
      </c>
      <c r="J98" s="79">
        <f>IFERROR(VLOOKUP($A:$A,CS!$A:$AK,18,FALSE),"")</f>
      </c>
      <c r="K98" s="79">
        <f>IFERROR(VLOOKUP($A:$A,CS!$A:$AK,19,FALSE),"")</f>
      </c>
      <c r="L98" s="79">
        <f>IFERROR(VLOOKUP($A:$A,CS!$A:$AK,20,FALSE),"")</f>
      </c>
      <c r="M98" s="79">
        <f>IFERROR(VLOOKUP($A:$A,CS!$A:$AK,22,FALSE),"")</f>
      </c>
      <c r="N98" s="79">
        <f>IFERROR(VLOOKUP($A:$A,CS!$A:$AK,19,FALSE),"")</f>
      </c>
      <c r="O98" s="79">
        <f>IFERROR(VLOOKUP($A:$A,CS!$A:$AK,23,FALSE),"")</f>
      </c>
      <c r="P98" s="79">
        <f>IFERROR(VLOOKUP($A:$A,CS!$A:$AK,24,FALSE),"")</f>
      </c>
      <c r="Q98" s="79">
        <f>IFERROR(VLOOKUP($A:$A,CS!$A:$AK,25,FALSE),"")</f>
      </c>
      <c r="R98" s="79">
        <f>IFERROR(VLOOKUP($A:$A,CS!$A:$AK,26,FALSE),"")</f>
      </c>
      <c r="S98" s="79">
        <f>IFERROR(VLOOKUP($A:$A,CS!$A:$AK,29,FALSE),"")</f>
      </c>
      <c r="T98" s="79">
        <f>IFERROR(VLOOKUP($A:$A,CS!$A:$AK,33,FALSE),"")</f>
      </c>
      <c r="U98" s="79">
        <f>IFERROR(VLOOKUP($A:$A,CS!$A:$AK,34,FALSE),"")</f>
      </c>
      <c r="V98" s="79">
        <f>IFERROR(VLOOKUP($A:$A,CS!$A:$AK,35,FALSE),"")</f>
      </c>
      <c r="W98" s="79">
        <f>IFERROR(VLOOKUP($A:$A,CS!$A:$AK,36,FALSE),"")</f>
      </c>
    </row>
    <row r="99" ht="16.5" customHeight="1" spans="1:23" x14ac:dyDescent="0.25">
      <c r="A99" s="93"/>
      <c r="B99" s="79">
        <f>IFERROR(VLOOKUP($A:$A,CS!$A:$AK,3,FALSE),"")</f>
      </c>
      <c r="C99" s="79">
        <f>IFERROR(VLOOKUP($A:$A,CS!$A:$AK,4,FALSE),"")</f>
      </c>
      <c r="D99" s="79">
        <f>IFERROR(VLOOKUP($A:$A,CS!$A:$AK,5,FALSE),"")</f>
      </c>
      <c r="E99" s="79">
        <f>IFERROR(VLOOKUP($A:$A,CS!$A:$AK,7,FALSE),"")</f>
      </c>
      <c r="F99" s="79">
        <f>IFERROR(VLOOKUP($A:$A,CS!$A:$AK,8,FALSE),"")</f>
      </c>
      <c r="G99" s="79">
        <f>IFERROR(VLOOKUP($A:$A,CS!$A:$AK,10,FALSE),"")</f>
      </c>
      <c r="H99" s="79">
        <f>IFERROR(VLOOKUP($A:$A,CS!$A:$AK,14,FALSE),"")</f>
      </c>
      <c r="I99" s="79">
        <f>IFERROR(VLOOKUP($A:$A,CS!$A:$AK,15,FALSE),"")</f>
      </c>
      <c r="J99" s="79">
        <f>IFERROR(VLOOKUP($A:$A,CS!$A:$AK,18,FALSE),"")</f>
      </c>
      <c r="K99" s="79">
        <f>IFERROR(VLOOKUP($A:$A,CS!$A:$AK,19,FALSE),"")</f>
      </c>
      <c r="L99" s="79">
        <f>IFERROR(VLOOKUP($A:$A,CS!$A:$AK,20,FALSE),"")</f>
      </c>
      <c r="M99" s="79">
        <f>IFERROR(VLOOKUP($A:$A,CS!$A:$AK,22,FALSE),"")</f>
      </c>
      <c r="N99" s="79">
        <f>IFERROR(VLOOKUP($A:$A,CS!$A:$AK,19,FALSE),"")</f>
      </c>
      <c r="O99" s="79">
        <f>IFERROR(VLOOKUP($A:$A,CS!$A:$AK,23,FALSE),"")</f>
      </c>
      <c r="P99" s="79">
        <f>IFERROR(VLOOKUP($A:$A,CS!$A:$AK,24,FALSE),"")</f>
      </c>
      <c r="Q99" s="79">
        <f>IFERROR(VLOOKUP($A:$A,CS!$A:$AK,25,FALSE),"")</f>
      </c>
      <c r="R99" s="79">
        <f>IFERROR(VLOOKUP($A:$A,CS!$A:$AK,26,FALSE),"")</f>
      </c>
      <c r="S99" s="79">
        <f>IFERROR(VLOOKUP($A:$A,CS!$A:$AK,29,FALSE),"")</f>
      </c>
      <c r="T99" s="79">
        <f>IFERROR(VLOOKUP($A:$A,CS!$A:$AK,33,FALSE),"")</f>
      </c>
      <c r="U99" s="79">
        <f>IFERROR(VLOOKUP($A:$A,CS!$A:$AK,34,FALSE),"")</f>
      </c>
      <c r="V99" s="79">
        <f>IFERROR(VLOOKUP($A:$A,CS!$A:$AK,35,FALSE),"")</f>
      </c>
      <c r="W99" s="79">
        <f>IFERROR(VLOOKUP($A:$A,CS!$A:$AK,36,FALSE),"")</f>
      </c>
    </row>
    <row r="100" ht="16.5" customHeight="1" spans="1:23" x14ac:dyDescent="0.25">
      <c r="A100" s="93"/>
      <c r="B100" s="79">
        <f>IFERROR(VLOOKUP($A:$A,CS!$A:$AK,3,FALSE),"")</f>
      </c>
      <c r="C100" s="79">
        <f>IFERROR(VLOOKUP($A:$A,CS!$A:$AK,4,FALSE),"")</f>
      </c>
      <c r="D100" s="79">
        <f>IFERROR(VLOOKUP($A:$A,CS!$A:$AK,5,FALSE),"")</f>
      </c>
      <c r="E100" s="79">
        <f>IFERROR(VLOOKUP($A:$A,CS!$A:$AK,7,FALSE),"")</f>
      </c>
      <c r="F100" s="79">
        <f>IFERROR(VLOOKUP($A:$A,CS!$A:$AK,8,FALSE),"")</f>
      </c>
      <c r="G100" s="79">
        <f>IFERROR(VLOOKUP($A:$A,CS!$A:$AK,10,FALSE),"")</f>
      </c>
      <c r="H100" s="79">
        <f>IFERROR(VLOOKUP($A:$A,CS!$A:$AK,14,FALSE),"")</f>
      </c>
      <c r="I100" s="79">
        <f>IFERROR(VLOOKUP($A:$A,CS!$A:$AK,15,FALSE),"")</f>
      </c>
      <c r="J100" s="79">
        <f>IFERROR(VLOOKUP($A:$A,CS!$A:$AK,18,FALSE),"")</f>
      </c>
      <c r="K100" s="79">
        <f>IFERROR(VLOOKUP($A:$A,CS!$A:$AK,19,FALSE),"")</f>
      </c>
      <c r="L100" s="79">
        <f>IFERROR(VLOOKUP($A:$A,CS!$A:$AK,20,FALSE),"")</f>
      </c>
      <c r="M100" s="79">
        <f>IFERROR(VLOOKUP($A:$A,CS!$A:$AK,22,FALSE),"")</f>
      </c>
      <c r="N100" s="79">
        <f>IFERROR(VLOOKUP($A:$A,CS!$A:$AK,19,FALSE),"")</f>
      </c>
      <c r="O100" s="79">
        <f>IFERROR(VLOOKUP($A:$A,CS!$A:$AK,23,FALSE),"")</f>
      </c>
      <c r="P100" s="79">
        <f>IFERROR(VLOOKUP($A:$A,CS!$A:$AK,24,FALSE),"")</f>
      </c>
      <c r="Q100" s="79">
        <f>IFERROR(VLOOKUP($A:$A,CS!$A:$AK,25,FALSE),"")</f>
      </c>
      <c r="R100" s="79">
        <f>IFERROR(VLOOKUP($A:$A,CS!$A:$AK,26,FALSE),"")</f>
      </c>
      <c r="S100" s="79">
        <f>IFERROR(VLOOKUP($A:$A,CS!$A:$AK,29,FALSE),"")</f>
      </c>
      <c r="T100" s="79">
        <f>IFERROR(VLOOKUP($A:$A,CS!$A:$AK,33,FALSE),"")</f>
      </c>
      <c r="U100" s="79">
        <f>IFERROR(VLOOKUP($A:$A,CS!$A:$AK,34,FALSE),"")</f>
      </c>
      <c r="V100" s="79">
        <f>IFERROR(VLOOKUP($A:$A,CS!$A:$AK,35,FALSE),"")</f>
      </c>
      <c r="W100" s="79">
        <f>IFERROR(VLOOKUP($A:$A,CS!$A:$AK,36,FALSE),"")</f>
      </c>
    </row>
    <row r="101" ht="16.5" customHeight="1" spans="1:23" x14ac:dyDescent="0.25">
      <c r="A101" s="93"/>
      <c r="B101" s="79">
        <f>IFERROR(VLOOKUP($A:$A,CS!$A:$AK,3,FALSE),"")</f>
      </c>
      <c r="C101" s="79">
        <f>IFERROR(VLOOKUP($A:$A,CS!$A:$AK,4,FALSE),"")</f>
      </c>
      <c r="D101" s="79">
        <f>IFERROR(VLOOKUP($A:$A,CS!$A:$AK,5,FALSE),"")</f>
      </c>
      <c r="E101" s="79">
        <f>IFERROR(VLOOKUP($A:$A,CS!$A:$AK,7,FALSE),"")</f>
      </c>
      <c r="F101" s="79">
        <f>IFERROR(VLOOKUP($A:$A,CS!$A:$AK,8,FALSE),"")</f>
      </c>
      <c r="G101" s="79">
        <f>IFERROR(VLOOKUP($A:$A,CS!$A:$AK,10,FALSE),"")</f>
      </c>
      <c r="H101" s="79">
        <f>IFERROR(VLOOKUP($A:$A,CS!$A:$AK,14,FALSE),"")</f>
      </c>
      <c r="I101" s="79">
        <f>IFERROR(VLOOKUP($A:$A,CS!$A:$AK,15,FALSE),"")</f>
      </c>
      <c r="J101" s="79">
        <f>IFERROR(VLOOKUP($A:$A,CS!$A:$AK,18,FALSE),"")</f>
      </c>
      <c r="K101" s="79">
        <f>IFERROR(VLOOKUP($A:$A,CS!$A:$AK,19,FALSE),"")</f>
      </c>
      <c r="L101" s="79">
        <f>IFERROR(VLOOKUP($A:$A,CS!$A:$AK,20,FALSE),"")</f>
      </c>
      <c r="M101" s="79">
        <f>IFERROR(VLOOKUP($A:$A,CS!$A:$AK,22,FALSE),"")</f>
      </c>
      <c r="N101" s="79">
        <f>IFERROR(VLOOKUP($A:$A,CS!$A:$AK,19,FALSE),"")</f>
      </c>
      <c r="O101" s="79">
        <f>IFERROR(VLOOKUP($A:$A,CS!$A:$AK,23,FALSE),"")</f>
      </c>
      <c r="P101" s="79">
        <f>IFERROR(VLOOKUP($A:$A,CS!$A:$AK,24,FALSE),"")</f>
      </c>
      <c r="Q101" s="79">
        <f>IFERROR(VLOOKUP($A:$A,CS!$A:$AK,25,FALSE),"")</f>
      </c>
      <c r="R101" s="79">
        <f>IFERROR(VLOOKUP($A:$A,CS!$A:$AK,26,FALSE),"")</f>
      </c>
      <c r="S101" s="79">
        <f>IFERROR(VLOOKUP($A:$A,CS!$A:$AK,29,FALSE),"")</f>
      </c>
      <c r="T101" s="79">
        <f>IFERROR(VLOOKUP($A:$A,CS!$A:$AK,33,FALSE),"")</f>
      </c>
      <c r="U101" s="79">
        <f>IFERROR(VLOOKUP($A:$A,CS!$A:$AK,34,FALSE),"")</f>
      </c>
      <c r="V101" s="79">
        <f>IFERROR(VLOOKUP($A:$A,CS!$A:$AK,35,FALSE),"")</f>
      </c>
      <c r="W101" s="79">
        <f>IFERROR(VLOOKUP($A:$A,CS!$A:$AK,36,FALSE),"")</f>
      </c>
    </row>
    <row r="102" ht="16.5" customHeight="1" spans="1:23" x14ac:dyDescent="0.25">
      <c r="A102" s="93"/>
      <c r="B102" s="79">
        <f>IFERROR(VLOOKUP($A:$A,CS!$A:$AK,3,FALSE),"")</f>
      </c>
      <c r="C102" s="79">
        <f>IFERROR(VLOOKUP($A:$A,CS!$A:$AK,4,FALSE),"")</f>
      </c>
      <c r="D102" s="79">
        <f>IFERROR(VLOOKUP($A:$A,CS!$A:$AK,5,FALSE),"")</f>
      </c>
      <c r="E102" s="79">
        <f>IFERROR(VLOOKUP($A:$A,CS!$A:$AK,7,FALSE),"")</f>
      </c>
      <c r="F102" s="79">
        <f>IFERROR(VLOOKUP($A:$A,CS!$A:$AK,8,FALSE),"")</f>
      </c>
      <c r="G102" s="79">
        <f>IFERROR(VLOOKUP($A:$A,CS!$A:$AK,10,FALSE),"")</f>
      </c>
      <c r="H102" s="79">
        <f>IFERROR(VLOOKUP($A:$A,CS!$A:$AK,14,FALSE),"")</f>
      </c>
      <c r="I102" s="79">
        <f>IFERROR(VLOOKUP($A:$A,CS!$A:$AK,15,FALSE),"")</f>
      </c>
      <c r="J102" s="79">
        <f>IFERROR(VLOOKUP($A:$A,CS!$A:$AK,18,FALSE),"")</f>
      </c>
      <c r="K102" s="79">
        <f>IFERROR(VLOOKUP($A:$A,CS!$A:$AK,19,FALSE),"")</f>
      </c>
      <c r="L102" s="79">
        <f>IFERROR(VLOOKUP($A:$A,CS!$A:$AK,20,FALSE),"")</f>
      </c>
      <c r="M102" s="79">
        <f>IFERROR(VLOOKUP($A:$A,CS!$A:$AK,22,FALSE),"")</f>
      </c>
      <c r="N102" s="79">
        <f>IFERROR(VLOOKUP($A:$A,CS!$A:$AK,19,FALSE),"")</f>
      </c>
      <c r="O102" s="79">
        <f>IFERROR(VLOOKUP($A:$A,CS!$A:$AK,23,FALSE),"")</f>
      </c>
      <c r="P102" s="79">
        <f>IFERROR(VLOOKUP($A:$A,CS!$A:$AK,24,FALSE),"")</f>
      </c>
      <c r="Q102" s="79">
        <f>IFERROR(VLOOKUP($A:$A,CS!$A:$AK,25,FALSE),"")</f>
      </c>
      <c r="R102" s="79">
        <f>IFERROR(VLOOKUP($A:$A,CS!$A:$AK,26,FALSE),"")</f>
      </c>
      <c r="S102" s="79">
        <f>IFERROR(VLOOKUP($A:$A,CS!$A:$AK,29,FALSE),"")</f>
      </c>
      <c r="T102" s="79">
        <f>IFERROR(VLOOKUP($A:$A,CS!$A:$AK,33,FALSE),"")</f>
      </c>
      <c r="U102" s="79">
        <f>IFERROR(VLOOKUP($A:$A,CS!$A:$AK,34,FALSE),"")</f>
      </c>
      <c r="V102" s="79">
        <f>IFERROR(VLOOKUP($A:$A,CS!$A:$AK,35,FALSE),"")</f>
      </c>
      <c r="W102" s="79">
        <f>IFERROR(VLOOKUP($A:$A,CS!$A:$AK,36,FALSE),"")</f>
      </c>
    </row>
    <row r="103" ht="16.5" customHeight="1" spans="1:23" x14ac:dyDescent="0.25">
      <c r="A103" s="93"/>
      <c r="B103" s="79">
        <f>IFERROR(VLOOKUP($A:$A,CS!$A:$AK,3,FALSE),"")</f>
      </c>
      <c r="C103" s="79">
        <f>IFERROR(VLOOKUP($A:$A,CS!$A:$AK,4,FALSE),"")</f>
      </c>
      <c r="D103" s="79">
        <f>IFERROR(VLOOKUP($A:$A,CS!$A:$AK,5,FALSE),"")</f>
      </c>
      <c r="E103" s="79">
        <f>IFERROR(VLOOKUP($A:$A,CS!$A:$AK,7,FALSE),"")</f>
      </c>
      <c r="F103" s="79">
        <f>IFERROR(VLOOKUP($A:$A,CS!$A:$AK,8,FALSE),"")</f>
      </c>
      <c r="G103" s="79">
        <f>IFERROR(VLOOKUP($A:$A,CS!$A:$AK,10,FALSE),"")</f>
      </c>
      <c r="H103" s="79">
        <f>IFERROR(VLOOKUP($A:$A,CS!$A:$AK,14,FALSE),"")</f>
      </c>
      <c r="I103" s="79">
        <f>IFERROR(VLOOKUP($A:$A,CS!$A:$AK,15,FALSE),"")</f>
      </c>
      <c r="J103" s="79">
        <f>IFERROR(VLOOKUP($A:$A,CS!$A:$AK,18,FALSE),"")</f>
      </c>
      <c r="K103" s="79">
        <f>IFERROR(VLOOKUP($A:$A,CS!$A:$AK,19,FALSE),"")</f>
      </c>
      <c r="L103" s="79">
        <f>IFERROR(VLOOKUP($A:$A,CS!$A:$AK,20,FALSE),"")</f>
      </c>
      <c r="M103" s="79">
        <f>IFERROR(VLOOKUP($A:$A,CS!$A:$AK,22,FALSE),"")</f>
      </c>
      <c r="N103" s="79">
        <f>IFERROR(VLOOKUP($A:$A,CS!$A:$AK,19,FALSE),"")</f>
      </c>
      <c r="O103" s="79">
        <f>IFERROR(VLOOKUP($A:$A,CS!$A:$AK,23,FALSE),"")</f>
      </c>
      <c r="P103" s="79">
        <f>IFERROR(VLOOKUP($A:$A,CS!$A:$AK,24,FALSE),"")</f>
      </c>
      <c r="Q103" s="79">
        <f>IFERROR(VLOOKUP($A:$A,CS!$A:$AK,25,FALSE),"")</f>
      </c>
      <c r="R103" s="79">
        <f>IFERROR(VLOOKUP($A:$A,CS!$A:$AK,26,FALSE),"")</f>
      </c>
      <c r="S103" s="79">
        <f>IFERROR(VLOOKUP($A:$A,CS!$A:$AK,29,FALSE),"")</f>
      </c>
      <c r="T103" s="79">
        <f>IFERROR(VLOOKUP($A:$A,CS!$A:$AK,33,FALSE),"")</f>
      </c>
      <c r="U103" s="79">
        <f>IFERROR(VLOOKUP($A:$A,CS!$A:$AK,34,FALSE),"")</f>
      </c>
      <c r="V103" s="79">
        <f>IFERROR(VLOOKUP($A:$A,CS!$A:$AK,35,FALSE),"")</f>
      </c>
      <c r="W103" s="79">
        <f>IFERROR(VLOOKUP($A:$A,CS!$A:$AK,36,FALSE),"")</f>
      </c>
    </row>
    <row r="104" ht="16.5" customHeight="1" spans="1:23" x14ac:dyDescent="0.25">
      <c r="A104" s="93"/>
      <c r="B104" s="79">
        <f>IFERROR(VLOOKUP($A:$A,CS!$A:$AK,3,FALSE),"")</f>
      </c>
      <c r="C104" s="79">
        <f>IFERROR(VLOOKUP($A:$A,CS!$A:$AK,4,FALSE),"")</f>
      </c>
      <c r="D104" s="79">
        <f>IFERROR(VLOOKUP($A:$A,CS!$A:$AK,5,FALSE),"")</f>
      </c>
      <c r="E104" s="79">
        <f>IFERROR(VLOOKUP($A:$A,CS!$A:$AK,7,FALSE),"")</f>
      </c>
      <c r="F104" s="79">
        <f>IFERROR(VLOOKUP($A:$A,CS!$A:$AK,8,FALSE),"")</f>
      </c>
      <c r="G104" s="79">
        <f>IFERROR(VLOOKUP($A:$A,CS!$A:$AK,10,FALSE),"")</f>
      </c>
      <c r="H104" s="79">
        <f>IFERROR(VLOOKUP($A:$A,CS!$A:$AK,14,FALSE),"")</f>
      </c>
      <c r="I104" s="79">
        <f>IFERROR(VLOOKUP($A:$A,CS!$A:$AK,15,FALSE),"")</f>
      </c>
      <c r="J104" s="79">
        <f>IFERROR(VLOOKUP($A:$A,CS!$A:$AK,18,FALSE),"")</f>
      </c>
      <c r="K104" s="79">
        <f>IFERROR(VLOOKUP($A:$A,CS!$A:$AK,19,FALSE),"")</f>
      </c>
      <c r="L104" s="79">
        <f>IFERROR(VLOOKUP($A:$A,CS!$A:$AK,20,FALSE),"")</f>
      </c>
      <c r="M104" s="79">
        <f>IFERROR(VLOOKUP($A:$A,CS!$A:$AK,22,FALSE),"")</f>
      </c>
      <c r="N104" s="79">
        <f>IFERROR(VLOOKUP($A:$A,CS!$A:$AK,19,FALSE),"")</f>
      </c>
      <c r="O104" s="79">
        <f>IFERROR(VLOOKUP($A:$A,CS!$A:$AK,23,FALSE),"")</f>
      </c>
      <c r="P104" s="79">
        <f>IFERROR(VLOOKUP($A:$A,CS!$A:$AK,24,FALSE),"")</f>
      </c>
      <c r="Q104" s="79">
        <f>IFERROR(VLOOKUP($A:$A,CS!$A:$AK,25,FALSE),"")</f>
      </c>
      <c r="R104" s="79">
        <f>IFERROR(VLOOKUP($A:$A,CS!$A:$AK,26,FALSE),"")</f>
      </c>
      <c r="S104" s="79">
        <f>IFERROR(VLOOKUP($A:$A,CS!$A:$AK,29,FALSE),"")</f>
      </c>
      <c r="T104" s="79">
        <f>IFERROR(VLOOKUP($A:$A,CS!$A:$AK,33,FALSE),"")</f>
      </c>
      <c r="U104" s="79">
        <f>IFERROR(VLOOKUP($A:$A,CS!$A:$AK,34,FALSE),"")</f>
      </c>
      <c r="V104" s="79">
        <f>IFERROR(VLOOKUP($A:$A,CS!$A:$AK,35,FALSE),"")</f>
      </c>
      <c r="W104" s="79">
        <f>IFERROR(VLOOKUP($A:$A,CS!$A:$AK,36,FALSE),"")</f>
      </c>
    </row>
    <row r="105" ht="16.5" customHeight="1" spans="1:23" x14ac:dyDescent="0.25">
      <c r="A105" s="93"/>
      <c r="B105" s="79">
        <f>IFERROR(VLOOKUP($A:$A,CS!$A:$AK,3,FALSE),"")</f>
      </c>
      <c r="C105" s="79">
        <f>IFERROR(VLOOKUP($A:$A,CS!$A:$AK,4,FALSE),"")</f>
      </c>
      <c r="D105" s="79">
        <f>IFERROR(VLOOKUP($A:$A,CS!$A:$AK,5,FALSE),"")</f>
      </c>
      <c r="E105" s="79">
        <f>IFERROR(VLOOKUP($A:$A,CS!$A:$AK,7,FALSE),"")</f>
      </c>
      <c r="F105" s="79">
        <f>IFERROR(VLOOKUP($A:$A,CS!$A:$AK,8,FALSE),"")</f>
      </c>
      <c r="G105" s="79">
        <f>IFERROR(VLOOKUP($A:$A,CS!$A:$AK,10,FALSE),"")</f>
      </c>
      <c r="H105" s="79">
        <f>IFERROR(VLOOKUP($A:$A,CS!$A:$AK,14,FALSE),"")</f>
      </c>
      <c r="I105" s="79">
        <f>IFERROR(VLOOKUP($A:$A,CS!$A:$AK,15,FALSE),"")</f>
      </c>
      <c r="J105" s="79">
        <f>IFERROR(VLOOKUP($A:$A,CS!$A:$AK,18,FALSE),"")</f>
      </c>
      <c r="K105" s="79">
        <f>IFERROR(VLOOKUP($A:$A,CS!$A:$AK,19,FALSE),"")</f>
      </c>
      <c r="L105" s="79">
        <f>IFERROR(VLOOKUP($A:$A,CS!$A:$AK,20,FALSE),"")</f>
      </c>
      <c r="M105" s="79">
        <f>IFERROR(VLOOKUP($A:$A,CS!$A:$AK,22,FALSE),"")</f>
      </c>
      <c r="N105" s="79">
        <f>IFERROR(VLOOKUP($A:$A,CS!$A:$AK,19,FALSE),"")</f>
      </c>
      <c r="O105" s="79">
        <f>IFERROR(VLOOKUP($A:$A,CS!$A:$AK,23,FALSE),"")</f>
      </c>
      <c r="P105" s="79">
        <f>IFERROR(VLOOKUP($A:$A,CS!$A:$AK,24,FALSE),"")</f>
      </c>
      <c r="Q105" s="79">
        <f>IFERROR(VLOOKUP($A:$A,CS!$A:$AK,25,FALSE),"")</f>
      </c>
      <c r="R105" s="79">
        <f>IFERROR(VLOOKUP($A:$A,CS!$A:$AK,26,FALSE),"")</f>
      </c>
      <c r="S105" s="79">
        <f>IFERROR(VLOOKUP($A:$A,CS!$A:$AK,29,FALSE),"")</f>
      </c>
      <c r="T105" s="79">
        <f>IFERROR(VLOOKUP($A:$A,CS!$A:$AK,33,FALSE),"")</f>
      </c>
      <c r="U105" s="79">
        <f>IFERROR(VLOOKUP($A:$A,CS!$A:$AK,34,FALSE),"")</f>
      </c>
      <c r="V105" s="79">
        <f>IFERROR(VLOOKUP($A:$A,CS!$A:$AK,35,FALSE),"")</f>
      </c>
      <c r="W105" s="79">
        <f>IFERROR(VLOOKUP($A:$A,CS!$A:$AK,36,FALSE),"")</f>
      </c>
    </row>
    <row r="106" ht="16.5" customHeight="1" spans="1:23" x14ac:dyDescent="0.25">
      <c r="A106" s="93"/>
      <c r="B106" s="79">
        <f>IFERROR(VLOOKUP($A:$A,CS!$A:$AK,3,FALSE),"")</f>
      </c>
      <c r="C106" s="79">
        <f>IFERROR(VLOOKUP($A:$A,CS!$A:$AK,4,FALSE),"")</f>
      </c>
      <c r="D106" s="79">
        <f>IFERROR(VLOOKUP($A:$A,CS!$A:$AK,5,FALSE),"")</f>
      </c>
      <c r="E106" s="79">
        <f>IFERROR(VLOOKUP($A:$A,CS!$A:$AK,7,FALSE),"")</f>
      </c>
      <c r="F106" s="79">
        <f>IFERROR(VLOOKUP($A:$A,CS!$A:$AK,8,FALSE),"")</f>
      </c>
      <c r="G106" s="79">
        <f>IFERROR(VLOOKUP($A:$A,CS!$A:$AK,10,FALSE),"")</f>
      </c>
      <c r="H106" s="79">
        <f>IFERROR(VLOOKUP($A:$A,CS!$A:$AK,14,FALSE),"")</f>
      </c>
      <c r="I106" s="79">
        <f>IFERROR(VLOOKUP($A:$A,CS!$A:$AK,15,FALSE),"")</f>
      </c>
      <c r="J106" s="79">
        <f>IFERROR(VLOOKUP($A:$A,CS!$A:$AK,18,FALSE),"")</f>
      </c>
      <c r="K106" s="79">
        <f>IFERROR(VLOOKUP($A:$A,CS!$A:$AK,19,FALSE),"")</f>
      </c>
      <c r="L106" s="79">
        <f>IFERROR(VLOOKUP($A:$A,CS!$A:$AK,20,FALSE),"")</f>
      </c>
      <c r="M106" s="79">
        <f>IFERROR(VLOOKUP($A:$A,CS!$A:$AK,22,FALSE),"")</f>
      </c>
      <c r="N106" s="79">
        <f>IFERROR(VLOOKUP($A:$A,CS!$A:$AK,19,FALSE),"")</f>
      </c>
      <c r="O106" s="79">
        <f>IFERROR(VLOOKUP($A:$A,CS!$A:$AK,23,FALSE),"")</f>
      </c>
      <c r="P106" s="79">
        <f>IFERROR(VLOOKUP($A:$A,CS!$A:$AK,24,FALSE),"")</f>
      </c>
      <c r="Q106" s="79">
        <f>IFERROR(VLOOKUP($A:$A,CS!$A:$AK,25,FALSE),"")</f>
      </c>
      <c r="R106" s="79">
        <f>IFERROR(VLOOKUP($A:$A,CS!$A:$AK,26,FALSE),"")</f>
      </c>
      <c r="S106" s="79">
        <f>IFERROR(VLOOKUP($A:$A,CS!$A:$AK,29,FALSE),"")</f>
      </c>
      <c r="T106" s="79">
        <f>IFERROR(VLOOKUP($A:$A,CS!$A:$AK,33,FALSE),"")</f>
      </c>
      <c r="U106" s="79">
        <f>IFERROR(VLOOKUP($A:$A,CS!$A:$AK,34,FALSE),"")</f>
      </c>
      <c r="V106" s="79">
        <f>IFERROR(VLOOKUP($A:$A,CS!$A:$AK,35,FALSE),"")</f>
      </c>
      <c r="W106" s="79">
        <f>IFERROR(VLOOKUP($A:$A,CS!$A:$AK,36,FALSE),"")</f>
      </c>
    </row>
    <row r="107" ht="16.5" customHeight="1" spans="1:23" x14ac:dyDescent="0.25">
      <c r="A107" s="93"/>
      <c r="B107" s="79">
        <f>IFERROR(VLOOKUP($A:$A,CS!$A:$AK,3,FALSE),"")</f>
      </c>
      <c r="C107" s="79">
        <f>IFERROR(VLOOKUP($A:$A,CS!$A:$AK,4,FALSE),"")</f>
      </c>
      <c r="D107" s="79">
        <f>IFERROR(VLOOKUP($A:$A,CS!$A:$AK,5,FALSE),"")</f>
      </c>
      <c r="E107" s="79">
        <f>IFERROR(VLOOKUP($A:$A,CS!$A:$AK,7,FALSE),"")</f>
      </c>
      <c r="F107" s="79">
        <f>IFERROR(VLOOKUP($A:$A,CS!$A:$AK,8,FALSE),"")</f>
      </c>
      <c r="G107" s="79">
        <f>IFERROR(VLOOKUP($A:$A,CS!$A:$AK,10,FALSE),"")</f>
      </c>
      <c r="H107" s="79">
        <f>IFERROR(VLOOKUP($A:$A,CS!$A:$AK,14,FALSE),"")</f>
      </c>
      <c r="I107" s="79">
        <f>IFERROR(VLOOKUP($A:$A,CS!$A:$AK,15,FALSE),"")</f>
      </c>
      <c r="J107" s="79">
        <f>IFERROR(VLOOKUP($A:$A,CS!$A:$AK,18,FALSE),"")</f>
      </c>
      <c r="K107" s="79">
        <f>IFERROR(VLOOKUP($A:$A,CS!$A:$AK,19,FALSE),"")</f>
      </c>
      <c r="L107" s="79">
        <f>IFERROR(VLOOKUP($A:$A,CS!$A:$AK,20,FALSE),"")</f>
      </c>
      <c r="M107" s="79">
        <f>IFERROR(VLOOKUP($A:$A,CS!$A:$AK,22,FALSE),"")</f>
      </c>
      <c r="N107" s="79">
        <f>IFERROR(VLOOKUP($A:$A,CS!$A:$AK,19,FALSE),"")</f>
      </c>
      <c r="O107" s="79">
        <f>IFERROR(VLOOKUP($A:$A,CS!$A:$AK,23,FALSE),"")</f>
      </c>
      <c r="P107" s="79">
        <f>IFERROR(VLOOKUP($A:$A,CS!$A:$AK,24,FALSE),"")</f>
      </c>
      <c r="Q107" s="79">
        <f>IFERROR(VLOOKUP($A:$A,CS!$A:$AK,25,FALSE),"")</f>
      </c>
      <c r="R107" s="79">
        <f>IFERROR(VLOOKUP($A:$A,CS!$A:$AK,26,FALSE),"")</f>
      </c>
      <c r="S107" s="79">
        <f>IFERROR(VLOOKUP($A:$A,CS!$A:$AK,29,FALSE),"")</f>
      </c>
      <c r="T107" s="79">
        <f>IFERROR(VLOOKUP($A:$A,CS!$A:$AK,33,FALSE),"")</f>
      </c>
      <c r="U107" s="79">
        <f>IFERROR(VLOOKUP($A:$A,CS!$A:$AK,34,FALSE),"")</f>
      </c>
      <c r="V107" s="79">
        <f>IFERROR(VLOOKUP($A:$A,CS!$A:$AK,35,FALSE),"")</f>
      </c>
      <c r="W107" s="79">
        <f>IFERROR(VLOOKUP($A:$A,CS!$A:$AK,36,FALSE),"")</f>
      </c>
    </row>
    <row r="108" ht="16.5" customHeight="1" spans="1:23" x14ac:dyDescent="0.25">
      <c r="A108" s="93"/>
      <c r="B108" s="79">
        <f>IFERROR(VLOOKUP($A:$A,CS!$A:$AK,3,FALSE),"")</f>
      </c>
      <c r="C108" s="79">
        <f>IFERROR(VLOOKUP($A:$A,CS!$A:$AK,4,FALSE),"")</f>
      </c>
      <c r="D108" s="79">
        <f>IFERROR(VLOOKUP($A:$A,CS!$A:$AK,5,FALSE),"")</f>
      </c>
      <c r="E108" s="79">
        <f>IFERROR(VLOOKUP($A:$A,CS!$A:$AK,7,FALSE),"")</f>
      </c>
      <c r="F108" s="79">
        <f>IFERROR(VLOOKUP($A:$A,CS!$A:$AK,8,FALSE),"")</f>
      </c>
      <c r="G108" s="79">
        <f>IFERROR(VLOOKUP($A:$A,CS!$A:$AK,10,FALSE),"")</f>
      </c>
      <c r="H108" s="79">
        <f>IFERROR(VLOOKUP($A:$A,CS!$A:$AK,14,FALSE),"")</f>
      </c>
      <c r="I108" s="79">
        <f>IFERROR(VLOOKUP($A:$A,CS!$A:$AK,15,FALSE),"")</f>
      </c>
      <c r="J108" s="79">
        <f>IFERROR(VLOOKUP($A:$A,CS!$A:$AK,18,FALSE),"")</f>
      </c>
      <c r="K108" s="79">
        <f>IFERROR(VLOOKUP($A:$A,CS!$A:$AK,19,FALSE),"")</f>
      </c>
      <c r="L108" s="79">
        <f>IFERROR(VLOOKUP($A:$A,CS!$A:$AK,20,FALSE),"")</f>
      </c>
      <c r="M108" s="79">
        <f>IFERROR(VLOOKUP($A:$A,CS!$A:$AK,22,FALSE),"")</f>
      </c>
      <c r="N108" s="79">
        <f>IFERROR(VLOOKUP($A:$A,CS!$A:$AK,19,FALSE),"")</f>
      </c>
      <c r="O108" s="79">
        <f>IFERROR(VLOOKUP($A:$A,CS!$A:$AK,23,FALSE),"")</f>
      </c>
      <c r="P108" s="79">
        <f>IFERROR(VLOOKUP($A:$A,CS!$A:$AK,24,FALSE),"")</f>
      </c>
      <c r="Q108" s="79">
        <f>IFERROR(VLOOKUP($A:$A,CS!$A:$AK,25,FALSE),"")</f>
      </c>
      <c r="R108" s="79">
        <f>IFERROR(VLOOKUP($A:$A,CS!$A:$AK,26,FALSE),"")</f>
      </c>
      <c r="S108" s="79">
        <f>IFERROR(VLOOKUP($A:$A,CS!$A:$AK,29,FALSE),"")</f>
      </c>
      <c r="T108" s="79">
        <f>IFERROR(VLOOKUP($A:$A,CS!$A:$AK,33,FALSE),"")</f>
      </c>
      <c r="U108" s="79">
        <f>IFERROR(VLOOKUP($A:$A,CS!$A:$AK,34,FALSE),"")</f>
      </c>
      <c r="V108" s="79">
        <f>IFERROR(VLOOKUP($A:$A,CS!$A:$AK,35,FALSE),"")</f>
      </c>
      <c r="W108" s="79">
        <f>IFERROR(VLOOKUP($A:$A,CS!$A:$AK,36,FALSE),"")</f>
      </c>
    </row>
    <row r="109" ht="16.5" customHeight="1" spans="1:23" x14ac:dyDescent="0.25">
      <c r="A109" s="93"/>
      <c r="B109" s="79">
        <f>IFERROR(VLOOKUP($A:$A,CS!$A:$AK,3,FALSE),"")</f>
      </c>
      <c r="C109" s="79">
        <f>IFERROR(VLOOKUP($A:$A,CS!$A:$AK,4,FALSE),"")</f>
      </c>
      <c r="D109" s="79">
        <f>IFERROR(VLOOKUP($A:$A,CS!$A:$AK,5,FALSE),"")</f>
      </c>
      <c r="E109" s="79">
        <f>IFERROR(VLOOKUP($A:$A,CS!$A:$AK,7,FALSE),"")</f>
      </c>
      <c r="F109" s="79">
        <f>IFERROR(VLOOKUP($A:$A,CS!$A:$AK,8,FALSE),"")</f>
      </c>
      <c r="G109" s="79">
        <f>IFERROR(VLOOKUP($A:$A,CS!$A:$AK,10,FALSE),"")</f>
      </c>
      <c r="H109" s="79">
        <f>IFERROR(VLOOKUP($A:$A,CS!$A:$AK,14,FALSE),"")</f>
      </c>
      <c r="I109" s="79">
        <f>IFERROR(VLOOKUP($A:$A,CS!$A:$AK,15,FALSE),"")</f>
      </c>
      <c r="J109" s="79">
        <f>IFERROR(VLOOKUP($A:$A,CS!$A:$AK,18,FALSE),"")</f>
      </c>
      <c r="K109" s="79">
        <f>IFERROR(VLOOKUP($A:$A,CS!$A:$AK,19,FALSE),"")</f>
      </c>
      <c r="L109" s="79">
        <f>IFERROR(VLOOKUP($A:$A,CS!$A:$AK,20,FALSE),"")</f>
      </c>
      <c r="M109" s="79">
        <f>IFERROR(VLOOKUP($A:$A,CS!$A:$AK,22,FALSE),"")</f>
      </c>
      <c r="N109" s="79">
        <f>IFERROR(VLOOKUP($A:$A,CS!$A:$AK,19,FALSE),"")</f>
      </c>
      <c r="O109" s="79">
        <f>IFERROR(VLOOKUP($A:$A,CS!$A:$AK,23,FALSE),"")</f>
      </c>
      <c r="P109" s="79">
        <f>IFERROR(VLOOKUP($A:$A,CS!$A:$AK,24,FALSE),"")</f>
      </c>
      <c r="Q109" s="79">
        <f>IFERROR(VLOOKUP($A:$A,CS!$A:$AK,25,FALSE),"")</f>
      </c>
      <c r="R109" s="79">
        <f>IFERROR(VLOOKUP($A:$A,CS!$A:$AK,26,FALSE),"")</f>
      </c>
      <c r="S109" s="79">
        <f>IFERROR(VLOOKUP($A:$A,CS!$A:$AK,29,FALSE),"")</f>
      </c>
      <c r="T109" s="79">
        <f>IFERROR(VLOOKUP($A:$A,CS!$A:$AK,33,FALSE),"")</f>
      </c>
      <c r="U109" s="79">
        <f>IFERROR(VLOOKUP($A:$A,CS!$A:$AK,34,FALSE),"")</f>
      </c>
      <c r="V109" s="79">
        <f>IFERROR(VLOOKUP($A:$A,CS!$A:$AK,35,FALSE),"")</f>
      </c>
      <c r="W109" s="79">
        <f>IFERROR(VLOOKUP($A:$A,CS!$A:$AK,36,FALSE),"")</f>
      </c>
    </row>
    <row r="110" ht="16.5" customHeight="1" spans="1:23" x14ac:dyDescent="0.25">
      <c r="A110" s="93"/>
      <c r="B110" s="79">
        <f>IFERROR(VLOOKUP($A:$A,CS!$A:$AK,3,FALSE),"")</f>
      </c>
      <c r="C110" s="79">
        <f>IFERROR(VLOOKUP($A:$A,CS!$A:$AK,4,FALSE),"")</f>
      </c>
      <c r="D110" s="79">
        <f>IFERROR(VLOOKUP($A:$A,CS!$A:$AK,5,FALSE),"")</f>
      </c>
      <c r="E110" s="79">
        <f>IFERROR(VLOOKUP($A:$A,CS!$A:$AK,7,FALSE),"")</f>
      </c>
      <c r="F110" s="79">
        <f>IFERROR(VLOOKUP($A:$A,CS!$A:$AK,8,FALSE),"")</f>
      </c>
      <c r="G110" s="79">
        <f>IFERROR(VLOOKUP($A:$A,CS!$A:$AK,10,FALSE),"")</f>
      </c>
      <c r="H110" s="79">
        <f>IFERROR(VLOOKUP($A:$A,CS!$A:$AK,14,FALSE),"")</f>
      </c>
      <c r="I110" s="79">
        <f>IFERROR(VLOOKUP($A:$A,CS!$A:$AK,15,FALSE),"")</f>
      </c>
      <c r="J110" s="79">
        <f>IFERROR(VLOOKUP($A:$A,CS!$A:$AK,18,FALSE),"")</f>
      </c>
      <c r="K110" s="79">
        <f>IFERROR(VLOOKUP($A:$A,CS!$A:$AK,19,FALSE),"")</f>
      </c>
      <c r="L110" s="79">
        <f>IFERROR(VLOOKUP($A:$A,CS!$A:$AK,20,FALSE),"")</f>
      </c>
      <c r="M110" s="79">
        <f>IFERROR(VLOOKUP($A:$A,CS!$A:$AK,22,FALSE),"")</f>
      </c>
      <c r="N110" s="79">
        <f>IFERROR(VLOOKUP($A:$A,CS!$A:$AK,19,FALSE),"")</f>
      </c>
      <c r="O110" s="79">
        <f>IFERROR(VLOOKUP($A:$A,CS!$A:$AK,23,FALSE),"")</f>
      </c>
      <c r="P110" s="79">
        <f>IFERROR(VLOOKUP($A:$A,CS!$A:$AK,24,FALSE),"")</f>
      </c>
      <c r="Q110" s="79">
        <f>IFERROR(VLOOKUP($A:$A,CS!$A:$AK,25,FALSE),"")</f>
      </c>
      <c r="R110" s="79">
        <f>IFERROR(VLOOKUP($A:$A,CS!$A:$AK,26,FALSE),"")</f>
      </c>
      <c r="S110" s="79">
        <f>IFERROR(VLOOKUP($A:$A,CS!$A:$AK,29,FALSE),"")</f>
      </c>
      <c r="T110" s="79">
        <f>IFERROR(VLOOKUP($A:$A,CS!$A:$AK,33,FALSE),"")</f>
      </c>
      <c r="U110" s="79">
        <f>IFERROR(VLOOKUP($A:$A,CS!$A:$AK,34,FALSE),"")</f>
      </c>
      <c r="V110" s="79">
        <f>IFERROR(VLOOKUP($A:$A,CS!$A:$AK,35,FALSE),"")</f>
      </c>
      <c r="W110" s="79">
        <f>IFERROR(VLOOKUP($A:$A,CS!$A:$AK,36,FALSE),"")</f>
      </c>
    </row>
    <row r="111" ht="16.5" customHeight="1" spans="1:23" x14ac:dyDescent="0.25">
      <c r="A111" s="93"/>
      <c r="B111" s="79">
        <f>IFERROR(VLOOKUP($A:$A,CS!$A:$AK,3,FALSE),"")</f>
      </c>
      <c r="C111" s="79">
        <f>IFERROR(VLOOKUP($A:$A,CS!$A:$AK,4,FALSE),"")</f>
      </c>
      <c r="D111" s="79">
        <f>IFERROR(VLOOKUP($A:$A,CS!$A:$AK,5,FALSE),"")</f>
      </c>
      <c r="E111" s="79">
        <f>IFERROR(VLOOKUP($A:$A,CS!$A:$AK,7,FALSE),"")</f>
      </c>
      <c r="F111" s="79">
        <f>IFERROR(VLOOKUP($A:$A,CS!$A:$AK,8,FALSE),"")</f>
      </c>
      <c r="G111" s="79">
        <f>IFERROR(VLOOKUP($A:$A,CS!$A:$AK,10,FALSE),"")</f>
      </c>
      <c r="H111" s="79">
        <f>IFERROR(VLOOKUP($A:$A,CS!$A:$AK,14,FALSE),"")</f>
      </c>
      <c r="I111" s="79">
        <f>IFERROR(VLOOKUP($A:$A,CS!$A:$AK,15,FALSE),"")</f>
      </c>
      <c r="J111" s="79">
        <f>IFERROR(VLOOKUP($A:$A,CS!$A:$AK,18,FALSE),"")</f>
      </c>
      <c r="K111" s="79">
        <f>IFERROR(VLOOKUP($A:$A,CS!$A:$AK,19,FALSE),"")</f>
      </c>
      <c r="L111" s="79">
        <f>IFERROR(VLOOKUP($A:$A,CS!$A:$AK,20,FALSE),"")</f>
      </c>
      <c r="M111" s="79">
        <f>IFERROR(VLOOKUP($A:$A,CS!$A:$AK,22,FALSE),"")</f>
      </c>
      <c r="N111" s="79">
        <f>IFERROR(VLOOKUP($A:$A,CS!$A:$AK,19,FALSE),"")</f>
      </c>
      <c r="O111" s="79">
        <f>IFERROR(VLOOKUP($A:$A,CS!$A:$AK,23,FALSE),"")</f>
      </c>
      <c r="P111" s="79">
        <f>IFERROR(VLOOKUP($A:$A,CS!$A:$AK,24,FALSE),"")</f>
      </c>
      <c r="Q111" s="79">
        <f>IFERROR(VLOOKUP($A:$A,CS!$A:$AK,25,FALSE),"")</f>
      </c>
      <c r="R111" s="79">
        <f>IFERROR(VLOOKUP($A:$A,CS!$A:$AK,26,FALSE),"")</f>
      </c>
      <c r="S111" s="79">
        <f>IFERROR(VLOOKUP($A:$A,CS!$A:$AK,29,FALSE),"")</f>
      </c>
      <c r="T111" s="79">
        <f>IFERROR(VLOOKUP($A:$A,CS!$A:$AK,33,FALSE),"")</f>
      </c>
      <c r="U111" s="79">
        <f>IFERROR(VLOOKUP($A:$A,CS!$A:$AK,34,FALSE),"")</f>
      </c>
      <c r="V111" s="79">
        <f>IFERROR(VLOOKUP($A:$A,CS!$A:$AK,35,FALSE),"")</f>
      </c>
      <c r="W111" s="79">
        <f>IFERROR(VLOOKUP($A:$A,CS!$A:$AK,36,FALSE),"")</f>
      </c>
    </row>
    <row r="112" ht="16.5" customHeight="1" spans="1:23" x14ac:dyDescent="0.25">
      <c r="A112" s="93"/>
      <c r="B112" s="79">
        <f>IFERROR(VLOOKUP($A:$A,CS!$A:$AK,3,FALSE),"")</f>
      </c>
      <c r="C112" s="79">
        <f>IFERROR(VLOOKUP($A:$A,CS!$A:$AK,4,FALSE),"")</f>
      </c>
      <c r="D112" s="79">
        <f>IFERROR(VLOOKUP($A:$A,CS!$A:$AK,5,FALSE),"")</f>
      </c>
      <c r="E112" s="79">
        <f>IFERROR(VLOOKUP($A:$A,CS!$A:$AK,7,FALSE),"")</f>
      </c>
      <c r="F112" s="79">
        <f>IFERROR(VLOOKUP($A:$A,CS!$A:$AK,8,FALSE),"")</f>
      </c>
      <c r="G112" s="79">
        <f>IFERROR(VLOOKUP($A:$A,CS!$A:$AK,10,FALSE),"")</f>
      </c>
      <c r="H112" s="79">
        <f>IFERROR(VLOOKUP($A:$A,CS!$A:$AK,14,FALSE),"")</f>
      </c>
      <c r="I112" s="79">
        <f>IFERROR(VLOOKUP($A:$A,CS!$A:$AK,15,FALSE),"")</f>
      </c>
      <c r="J112" s="79">
        <f>IFERROR(VLOOKUP($A:$A,CS!$A:$AK,18,FALSE),"")</f>
      </c>
      <c r="K112" s="79">
        <f>IFERROR(VLOOKUP($A:$A,CS!$A:$AK,19,FALSE),"")</f>
      </c>
      <c r="L112" s="79">
        <f>IFERROR(VLOOKUP($A:$A,CS!$A:$AK,20,FALSE),"")</f>
      </c>
      <c r="M112" s="79">
        <f>IFERROR(VLOOKUP($A:$A,CS!$A:$AK,22,FALSE),"")</f>
      </c>
      <c r="N112" s="79">
        <f>IFERROR(VLOOKUP($A:$A,CS!$A:$AK,19,FALSE),"")</f>
      </c>
      <c r="O112" s="79">
        <f>IFERROR(VLOOKUP($A:$A,CS!$A:$AK,23,FALSE),"")</f>
      </c>
      <c r="P112" s="79">
        <f>IFERROR(VLOOKUP($A:$A,CS!$A:$AK,24,FALSE),"")</f>
      </c>
      <c r="Q112" s="79">
        <f>IFERROR(VLOOKUP($A:$A,CS!$A:$AK,25,FALSE),"")</f>
      </c>
      <c r="R112" s="79">
        <f>IFERROR(VLOOKUP($A:$A,CS!$A:$AK,26,FALSE),"")</f>
      </c>
      <c r="S112" s="79">
        <f>IFERROR(VLOOKUP($A:$A,CS!$A:$AK,29,FALSE),"")</f>
      </c>
      <c r="T112" s="79">
        <f>IFERROR(VLOOKUP($A:$A,CS!$A:$AK,33,FALSE),"")</f>
      </c>
      <c r="U112" s="79">
        <f>IFERROR(VLOOKUP($A:$A,CS!$A:$AK,34,FALSE),"")</f>
      </c>
      <c r="V112" s="79">
        <f>IFERROR(VLOOKUP($A:$A,CS!$A:$AK,35,FALSE),"")</f>
      </c>
      <c r="W112" s="79">
        <f>IFERROR(VLOOKUP($A:$A,CS!$A:$AK,36,FALSE),"")</f>
      </c>
    </row>
    <row r="113" ht="16.5" customHeight="1" spans="1:23" x14ac:dyDescent="0.25">
      <c r="A113" s="93"/>
      <c r="B113" s="79">
        <f>IFERROR(VLOOKUP($A:$A,CS!$A:$AK,3,FALSE),"")</f>
      </c>
      <c r="C113" s="79">
        <f>IFERROR(VLOOKUP($A:$A,CS!$A:$AK,4,FALSE),"")</f>
      </c>
      <c r="D113" s="79">
        <f>IFERROR(VLOOKUP($A:$A,CS!$A:$AK,5,FALSE),"")</f>
      </c>
      <c r="E113" s="79">
        <f>IFERROR(VLOOKUP($A:$A,CS!$A:$AK,7,FALSE),"")</f>
      </c>
      <c r="F113" s="79">
        <f>IFERROR(VLOOKUP($A:$A,CS!$A:$AK,8,FALSE),"")</f>
      </c>
      <c r="G113" s="79">
        <f>IFERROR(VLOOKUP($A:$A,CS!$A:$AK,10,FALSE),"")</f>
      </c>
      <c r="H113" s="79">
        <f>IFERROR(VLOOKUP($A:$A,CS!$A:$AK,14,FALSE),"")</f>
      </c>
      <c r="I113" s="79">
        <f>IFERROR(VLOOKUP($A:$A,CS!$A:$AK,15,FALSE),"")</f>
      </c>
      <c r="J113" s="79">
        <f>IFERROR(VLOOKUP($A:$A,CS!$A:$AK,18,FALSE),"")</f>
      </c>
      <c r="K113" s="79">
        <f>IFERROR(VLOOKUP($A:$A,CS!$A:$AK,19,FALSE),"")</f>
      </c>
      <c r="L113" s="79">
        <f>IFERROR(VLOOKUP($A:$A,CS!$A:$AK,20,FALSE),"")</f>
      </c>
      <c r="M113" s="79">
        <f>IFERROR(VLOOKUP($A:$A,CS!$A:$AK,22,FALSE),"")</f>
      </c>
      <c r="N113" s="79">
        <f>IFERROR(VLOOKUP($A:$A,CS!$A:$AK,19,FALSE),"")</f>
      </c>
      <c r="O113" s="79">
        <f>IFERROR(VLOOKUP($A:$A,CS!$A:$AK,23,FALSE),"")</f>
      </c>
      <c r="P113" s="79">
        <f>IFERROR(VLOOKUP($A:$A,CS!$A:$AK,24,FALSE),"")</f>
      </c>
      <c r="Q113" s="79">
        <f>IFERROR(VLOOKUP($A:$A,CS!$A:$AK,25,FALSE),"")</f>
      </c>
      <c r="R113" s="79">
        <f>IFERROR(VLOOKUP($A:$A,CS!$A:$AK,26,FALSE),"")</f>
      </c>
      <c r="S113" s="79">
        <f>IFERROR(VLOOKUP($A:$A,CS!$A:$AK,29,FALSE),"")</f>
      </c>
      <c r="T113" s="79">
        <f>IFERROR(VLOOKUP($A:$A,CS!$A:$AK,33,FALSE),"")</f>
      </c>
      <c r="U113" s="79">
        <f>IFERROR(VLOOKUP($A:$A,CS!$A:$AK,34,FALSE),"")</f>
      </c>
      <c r="V113" s="79">
        <f>IFERROR(VLOOKUP($A:$A,CS!$A:$AK,35,FALSE),"")</f>
      </c>
      <c r="W113" s="79">
        <f>IFERROR(VLOOKUP($A:$A,CS!$A:$AK,36,FALSE),"")</f>
      </c>
    </row>
    <row r="114" ht="16.5" customHeight="1" spans="1:23" x14ac:dyDescent="0.25">
      <c r="A114" s="93"/>
      <c r="B114" s="79">
        <f>IFERROR(VLOOKUP($A:$A,CS!$A:$AK,3,FALSE),"")</f>
      </c>
      <c r="C114" s="79">
        <f>IFERROR(VLOOKUP($A:$A,CS!$A:$AK,4,FALSE),"")</f>
      </c>
      <c r="D114" s="79">
        <f>IFERROR(VLOOKUP($A:$A,CS!$A:$AK,5,FALSE),"")</f>
      </c>
      <c r="E114" s="79">
        <f>IFERROR(VLOOKUP($A:$A,CS!$A:$AK,7,FALSE),"")</f>
      </c>
      <c r="F114" s="79">
        <f>IFERROR(VLOOKUP($A:$A,CS!$A:$AK,8,FALSE),"")</f>
      </c>
      <c r="G114" s="79">
        <f>IFERROR(VLOOKUP($A:$A,CS!$A:$AK,10,FALSE),"")</f>
      </c>
      <c r="H114" s="79">
        <f>IFERROR(VLOOKUP($A:$A,CS!$A:$AK,14,FALSE),"")</f>
      </c>
      <c r="I114" s="79">
        <f>IFERROR(VLOOKUP($A:$A,CS!$A:$AK,15,FALSE),"")</f>
      </c>
      <c r="J114" s="79">
        <f>IFERROR(VLOOKUP($A:$A,CS!$A:$AK,18,FALSE),"")</f>
      </c>
      <c r="K114" s="79">
        <f>IFERROR(VLOOKUP($A:$A,CS!$A:$AK,19,FALSE),"")</f>
      </c>
      <c r="L114" s="79">
        <f>IFERROR(VLOOKUP($A:$A,CS!$A:$AK,20,FALSE),"")</f>
      </c>
      <c r="M114" s="79">
        <f>IFERROR(VLOOKUP($A:$A,CS!$A:$AK,22,FALSE),"")</f>
      </c>
      <c r="N114" s="79">
        <f>IFERROR(VLOOKUP($A:$A,CS!$A:$AK,19,FALSE),"")</f>
      </c>
      <c r="O114" s="79">
        <f>IFERROR(VLOOKUP($A:$A,CS!$A:$AK,23,FALSE),"")</f>
      </c>
      <c r="P114" s="79">
        <f>IFERROR(VLOOKUP($A:$A,CS!$A:$AK,24,FALSE),"")</f>
      </c>
      <c r="Q114" s="79">
        <f>IFERROR(VLOOKUP($A:$A,CS!$A:$AK,25,FALSE),"")</f>
      </c>
      <c r="R114" s="79">
        <f>IFERROR(VLOOKUP($A:$A,CS!$A:$AK,26,FALSE),"")</f>
      </c>
      <c r="S114" s="79">
        <f>IFERROR(VLOOKUP($A:$A,CS!$A:$AK,29,FALSE),"")</f>
      </c>
      <c r="T114" s="79">
        <f>IFERROR(VLOOKUP($A:$A,CS!$A:$AK,33,FALSE),"")</f>
      </c>
      <c r="U114" s="79">
        <f>IFERROR(VLOOKUP($A:$A,CS!$A:$AK,34,FALSE),"")</f>
      </c>
      <c r="V114" s="79">
        <f>IFERROR(VLOOKUP($A:$A,CS!$A:$AK,35,FALSE),"")</f>
      </c>
      <c r="W114" s="79">
        <f>IFERROR(VLOOKUP($A:$A,CS!$A:$AK,36,FALSE),"")</f>
      </c>
    </row>
    <row r="115" ht="16.5" customHeight="1" spans="1:23" x14ac:dyDescent="0.25">
      <c r="A115" s="93"/>
      <c r="B115" s="79">
        <f>IFERROR(VLOOKUP($A:$A,CS!$A:$AK,3,FALSE),"")</f>
      </c>
      <c r="C115" s="79">
        <f>IFERROR(VLOOKUP($A:$A,CS!$A:$AK,4,FALSE),"")</f>
      </c>
      <c r="D115" s="79">
        <f>IFERROR(VLOOKUP($A:$A,CS!$A:$AK,5,FALSE),"")</f>
      </c>
      <c r="E115" s="79">
        <f>IFERROR(VLOOKUP($A:$A,CS!$A:$AK,7,FALSE),"")</f>
      </c>
      <c r="F115" s="79">
        <f>IFERROR(VLOOKUP($A:$A,CS!$A:$AK,8,FALSE),"")</f>
      </c>
      <c r="G115" s="79">
        <f>IFERROR(VLOOKUP($A:$A,CS!$A:$AK,10,FALSE),"")</f>
      </c>
      <c r="H115" s="79">
        <f>IFERROR(VLOOKUP($A:$A,CS!$A:$AK,14,FALSE),"")</f>
      </c>
      <c r="I115" s="79">
        <f>IFERROR(VLOOKUP($A:$A,CS!$A:$AK,15,FALSE),"")</f>
      </c>
      <c r="J115" s="79">
        <f>IFERROR(VLOOKUP($A:$A,CS!$A:$AK,18,FALSE),"")</f>
      </c>
      <c r="K115" s="79">
        <f>IFERROR(VLOOKUP($A:$A,CS!$A:$AK,19,FALSE),"")</f>
      </c>
      <c r="L115" s="79">
        <f>IFERROR(VLOOKUP($A:$A,CS!$A:$AK,20,FALSE),"")</f>
      </c>
      <c r="M115" s="79">
        <f>IFERROR(VLOOKUP($A:$A,CS!$A:$AK,22,FALSE),"")</f>
      </c>
      <c r="N115" s="79">
        <f>IFERROR(VLOOKUP($A:$A,CS!$A:$AK,19,FALSE),"")</f>
      </c>
      <c r="O115" s="79">
        <f>IFERROR(VLOOKUP($A:$A,CS!$A:$AK,23,FALSE),"")</f>
      </c>
      <c r="P115" s="79">
        <f>IFERROR(VLOOKUP($A:$A,CS!$A:$AK,24,FALSE),"")</f>
      </c>
      <c r="Q115" s="79">
        <f>IFERROR(VLOOKUP($A:$A,CS!$A:$AK,25,FALSE),"")</f>
      </c>
      <c r="R115" s="79">
        <f>IFERROR(VLOOKUP($A:$A,CS!$A:$AK,26,FALSE),"")</f>
      </c>
      <c r="S115" s="79">
        <f>IFERROR(VLOOKUP($A:$A,CS!$A:$AK,29,FALSE),"")</f>
      </c>
      <c r="T115" s="79">
        <f>IFERROR(VLOOKUP($A:$A,CS!$A:$AK,33,FALSE),"")</f>
      </c>
      <c r="U115" s="79">
        <f>IFERROR(VLOOKUP($A:$A,CS!$A:$AK,34,FALSE),"")</f>
      </c>
      <c r="V115" s="79">
        <f>IFERROR(VLOOKUP($A:$A,CS!$A:$AK,35,FALSE),"")</f>
      </c>
      <c r="W115" s="79">
        <f>IFERROR(VLOOKUP($A:$A,CS!$A:$AK,36,FALSE),"")</f>
      </c>
    </row>
    <row r="116" ht="16.5" customHeight="1" spans="1:23" x14ac:dyDescent="0.25">
      <c r="A116" s="93"/>
      <c r="B116" s="79">
        <f>IFERROR(VLOOKUP($A:$A,CS!$A:$AK,3,FALSE),"")</f>
      </c>
      <c r="C116" s="79">
        <f>IFERROR(VLOOKUP($A:$A,CS!$A:$AK,4,FALSE),"")</f>
      </c>
      <c r="D116" s="79">
        <f>IFERROR(VLOOKUP($A:$A,CS!$A:$AK,5,FALSE),"")</f>
      </c>
      <c r="E116" s="79">
        <f>IFERROR(VLOOKUP($A:$A,CS!$A:$AK,7,FALSE),"")</f>
      </c>
      <c r="F116" s="79">
        <f>IFERROR(VLOOKUP($A:$A,CS!$A:$AK,8,FALSE),"")</f>
      </c>
      <c r="G116" s="79">
        <f>IFERROR(VLOOKUP($A:$A,CS!$A:$AK,10,FALSE),"")</f>
      </c>
      <c r="H116" s="79">
        <f>IFERROR(VLOOKUP($A:$A,CS!$A:$AK,14,FALSE),"")</f>
      </c>
      <c r="I116" s="79">
        <f>IFERROR(VLOOKUP($A:$A,CS!$A:$AK,15,FALSE),"")</f>
      </c>
      <c r="J116" s="79">
        <f>IFERROR(VLOOKUP($A:$A,CS!$A:$AK,18,FALSE),"")</f>
      </c>
      <c r="K116" s="79">
        <f>IFERROR(VLOOKUP($A:$A,CS!$A:$AK,19,FALSE),"")</f>
      </c>
      <c r="L116" s="79">
        <f>IFERROR(VLOOKUP($A:$A,CS!$A:$AK,20,FALSE),"")</f>
      </c>
      <c r="M116" s="79">
        <f>IFERROR(VLOOKUP($A:$A,CS!$A:$AK,22,FALSE),"")</f>
      </c>
      <c r="N116" s="79">
        <f>IFERROR(VLOOKUP($A:$A,CS!$A:$AK,19,FALSE),"")</f>
      </c>
      <c r="O116" s="79">
        <f>IFERROR(VLOOKUP($A:$A,CS!$A:$AK,23,FALSE),"")</f>
      </c>
      <c r="P116" s="79">
        <f>IFERROR(VLOOKUP($A:$A,CS!$A:$AK,24,FALSE),"")</f>
      </c>
      <c r="Q116" s="79">
        <f>IFERROR(VLOOKUP($A:$A,CS!$A:$AK,25,FALSE),"")</f>
      </c>
      <c r="R116" s="79">
        <f>IFERROR(VLOOKUP($A:$A,CS!$A:$AK,26,FALSE),"")</f>
      </c>
      <c r="S116" s="79">
        <f>IFERROR(VLOOKUP($A:$A,CS!$A:$AK,29,FALSE),"")</f>
      </c>
      <c r="T116" s="79">
        <f>IFERROR(VLOOKUP($A:$A,CS!$A:$AK,33,FALSE),"")</f>
      </c>
      <c r="U116" s="79">
        <f>IFERROR(VLOOKUP($A:$A,CS!$A:$AK,34,FALSE),"")</f>
      </c>
      <c r="V116" s="79">
        <f>IFERROR(VLOOKUP($A:$A,CS!$A:$AK,35,FALSE),"")</f>
      </c>
      <c r="W116" s="79">
        <f>IFERROR(VLOOKUP($A:$A,CS!$A:$AK,36,FALSE),"")</f>
      </c>
    </row>
    <row r="117" ht="16.5" customHeight="1" spans="1:23" x14ac:dyDescent="0.25">
      <c r="A117" s="93"/>
      <c r="B117" s="79">
        <f>IFERROR(VLOOKUP($A:$A,CS!$A:$AK,3,FALSE),"")</f>
      </c>
      <c r="C117" s="79">
        <f>IFERROR(VLOOKUP($A:$A,CS!$A:$AK,4,FALSE),"")</f>
      </c>
      <c r="D117" s="79">
        <f>IFERROR(VLOOKUP($A:$A,CS!$A:$AK,5,FALSE),"")</f>
      </c>
      <c r="E117" s="79">
        <f>IFERROR(VLOOKUP($A:$A,CS!$A:$AK,7,FALSE),"")</f>
      </c>
      <c r="F117" s="79">
        <f>IFERROR(VLOOKUP($A:$A,CS!$A:$AK,8,FALSE),"")</f>
      </c>
      <c r="G117" s="79">
        <f>IFERROR(VLOOKUP($A:$A,CS!$A:$AK,10,FALSE),"")</f>
      </c>
      <c r="H117" s="79">
        <f>IFERROR(VLOOKUP($A:$A,CS!$A:$AK,14,FALSE),"")</f>
      </c>
      <c r="I117" s="79">
        <f>IFERROR(VLOOKUP($A:$A,CS!$A:$AK,15,FALSE),"")</f>
      </c>
      <c r="J117" s="79">
        <f>IFERROR(VLOOKUP($A:$A,CS!$A:$AK,18,FALSE),"")</f>
      </c>
      <c r="K117" s="79">
        <f>IFERROR(VLOOKUP($A:$A,CS!$A:$AK,19,FALSE),"")</f>
      </c>
      <c r="L117" s="79">
        <f>IFERROR(VLOOKUP($A:$A,CS!$A:$AK,20,FALSE),"")</f>
      </c>
      <c r="M117" s="79">
        <f>IFERROR(VLOOKUP($A:$A,CS!$A:$AK,22,FALSE),"")</f>
      </c>
      <c r="N117" s="79">
        <f>IFERROR(VLOOKUP($A:$A,CS!$A:$AK,19,FALSE),"")</f>
      </c>
      <c r="O117" s="79">
        <f>IFERROR(VLOOKUP($A:$A,CS!$A:$AK,23,FALSE),"")</f>
      </c>
      <c r="P117" s="79">
        <f>IFERROR(VLOOKUP($A:$A,CS!$A:$AK,24,FALSE),"")</f>
      </c>
      <c r="Q117" s="79">
        <f>IFERROR(VLOOKUP($A:$A,CS!$A:$AK,25,FALSE),"")</f>
      </c>
      <c r="R117" s="79">
        <f>IFERROR(VLOOKUP($A:$A,CS!$A:$AK,26,FALSE),"")</f>
      </c>
      <c r="S117" s="79">
        <f>IFERROR(VLOOKUP($A:$A,CS!$A:$AK,29,FALSE),"")</f>
      </c>
      <c r="T117" s="79">
        <f>IFERROR(VLOOKUP($A:$A,CS!$A:$AK,33,FALSE),"")</f>
      </c>
      <c r="U117" s="79">
        <f>IFERROR(VLOOKUP($A:$A,CS!$A:$AK,34,FALSE),"")</f>
      </c>
      <c r="V117" s="79">
        <f>IFERROR(VLOOKUP($A:$A,CS!$A:$AK,35,FALSE),"")</f>
      </c>
      <c r="W117" s="79">
        <f>IFERROR(VLOOKUP($A:$A,CS!$A:$AK,36,FALSE),"")</f>
      </c>
    </row>
    <row r="118" ht="16.5" customHeight="1" spans="1:23" x14ac:dyDescent="0.25">
      <c r="A118" s="93"/>
      <c r="B118" s="79">
        <f>IFERROR(VLOOKUP($A:$A,CS!$A:$AK,3,FALSE),"")</f>
      </c>
      <c r="C118" s="79">
        <f>IFERROR(VLOOKUP($A:$A,CS!$A:$AK,4,FALSE),"")</f>
      </c>
      <c r="D118" s="79">
        <f>IFERROR(VLOOKUP($A:$A,CS!$A:$AK,5,FALSE),"")</f>
      </c>
      <c r="E118" s="79">
        <f>IFERROR(VLOOKUP($A:$A,CS!$A:$AK,7,FALSE),"")</f>
      </c>
      <c r="F118" s="79">
        <f>IFERROR(VLOOKUP($A:$A,CS!$A:$AK,8,FALSE),"")</f>
      </c>
      <c r="G118" s="79">
        <f>IFERROR(VLOOKUP($A:$A,CS!$A:$AK,10,FALSE),"")</f>
      </c>
      <c r="H118" s="79">
        <f>IFERROR(VLOOKUP($A:$A,CS!$A:$AK,14,FALSE),"")</f>
      </c>
      <c r="I118" s="79">
        <f>IFERROR(VLOOKUP($A:$A,CS!$A:$AK,15,FALSE),"")</f>
      </c>
      <c r="J118" s="79">
        <f>IFERROR(VLOOKUP($A:$A,CS!$A:$AK,18,FALSE),"")</f>
      </c>
      <c r="K118" s="79">
        <f>IFERROR(VLOOKUP($A:$A,CS!$A:$AK,19,FALSE),"")</f>
      </c>
      <c r="L118" s="79">
        <f>IFERROR(VLOOKUP($A:$A,CS!$A:$AK,20,FALSE),"")</f>
      </c>
      <c r="M118" s="79">
        <f>IFERROR(VLOOKUP($A:$A,CS!$A:$AK,22,FALSE),"")</f>
      </c>
      <c r="N118" s="79">
        <f>IFERROR(VLOOKUP($A:$A,CS!$A:$AK,19,FALSE),"")</f>
      </c>
      <c r="O118" s="79">
        <f>IFERROR(VLOOKUP($A:$A,CS!$A:$AK,23,FALSE),"")</f>
      </c>
      <c r="P118" s="79">
        <f>IFERROR(VLOOKUP($A:$A,CS!$A:$AK,24,FALSE),"")</f>
      </c>
      <c r="Q118" s="79">
        <f>IFERROR(VLOOKUP($A:$A,CS!$A:$AK,25,FALSE),"")</f>
      </c>
      <c r="R118" s="79">
        <f>IFERROR(VLOOKUP($A:$A,CS!$A:$AK,26,FALSE),"")</f>
      </c>
      <c r="S118" s="79">
        <f>IFERROR(VLOOKUP($A:$A,CS!$A:$AK,29,FALSE),"")</f>
      </c>
      <c r="T118" s="79">
        <f>IFERROR(VLOOKUP($A:$A,CS!$A:$AK,33,FALSE),"")</f>
      </c>
      <c r="U118" s="79">
        <f>IFERROR(VLOOKUP($A:$A,CS!$A:$AK,34,FALSE),"")</f>
      </c>
      <c r="V118" s="79">
        <f>IFERROR(VLOOKUP($A:$A,CS!$A:$AK,35,FALSE),"")</f>
      </c>
      <c r="W118" s="79">
        <f>IFERROR(VLOOKUP($A:$A,CS!$A:$AK,36,FALSE),"")</f>
      </c>
    </row>
    <row r="119" ht="16.5" customHeight="1" spans="1:23" x14ac:dyDescent="0.25">
      <c r="A119" s="93"/>
      <c r="B119" s="79">
        <f>IFERROR(VLOOKUP($A:$A,CS!$A:$AK,3,FALSE),"")</f>
      </c>
      <c r="C119" s="79">
        <f>IFERROR(VLOOKUP($A:$A,CS!$A:$AK,4,FALSE),"")</f>
      </c>
      <c r="D119" s="79">
        <f>IFERROR(VLOOKUP($A:$A,CS!$A:$AK,5,FALSE),"")</f>
      </c>
      <c r="E119" s="79">
        <f>IFERROR(VLOOKUP($A:$A,CS!$A:$AK,7,FALSE),"")</f>
      </c>
      <c r="F119" s="79">
        <f>IFERROR(VLOOKUP($A:$A,CS!$A:$AK,8,FALSE),"")</f>
      </c>
      <c r="G119" s="79">
        <f>IFERROR(VLOOKUP($A:$A,CS!$A:$AK,10,FALSE),"")</f>
      </c>
      <c r="H119" s="79">
        <f>IFERROR(VLOOKUP($A:$A,CS!$A:$AK,14,FALSE),"")</f>
      </c>
      <c r="I119" s="79">
        <f>IFERROR(VLOOKUP($A:$A,CS!$A:$AK,15,FALSE),"")</f>
      </c>
      <c r="J119" s="79">
        <f>IFERROR(VLOOKUP($A:$A,CS!$A:$AK,18,FALSE),"")</f>
      </c>
      <c r="K119" s="79">
        <f>IFERROR(VLOOKUP($A:$A,CS!$A:$AK,19,FALSE),"")</f>
      </c>
      <c r="L119" s="79">
        <f>IFERROR(VLOOKUP($A:$A,CS!$A:$AK,20,FALSE),"")</f>
      </c>
      <c r="M119" s="79">
        <f>IFERROR(VLOOKUP($A:$A,CS!$A:$AK,22,FALSE),"")</f>
      </c>
      <c r="N119" s="79">
        <f>IFERROR(VLOOKUP($A:$A,CS!$A:$AK,19,FALSE),"")</f>
      </c>
      <c r="O119" s="79">
        <f>IFERROR(VLOOKUP($A:$A,CS!$A:$AK,23,FALSE),"")</f>
      </c>
      <c r="P119" s="79">
        <f>IFERROR(VLOOKUP($A:$A,CS!$A:$AK,24,FALSE),"")</f>
      </c>
      <c r="Q119" s="79">
        <f>IFERROR(VLOOKUP($A:$A,CS!$A:$AK,25,FALSE),"")</f>
      </c>
      <c r="R119" s="79">
        <f>IFERROR(VLOOKUP($A:$A,CS!$A:$AK,26,FALSE),"")</f>
      </c>
      <c r="S119" s="79">
        <f>IFERROR(VLOOKUP($A:$A,CS!$A:$AK,29,FALSE),"")</f>
      </c>
      <c r="T119" s="79">
        <f>IFERROR(VLOOKUP($A:$A,CS!$A:$AK,33,FALSE),"")</f>
      </c>
      <c r="U119" s="79">
        <f>IFERROR(VLOOKUP($A:$A,CS!$A:$AK,34,FALSE),"")</f>
      </c>
      <c r="V119" s="79">
        <f>IFERROR(VLOOKUP($A:$A,CS!$A:$AK,35,FALSE),"")</f>
      </c>
      <c r="W119" s="79">
        <f>IFERROR(VLOOKUP($A:$A,CS!$A:$AK,36,FALSE),"")</f>
      </c>
    </row>
    <row r="120" ht="16.5" customHeight="1" spans="1:23" x14ac:dyDescent="0.25">
      <c r="A120" s="93"/>
      <c r="B120" s="79">
        <f>IFERROR(VLOOKUP($A:$A,CS!$A:$AK,3,FALSE),"")</f>
      </c>
      <c r="C120" s="79">
        <f>IFERROR(VLOOKUP($A:$A,CS!$A:$AK,4,FALSE),"")</f>
      </c>
      <c r="D120" s="79">
        <f>IFERROR(VLOOKUP($A:$A,CS!$A:$AK,5,FALSE),"")</f>
      </c>
      <c r="E120" s="79">
        <f>IFERROR(VLOOKUP($A:$A,CS!$A:$AK,7,FALSE),"")</f>
      </c>
      <c r="F120" s="79">
        <f>IFERROR(VLOOKUP($A:$A,CS!$A:$AK,8,FALSE),"")</f>
      </c>
      <c r="G120" s="79">
        <f>IFERROR(VLOOKUP($A:$A,CS!$A:$AK,10,FALSE),"")</f>
      </c>
      <c r="H120" s="79">
        <f>IFERROR(VLOOKUP($A:$A,CS!$A:$AK,14,FALSE),"")</f>
      </c>
      <c r="I120" s="79">
        <f>IFERROR(VLOOKUP($A:$A,CS!$A:$AK,15,FALSE),"")</f>
      </c>
      <c r="J120" s="79">
        <f>IFERROR(VLOOKUP($A:$A,CS!$A:$AK,18,FALSE),"")</f>
      </c>
      <c r="K120" s="79">
        <f>IFERROR(VLOOKUP($A:$A,CS!$A:$AK,19,FALSE),"")</f>
      </c>
      <c r="L120" s="79">
        <f>IFERROR(VLOOKUP($A:$A,CS!$A:$AK,20,FALSE),"")</f>
      </c>
      <c r="M120" s="79">
        <f>IFERROR(VLOOKUP($A:$A,CS!$A:$AK,22,FALSE),"")</f>
      </c>
      <c r="N120" s="79">
        <f>IFERROR(VLOOKUP($A:$A,CS!$A:$AK,19,FALSE),"")</f>
      </c>
      <c r="O120" s="79">
        <f>IFERROR(VLOOKUP($A:$A,CS!$A:$AK,23,FALSE),"")</f>
      </c>
      <c r="P120" s="79">
        <f>IFERROR(VLOOKUP($A:$A,CS!$A:$AK,24,FALSE),"")</f>
      </c>
      <c r="Q120" s="79">
        <f>IFERROR(VLOOKUP($A:$A,CS!$A:$AK,25,FALSE),"")</f>
      </c>
      <c r="R120" s="79">
        <f>IFERROR(VLOOKUP($A:$A,CS!$A:$AK,26,FALSE),"")</f>
      </c>
      <c r="S120" s="79">
        <f>IFERROR(VLOOKUP($A:$A,CS!$A:$AK,29,FALSE),"")</f>
      </c>
      <c r="T120" s="79">
        <f>IFERROR(VLOOKUP($A:$A,CS!$A:$AK,33,FALSE),"")</f>
      </c>
      <c r="U120" s="79">
        <f>IFERROR(VLOOKUP($A:$A,CS!$A:$AK,34,FALSE),"")</f>
      </c>
      <c r="V120" s="79">
        <f>IFERROR(VLOOKUP($A:$A,CS!$A:$AK,35,FALSE),"")</f>
      </c>
      <c r="W120" s="79">
        <f>IFERROR(VLOOKUP($A:$A,CS!$A:$AK,36,FALSE),"")</f>
      </c>
    </row>
    <row r="121" ht="16.5" customHeight="1" spans="1:23" x14ac:dyDescent="0.25">
      <c r="A121" s="93"/>
      <c r="B121" s="79">
        <f>IFERROR(VLOOKUP($A:$A,CS!$A:$AK,3,FALSE),"")</f>
      </c>
      <c r="C121" s="79">
        <f>IFERROR(VLOOKUP($A:$A,CS!$A:$AK,4,FALSE),"")</f>
      </c>
      <c r="D121" s="79">
        <f>IFERROR(VLOOKUP($A:$A,CS!$A:$AK,5,FALSE),"")</f>
      </c>
      <c r="E121" s="79">
        <f>IFERROR(VLOOKUP($A:$A,CS!$A:$AK,7,FALSE),"")</f>
      </c>
      <c r="F121" s="79">
        <f>IFERROR(VLOOKUP($A:$A,CS!$A:$AK,8,FALSE),"")</f>
      </c>
      <c r="G121" s="79">
        <f>IFERROR(VLOOKUP($A:$A,CS!$A:$AK,10,FALSE),"")</f>
      </c>
      <c r="H121" s="79">
        <f>IFERROR(VLOOKUP($A:$A,CS!$A:$AK,14,FALSE),"")</f>
      </c>
      <c r="I121" s="79">
        <f>IFERROR(VLOOKUP($A:$A,CS!$A:$AK,15,FALSE),"")</f>
      </c>
      <c r="J121" s="79">
        <f>IFERROR(VLOOKUP($A:$A,CS!$A:$AK,18,FALSE),"")</f>
      </c>
      <c r="K121" s="79">
        <f>IFERROR(VLOOKUP($A:$A,CS!$A:$AK,19,FALSE),"")</f>
      </c>
      <c r="L121" s="79">
        <f>IFERROR(VLOOKUP($A:$A,CS!$A:$AK,20,FALSE),"")</f>
      </c>
      <c r="M121" s="79">
        <f>IFERROR(VLOOKUP($A:$A,CS!$A:$AK,22,FALSE),"")</f>
      </c>
      <c r="N121" s="79">
        <f>IFERROR(VLOOKUP($A:$A,CS!$A:$AK,19,FALSE),"")</f>
      </c>
      <c r="O121" s="79">
        <f>IFERROR(VLOOKUP($A:$A,CS!$A:$AK,23,FALSE),"")</f>
      </c>
      <c r="P121" s="79">
        <f>IFERROR(VLOOKUP($A:$A,CS!$A:$AK,24,FALSE),"")</f>
      </c>
      <c r="Q121" s="79">
        <f>IFERROR(VLOOKUP($A:$A,CS!$A:$AK,25,FALSE),"")</f>
      </c>
      <c r="R121" s="79">
        <f>IFERROR(VLOOKUP($A:$A,CS!$A:$AK,26,FALSE),"")</f>
      </c>
      <c r="S121" s="79">
        <f>IFERROR(VLOOKUP($A:$A,CS!$A:$AK,29,FALSE),"")</f>
      </c>
      <c r="T121" s="79">
        <f>IFERROR(VLOOKUP($A:$A,CS!$A:$AK,33,FALSE),"")</f>
      </c>
      <c r="U121" s="79">
        <f>IFERROR(VLOOKUP($A:$A,CS!$A:$AK,34,FALSE),"")</f>
      </c>
      <c r="V121" s="79">
        <f>IFERROR(VLOOKUP($A:$A,CS!$A:$AK,35,FALSE),"")</f>
      </c>
      <c r="W121" s="79">
        <f>IFERROR(VLOOKUP($A:$A,CS!$A:$AK,36,FALSE),"")</f>
      </c>
    </row>
    <row r="122" ht="16.5" customHeight="1" spans="1:23" x14ac:dyDescent="0.25">
      <c r="A122" s="93"/>
      <c r="B122" s="79">
        <f>IFERROR(VLOOKUP($A:$A,CS!$A:$AK,3,FALSE),"")</f>
      </c>
      <c r="C122" s="79">
        <f>IFERROR(VLOOKUP($A:$A,CS!$A:$AK,4,FALSE),"")</f>
      </c>
      <c r="D122" s="79">
        <f>IFERROR(VLOOKUP($A:$A,CS!$A:$AK,5,FALSE),"")</f>
      </c>
      <c r="E122" s="79">
        <f>IFERROR(VLOOKUP($A:$A,CS!$A:$AK,7,FALSE),"")</f>
      </c>
      <c r="F122" s="79">
        <f>IFERROR(VLOOKUP($A:$A,CS!$A:$AK,8,FALSE),"")</f>
      </c>
      <c r="G122" s="79">
        <f>IFERROR(VLOOKUP($A:$A,CS!$A:$AK,10,FALSE),"")</f>
      </c>
      <c r="H122" s="79">
        <f>IFERROR(VLOOKUP($A:$A,CS!$A:$AK,14,FALSE),"")</f>
      </c>
      <c r="I122" s="79">
        <f>IFERROR(VLOOKUP($A:$A,CS!$A:$AK,15,FALSE),"")</f>
      </c>
      <c r="J122" s="79">
        <f>IFERROR(VLOOKUP($A:$A,CS!$A:$AK,18,FALSE),"")</f>
      </c>
      <c r="K122" s="79">
        <f>IFERROR(VLOOKUP($A:$A,CS!$A:$AK,19,FALSE),"")</f>
      </c>
      <c r="L122" s="79">
        <f>IFERROR(VLOOKUP($A:$A,CS!$A:$AK,20,FALSE),"")</f>
      </c>
      <c r="M122" s="79">
        <f>IFERROR(VLOOKUP($A:$A,CS!$A:$AK,22,FALSE),"")</f>
      </c>
      <c r="N122" s="79">
        <f>IFERROR(VLOOKUP($A:$A,CS!$A:$AK,19,FALSE),"")</f>
      </c>
      <c r="O122" s="79">
        <f>IFERROR(VLOOKUP($A:$A,CS!$A:$AK,23,FALSE),"")</f>
      </c>
      <c r="P122" s="79">
        <f>IFERROR(VLOOKUP($A:$A,CS!$A:$AK,24,FALSE),"")</f>
      </c>
      <c r="Q122" s="79">
        <f>IFERROR(VLOOKUP($A:$A,CS!$A:$AK,25,FALSE),"")</f>
      </c>
      <c r="R122" s="79">
        <f>IFERROR(VLOOKUP($A:$A,CS!$A:$AK,26,FALSE),"")</f>
      </c>
      <c r="S122" s="79">
        <f>IFERROR(VLOOKUP($A:$A,CS!$A:$AK,29,FALSE),"")</f>
      </c>
      <c r="T122" s="79">
        <f>IFERROR(VLOOKUP($A:$A,CS!$A:$AK,33,FALSE),"")</f>
      </c>
      <c r="U122" s="79">
        <f>IFERROR(VLOOKUP($A:$A,CS!$A:$AK,34,FALSE),"")</f>
      </c>
      <c r="V122" s="79">
        <f>IFERROR(VLOOKUP($A:$A,CS!$A:$AK,35,FALSE),"")</f>
      </c>
      <c r="W122" s="79">
        <f>IFERROR(VLOOKUP($A:$A,CS!$A:$AK,36,FALSE),"")</f>
      </c>
    </row>
    <row r="123" ht="16.5" customHeight="1" spans="1:23" x14ac:dyDescent="0.25">
      <c r="A123" s="93"/>
      <c r="B123" s="79">
        <f>IFERROR(VLOOKUP($A:$A,CS!$A:$AK,3,FALSE),"")</f>
      </c>
      <c r="C123" s="79">
        <f>IFERROR(VLOOKUP($A:$A,CS!$A:$AK,4,FALSE),"")</f>
      </c>
      <c r="D123" s="79">
        <f>IFERROR(VLOOKUP($A:$A,CS!$A:$AK,5,FALSE),"")</f>
      </c>
      <c r="E123" s="79">
        <f>IFERROR(VLOOKUP($A:$A,CS!$A:$AK,7,FALSE),"")</f>
      </c>
      <c r="F123" s="79">
        <f>IFERROR(VLOOKUP($A:$A,CS!$A:$AK,8,FALSE),"")</f>
      </c>
      <c r="G123" s="79">
        <f>IFERROR(VLOOKUP($A:$A,CS!$A:$AK,10,FALSE),"")</f>
      </c>
      <c r="H123" s="79">
        <f>IFERROR(VLOOKUP($A:$A,CS!$A:$AK,14,FALSE),"")</f>
      </c>
      <c r="I123" s="79">
        <f>IFERROR(VLOOKUP($A:$A,CS!$A:$AK,15,FALSE),"")</f>
      </c>
      <c r="J123" s="79">
        <f>IFERROR(VLOOKUP($A:$A,CS!$A:$AK,18,FALSE),"")</f>
      </c>
      <c r="K123" s="79">
        <f>IFERROR(VLOOKUP($A:$A,CS!$A:$AK,19,FALSE),"")</f>
      </c>
      <c r="L123" s="79">
        <f>IFERROR(VLOOKUP($A:$A,CS!$A:$AK,20,FALSE),"")</f>
      </c>
      <c r="M123" s="79">
        <f>IFERROR(VLOOKUP($A:$A,CS!$A:$AK,22,FALSE),"")</f>
      </c>
      <c r="N123" s="79">
        <f>IFERROR(VLOOKUP($A:$A,CS!$A:$AK,19,FALSE),"")</f>
      </c>
      <c r="O123" s="79">
        <f>IFERROR(VLOOKUP($A:$A,CS!$A:$AK,23,FALSE),"")</f>
      </c>
      <c r="P123" s="79">
        <f>IFERROR(VLOOKUP($A:$A,CS!$A:$AK,24,FALSE),"")</f>
      </c>
      <c r="Q123" s="79">
        <f>IFERROR(VLOOKUP($A:$A,CS!$A:$AK,25,FALSE),"")</f>
      </c>
      <c r="R123" s="79">
        <f>IFERROR(VLOOKUP($A:$A,CS!$A:$AK,26,FALSE),"")</f>
      </c>
      <c r="S123" s="79">
        <f>IFERROR(VLOOKUP($A:$A,CS!$A:$AK,29,FALSE),"")</f>
      </c>
      <c r="T123" s="79">
        <f>IFERROR(VLOOKUP($A:$A,CS!$A:$AK,33,FALSE),"")</f>
      </c>
      <c r="U123" s="79">
        <f>IFERROR(VLOOKUP($A:$A,CS!$A:$AK,34,FALSE),"")</f>
      </c>
      <c r="V123" s="79">
        <f>IFERROR(VLOOKUP($A:$A,CS!$A:$AK,35,FALSE),"")</f>
      </c>
      <c r="W123" s="79">
        <f>IFERROR(VLOOKUP($A:$A,CS!$A:$AK,36,FALSE),"")</f>
      </c>
    </row>
    <row r="124" ht="16.5" customHeight="1" spans="1:23" x14ac:dyDescent="0.25">
      <c r="A124" s="93"/>
      <c r="B124" s="79">
        <f>IFERROR(VLOOKUP($A:$A,CS!$A:$AK,3,FALSE),"")</f>
      </c>
      <c r="C124" s="79">
        <f>IFERROR(VLOOKUP($A:$A,CS!$A:$AK,4,FALSE),"")</f>
      </c>
      <c r="D124" s="79">
        <f>IFERROR(VLOOKUP($A:$A,CS!$A:$AK,5,FALSE),"")</f>
      </c>
      <c r="E124" s="79">
        <f>IFERROR(VLOOKUP($A:$A,CS!$A:$AK,7,FALSE),"")</f>
      </c>
      <c r="F124" s="79">
        <f>IFERROR(VLOOKUP($A:$A,CS!$A:$AK,8,FALSE),"")</f>
      </c>
      <c r="G124" s="79">
        <f>IFERROR(VLOOKUP($A:$A,CS!$A:$AK,10,FALSE),"")</f>
      </c>
      <c r="H124" s="79">
        <f>IFERROR(VLOOKUP($A:$A,CS!$A:$AK,14,FALSE),"")</f>
      </c>
      <c r="I124" s="79">
        <f>IFERROR(VLOOKUP($A:$A,CS!$A:$AK,15,FALSE),"")</f>
      </c>
      <c r="J124" s="79">
        <f>IFERROR(VLOOKUP($A:$A,CS!$A:$AK,18,FALSE),"")</f>
      </c>
      <c r="K124" s="79">
        <f>IFERROR(VLOOKUP($A:$A,CS!$A:$AK,19,FALSE),"")</f>
      </c>
      <c r="L124" s="79">
        <f>IFERROR(VLOOKUP($A:$A,CS!$A:$AK,20,FALSE),"")</f>
      </c>
      <c r="M124" s="79">
        <f>IFERROR(VLOOKUP($A:$A,CS!$A:$AK,22,FALSE),"")</f>
      </c>
      <c r="N124" s="79">
        <f>IFERROR(VLOOKUP($A:$A,CS!$A:$AK,19,FALSE),"")</f>
      </c>
      <c r="O124" s="79">
        <f>IFERROR(VLOOKUP($A:$A,CS!$A:$AK,23,FALSE),"")</f>
      </c>
      <c r="P124" s="79">
        <f>IFERROR(VLOOKUP($A:$A,CS!$A:$AK,24,FALSE),"")</f>
      </c>
      <c r="Q124" s="79">
        <f>IFERROR(VLOOKUP($A:$A,CS!$A:$AK,25,FALSE),"")</f>
      </c>
      <c r="R124" s="79">
        <f>IFERROR(VLOOKUP($A:$A,CS!$A:$AK,26,FALSE),"")</f>
      </c>
      <c r="S124" s="79">
        <f>IFERROR(VLOOKUP($A:$A,CS!$A:$AK,29,FALSE),"")</f>
      </c>
      <c r="T124" s="79">
        <f>IFERROR(VLOOKUP($A:$A,CS!$A:$AK,33,FALSE),"")</f>
      </c>
      <c r="U124" s="79">
        <f>IFERROR(VLOOKUP($A:$A,CS!$A:$AK,34,FALSE),"")</f>
      </c>
      <c r="V124" s="79">
        <f>IFERROR(VLOOKUP($A:$A,CS!$A:$AK,35,FALSE),"")</f>
      </c>
      <c r="W124" s="79">
        <f>IFERROR(VLOOKUP($A:$A,CS!$A:$AK,36,FALSE),"")</f>
      </c>
    </row>
    <row r="125" ht="16.5" customHeight="1" spans="1:23" x14ac:dyDescent="0.25">
      <c r="A125" s="93"/>
      <c r="B125" s="79">
        <f>IFERROR(VLOOKUP($A:$A,CS!$A:$AK,3,FALSE),"")</f>
      </c>
      <c r="C125" s="79">
        <f>IFERROR(VLOOKUP($A:$A,CS!$A:$AK,4,FALSE),"")</f>
      </c>
      <c r="D125" s="79">
        <f>IFERROR(VLOOKUP($A:$A,CS!$A:$AK,5,FALSE),"")</f>
      </c>
      <c r="E125" s="79">
        <f>IFERROR(VLOOKUP($A:$A,CS!$A:$AK,7,FALSE),"")</f>
      </c>
      <c r="F125" s="79">
        <f>IFERROR(VLOOKUP($A:$A,CS!$A:$AK,8,FALSE),"")</f>
      </c>
      <c r="G125" s="79">
        <f>IFERROR(VLOOKUP($A:$A,CS!$A:$AK,10,FALSE),"")</f>
      </c>
      <c r="H125" s="79">
        <f>IFERROR(VLOOKUP($A:$A,CS!$A:$AK,14,FALSE),"")</f>
      </c>
      <c r="I125" s="79">
        <f>IFERROR(VLOOKUP($A:$A,CS!$A:$AK,15,FALSE),"")</f>
      </c>
      <c r="J125" s="79">
        <f>IFERROR(VLOOKUP($A:$A,CS!$A:$AK,18,FALSE),"")</f>
      </c>
      <c r="K125" s="79">
        <f>IFERROR(VLOOKUP($A:$A,CS!$A:$AK,19,FALSE),"")</f>
      </c>
      <c r="L125" s="79">
        <f>IFERROR(VLOOKUP($A:$A,CS!$A:$AK,20,FALSE),"")</f>
      </c>
      <c r="M125" s="79">
        <f>IFERROR(VLOOKUP($A:$A,CS!$A:$AK,22,FALSE),"")</f>
      </c>
      <c r="N125" s="79">
        <f>IFERROR(VLOOKUP($A:$A,CS!$A:$AK,19,FALSE),"")</f>
      </c>
      <c r="O125" s="79">
        <f>IFERROR(VLOOKUP($A:$A,CS!$A:$AK,23,FALSE),"")</f>
      </c>
      <c r="P125" s="79">
        <f>IFERROR(VLOOKUP($A:$A,CS!$A:$AK,24,FALSE),"")</f>
      </c>
      <c r="Q125" s="79">
        <f>IFERROR(VLOOKUP($A:$A,CS!$A:$AK,25,FALSE),"")</f>
      </c>
      <c r="R125" s="79">
        <f>IFERROR(VLOOKUP($A:$A,CS!$A:$AK,26,FALSE),"")</f>
      </c>
      <c r="S125" s="79">
        <f>IFERROR(VLOOKUP($A:$A,CS!$A:$AK,29,FALSE),"")</f>
      </c>
      <c r="T125" s="79">
        <f>IFERROR(VLOOKUP($A:$A,CS!$A:$AK,33,FALSE),"")</f>
      </c>
      <c r="U125" s="79">
        <f>IFERROR(VLOOKUP($A:$A,CS!$A:$AK,34,FALSE),"")</f>
      </c>
      <c r="V125" s="79">
        <f>IFERROR(VLOOKUP($A:$A,CS!$A:$AK,35,FALSE),"")</f>
      </c>
      <c r="W125" s="79">
        <f>IFERROR(VLOOKUP($A:$A,CS!$A:$AK,36,FALSE),"")</f>
      </c>
    </row>
    <row r="126" ht="16.5" customHeight="1" spans="1:23" x14ac:dyDescent="0.25">
      <c r="A126" s="93"/>
      <c r="B126" s="79">
        <f>IFERROR(VLOOKUP($A:$A,CS!$A:$AK,3,FALSE),"")</f>
      </c>
      <c r="C126" s="79">
        <f>IFERROR(VLOOKUP($A:$A,CS!$A:$AK,4,FALSE),"")</f>
      </c>
      <c r="D126" s="79">
        <f>IFERROR(VLOOKUP($A:$A,CS!$A:$AK,5,FALSE),"")</f>
      </c>
      <c r="E126" s="79">
        <f>IFERROR(VLOOKUP($A:$A,CS!$A:$AK,7,FALSE),"")</f>
      </c>
      <c r="F126" s="79">
        <f>IFERROR(VLOOKUP($A:$A,CS!$A:$AK,8,FALSE),"")</f>
      </c>
      <c r="G126" s="79">
        <f>IFERROR(VLOOKUP($A:$A,CS!$A:$AK,10,FALSE),"")</f>
      </c>
      <c r="H126" s="79">
        <f>IFERROR(VLOOKUP($A:$A,CS!$A:$AK,14,FALSE),"")</f>
      </c>
      <c r="I126" s="79">
        <f>IFERROR(VLOOKUP($A:$A,CS!$A:$AK,15,FALSE),"")</f>
      </c>
      <c r="J126" s="79">
        <f>IFERROR(VLOOKUP($A:$A,CS!$A:$AK,18,FALSE),"")</f>
      </c>
      <c r="K126" s="79">
        <f>IFERROR(VLOOKUP($A:$A,CS!$A:$AK,19,FALSE),"")</f>
      </c>
      <c r="L126" s="79">
        <f>IFERROR(VLOOKUP($A:$A,CS!$A:$AK,20,FALSE),"")</f>
      </c>
      <c r="M126" s="79">
        <f>IFERROR(VLOOKUP($A:$A,CS!$A:$AK,22,FALSE),"")</f>
      </c>
      <c r="N126" s="79">
        <f>IFERROR(VLOOKUP($A:$A,CS!$A:$AK,19,FALSE),"")</f>
      </c>
      <c r="O126" s="79">
        <f>IFERROR(VLOOKUP($A:$A,CS!$A:$AK,23,FALSE),"")</f>
      </c>
      <c r="P126" s="79">
        <f>IFERROR(VLOOKUP($A:$A,CS!$A:$AK,24,FALSE),"")</f>
      </c>
      <c r="Q126" s="79">
        <f>IFERROR(VLOOKUP($A:$A,CS!$A:$AK,25,FALSE),"")</f>
      </c>
      <c r="R126" s="79">
        <f>IFERROR(VLOOKUP($A:$A,CS!$A:$AK,26,FALSE),"")</f>
      </c>
      <c r="S126" s="79">
        <f>IFERROR(VLOOKUP($A:$A,CS!$A:$AK,29,FALSE),"")</f>
      </c>
      <c r="T126" s="79">
        <f>IFERROR(VLOOKUP($A:$A,CS!$A:$AK,33,FALSE),"")</f>
      </c>
      <c r="U126" s="79">
        <f>IFERROR(VLOOKUP($A:$A,CS!$A:$AK,34,FALSE),"")</f>
      </c>
      <c r="V126" s="79">
        <f>IFERROR(VLOOKUP($A:$A,CS!$A:$AK,35,FALSE),"")</f>
      </c>
      <c r="W126" s="79">
        <f>IFERROR(VLOOKUP($A:$A,CS!$A:$AK,36,FALSE),"")</f>
      </c>
    </row>
    <row r="127" ht="16.5" customHeight="1" spans="1:23" x14ac:dyDescent="0.25">
      <c r="A127" s="93"/>
      <c r="B127" s="79">
        <f>IFERROR(VLOOKUP($A:$A,CS!$A:$AK,3,FALSE),"")</f>
      </c>
      <c r="C127" s="79">
        <f>IFERROR(VLOOKUP($A:$A,CS!$A:$AK,4,FALSE),"")</f>
      </c>
      <c r="D127" s="79">
        <f>IFERROR(VLOOKUP($A:$A,CS!$A:$AK,5,FALSE),"")</f>
      </c>
      <c r="E127" s="79">
        <f>IFERROR(VLOOKUP($A:$A,CS!$A:$AK,7,FALSE),"")</f>
      </c>
      <c r="F127" s="79">
        <f>IFERROR(VLOOKUP($A:$A,CS!$A:$AK,8,FALSE),"")</f>
      </c>
      <c r="G127" s="79">
        <f>IFERROR(VLOOKUP($A:$A,CS!$A:$AK,10,FALSE),"")</f>
      </c>
      <c r="H127" s="79">
        <f>IFERROR(VLOOKUP($A:$A,CS!$A:$AK,14,FALSE),"")</f>
      </c>
      <c r="I127" s="79">
        <f>IFERROR(VLOOKUP($A:$A,CS!$A:$AK,15,FALSE),"")</f>
      </c>
      <c r="J127" s="79">
        <f>IFERROR(VLOOKUP($A:$A,CS!$A:$AK,18,FALSE),"")</f>
      </c>
      <c r="K127" s="79">
        <f>IFERROR(VLOOKUP($A:$A,CS!$A:$AK,19,FALSE),"")</f>
      </c>
      <c r="L127" s="79">
        <f>IFERROR(VLOOKUP($A:$A,CS!$A:$AK,20,FALSE),"")</f>
      </c>
      <c r="M127" s="79">
        <f>IFERROR(VLOOKUP($A:$A,CS!$A:$AK,22,FALSE),"")</f>
      </c>
      <c r="N127" s="79">
        <f>IFERROR(VLOOKUP($A:$A,CS!$A:$AK,19,FALSE),"")</f>
      </c>
      <c r="O127" s="79">
        <f>IFERROR(VLOOKUP($A:$A,CS!$A:$AK,23,FALSE),"")</f>
      </c>
      <c r="P127" s="79">
        <f>IFERROR(VLOOKUP($A:$A,CS!$A:$AK,24,FALSE),"")</f>
      </c>
      <c r="Q127" s="79">
        <f>IFERROR(VLOOKUP($A:$A,CS!$A:$AK,25,FALSE),"")</f>
      </c>
      <c r="R127" s="79">
        <f>IFERROR(VLOOKUP($A:$A,CS!$A:$AK,26,FALSE),"")</f>
      </c>
      <c r="S127" s="79">
        <f>IFERROR(VLOOKUP($A:$A,CS!$A:$AK,29,FALSE),"")</f>
      </c>
      <c r="T127" s="79">
        <f>IFERROR(VLOOKUP($A:$A,CS!$A:$AK,33,FALSE),"")</f>
      </c>
      <c r="U127" s="79">
        <f>IFERROR(VLOOKUP($A:$A,CS!$A:$AK,34,FALSE),"")</f>
      </c>
      <c r="V127" s="79">
        <f>IFERROR(VLOOKUP($A:$A,CS!$A:$AK,35,FALSE),"")</f>
      </c>
      <c r="W127" s="79">
        <f>IFERROR(VLOOKUP($A:$A,CS!$A:$AK,36,FALSE),"")</f>
      </c>
    </row>
    <row r="128" ht="16.5" customHeight="1" spans="1:23" x14ac:dyDescent="0.25">
      <c r="A128" s="93"/>
      <c r="B128" s="79">
        <f>IFERROR(VLOOKUP($A:$A,CS!$A:$AK,3,FALSE),"")</f>
      </c>
      <c r="C128" s="79">
        <f>IFERROR(VLOOKUP($A:$A,CS!$A:$AK,4,FALSE),"")</f>
      </c>
      <c r="D128" s="79">
        <f>IFERROR(VLOOKUP($A:$A,CS!$A:$AK,5,FALSE),"")</f>
      </c>
      <c r="E128" s="79">
        <f>IFERROR(VLOOKUP($A:$A,CS!$A:$AK,7,FALSE),"")</f>
      </c>
      <c r="F128" s="79">
        <f>IFERROR(VLOOKUP($A:$A,CS!$A:$AK,8,FALSE),"")</f>
      </c>
      <c r="G128" s="79">
        <f>IFERROR(VLOOKUP($A:$A,CS!$A:$AK,10,FALSE),"")</f>
      </c>
      <c r="H128" s="79">
        <f>IFERROR(VLOOKUP($A:$A,CS!$A:$AK,14,FALSE),"")</f>
      </c>
      <c r="I128" s="79">
        <f>IFERROR(VLOOKUP($A:$A,CS!$A:$AK,15,FALSE),"")</f>
      </c>
      <c r="J128" s="79">
        <f>IFERROR(VLOOKUP($A:$A,CS!$A:$AK,18,FALSE),"")</f>
      </c>
      <c r="K128" s="79">
        <f>IFERROR(VLOOKUP($A:$A,CS!$A:$AK,19,FALSE),"")</f>
      </c>
      <c r="L128" s="79">
        <f>IFERROR(VLOOKUP($A:$A,CS!$A:$AK,20,FALSE),"")</f>
      </c>
      <c r="M128" s="79">
        <f>IFERROR(VLOOKUP($A:$A,CS!$A:$AK,22,FALSE),"")</f>
      </c>
      <c r="N128" s="79">
        <f>IFERROR(VLOOKUP($A:$A,CS!$A:$AK,19,FALSE),"")</f>
      </c>
      <c r="O128" s="79">
        <f>IFERROR(VLOOKUP($A:$A,CS!$A:$AK,23,FALSE),"")</f>
      </c>
      <c r="P128" s="79">
        <f>IFERROR(VLOOKUP($A:$A,CS!$A:$AK,24,FALSE),"")</f>
      </c>
      <c r="Q128" s="79">
        <f>IFERROR(VLOOKUP($A:$A,CS!$A:$AK,25,FALSE),"")</f>
      </c>
      <c r="R128" s="79">
        <f>IFERROR(VLOOKUP($A:$A,CS!$A:$AK,26,FALSE),"")</f>
      </c>
      <c r="S128" s="79">
        <f>IFERROR(VLOOKUP($A:$A,CS!$A:$AK,29,FALSE),"")</f>
      </c>
      <c r="T128" s="79">
        <f>IFERROR(VLOOKUP($A:$A,CS!$A:$AK,33,FALSE),"")</f>
      </c>
      <c r="U128" s="79">
        <f>IFERROR(VLOOKUP($A:$A,CS!$A:$AK,34,FALSE),"")</f>
      </c>
      <c r="V128" s="79">
        <f>IFERROR(VLOOKUP($A:$A,CS!$A:$AK,35,FALSE),"")</f>
      </c>
      <c r="W128" s="79">
        <f>IFERROR(VLOOKUP($A:$A,CS!$A:$AK,36,FALSE),"")</f>
      </c>
    </row>
    <row r="129" ht="16.5" customHeight="1" spans="1:23" x14ac:dyDescent="0.25">
      <c r="A129" s="93"/>
      <c r="B129" s="79">
        <f>IFERROR(VLOOKUP($A:$A,CS!$A:$AK,3,FALSE),"")</f>
      </c>
      <c r="C129" s="79">
        <f>IFERROR(VLOOKUP($A:$A,CS!$A:$AK,4,FALSE),"")</f>
      </c>
      <c r="D129" s="79">
        <f>IFERROR(VLOOKUP($A:$A,CS!$A:$AK,5,FALSE),"")</f>
      </c>
      <c r="E129" s="79">
        <f>IFERROR(VLOOKUP($A:$A,CS!$A:$AK,7,FALSE),"")</f>
      </c>
      <c r="F129" s="79">
        <f>IFERROR(VLOOKUP($A:$A,CS!$A:$AK,8,FALSE),"")</f>
      </c>
      <c r="G129" s="79">
        <f>IFERROR(VLOOKUP($A:$A,CS!$A:$AK,10,FALSE),"")</f>
      </c>
      <c r="H129" s="79">
        <f>IFERROR(VLOOKUP($A:$A,CS!$A:$AK,14,FALSE),"")</f>
      </c>
      <c r="I129" s="79">
        <f>IFERROR(VLOOKUP($A:$A,CS!$A:$AK,15,FALSE),"")</f>
      </c>
      <c r="J129" s="79">
        <f>IFERROR(VLOOKUP($A:$A,CS!$A:$AK,18,FALSE),"")</f>
      </c>
      <c r="K129" s="79">
        <f>IFERROR(VLOOKUP($A:$A,CS!$A:$AK,19,FALSE),"")</f>
      </c>
      <c r="L129" s="79">
        <f>IFERROR(VLOOKUP($A:$A,CS!$A:$AK,20,FALSE),"")</f>
      </c>
      <c r="M129" s="79">
        <f>IFERROR(VLOOKUP($A:$A,CS!$A:$AK,22,FALSE),"")</f>
      </c>
      <c r="N129" s="79">
        <f>IFERROR(VLOOKUP($A:$A,CS!$A:$AK,19,FALSE),"")</f>
      </c>
      <c r="O129" s="79">
        <f>IFERROR(VLOOKUP($A:$A,CS!$A:$AK,23,FALSE),"")</f>
      </c>
      <c r="P129" s="79">
        <f>IFERROR(VLOOKUP($A:$A,CS!$A:$AK,24,FALSE),"")</f>
      </c>
      <c r="Q129" s="79">
        <f>IFERROR(VLOOKUP($A:$A,CS!$A:$AK,25,FALSE),"")</f>
      </c>
      <c r="R129" s="79">
        <f>IFERROR(VLOOKUP($A:$A,CS!$A:$AK,26,FALSE),"")</f>
      </c>
      <c r="S129" s="79">
        <f>IFERROR(VLOOKUP($A:$A,CS!$A:$AK,29,FALSE),"")</f>
      </c>
      <c r="T129" s="79">
        <f>IFERROR(VLOOKUP($A:$A,CS!$A:$AK,33,FALSE),"")</f>
      </c>
      <c r="U129" s="79">
        <f>IFERROR(VLOOKUP($A:$A,CS!$A:$AK,34,FALSE),"")</f>
      </c>
      <c r="V129" s="79">
        <f>IFERROR(VLOOKUP($A:$A,CS!$A:$AK,35,FALSE),"")</f>
      </c>
      <c r="W129" s="79">
        <f>IFERROR(VLOOKUP($A:$A,CS!$A:$AK,36,FALSE),"")</f>
      </c>
    </row>
    <row r="130" ht="16.5" customHeight="1" spans="1:23" x14ac:dyDescent="0.25">
      <c r="A130" s="93"/>
      <c r="B130" s="79">
        <f>IFERROR(VLOOKUP($A:$A,CS!$A:$AK,3,FALSE),"")</f>
      </c>
      <c r="C130" s="79">
        <f>IFERROR(VLOOKUP($A:$A,CS!$A:$AK,4,FALSE),"")</f>
      </c>
      <c r="D130" s="79">
        <f>IFERROR(VLOOKUP($A:$A,CS!$A:$AK,5,FALSE),"")</f>
      </c>
      <c r="E130" s="79">
        <f>IFERROR(VLOOKUP($A:$A,CS!$A:$AK,7,FALSE),"")</f>
      </c>
      <c r="F130" s="79">
        <f>IFERROR(VLOOKUP($A:$A,CS!$A:$AK,8,FALSE),"")</f>
      </c>
      <c r="G130" s="79">
        <f>IFERROR(VLOOKUP($A:$A,CS!$A:$AK,10,FALSE),"")</f>
      </c>
      <c r="H130" s="79">
        <f>IFERROR(VLOOKUP($A:$A,CS!$A:$AK,14,FALSE),"")</f>
      </c>
      <c r="I130" s="79">
        <f>IFERROR(VLOOKUP($A:$A,CS!$A:$AK,15,FALSE),"")</f>
      </c>
      <c r="J130" s="79">
        <f>IFERROR(VLOOKUP($A:$A,CS!$A:$AK,18,FALSE),"")</f>
      </c>
      <c r="K130" s="79">
        <f>IFERROR(VLOOKUP($A:$A,CS!$A:$AK,19,FALSE),"")</f>
      </c>
      <c r="L130" s="79">
        <f>IFERROR(VLOOKUP($A:$A,CS!$A:$AK,20,FALSE),"")</f>
      </c>
      <c r="M130" s="79">
        <f>IFERROR(VLOOKUP($A:$A,CS!$A:$AK,22,FALSE),"")</f>
      </c>
      <c r="N130" s="79">
        <f>IFERROR(VLOOKUP($A:$A,CS!$A:$AK,19,FALSE),"")</f>
      </c>
      <c r="O130" s="79">
        <f>IFERROR(VLOOKUP($A:$A,CS!$A:$AK,23,FALSE),"")</f>
      </c>
      <c r="P130" s="79">
        <f>IFERROR(VLOOKUP($A:$A,CS!$A:$AK,24,FALSE),"")</f>
      </c>
      <c r="Q130" s="79">
        <f>IFERROR(VLOOKUP($A:$A,CS!$A:$AK,25,FALSE),"")</f>
      </c>
      <c r="R130" s="79">
        <f>IFERROR(VLOOKUP($A:$A,CS!$A:$AK,26,FALSE),"")</f>
      </c>
      <c r="S130" s="79">
        <f>IFERROR(VLOOKUP($A:$A,CS!$A:$AK,29,FALSE),"")</f>
      </c>
      <c r="T130" s="79">
        <f>IFERROR(VLOOKUP($A:$A,CS!$A:$AK,33,FALSE),"")</f>
      </c>
      <c r="U130" s="79">
        <f>IFERROR(VLOOKUP($A:$A,CS!$A:$AK,34,FALSE),"")</f>
      </c>
      <c r="V130" s="79">
        <f>IFERROR(VLOOKUP($A:$A,CS!$A:$AK,35,FALSE),"")</f>
      </c>
      <c r="W130" s="79">
        <f>IFERROR(VLOOKUP($A:$A,CS!$A:$AK,36,FALSE),"")</f>
      </c>
    </row>
    <row r="131" ht="16.5" customHeight="1" spans="1:23" x14ac:dyDescent="0.25">
      <c r="A131" s="93"/>
      <c r="B131" s="79">
        <f>IFERROR(VLOOKUP($A:$A,CS!$A:$AK,3,FALSE),"")</f>
      </c>
      <c r="C131" s="79">
        <f>IFERROR(VLOOKUP($A:$A,CS!$A:$AK,4,FALSE),"")</f>
      </c>
      <c r="D131" s="79">
        <f>IFERROR(VLOOKUP($A:$A,CS!$A:$AK,5,FALSE),"")</f>
      </c>
      <c r="E131" s="79">
        <f>IFERROR(VLOOKUP($A:$A,CS!$A:$AK,7,FALSE),"")</f>
      </c>
      <c r="F131" s="79">
        <f>IFERROR(VLOOKUP($A:$A,CS!$A:$AK,8,FALSE),"")</f>
      </c>
      <c r="G131" s="79">
        <f>IFERROR(VLOOKUP($A:$A,CS!$A:$AK,10,FALSE),"")</f>
      </c>
      <c r="H131" s="79">
        <f>IFERROR(VLOOKUP($A:$A,CS!$A:$AK,14,FALSE),"")</f>
      </c>
      <c r="I131" s="79">
        <f>IFERROR(VLOOKUP($A:$A,CS!$A:$AK,15,FALSE),"")</f>
      </c>
      <c r="J131" s="79">
        <f>IFERROR(VLOOKUP($A:$A,CS!$A:$AK,18,FALSE),"")</f>
      </c>
      <c r="K131" s="79">
        <f>IFERROR(VLOOKUP($A:$A,CS!$A:$AK,19,FALSE),"")</f>
      </c>
      <c r="L131" s="79">
        <f>IFERROR(VLOOKUP($A:$A,CS!$A:$AK,20,FALSE),"")</f>
      </c>
      <c r="M131" s="79">
        <f>IFERROR(VLOOKUP($A:$A,CS!$A:$AK,22,FALSE),"")</f>
      </c>
      <c r="N131" s="79">
        <f>IFERROR(VLOOKUP($A:$A,CS!$A:$AK,19,FALSE),"")</f>
      </c>
      <c r="O131" s="79">
        <f>IFERROR(VLOOKUP($A:$A,CS!$A:$AK,23,FALSE),"")</f>
      </c>
      <c r="P131" s="79">
        <f>IFERROR(VLOOKUP($A:$A,CS!$A:$AK,24,FALSE),"")</f>
      </c>
      <c r="Q131" s="79">
        <f>IFERROR(VLOOKUP($A:$A,CS!$A:$AK,25,FALSE),"")</f>
      </c>
      <c r="R131" s="79">
        <f>IFERROR(VLOOKUP($A:$A,CS!$A:$AK,26,FALSE),"")</f>
      </c>
      <c r="S131" s="79">
        <f>IFERROR(VLOOKUP($A:$A,CS!$A:$AK,29,FALSE),"")</f>
      </c>
      <c r="T131" s="79">
        <f>IFERROR(VLOOKUP($A:$A,CS!$A:$AK,33,FALSE),"")</f>
      </c>
      <c r="U131" s="79">
        <f>IFERROR(VLOOKUP($A:$A,CS!$A:$AK,34,FALSE),"")</f>
      </c>
      <c r="V131" s="79">
        <f>IFERROR(VLOOKUP($A:$A,CS!$A:$AK,35,FALSE),"")</f>
      </c>
      <c r="W131" s="79">
        <f>IFERROR(VLOOKUP($A:$A,CS!$A:$AK,36,FALSE),"")</f>
      </c>
    </row>
    <row r="132" ht="16.5" customHeight="1" spans="1:23" x14ac:dyDescent="0.25">
      <c r="A132" s="93"/>
      <c r="B132" s="79">
        <f>IFERROR(VLOOKUP($A:$A,CS!$A:$AK,3,FALSE),"")</f>
      </c>
      <c r="C132" s="79">
        <f>IFERROR(VLOOKUP($A:$A,CS!$A:$AK,4,FALSE),"")</f>
      </c>
      <c r="D132" s="79">
        <f>IFERROR(VLOOKUP($A:$A,CS!$A:$AK,5,FALSE),"")</f>
      </c>
      <c r="E132" s="79">
        <f>IFERROR(VLOOKUP($A:$A,CS!$A:$AK,7,FALSE),"")</f>
      </c>
      <c r="F132" s="79">
        <f>IFERROR(VLOOKUP($A:$A,CS!$A:$AK,8,FALSE),"")</f>
      </c>
      <c r="G132" s="79">
        <f>IFERROR(VLOOKUP($A:$A,CS!$A:$AK,10,FALSE),"")</f>
      </c>
      <c r="H132" s="79">
        <f>IFERROR(VLOOKUP($A:$A,CS!$A:$AK,14,FALSE),"")</f>
      </c>
      <c r="I132" s="79">
        <f>IFERROR(VLOOKUP($A:$A,CS!$A:$AK,15,FALSE),"")</f>
      </c>
      <c r="J132" s="79">
        <f>IFERROR(VLOOKUP($A:$A,CS!$A:$AK,18,FALSE),"")</f>
      </c>
      <c r="K132" s="79">
        <f>IFERROR(VLOOKUP($A:$A,CS!$A:$AK,19,FALSE),"")</f>
      </c>
      <c r="L132" s="79">
        <f>IFERROR(VLOOKUP($A:$A,CS!$A:$AK,20,FALSE),"")</f>
      </c>
      <c r="M132" s="79">
        <f>IFERROR(VLOOKUP($A:$A,CS!$A:$AK,22,FALSE),"")</f>
      </c>
      <c r="N132" s="79">
        <f>IFERROR(VLOOKUP($A:$A,CS!$A:$AK,19,FALSE),"")</f>
      </c>
      <c r="O132" s="79">
        <f>IFERROR(VLOOKUP($A:$A,CS!$A:$AK,23,FALSE),"")</f>
      </c>
      <c r="P132" s="79">
        <f>IFERROR(VLOOKUP($A:$A,CS!$A:$AK,24,FALSE),"")</f>
      </c>
      <c r="Q132" s="79">
        <f>IFERROR(VLOOKUP($A:$A,CS!$A:$AK,25,FALSE),"")</f>
      </c>
      <c r="R132" s="79">
        <f>IFERROR(VLOOKUP($A:$A,CS!$A:$AK,26,FALSE),"")</f>
      </c>
      <c r="S132" s="79">
        <f>IFERROR(VLOOKUP($A:$A,CS!$A:$AK,29,FALSE),"")</f>
      </c>
      <c r="T132" s="79">
        <f>IFERROR(VLOOKUP($A:$A,CS!$A:$AK,33,FALSE),"")</f>
      </c>
      <c r="U132" s="79">
        <f>IFERROR(VLOOKUP($A:$A,CS!$A:$AK,34,FALSE),"")</f>
      </c>
      <c r="V132" s="79">
        <f>IFERROR(VLOOKUP($A:$A,CS!$A:$AK,35,FALSE),"")</f>
      </c>
      <c r="W132" s="79">
        <f>IFERROR(VLOOKUP($A:$A,CS!$A:$AK,36,FALSE),"")</f>
      </c>
    </row>
    <row r="133" ht="16.5" customHeight="1" spans="1:23" x14ac:dyDescent="0.25">
      <c r="A133" s="93"/>
      <c r="B133" s="79">
        <f>IFERROR(VLOOKUP($A:$A,CS!$A:$AK,3,FALSE),"")</f>
      </c>
      <c r="C133" s="79">
        <f>IFERROR(VLOOKUP($A:$A,CS!$A:$AK,4,FALSE),"")</f>
      </c>
      <c r="D133" s="79">
        <f>IFERROR(VLOOKUP($A:$A,CS!$A:$AK,5,FALSE),"")</f>
      </c>
      <c r="E133" s="79">
        <f>IFERROR(VLOOKUP($A:$A,CS!$A:$AK,7,FALSE),"")</f>
      </c>
      <c r="F133" s="79">
        <f>IFERROR(VLOOKUP($A:$A,CS!$A:$AK,8,FALSE),"")</f>
      </c>
      <c r="G133" s="79">
        <f>IFERROR(VLOOKUP($A:$A,CS!$A:$AK,10,FALSE),"")</f>
      </c>
      <c r="H133" s="79">
        <f>IFERROR(VLOOKUP($A:$A,CS!$A:$AK,14,FALSE),"")</f>
      </c>
      <c r="I133" s="79">
        <f>IFERROR(VLOOKUP($A:$A,CS!$A:$AK,15,FALSE),"")</f>
      </c>
      <c r="J133" s="79">
        <f>IFERROR(VLOOKUP($A:$A,CS!$A:$AK,18,FALSE),"")</f>
      </c>
      <c r="K133" s="79">
        <f>IFERROR(VLOOKUP($A:$A,CS!$A:$AK,19,FALSE),"")</f>
      </c>
      <c r="L133" s="79">
        <f>IFERROR(VLOOKUP($A:$A,CS!$A:$AK,20,FALSE),"")</f>
      </c>
      <c r="M133" s="79">
        <f>IFERROR(VLOOKUP($A:$A,CS!$A:$AK,22,FALSE),"")</f>
      </c>
      <c r="N133" s="79">
        <f>IFERROR(VLOOKUP($A:$A,CS!$A:$AK,19,FALSE),"")</f>
      </c>
      <c r="O133" s="79">
        <f>IFERROR(VLOOKUP($A:$A,CS!$A:$AK,23,FALSE),"")</f>
      </c>
      <c r="P133" s="79">
        <f>IFERROR(VLOOKUP($A:$A,CS!$A:$AK,24,FALSE),"")</f>
      </c>
      <c r="Q133" s="79">
        <f>IFERROR(VLOOKUP($A:$A,CS!$A:$AK,25,FALSE),"")</f>
      </c>
      <c r="R133" s="79">
        <f>IFERROR(VLOOKUP($A:$A,CS!$A:$AK,26,FALSE),"")</f>
      </c>
      <c r="S133" s="79">
        <f>IFERROR(VLOOKUP($A:$A,CS!$A:$AK,29,FALSE),"")</f>
      </c>
      <c r="T133" s="79">
        <f>IFERROR(VLOOKUP($A:$A,CS!$A:$AK,33,FALSE),"")</f>
      </c>
      <c r="U133" s="79">
        <f>IFERROR(VLOOKUP($A:$A,CS!$A:$AK,34,FALSE),"")</f>
      </c>
      <c r="V133" s="79">
        <f>IFERROR(VLOOKUP($A:$A,CS!$A:$AK,35,FALSE),"")</f>
      </c>
      <c r="W133" s="79">
        <f>IFERROR(VLOOKUP($A:$A,CS!$A:$AK,36,FALSE),"")</f>
      </c>
    </row>
    <row r="134" ht="16.5" customHeight="1" spans="1:23" x14ac:dyDescent="0.25">
      <c r="A134" s="93"/>
      <c r="B134" s="79">
        <f>IFERROR(VLOOKUP($A:$A,CS!$A:$AK,3,FALSE),"")</f>
      </c>
      <c r="C134" s="79">
        <f>IFERROR(VLOOKUP($A:$A,CS!$A:$AK,4,FALSE),"")</f>
      </c>
      <c r="D134" s="79">
        <f>IFERROR(VLOOKUP($A:$A,CS!$A:$AK,5,FALSE),"")</f>
      </c>
      <c r="E134" s="79">
        <f>IFERROR(VLOOKUP($A:$A,CS!$A:$AK,7,FALSE),"")</f>
      </c>
      <c r="F134" s="79">
        <f>IFERROR(VLOOKUP($A:$A,CS!$A:$AK,8,FALSE),"")</f>
      </c>
      <c r="G134" s="79">
        <f>IFERROR(VLOOKUP($A:$A,CS!$A:$AK,10,FALSE),"")</f>
      </c>
      <c r="H134" s="79">
        <f>IFERROR(VLOOKUP($A:$A,CS!$A:$AK,14,FALSE),"")</f>
      </c>
      <c r="I134" s="79">
        <f>IFERROR(VLOOKUP($A:$A,CS!$A:$AK,15,FALSE),"")</f>
      </c>
      <c r="J134" s="79">
        <f>IFERROR(VLOOKUP($A:$A,CS!$A:$AK,18,FALSE),"")</f>
      </c>
      <c r="K134" s="79">
        <f>IFERROR(VLOOKUP($A:$A,CS!$A:$AK,19,FALSE),"")</f>
      </c>
      <c r="L134" s="79">
        <f>IFERROR(VLOOKUP($A:$A,CS!$A:$AK,20,FALSE),"")</f>
      </c>
      <c r="M134" s="79">
        <f>IFERROR(VLOOKUP($A:$A,CS!$A:$AK,22,FALSE),"")</f>
      </c>
      <c r="N134" s="79">
        <f>IFERROR(VLOOKUP($A:$A,CS!$A:$AK,19,FALSE),"")</f>
      </c>
      <c r="O134" s="79">
        <f>IFERROR(VLOOKUP($A:$A,CS!$A:$AK,23,FALSE),"")</f>
      </c>
      <c r="P134" s="79">
        <f>IFERROR(VLOOKUP($A:$A,CS!$A:$AK,24,FALSE),"")</f>
      </c>
      <c r="Q134" s="79">
        <f>IFERROR(VLOOKUP($A:$A,CS!$A:$AK,25,FALSE),"")</f>
      </c>
      <c r="R134" s="79">
        <f>IFERROR(VLOOKUP($A:$A,CS!$A:$AK,26,FALSE),"")</f>
      </c>
      <c r="S134" s="79">
        <f>IFERROR(VLOOKUP($A:$A,CS!$A:$AK,29,FALSE),"")</f>
      </c>
      <c r="T134" s="79">
        <f>IFERROR(VLOOKUP($A:$A,CS!$A:$AK,33,FALSE),"")</f>
      </c>
      <c r="U134" s="79">
        <f>IFERROR(VLOOKUP($A:$A,CS!$A:$AK,34,FALSE),"")</f>
      </c>
      <c r="V134" s="79">
        <f>IFERROR(VLOOKUP($A:$A,CS!$A:$AK,35,FALSE),"")</f>
      </c>
      <c r="W134" s="79">
        <f>IFERROR(VLOOKUP($A:$A,CS!$A:$AK,36,FALSE),"")</f>
      </c>
    </row>
    <row r="135" ht="16.5" customHeight="1" spans="1:23" x14ac:dyDescent="0.25">
      <c r="A135" s="93"/>
      <c r="B135" s="79">
        <f>IFERROR(VLOOKUP($A:$A,CS!$A:$AK,3,FALSE),"")</f>
      </c>
      <c r="C135" s="79">
        <f>IFERROR(VLOOKUP($A:$A,CS!$A:$AK,4,FALSE),"")</f>
      </c>
      <c r="D135" s="79">
        <f>IFERROR(VLOOKUP($A:$A,CS!$A:$AK,5,FALSE),"")</f>
      </c>
      <c r="E135" s="79">
        <f>IFERROR(VLOOKUP($A:$A,CS!$A:$AK,7,FALSE),"")</f>
      </c>
      <c r="F135" s="79">
        <f>IFERROR(VLOOKUP($A:$A,CS!$A:$AK,8,FALSE),"")</f>
      </c>
      <c r="G135" s="79">
        <f>IFERROR(VLOOKUP($A:$A,CS!$A:$AK,10,FALSE),"")</f>
      </c>
      <c r="H135" s="79">
        <f>IFERROR(VLOOKUP($A:$A,CS!$A:$AK,14,FALSE),"")</f>
      </c>
      <c r="I135" s="79">
        <f>IFERROR(VLOOKUP($A:$A,CS!$A:$AK,15,FALSE),"")</f>
      </c>
      <c r="J135" s="79">
        <f>IFERROR(VLOOKUP($A:$A,CS!$A:$AK,18,FALSE),"")</f>
      </c>
      <c r="K135" s="79">
        <f>IFERROR(VLOOKUP($A:$A,CS!$A:$AK,19,FALSE),"")</f>
      </c>
      <c r="L135" s="79">
        <f>IFERROR(VLOOKUP($A:$A,CS!$A:$AK,20,FALSE),"")</f>
      </c>
      <c r="M135" s="79">
        <f>IFERROR(VLOOKUP($A:$A,CS!$A:$AK,22,FALSE),"")</f>
      </c>
      <c r="N135" s="79">
        <f>IFERROR(VLOOKUP($A:$A,CS!$A:$AK,19,FALSE),"")</f>
      </c>
      <c r="O135" s="79">
        <f>IFERROR(VLOOKUP($A:$A,CS!$A:$AK,23,FALSE),"")</f>
      </c>
      <c r="P135" s="79">
        <f>IFERROR(VLOOKUP($A:$A,CS!$A:$AK,24,FALSE),"")</f>
      </c>
      <c r="Q135" s="79">
        <f>IFERROR(VLOOKUP($A:$A,CS!$A:$AK,25,FALSE),"")</f>
      </c>
      <c r="R135" s="79">
        <f>IFERROR(VLOOKUP($A:$A,CS!$A:$AK,26,FALSE),"")</f>
      </c>
      <c r="S135" s="79">
        <f>IFERROR(VLOOKUP($A:$A,CS!$A:$AK,29,FALSE),"")</f>
      </c>
      <c r="T135" s="79">
        <f>IFERROR(VLOOKUP($A:$A,CS!$A:$AK,33,FALSE),"")</f>
      </c>
      <c r="U135" s="79">
        <f>IFERROR(VLOOKUP($A:$A,CS!$A:$AK,34,FALSE),"")</f>
      </c>
      <c r="V135" s="79">
        <f>IFERROR(VLOOKUP($A:$A,CS!$A:$AK,35,FALSE),"")</f>
      </c>
      <c r="W135" s="79">
        <f>IFERROR(VLOOKUP($A:$A,CS!$A:$AK,36,FALSE),"")</f>
      </c>
    </row>
    <row r="136" ht="16.5" customHeight="1" spans="1:23" x14ac:dyDescent="0.25">
      <c r="A136" s="93"/>
      <c r="B136" s="79">
        <f>IFERROR(VLOOKUP($A:$A,CS!$A:$AK,3,FALSE),"")</f>
      </c>
      <c r="C136" s="79">
        <f>IFERROR(VLOOKUP($A:$A,CS!$A:$AK,4,FALSE),"")</f>
      </c>
      <c r="D136" s="79">
        <f>IFERROR(VLOOKUP($A:$A,CS!$A:$AK,5,FALSE),"")</f>
      </c>
      <c r="E136" s="79">
        <f>IFERROR(VLOOKUP($A:$A,CS!$A:$AK,7,FALSE),"")</f>
      </c>
      <c r="F136" s="79">
        <f>IFERROR(VLOOKUP($A:$A,CS!$A:$AK,8,FALSE),"")</f>
      </c>
      <c r="G136" s="79">
        <f>IFERROR(VLOOKUP($A:$A,CS!$A:$AK,10,FALSE),"")</f>
      </c>
      <c r="H136" s="79">
        <f>IFERROR(VLOOKUP($A:$A,CS!$A:$AK,14,FALSE),"")</f>
      </c>
      <c r="I136" s="79">
        <f>IFERROR(VLOOKUP($A:$A,CS!$A:$AK,15,FALSE),"")</f>
      </c>
      <c r="J136" s="79">
        <f>IFERROR(VLOOKUP($A:$A,CS!$A:$AK,18,FALSE),"")</f>
      </c>
      <c r="K136" s="79">
        <f>IFERROR(VLOOKUP($A:$A,CS!$A:$AK,19,FALSE),"")</f>
      </c>
      <c r="L136" s="79">
        <f>IFERROR(VLOOKUP($A:$A,CS!$A:$AK,20,FALSE),"")</f>
      </c>
      <c r="M136" s="79">
        <f>IFERROR(VLOOKUP($A:$A,CS!$A:$AK,22,FALSE),"")</f>
      </c>
      <c r="N136" s="79">
        <f>IFERROR(VLOOKUP($A:$A,CS!$A:$AK,19,FALSE),"")</f>
      </c>
      <c r="O136" s="79">
        <f>IFERROR(VLOOKUP($A:$A,CS!$A:$AK,23,FALSE),"")</f>
      </c>
      <c r="P136" s="79">
        <f>IFERROR(VLOOKUP($A:$A,CS!$A:$AK,24,FALSE),"")</f>
      </c>
      <c r="Q136" s="79">
        <f>IFERROR(VLOOKUP($A:$A,CS!$A:$AK,25,FALSE),"")</f>
      </c>
      <c r="R136" s="79">
        <f>IFERROR(VLOOKUP($A:$A,CS!$A:$AK,26,FALSE),"")</f>
      </c>
      <c r="S136" s="79">
        <f>IFERROR(VLOOKUP($A:$A,CS!$A:$AK,29,FALSE),"")</f>
      </c>
      <c r="T136" s="79">
        <f>IFERROR(VLOOKUP($A:$A,CS!$A:$AK,33,FALSE),"")</f>
      </c>
      <c r="U136" s="79">
        <f>IFERROR(VLOOKUP($A:$A,CS!$A:$AK,34,FALSE),"")</f>
      </c>
      <c r="V136" s="79">
        <f>IFERROR(VLOOKUP($A:$A,CS!$A:$AK,35,FALSE),"")</f>
      </c>
      <c r="W136" s="79">
        <f>IFERROR(VLOOKUP($A:$A,CS!$A:$AK,36,FALSE),"")</f>
      </c>
    </row>
    <row r="137" ht="16.5" customHeight="1" spans="1:23" x14ac:dyDescent="0.25">
      <c r="A137" s="93"/>
      <c r="B137" s="79">
        <f>IFERROR(VLOOKUP($A:$A,CS!$A:$AK,3,FALSE),"")</f>
      </c>
      <c r="C137" s="79">
        <f>IFERROR(VLOOKUP($A:$A,CS!$A:$AK,4,FALSE),"")</f>
      </c>
      <c r="D137" s="79">
        <f>IFERROR(VLOOKUP($A:$A,CS!$A:$AK,5,FALSE),"")</f>
      </c>
      <c r="E137" s="79">
        <f>IFERROR(VLOOKUP($A:$A,CS!$A:$AK,7,FALSE),"")</f>
      </c>
      <c r="F137" s="79">
        <f>IFERROR(VLOOKUP($A:$A,CS!$A:$AK,8,FALSE),"")</f>
      </c>
      <c r="G137" s="79">
        <f>IFERROR(VLOOKUP($A:$A,CS!$A:$AK,10,FALSE),"")</f>
      </c>
      <c r="H137" s="79">
        <f>IFERROR(VLOOKUP($A:$A,CS!$A:$AK,14,FALSE),"")</f>
      </c>
      <c r="I137" s="79">
        <f>IFERROR(VLOOKUP($A:$A,CS!$A:$AK,15,FALSE),"")</f>
      </c>
      <c r="J137" s="79">
        <f>IFERROR(VLOOKUP($A:$A,CS!$A:$AK,18,FALSE),"")</f>
      </c>
      <c r="K137" s="79">
        <f>IFERROR(VLOOKUP($A:$A,CS!$A:$AK,19,FALSE),"")</f>
      </c>
      <c r="L137" s="79">
        <f>IFERROR(VLOOKUP($A:$A,CS!$A:$AK,20,FALSE),"")</f>
      </c>
      <c r="M137" s="79">
        <f>IFERROR(VLOOKUP($A:$A,CS!$A:$AK,22,FALSE),"")</f>
      </c>
      <c r="N137" s="79">
        <f>IFERROR(VLOOKUP($A:$A,CS!$A:$AK,19,FALSE),"")</f>
      </c>
      <c r="O137" s="79">
        <f>IFERROR(VLOOKUP($A:$A,CS!$A:$AK,23,FALSE),"")</f>
      </c>
      <c r="P137" s="79">
        <f>IFERROR(VLOOKUP($A:$A,CS!$A:$AK,24,FALSE),"")</f>
      </c>
      <c r="Q137" s="79">
        <f>IFERROR(VLOOKUP($A:$A,CS!$A:$AK,25,FALSE),"")</f>
      </c>
      <c r="R137" s="79">
        <f>IFERROR(VLOOKUP($A:$A,CS!$A:$AK,26,FALSE),"")</f>
      </c>
      <c r="S137" s="79">
        <f>IFERROR(VLOOKUP($A:$A,CS!$A:$AK,29,FALSE),"")</f>
      </c>
      <c r="T137" s="79">
        <f>IFERROR(VLOOKUP($A:$A,CS!$A:$AK,33,FALSE),"")</f>
      </c>
      <c r="U137" s="79">
        <f>IFERROR(VLOOKUP($A:$A,CS!$A:$AK,34,FALSE),"")</f>
      </c>
      <c r="V137" s="79">
        <f>IFERROR(VLOOKUP($A:$A,CS!$A:$AK,35,FALSE),"")</f>
      </c>
      <c r="W137" s="79">
        <f>IFERROR(VLOOKUP($A:$A,CS!$A:$AK,36,FALSE),"")</f>
      </c>
    </row>
    <row r="138" ht="16.5" customHeight="1" spans="1:23" x14ac:dyDescent="0.25">
      <c r="A138" s="93"/>
      <c r="B138" s="79">
        <f>IFERROR(VLOOKUP($A:$A,CS!$A:$AK,3,FALSE),"")</f>
      </c>
      <c r="C138" s="79">
        <f>IFERROR(VLOOKUP($A:$A,CS!$A:$AK,4,FALSE),"")</f>
      </c>
      <c r="D138" s="79">
        <f>IFERROR(VLOOKUP($A:$A,CS!$A:$AK,5,FALSE),"")</f>
      </c>
      <c r="E138" s="79">
        <f>IFERROR(VLOOKUP($A:$A,CS!$A:$AK,7,FALSE),"")</f>
      </c>
      <c r="F138" s="79">
        <f>IFERROR(VLOOKUP($A:$A,CS!$A:$AK,8,FALSE),"")</f>
      </c>
      <c r="G138" s="79">
        <f>IFERROR(VLOOKUP($A:$A,CS!$A:$AK,10,FALSE),"")</f>
      </c>
      <c r="H138" s="79">
        <f>IFERROR(VLOOKUP($A:$A,CS!$A:$AK,14,FALSE),"")</f>
      </c>
      <c r="I138" s="79">
        <f>IFERROR(VLOOKUP($A:$A,CS!$A:$AK,15,FALSE),"")</f>
      </c>
      <c r="J138" s="79">
        <f>IFERROR(VLOOKUP($A:$A,CS!$A:$AK,18,FALSE),"")</f>
      </c>
      <c r="K138" s="79">
        <f>IFERROR(VLOOKUP($A:$A,CS!$A:$AK,19,FALSE),"")</f>
      </c>
      <c r="L138" s="79">
        <f>IFERROR(VLOOKUP($A:$A,CS!$A:$AK,20,FALSE),"")</f>
      </c>
      <c r="M138" s="79">
        <f>IFERROR(VLOOKUP($A:$A,CS!$A:$AK,22,FALSE),"")</f>
      </c>
      <c r="N138" s="79">
        <f>IFERROR(VLOOKUP($A:$A,CS!$A:$AK,19,FALSE),"")</f>
      </c>
      <c r="O138" s="79">
        <f>IFERROR(VLOOKUP($A:$A,CS!$A:$AK,23,FALSE),"")</f>
      </c>
      <c r="P138" s="79">
        <f>IFERROR(VLOOKUP($A:$A,CS!$A:$AK,24,FALSE),"")</f>
      </c>
      <c r="Q138" s="79">
        <f>IFERROR(VLOOKUP($A:$A,CS!$A:$AK,25,FALSE),"")</f>
      </c>
      <c r="R138" s="79">
        <f>IFERROR(VLOOKUP($A:$A,CS!$A:$AK,26,FALSE),"")</f>
      </c>
      <c r="S138" s="79">
        <f>IFERROR(VLOOKUP($A:$A,CS!$A:$AK,29,FALSE),"")</f>
      </c>
      <c r="T138" s="79">
        <f>IFERROR(VLOOKUP($A:$A,CS!$A:$AK,33,FALSE),"")</f>
      </c>
      <c r="U138" s="79">
        <f>IFERROR(VLOOKUP($A:$A,CS!$A:$AK,34,FALSE),"")</f>
      </c>
      <c r="V138" s="79">
        <f>IFERROR(VLOOKUP($A:$A,CS!$A:$AK,35,FALSE),"")</f>
      </c>
      <c r="W138" s="79">
        <f>IFERROR(VLOOKUP($A:$A,CS!$A:$AK,36,FALSE),"")</f>
      </c>
    </row>
    <row r="139" ht="16.5" customHeight="1" spans="1:23" x14ac:dyDescent="0.25">
      <c r="A139" s="93"/>
      <c r="B139" s="79">
        <f>IFERROR(VLOOKUP($A:$A,CS!$A:$AK,3,FALSE),"")</f>
      </c>
      <c r="C139" s="79">
        <f>IFERROR(VLOOKUP($A:$A,CS!$A:$AK,4,FALSE),"")</f>
      </c>
      <c r="D139" s="79">
        <f>IFERROR(VLOOKUP($A:$A,CS!$A:$AK,5,FALSE),"")</f>
      </c>
      <c r="E139" s="79">
        <f>IFERROR(VLOOKUP($A:$A,CS!$A:$AK,7,FALSE),"")</f>
      </c>
      <c r="F139" s="79">
        <f>IFERROR(VLOOKUP($A:$A,CS!$A:$AK,8,FALSE),"")</f>
      </c>
      <c r="G139" s="79">
        <f>IFERROR(VLOOKUP($A:$A,CS!$A:$AK,10,FALSE),"")</f>
      </c>
      <c r="H139" s="79">
        <f>IFERROR(VLOOKUP($A:$A,CS!$A:$AK,14,FALSE),"")</f>
      </c>
      <c r="I139" s="79">
        <f>IFERROR(VLOOKUP($A:$A,CS!$A:$AK,15,FALSE),"")</f>
      </c>
      <c r="J139" s="79">
        <f>IFERROR(VLOOKUP($A:$A,CS!$A:$AK,18,FALSE),"")</f>
      </c>
      <c r="K139" s="79">
        <f>IFERROR(VLOOKUP($A:$A,CS!$A:$AK,19,FALSE),"")</f>
      </c>
      <c r="L139" s="79">
        <f>IFERROR(VLOOKUP($A:$A,CS!$A:$AK,20,FALSE),"")</f>
      </c>
      <c r="M139" s="79">
        <f>IFERROR(VLOOKUP($A:$A,CS!$A:$AK,22,FALSE),"")</f>
      </c>
      <c r="N139" s="79">
        <f>IFERROR(VLOOKUP($A:$A,CS!$A:$AK,19,FALSE),"")</f>
      </c>
      <c r="O139" s="79">
        <f>IFERROR(VLOOKUP($A:$A,CS!$A:$AK,23,FALSE),"")</f>
      </c>
      <c r="P139" s="79">
        <f>IFERROR(VLOOKUP($A:$A,CS!$A:$AK,24,FALSE),"")</f>
      </c>
      <c r="Q139" s="79">
        <f>IFERROR(VLOOKUP($A:$A,CS!$A:$AK,25,FALSE),"")</f>
      </c>
      <c r="R139" s="79">
        <f>IFERROR(VLOOKUP($A:$A,CS!$A:$AK,26,FALSE),"")</f>
      </c>
      <c r="S139" s="79">
        <f>IFERROR(VLOOKUP($A:$A,CS!$A:$AK,29,FALSE),"")</f>
      </c>
      <c r="T139" s="79">
        <f>IFERROR(VLOOKUP($A:$A,CS!$A:$AK,33,FALSE),"")</f>
      </c>
      <c r="U139" s="79">
        <f>IFERROR(VLOOKUP($A:$A,CS!$A:$AK,34,FALSE),"")</f>
      </c>
      <c r="V139" s="79">
        <f>IFERROR(VLOOKUP($A:$A,CS!$A:$AK,35,FALSE),"")</f>
      </c>
      <c r="W139" s="79">
        <f>IFERROR(VLOOKUP($A:$A,CS!$A:$AK,36,FALSE),"")</f>
      </c>
    </row>
    <row r="140" ht="16.5" customHeight="1" spans="1:23" x14ac:dyDescent="0.25">
      <c r="A140" s="93"/>
      <c r="B140" s="79">
        <f>IFERROR(VLOOKUP($A:$A,CS!$A:$AK,3,FALSE),"")</f>
      </c>
      <c r="C140" s="79">
        <f>IFERROR(VLOOKUP($A:$A,CS!$A:$AK,4,FALSE),"")</f>
      </c>
      <c r="D140" s="79">
        <f>IFERROR(VLOOKUP($A:$A,CS!$A:$AK,5,FALSE),"")</f>
      </c>
      <c r="E140" s="79">
        <f>IFERROR(VLOOKUP($A:$A,CS!$A:$AK,7,FALSE),"")</f>
      </c>
      <c r="F140" s="79">
        <f>IFERROR(VLOOKUP($A:$A,CS!$A:$AK,8,FALSE),"")</f>
      </c>
      <c r="G140" s="79">
        <f>IFERROR(VLOOKUP($A:$A,CS!$A:$AK,10,FALSE),"")</f>
      </c>
      <c r="H140" s="79">
        <f>IFERROR(VLOOKUP($A:$A,CS!$A:$AK,14,FALSE),"")</f>
      </c>
      <c r="I140" s="79">
        <f>IFERROR(VLOOKUP($A:$A,CS!$A:$AK,15,FALSE),"")</f>
      </c>
      <c r="J140" s="79">
        <f>IFERROR(VLOOKUP($A:$A,CS!$A:$AK,18,FALSE),"")</f>
      </c>
      <c r="K140" s="79">
        <f>IFERROR(VLOOKUP($A:$A,CS!$A:$AK,19,FALSE),"")</f>
      </c>
      <c r="L140" s="79">
        <f>IFERROR(VLOOKUP($A:$A,CS!$A:$AK,20,FALSE),"")</f>
      </c>
      <c r="M140" s="79">
        <f>IFERROR(VLOOKUP($A:$A,CS!$A:$AK,22,FALSE),"")</f>
      </c>
      <c r="N140" s="79">
        <f>IFERROR(VLOOKUP($A:$A,CS!$A:$AK,19,FALSE),"")</f>
      </c>
      <c r="O140" s="79">
        <f>IFERROR(VLOOKUP($A:$A,CS!$A:$AK,23,FALSE),"")</f>
      </c>
      <c r="P140" s="79">
        <f>IFERROR(VLOOKUP($A:$A,CS!$A:$AK,24,FALSE),"")</f>
      </c>
      <c r="Q140" s="79">
        <f>IFERROR(VLOOKUP($A:$A,CS!$A:$AK,25,FALSE),"")</f>
      </c>
      <c r="R140" s="79">
        <f>IFERROR(VLOOKUP($A:$A,CS!$A:$AK,26,FALSE),"")</f>
      </c>
      <c r="S140" s="79">
        <f>IFERROR(VLOOKUP($A:$A,CS!$A:$AK,29,FALSE),"")</f>
      </c>
      <c r="T140" s="79">
        <f>IFERROR(VLOOKUP($A:$A,CS!$A:$AK,33,FALSE),"")</f>
      </c>
      <c r="U140" s="79">
        <f>IFERROR(VLOOKUP($A:$A,CS!$A:$AK,34,FALSE),"")</f>
      </c>
      <c r="V140" s="79">
        <f>IFERROR(VLOOKUP($A:$A,CS!$A:$AK,35,FALSE),"")</f>
      </c>
      <c r="W140" s="79">
        <f>IFERROR(VLOOKUP($A:$A,CS!$A:$AK,36,FALSE),"")</f>
      </c>
    </row>
    <row r="141" ht="16.5" customHeight="1" spans="1:23" x14ac:dyDescent="0.25">
      <c r="A141" s="93"/>
      <c r="B141" s="79">
        <f>IFERROR(VLOOKUP($A:$A,CS!$A:$AK,3,FALSE),"")</f>
      </c>
      <c r="C141" s="79">
        <f>IFERROR(VLOOKUP($A:$A,CS!$A:$AK,4,FALSE),"")</f>
      </c>
      <c r="D141" s="79">
        <f>IFERROR(VLOOKUP($A:$A,CS!$A:$AK,5,FALSE),"")</f>
      </c>
      <c r="E141" s="79">
        <f>IFERROR(VLOOKUP($A:$A,CS!$A:$AK,7,FALSE),"")</f>
      </c>
      <c r="F141" s="79">
        <f>IFERROR(VLOOKUP($A:$A,CS!$A:$AK,8,FALSE),"")</f>
      </c>
      <c r="G141" s="79">
        <f>IFERROR(VLOOKUP($A:$A,CS!$A:$AK,10,FALSE),"")</f>
      </c>
      <c r="H141" s="79">
        <f>IFERROR(VLOOKUP($A:$A,CS!$A:$AK,14,FALSE),"")</f>
      </c>
      <c r="I141" s="79">
        <f>IFERROR(VLOOKUP($A:$A,CS!$A:$AK,15,FALSE),"")</f>
      </c>
      <c r="J141" s="79">
        <f>IFERROR(VLOOKUP($A:$A,CS!$A:$AK,18,FALSE),"")</f>
      </c>
      <c r="K141" s="79">
        <f>IFERROR(VLOOKUP($A:$A,CS!$A:$AK,19,FALSE),"")</f>
      </c>
      <c r="L141" s="79">
        <f>IFERROR(VLOOKUP($A:$A,CS!$A:$AK,20,FALSE),"")</f>
      </c>
      <c r="M141" s="79">
        <f>IFERROR(VLOOKUP($A:$A,CS!$A:$AK,22,FALSE),"")</f>
      </c>
      <c r="N141" s="79">
        <f>IFERROR(VLOOKUP($A:$A,CS!$A:$AK,19,FALSE),"")</f>
      </c>
      <c r="O141" s="79">
        <f>IFERROR(VLOOKUP($A:$A,CS!$A:$AK,23,FALSE),"")</f>
      </c>
      <c r="P141" s="79">
        <f>IFERROR(VLOOKUP($A:$A,CS!$A:$AK,24,FALSE),"")</f>
      </c>
      <c r="Q141" s="79">
        <f>IFERROR(VLOOKUP($A:$A,CS!$A:$AK,25,FALSE),"")</f>
      </c>
      <c r="R141" s="79">
        <f>IFERROR(VLOOKUP($A:$A,CS!$A:$AK,26,FALSE),"")</f>
      </c>
      <c r="S141" s="79">
        <f>IFERROR(VLOOKUP($A:$A,CS!$A:$AK,29,FALSE),"")</f>
      </c>
      <c r="T141" s="79">
        <f>IFERROR(VLOOKUP($A:$A,CS!$A:$AK,33,FALSE),"")</f>
      </c>
      <c r="U141" s="79">
        <f>IFERROR(VLOOKUP($A:$A,CS!$A:$AK,34,FALSE),"")</f>
      </c>
      <c r="V141" s="79">
        <f>IFERROR(VLOOKUP($A:$A,CS!$A:$AK,35,FALSE),"")</f>
      </c>
      <c r="W141" s="79">
        <f>IFERROR(VLOOKUP($A:$A,CS!$A:$AK,36,FALSE),"")</f>
      </c>
    </row>
    <row r="142" ht="16.5" customHeight="1" spans="1:23" x14ac:dyDescent="0.25">
      <c r="A142" s="93"/>
      <c r="B142" s="79">
        <f>IFERROR(VLOOKUP($A:$A,CS!$A:$AK,3,FALSE),"")</f>
      </c>
      <c r="C142" s="79">
        <f>IFERROR(VLOOKUP($A:$A,CS!$A:$AK,4,FALSE),"")</f>
      </c>
      <c r="D142" s="79">
        <f>IFERROR(VLOOKUP($A:$A,CS!$A:$AK,5,FALSE),"")</f>
      </c>
      <c r="E142" s="79">
        <f>IFERROR(VLOOKUP($A:$A,CS!$A:$AK,7,FALSE),"")</f>
      </c>
      <c r="F142" s="79">
        <f>IFERROR(VLOOKUP($A:$A,CS!$A:$AK,8,FALSE),"")</f>
      </c>
      <c r="G142" s="79">
        <f>IFERROR(VLOOKUP($A:$A,CS!$A:$AK,10,FALSE),"")</f>
      </c>
      <c r="H142" s="79">
        <f>IFERROR(VLOOKUP($A:$A,CS!$A:$AK,14,FALSE),"")</f>
      </c>
      <c r="I142" s="79">
        <f>IFERROR(VLOOKUP($A:$A,CS!$A:$AK,15,FALSE),"")</f>
      </c>
      <c r="J142" s="79">
        <f>IFERROR(VLOOKUP($A:$A,CS!$A:$AK,18,FALSE),"")</f>
      </c>
      <c r="K142" s="79">
        <f>IFERROR(VLOOKUP($A:$A,CS!$A:$AK,19,FALSE),"")</f>
      </c>
      <c r="L142" s="79">
        <f>IFERROR(VLOOKUP($A:$A,CS!$A:$AK,20,FALSE),"")</f>
      </c>
      <c r="M142" s="79">
        <f>IFERROR(VLOOKUP($A:$A,CS!$A:$AK,22,FALSE),"")</f>
      </c>
      <c r="N142" s="79">
        <f>IFERROR(VLOOKUP($A:$A,CS!$A:$AK,19,FALSE),"")</f>
      </c>
      <c r="O142" s="79">
        <f>IFERROR(VLOOKUP($A:$A,CS!$A:$AK,23,FALSE),"")</f>
      </c>
      <c r="P142" s="79">
        <f>IFERROR(VLOOKUP($A:$A,CS!$A:$AK,24,FALSE),"")</f>
      </c>
      <c r="Q142" s="79">
        <f>IFERROR(VLOOKUP($A:$A,CS!$A:$AK,25,FALSE),"")</f>
      </c>
      <c r="R142" s="79">
        <f>IFERROR(VLOOKUP($A:$A,CS!$A:$AK,26,FALSE),"")</f>
      </c>
      <c r="S142" s="79">
        <f>IFERROR(VLOOKUP($A:$A,CS!$A:$AK,29,FALSE),"")</f>
      </c>
      <c r="T142" s="79">
        <f>IFERROR(VLOOKUP($A:$A,CS!$A:$AK,33,FALSE),"")</f>
      </c>
      <c r="U142" s="79">
        <f>IFERROR(VLOOKUP($A:$A,CS!$A:$AK,34,FALSE),"")</f>
      </c>
      <c r="V142" s="79">
        <f>IFERROR(VLOOKUP($A:$A,CS!$A:$AK,35,FALSE),"")</f>
      </c>
      <c r="W142" s="79">
        <f>IFERROR(VLOOKUP($A:$A,CS!$A:$AK,36,FALSE),"")</f>
      </c>
    </row>
    <row r="143" ht="16.5" customHeight="1" spans="1:23" x14ac:dyDescent="0.25">
      <c r="A143" s="93"/>
      <c r="B143" s="79">
        <f>IFERROR(VLOOKUP($A:$A,CS!$A:$AK,3,FALSE),"")</f>
      </c>
      <c r="C143" s="79">
        <f>IFERROR(VLOOKUP($A:$A,CS!$A:$AK,4,FALSE),"")</f>
      </c>
      <c r="D143" s="79">
        <f>IFERROR(VLOOKUP($A:$A,CS!$A:$AK,5,FALSE),"")</f>
      </c>
      <c r="E143" s="79">
        <f>IFERROR(VLOOKUP($A:$A,CS!$A:$AK,7,FALSE),"")</f>
      </c>
      <c r="F143" s="79">
        <f>IFERROR(VLOOKUP($A:$A,CS!$A:$AK,8,FALSE),"")</f>
      </c>
      <c r="G143" s="79">
        <f>IFERROR(VLOOKUP($A:$A,CS!$A:$AK,10,FALSE),"")</f>
      </c>
      <c r="H143" s="79">
        <f>IFERROR(VLOOKUP($A:$A,CS!$A:$AK,14,FALSE),"")</f>
      </c>
      <c r="I143" s="79">
        <f>IFERROR(VLOOKUP($A:$A,CS!$A:$AK,15,FALSE),"")</f>
      </c>
      <c r="J143" s="79">
        <f>IFERROR(VLOOKUP($A:$A,CS!$A:$AK,18,FALSE),"")</f>
      </c>
      <c r="K143" s="79">
        <f>IFERROR(VLOOKUP($A:$A,CS!$A:$AK,19,FALSE),"")</f>
      </c>
      <c r="L143" s="79">
        <f>IFERROR(VLOOKUP($A:$A,CS!$A:$AK,20,FALSE),"")</f>
      </c>
      <c r="M143" s="79">
        <f>IFERROR(VLOOKUP($A:$A,CS!$A:$AK,22,FALSE),"")</f>
      </c>
      <c r="N143" s="79">
        <f>IFERROR(VLOOKUP($A:$A,CS!$A:$AK,19,FALSE),"")</f>
      </c>
      <c r="O143" s="79">
        <f>IFERROR(VLOOKUP($A:$A,CS!$A:$AK,23,FALSE),"")</f>
      </c>
      <c r="P143" s="79">
        <f>IFERROR(VLOOKUP($A:$A,CS!$A:$AK,24,FALSE),"")</f>
      </c>
      <c r="Q143" s="79">
        <f>IFERROR(VLOOKUP($A:$A,CS!$A:$AK,25,FALSE),"")</f>
      </c>
      <c r="R143" s="79">
        <f>IFERROR(VLOOKUP($A:$A,CS!$A:$AK,26,FALSE),"")</f>
      </c>
      <c r="S143" s="79">
        <f>IFERROR(VLOOKUP($A:$A,CS!$A:$AK,29,FALSE),"")</f>
      </c>
      <c r="T143" s="79">
        <f>IFERROR(VLOOKUP($A:$A,CS!$A:$AK,33,FALSE),"")</f>
      </c>
      <c r="U143" s="79">
        <f>IFERROR(VLOOKUP($A:$A,CS!$A:$AK,34,FALSE),"")</f>
      </c>
      <c r="V143" s="79">
        <f>IFERROR(VLOOKUP($A:$A,CS!$A:$AK,35,FALSE),"")</f>
      </c>
      <c r="W143" s="79">
        <f>IFERROR(VLOOKUP($A:$A,CS!$A:$AK,36,FALSE),"")</f>
      </c>
    </row>
    <row r="144" ht="16.5" customHeight="1" spans="1:23" x14ac:dyDescent="0.25">
      <c r="A144" s="93"/>
      <c r="B144" s="79">
        <f>IFERROR(VLOOKUP($A:$A,CS!$A:$AK,3,FALSE),"")</f>
      </c>
      <c r="C144" s="79">
        <f>IFERROR(VLOOKUP($A:$A,CS!$A:$AK,4,FALSE),"")</f>
      </c>
      <c r="D144" s="79">
        <f>IFERROR(VLOOKUP($A:$A,CS!$A:$AK,5,FALSE),"")</f>
      </c>
      <c r="E144" s="79">
        <f>IFERROR(VLOOKUP($A:$A,CS!$A:$AK,7,FALSE),"")</f>
      </c>
      <c r="F144" s="79">
        <f>IFERROR(VLOOKUP($A:$A,CS!$A:$AK,8,FALSE),"")</f>
      </c>
      <c r="G144" s="79">
        <f>IFERROR(VLOOKUP($A:$A,CS!$A:$AK,10,FALSE),"")</f>
      </c>
      <c r="H144" s="79">
        <f>IFERROR(VLOOKUP($A:$A,CS!$A:$AK,14,FALSE),"")</f>
      </c>
      <c r="I144" s="79">
        <f>IFERROR(VLOOKUP($A:$A,CS!$A:$AK,15,FALSE),"")</f>
      </c>
      <c r="J144" s="79">
        <f>IFERROR(VLOOKUP($A:$A,CS!$A:$AK,18,FALSE),"")</f>
      </c>
      <c r="K144" s="79">
        <f>IFERROR(VLOOKUP($A:$A,CS!$A:$AK,19,FALSE),"")</f>
      </c>
      <c r="L144" s="79">
        <f>IFERROR(VLOOKUP($A:$A,CS!$A:$AK,20,FALSE),"")</f>
      </c>
      <c r="M144" s="79">
        <f>IFERROR(VLOOKUP($A:$A,CS!$A:$AK,22,FALSE),"")</f>
      </c>
      <c r="N144" s="79">
        <f>IFERROR(VLOOKUP($A:$A,CS!$A:$AK,19,FALSE),"")</f>
      </c>
      <c r="O144" s="79">
        <f>IFERROR(VLOOKUP($A:$A,CS!$A:$AK,23,FALSE),"")</f>
      </c>
      <c r="P144" s="79">
        <f>IFERROR(VLOOKUP($A:$A,CS!$A:$AK,24,FALSE),"")</f>
      </c>
      <c r="Q144" s="79">
        <f>IFERROR(VLOOKUP($A:$A,CS!$A:$AK,25,FALSE),"")</f>
      </c>
      <c r="R144" s="79">
        <f>IFERROR(VLOOKUP($A:$A,CS!$A:$AK,26,FALSE),"")</f>
      </c>
      <c r="S144" s="79">
        <f>IFERROR(VLOOKUP($A:$A,CS!$A:$AK,29,FALSE),"")</f>
      </c>
      <c r="T144" s="79">
        <f>IFERROR(VLOOKUP($A:$A,CS!$A:$AK,33,FALSE),"")</f>
      </c>
      <c r="U144" s="79">
        <f>IFERROR(VLOOKUP($A:$A,CS!$A:$AK,34,FALSE),"")</f>
      </c>
      <c r="V144" s="79">
        <f>IFERROR(VLOOKUP($A:$A,CS!$A:$AK,35,FALSE),"")</f>
      </c>
      <c r="W144" s="79">
        <f>IFERROR(VLOOKUP($A:$A,CS!$A:$AK,36,FALSE),"")</f>
      </c>
    </row>
    <row r="145" ht="16.5" customHeight="1" spans="1:23" x14ac:dyDescent="0.25">
      <c r="A145" s="93"/>
      <c r="B145" s="79">
        <f>IFERROR(VLOOKUP($A:$A,CS!$A:$AK,3,FALSE),"")</f>
      </c>
      <c r="C145" s="79">
        <f>IFERROR(VLOOKUP($A:$A,CS!$A:$AK,4,FALSE),"")</f>
      </c>
      <c r="D145" s="79">
        <f>IFERROR(VLOOKUP($A:$A,CS!$A:$AK,5,FALSE),"")</f>
      </c>
      <c r="E145" s="79">
        <f>IFERROR(VLOOKUP($A:$A,CS!$A:$AK,7,FALSE),"")</f>
      </c>
      <c r="F145" s="79">
        <f>IFERROR(VLOOKUP($A:$A,CS!$A:$AK,8,FALSE),"")</f>
      </c>
      <c r="G145" s="79">
        <f>IFERROR(VLOOKUP($A:$A,CS!$A:$AK,10,FALSE),"")</f>
      </c>
      <c r="H145" s="79">
        <f>IFERROR(VLOOKUP($A:$A,CS!$A:$AK,14,FALSE),"")</f>
      </c>
      <c r="I145" s="79">
        <f>IFERROR(VLOOKUP($A:$A,CS!$A:$AK,15,FALSE),"")</f>
      </c>
      <c r="J145" s="79">
        <f>IFERROR(VLOOKUP($A:$A,CS!$A:$AK,18,FALSE),"")</f>
      </c>
      <c r="K145" s="79">
        <f>IFERROR(VLOOKUP($A:$A,CS!$A:$AK,19,FALSE),"")</f>
      </c>
      <c r="L145" s="79">
        <f>IFERROR(VLOOKUP($A:$A,CS!$A:$AK,20,FALSE),"")</f>
      </c>
      <c r="M145" s="79">
        <f>IFERROR(VLOOKUP($A:$A,CS!$A:$AK,22,FALSE),"")</f>
      </c>
      <c r="N145" s="79">
        <f>IFERROR(VLOOKUP($A:$A,CS!$A:$AK,19,FALSE),"")</f>
      </c>
      <c r="O145" s="79">
        <f>IFERROR(VLOOKUP($A:$A,CS!$A:$AK,23,FALSE),"")</f>
      </c>
      <c r="P145" s="79">
        <f>IFERROR(VLOOKUP($A:$A,CS!$A:$AK,24,FALSE),"")</f>
      </c>
      <c r="Q145" s="79">
        <f>IFERROR(VLOOKUP($A:$A,CS!$A:$AK,25,FALSE),"")</f>
      </c>
      <c r="R145" s="79">
        <f>IFERROR(VLOOKUP($A:$A,CS!$A:$AK,26,FALSE),"")</f>
      </c>
      <c r="S145" s="79">
        <f>IFERROR(VLOOKUP($A:$A,CS!$A:$AK,29,FALSE),"")</f>
      </c>
      <c r="T145" s="79">
        <f>IFERROR(VLOOKUP($A:$A,CS!$A:$AK,33,FALSE),"")</f>
      </c>
      <c r="U145" s="79">
        <f>IFERROR(VLOOKUP($A:$A,CS!$A:$AK,34,FALSE),"")</f>
      </c>
      <c r="V145" s="79">
        <f>IFERROR(VLOOKUP($A:$A,CS!$A:$AK,35,FALSE),"")</f>
      </c>
      <c r="W145" s="79">
        <f>IFERROR(VLOOKUP($A:$A,CS!$A:$AK,36,FALSE),"")</f>
      </c>
    </row>
    <row r="146" ht="16.5" customHeight="1" spans="1:23" x14ac:dyDescent="0.25">
      <c r="A146" s="93"/>
      <c r="B146" s="79">
        <f>IFERROR(VLOOKUP($A:$A,CS!$A:$AK,3,FALSE),"")</f>
      </c>
      <c r="C146" s="79">
        <f>IFERROR(VLOOKUP($A:$A,CS!$A:$AK,4,FALSE),"")</f>
      </c>
      <c r="D146" s="79">
        <f>IFERROR(VLOOKUP($A:$A,CS!$A:$AK,5,FALSE),"")</f>
      </c>
      <c r="E146" s="79">
        <f>IFERROR(VLOOKUP($A:$A,CS!$A:$AK,7,FALSE),"")</f>
      </c>
      <c r="F146" s="79">
        <f>IFERROR(VLOOKUP($A:$A,CS!$A:$AK,8,FALSE),"")</f>
      </c>
      <c r="G146" s="79">
        <f>IFERROR(VLOOKUP($A:$A,CS!$A:$AK,10,FALSE),"")</f>
      </c>
      <c r="H146" s="79">
        <f>IFERROR(VLOOKUP($A:$A,CS!$A:$AK,14,FALSE),"")</f>
      </c>
      <c r="I146" s="79">
        <f>IFERROR(VLOOKUP($A:$A,CS!$A:$AK,15,FALSE),"")</f>
      </c>
      <c r="J146" s="79">
        <f>IFERROR(VLOOKUP($A:$A,CS!$A:$AK,18,FALSE),"")</f>
      </c>
      <c r="K146" s="79">
        <f>IFERROR(VLOOKUP($A:$A,CS!$A:$AK,19,FALSE),"")</f>
      </c>
      <c r="L146" s="79">
        <f>IFERROR(VLOOKUP($A:$A,CS!$A:$AK,20,FALSE),"")</f>
      </c>
      <c r="M146" s="79">
        <f>IFERROR(VLOOKUP($A:$A,CS!$A:$AK,22,FALSE),"")</f>
      </c>
      <c r="N146" s="79">
        <f>IFERROR(VLOOKUP($A:$A,CS!$A:$AK,19,FALSE),"")</f>
      </c>
      <c r="O146" s="79">
        <f>IFERROR(VLOOKUP($A:$A,CS!$A:$AK,23,FALSE),"")</f>
      </c>
      <c r="P146" s="79">
        <f>IFERROR(VLOOKUP($A:$A,CS!$A:$AK,24,FALSE),"")</f>
      </c>
      <c r="Q146" s="79">
        <f>IFERROR(VLOOKUP($A:$A,CS!$A:$AK,25,FALSE),"")</f>
      </c>
      <c r="R146" s="79">
        <f>IFERROR(VLOOKUP($A:$A,CS!$A:$AK,26,FALSE),"")</f>
      </c>
      <c r="S146" s="79">
        <f>IFERROR(VLOOKUP($A:$A,CS!$A:$AK,29,FALSE),"")</f>
      </c>
      <c r="T146" s="79">
        <f>IFERROR(VLOOKUP($A:$A,CS!$A:$AK,33,FALSE),"")</f>
      </c>
      <c r="U146" s="79">
        <f>IFERROR(VLOOKUP($A:$A,CS!$A:$AK,34,FALSE),"")</f>
      </c>
      <c r="V146" s="79">
        <f>IFERROR(VLOOKUP($A:$A,CS!$A:$AK,35,FALSE),"")</f>
      </c>
      <c r="W146" s="79">
        <f>IFERROR(VLOOKUP($A:$A,CS!$A:$AK,36,FALSE),"")</f>
      </c>
    </row>
    <row r="147" ht="16.5" customHeight="1" spans="1:23" x14ac:dyDescent="0.25">
      <c r="A147" s="93"/>
      <c r="B147" s="79">
        <f>IFERROR(VLOOKUP($A:$A,CS!$A:$AK,3,FALSE),"")</f>
      </c>
      <c r="C147" s="79">
        <f>IFERROR(VLOOKUP($A:$A,CS!$A:$AK,4,FALSE),"")</f>
      </c>
      <c r="D147" s="79">
        <f>IFERROR(VLOOKUP($A:$A,CS!$A:$AK,5,FALSE),"")</f>
      </c>
      <c r="E147" s="79">
        <f>IFERROR(VLOOKUP($A:$A,CS!$A:$AK,7,FALSE),"")</f>
      </c>
      <c r="F147" s="79">
        <f>IFERROR(VLOOKUP($A:$A,CS!$A:$AK,8,FALSE),"")</f>
      </c>
      <c r="G147" s="79">
        <f>IFERROR(VLOOKUP($A:$A,CS!$A:$AK,10,FALSE),"")</f>
      </c>
      <c r="H147" s="79">
        <f>IFERROR(VLOOKUP($A:$A,CS!$A:$AK,14,FALSE),"")</f>
      </c>
      <c r="I147" s="79">
        <f>IFERROR(VLOOKUP($A:$A,CS!$A:$AK,15,FALSE),"")</f>
      </c>
      <c r="J147" s="79">
        <f>IFERROR(VLOOKUP($A:$A,CS!$A:$AK,18,FALSE),"")</f>
      </c>
      <c r="K147" s="79">
        <f>IFERROR(VLOOKUP($A:$A,CS!$A:$AK,19,FALSE),"")</f>
      </c>
      <c r="L147" s="79">
        <f>IFERROR(VLOOKUP($A:$A,CS!$A:$AK,20,FALSE),"")</f>
      </c>
      <c r="M147" s="79">
        <f>IFERROR(VLOOKUP($A:$A,CS!$A:$AK,22,FALSE),"")</f>
      </c>
      <c r="N147" s="79">
        <f>IFERROR(VLOOKUP($A:$A,CS!$A:$AK,19,FALSE),"")</f>
      </c>
      <c r="O147" s="79">
        <f>IFERROR(VLOOKUP($A:$A,CS!$A:$AK,23,FALSE),"")</f>
      </c>
      <c r="P147" s="79">
        <f>IFERROR(VLOOKUP($A:$A,CS!$A:$AK,24,FALSE),"")</f>
      </c>
      <c r="Q147" s="79">
        <f>IFERROR(VLOOKUP($A:$A,CS!$A:$AK,25,FALSE),"")</f>
      </c>
      <c r="R147" s="79">
        <f>IFERROR(VLOOKUP($A:$A,CS!$A:$AK,26,FALSE),"")</f>
      </c>
      <c r="S147" s="79">
        <f>IFERROR(VLOOKUP($A:$A,CS!$A:$AK,29,FALSE),"")</f>
      </c>
      <c r="T147" s="79">
        <f>IFERROR(VLOOKUP($A:$A,CS!$A:$AK,33,FALSE),"")</f>
      </c>
      <c r="U147" s="79">
        <f>IFERROR(VLOOKUP($A:$A,CS!$A:$AK,34,FALSE),"")</f>
      </c>
      <c r="V147" s="79">
        <f>IFERROR(VLOOKUP($A:$A,CS!$A:$AK,35,FALSE),"")</f>
      </c>
      <c r="W147" s="79">
        <f>IFERROR(VLOOKUP($A:$A,CS!$A:$AK,36,FALSE),"")</f>
      </c>
    </row>
    <row r="148" ht="16.5" customHeight="1" spans="1:23" x14ac:dyDescent="0.25">
      <c r="A148" s="93"/>
      <c r="B148" s="79">
        <f>IFERROR(VLOOKUP($A:$A,CS!$A:$AK,3,FALSE),"")</f>
      </c>
      <c r="C148" s="79">
        <f>IFERROR(VLOOKUP($A:$A,CS!$A:$AK,4,FALSE),"")</f>
      </c>
      <c r="D148" s="79">
        <f>IFERROR(VLOOKUP($A:$A,CS!$A:$AK,5,FALSE),"")</f>
      </c>
      <c r="E148" s="79">
        <f>IFERROR(VLOOKUP($A:$A,CS!$A:$AK,7,FALSE),"")</f>
      </c>
      <c r="F148" s="79">
        <f>IFERROR(VLOOKUP($A:$A,CS!$A:$AK,8,FALSE),"")</f>
      </c>
      <c r="G148" s="79">
        <f>IFERROR(VLOOKUP($A:$A,CS!$A:$AK,10,FALSE),"")</f>
      </c>
      <c r="H148" s="79">
        <f>IFERROR(VLOOKUP($A:$A,CS!$A:$AK,14,FALSE),"")</f>
      </c>
      <c r="I148" s="79">
        <f>IFERROR(VLOOKUP($A:$A,CS!$A:$AK,15,FALSE),"")</f>
      </c>
      <c r="J148" s="79">
        <f>IFERROR(VLOOKUP($A:$A,CS!$A:$AK,18,FALSE),"")</f>
      </c>
      <c r="K148" s="79">
        <f>IFERROR(VLOOKUP($A:$A,CS!$A:$AK,19,FALSE),"")</f>
      </c>
      <c r="L148" s="79">
        <f>IFERROR(VLOOKUP($A:$A,CS!$A:$AK,20,FALSE),"")</f>
      </c>
      <c r="M148" s="79">
        <f>IFERROR(VLOOKUP($A:$A,CS!$A:$AK,22,FALSE),"")</f>
      </c>
      <c r="N148" s="79">
        <f>IFERROR(VLOOKUP($A:$A,CS!$A:$AK,19,FALSE),"")</f>
      </c>
      <c r="O148" s="79">
        <f>IFERROR(VLOOKUP($A:$A,CS!$A:$AK,23,FALSE),"")</f>
      </c>
      <c r="P148" s="79">
        <f>IFERROR(VLOOKUP($A:$A,CS!$A:$AK,24,FALSE),"")</f>
      </c>
      <c r="Q148" s="79">
        <f>IFERROR(VLOOKUP($A:$A,CS!$A:$AK,25,FALSE),"")</f>
      </c>
      <c r="R148" s="79">
        <f>IFERROR(VLOOKUP($A:$A,CS!$A:$AK,26,FALSE),"")</f>
      </c>
      <c r="S148" s="79">
        <f>IFERROR(VLOOKUP($A:$A,CS!$A:$AK,29,FALSE),"")</f>
      </c>
      <c r="T148" s="79">
        <f>IFERROR(VLOOKUP($A:$A,CS!$A:$AK,33,FALSE),"")</f>
      </c>
      <c r="U148" s="79">
        <f>IFERROR(VLOOKUP($A:$A,CS!$A:$AK,34,FALSE),"")</f>
      </c>
      <c r="V148" s="79">
        <f>IFERROR(VLOOKUP($A:$A,CS!$A:$AK,35,FALSE),"")</f>
      </c>
      <c r="W148" s="79">
        <f>IFERROR(VLOOKUP($A:$A,CS!$A:$AK,36,FALSE),"")</f>
      </c>
    </row>
    <row r="149" ht="16.5" customHeight="1" spans="1:23" x14ac:dyDescent="0.25">
      <c r="A149" s="93"/>
      <c r="B149" s="79">
        <f>IFERROR(VLOOKUP($A:$A,CS!$A:$AK,3,FALSE),"")</f>
      </c>
      <c r="C149" s="79">
        <f>IFERROR(VLOOKUP($A:$A,CS!$A:$AK,4,FALSE),"")</f>
      </c>
      <c r="D149" s="79">
        <f>IFERROR(VLOOKUP($A:$A,CS!$A:$AK,5,FALSE),"")</f>
      </c>
      <c r="E149" s="79">
        <f>IFERROR(VLOOKUP($A:$A,CS!$A:$AK,7,FALSE),"")</f>
      </c>
      <c r="F149" s="79">
        <f>IFERROR(VLOOKUP($A:$A,CS!$A:$AK,8,FALSE),"")</f>
      </c>
      <c r="G149" s="79">
        <f>IFERROR(VLOOKUP($A:$A,CS!$A:$AK,10,FALSE),"")</f>
      </c>
      <c r="H149" s="79">
        <f>IFERROR(VLOOKUP($A:$A,CS!$A:$AK,14,FALSE),"")</f>
      </c>
      <c r="I149" s="79">
        <f>IFERROR(VLOOKUP($A:$A,CS!$A:$AK,15,FALSE),"")</f>
      </c>
      <c r="J149" s="79">
        <f>IFERROR(VLOOKUP($A:$A,CS!$A:$AK,18,FALSE),"")</f>
      </c>
      <c r="K149" s="79">
        <f>IFERROR(VLOOKUP($A:$A,CS!$A:$AK,19,FALSE),"")</f>
      </c>
      <c r="L149" s="79">
        <f>IFERROR(VLOOKUP($A:$A,CS!$A:$AK,20,FALSE),"")</f>
      </c>
      <c r="M149" s="79">
        <f>IFERROR(VLOOKUP($A:$A,CS!$A:$AK,22,FALSE),"")</f>
      </c>
      <c r="N149" s="79">
        <f>IFERROR(VLOOKUP($A:$A,CS!$A:$AK,19,FALSE),"")</f>
      </c>
      <c r="O149" s="79">
        <f>IFERROR(VLOOKUP($A:$A,CS!$A:$AK,23,FALSE),"")</f>
      </c>
      <c r="P149" s="79">
        <f>IFERROR(VLOOKUP($A:$A,CS!$A:$AK,24,FALSE),"")</f>
      </c>
      <c r="Q149" s="79">
        <f>IFERROR(VLOOKUP($A:$A,CS!$A:$AK,25,FALSE),"")</f>
      </c>
      <c r="R149" s="79">
        <f>IFERROR(VLOOKUP($A:$A,CS!$A:$AK,26,FALSE),"")</f>
      </c>
      <c r="S149" s="79">
        <f>IFERROR(VLOOKUP($A:$A,CS!$A:$AK,29,FALSE),"")</f>
      </c>
      <c r="T149" s="79">
        <f>IFERROR(VLOOKUP($A:$A,CS!$A:$AK,33,FALSE),"")</f>
      </c>
      <c r="U149" s="79">
        <f>IFERROR(VLOOKUP($A:$A,CS!$A:$AK,34,FALSE),"")</f>
      </c>
      <c r="V149" s="79">
        <f>IFERROR(VLOOKUP($A:$A,CS!$A:$AK,35,FALSE),"")</f>
      </c>
      <c r="W149" s="79">
        <f>IFERROR(VLOOKUP($A:$A,CS!$A:$AK,36,FALSE),"")</f>
      </c>
    </row>
    <row r="150" ht="16.5" customHeight="1" spans="1:23" x14ac:dyDescent="0.25">
      <c r="A150" s="93"/>
      <c r="B150" s="79">
        <f>IFERROR(VLOOKUP($A:$A,CS!$A:$AK,3,FALSE),"")</f>
      </c>
      <c r="C150" s="79">
        <f>IFERROR(VLOOKUP($A:$A,CS!$A:$AK,4,FALSE),"")</f>
      </c>
      <c r="D150" s="79">
        <f>IFERROR(VLOOKUP($A:$A,CS!$A:$AK,5,FALSE),"")</f>
      </c>
      <c r="E150" s="79">
        <f>IFERROR(VLOOKUP($A:$A,CS!$A:$AK,7,FALSE),"")</f>
      </c>
      <c r="F150" s="79">
        <f>IFERROR(VLOOKUP($A:$A,CS!$A:$AK,8,FALSE),"")</f>
      </c>
      <c r="G150" s="79">
        <f>IFERROR(VLOOKUP($A:$A,CS!$A:$AK,10,FALSE),"")</f>
      </c>
      <c r="H150" s="79">
        <f>IFERROR(VLOOKUP($A:$A,CS!$A:$AK,14,FALSE),"")</f>
      </c>
      <c r="I150" s="79">
        <f>IFERROR(VLOOKUP($A:$A,CS!$A:$AK,15,FALSE),"")</f>
      </c>
      <c r="J150" s="79">
        <f>IFERROR(VLOOKUP($A:$A,CS!$A:$AK,18,FALSE),"")</f>
      </c>
      <c r="K150" s="79">
        <f>IFERROR(VLOOKUP($A:$A,CS!$A:$AK,19,FALSE),"")</f>
      </c>
      <c r="L150" s="79">
        <f>IFERROR(VLOOKUP($A:$A,CS!$A:$AK,20,FALSE),"")</f>
      </c>
      <c r="M150" s="79">
        <f>IFERROR(VLOOKUP($A:$A,CS!$A:$AK,22,FALSE),"")</f>
      </c>
      <c r="N150" s="79">
        <f>IFERROR(VLOOKUP($A:$A,CS!$A:$AK,19,FALSE),"")</f>
      </c>
      <c r="O150" s="79">
        <f>IFERROR(VLOOKUP($A:$A,CS!$A:$AK,23,FALSE),"")</f>
      </c>
      <c r="P150" s="79">
        <f>IFERROR(VLOOKUP($A:$A,CS!$A:$AK,24,FALSE),"")</f>
      </c>
      <c r="Q150" s="79">
        <f>IFERROR(VLOOKUP($A:$A,CS!$A:$AK,25,FALSE),"")</f>
      </c>
      <c r="R150" s="79">
        <f>IFERROR(VLOOKUP($A:$A,CS!$A:$AK,26,FALSE),"")</f>
      </c>
      <c r="S150" s="79">
        <f>IFERROR(VLOOKUP($A:$A,CS!$A:$AK,29,FALSE),"")</f>
      </c>
      <c r="T150" s="79">
        <f>IFERROR(VLOOKUP($A:$A,CS!$A:$AK,33,FALSE),"")</f>
      </c>
      <c r="U150" s="79">
        <f>IFERROR(VLOOKUP($A:$A,CS!$A:$AK,34,FALSE),"")</f>
      </c>
      <c r="V150" s="79">
        <f>IFERROR(VLOOKUP($A:$A,CS!$A:$AK,35,FALSE),"")</f>
      </c>
      <c r="W150" s="79">
        <f>IFERROR(VLOOKUP($A:$A,CS!$A:$AK,36,FALSE),"")</f>
      </c>
    </row>
    <row r="151" ht="16.5" customHeight="1" spans="1:23" x14ac:dyDescent="0.25">
      <c r="A151" s="93"/>
      <c r="B151" s="79">
        <f>IFERROR(VLOOKUP($A:$A,CS!$A:$AK,3,FALSE),"")</f>
      </c>
      <c r="C151" s="79">
        <f>IFERROR(VLOOKUP($A:$A,CS!$A:$AK,4,FALSE),"")</f>
      </c>
      <c r="D151" s="79">
        <f>IFERROR(VLOOKUP($A:$A,CS!$A:$AK,5,FALSE),"")</f>
      </c>
      <c r="E151" s="79">
        <f>IFERROR(VLOOKUP($A:$A,CS!$A:$AK,7,FALSE),"")</f>
      </c>
      <c r="F151" s="79">
        <f>IFERROR(VLOOKUP($A:$A,CS!$A:$AK,8,FALSE),"")</f>
      </c>
      <c r="G151" s="79">
        <f>IFERROR(VLOOKUP($A:$A,CS!$A:$AK,10,FALSE),"")</f>
      </c>
      <c r="H151" s="79">
        <f>IFERROR(VLOOKUP($A:$A,CS!$A:$AK,14,FALSE),"")</f>
      </c>
      <c r="I151" s="79">
        <f>IFERROR(VLOOKUP($A:$A,CS!$A:$AK,15,FALSE),"")</f>
      </c>
      <c r="J151" s="79">
        <f>IFERROR(VLOOKUP($A:$A,CS!$A:$AK,18,FALSE),"")</f>
      </c>
      <c r="K151" s="79">
        <f>IFERROR(VLOOKUP($A:$A,CS!$A:$AK,19,FALSE),"")</f>
      </c>
      <c r="L151" s="79">
        <f>IFERROR(VLOOKUP($A:$A,CS!$A:$AK,20,FALSE),"")</f>
      </c>
      <c r="M151" s="79">
        <f>IFERROR(VLOOKUP($A:$A,CS!$A:$AK,22,FALSE),"")</f>
      </c>
      <c r="N151" s="79">
        <f>IFERROR(VLOOKUP($A:$A,CS!$A:$AK,19,FALSE),"")</f>
      </c>
      <c r="O151" s="79">
        <f>IFERROR(VLOOKUP($A:$A,CS!$A:$AK,23,FALSE),"")</f>
      </c>
      <c r="P151" s="79">
        <f>IFERROR(VLOOKUP($A:$A,CS!$A:$AK,24,FALSE),"")</f>
      </c>
      <c r="Q151" s="79">
        <f>IFERROR(VLOOKUP($A:$A,CS!$A:$AK,25,FALSE),"")</f>
      </c>
      <c r="R151" s="79">
        <f>IFERROR(VLOOKUP($A:$A,CS!$A:$AK,26,FALSE),"")</f>
      </c>
      <c r="S151" s="79">
        <f>IFERROR(VLOOKUP($A:$A,CS!$A:$AK,29,FALSE),"")</f>
      </c>
      <c r="T151" s="79">
        <f>IFERROR(VLOOKUP($A:$A,CS!$A:$AK,33,FALSE),"")</f>
      </c>
      <c r="U151" s="79">
        <f>IFERROR(VLOOKUP($A:$A,CS!$A:$AK,34,FALSE),"")</f>
      </c>
      <c r="V151" s="79">
        <f>IFERROR(VLOOKUP($A:$A,CS!$A:$AK,35,FALSE),"")</f>
      </c>
      <c r="W151" s="79">
        <f>IFERROR(VLOOKUP($A:$A,CS!$A:$AK,36,FALSE),"")</f>
      </c>
    </row>
    <row r="152" ht="16.5" customHeight="1" spans="1:23" x14ac:dyDescent="0.25">
      <c r="A152" s="93"/>
      <c r="B152" s="79">
        <f>IFERROR(VLOOKUP($A:$A,CS!$A:$AK,3,FALSE),"")</f>
      </c>
      <c r="C152" s="79">
        <f>IFERROR(VLOOKUP($A:$A,CS!$A:$AK,4,FALSE),"")</f>
      </c>
      <c r="D152" s="79">
        <f>IFERROR(VLOOKUP($A:$A,CS!$A:$AK,5,FALSE),"")</f>
      </c>
      <c r="E152" s="79">
        <f>IFERROR(VLOOKUP($A:$A,CS!$A:$AK,7,FALSE),"")</f>
      </c>
      <c r="F152" s="79">
        <f>IFERROR(VLOOKUP($A:$A,CS!$A:$AK,8,FALSE),"")</f>
      </c>
      <c r="G152" s="79">
        <f>IFERROR(VLOOKUP($A:$A,CS!$A:$AK,10,FALSE),"")</f>
      </c>
      <c r="H152" s="79">
        <f>IFERROR(VLOOKUP($A:$A,CS!$A:$AK,14,FALSE),"")</f>
      </c>
      <c r="I152" s="79">
        <f>IFERROR(VLOOKUP($A:$A,CS!$A:$AK,15,FALSE),"")</f>
      </c>
      <c r="J152" s="79">
        <f>IFERROR(VLOOKUP($A:$A,CS!$A:$AK,18,FALSE),"")</f>
      </c>
      <c r="K152" s="79">
        <f>IFERROR(VLOOKUP($A:$A,CS!$A:$AK,19,FALSE),"")</f>
      </c>
      <c r="L152" s="79">
        <f>IFERROR(VLOOKUP($A:$A,CS!$A:$AK,20,FALSE),"")</f>
      </c>
      <c r="M152" s="79">
        <f>IFERROR(VLOOKUP($A:$A,CS!$A:$AK,22,FALSE),"")</f>
      </c>
      <c r="N152" s="79">
        <f>IFERROR(VLOOKUP($A:$A,CS!$A:$AK,19,FALSE),"")</f>
      </c>
      <c r="O152" s="79">
        <f>IFERROR(VLOOKUP($A:$A,CS!$A:$AK,23,FALSE),"")</f>
      </c>
      <c r="P152" s="79">
        <f>IFERROR(VLOOKUP($A:$A,CS!$A:$AK,24,FALSE),"")</f>
      </c>
      <c r="Q152" s="79">
        <f>IFERROR(VLOOKUP($A:$A,CS!$A:$AK,25,FALSE),"")</f>
      </c>
      <c r="R152" s="79">
        <f>IFERROR(VLOOKUP($A:$A,CS!$A:$AK,26,FALSE),"")</f>
      </c>
      <c r="S152" s="79">
        <f>IFERROR(VLOOKUP($A:$A,CS!$A:$AK,29,FALSE),"")</f>
      </c>
      <c r="T152" s="79">
        <f>IFERROR(VLOOKUP($A:$A,CS!$A:$AK,33,FALSE),"")</f>
      </c>
      <c r="U152" s="79">
        <f>IFERROR(VLOOKUP($A:$A,CS!$A:$AK,34,FALSE),"")</f>
      </c>
      <c r="V152" s="79">
        <f>IFERROR(VLOOKUP($A:$A,CS!$A:$AK,35,FALSE),"")</f>
      </c>
      <c r="W152" s="79">
        <f>IFERROR(VLOOKUP($A:$A,CS!$A:$AK,36,FALSE),"")</f>
      </c>
    </row>
    <row r="153" ht="16.5" customHeight="1" spans="1:23" x14ac:dyDescent="0.25">
      <c r="A153" s="93"/>
      <c r="B153" s="79">
        <f>IFERROR(VLOOKUP($A:$A,CS!$A:$AK,3,FALSE),"")</f>
      </c>
      <c r="C153" s="79">
        <f>IFERROR(VLOOKUP($A:$A,CS!$A:$AK,4,FALSE),"")</f>
      </c>
      <c r="D153" s="79">
        <f>IFERROR(VLOOKUP($A:$A,CS!$A:$AK,5,FALSE),"")</f>
      </c>
      <c r="E153" s="79">
        <f>IFERROR(VLOOKUP($A:$A,CS!$A:$AK,7,FALSE),"")</f>
      </c>
      <c r="F153" s="79">
        <f>IFERROR(VLOOKUP($A:$A,CS!$A:$AK,8,FALSE),"")</f>
      </c>
      <c r="G153" s="79">
        <f>IFERROR(VLOOKUP($A:$A,CS!$A:$AK,10,FALSE),"")</f>
      </c>
      <c r="H153" s="79">
        <f>IFERROR(VLOOKUP($A:$A,CS!$A:$AK,14,FALSE),"")</f>
      </c>
      <c r="I153" s="79">
        <f>IFERROR(VLOOKUP($A:$A,CS!$A:$AK,15,FALSE),"")</f>
      </c>
      <c r="J153" s="79">
        <f>IFERROR(VLOOKUP($A:$A,CS!$A:$AK,18,FALSE),"")</f>
      </c>
      <c r="K153" s="79">
        <f>IFERROR(VLOOKUP($A:$A,CS!$A:$AK,19,FALSE),"")</f>
      </c>
      <c r="L153" s="79">
        <f>IFERROR(VLOOKUP($A:$A,CS!$A:$AK,20,FALSE),"")</f>
      </c>
      <c r="M153" s="79">
        <f>IFERROR(VLOOKUP($A:$A,CS!$A:$AK,22,FALSE),"")</f>
      </c>
      <c r="N153" s="79">
        <f>IFERROR(VLOOKUP($A:$A,CS!$A:$AK,19,FALSE),"")</f>
      </c>
      <c r="O153" s="79">
        <f>IFERROR(VLOOKUP($A:$A,CS!$A:$AK,23,FALSE),"")</f>
      </c>
      <c r="P153" s="79">
        <f>IFERROR(VLOOKUP($A:$A,CS!$A:$AK,24,FALSE),"")</f>
      </c>
      <c r="Q153" s="79">
        <f>IFERROR(VLOOKUP($A:$A,CS!$A:$AK,25,FALSE),"")</f>
      </c>
      <c r="R153" s="79">
        <f>IFERROR(VLOOKUP($A:$A,CS!$A:$AK,26,FALSE),"")</f>
      </c>
      <c r="S153" s="79">
        <f>IFERROR(VLOOKUP($A:$A,CS!$A:$AK,29,FALSE),"")</f>
      </c>
      <c r="T153" s="79">
        <f>IFERROR(VLOOKUP($A:$A,CS!$A:$AK,33,FALSE),"")</f>
      </c>
      <c r="U153" s="79">
        <f>IFERROR(VLOOKUP($A:$A,CS!$A:$AK,34,FALSE),"")</f>
      </c>
      <c r="V153" s="79">
        <f>IFERROR(VLOOKUP($A:$A,CS!$A:$AK,35,FALSE),"")</f>
      </c>
      <c r="W153" s="79">
        <f>IFERROR(VLOOKUP($A:$A,CS!$A:$AK,36,FALSE),"")</f>
      </c>
    </row>
    <row r="154" ht="16.5" customHeight="1" spans="1:23" x14ac:dyDescent="0.25">
      <c r="A154" s="93"/>
      <c r="B154" s="79">
        <f>IFERROR(VLOOKUP($A:$A,CS!$A:$AK,3,FALSE),"")</f>
      </c>
      <c r="C154" s="79">
        <f>IFERROR(VLOOKUP($A:$A,CS!$A:$AK,4,FALSE),"")</f>
      </c>
      <c r="D154" s="79">
        <f>IFERROR(VLOOKUP($A:$A,CS!$A:$AK,5,FALSE),"")</f>
      </c>
      <c r="E154" s="79">
        <f>IFERROR(VLOOKUP($A:$A,CS!$A:$AK,7,FALSE),"")</f>
      </c>
      <c r="F154" s="79">
        <f>IFERROR(VLOOKUP($A:$A,CS!$A:$AK,8,FALSE),"")</f>
      </c>
      <c r="G154" s="79">
        <f>IFERROR(VLOOKUP($A:$A,CS!$A:$AK,10,FALSE),"")</f>
      </c>
      <c r="H154" s="79">
        <f>IFERROR(VLOOKUP($A:$A,CS!$A:$AK,14,FALSE),"")</f>
      </c>
      <c r="I154" s="79">
        <f>IFERROR(VLOOKUP($A:$A,CS!$A:$AK,15,FALSE),"")</f>
      </c>
      <c r="J154" s="79">
        <f>IFERROR(VLOOKUP($A:$A,CS!$A:$AK,18,FALSE),"")</f>
      </c>
      <c r="K154" s="79">
        <f>IFERROR(VLOOKUP($A:$A,CS!$A:$AK,19,FALSE),"")</f>
      </c>
      <c r="L154" s="79">
        <f>IFERROR(VLOOKUP($A:$A,CS!$A:$AK,20,FALSE),"")</f>
      </c>
      <c r="M154" s="79">
        <f>IFERROR(VLOOKUP($A:$A,CS!$A:$AK,22,FALSE),"")</f>
      </c>
      <c r="N154" s="79">
        <f>IFERROR(VLOOKUP($A:$A,CS!$A:$AK,19,FALSE),"")</f>
      </c>
      <c r="O154" s="79">
        <f>IFERROR(VLOOKUP($A:$A,CS!$A:$AK,23,FALSE),"")</f>
      </c>
      <c r="P154" s="79">
        <f>IFERROR(VLOOKUP($A:$A,CS!$A:$AK,24,FALSE),"")</f>
      </c>
      <c r="Q154" s="79">
        <f>IFERROR(VLOOKUP($A:$A,CS!$A:$AK,25,FALSE),"")</f>
      </c>
      <c r="R154" s="79">
        <f>IFERROR(VLOOKUP($A:$A,CS!$A:$AK,26,FALSE),"")</f>
      </c>
      <c r="S154" s="79">
        <f>IFERROR(VLOOKUP($A:$A,CS!$A:$AK,29,FALSE),"")</f>
      </c>
      <c r="T154" s="79">
        <f>IFERROR(VLOOKUP($A:$A,CS!$A:$AK,33,FALSE),"")</f>
      </c>
      <c r="U154" s="79">
        <f>IFERROR(VLOOKUP($A:$A,CS!$A:$AK,34,FALSE),"")</f>
      </c>
      <c r="V154" s="79">
        <f>IFERROR(VLOOKUP($A:$A,CS!$A:$AK,35,FALSE),"")</f>
      </c>
      <c r="W154" s="79">
        <f>IFERROR(VLOOKUP($A:$A,CS!$A:$AK,36,FALSE),"")</f>
      </c>
    </row>
    <row r="155" ht="16.5" customHeight="1" spans="1:23" x14ac:dyDescent="0.25">
      <c r="A155" s="93"/>
      <c r="B155" s="79">
        <f>IFERROR(VLOOKUP($A:$A,CS!$A:$AK,3,FALSE),"")</f>
      </c>
      <c r="C155" s="79">
        <f>IFERROR(VLOOKUP($A:$A,CS!$A:$AK,4,FALSE),"")</f>
      </c>
      <c r="D155" s="79">
        <f>IFERROR(VLOOKUP($A:$A,CS!$A:$AK,5,FALSE),"")</f>
      </c>
      <c r="E155" s="79">
        <f>IFERROR(VLOOKUP($A:$A,CS!$A:$AK,7,FALSE),"")</f>
      </c>
      <c r="F155" s="79">
        <f>IFERROR(VLOOKUP($A:$A,CS!$A:$AK,8,FALSE),"")</f>
      </c>
      <c r="G155" s="79">
        <f>IFERROR(VLOOKUP($A:$A,CS!$A:$AK,10,FALSE),"")</f>
      </c>
      <c r="H155" s="79">
        <f>IFERROR(VLOOKUP($A:$A,CS!$A:$AK,14,FALSE),"")</f>
      </c>
      <c r="I155" s="79">
        <f>IFERROR(VLOOKUP($A:$A,CS!$A:$AK,15,FALSE),"")</f>
      </c>
      <c r="J155" s="79">
        <f>IFERROR(VLOOKUP($A:$A,CS!$A:$AK,18,FALSE),"")</f>
      </c>
      <c r="K155" s="79">
        <f>IFERROR(VLOOKUP($A:$A,CS!$A:$AK,19,FALSE),"")</f>
      </c>
      <c r="L155" s="79">
        <f>IFERROR(VLOOKUP($A:$A,CS!$A:$AK,20,FALSE),"")</f>
      </c>
      <c r="M155" s="79">
        <f>IFERROR(VLOOKUP($A:$A,CS!$A:$AK,22,FALSE),"")</f>
      </c>
      <c r="N155" s="79">
        <f>IFERROR(VLOOKUP($A:$A,CS!$A:$AK,19,FALSE),"")</f>
      </c>
      <c r="O155" s="79">
        <f>IFERROR(VLOOKUP($A:$A,CS!$A:$AK,23,FALSE),"")</f>
      </c>
      <c r="P155" s="79">
        <f>IFERROR(VLOOKUP($A:$A,CS!$A:$AK,24,FALSE),"")</f>
      </c>
      <c r="Q155" s="79">
        <f>IFERROR(VLOOKUP($A:$A,CS!$A:$AK,25,FALSE),"")</f>
      </c>
      <c r="R155" s="79">
        <f>IFERROR(VLOOKUP($A:$A,CS!$A:$AK,26,FALSE),"")</f>
      </c>
      <c r="S155" s="79">
        <f>IFERROR(VLOOKUP($A:$A,CS!$A:$AK,29,FALSE),"")</f>
      </c>
      <c r="T155" s="79">
        <f>IFERROR(VLOOKUP($A:$A,CS!$A:$AK,33,FALSE),"")</f>
      </c>
      <c r="U155" s="79">
        <f>IFERROR(VLOOKUP($A:$A,CS!$A:$AK,34,FALSE),"")</f>
      </c>
      <c r="V155" s="79">
        <f>IFERROR(VLOOKUP($A:$A,CS!$A:$AK,35,FALSE),"")</f>
      </c>
      <c r="W155" s="79">
        <f>IFERROR(VLOOKUP($A:$A,CS!$A:$AK,36,FALSE),"")</f>
      </c>
    </row>
    <row r="156" ht="16.5" customHeight="1" spans="1:23" x14ac:dyDescent="0.25">
      <c r="A156" s="93"/>
      <c r="B156" s="79">
        <f>IFERROR(VLOOKUP($A:$A,CS!$A:$AK,3,FALSE),"")</f>
      </c>
      <c r="C156" s="79">
        <f>IFERROR(VLOOKUP($A:$A,CS!$A:$AK,4,FALSE),"")</f>
      </c>
      <c r="D156" s="79">
        <f>IFERROR(VLOOKUP($A:$A,CS!$A:$AK,5,FALSE),"")</f>
      </c>
      <c r="E156" s="79">
        <f>IFERROR(VLOOKUP($A:$A,CS!$A:$AK,7,FALSE),"")</f>
      </c>
      <c r="F156" s="79">
        <f>IFERROR(VLOOKUP($A:$A,CS!$A:$AK,8,FALSE),"")</f>
      </c>
      <c r="G156" s="79">
        <f>IFERROR(VLOOKUP($A:$A,CS!$A:$AK,10,FALSE),"")</f>
      </c>
      <c r="H156" s="79">
        <f>IFERROR(VLOOKUP($A:$A,CS!$A:$AK,14,FALSE),"")</f>
      </c>
      <c r="I156" s="79">
        <f>IFERROR(VLOOKUP($A:$A,CS!$A:$AK,15,FALSE),"")</f>
      </c>
      <c r="J156" s="79">
        <f>IFERROR(VLOOKUP($A:$A,CS!$A:$AK,18,FALSE),"")</f>
      </c>
      <c r="K156" s="79">
        <f>IFERROR(VLOOKUP($A:$A,CS!$A:$AK,19,FALSE),"")</f>
      </c>
      <c r="L156" s="79">
        <f>IFERROR(VLOOKUP($A:$A,CS!$A:$AK,20,FALSE),"")</f>
      </c>
      <c r="M156" s="79">
        <f>IFERROR(VLOOKUP($A:$A,CS!$A:$AK,22,FALSE),"")</f>
      </c>
      <c r="N156" s="79">
        <f>IFERROR(VLOOKUP($A:$A,CS!$A:$AK,19,FALSE),"")</f>
      </c>
      <c r="O156" s="79">
        <f>IFERROR(VLOOKUP($A:$A,CS!$A:$AK,23,FALSE),"")</f>
      </c>
      <c r="P156" s="79">
        <f>IFERROR(VLOOKUP($A:$A,CS!$A:$AK,24,FALSE),"")</f>
      </c>
      <c r="Q156" s="79">
        <f>IFERROR(VLOOKUP($A:$A,CS!$A:$AK,25,FALSE),"")</f>
      </c>
      <c r="R156" s="79">
        <f>IFERROR(VLOOKUP($A:$A,CS!$A:$AK,26,FALSE),"")</f>
      </c>
      <c r="S156" s="79">
        <f>IFERROR(VLOOKUP($A:$A,CS!$A:$AK,29,FALSE),"")</f>
      </c>
      <c r="T156" s="79">
        <f>IFERROR(VLOOKUP($A:$A,CS!$A:$AK,33,FALSE),"")</f>
      </c>
      <c r="U156" s="79">
        <f>IFERROR(VLOOKUP($A:$A,CS!$A:$AK,34,FALSE),"")</f>
      </c>
      <c r="V156" s="79">
        <f>IFERROR(VLOOKUP($A:$A,CS!$A:$AK,35,FALSE),"")</f>
      </c>
      <c r="W156" s="79">
        <f>IFERROR(VLOOKUP($A:$A,CS!$A:$AK,36,FALSE),"")</f>
      </c>
    </row>
    <row r="157" ht="16.5" customHeight="1" spans="1:23" x14ac:dyDescent="0.25">
      <c r="A157" s="93"/>
      <c r="B157" s="79">
        <f>IFERROR(VLOOKUP($A:$A,CS!$A:$AK,3,FALSE),"")</f>
      </c>
      <c r="C157" s="79">
        <f>IFERROR(VLOOKUP($A:$A,CS!$A:$AK,4,FALSE),"")</f>
      </c>
      <c r="D157" s="79">
        <f>IFERROR(VLOOKUP($A:$A,CS!$A:$AK,5,FALSE),"")</f>
      </c>
      <c r="E157" s="79">
        <f>IFERROR(VLOOKUP($A:$A,CS!$A:$AK,7,FALSE),"")</f>
      </c>
      <c r="F157" s="79">
        <f>IFERROR(VLOOKUP($A:$A,CS!$A:$AK,8,FALSE),"")</f>
      </c>
      <c r="G157" s="79">
        <f>IFERROR(VLOOKUP($A:$A,CS!$A:$AK,10,FALSE),"")</f>
      </c>
      <c r="H157" s="79">
        <f>IFERROR(VLOOKUP($A:$A,CS!$A:$AK,14,FALSE),"")</f>
      </c>
      <c r="I157" s="79">
        <f>IFERROR(VLOOKUP($A:$A,CS!$A:$AK,15,FALSE),"")</f>
      </c>
      <c r="J157" s="79">
        <f>IFERROR(VLOOKUP($A:$A,CS!$A:$AK,18,FALSE),"")</f>
      </c>
      <c r="K157" s="79">
        <f>IFERROR(VLOOKUP($A:$A,CS!$A:$AK,19,FALSE),"")</f>
      </c>
      <c r="L157" s="79">
        <f>IFERROR(VLOOKUP($A:$A,CS!$A:$AK,20,FALSE),"")</f>
      </c>
      <c r="M157" s="79">
        <f>IFERROR(VLOOKUP($A:$A,CS!$A:$AK,22,FALSE),"")</f>
      </c>
      <c r="N157" s="79">
        <f>IFERROR(VLOOKUP($A:$A,CS!$A:$AK,19,FALSE),"")</f>
      </c>
      <c r="O157" s="79">
        <f>IFERROR(VLOOKUP($A:$A,CS!$A:$AK,23,FALSE),"")</f>
      </c>
      <c r="P157" s="79">
        <f>IFERROR(VLOOKUP($A:$A,CS!$A:$AK,24,FALSE),"")</f>
      </c>
      <c r="Q157" s="79">
        <f>IFERROR(VLOOKUP($A:$A,CS!$A:$AK,25,FALSE),"")</f>
      </c>
      <c r="R157" s="79">
        <f>IFERROR(VLOOKUP($A:$A,CS!$A:$AK,26,FALSE),"")</f>
      </c>
      <c r="S157" s="79">
        <f>IFERROR(VLOOKUP($A:$A,CS!$A:$AK,29,FALSE),"")</f>
      </c>
      <c r="T157" s="79">
        <f>IFERROR(VLOOKUP($A:$A,CS!$A:$AK,33,FALSE),"")</f>
      </c>
      <c r="U157" s="79">
        <f>IFERROR(VLOOKUP($A:$A,CS!$A:$AK,34,FALSE),"")</f>
      </c>
      <c r="V157" s="79">
        <f>IFERROR(VLOOKUP($A:$A,CS!$A:$AK,35,FALSE),"")</f>
      </c>
      <c r="W157" s="79">
        <f>IFERROR(VLOOKUP($A:$A,CS!$A:$AK,36,FALSE),"")</f>
      </c>
    </row>
    <row r="158" ht="16.5" customHeight="1" spans="1:23" x14ac:dyDescent="0.25">
      <c r="A158" s="93"/>
      <c r="B158" s="79">
        <f>IFERROR(VLOOKUP($A:$A,CS!$A:$AK,3,FALSE),"")</f>
      </c>
      <c r="C158" s="79">
        <f>IFERROR(VLOOKUP($A:$A,CS!$A:$AK,4,FALSE),"")</f>
      </c>
      <c r="D158" s="79">
        <f>IFERROR(VLOOKUP($A:$A,CS!$A:$AK,5,FALSE),"")</f>
      </c>
      <c r="E158" s="79">
        <f>IFERROR(VLOOKUP($A:$A,CS!$A:$AK,7,FALSE),"")</f>
      </c>
      <c r="F158" s="79">
        <f>IFERROR(VLOOKUP($A:$A,CS!$A:$AK,8,FALSE),"")</f>
      </c>
      <c r="G158" s="79">
        <f>IFERROR(VLOOKUP($A:$A,CS!$A:$AK,10,FALSE),"")</f>
      </c>
      <c r="H158" s="79">
        <f>IFERROR(VLOOKUP($A:$A,CS!$A:$AK,14,FALSE),"")</f>
      </c>
      <c r="I158" s="79">
        <f>IFERROR(VLOOKUP($A:$A,CS!$A:$AK,15,FALSE),"")</f>
      </c>
      <c r="J158" s="79">
        <f>IFERROR(VLOOKUP($A:$A,CS!$A:$AK,18,FALSE),"")</f>
      </c>
      <c r="K158" s="79">
        <f>IFERROR(VLOOKUP($A:$A,CS!$A:$AK,19,FALSE),"")</f>
      </c>
      <c r="L158" s="79">
        <f>IFERROR(VLOOKUP($A:$A,CS!$A:$AK,20,FALSE),"")</f>
      </c>
      <c r="M158" s="79">
        <f>IFERROR(VLOOKUP($A:$A,CS!$A:$AK,22,FALSE),"")</f>
      </c>
      <c r="N158" s="79">
        <f>IFERROR(VLOOKUP($A:$A,CS!$A:$AK,19,FALSE),"")</f>
      </c>
      <c r="O158" s="79">
        <f>IFERROR(VLOOKUP($A:$A,CS!$A:$AK,23,FALSE),"")</f>
      </c>
      <c r="P158" s="79">
        <f>IFERROR(VLOOKUP($A:$A,CS!$A:$AK,24,FALSE),"")</f>
      </c>
      <c r="Q158" s="79">
        <f>IFERROR(VLOOKUP($A:$A,CS!$A:$AK,25,FALSE),"")</f>
      </c>
      <c r="R158" s="79">
        <f>IFERROR(VLOOKUP($A:$A,CS!$A:$AK,26,FALSE),"")</f>
      </c>
      <c r="S158" s="79">
        <f>IFERROR(VLOOKUP($A:$A,CS!$A:$AK,29,FALSE),"")</f>
      </c>
      <c r="T158" s="79">
        <f>IFERROR(VLOOKUP($A:$A,CS!$A:$AK,33,FALSE),"")</f>
      </c>
      <c r="U158" s="79">
        <f>IFERROR(VLOOKUP($A:$A,CS!$A:$AK,34,FALSE),"")</f>
      </c>
      <c r="V158" s="79">
        <f>IFERROR(VLOOKUP($A:$A,CS!$A:$AK,35,FALSE),"")</f>
      </c>
      <c r="W158" s="79">
        <f>IFERROR(VLOOKUP($A:$A,CS!$A:$AK,36,FALSE),"")</f>
      </c>
    </row>
    <row r="159" ht="16.5" customHeight="1" spans="1:23" x14ac:dyDescent="0.25">
      <c r="A159" s="93"/>
      <c r="B159" s="79">
        <f>IFERROR(VLOOKUP($A:$A,CS!$A:$AK,3,FALSE),"")</f>
      </c>
      <c r="C159" s="79">
        <f>IFERROR(VLOOKUP($A:$A,CS!$A:$AK,4,FALSE),"")</f>
      </c>
      <c r="D159" s="79">
        <f>IFERROR(VLOOKUP($A:$A,CS!$A:$AK,5,FALSE),"")</f>
      </c>
      <c r="E159" s="79">
        <f>IFERROR(VLOOKUP($A:$A,CS!$A:$AK,7,FALSE),"")</f>
      </c>
      <c r="F159" s="79">
        <f>IFERROR(VLOOKUP($A:$A,CS!$A:$AK,8,FALSE),"")</f>
      </c>
      <c r="G159" s="79">
        <f>IFERROR(VLOOKUP($A:$A,CS!$A:$AK,10,FALSE),"")</f>
      </c>
      <c r="H159" s="79">
        <f>IFERROR(VLOOKUP($A:$A,CS!$A:$AK,14,FALSE),"")</f>
      </c>
      <c r="I159" s="79">
        <f>IFERROR(VLOOKUP($A:$A,CS!$A:$AK,15,FALSE),"")</f>
      </c>
      <c r="J159" s="79">
        <f>IFERROR(VLOOKUP($A:$A,CS!$A:$AK,18,FALSE),"")</f>
      </c>
      <c r="K159" s="79">
        <f>IFERROR(VLOOKUP($A:$A,CS!$A:$AK,19,FALSE),"")</f>
      </c>
      <c r="L159" s="79">
        <f>IFERROR(VLOOKUP($A:$A,CS!$A:$AK,20,FALSE),"")</f>
      </c>
      <c r="M159" s="79">
        <f>IFERROR(VLOOKUP($A:$A,CS!$A:$AK,22,FALSE),"")</f>
      </c>
      <c r="N159" s="79">
        <f>IFERROR(VLOOKUP($A:$A,CS!$A:$AK,19,FALSE),"")</f>
      </c>
      <c r="O159" s="79">
        <f>IFERROR(VLOOKUP($A:$A,CS!$A:$AK,23,FALSE),"")</f>
      </c>
      <c r="P159" s="79">
        <f>IFERROR(VLOOKUP($A:$A,CS!$A:$AK,24,FALSE),"")</f>
      </c>
      <c r="Q159" s="79">
        <f>IFERROR(VLOOKUP($A:$A,CS!$A:$AK,25,FALSE),"")</f>
      </c>
      <c r="R159" s="79">
        <f>IFERROR(VLOOKUP($A:$A,CS!$A:$AK,26,FALSE),"")</f>
      </c>
      <c r="S159" s="79">
        <f>IFERROR(VLOOKUP($A:$A,CS!$A:$AK,29,FALSE),"")</f>
      </c>
      <c r="T159" s="79">
        <f>IFERROR(VLOOKUP($A:$A,CS!$A:$AK,33,FALSE),"")</f>
      </c>
      <c r="U159" s="79">
        <f>IFERROR(VLOOKUP($A:$A,CS!$A:$AK,34,FALSE),"")</f>
      </c>
      <c r="V159" s="79">
        <f>IFERROR(VLOOKUP($A:$A,CS!$A:$AK,35,FALSE),"")</f>
      </c>
      <c r="W159" s="79">
        <f>IFERROR(VLOOKUP($A:$A,CS!$A:$AK,36,FALSE),"")</f>
      </c>
    </row>
    <row r="160" ht="16.5" customHeight="1" spans="1:23" x14ac:dyDescent="0.25">
      <c r="A160" s="93"/>
      <c r="B160" s="79">
        <f>IFERROR(VLOOKUP($A:$A,CS!$A:$AK,3,FALSE),"")</f>
      </c>
      <c r="C160" s="79">
        <f>IFERROR(VLOOKUP($A:$A,CS!$A:$AK,4,FALSE),"")</f>
      </c>
      <c r="D160" s="79">
        <f>IFERROR(VLOOKUP($A:$A,CS!$A:$AK,5,FALSE),"")</f>
      </c>
      <c r="E160" s="79">
        <f>IFERROR(VLOOKUP($A:$A,CS!$A:$AK,7,FALSE),"")</f>
      </c>
      <c r="F160" s="79">
        <f>IFERROR(VLOOKUP($A:$A,CS!$A:$AK,8,FALSE),"")</f>
      </c>
      <c r="G160" s="79">
        <f>IFERROR(VLOOKUP($A:$A,CS!$A:$AK,10,FALSE),"")</f>
      </c>
      <c r="H160" s="79">
        <f>IFERROR(VLOOKUP($A:$A,CS!$A:$AK,14,FALSE),"")</f>
      </c>
      <c r="I160" s="79">
        <f>IFERROR(VLOOKUP($A:$A,CS!$A:$AK,15,FALSE),"")</f>
      </c>
      <c r="J160" s="79">
        <f>IFERROR(VLOOKUP($A:$A,CS!$A:$AK,18,FALSE),"")</f>
      </c>
      <c r="K160" s="79">
        <f>IFERROR(VLOOKUP($A:$A,CS!$A:$AK,19,FALSE),"")</f>
      </c>
      <c r="L160" s="79">
        <f>IFERROR(VLOOKUP($A:$A,CS!$A:$AK,20,FALSE),"")</f>
      </c>
      <c r="M160" s="79">
        <f>IFERROR(VLOOKUP($A:$A,CS!$A:$AK,22,FALSE),"")</f>
      </c>
      <c r="N160" s="79">
        <f>IFERROR(VLOOKUP($A:$A,CS!$A:$AK,19,FALSE),"")</f>
      </c>
      <c r="O160" s="79">
        <f>IFERROR(VLOOKUP($A:$A,CS!$A:$AK,23,FALSE),"")</f>
      </c>
      <c r="P160" s="79">
        <f>IFERROR(VLOOKUP($A:$A,CS!$A:$AK,24,FALSE),"")</f>
      </c>
      <c r="Q160" s="79">
        <f>IFERROR(VLOOKUP($A:$A,CS!$A:$AK,25,FALSE),"")</f>
      </c>
      <c r="R160" s="79">
        <f>IFERROR(VLOOKUP($A:$A,CS!$A:$AK,26,FALSE),"")</f>
      </c>
      <c r="S160" s="79">
        <f>IFERROR(VLOOKUP($A:$A,CS!$A:$AK,29,FALSE),"")</f>
      </c>
      <c r="T160" s="79">
        <f>IFERROR(VLOOKUP($A:$A,CS!$A:$AK,33,FALSE),"")</f>
      </c>
      <c r="U160" s="79">
        <f>IFERROR(VLOOKUP($A:$A,CS!$A:$AK,34,FALSE),"")</f>
      </c>
      <c r="V160" s="79">
        <f>IFERROR(VLOOKUP($A:$A,CS!$A:$AK,35,FALSE),"")</f>
      </c>
      <c r="W160" s="79">
        <f>IFERROR(VLOOKUP($A:$A,CS!$A:$AK,36,FALSE),"")</f>
      </c>
    </row>
    <row r="161" ht="16.5" customHeight="1" spans="1:23" x14ac:dyDescent="0.25">
      <c r="A161" s="93"/>
      <c r="B161" s="79">
        <f>IFERROR(VLOOKUP($A:$A,CS!$A:$AK,3,FALSE),"")</f>
      </c>
      <c r="C161" s="79">
        <f>IFERROR(VLOOKUP($A:$A,CS!$A:$AK,4,FALSE),"")</f>
      </c>
      <c r="D161" s="79">
        <f>IFERROR(VLOOKUP($A:$A,CS!$A:$AK,5,FALSE),"")</f>
      </c>
      <c r="E161" s="79">
        <f>IFERROR(VLOOKUP($A:$A,CS!$A:$AK,7,FALSE),"")</f>
      </c>
      <c r="F161" s="79">
        <f>IFERROR(VLOOKUP($A:$A,CS!$A:$AK,8,FALSE),"")</f>
      </c>
      <c r="G161" s="79">
        <f>IFERROR(VLOOKUP($A:$A,CS!$A:$AK,10,FALSE),"")</f>
      </c>
      <c r="H161" s="79">
        <f>IFERROR(VLOOKUP($A:$A,CS!$A:$AK,14,FALSE),"")</f>
      </c>
      <c r="I161" s="79">
        <f>IFERROR(VLOOKUP($A:$A,CS!$A:$AK,15,FALSE),"")</f>
      </c>
      <c r="J161" s="79">
        <f>IFERROR(VLOOKUP($A:$A,CS!$A:$AK,18,FALSE),"")</f>
      </c>
      <c r="K161" s="79">
        <f>IFERROR(VLOOKUP($A:$A,CS!$A:$AK,19,FALSE),"")</f>
      </c>
      <c r="L161" s="79">
        <f>IFERROR(VLOOKUP($A:$A,CS!$A:$AK,20,FALSE),"")</f>
      </c>
      <c r="M161" s="79">
        <f>IFERROR(VLOOKUP($A:$A,CS!$A:$AK,22,FALSE),"")</f>
      </c>
      <c r="N161" s="79">
        <f>IFERROR(VLOOKUP($A:$A,CS!$A:$AK,19,FALSE),"")</f>
      </c>
      <c r="O161" s="79">
        <f>IFERROR(VLOOKUP($A:$A,CS!$A:$AK,23,FALSE),"")</f>
      </c>
      <c r="P161" s="79">
        <f>IFERROR(VLOOKUP($A:$A,CS!$A:$AK,24,FALSE),"")</f>
      </c>
      <c r="Q161" s="79">
        <f>IFERROR(VLOOKUP($A:$A,CS!$A:$AK,25,FALSE),"")</f>
      </c>
      <c r="R161" s="79">
        <f>IFERROR(VLOOKUP($A:$A,CS!$A:$AK,26,FALSE),"")</f>
      </c>
      <c r="S161" s="79">
        <f>IFERROR(VLOOKUP($A:$A,CS!$A:$AK,29,FALSE),"")</f>
      </c>
      <c r="T161" s="79">
        <f>IFERROR(VLOOKUP($A:$A,CS!$A:$AK,33,FALSE),"")</f>
      </c>
      <c r="U161" s="79">
        <f>IFERROR(VLOOKUP($A:$A,CS!$A:$AK,34,FALSE),"")</f>
      </c>
      <c r="V161" s="79">
        <f>IFERROR(VLOOKUP($A:$A,CS!$A:$AK,35,FALSE),"")</f>
      </c>
      <c r="W161" s="79">
        <f>IFERROR(VLOOKUP($A:$A,CS!$A:$AK,36,FALSE),"")</f>
      </c>
    </row>
    <row r="162" ht="16.5" customHeight="1" spans="1:23" x14ac:dyDescent="0.25">
      <c r="A162" s="93"/>
      <c r="B162" s="79">
        <f>IFERROR(VLOOKUP($A:$A,CS!$A:$AK,3,FALSE),"")</f>
      </c>
      <c r="C162" s="79">
        <f>IFERROR(VLOOKUP($A:$A,CS!$A:$AK,4,FALSE),"")</f>
      </c>
      <c r="D162" s="79">
        <f>IFERROR(VLOOKUP($A:$A,CS!$A:$AK,5,FALSE),"")</f>
      </c>
      <c r="E162" s="79">
        <f>IFERROR(VLOOKUP($A:$A,CS!$A:$AK,7,FALSE),"")</f>
      </c>
      <c r="F162" s="79">
        <f>IFERROR(VLOOKUP($A:$A,CS!$A:$AK,8,FALSE),"")</f>
      </c>
      <c r="G162" s="79">
        <f>IFERROR(VLOOKUP($A:$A,CS!$A:$AK,10,FALSE),"")</f>
      </c>
      <c r="H162" s="79">
        <f>IFERROR(VLOOKUP($A:$A,CS!$A:$AK,14,FALSE),"")</f>
      </c>
      <c r="I162" s="79">
        <f>IFERROR(VLOOKUP($A:$A,CS!$A:$AK,15,FALSE),"")</f>
      </c>
      <c r="J162" s="79">
        <f>IFERROR(VLOOKUP($A:$A,CS!$A:$AK,18,FALSE),"")</f>
      </c>
      <c r="K162" s="79">
        <f>IFERROR(VLOOKUP($A:$A,CS!$A:$AK,19,FALSE),"")</f>
      </c>
      <c r="L162" s="79">
        <f>IFERROR(VLOOKUP($A:$A,CS!$A:$AK,20,FALSE),"")</f>
      </c>
      <c r="M162" s="79">
        <f>IFERROR(VLOOKUP($A:$A,CS!$A:$AK,22,FALSE),"")</f>
      </c>
      <c r="N162" s="79">
        <f>IFERROR(VLOOKUP($A:$A,CS!$A:$AK,19,FALSE),"")</f>
      </c>
      <c r="O162" s="79">
        <f>IFERROR(VLOOKUP($A:$A,CS!$A:$AK,23,FALSE),"")</f>
      </c>
      <c r="P162" s="79">
        <f>IFERROR(VLOOKUP($A:$A,CS!$A:$AK,24,FALSE),"")</f>
      </c>
      <c r="Q162" s="79">
        <f>IFERROR(VLOOKUP($A:$A,CS!$A:$AK,25,FALSE),"")</f>
      </c>
      <c r="R162" s="79">
        <f>IFERROR(VLOOKUP($A:$A,CS!$A:$AK,26,FALSE),"")</f>
      </c>
      <c r="S162" s="79">
        <f>IFERROR(VLOOKUP($A:$A,CS!$A:$AK,29,FALSE),"")</f>
      </c>
      <c r="T162" s="79">
        <f>IFERROR(VLOOKUP($A:$A,CS!$A:$AK,33,FALSE),"")</f>
      </c>
      <c r="U162" s="79">
        <f>IFERROR(VLOOKUP($A:$A,CS!$A:$AK,34,FALSE),"")</f>
      </c>
      <c r="V162" s="79">
        <f>IFERROR(VLOOKUP($A:$A,CS!$A:$AK,35,FALSE),"")</f>
      </c>
      <c r="W162" s="79">
        <f>IFERROR(VLOOKUP($A:$A,CS!$A:$AK,36,FALSE),"")</f>
      </c>
    </row>
    <row r="163" ht="16.5" customHeight="1" spans="1:23" x14ac:dyDescent="0.25">
      <c r="A163" s="93"/>
      <c r="B163" s="79">
        <f>IFERROR(VLOOKUP($A:$A,CS!$A:$AK,3,FALSE),"")</f>
      </c>
      <c r="C163" s="79">
        <f>IFERROR(VLOOKUP($A:$A,CS!$A:$AK,4,FALSE),"")</f>
      </c>
      <c r="D163" s="79">
        <f>IFERROR(VLOOKUP($A:$A,CS!$A:$AK,5,FALSE),"")</f>
      </c>
      <c r="E163" s="79">
        <f>IFERROR(VLOOKUP($A:$A,CS!$A:$AK,7,FALSE),"")</f>
      </c>
      <c r="F163" s="79">
        <f>IFERROR(VLOOKUP($A:$A,CS!$A:$AK,8,FALSE),"")</f>
      </c>
      <c r="G163" s="79">
        <f>IFERROR(VLOOKUP($A:$A,CS!$A:$AK,10,FALSE),"")</f>
      </c>
      <c r="H163" s="79">
        <f>IFERROR(VLOOKUP($A:$A,CS!$A:$AK,14,FALSE),"")</f>
      </c>
      <c r="I163" s="79">
        <f>IFERROR(VLOOKUP($A:$A,CS!$A:$AK,15,FALSE),"")</f>
      </c>
      <c r="J163" s="79">
        <f>IFERROR(VLOOKUP($A:$A,CS!$A:$AK,18,FALSE),"")</f>
      </c>
      <c r="K163" s="79">
        <f>IFERROR(VLOOKUP($A:$A,CS!$A:$AK,19,FALSE),"")</f>
      </c>
      <c r="L163" s="79">
        <f>IFERROR(VLOOKUP($A:$A,CS!$A:$AK,20,FALSE),"")</f>
      </c>
      <c r="M163" s="79">
        <f>IFERROR(VLOOKUP($A:$A,CS!$A:$AK,22,FALSE),"")</f>
      </c>
      <c r="N163" s="79">
        <f>IFERROR(VLOOKUP($A:$A,CS!$A:$AK,19,FALSE),"")</f>
      </c>
      <c r="O163" s="79">
        <f>IFERROR(VLOOKUP($A:$A,CS!$A:$AK,23,FALSE),"")</f>
      </c>
      <c r="P163" s="79">
        <f>IFERROR(VLOOKUP($A:$A,CS!$A:$AK,24,FALSE),"")</f>
      </c>
      <c r="Q163" s="79">
        <f>IFERROR(VLOOKUP($A:$A,CS!$A:$AK,25,FALSE),"")</f>
      </c>
      <c r="R163" s="79">
        <f>IFERROR(VLOOKUP($A:$A,CS!$A:$AK,26,FALSE),"")</f>
      </c>
      <c r="S163" s="79">
        <f>IFERROR(VLOOKUP($A:$A,CS!$A:$AK,29,FALSE),"")</f>
      </c>
      <c r="T163" s="79">
        <f>IFERROR(VLOOKUP($A:$A,CS!$A:$AK,33,FALSE),"")</f>
      </c>
      <c r="U163" s="79">
        <f>IFERROR(VLOOKUP($A:$A,CS!$A:$AK,34,FALSE),"")</f>
      </c>
      <c r="V163" s="79">
        <f>IFERROR(VLOOKUP($A:$A,CS!$A:$AK,35,FALSE),"")</f>
      </c>
      <c r="W163" s="79">
        <f>IFERROR(VLOOKUP($A:$A,CS!$A:$AK,36,FALSE),"")</f>
      </c>
    </row>
    <row r="164" ht="16.5" customHeight="1" spans="1:23" x14ac:dyDescent="0.25">
      <c r="A164" s="93"/>
      <c r="B164" s="79">
        <f>IFERROR(VLOOKUP($A:$A,CS!$A:$AK,3,FALSE),"")</f>
      </c>
      <c r="C164" s="79">
        <f>IFERROR(VLOOKUP($A:$A,CS!$A:$AK,4,FALSE),"")</f>
      </c>
      <c r="D164" s="79">
        <f>IFERROR(VLOOKUP($A:$A,CS!$A:$AK,5,FALSE),"")</f>
      </c>
      <c r="E164" s="79">
        <f>IFERROR(VLOOKUP($A:$A,CS!$A:$AK,7,FALSE),"")</f>
      </c>
      <c r="F164" s="79">
        <f>IFERROR(VLOOKUP($A:$A,CS!$A:$AK,8,FALSE),"")</f>
      </c>
      <c r="G164" s="79">
        <f>IFERROR(VLOOKUP($A:$A,CS!$A:$AK,10,FALSE),"")</f>
      </c>
      <c r="H164" s="79">
        <f>IFERROR(VLOOKUP($A:$A,CS!$A:$AK,14,FALSE),"")</f>
      </c>
      <c r="I164" s="79">
        <f>IFERROR(VLOOKUP($A:$A,CS!$A:$AK,15,FALSE),"")</f>
      </c>
      <c r="J164" s="79">
        <f>IFERROR(VLOOKUP($A:$A,CS!$A:$AK,18,FALSE),"")</f>
      </c>
      <c r="K164" s="79">
        <f>IFERROR(VLOOKUP($A:$A,CS!$A:$AK,19,FALSE),"")</f>
      </c>
      <c r="L164" s="79">
        <f>IFERROR(VLOOKUP($A:$A,CS!$A:$AK,20,FALSE),"")</f>
      </c>
      <c r="M164" s="79">
        <f>IFERROR(VLOOKUP($A:$A,CS!$A:$AK,22,FALSE),"")</f>
      </c>
      <c r="N164" s="79">
        <f>IFERROR(VLOOKUP($A:$A,CS!$A:$AK,19,FALSE),"")</f>
      </c>
      <c r="O164" s="79">
        <f>IFERROR(VLOOKUP($A:$A,CS!$A:$AK,23,FALSE),"")</f>
      </c>
      <c r="P164" s="79">
        <f>IFERROR(VLOOKUP($A:$A,CS!$A:$AK,24,FALSE),"")</f>
      </c>
      <c r="Q164" s="79">
        <f>IFERROR(VLOOKUP($A:$A,CS!$A:$AK,25,FALSE),"")</f>
      </c>
      <c r="R164" s="79">
        <f>IFERROR(VLOOKUP($A:$A,CS!$A:$AK,26,FALSE),"")</f>
      </c>
      <c r="S164" s="79">
        <f>IFERROR(VLOOKUP($A:$A,CS!$A:$AK,29,FALSE),"")</f>
      </c>
      <c r="T164" s="79">
        <f>IFERROR(VLOOKUP($A:$A,CS!$A:$AK,33,FALSE),"")</f>
      </c>
      <c r="U164" s="79">
        <f>IFERROR(VLOOKUP($A:$A,CS!$A:$AK,34,FALSE),"")</f>
      </c>
      <c r="V164" s="79">
        <f>IFERROR(VLOOKUP($A:$A,CS!$A:$AK,35,FALSE),"")</f>
      </c>
      <c r="W164" s="79">
        <f>IFERROR(VLOOKUP($A:$A,CS!$A:$AK,36,FALSE),"")</f>
      </c>
    </row>
    <row r="165" ht="16.5" customHeight="1" spans="1:23" x14ac:dyDescent="0.25">
      <c r="A165" s="93"/>
      <c r="B165" s="79">
        <f>IFERROR(VLOOKUP($A:$A,CS!$A:$AK,3,FALSE),"")</f>
      </c>
      <c r="C165" s="79">
        <f>IFERROR(VLOOKUP($A:$A,CS!$A:$AK,4,FALSE),"")</f>
      </c>
      <c r="D165" s="79">
        <f>IFERROR(VLOOKUP($A:$A,CS!$A:$AK,5,FALSE),"")</f>
      </c>
      <c r="E165" s="79">
        <f>IFERROR(VLOOKUP($A:$A,CS!$A:$AK,7,FALSE),"")</f>
      </c>
      <c r="F165" s="79">
        <f>IFERROR(VLOOKUP($A:$A,CS!$A:$AK,8,FALSE),"")</f>
      </c>
      <c r="G165" s="79">
        <f>IFERROR(VLOOKUP($A:$A,CS!$A:$AK,10,FALSE),"")</f>
      </c>
      <c r="H165" s="79">
        <f>IFERROR(VLOOKUP($A:$A,CS!$A:$AK,14,FALSE),"")</f>
      </c>
      <c r="I165" s="79">
        <f>IFERROR(VLOOKUP($A:$A,CS!$A:$AK,15,FALSE),"")</f>
      </c>
      <c r="J165" s="79">
        <f>IFERROR(VLOOKUP($A:$A,CS!$A:$AK,18,FALSE),"")</f>
      </c>
      <c r="K165" s="79">
        <f>IFERROR(VLOOKUP($A:$A,CS!$A:$AK,19,FALSE),"")</f>
      </c>
      <c r="L165" s="79">
        <f>IFERROR(VLOOKUP($A:$A,CS!$A:$AK,20,FALSE),"")</f>
      </c>
      <c r="M165" s="79">
        <f>IFERROR(VLOOKUP($A:$A,CS!$A:$AK,22,FALSE),"")</f>
      </c>
      <c r="N165" s="79">
        <f>IFERROR(VLOOKUP($A:$A,CS!$A:$AK,19,FALSE),"")</f>
      </c>
      <c r="O165" s="79">
        <f>IFERROR(VLOOKUP($A:$A,CS!$A:$AK,23,FALSE),"")</f>
      </c>
      <c r="P165" s="79">
        <f>IFERROR(VLOOKUP($A:$A,CS!$A:$AK,24,FALSE),"")</f>
      </c>
      <c r="Q165" s="79">
        <f>IFERROR(VLOOKUP($A:$A,CS!$A:$AK,25,FALSE),"")</f>
      </c>
      <c r="R165" s="79">
        <f>IFERROR(VLOOKUP($A:$A,CS!$A:$AK,26,FALSE),"")</f>
      </c>
      <c r="S165" s="79">
        <f>IFERROR(VLOOKUP($A:$A,CS!$A:$AK,29,FALSE),"")</f>
      </c>
      <c r="T165" s="79">
        <f>IFERROR(VLOOKUP($A:$A,CS!$A:$AK,33,FALSE),"")</f>
      </c>
      <c r="U165" s="79">
        <f>IFERROR(VLOOKUP($A:$A,CS!$A:$AK,34,FALSE),"")</f>
      </c>
      <c r="V165" s="79">
        <f>IFERROR(VLOOKUP($A:$A,CS!$A:$AK,35,FALSE),"")</f>
      </c>
      <c r="W165" s="79">
        <f>IFERROR(VLOOKUP($A:$A,CS!$A:$AK,36,FALSE),"")</f>
      </c>
    </row>
    <row r="166" ht="16.5" customHeight="1" spans="1:23" x14ac:dyDescent="0.25">
      <c r="A166" s="93"/>
      <c r="B166" s="79">
        <f>IFERROR(VLOOKUP($A:$A,CS!$A:$AK,3,FALSE),"")</f>
      </c>
      <c r="C166" s="79">
        <f>IFERROR(VLOOKUP($A:$A,CS!$A:$AK,4,FALSE),"")</f>
      </c>
      <c r="D166" s="79">
        <f>IFERROR(VLOOKUP($A:$A,CS!$A:$AK,5,FALSE),"")</f>
      </c>
      <c r="E166" s="79">
        <f>IFERROR(VLOOKUP($A:$A,CS!$A:$AK,7,FALSE),"")</f>
      </c>
      <c r="F166" s="79">
        <f>IFERROR(VLOOKUP($A:$A,CS!$A:$AK,8,FALSE),"")</f>
      </c>
      <c r="G166" s="79">
        <f>IFERROR(VLOOKUP($A:$A,CS!$A:$AK,10,FALSE),"")</f>
      </c>
      <c r="H166" s="79">
        <f>IFERROR(VLOOKUP($A:$A,CS!$A:$AK,14,FALSE),"")</f>
      </c>
      <c r="I166" s="79">
        <f>IFERROR(VLOOKUP($A:$A,CS!$A:$AK,15,FALSE),"")</f>
      </c>
      <c r="J166" s="79">
        <f>IFERROR(VLOOKUP($A:$A,CS!$A:$AK,18,FALSE),"")</f>
      </c>
      <c r="K166" s="79">
        <f>IFERROR(VLOOKUP($A:$A,CS!$A:$AK,19,FALSE),"")</f>
      </c>
      <c r="L166" s="79">
        <f>IFERROR(VLOOKUP($A:$A,CS!$A:$AK,20,FALSE),"")</f>
      </c>
      <c r="M166" s="79">
        <f>IFERROR(VLOOKUP($A:$A,CS!$A:$AK,22,FALSE),"")</f>
      </c>
      <c r="N166" s="79">
        <f>IFERROR(VLOOKUP($A:$A,CS!$A:$AK,19,FALSE),"")</f>
      </c>
      <c r="O166" s="79">
        <f>IFERROR(VLOOKUP($A:$A,CS!$A:$AK,23,FALSE),"")</f>
      </c>
      <c r="P166" s="79">
        <f>IFERROR(VLOOKUP($A:$A,CS!$A:$AK,24,FALSE),"")</f>
      </c>
      <c r="Q166" s="79">
        <f>IFERROR(VLOOKUP($A:$A,CS!$A:$AK,25,FALSE),"")</f>
      </c>
      <c r="R166" s="79">
        <f>IFERROR(VLOOKUP($A:$A,CS!$A:$AK,26,FALSE),"")</f>
      </c>
      <c r="S166" s="79">
        <f>IFERROR(VLOOKUP($A:$A,CS!$A:$AK,29,FALSE),"")</f>
      </c>
      <c r="T166" s="79">
        <f>IFERROR(VLOOKUP($A:$A,CS!$A:$AK,33,FALSE),"")</f>
      </c>
      <c r="U166" s="79">
        <f>IFERROR(VLOOKUP($A:$A,CS!$A:$AK,34,FALSE),"")</f>
      </c>
      <c r="V166" s="79">
        <f>IFERROR(VLOOKUP($A:$A,CS!$A:$AK,35,FALSE),"")</f>
      </c>
      <c r="W166" s="79">
        <f>IFERROR(VLOOKUP($A:$A,CS!$A:$AK,36,FALSE),"")</f>
      </c>
    </row>
    <row r="167" ht="16.5" customHeight="1" spans="1:23" x14ac:dyDescent="0.25">
      <c r="A167" s="93"/>
      <c r="B167" s="79">
        <f>IFERROR(VLOOKUP($A:$A,CS!$A:$AK,3,FALSE),"")</f>
      </c>
      <c r="C167" s="79">
        <f>IFERROR(VLOOKUP($A:$A,CS!$A:$AK,4,FALSE),"")</f>
      </c>
      <c r="D167" s="79">
        <f>IFERROR(VLOOKUP($A:$A,CS!$A:$AK,5,FALSE),"")</f>
      </c>
      <c r="E167" s="79">
        <f>IFERROR(VLOOKUP($A:$A,CS!$A:$AK,7,FALSE),"")</f>
      </c>
      <c r="F167" s="79">
        <f>IFERROR(VLOOKUP($A:$A,CS!$A:$AK,8,FALSE),"")</f>
      </c>
      <c r="G167" s="79">
        <f>IFERROR(VLOOKUP($A:$A,CS!$A:$AK,10,FALSE),"")</f>
      </c>
      <c r="H167" s="79">
        <f>IFERROR(VLOOKUP($A:$A,CS!$A:$AK,14,FALSE),"")</f>
      </c>
      <c r="I167" s="79">
        <f>IFERROR(VLOOKUP($A:$A,CS!$A:$AK,15,FALSE),"")</f>
      </c>
      <c r="J167" s="79">
        <f>IFERROR(VLOOKUP($A:$A,CS!$A:$AK,18,FALSE),"")</f>
      </c>
      <c r="K167" s="79">
        <f>IFERROR(VLOOKUP($A:$A,CS!$A:$AK,19,FALSE),"")</f>
      </c>
      <c r="L167" s="79">
        <f>IFERROR(VLOOKUP($A:$A,CS!$A:$AK,20,FALSE),"")</f>
      </c>
      <c r="M167" s="79">
        <f>IFERROR(VLOOKUP($A:$A,CS!$A:$AK,22,FALSE),"")</f>
      </c>
      <c r="N167" s="79">
        <f>IFERROR(VLOOKUP($A:$A,CS!$A:$AK,19,FALSE),"")</f>
      </c>
      <c r="O167" s="79">
        <f>IFERROR(VLOOKUP($A:$A,CS!$A:$AK,23,FALSE),"")</f>
      </c>
      <c r="P167" s="79">
        <f>IFERROR(VLOOKUP($A:$A,CS!$A:$AK,24,FALSE),"")</f>
      </c>
      <c r="Q167" s="79">
        <f>IFERROR(VLOOKUP($A:$A,CS!$A:$AK,25,FALSE),"")</f>
      </c>
      <c r="R167" s="79">
        <f>IFERROR(VLOOKUP($A:$A,CS!$A:$AK,26,FALSE),"")</f>
      </c>
      <c r="S167" s="79">
        <f>IFERROR(VLOOKUP($A:$A,CS!$A:$AK,29,FALSE),"")</f>
      </c>
      <c r="T167" s="79">
        <f>IFERROR(VLOOKUP($A:$A,CS!$A:$AK,33,FALSE),"")</f>
      </c>
      <c r="U167" s="79">
        <f>IFERROR(VLOOKUP($A:$A,CS!$A:$AK,34,FALSE),"")</f>
      </c>
      <c r="V167" s="79">
        <f>IFERROR(VLOOKUP($A:$A,CS!$A:$AK,35,FALSE),"")</f>
      </c>
      <c r="W167" s="79">
        <f>IFERROR(VLOOKUP($A:$A,CS!$A:$AK,36,FALSE),"")</f>
      </c>
    </row>
    <row r="168" ht="16.5" customHeight="1" spans="1:23" x14ac:dyDescent="0.25">
      <c r="A168" s="93"/>
      <c r="B168" s="79">
        <f>IFERROR(VLOOKUP($A:$A,CS!$A:$AK,3,FALSE),"")</f>
      </c>
      <c r="C168" s="79">
        <f>IFERROR(VLOOKUP($A:$A,CS!$A:$AK,4,FALSE),"")</f>
      </c>
      <c r="D168" s="79">
        <f>IFERROR(VLOOKUP($A:$A,CS!$A:$AK,5,FALSE),"")</f>
      </c>
      <c r="E168" s="79">
        <f>IFERROR(VLOOKUP($A:$A,CS!$A:$AK,7,FALSE),"")</f>
      </c>
      <c r="F168" s="79">
        <f>IFERROR(VLOOKUP($A:$A,CS!$A:$AK,8,FALSE),"")</f>
      </c>
      <c r="G168" s="79">
        <f>IFERROR(VLOOKUP($A:$A,CS!$A:$AK,10,FALSE),"")</f>
      </c>
      <c r="H168" s="79">
        <f>IFERROR(VLOOKUP($A:$A,CS!$A:$AK,14,FALSE),"")</f>
      </c>
      <c r="I168" s="79">
        <f>IFERROR(VLOOKUP($A:$A,CS!$A:$AK,15,FALSE),"")</f>
      </c>
      <c r="J168" s="79">
        <f>IFERROR(VLOOKUP($A:$A,CS!$A:$AK,18,FALSE),"")</f>
      </c>
      <c r="K168" s="79">
        <f>IFERROR(VLOOKUP($A:$A,CS!$A:$AK,19,FALSE),"")</f>
      </c>
      <c r="L168" s="79">
        <f>IFERROR(VLOOKUP($A:$A,CS!$A:$AK,20,FALSE),"")</f>
      </c>
      <c r="M168" s="79">
        <f>IFERROR(VLOOKUP($A:$A,CS!$A:$AK,22,FALSE),"")</f>
      </c>
      <c r="N168" s="79">
        <f>IFERROR(VLOOKUP($A:$A,CS!$A:$AK,19,FALSE),"")</f>
      </c>
      <c r="O168" s="79">
        <f>IFERROR(VLOOKUP($A:$A,CS!$A:$AK,23,FALSE),"")</f>
      </c>
      <c r="P168" s="79">
        <f>IFERROR(VLOOKUP($A:$A,CS!$A:$AK,24,FALSE),"")</f>
      </c>
      <c r="Q168" s="79">
        <f>IFERROR(VLOOKUP($A:$A,CS!$A:$AK,25,FALSE),"")</f>
      </c>
      <c r="R168" s="79">
        <f>IFERROR(VLOOKUP($A:$A,CS!$A:$AK,26,FALSE),"")</f>
      </c>
      <c r="S168" s="79">
        <f>IFERROR(VLOOKUP($A:$A,CS!$A:$AK,29,FALSE),"")</f>
      </c>
      <c r="T168" s="79">
        <f>IFERROR(VLOOKUP($A:$A,CS!$A:$AK,33,FALSE),"")</f>
      </c>
      <c r="U168" s="79">
        <f>IFERROR(VLOOKUP($A:$A,CS!$A:$AK,34,FALSE),"")</f>
      </c>
      <c r="V168" s="79">
        <f>IFERROR(VLOOKUP($A:$A,CS!$A:$AK,35,FALSE),"")</f>
      </c>
      <c r="W168" s="79">
        <f>IFERROR(VLOOKUP($A:$A,CS!$A:$AK,36,FALSE),"")</f>
      </c>
    </row>
    <row r="169" ht="16.5" customHeight="1" spans="1:23" x14ac:dyDescent="0.25">
      <c r="A169" s="93"/>
      <c r="B169" s="79">
        <f>IFERROR(VLOOKUP($A:$A,CS!$A:$AK,3,FALSE),"")</f>
      </c>
      <c r="C169" s="79">
        <f>IFERROR(VLOOKUP($A:$A,CS!$A:$AK,4,FALSE),"")</f>
      </c>
      <c r="D169" s="79">
        <f>IFERROR(VLOOKUP($A:$A,CS!$A:$AK,5,FALSE),"")</f>
      </c>
      <c r="E169" s="79">
        <f>IFERROR(VLOOKUP($A:$A,CS!$A:$AK,7,FALSE),"")</f>
      </c>
      <c r="F169" s="79">
        <f>IFERROR(VLOOKUP($A:$A,CS!$A:$AK,8,FALSE),"")</f>
      </c>
      <c r="G169" s="79">
        <f>IFERROR(VLOOKUP($A:$A,CS!$A:$AK,10,FALSE),"")</f>
      </c>
      <c r="H169" s="79">
        <f>IFERROR(VLOOKUP($A:$A,CS!$A:$AK,14,FALSE),"")</f>
      </c>
      <c r="I169" s="79">
        <f>IFERROR(VLOOKUP($A:$A,CS!$A:$AK,15,FALSE),"")</f>
      </c>
      <c r="J169" s="79">
        <f>IFERROR(VLOOKUP($A:$A,CS!$A:$AK,18,FALSE),"")</f>
      </c>
      <c r="K169" s="79">
        <f>IFERROR(VLOOKUP($A:$A,CS!$A:$AK,19,FALSE),"")</f>
      </c>
      <c r="L169" s="79">
        <f>IFERROR(VLOOKUP($A:$A,CS!$A:$AK,20,FALSE),"")</f>
      </c>
      <c r="M169" s="79">
        <f>IFERROR(VLOOKUP($A:$A,CS!$A:$AK,22,FALSE),"")</f>
      </c>
      <c r="N169" s="79">
        <f>IFERROR(VLOOKUP($A:$A,CS!$A:$AK,19,FALSE),"")</f>
      </c>
      <c r="O169" s="79">
        <f>IFERROR(VLOOKUP($A:$A,CS!$A:$AK,23,FALSE),"")</f>
      </c>
      <c r="P169" s="79">
        <f>IFERROR(VLOOKUP($A:$A,CS!$A:$AK,24,FALSE),"")</f>
      </c>
      <c r="Q169" s="79">
        <f>IFERROR(VLOOKUP($A:$A,CS!$A:$AK,25,FALSE),"")</f>
      </c>
      <c r="R169" s="79">
        <f>IFERROR(VLOOKUP($A:$A,CS!$A:$AK,26,FALSE),"")</f>
      </c>
      <c r="S169" s="79">
        <f>IFERROR(VLOOKUP($A:$A,CS!$A:$AK,29,FALSE),"")</f>
      </c>
      <c r="T169" s="79">
        <f>IFERROR(VLOOKUP($A:$A,CS!$A:$AK,33,FALSE),"")</f>
      </c>
      <c r="U169" s="79">
        <f>IFERROR(VLOOKUP($A:$A,CS!$A:$AK,34,FALSE),"")</f>
      </c>
      <c r="V169" s="79">
        <f>IFERROR(VLOOKUP($A:$A,CS!$A:$AK,35,FALSE),"")</f>
      </c>
      <c r="W169" s="79">
        <f>IFERROR(VLOOKUP($A:$A,CS!$A:$AK,36,FALSE),"")</f>
      </c>
    </row>
    <row r="170" ht="16.5" customHeight="1" spans="1:23" x14ac:dyDescent="0.25">
      <c r="A170" s="93"/>
      <c r="B170" s="79">
        <f>IFERROR(VLOOKUP($A:$A,CS!$A:$AK,3,FALSE),"")</f>
      </c>
      <c r="C170" s="79">
        <f>IFERROR(VLOOKUP($A:$A,CS!$A:$AK,4,FALSE),"")</f>
      </c>
      <c r="D170" s="79">
        <f>IFERROR(VLOOKUP($A:$A,CS!$A:$AK,5,FALSE),"")</f>
      </c>
      <c r="E170" s="79">
        <f>IFERROR(VLOOKUP($A:$A,CS!$A:$AK,7,FALSE),"")</f>
      </c>
      <c r="F170" s="79">
        <f>IFERROR(VLOOKUP($A:$A,CS!$A:$AK,8,FALSE),"")</f>
      </c>
      <c r="G170" s="79">
        <f>IFERROR(VLOOKUP($A:$A,CS!$A:$AK,10,FALSE),"")</f>
      </c>
      <c r="H170" s="79">
        <f>IFERROR(VLOOKUP($A:$A,CS!$A:$AK,14,FALSE),"")</f>
      </c>
      <c r="I170" s="79">
        <f>IFERROR(VLOOKUP($A:$A,CS!$A:$AK,15,FALSE),"")</f>
      </c>
      <c r="J170" s="79">
        <f>IFERROR(VLOOKUP($A:$A,CS!$A:$AK,18,FALSE),"")</f>
      </c>
      <c r="K170" s="79">
        <f>IFERROR(VLOOKUP($A:$A,CS!$A:$AK,19,FALSE),"")</f>
      </c>
      <c r="L170" s="79">
        <f>IFERROR(VLOOKUP($A:$A,CS!$A:$AK,20,FALSE),"")</f>
      </c>
      <c r="M170" s="79">
        <f>IFERROR(VLOOKUP($A:$A,CS!$A:$AK,22,FALSE),"")</f>
      </c>
      <c r="N170" s="79">
        <f>IFERROR(VLOOKUP($A:$A,CS!$A:$AK,19,FALSE),"")</f>
      </c>
      <c r="O170" s="79">
        <f>IFERROR(VLOOKUP($A:$A,CS!$A:$AK,23,FALSE),"")</f>
      </c>
      <c r="P170" s="79">
        <f>IFERROR(VLOOKUP($A:$A,CS!$A:$AK,24,FALSE),"")</f>
      </c>
      <c r="Q170" s="79">
        <f>IFERROR(VLOOKUP($A:$A,CS!$A:$AK,25,FALSE),"")</f>
      </c>
      <c r="R170" s="79">
        <f>IFERROR(VLOOKUP($A:$A,CS!$A:$AK,26,FALSE),"")</f>
      </c>
      <c r="S170" s="79">
        <f>IFERROR(VLOOKUP($A:$A,CS!$A:$AK,29,FALSE),"")</f>
      </c>
      <c r="T170" s="79">
        <f>IFERROR(VLOOKUP($A:$A,CS!$A:$AK,33,FALSE),"")</f>
      </c>
      <c r="U170" s="79">
        <f>IFERROR(VLOOKUP($A:$A,CS!$A:$AK,34,FALSE),"")</f>
      </c>
      <c r="V170" s="79">
        <f>IFERROR(VLOOKUP($A:$A,CS!$A:$AK,35,FALSE),"")</f>
      </c>
      <c r="W170" s="79">
        <f>IFERROR(VLOOKUP($A:$A,CS!$A:$AK,36,FALSE),"")</f>
      </c>
    </row>
    <row r="171" ht="16.5" customHeight="1" spans="1:23" x14ac:dyDescent="0.25">
      <c r="A171" s="93"/>
      <c r="B171" s="79">
        <f>IFERROR(VLOOKUP($A:$A,CS!$A:$AK,3,FALSE),"")</f>
      </c>
      <c r="C171" s="79">
        <f>IFERROR(VLOOKUP($A:$A,CS!$A:$AK,4,FALSE),"")</f>
      </c>
      <c r="D171" s="79">
        <f>IFERROR(VLOOKUP($A:$A,CS!$A:$AK,5,FALSE),"")</f>
      </c>
      <c r="E171" s="79">
        <f>IFERROR(VLOOKUP($A:$A,CS!$A:$AK,7,FALSE),"")</f>
      </c>
      <c r="F171" s="79">
        <f>IFERROR(VLOOKUP($A:$A,CS!$A:$AK,8,FALSE),"")</f>
      </c>
      <c r="G171" s="79">
        <f>IFERROR(VLOOKUP($A:$A,CS!$A:$AK,10,FALSE),"")</f>
      </c>
      <c r="H171" s="79">
        <f>IFERROR(VLOOKUP($A:$A,CS!$A:$AK,14,FALSE),"")</f>
      </c>
      <c r="I171" s="79">
        <f>IFERROR(VLOOKUP($A:$A,CS!$A:$AK,15,FALSE),"")</f>
      </c>
      <c r="J171" s="79">
        <f>IFERROR(VLOOKUP($A:$A,CS!$A:$AK,18,FALSE),"")</f>
      </c>
      <c r="K171" s="79">
        <f>IFERROR(VLOOKUP($A:$A,CS!$A:$AK,19,FALSE),"")</f>
      </c>
      <c r="L171" s="79">
        <f>IFERROR(VLOOKUP($A:$A,CS!$A:$AK,20,FALSE),"")</f>
      </c>
      <c r="M171" s="79">
        <f>IFERROR(VLOOKUP($A:$A,CS!$A:$AK,22,FALSE),"")</f>
      </c>
      <c r="N171" s="79">
        <f>IFERROR(VLOOKUP($A:$A,CS!$A:$AK,19,FALSE),"")</f>
      </c>
      <c r="O171" s="79">
        <f>IFERROR(VLOOKUP($A:$A,CS!$A:$AK,23,FALSE),"")</f>
      </c>
      <c r="P171" s="79">
        <f>IFERROR(VLOOKUP($A:$A,CS!$A:$AK,24,FALSE),"")</f>
      </c>
      <c r="Q171" s="79">
        <f>IFERROR(VLOOKUP($A:$A,CS!$A:$AK,25,FALSE),"")</f>
      </c>
      <c r="R171" s="79">
        <f>IFERROR(VLOOKUP($A:$A,CS!$A:$AK,26,FALSE),"")</f>
      </c>
      <c r="S171" s="79">
        <f>IFERROR(VLOOKUP($A:$A,CS!$A:$AK,29,FALSE),"")</f>
      </c>
      <c r="T171" s="79">
        <f>IFERROR(VLOOKUP($A:$A,CS!$A:$AK,33,FALSE),"")</f>
      </c>
      <c r="U171" s="79">
        <f>IFERROR(VLOOKUP($A:$A,CS!$A:$AK,34,FALSE),"")</f>
      </c>
      <c r="V171" s="79">
        <f>IFERROR(VLOOKUP($A:$A,CS!$A:$AK,35,FALSE),"")</f>
      </c>
      <c r="W171" s="79">
        <f>IFERROR(VLOOKUP($A:$A,CS!$A:$AK,36,FALSE),"")</f>
      </c>
    </row>
    <row r="172" ht="16.5" customHeight="1" spans="1:23" x14ac:dyDescent="0.25">
      <c r="A172" s="93"/>
      <c r="B172" s="79">
        <f>IFERROR(VLOOKUP($A:$A,CS!$A:$AK,3,FALSE),"")</f>
      </c>
      <c r="C172" s="79">
        <f>IFERROR(VLOOKUP($A:$A,CS!$A:$AK,4,FALSE),"")</f>
      </c>
      <c r="D172" s="79">
        <f>IFERROR(VLOOKUP($A:$A,CS!$A:$AK,5,FALSE),"")</f>
      </c>
      <c r="E172" s="79">
        <f>IFERROR(VLOOKUP($A:$A,CS!$A:$AK,7,FALSE),"")</f>
      </c>
      <c r="F172" s="79">
        <f>IFERROR(VLOOKUP($A:$A,CS!$A:$AK,8,FALSE),"")</f>
      </c>
      <c r="G172" s="79">
        <f>IFERROR(VLOOKUP($A:$A,CS!$A:$AK,10,FALSE),"")</f>
      </c>
      <c r="H172" s="79">
        <f>IFERROR(VLOOKUP($A:$A,CS!$A:$AK,14,FALSE),"")</f>
      </c>
      <c r="I172" s="79">
        <f>IFERROR(VLOOKUP($A:$A,CS!$A:$AK,15,FALSE),"")</f>
      </c>
      <c r="J172" s="79">
        <f>IFERROR(VLOOKUP($A:$A,CS!$A:$AK,18,FALSE),"")</f>
      </c>
      <c r="K172" s="79">
        <f>IFERROR(VLOOKUP($A:$A,CS!$A:$AK,19,FALSE),"")</f>
      </c>
      <c r="L172" s="79">
        <f>IFERROR(VLOOKUP($A:$A,CS!$A:$AK,20,FALSE),"")</f>
      </c>
      <c r="M172" s="79">
        <f>IFERROR(VLOOKUP($A:$A,CS!$A:$AK,22,FALSE),"")</f>
      </c>
      <c r="N172" s="79">
        <f>IFERROR(VLOOKUP($A:$A,CS!$A:$AK,19,FALSE),"")</f>
      </c>
      <c r="O172" s="79">
        <f>IFERROR(VLOOKUP($A:$A,CS!$A:$AK,23,FALSE),"")</f>
      </c>
      <c r="P172" s="79">
        <f>IFERROR(VLOOKUP($A:$A,CS!$A:$AK,24,FALSE),"")</f>
      </c>
      <c r="Q172" s="79">
        <f>IFERROR(VLOOKUP($A:$A,CS!$A:$AK,25,FALSE),"")</f>
      </c>
      <c r="R172" s="79">
        <f>IFERROR(VLOOKUP($A:$A,CS!$A:$AK,26,FALSE),"")</f>
      </c>
      <c r="S172" s="79">
        <f>IFERROR(VLOOKUP($A:$A,CS!$A:$AK,29,FALSE),"")</f>
      </c>
      <c r="T172" s="79">
        <f>IFERROR(VLOOKUP($A:$A,CS!$A:$AK,33,FALSE),"")</f>
      </c>
      <c r="U172" s="79">
        <f>IFERROR(VLOOKUP($A:$A,CS!$A:$AK,34,FALSE),"")</f>
      </c>
      <c r="V172" s="79">
        <f>IFERROR(VLOOKUP($A:$A,CS!$A:$AK,35,FALSE),"")</f>
      </c>
      <c r="W172" s="79">
        <f>IFERROR(VLOOKUP($A:$A,CS!$A:$AK,36,FALSE),"")</f>
      </c>
    </row>
    <row r="173" ht="16.5" customHeight="1" spans="1:23" x14ac:dyDescent="0.25">
      <c r="A173" s="93"/>
      <c r="B173" s="79">
        <f>IFERROR(VLOOKUP($A:$A,CS!$A:$AK,3,FALSE),"")</f>
      </c>
      <c r="C173" s="79">
        <f>IFERROR(VLOOKUP($A:$A,CS!$A:$AK,4,FALSE),"")</f>
      </c>
      <c r="D173" s="79">
        <f>IFERROR(VLOOKUP($A:$A,CS!$A:$AK,5,FALSE),"")</f>
      </c>
      <c r="E173" s="79">
        <f>IFERROR(VLOOKUP($A:$A,CS!$A:$AK,7,FALSE),"")</f>
      </c>
      <c r="F173" s="79">
        <f>IFERROR(VLOOKUP($A:$A,CS!$A:$AK,8,FALSE),"")</f>
      </c>
      <c r="G173" s="79">
        <f>IFERROR(VLOOKUP($A:$A,CS!$A:$AK,10,FALSE),"")</f>
      </c>
      <c r="H173" s="79">
        <f>IFERROR(VLOOKUP($A:$A,CS!$A:$AK,14,FALSE),"")</f>
      </c>
      <c r="I173" s="79">
        <f>IFERROR(VLOOKUP($A:$A,CS!$A:$AK,15,FALSE),"")</f>
      </c>
      <c r="J173" s="79">
        <f>IFERROR(VLOOKUP($A:$A,CS!$A:$AK,18,FALSE),"")</f>
      </c>
      <c r="K173" s="79">
        <f>IFERROR(VLOOKUP($A:$A,CS!$A:$AK,19,FALSE),"")</f>
      </c>
      <c r="L173" s="79">
        <f>IFERROR(VLOOKUP($A:$A,CS!$A:$AK,20,FALSE),"")</f>
      </c>
      <c r="M173" s="79">
        <f>IFERROR(VLOOKUP($A:$A,CS!$A:$AK,22,FALSE),"")</f>
      </c>
      <c r="N173" s="79">
        <f>IFERROR(VLOOKUP($A:$A,CS!$A:$AK,19,FALSE),"")</f>
      </c>
      <c r="O173" s="79">
        <f>IFERROR(VLOOKUP($A:$A,CS!$A:$AK,23,FALSE),"")</f>
      </c>
      <c r="P173" s="79">
        <f>IFERROR(VLOOKUP($A:$A,CS!$A:$AK,24,FALSE),"")</f>
      </c>
      <c r="Q173" s="79">
        <f>IFERROR(VLOOKUP($A:$A,CS!$A:$AK,25,FALSE),"")</f>
      </c>
      <c r="R173" s="79">
        <f>IFERROR(VLOOKUP($A:$A,CS!$A:$AK,26,FALSE),"")</f>
      </c>
      <c r="S173" s="79">
        <f>IFERROR(VLOOKUP($A:$A,CS!$A:$AK,29,FALSE),"")</f>
      </c>
      <c r="T173" s="79">
        <f>IFERROR(VLOOKUP($A:$A,CS!$A:$AK,33,FALSE),"")</f>
      </c>
      <c r="U173" s="79">
        <f>IFERROR(VLOOKUP($A:$A,CS!$A:$AK,34,FALSE),"")</f>
      </c>
      <c r="V173" s="79">
        <f>IFERROR(VLOOKUP($A:$A,CS!$A:$AK,35,FALSE),"")</f>
      </c>
      <c r="W173" s="79">
        <f>IFERROR(VLOOKUP($A:$A,CS!$A:$AK,36,FALSE),"")</f>
      </c>
    </row>
    <row r="174" ht="16.5" customHeight="1" spans="1:23" x14ac:dyDescent="0.25">
      <c r="A174" s="93"/>
      <c r="B174" s="79">
        <f>IFERROR(VLOOKUP($A:$A,CS!$A:$AK,3,FALSE),"")</f>
      </c>
      <c r="C174" s="79">
        <f>IFERROR(VLOOKUP($A:$A,CS!$A:$AK,4,FALSE),"")</f>
      </c>
      <c r="D174" s="79">
        <f>IFERROR(VLOOKUP($A:$A,CS!$A:$AK,5,FALSE),"")</f>
      </c>
      <c r="E174" s="79">
        <f>IFERROR(VLOOKUP($A:$A,CS!$A:$AK,7,FALSE),"")</f>
      </c>
      <c r="F174" s="79">
        <f>IFERROR(VLOOKUP($A:$A,CS!$A:$AK,8,FALSE),"")</f>
      </c>
      <c r="G174" s="79">
        <f>IFERROR(VLOOKUP($A:$A,CS!$A:$AK,10,FALSE),"")</f>
      </c>
      <c r="H174" s="79">
        <f>IFERROR(VLOOKUP($A:$A,CS!$A:$AK,14,FALSE),"")</f>
      </c>
      <c r="I174" s="79">
        <f>IFERROR(VLOOKUP($A:$A,CS!$A:$AK,15,FALSE),"")</f>
      </c>
      <c r="J174" s="79">
        <f>IFERROR(VLOOKUP($A:$A,CS!$A:$AK,18,FALSE),"")</f>
      </c>
      <c r="K174" s="79">
        <f>IFERROR(VLOOKUP($A:$A,CS!$A:$AK,19,FALSE),"")</f>
      </c>
      <c r="L174" s="79">
        <f>IFERROR(VLOOKUP($A:$A,CS!$A:$AK,20,FALSE),"")</f>
      </c>
      <c r="M174" s="79">
        <f>IFERROR(VLOOKUP($A:$A,CS!$A:$AK,22,FALSE),"")</f>
      </c>
      <c r="N174" s="79">
        <f>IFERROR(VLOOKUP($A:$A,CS!$A:$AK,19,FALSE),"")</f>
      </c>
      <c r="O174" s="79">
        <f>IFERROR(VLOOKUP($A:$A,CS!$A:$AK,23,FALSE),"")</f>
      </c>
      <c r="P174" s="79">
        <f>IFERROR(VLOOKUP($A:$A,CS!$A:$AK,24,FALSE),"")</f>
      </c>
      <c r="Q174" s="79">
        <f>IFERROR(VLOOKUP($A:$A,CS!$A:$AK,25,FALSE),"")</f>
      </c>
      <c r="R174" s="79">
        <f>IFERROR(VLOOKUP($A:$A,CS!$A:$AK,26,FALSE),"")</f>
      </c>
      <c r="S174" s="79">
        <f>IFERROR(VLOOKUP($A:$A,CS!$A:$AK,29,FALSE),"")</f>
      </c>
      <c r="T174" s="79">
        <f>IFERROR(VLOOKUP($A:$A,CS!$A:$AK,33,FALSE),"")</f>
      </c>
      <c r="U174" s="79">
        <f>IFERROR(VLOOKUP($A:$A,CS!$A:$AK,34,FALSE),"")</f>
      </c>
      <c r="V174" s="79">
        <f>IFERROR(VLOOKUP($A:$A,CS!$A:$AK,35,FALSE),"")</f>
      </c>
      <c r="W174" s="79">
        <f>IFERROR(VLOOKUP($A:$A,CS!$A:$AK,36,FALSE),"")</f>
      </c>
    </row>
    <row r="175" ht="16.5" customHeight="1" spans="1:23" x14ac:dyDescent="0.25">
      <c r="A175" s="93"/>
      <c r="B175" s="79">
        <f>IFERROR(VLOOKUP($A:$A,CS!$A:$AK,3,FALSE),"")</f>
      </c>
      <c r="C175" s="79">
        <f>IFERROR(VLOOKUP($A:$A,CS!$A:$AK,4,FALSE),"")</f>
      </c>
      <c r="D175" s="79">
        <f>IFERROR(VLOOKUP($A:$A,CS!$A:$AK,5,FALSE),"")</f>
      </c>
      <c r="E175" s="79">
        <f>IFERROR(VLOOKUP($A:$A,CS!$A:$AK,7,FALSE),"")</f>
      </c>
      <c r="F175" s="79">
        <f>IFERROR(VLOOKUP($A:$A,CS!$A:$AK,8,FALSE),"")</f>
      </c>
      <c r="G175" s="79">
        <f>IFERROR(VLOOKUP($A:$A,CS!$A:$AK,10,FALSE),"")</f>
      </c>
      <c r="H175" s="79">
        <f>IFERROR(VLOOKUP($A:$A,CS!$A:$AK,14,FALSE),"")</f>
      </c>
      <c r="I175" s="79">
        <f>IFERROR(VLOOKUP($A:$A,CS!$A:$AK,15,FALSE),"")</f>
      </c>
      <c r="J175" s="79">
        <f>IFERROR(VLOOKUP($A:$A,CS!$A:$AK,18,FALSE),"")</f>
      </c>
      <c r="K175" s="79">
        <f>IFERROR(VLOOKUP($A:$A,CS!$A:$AK,19,FALSE),"")</f>
      </c>
      <c r="L175" s="79">
        <f>IFERROR(VLOOKUP($A:$A,CS!$A:$AK,20,FALSE),"")</f>
      </c>
      <c r="M175" s="79">
        <f>IFERROR(VLOOKUP($A:$A,CS!$A:$AK,22,FALSE),"")</f>
      </c>
      <c r="N175" s="79">
        <f>IFERROR(VLOOKUP($A:$A,CS!$A:$AK,19,FALSE),"")</f>
      </c>
      <c r="O175" s="79">
        <f>IFERROR(VLOOKUP($A:$A,CS!$A:$AK,23,FALSE),"")</f>
      </c>
      <c r="P175" s="79">
        <f>IFERROR(VLOOKUP($A:$A,CS!$A:$AK,24,FALSE),"")</f>
      </c>
      <c r="Q175" s="79">
        <f>IFERROR(VLOOKUP($A:$A,CS!$A:$AK,25,FALSE),"")</f>
      </c>
      <c r="R175" s="79">
        <f>IFERROR(VLOOKUP($A:$A,CS!$A:$AK,26,FALSE),"")</f>
      </c>
      <c r="S175" s="79">
        <f>IFERROR(VLOOKUP($A:$A,CS!$A:$AK,29,FALSE),"")</f>
      </c>
      <c r="T175" s="79">
        <f>IFERROR(VLOOKUP($A:$A,CS!$A:$AK,33,FALSE),"")</f>
      </c>
      <c r="U175" s="79">
        <f>IFERROR(VLOOKUP($A:$A,CS!$A:$AK,34,FALSE),"")</f>
      </c>
      <c r="V175" s="79">
        <f>IFERROR(VLOOKUP($A:$A,CS!$A:$AK,35,FALSE),"")</f>
      </c>
      <c r="W175" s="79">
        <f>IFERROR(VLOOKUP($A:$A,CS!$A:$AK,36,FALSE),"")</f>
      </c>
    </row>
    <row r="176" ht="16.5" customHeight="1" spans="1:23" x14ac:dyDescent="0.25">
      <c r="A176" s="93"/>
      <c r="B176" s="79">
        <f>IFERROR(VLOOKUP($A:$A,CS!$A:$AK,3,FALSE),"")</f>
      </c>
      <c r="C176" s="79">
        <f>IFERROR(VLOOKUP($A:$A,CS!$A:$AK,4,FALSE),"")</f>
      </c>
      <c r="D176" s="79">
        <f>IFERROR(VLOOKUP($A:$A,CS!$A:$AK,5,FALSE),"")</f>
      </c>
      <c r="E176" s="79">
        <f>IFERROR(VLOOKUP($A:$A,CS!$A:$AK,7,FALSE),"")</f>
      </c>
      <c r="F176" s="79">
        <f>IFERROR(VLOOKUP($A:$A,CS!$A:$AK,8,FALSE),"")</f>
      </c>
      <c r="G176" s="79">
        <f>IFERROR(VLOOKUP($A:$A,CS!$A:$AK,10,FALSE),"")</f>
      </c>
      <c r="H176" s="79">
        <f>IFERROR(VLOOKUP($A:$A,CS!$A:$AK,14,FALSE),"")</f>
      </c>
      <c r="I176" s="79">
        <f>IFERROR(VLOOKUP($A:$A,CS!$A:$AK,15,FALSE),"")</f>
      </c>
      <c r="J176" s="79">
        <f>IFERROR(VLOOKUP($A:$A,CS!$A:$AK,18,FALSE),"")</f>
      </c>
      <c r="K176" s="79">
        <f>IFERROR(VLOOKUP($A:$A,CS!$A:$AK,19,FALSE),"")</f>
      </c>
      <c r="L176" s="79">
        <f>IFERROR(VLOOKUP($A:$A,CS!$A:$AK,20,FALSE),"")</f>
      </c>
      <c r="M176" s="79">
        <f>IFERROR(VLOOKUP($A:$A,CS!$A:$AK,22,FALSE),"")</f>
      </c>
      <c r="N176" s="79">
        <f>IFERROR(VLOOKUP($A:$A,CS!$A:$AK,19,FALSE),"")</f>
      </c>
      <c r="O176" s="79">
        <f>IFERROR(VLOOKUP($A:$A,CS!$A:$AK,23,FALSE),"")</f>
      </c>
      <c r="P176" s="79">
        <f>IFERROR(VLOOKUP($A:$A,CS!$A:$AK,24,FALSE),"")</f>
      </c>
      <c r="Q176" s="79">
        <f>IFERROR(VLOOKUP($A:$A,CS!$A:$AK,25,FALSE),"")</f>
      </c>
      <c r="R176" s="79">
        <f>IFERROR(VLOOKUP($A:$A,CS!$A:$AK,26,FALSE),"")</f>
      </c>
      <c r="S176" s="79">
        <f>IFERROR(VLOOKUP($A:$A,CS!$A:$AK,29,FALSE),"")</f>
      </c>
      <c r="T176" s="79">
        <f>IFERROR(VLOOKUP($A:$A,CS!$A:$AK,33,FALSE),"")</f>
      </c>
      <c r="U176" s="79">
        <f>IFERROR(VLOOKUP($A:$A,CS!$A:$AK,34,FALSE),"")</f>
      </c>
      <c r="V176" s="79">
        <f>IFERROR(VLOOKUP($A:$A,CS!$A:$AK,35,FALSE),"")</f>
      </c>
      <c r="W176" s="79">
        <f>IFERROR(VLOOKUP($A:$A,CS!$A:$AK,36,FALSE),"")</f>
      </c>
    </row>
    <row r="177" ht="16.5" customHeight="1" spans="1:23" x14ac:dyDescent="0.25">
      <c r="A177" s="93"/>
      <c r="B177" s="79">
        <f>IFERROR(VLOOKUP($A:$A,CS!$A:$AK,3,FALSE),"")</f>
      </c>
      <c r="C177" s="79">
        <f>IFERROR(VLOOKUP($A:$A,CS!$A:$AK,4,FALSE),"")</f>
      </c>
      <c r="D177" s="79">
        <f>IFERROR(VLOOKUP($A:$A,CS!$A:$AK,5,FALSE),"")</f>
      </c>
      <c r="E177" s="79">
        <f>IFERROR(VLOOKUP($A:$A,CS!$A:$AK,7,FALSE),"")</f>
      </c>
      <c r="F177" s="79">
        <f>IFERROR(VLOOKUP($A:$A,CS!$A:$AK,8,FALSE),"")</f>
      </c>
      <c r="G177" s="79">
        <f>IFERROR(VLOOKUP($A:$A,CS!$A:$AK,10,FALSE),"")</f>
      </c>
      <c r="H177" s="79">
        <f>IFERROR(VLOOKUP($A:$A,CS!$A:$AK,14,FALSE),"")</f>
      </c>
      <c r="I177" s="79">
        <f>IFERROR(VLOOKUP($A:$A,CS!$A:$AK,15,FALSE),"")</f>
      </c>
      <c r="J177" s="79">
        <f>IFERROR(VLOOKUP($A:$A,CS!$A:$AK,18,FALSE),"")</f>
      </c>
      <c r="K177" s="79">
        <f>IFERROR(VLOOKUP($A:$A,CS!$A:$AK,19,FALSE),"")</f>
      </c>
      <c r="L177" s="79">
        <f>IFERROR(VLOOKUP($A:$A,CS!$A:$AK,20,FALSE),"")</f>
      </c>
      <c r="M177" s="79">
        <f>IFERROR(VLOOKUP($A:$A,CS!$A:$AK,22,FALSE),"")</f>
      </c>
      <c r="N177" s="79">
        <f>IFERROR(VLOOKUP($A:$A,CS!$A:$AK,19,FALSE),"")</f>
      </c>
      <c r="O177" s="79">
        <f>IFERROR(VLOOKUP($A:$A,CS!$A:$AK,23,FALSE),"")</f>
      </c>
      <c r="P177" s="79">
        <f>IFERROR(VLOOKUP($A:$A,CS!$A:$AK,24,FALSE),"")</f>
      </c>
      <c r="Q177" s="79">
        <f>IFERROR(VLOOKUP($A:$A,CS!$A:$AK,25,FALSE),"")</f>
      </c>
      <c r="R177" s="79">
        <f>IFERROR(VLOOKUP($A:$A,CS!$A:$AK,26,FALSE),"")</f>
      </c>
      <c r="S177" s="79">
        <f>IFERROR(VLOOKUP($A:$A,CS!$A:$AK,29,FALSE),"")</f>
      </c>
      <c r="T177" s="79">
        <f>IFERROR(VLOOKUP($A:$A,CS!$A:$AK,33,FALSE),"")</f>
      </c>
      <c r="U177" s="79">
        <f>IFERROR(VLOOKUP($A:$A,CS!$A:$AK,34,FALSE),"")</f>
      </c>
      <c r="V177" s="79">
        <f>IFERROR(VLOOKUP($A:$A,CS!$A:$AK,35,FALSE),"")</f>
      </c>
      <c r="W177" s="79">
        <f>IFERROR(VLOOKUP($A:$A,CS!$A:$AK,36,FALSE),"")</f>
      </c>
    </row>
    <row r="178" ht="16.5" customHeight="1" spans="1:23" x14ac:dyDescent="0.25">
      <c r="A178" s="93"/>
      <c r="B178" s="79">
        <f>IFERROR(VLOOKUP($A:$A,CS!$A:$AK,3,FALSE),"")</f>
      </c>
      <c r="C178" s="79">
        <f>IFERROR(VLOOKUP($A:$A,CS!$A:$AK,4,FALSE),"")</f>
      </c>
      <c r="D178" s="79">
        <f>IFERROR(VLOOKUP($A:$A,CS!$A:$AK,5,FALSE),"")</f>
      </c>
      <c r="E178" s="79">
        <f>IFERROR(VLOOKUP($A:$A,CS!$A:$AK,7,FALSE),"")</f>
      </c>
      <c r="F178" s="79">
        <f>IFERROR(VLOOKUP($A:$A,CS!$A:$AK,8,FALSE),"")</f>
      </c>
      <c r="G178" s="79">
        <f>IFERROR(VLOOKUP($A:$A,CS!$A:$AK,10,FALSE),"")</f>
      </c>
      <c r="H178" s="79">
        <f>IFERROR(VLOOKUP($A:$A,CS!$A:$AK,14,FALSE),"")</f>
      </c>
      <c r="I178" s="79">
        <f>IFERROR(VLOOKUP($A:$A,CS!$A:$AK,15,FALSE),"")</f>
      </c>
      <c r="J178" s="79">
        <f>IFERROR(VLOOKUP($A:$A,CS!$A:$AK,18,FALSE),"")</f>
      </c>
      <c r="K178" s="79">
        <f>IFERROR(VLOOKUP($A:$A,CS!$A:$AK,19,FALSE),"")</f>
      </c>
      <c r="L178" s="79">
        <f>IFERROR(VLOOKUP($A:$A,CS!$A:$AK,20,FALSE),"")</f>
      </c>
      <c r="M178" s="79">
        <f>IFERROR(VLOOKUP($A:$A,CS!$A:$AK,22,FALSE),"")</f>
      </c>
      <c r="N178" s="79">
        <f>IFERROR(VLOOKUP($A:$A,CS!$A:$AK,19,FALSE),"")</f>
      </c>
      <c r="O178" s="79">
        <f>IFERROR(VLOOKUP($A:$A,CS!$A:$AK,23,FALSE),"")</f>
      </c>
      <c r="P178" s="79">
        <f>IFERROR(VLOOKUP($A:$A,CS!$A:$AK,24,FALSE),"")</f>
      </c>
      <c r="Q178" s="79">
        <f>IFERROR(VLOOKUP($A:$A,CS!$A:$AK,25,FALSE),"")</f>
      </c>
      <c r="R178" s="79">
        <f>IFERROR(VLOOKUP($A:$A,CS!$A:$AK,26,FALSE),"")</f>
      </c>
      <c r="S178" s="79">
        <f>IFERROR(VLOOKUP($A:$A,CS!$A:$AK,29,FALSE),"")</f>
      </c>
      <c r="T178" s="79">
        <f>IFERROR(VLOOKUP($A:$A,CS!$A:$AK,33,FALSE),"")</f>
      </c>
      <c r="U178" s="79">
        <f>IFERROR(VLOOKUP($A:$A,CS!$A:$AK,34,FALSE),"")</f>
      </c>
      <c r="V178" s="79">
        <f>IFERROR(VLOOKUP($A:$A,CS!$A:$AK,35,FALSE),"")</f>
      </c>
      <c r="W178" s="79">
        <f>IFERROR(VLOOKUP($A:$A,CS!$A:$AK,36,FALSE),"")</f>
      </c>
    </row>
    <row r="179" ht="16.5" customHeight="1" spans="1:23" x14ac:dyDescent="0.25">
      <c r="A179" s="93"/>
      <c r="B179" s="79">
        <f>IFERROR(VLOOKUP($A:$A,CS!$A:$AK,3,FALSE),"")</f>
      </c>
      <c r="C179" s="79">
        <f>IFERROR(VLOOKUP($A:$A,CS!$A:$AK,4,FALSE),"")</f>
      </c>
      <c r="D179" s="79">
        <f>IFERROR(VLOOKUP($A:$A,CS!$A:$AK,5,FALSE),"")</f>
      </c>
      <c r="E179" s="79">
        <f>IFERROR(VLOOKUP($A:$A,CS!$A:$AK,7,FALSE),"")</f>
      </c>
      <c r="F179" s="79">
        <f>IFERROR(VLOOKUP($A:$A,CS!$A:$AK,8,FALSE),"")</f>
      </c>
      <c r="G179" s="79">
        <f>IFERROR(VLOOKUP($A:$A,CS!$A:$AK,10,FALSE),"")</f>
      </c>
      <c r="H179" s="79">
        <f>IFERROR(VLOOKUP($A:$A,CS!$A:$AK,14,FALSE),"")</f>
      </c>
      <c r="I179" s="79">
        <f>IFERROR(VLOOKUP($A:$A,CS!$A:$AK,15,FALSE),"")</f>
      </c>
      <c r="J179" s="79">
        <f>IFERROR(VLOOKUP($A:$A,CS!$A:$AK,18,FALSE),"")</f>
      </c>
      <c r="K179" s="79">
        <f>IFERROR(VLOOKUP($A:$A,CS!$A:$AK,19,FALSE),"")</f>
      </c>
      <c r="L179" s="79">
        <f>IFERROR(VLOOKUP($A:$A,CS!$A:$AK,20,FALSE),"")</f>
      </c>
      <c r="M179" s="79">
        <f>IFERROR(VLOOKUP($A:$A,CS!$A:$AK,22,FALSE),"")</f>
      </c>
      <c r="N179" s="79">
        <f>IFERROR(VLOOKUP($A:$A,CS!$A:$AK,19,FALSE),"")</f>
      </c>
      <c r="O179" s="79">
        <f>IFERROR(VLOOKUP($A:$A,CS!$A:$AK,23,FALSE),"")</f>
      </c>
      <c r="P179" s="79">
        <f>IFERROR(VLOOKUP($A:$A,CS!$A:$AK,24,FALSE),"")</f>
      </c>
      <c r="Q179" s="79">
        <f>IFERROR(VLOOKUP($A:$A,CS!$A:$AK,25,FALSE),"")</f>
      </c>
      <c r="R179" s="79">
        <f>IFERROR(VLOOKUP($A:$A,CS!$A:$AK,26,FALSE),"")</f>
      </c>
      <c r="S179" s="79">
        <f>IFERROR(VLOOKUP($A:$A,CS!$A:$AK,29,FALSE),"")</f>
      </c>
      <c r="T179" s="79">
        <f>IFERROR(VLOOKUP($A:$A,CS!$A:$AK,33,FALSE),"")</f>
      </c>
      <c r="U179" s="79">
        <f>IFERROR(VLOOKUP($A:$A,CS!$A:$AK,34,FALSE),"")</f>
      </c>
      <c r="V179" s="79">
        <f>IFERROR(VLOOKUP($A:$A,CS!$A:$AK,35,FALSE),"")</f>
      </c>
      <c r="W179" s="79">
        <f>IFERROR(VLOOKUP($A:$A,CS!$A:$AK,36,FALSE),"")</f>
      </c>
    </row>
    <row r="180" ht="16.5" customHeight="1" spans="1:23" x14ac:dyDescent="0.25">
      <c r="A180" s="93"/>
      <c r="B180" s="79">
        <f>IFERROR(VLOOKUP($A:$A,CS!$A:$AK,3,FALSE),"")</f>
      </c>
      <c r="C180" s="79">
        <f>IFERROR(VLOOKUP($A:$A,CS!$A:$AK,4,FALSE),"")</f>
      </c>
      <c r="D180" s="79">
        <f>IFERROR(VLOOKUP($A:$A,CS!$A:$AK,5,FALSE),"")</f>
      </c>
      <c r="E180" s="79">
        <f>IFERROR(VLOOKUP($A:$A,CS!$A:$AK,7,FALSE),"")</f>
      </c>
      <c r="F180" s="79">
        <f>IFERROR(VLOOKUP($A:$A,CS!$A:$AK,8,FALSE),"")</f>
      </c>
      <c r="G180" s="79">
        <f>IFERROR(VLOOKUP($A:$A,CS!$A:$AK,10,FALSE),"")</f>
      </c>
      <c r="H180" s="79">
        <f>IFERROR(VLOOKUP($A:$A,CS!$A:$AK,14,FALSE),"")</f>
      </c>
      <c r="I180" s="79">
        <f>IFERROR(VLOOKUP($A:$A,CS!$A:$AK,15,FALSE),"")</f>
      </c>
      <c r="J180" s="79">
        <f>IFERROR(VLOOKUP($A:$A,CS!$A:$AK,18,FALSE),"")</f>
      </c>
      <c r="K180" s="79">
        <f>IFERROR(VLOOKUP($A:$A,CS!$A:$AK,19,FALSE),"")</f>
      </c>
      <c r="L180" s="79">
        <f>IFERROR(VLOOKUP($A:$A,CS!$A:$AK,20,FALSE),"")</f>
      </c>
      <c r="M180" s="79">
        <f>IFERROR(VLOOKUP($A:$A,CS!$A:$AK,22,FALSE),"")</f>
      </c>
      <c r="N180" s="79">
        <f>IFERROR(VLOOKUP($A:$A,CS!$A:$AK,19,FALSE),"")</f>
      </c>
      <c r="O180" s="79">
        <f>IFERROR(VLOOKUP($A:$A,CS!$A:$AK,23,FALSE),"")</f>
      </c>
      <c r="P180" s="79">
        <f>IFERROR(VLOOKUP($A:$A,CS!$A:$AK,24,FALSE),"")</f>
      </c>
      <c r="Q180" s="79">
        <f>IFERROR(VLOOKUP($A:$A,CS!$A:$AK,25,FALSE),"")</f>
      </c>
      <c r="R180" s="79">
        <f>IFERROR(VLOOKUP($A:$A,CS!$A:$AK,26,FALSE),"")</f>
      </c>
      <c r="S180" s="79">
        <f>IFERROR(VLOOKUP($A:$A,CS!$A:$AK,29,FALSE),"")</f>
      </c>
      <c r="T180" s="79">
        <f>IFERROR(VLOOKUP($A:$A,CS!$A:$AK,33,FALSE),"")</f>
      </c>
      <c r="U180" s="79">
        <f>IFERROR(VLOOKUP($A:$A,CS!$A:$AK,34,FALSE),"")</f>
      </c>
      <c r="V180" s="79">
        <f>IFERROR(VLOOKUP($A:$A,CS!$A:$AK,35,FALSE),"")</f>
      </c>
      <c r="W180" s="79">
        <f>IFERROR(VLOOKUP($A:$A,CS!$A:$AK,36,FALSE),"")</f>
      </c>
    </row>
    <row r="181" ht="16.5" customHeight="1" spans="1:23" x14ac:dyDescent="0.25">
      <c r="A181" s="93"/>
      <c r="B181" s="79">
        <f>IFERROR(VLOOKUP($A:$A,CS!$A:$AK,3,FALSE),"")</f>
      </c>
      <c r="C181" s="79">
        <f>IFERROR(VLOOKUP($A:$A,CS!$A:$AK,4,FALSE),"")</f>
      </c>
      <c r="D181" s="79">
        <f>IFERROR(VLOOKUP($A:$A,CS!$A:$AK,5,FALSE),"")</f>
      </c>
      <c r="E181" s="79">
        <f>IFERROR(VLOOKUP($A:$A,CS!$A:$AK,7,FALSE),"")</f>
      </c>
      <c r="F181" s="79">
        <f>IFERROR(VLOOKUP($A:$A,CS!$A:$AK,8,FALSE),"")</f>
      </c>
      <c r="G181" s="79">
        <f>IFERROR(VLOOKUP($A:$A,CS!$A:$AK,10,FALSE),"")</f>
      </c>
      <c r="H181" s="79">
        <f>IFERROR(VLOOKUP($A:$A,CS!$A:$AK,14,FALSE),"")</f>
      </c>
      <c r="I181" s="79">
        <f>IFERROR(VLOOKUP($A:$A,CS!$A:$AK,15,FALSE),"")</f>
      </c>
      <c r="J181" s="79">
        <f>IFERROR(VLOOKUP($A:$A,CS!$A:$AK,18,FALSE),"")</f>
      </c>
      <c r="K181" s="79">
        <f>IFERROR(VLOOKUP($A:$A,CS!$A:$AK,19,FALSE),"")</f>
      </c>
      <c r="L181" s="79">
        <f>IFERROR(VLOOKUP($A:$A,CS!$A:$AK,20,FALSE),"")</f>
      </c>
      <c r="M181" s="79">
        <f>IFERROR(VLOOKUP($A:$A,CS!$A:$AK,22,FALSE),"")</f>
      </c>
      <c r="N181" s="79">
        <f>IFERROR(VLOOKUP($A:$A,CS!$A:$AK,19,FALSE),"")</f>
      </c>
      <c r="O181" s="79">
        <f>IFERROR(VLOOKUP($A:$A,CS!$A:$AK,23,FALSE),"")</f>
      </c>
      <c r="P181" s="79">
        <f>IFERROR(VLOOKUP($A:$A,CS!$A:$AK,24,FALSE),"")</f>
      </c>
      <c r="Q181" s="79">
        <f>IFERROR(VLOOKUP($A:$A,CS!$A:$AK,25,FALSE),"")</f>
      </c>
      <c r="R181" s="79">
        <f>IFERROR(VLOOKUP($A:$A,CS!$A:$AK,26,FALSE),"")</f>
      </c>
      <c r="S181" s="79">
        <f>IFERROR(VLOOKUP($A:$A,CS!$A:$AK,29,FALSE),"")</f>
      </c>
      <c r="T181" s="79">
        <f>IFERROR(VLOOKUP($A:$A,CS!$A:$AK,33,FALSE),"")</f>
      </c>
      <c r="U181" s="79">
        <f>IFERROR(VLOOKUP($A:$A,CS!$A:$AK,34,FALSE),"")</f>
      </c>
      <c r="V181" s="79">
        <f>IFERROR(VLOOKUP($A:$A,CS!$A:$AK,35,FALSE),"")</f>
      </c>
      <c r="W181" s="79">
        <f>IFERROR(VLOOKUP($A:$A,CS!$A:$AK,36,FALSE),"")</f>
      </c>
    </row>
    <row r="182" ht="16.5" customHeight="1" spans="1:23" x14ac:dyDescent="0.25">
      <c r="A182" s="93"/>
      <c r="B182" s="79">
        <f>IFERROR(VLOOKUP($A:$A,CS!$A:$AK,3,FALSE),"")</f>
      </c>
      <c r="C182" s="79">
        <f>IFERROR(VLOOKUP($A:$A,CS!$A:$AK,4,FALSE),"")</f>
      </c>
      <c r="D182" s="79">
        <f>IFERROR(VLOOKUP($A:$A,CS!$A:$AK,5,FALSE),"")</f>
      </c>
      <c r="E182" s="79">
        <f>IFERROR(VLOOKUP($A:$A,CS!$A:$AK,7,FALSE),"")</f>
      </c>
      <c r="F182" s="79">
        <f>IFERROR(VLOOKUP($A:$A,CS!$A:$AK,8,FALSE),"")</f>
      </c>
      <c r="G182" s="79">
        <f>IFERROR(VLOOKUP($A:$A,CS!$A:$AK,10,FALSE),"")</f>
      </c>
      <c r="H182" s="79">
        <f>IFERROR(VLOOKUP($A:$A,CS!$A:$AK,14,FALSE),"")</f>
      </c>
      <c r="I182" s="79">
        <f>IFERROR(VLOOKUP($A:$A,CS!$A:$AK,15,FALSE),"")</f>
      </c>
      <c r="J182" s="79">
        <f>IFERROR(VLOOKUP($A:$A,CS!$A:$AK,18,FALSE),"")</f>
      </c>
      <c r="K182" s="79">
        <f>IFERROR(VLOOKUP($A:$A,CS!$A:$AK,19,FALSE),"")</f>
      </c>
      <c r="L182" s="79">
        <f>IFERROR(VLOOKUP($A:$A,CS!$A:$AK,20,FALSE),"")</f>
      </c>
      <c r="M182" s="79">
        <f>IFERROR(VLOOKUP($A:$A,CS!$A:$AK,22,FALSE),"")</f>
      </c>
      <c r="N182" s="79">
        <f>IFERROR(VLOOKUP($A:$A,CS!$A:$AK,19,FALSE),"")</f>
      </c>
      <c r="O182" s="79">
        <f>IFERROR(VLOOKUP($A:$A,CS!$A:$AK,23,FALSE),"")</f>
      </c>
      <c r="P182" s="79">
        <f>IFERROR(VLOOKUP($A:$A,CS!$A:$AK,24,FALSE),"")</f>
      </c>
      <c r="Q182" s="79">
        <f>IFERROR(VLOOKUP($A:$A,CS!$A:$AK,25,FALSE),"")</f>
      </c>
      <c r="R182" s="79">
        <f>IFERROR(VLOOKUP($A:$A,CS!$A:$AK,26,FALSE),"")</f>
      </c>
      <c r="S182" s="79">
        <f>IFERROR(VLOOKUP($A:$A,CS!$A:$AK,29,FALSE),"")</f>
      </c>
      <c r="T182" s="79">
        <f>IFERROR(VLOOKUP($A:$A,CS!$A:$AK,33,FALSE),"")</f>
      </c>
      <c r="U182" s="79">
        <f>IFERROR(VLOOKUP($A:$A,CS!$A:$AK,34,FALSE),"")</f>
      </c>
      <c r="V182" s="79">
        <f>IFERROR(VLOOKUP($A:$A,CS!$A:$AK,35,FALSE),"")</f>
      </c>
      <c r="W182" s="79">
        <f>IFERROR(VLOOKUP($A:$A,CS!$A:$AK,36,FALSE),"")</f>
      </c>
    </row>
    <row r="183" ht="16.5" customHeight="1" spans="1:23" x14ac:dyDescent="0.25">
      <c r="A183" s="93"/>
      <c r="B183" s="79">
        <f>IFERROR(VLOOKUP($A:$A,CS!$A:$AK,3,FALSE),"")</f>
      </c>
      <c r="C183" s="79">
        <f>IFERROR(VLOOKUP($A:$A,CS!$A:$AK,4,FALSE),"")</f>
      </c>
      <c r="D183" s="79">
        <f>IFERROR(VLOOKUP($A:$A,CS!$A:$AK,5,FALSE),"")</f>
      </c>
      <c r="E183" s="79">
        <f>IFERROR(VLOOKUP($A:$A,CS!$A:$AK,7,FALSE),"")</f>
      </c>
      <c r="F183" s="79">
        <f>IFERROR(VLOOKUP($A:$A,CS!$A:$AK,8,FALSE),"")</f>
      </c>
      <c r="G183" s="79">
        <f>IFERROR(VLOOKUP($A:$A,CS!$A:$AK,10,FALSE),"")</f>
      </c>
      <c r="H183" s="79">
        <f>IFERROR(VLOOKUP($A:$A,CS!$A:$AK,14,FALSE),"")</f>
      </c>
      <c r="I183" s="79">
        <f>IFERROR(VLOOKUP($A:$A,CS!$A:$AK,15,FALSE),"")</f>
      </c>
      <c r="J183" s="79">
        <f>IFERROR(VLOOKUP($A:$A,CS!$A:$AK,18,FALSE),"")</f>
      </c>
      <c r="K183" s="79">
        <f>IFERROR(VLOOKUP($A:$A,CS!$A:$AK,19,FALSE),"")</f>
      </c>
      <c r="L183" s="79">
        <f>IFERROR(VLOOKUP($A:$A,CS!$A:$AK,20,FALSE),"")</f>
      </c>
      <c r="M183" s="79">
        <f>IFERROR(VLOOKUP($A:$A,CS!$A:$AK,22,FALSE),"")</f>
      </c>
      <c r="N183" s="79">
        <f>IFERROR(VLOOKUP($A:$A,CS!$A:$AK,19,FALSE),"")</f>
      </c>
      <c r="O183" s="79">
        <f>IFERROR(VLOOKUP($A:$A,CS!$A:$AK,23,FALSE),"")</f>
      </c>
      <c r="P183" s="79">
        <f>IFERROR(VLOOKUP($A:$A,CS!$A:$AK,24,FALSE),"")</f>
      </c>
      <c r="Q183" s="79">
        <f>IFERROR(VLOOKUP($A:$A,CS!$A:$AK,25,FALSE),"")</f>
      </c>
      <c r="R183" s="79">
        <f>IFERROR(VLOOKUP($A:$A,CS!$A:$AK,26,FALSE),"")</f>
      </c>
      <c r="S183" s="79">
        <f>IFERROR(VLOOKUP($A:$A,CS!$A:$AK,29,FALSE),"")</f>
      </c>
      <c r="T183" s="79">
        <f>IFERROR(VLOOKUP($A:$A,CS!$A:$AK,33,FALSE),"")</f>
      </c>
      <c r="U183" s="79">
        <f>IFERROR(VLOOKUP($A:$A,CS!$A:$AK,34,FALSE),"")</f>
      </c>
      <c r="V183" s="79">
        <f>IFERROR(VLOOKUP($A:$A,CS!$A:$AK,35,FALSE),"")</f>
      </c>
      <c r="W183" s="79">
        <f>IFERROR(VLOOKUP($A:$A,CS!$A:$AK,36,FALSE),"")</f>
      </c>
    </row>
    <row r="184" ht="16.5" customHeight="1" spans="1:23" x14ac:dyDescent="0.25">
      <c r="A184" s="93"/>
      <c r="B184" s="79">
        <f>IFERROR(VLOOKUP($A:$A,CS!$A:$AK,3,FALSE),"")</f>
      </c>
      <c r="C184" s="79">
        <f>IFERROR(VLOOKUP($A:$A,CS!$A:$AK,4,FALSE),"")</f>
      </c>
      <c r="D184" s="79">
        <f>IFERROR(VLOOKUP($A:$A,CS!$A:$AK,5,FALSE),"")</f>
      </c>
      <c r="E184" s="79">
        <f>IFERROR(VLOOKUP($A:$A,CS!$A:$AK,7,FALSE),"")</f>
      </c>
      <c r="F184" s="79">
        <f>IFERROR(VLOOKUP($A:$A,CS!$A:$AK,8,FALSE),"")</f>
      </c>
      <c r="G184" s="79">
        <f>IFERROR(VLOOKUP($A:$A,CS!$A:$AK,10,FALSE),"")</f>
      </c>
      <c r="H184" s="79">
        <f>IFERROR(VLOOKUP($A:$A,CS!$A:$AK,14,FALSE),"")</f>
      </c>
      <c r="I184" s="79">
        <f>IFERROR(VLOOKUP($A:$A,CS!$A:$AK,15,FALSE),"")</f>
      </c>
      <c r="J184" s="79">
        <f>IFERROR(VLOOKUP($A:$A,CS!$A:$AK,18,FALSE),"")</f>
      </c>
      <c r="K184" s="79">
        <f>IFERROR(VLOOKUP($A:$A,CS!$A:$AK,19,FALSE),"")</f>
      </c>
      <c r="L184" s="79">
        <f>IFERROR(VLOOKUP($A:$A,CS!$A:$AK,20,FALSE),"")</f>
      </c>
      <c r="M184" s="79">
        <f>IFERROR(VLOOKUP($A:$A,CS!$A:$AK,22,FALSE),"")</f>
      </c>
      <c r="N184" s="79">
        <f>IFERROR(VLOOKUP($A:$A,CS!$A:$AK,19,FALSE),"")</f>
      </c>
      <c r="O184" s="79">
        <f>IFERROR(VLOOKUP($A:$A,CS!$A:$AK,23,FALSE),"")</f>
      </c>
      <c r="P184" s="79">
        <f>IFERROR(VLOOKUP($A:$A,CS!$A:$AK,24,FALSE),"")</f>
      </c>
      <c r="Q184" s="79">
        <f>IFERROR(VLOOKUP($A:$A,CS!$A:$AK,25,FALSE),"")</f>
      </c>
      <c r="R184" s="79">
        <f>IFERROR(VLOOKUP($A:$A,CS!$A:$AK,26,FALSE),"")</f>
      </c>
      <c r="S184" s="79">
        <f>IFERROR(VLOOKUP($A:$A,CS!$A:$AK,29,FALSE),"")</f>
      </c>
      <c r="T184" s="79">
        <f>IFERROR(VLOOKUP($A:$A,CS!$A:$AK,33,FALSE),"")</f>
      </c>
      <c r="U184" s="79">
        <f>IFERROR(VLOOKUP($A:$A,CS!$A:$AK,34,FALSE),"")</f>
      </c>
      <c r="V184" s="79">
        <f>IFERROR(VLOOKUP($A:$A,CS!$A:$AK,35,FALSE),"")</f>
      </c>
      <c r="W184" s="79">
        <f>IFERROR(VLOOKUP($A:$A,CS!$A:$AK,36,FALSE),"")</f>
      </c>
    </row>
    <row r="185" ht="16.5" customHeight="1" spans="1:23" x14ac:dyDescent="0.25">
      <c r="A185" s="93"/>
      <c r="B185" s="79">
        <f>IFERROR(VLOOKUP($A:$A,CS!$A:$AK,3,FALSE),"")</f>
      </c>
      <c r="C185" s="79">
        <f>IFERROR(VLOOKUP($A:$A,CS!$A:$AK,4,FALSE),"")</f>
      </c>
      <c r="D185" s="79">
        <f>IFERROR(VLOOKUP($A:$A,CS!$A:$AK,5,FALSE),"")</f>
      </c>
      <c r="E185" s="79">
        <f>IFERROR(VLOOKUP($A:$A,CS!$A:$AK,7,FALSE),"")</f>
      </c>
      <c r="F185" s="79">
        <f>IFERROR(VLOOKUP($A:$A,CS!$A:$AK,8,FALSE),"")</f>
      </c>
      <c r="G185" s="79">
        <f>IFERROR(VLOOKUP($A:$A,CS!$A:$AK,10,FALSE),"")</f>
      </c>
      <c r="H185" s="79">
        <f>IFERROR(VLOOKUP($A:$A,CS!$A:$AK,14,FALSE),"")</f>
      </c>
      <c r="I185" s="79">
        <f>IFERROR(VLOOKUP($A:$A,CS!$A:$AK,15,FALSE),"")</f>
      </c>
      <c r="J185" s="79">
        <f>IFERROR(VLOOKUP($A:$A,CS!$A:$AK,18,FALSE),"")</f>
      </c>
      <c r="K185" s="79">
        <f>IFERROR(VLOOKUP($A:$A,CS!$A:$AK,19,FALSE),"")</f>
      </c>
      <c r="L185" s="79">
        <f>IFERROR(VLOOKUP($A:$A,CS!$A:$AK,20,FALSE),"")</f>
      </c>
      <c r="M185" s="79">
        <f>IFERROR(VLOOKUP($A:$A,CS!$A:$AK,22,FALSE),"")</f>
      </c>
      <c r="N185" s="79">
        <f>IFERROR(VLOOKUP($A:$A,CS!$A:$AK,19,FALSE),"")</f>
      </c>
      <c r="O185" s="79">
        <f>IFERROR(VLOOKUP($A:$A,CS!$A:$AK,23,FALSE),"")</f>
      </c>
      <c r="P185" s="79">
        <f>IFERROR(VLOOKUP($A:$A,CS!$A:$AK,24,FALSE),"")</f>
      </c>
      <c r="Q185" s="79">
        <f>IFERROR(VLOOKUP($A:$A,CS!$A:$AK,25,FALSE),"")</f>
      </c>
      <c r="R185" s="79">
        <f>IFERROR(VLOOKUP($A:$A,CS!$A:$AK,26,FALSE),"")</f>
      </c>
      <c r="S185" s="79">
        <f>IFERROR(VLOOKUP($A:$A,CS!$A:$AK,29,FALSE),"")</f>
      </c>
      <c r="T185" s="79">
        <f>IFERROR(VLOOKUP($A:$A,CS!$A:$AK,33,FALSE),"")</f>
      </c>
      <c r="U185" s="79">
        <f>IFERROR(VLOOKUP($A:$A,CS!$A:$AK,34,FALSE),"")</f>
      </c>
      <c r="V185" s="79">
        <f>IFERROR(VLOOKUP($A:$A,CS!$A:$AK,35,FALSE),"")</f>
      </c>
      <c r="W185" s="79">
        <f>IFERROR(VLOOKUP($A:$A,CS!$A:$AK,36,FALSE),"")</f>
      </c>
    </row>
    <row r="186" ht="16.5" customHeight="1" spans="1:23" x14ac:dyDescent="0.25">
      <c r="A186" s="93"/>
      <c r="B186" s="79">
        <f>IFERROR(VLOOKUP($A:$A,CS!$A:$AK,3,FALSE),"")</f>
      </c>
      <c r="C186" s="79">
        <f>IFERROR(VLOOKUP($A:$A,CS!$A:$AK,4,FALSE),"")</f>
      </c>
      <c r="D186" s="79">
        <f>IFERROR(VLOOKUP($A:$A,CS!$A:$AK,5,FALSE),"")</f>
      </c>
      <c r="E186" s="79">
        <f>IFERROR(VLOOKUP($A:$A,CS!$A:$AK,7,FALSE),"")</f>
      </c>
      <c r="F186" s="79">
        <f>IFERROR(VLOOKUP($A:$A,CS!$A:$AK,8,FALSE),"")</f>
      </c>
      <c r="G186" s="79">
        <f>IFERROR(VLOOKUP($A:$A,CS!$A:$AK,10,FALSE),"")</f>
      </c>
      <c r="H186" s="79">
        <f>IFERROR(VLOOKUP($A:$A,CS!$A:$AK,14,FALSE),"")</f>
      </c>
      <c r="I186" s="79">
        <f>IFERROR(VLOOKUP($A:$A,CS!$A:$AK,15,FALSE),"")</f>
      </c>
      <c r="J186" s="79">
        <f>IFERROR(VLOOKUP($A:$A,CS!$A:$AK,18,FALSE),"")</f>
      </c>
      <c r="K186" s="79">
        <f>IFERROR(VLOOKUP($A:$A,CS!$A:$AK,19,FALSE),"")</f>
      </c>
      <c r="L186" s="79">
        <f>IFERROR(VLOOKUP($A:$A,CS!$A:$AK,20,FALSE),"")</f>
      </c>
      <c r="M186" s="79">
        <f>IFERROR(VLOOKUP($A:$A,CS!$A:$AK,22,FALSE),"")</f>
      </c>
      <c r="N186" s="79">
        <f>IFERROR(VLOOKUP($A:$A,CS!$A:$AK,19,FALSE),"")</f>
      </c>
      <c r="O186" s="79">
        <f>IFERROR(VLOOKUP($A:$A,CS!$A:$AK,23,FALSE),"")</f>
      </c>
      <c r="P186" s="79">
        <f>IFERROR(VLOOKUP($A:$A,CS!$A:$AK,24,FALSE),"")</f>
      </c>
      <c r="Q186" s="79">
        <f>IFERROR(VLOOKUP($A:$A,CS!$A:$AK,25,FALSE),"")</f>
      </c>
      <c r="R186" s="79">
        <f>IFERROR(VLOOKUP($A:$A,CS!$A:$AK,26,FALSE),"")</f>
      </c>
      <c r="S186" s="79">
        <f>IFERROR(VLOOKUP($A:$A,CS!$A:$AK,29,FALSE),"")</f>
      </c>
      <c r="T186" s="79">
        <f>IFERROR(VLOOKUP($A:$A,CS!$A:$AK,33,FALSE),"")</f>
      </c>
      <c r="U186" s="79">
        <f>IFERROR(VLOOKUP($A:$A,CS!$A:$AK,34,FALSE),"")</f>
      </c>
      <c r="V186" s="79">
        <f>IFERROR(VLOOKUP($A:$A,CS!$A:$AK,35,FALSE),"")</f>
      </c>
      <c r="W186" s="79">
        <f>IFERROR(VLOOKUP($A:$A,CS!$A:$AK,36,FALSE),"")</f>
      </c>
    </row>
    <row r="187" ht="16.5" customHeight="1" spans="1:23" x14ac:dyDescent="0.25">
      <c r="A187" s="93"/>
      <c r="B187" s="79">
        <f>IFERROR(VLOOKUP($A:$A,CS!$A:$AK,3,FALSE),"")</f>
      </c>
      <c r="C187" s="79">
        <f>IFERROR(VLOOKUP($A:$A,CS!$A:$AK,4,FALSE),"")</f>
      </c>
      <c r="D187" s="79">
        <f>IFERROR(VLOOKUP($A:$A,CS!$A:$AK,5,FALSE),"")</f>
      </c>
      <c r="E187" s="79">
        <f>IFERROR(VLOOKUP($A:$A,CS!$A:$AK,7,FALSE),"")</f>
      </c>
      <c r="F187" s="79">
        <f>IFERROR(VLOOKUP($A:$A,CS!$A:$AK,8,FALSE),"")</f>
      </c>
      <c r="G187" s="79">
        <f>IFERROR(VLOOKUP($A:$A,CS!$A:$AK,10,FALSE),"")</f>
      </c>
      <c r="H187" s="79">
        <f>IFERROR(VLOOKUP($A:$A,CS!$A:$AK,14,FALSE),"")</f>
      </c>
      <c r="I187" s="79">
        <f>IFERROR(VLOOKUP($A:$A,CS!$A:$AK,15,FALSE),"")</f>
      </c>
      <c r="J187" s="79">
        <f>IFERROR(VLOOKUP($A:$A,CS!$A:$AK,18,FALSE),"")</f>
      </c>
      <c r="K187" s="79">
        <f>IFERROR(VLOOKUP($A:$A,CS!$A:$AK,19,FALSE),"")</f>
      </c>
      <c r="L187" s="79">
        <f>IFERROR(VLOOKUP($A:$A,CS!$A:$AK,20,FALSE),"")</f>
      </c>
      <c r="M187" s="79">
        <f>IFERROR(VLOOKUP($A:$A,CS!$A:$AK,22,FALSE),"")</f>
      </c>
      <c r="N187" s="79">
        <f>IFERROR(VLOOKUP($A:$A,CS!$A:$AK,19,FALSE),"")</f>
      </c>
      <c r="O187" s="79">
        <f>IFERROR(VLOOKUP($A:$A,CS!$A:$AK,23,FALSE),"")</f>
      </c>
      <c r="P187" s="79">
        <f>IFERROR(VLOOKUP($A:$A,CS!$A:$AK,24,FALSE),"")</f>
      </c>
      <c r="Q187" s="79">
        <f>IFERROR(VLOOKUP($A:$A,CS!$A:$AK,25,FALSE),"")</f>
      </c>
      <c r="R187" s="79">
        <f>IFERROR(VLOOKUP($A:$A,CS!$A:$AK,26,FALSE),"")</f>
      </c>
      <c r="S187" s="79">
        <f>IFERROR(VLOOKUP($A:$A,CS!$A:$AK,29,FALSE),"")</f>
      </c>
      <c r="T187" s="79">
        <f>IFERROR(VLOOKUP($A:$A,CS!$A:$AK,33,FALSE),"")</f>
      </c>
      <c r="U187" s="79">
        <f>IFERROR(VLOOKUP($A:$A,CS!$A:$AK,34,FALSE),"")</f>
      </c>
      <c r="V187" s="79">
        <f>IFERROR(VLOOKUP($A:$A,CS!$A:$AK,35,FALSE),"")</f>
      </c>
      <c r="W187" s="79">
        <f>IFERROR(VLOOKUP($A:$A,CS!$A:$AK,36,FALSE),"")</f>
      </c>
    </row>
    <row r="188" ht="16.5" customHeight="1" spans="1:23" x14ac:dyDescent="0.25">
      <c r="A188" s="93"/>
      <c r="B188" s="79">
        <f>IFERROR(VLOOKUP($A:$A,CS!$A:$AK,3,FALSE),"")</f>
      </c>
      <c r="C188" s="79">
        <f>IFERROR(VLOOKUP($A:$A,CS!$A:$AK,4,FALSE),"")</f>
      </c>
      <c r="D188" s="79">
        <f>IFERROR(VLOOKUP($A:$A,CS!$A:$AK,5,FALSE),"")</f>
      </c>
      <c r="E188" s="79">
        <f>IFERROR(VLOOKUP($A:$A,CS!$A:$AK,7,FALSE),"")</f>
      </c>
      <c r="F188" s="79">
        <f>IFERROR(VLOOKUP($A:$A,CS!$A:$AK,8,FALSE),"")</f>
      </c>
      <c r="G188" s="79">
        <f>IFERROR(VLOOKUP($A:$A,CS!$A:$AK,10,FALSE),"")</f>
      </c>
      <c r="H188" s="79">
        <f>IFERROR(VLOOKUP($A:$A,CS!$A:$AK,14,FALSE),"")</f>
      </c>
      <c r="I188" s="79">
        <f>IFERROR(VLOOKUP($A:$A,CS!$A:$AK,15,FALSE),"")</f>
      </c>
      <c r="J188" s="79">
        <f>IFERROR(VLOOKUP($A:$A,CS!$A:$AK,18,FALSE),"")</f>
      </c>
      <c r="K188" s="79">
        <f>IFERROR(VLOOKUP($A:$A,CS!$A:$AK,19,FALSE),"")</f>
      </c>
      <c r="L188" s="79">
        <f>IFERROR(VLOOKUP($A:$A,CS!$A:$AK,20,FALSE),"")</f>
      </c>
      <c r="M188" s="79">
        <f>IFERROR(VLOOKUP($A:$A,CS!$A:$AK,22,FALSE),"")</f>
      </c>
      <c r="N188" s="79">
        <f>IFERROR(VLOOKUP($A:$A,CS!$A:$AK,19,FALSE),"")</f>
      </c>
      <c r="O188" s="79">
        <f>IFERROR(VLOOKUP($A:$A,CS!$A:$AK,23,FALSE),"")</f>
      </c>
      <c r="P188" s="79">
        <f>IFERROR(VLOOKUP($A:$A,CS!$A:$AK,24,FALSE),"")</f>
      </c>
      <c r="Q188" s="79">
        <f>IFERROR(VLOOKUP($A:$A,CS!$A:$AK,25,FALSE),"")</f>
      </c>
      <c r="R188" s="79">
        <f>IFERROR(VLOOKUP($A:$A,CS!$A:$AK,26,FALSE),"")</f>
      </c>
      <c r="S188" s="79">
        <f>IFERROR(VLOOKUP($A:$A,CS!$A:$AK,29,FALSE),"")</f>
      </c>
      <c r="T188" s="79">
        <f>IFERROR(VLOOKUP($A:$A,CS!$A:$AK,33,FALSE),"")</f>
      </c>
      <c r="U188" s="79">
        <f>IFERROR(VLOOKUP($A:$A,CS!$A:$AK,34,FALSE),"")</f>
      </c>
      <c r="V188" s="79">
        <f>IFERROR(VLOOKUP($A:$A,CS!$A:$AK,35,FALSE),"")</f>
      </c>
      <c r="W188" s="79">
        <f>IFERROR(VLOOKUP($A:$A,CS!$A:$AK,36,FALSE),"")</f>
      </c>
    </row>
    <row r="189" ht="16.5" customHeight="1" spans="1:23" x14ac:dyDescent="0.25">
      <c r="A189" s="93"/>
      <c r="B189" s="79">
        <f>IFERROR(VLOOKUP($A:$A,CS!$A:$AK,3,FALSE),"")</f>
      </c>
      <c r="C189" s="79">
        <f>IFERROR(VLOOKUP($A:$A,CS!$A:$AK,4,FALSE),"")</f>
      </c>
      <c r="D189" s="79">
        <f>IFERROR(VLOOKUP($A:$A,CS!$A:$AK,5,FALSE),"")</f>
      </c>
      <c r="E189" s="79">
        <f>IFERROR(VLOOKUP($A:$A,CS!$A:$AK,7,FALSE),"")</f>
      </c>
      <c r="F189" s="79">
        <f>IFERROR(VLOOKUP($A:$A,CS!$A:$AK,8,FALSE),"")</f>
      </c>
      <c r="G189" s="79">
        <f>IFERROR(VLOOKUP($A:$A,CS!$A:$AK,10,FALSE),"")</f>
      </c>
      <c r="H189" s="79">
        <f>IFERROR(VLOOKUP($A:$A,CS!$A:$AK,14,FALSE),"")</f>
      </c>
      <c r="I189" s="79">
        <f>IFERROR(VLOOKUP($A:$A,CS!$A:$AK,15,FALSE),"")</f>
      </c>
      <c r="J189" s="79">
        <f>IFERROR(VLOOKUP($A:$A,CS!$A:$AK,18,FALSE),"")</f>
      </c>
      <c r="K189" s="79">
        <f>IFERROR(VLOOKUP($A:$A,CS!$A:$AK,19,FALSE),"")</f>
      </c>
      <c r="L189" s="79">
        <f>IFERROR(VLOOKUP($A:$A,CS!$A:$AK,20,FALSE),"")</f>
      </c>
      <c r="M189" s="79">
        <f>IFERROR(VLOOKUP($A:$A,CS!$A:$AK,22,FALSE),"")</f>
      </c>
      <c r="N189" s="79">
        <f>IFERROR(VLOOKUP($A:$A,CS!$A:$AK,19,FALSE),"")</f>
      </c>
      <c r="O189" s="79">
        <f>IFERROR(VLOOKUP($A:$A,CS!$A:$AK,23,FALSE),"")</f>
      </c>
      <c r="P189" s="79">
        <f>IFERROR(VLOOKUP($A:$A,CS!$A:$AK,24,FALSE),"")</f>
      </c>
      <c r="Q189" s="79">
        <f>IFERROR(VLOOKUP($A:$A,CS!$A:$AK,25,FALSE),"")</f>
      </c>
      <c r="R189" s="79">
        <f>IFERROR(VLOOKUP($A:$A,CS!$A:$AK,26,FALSE),"")</f>
      </c>
      <c r="S189" s="79">
        <f>IFERROR(VLOOKUP($A:$A,CS!$A:$AK,29,FALSE),"")</f>
      </c>
      <c r="T189" s="79">
        <f>IFERROR(VLOOKUP($A:$A,CS!$A:$AK,33,FALSE),"")</f>
      </c>
      <c r="U189" s="79">
        <f>IFERROR(VLOOKUP($A:$A,CS!$A:$AK,34,FALSE),"")</f>
      </c>
      <c r="V189" s="79">
        <f>IFERROR(VLOOKUP($A:$A,CS!$A:$AK,35,FALSE),"")</f>
      </c>
      <c r="W189" s="79">
        <f>IFERROR(VLOOKUP($A:$A,CS!$A:$AK,36,FALSE),"")</f>
      </c>
    </row>
    <row r="190" ht="16.5" customHeight="1" spans="1:23" x14ac:dyDescent="0.25">
      <c r="A190" s="93"/>
      <c r="B190" s="79">
        <f>IFERROR(VLOOKUP($A:$A,CS!$A:$AK,3,FALSE),"")</f>
      </c>
      <c r="C190" s="79">
        <f>IFERROR(VLOOKUP($A:$A,CS!$A:$AK,4,FALSE),"")</f>
      </c>
      <c r="D190" s="79">
        <f>IFERROR(VLOOKUP($A:$A,CS!$A:$AK,5,FALSE),"")</f>
      </c>
      <c r="E190" s="79">
        <f>IFERROR(VLOOKUP($A:$A,CS!$A:$AK,7,FALSE),"")</f>
      </c>
      <c r="F190" s="79">
        <f>IFERROR(VLOOKUP($A:$A,CS!$A:$AK,8,FALSE),"")</f>
      </c>
      <c r="G190" s="79">
        <f>IFERROR(VLOOKUP($A:$A,CS!$A:$AK,10,FALSE),"")</f>
      </c>
      <c r="H190" s="79">
        <f>IFERROR(VLOOKUP($A:$A,CS!$A:$AK,14,FALSE),"")</f>
      </c>
      <c r="I190" s="79">
        <f>IFERROR(VLOOKUP($A:$A,CS!$A:$AK,15,FALSE),"")</f>
      </c>
      <c r="J190" s="79">
        <f>IFERROR(VLOOKUP($A:$A,CS!$A:$AK,18,FALSE),"")</f>
      </c>
      <c r="K190" s="79">
        <f>IFERROR(VLOOKUP($A:$A,CS!$A:$AK,19,FALSE),"")</f>
      </c>
      <c r="L190" s="79">
        <f>IFERROR(VLOOKUP($A:$A,CS!$A:$AK,20,FALSE),"")</f>
      </c>
      <c r="M190" s="79">
        <f>IFERROR(VLOOKUP($A:$A,CS!$A:$AK,22,FALSE),"")</f>
      </c>
      <c r="N190" s="79">
        <f>IFERROR(VLOOKUP($A:$A,CS!$A:$AK,19,FALSE),"")</f>
      </c>
      <c r="O190" s="79">
        <f>IFERROR(VLOOKUP($A:$A,CS!$A:$AK,23,FALSE),"")</f>
      </c>
      <c r="P190" s="79">
        <f>IFERROR(VLOOKUP($A:$A,CS!$A:$AK,24,FALSE),"")</f>
      </c>
      <c r="Q190" s="79">
        <f>IFERROR(VLOOKUP($A:$A,CS!$A:$AK,25,FALSE),"")</f>
      </c>
      <c r="R190" s="79">
        <f>IFERROR(VLOOKUP($A:$A,CS!$A:$AK,26,FALSE),"")</f>
      </c>
      <c r="S190" s="79">
        <f>IFERROR(VLOOKUP($A:$A,CS!$A:$AK,29,FALSE),"")</f>
      </c>
      <c r="T190" s="79">
        <f>IFERROR(VLOOKUP($A:$A,CS!$A:$AK,33,FALSE),"")</f>
      </c>
      <c r="U190" s="79">
        <f>IFERROR(VLOOKUP($A:$A,CS!$A:$AK,34,FALSE),"")</f>
      </c>
      <c r="V190" s="79">
        <f>IFERROR(VLOOKUP($A:$A,CS!$A:$AK,35,FALSE),"")</f>
      </c>
      <c r="W190" s="79">
        <f>IFERROR(VLOOKUP($A:$A,CS!$A:$AK,36,FALSE),"")</f>
      </c>
    </row>
    <row r="191" ht="16.5" customHeight="1" spans="1:23" x14ac:dyDescent="0.25">
      <c r="A191" s="93"/>
      <c r="B191" s="79">
        <f>IFERROR(VLOOKUP($A:$A,CS!$A:$AK,3,FALSE),"")</f>
      </c>
      <c r="C191" s="79">
        <f>IFERROR(VLOOKUP($A:$A,CS!$A:$AK,4,FALSE),"")</f>
      </c>
      <c r="D191" s="79">
        <f>IFERROR(VLOOKUP($A:$A,CS!$A:$AK,5,FALSE),"")</f>
      </c>
      <c r="E191" s="79">
        <f>IFERROR(VLOOKUP($A:$A,CS!$A:$AK,7,FALSE),"")</f>
      </c>
      <c r="F191" s="79">
        <f>IFERROR(VLOOKUP($A:$A,CS!$A:$AK,8,FALSE),"")</f>
      </c>
      <c r="G191" s="79">
        <f>IFERROR(VLOOKUP($A:$A,CS!$A:$AK,10,FALSE),"")</f>
      </c>
      <c r="H191" s="79">
        <f>IFERROR(VLOOKUP($A:$A,CS!$A:$AK,14,FALSE),"")</f>
      </c>
      <c r="I191" s="79">
        <f>IFERROR(VLOOKUP($A:$A,CS!$A:$AK,15,FALSE),"")</f>
      </c>
      <c r="J191" s="79">
        <f>IFERROR(VLOOKUP($A:$A,CS!$A:$AK,18,FALSE),"")</f>
      </c>
      <c r="K191" s="79">
        <f>IFERROR(VLOOKUP($A:$A,CS!$A:$AK,19,FALSE),"")</f>
      </c>
      <c r="L191" s="79">
        <f>IFERROR(VLOOKUP($A:$A,CS!$A:$AK,20,FALSE),"")</f>
      </c>
      <c r="M191" s="79">
        <f>IFERROR(VLOOKUP($A:$A,CS!$A:$AK,22,FALSE),"")</f>
      </c>
      <c r="N191" s="79">
        <f>IFERROR(VLOOKUP($A:$A,CS!$A:$AK,19,FALSE),"")</f>
      </c>
      <c r="O191" s="79">
        <f>IFERROR(VLOOKUP($A:$A,CS!$A:$AK,23,FALSE),"")</f>
      </c>
      <c r="P191" s="79">
        <f>IFERROR(VLOOKUP($A:$A,CS!$A:$AK,24,FALSE),"")</f>
      </c>
      <c r="Q191" s="79">
        <f>IFERROR(VLOOKUP($A:$A,CS!$A:$AK,25,FALSE),"")</f>
      </c>
      <c r="R191" s="79">
        <f>IFERROR(VLOOKUP($A:$A,CS!$A:$AK,26,FALSE),"")</f>
      </c>
      <c r="S191" s="79">
        <f>IFERROR(VLOOKUP($A:$A,CS!$A:$AK,29,FALSE),"")</f>
      </c>
      <c r="T191" s="79">
        <f>IFERROR(VLOOKUP($A:$A,CS!$A:$AK,33,FALSE),"")</f>
      </c>
      <c r="U191" s="79">
        <f>IFERROR(VLOOKUP($A:$A,CS!$A:$AK,34,FALSE),"")</f>
      </c>
      <c r="V191" s="79">
        <f>IFERROR(VLOOKUP($A:$A,CS!$A:$AK,35,FALSE),"")</f>
      </c>
      <c r="W191" s="79">
        <f>IFERROR(VLOOKUP($A:$A,CS!$A:$AK,36,FALSE),"")</f>
      </c>
    </row>
    <row r="192" ht="16.5" customHeight="1" spans="1:23" x14ac:dyDescent="0.25">
      <c r="A192" s="93"/>
      <c r="B192" s="79">
        <f>IFERROR(VLOOKUP($A:$A,CS!$A:$AK,3,FALSE),"")</f>
      </c>
      <c r="C192" s="79">
        <f>IFERROR(VLOOKUP($A:$A,CS!$A:$AK,4,FALSE),"")</f>
      </c>
      <c r="D192" s="79">
        <f>IFERROR(VLOOKUP($A:$A,CS!$A:$AK,5,FALSE),"")</f>
      </c>
      <c r="E192" s="79">
        <f>IFERROR(VLOOKUP($A:$A,CS!$A:$AK,7,FALSE),"")</f>
      </c>
      <c r="F192" s="79">
        <f>IFERROR(VLOOKUP($A:$A,CS!$A:$AK,8,FALSE),"")</f>
      </c>
      <c r="G192" s="79">
        <f>IFERROR(VLOOKUP($A:$A,CS!$A:$AK,10,FALSE),"")</f>
      </c>
      <c r="H192" s="79">
        <f>IFERROR(VLOOKUP($A:$A,CS!$A:$AK,14,FALSE),"")</f>
      </c>
      <c r="I192" s="79">
        <f>IFERROR(VLOOKUP($A:$A,CS!$A:$AK,15,FALSE),"")</f>
      </c>
      <c r="J192" s="79">
        <f>IFERROR(VLOOKUP($A:$A,CS!$A:$AK,18,FALSE),"")</f>
      </c>
      <c r="K192" s="79">
        <f>IFERROR(VLOOKUP($A:$A,CS!$A:$AK,19,FALSE),"")</f>
      </c>
      <c r="L192" s="79">
        <f>IFERROR(VLOOKUP($A:$A,CS!$A:$AK,20,FALSE),"")</f>
      </c>
      <c r="M192" s="79">
        <f>IFERROR(VLOOKUP($A:$A,CS!$A:$AK,22,FALSE),"")</f>
      </c>
      <c r="N192" s="79">
        <f>IFERROR(VLOOKUP($A:$A,CS!$A:$AK,19,FALSE),"")</f>
      </c>
      <c r="O192" s="79">
        <f>IFERROR(VLOOKUP($A:$A,CS!$A:$AK,23,FALSE),"")</f>
      </c>
      <c r="P192" s="79">
        <f>IFERROR(VLOOKUP($A:$A,CS!$A:$AK,24,FALSE),"")</f>
      </c>
      <c r="Q192" s="79">
        <f>IFERROR(VLOOKUP($A:$A,CS!$A:$AK,25,FALSE),"")</f>
      </c>
      <c r="R192" s="79">
        <f>IFERROR(VLOOKUP($A:$A,CS!$A:$AK,26,FALSE),"")</f>
      </c>
      <c r="S192" s="79">
        <f>IFERROR(VLOOKUP($A:$A,CS!$A:$AK,29,FALSE),"")</f>
      </c>
      <c r="T192" s="79">
        <f>IFERROR(VLOOKUP($A:$A,CS!$A:$AK,33,FALSE),"")</f>
      </c>
      <c r="U192" s="79">
        <f>IFERROR(VLOOKUP($A:$A,CS!$A:$AK,34,FALSE),"")</f>
      </c>
      <c r="V192" s="79">
        <f>IFERROR(VLOOKUP($A:$A,CS!$A:$AK,35,FALSE),"")</f>
      </c>
      <c r="W192" s="79">
        <f>IFERROR(VLOOKUP($A:$A,CS!$A:$AK,36,FALSE),"")</f>
      </c>
    </row>
    <row r="193" ht="16.5" customHeight="1" spans="1:23" x14ac:dyDescent="0.25">
      <c r="A193" s="93"/>
      <c r="B193" s="79">
        <f>IFERROR(VLOOKUP($A:$A,CS!$A:$AK,3,FALSE),"")</f>
      </c>
      <c r="C193" s="79">
        <f>IFERROR(VLOOKUP($A:$A,CS!$A:$AK,4,FALSE),"")</f>
      </c>
      <c r="D193" s="79">
        <f>IFERROR(VLOOKUP($A:$A,CS!$A:$AK,5,FALSE),"")</f>
      </c>
      <c r="E193" s="79">
        <f>IFERROR(VLOOKUP($A:$A,CS!$A:$AK,7,FALSE),"")</f>
      </c>
      <c r="F193" s="79">
        <f>IFERROR(VLOOKUP($A:$A,CS!$A:$AK,8,FALSE),"")</f>
      </c>
      <c r="G193" s="79">
        <f>IFERROR(VLOOKUP($A:$A,CS!$A:$AK,10,FALSE),"")</f>
      </c>
      <c r="H193" s="79">
        <f>IFERROR(VLOOKUP($A:$A,CS!$A:$AK,14,FALSE),"")</f>
      </c>
      <c r="I193" s="79">
        <f>IFERROR(VLOOKUP($A:$A,CS!$A:$AK,15,FALSE),"")</f>
      </c>
      <c r="J193" s="79">
        <f>IFERROR(VLOOKUP($A:$A,CS!$A:$AK,18,FALSE),"")</f>
      </c>
      <c r="K193" s="79">
        <f>IFERROR(VLOOKUP($A:$A,CS!$A:$AK,19,FALSE),"")</f>
      </c>
      <c r="L193" s="79">
        <f>IFERROR(VLOOKUP($A:$A,CS!$A:$AK,20,FALSE),"")</f>
      </c>
      <c r="M193" s="79">
        <f>IFERROR(VLOOKUP($A:$A,CS!$A:$AK,22,FALSE),"")</f>
      </c>
      <c r="N193" s="79">
        <f>IFERROR(VLOOKUP($A:$A,CS!$A:$AK,19,FALSE),"")</f>
      </c>
      <c r="O193" s="79">
        <f>IFERROR(VLOOKUP($A:$A,CS!$A:$AK,23,FALSE),"")</f>
      </c>
      <c r="P193" s="79">
        <f>IFERROR(VLOOKUP($A:$A,CS!$A:$AK,24,FALSE),"")</f>
      </c>
      <c r="Q193" s="79">
        <f>IFERROR(VLOOKUP($A:$A,CS!$A:$AK,25,FALSE),"")</f>
      </c>
      <c r="R193" s="79">
        <f>IFERROR(VLOOKUP($A:$A,CS!$A:$AK,26,FALSE),"")</f>
      </c>
      <c r="S193" s="79">
        <f>IFERROR(VLOOKUP($A:$A,CS!$A:$AK,29,FALSE),"")</f>
      </c>
      <c r="T193" s="79">
        <f>IFERROR(VLOOKUP($A:$A,CS!$A:$AK,33,FALSE),"")</f>
      </c>
      <c r="U193" s="79">
        <f>IFERROR(VLOOKUP($A:$A,CS!$A:$AK,34,FALSE),"")</f>
      </c>
      <c r="V193" s="79">
        <f>IFERROR(VLOOKUP($A:$A,CS!$A:$AK,35,FALSE),"")</f>
      </c>
      <c r="W193" s="79">
        <f>IFERROR(VLOOKUP($A:$A,CS!$A:$AK,36,FALSE),"")</f>
      </c>
    </row>
    <row r="194" ht="16.5" customHeight="1" spans="1:23" x14ac:dyDescent="0.25">
      <c r="A194" s="93"/>
      <c r="B194" s="79">
        <f>IFERROR(VLOOKUP($A:$A,CS!$A:$AK,3,FALSE),"")</f>
      </c>
      <c r="C194" s="79">
        <f>IFERROR(VLOOKUP($A:$A,CS!$A:$AK,4,FALSE),"")</f>
      </c>
      <c r="D194" s="79">
        <f>IFERROR(VLOOKUP($A:$A,CS!$A:$AK,5,FALSE),"")</f>
      </c>
      <c r="E194" s="79">
        <f>IFERROR(VLOOKUP($A:$A,CS!$A:$AK,7,FALSE),"")</f>
      </c>
      <c r="F194" s="79">
        <f>IFERROR(VLOOKUP($A:$A,CS!$A:$AK,8,FALSE),"")</f>
      </c>
      <c r="G194" s="79">
        <f>IFERROR(VLOOKUP($A:$A,CS!$A:$AK,10,FALSE),"")</f>
      </c>
      <c r="H194" s="79">
        <f>IFERROR(VLOOKUP($A:$A,CS!$A:$AK,14,FALSE),"")</f>
      </c>
      <c r="I194" s="79">
        <f>IFERROR(VLOOKUP($A:$A,CS!$A:$AK,15,FALSE),"")</f>
      </c>
      <c r="J194" s="79">
        <f>IFERROR(VLOOKUP($A:$A,CS!$A:$AK,18,FALSE),"")</f>
      </c>
      <c r="K194" s="79">
        <f>IFERROR(VLOOKUP($A:$A,CS!$A:$AK,19,FALSE),"")</f>
      </c>
      <c r="L194" s="79">
        <f>IFERROR(VLOOKUP($A:$A,CS!$A:$AK,20,FALSE),"")</f>
      </c>
      <c r="M194" s="79">
        <f>IFERROR(VLOOKUP($A:$A,CS!$A:$AK,22,FALSE),"")</f>
      </c>
      <c r="N194" s="79">
        <f>IFERROR(VLOOKUP($A:$A,CS!$A:$AK,19,FALSE),"")</f>
      </c>
      <c r="O194" s="79">
        <f>IFERROR(VLOOKUP($A:$A,CS!$A:$AK,23,FALSE),"")</f>
      </c>
      <c r="P194" s="79">
        <f>IFERROR(VLOOKUP($A:$A,CS!$A:$AK,24,FALSE),"")</f>
      </c>
      <c r="Q194" s="79">
        <f>IFERROR(VLOOKUP($A:$A,CS!$A:$AK,25,FALSE),"")</f>
      </c>
      <c r="R194" s="79">
        <f>IFERROR(VLOOKUP($A:$A,CS!$A:$AK,26,FALSE),"")</f>
      </c>
      <c r="S194" s="79">
        <f>IFERROR(VLOOKUP($A:$A,CS!$A:$AK,29,FALSE),"")</f>
      </c>
      <c r="T194" s="79">
        <f>IFERROR(VLOOKUP($A:$A,CS!$A:$AK,33,FALSE),"")</f>
      </c>
      <c r="U194" s="79">
        <f>IFERROR(VLOOKUP($A:$A,CS!$A:$AK,34,FALSE),"")</f>
      </c>
      <c r="V194" s="79">
        <f>IFERROR(VLOOKUP($A:$A,CS!$A:$AK,35,FALSE),"")</f>
      </c>
      <c r="W194" s="79">
        <f>IFERROR(VLOOKUP($A:$A,CS!$A:$AK,36,FALSE),"")</f>
      </c>
    </row>
    <row r="195" ht="16.5" customHeight="1" spans="1:23" x14ac:dyDescent="0.25">
      <c r="A195" s="93"/>
      <c r="B195" s="79">
        <f>IFERROR(VLOOKUP($A:$A,CS!$A:$AK,3,FALSE),"")</f>
      </c>
      <c r="C195" s="79">
        <f>IFERROR(VLOOKUP($A:$A,CS!$A:$AK,4,FALSE),"")</f>
      </c>
      <c r="D195" s="79">
        <f>IFERROR(VLOOKUP($A:$A,CS!$A:$AK,5,FALSE),"")</f>
      </c>
      <c r="E195" s="79">
        <f>IFERROR(VLOOKUP($A:$A,CS!$A:$AK,7,FALSE),"")</f>
      </c>
      <c r="F195" s="79">
        <f>IFERROR(VLOOKUP($A:$A,CS!$A:$AK,8,FALSE),"")</f>
      </c>
      <c r="G195" s="79">
        <f>IFERROR(VLOOKUP($A:$A,CS!$A:$AK,10,FALSE),"")</f>
      </c>
      <c r="H195" s="79">
        <f>IFERROR(VLOOKUP($A:$A,CS!$A:$AK,14,FALSE),"")</f>
      </c>
      <c r="I195" s="79">
        <f>IFERROR(VLOOKUP($A:$A,CS!$A:$AK,15,FALSE),"")</f>
      </c>
      <c r="J195" s="79">
        <f>IFERROR(VLOOKUP($A:$A,CS!$A:$AK,18,FALSE),"")</f>
      </c>
      <c r="K195" s="79">
        <f>IFERROR(VLOOKUP($A:$A,CS!$A:$AK,19,FALSE),"")</f>
      </c>
      <c r="L195" s="79">
        <f>IFERROR(VLOOKUP($A:$A,CS!$A:$AK,20,FALSE),"")</f>
      </c>
      <c r="M195" s="79">
        <f>IFERROR(VLOOKUP($A:$A,CS!$A:$AK,22,FALSE),"")</f>
      </c>
      <c r="N195" s="79">
        <f>IFERROR(VLOOKUP($A:$A,CS!$A:$AK,19,FALSE),"")</f>
      </c>
      <c r="O195" s="79">
        <f>IFERROR(VLOOKUP($A:$A,CS!$A:$AK,23,FALSE),"")</f>
      </c>
      <c r="P195" s="79">
        <f>IFERROR(VLOOKUP($A:$A,CS!$A:$AK,24,FALSE),"")</f>
      </c>
      <c r="Q195" s="79">
        <f>IFERROR(VLOOKUP($A:$A,CS!$A:$AK,25,FALSE),"")</f>
      </c>
      <c r="R195" s="79">
        <f>IFERROR(VLOOKUP($A:$A,CS!$A:$AK,26,FALSE),"")</f>
      </c>
      <c r="S195" s="79">
        <f>IFERROR(VLOOKUP($A:$A,CS!$A:$AK,29,FALSE),"")</f>
      </c>
      <c r="T195" s="79">
        <f>IFERROR(VLOOKUP($A:$A,CS!$A:$AK,33,FALSE),"")</f>
      </c>
      <c r="U195" s="79">
        <f>IFERROR(VLOOKUP($A:$A,CS!$A:$AK,34,FALSE),"")</f>
      </c>
      <c r="V195" s="79">
        <f>IFERROR(VLOOKUP($A:$A,CS!$A:$AK,35,FALSE),"")</f>
      </c>
      <c r="W195" s="79">
        <f>IFERROR(VLOOKUP($A:$A,CS!$A:$AK,36,FALSE),"")</f>
      </c>
    </row>
    <row r="196" ht="16.5" customHeight="1" spans="1:23" x14ac:dyDescent="0.25">
      <c r="A196" s="93"/>
      <c r="B196" s="79">
        <f>IFERROR(VLOOKUP($A:$A,CS!$A:$AK,3,FALSE),"")</f>
      </c>
      <c r="C196" s="79">
        <f>IFERROR(VLOOKUP($A:$A,CS!$A:$AK,4,FALSE),"")</f>
      </c>
      <c r="D196" s="79">
        <f>IFERROR(VLOOKUP($A:$A,CS!$A:$AK,5,FALSE),"")</f>
      </c>
      <c r="E196" s="79">
        <f>IFERROR(VLOOKUP($A:$A,CS!$A:$AK,7,FALSE),"")</f>
      </c>
      <c r="F196" s="79">
        <f>IFERROR(VLOOKUP($A:$A,CS!$A:$AK,8,FALSE),"")</f>
      </c>
      <c r="G196" s="79">
        <f>IFERROR(VLOOKUP($A:$A,CS!$A:$AK,10,FALSE),"")</f>
      </c>
      <c r="H196" s="79">
        <f>IFERROR(VLOOKUP($A:$A,CS!$A:$AK,14,FALSE),"")</f>
      </c>
      <c r="I196" s="79">
        <f>IFERROR(VLOOKUP($A:$A,CS!$A:$AK,15,FALSE),"")</f>
      </c>
      <c r="J196" s="79">
        <f>IFERROR(VLOOKUP($A:$A,CS!$A:$AK,18,FALSE),"")</f>
      </c>
      <c r="K196" s="79">
        <f>IFERROR(VLOOKUP($A:$A,CS!$A:$AK,19,FALSE),"")</f>
      </c>
      <c r="L196" s="79">
        <f>IFERROR(VLOOKUP($A:$A,CS!$A:$AK,20,FALSE),"")</f>
      </c>
      <c r="M196" s="79">
        <f>IFERROR(VLOOKUP($A:$A,CS!$A:$AK,22,FALSE),"")</f>
      </c>
      <c r="N196" s="79">
        <f>IFERROR(VLOOKUP($A:$A,CS!$A:$AK,19,FALSE),"")</f>
      </c>
      <c r="O196" s="79">
        <f>IFERROR(VLOOKUP($A:$A,CS!$A:$AK,23,FALSE),"")</f>
      </c>
      <c r="P196" s="79">
        <f>IFERROR(VLOOKUP($A:$A,CS!$A:$AK,24,FALSE),"")</f>
      </c>
      <c r="Q196" s="79">
        <f>IFERROR(VLOOKUP($A:$A,CS!$A:$AK,25,FALSE),"")</f>
      </c>
      <c r="R196" s="79">
        <f>IFERROR(VLOOKUP($A:$A,CS!$A:$AK,26,FALSE),"")</f>
      </c>
      <c r="S196" s="79">
        <f>IFERROR(VLOOKUP($A:$A,CS!$A:$AK,29,FALSE),"")</f>
      </c>
      <c r="T196" s="79">
        <f>IFERROR(VLOOKUP($A:$A,CS!$A:$AK,33,FALSE),"")</f>
      </c>
      <c r="U196" s="79">
        <f>IFERROR(VLOOKUP($A:$A,CS!$A:$AK,34,FALSE),"")</f>
      </c>
      <c r="V196" s="79">
        <f>IFERROR(VLOOKUP($A:$A,CS!$A:$AK,35,FALSE),"")</f>
      </c>
      <c r="W196" s="79">
        <f>IFERROR(VLOOKUP($A:$A,CS!$A:$AK,36,FALSE),"")</f>
      </c>
    </row>
    <row r="197" ht="16.5" customHeight="1" spans="1:23" x14ac:dyDescent="0.25">
      <c r="A197" s="93"/>
      <c r="B197" s="79">
        <f>IFERROR(VLOOKUP($A:$A,CS!$A:$AK,3,FALSE),"")</f>
      </c>
      <c r="C197" s="79">
        <f>IFERROR(VLOOKUP($A:$A,CS!$A:$AK,4,FALSE),"")</f>
      </c>
      <c r="D197" s="79">
        <f>IFERROR(VLOOKUP($A:$A,CS!$A:$AK,5,FALSE),"")</f>
      </c>
      <c r="E197" s="79">
        <f>IFERROR(VLOOKUP($A:$A,CS!$A:$AK,7,FALSE),"")</f>
      </c>
      <c r="F197" s="79">
        <f>IFERROR(VLOOKUP($A:$A,CS!$A:$AK,8,FALSE),"")</f>
      </c>
      <c r="G197" s="79">
        <f>IFERROR(VLOOKUP($A:$A,CS!$A:$AK,10,FALSE),"")</f>
      </c>
      <c r="H197" s="79">
        <f>IFERROR(VLOOKUP($A:$A,CS!$A:$AK,14,FALSE),"")</f>
      </c>
      <c r="I197" s="79">
        <f>IFERROR(VLOOKUP($A:$A,CS!$A:$AK,15,FALSE),"")</f>
      </c>
      <c r="J197" s="79">
        <f>IFERROR(VLOOKUP($A:$A,CS!$A:$AK,18,FALSE),"")</f>
      </c>
      <c r="K197" s="79">
        <f>IFERROR(VLOOKUP($A:$A,CS!$A:$AK,19,FALSE),"")</f>
      </c>
      <c r="L197" s="79">
        <f>IFERROR(VLOOKUP($A:$A,CS!$A:$AK,20,FALSE),"")</f>
      </c>
      <c r="M197" s="79">
        <f>IFERROR(VLOOKUP($A:$A,CS!$A:$AK,22,FALSE),"")</f>
      </c>
      <c r="N197" s="79">
        <f>IFERROR(VLOOKUP($A:$A,CS!$A:$AK,19,FALSE),"")</f>
      </c>
      <c r="O197" s="79">
        <f>IFERROR(VLOOKUP($A:$A,CS!$A:$AK,23,FALSE),"")</f>
      </c>
      <c r="P197" s="79">
        <f>IFERROR(VLOOKUP($A:$A,CS!$A:$AK,24,FALSE),"")</f>
      </c>
      <c r="Q197" s="79">
        <f>IFERROR(VLOOKUP($A:$A,CS!$A:$AK,25,FALSE),"")</f>
      </c>
      <c r="R197" s="79">
        <f>IFERROR(VLOOKUP($A:$A,CS!$A:$AK,26,FALSE),"")</f>
      </c>
      <c r="S197" s="79">
        <f>IFERROR(VLOOKUP($A:$A,CS!$A:$AK,29,FALSE),"")</f>
      </c>
      <c r="T197" s="79">
        <f>IFERROR(VLOOKUP($A:$A,CS!$A:$AK,33,FALSE),"")</f>
      </c>
      <c r="U197" s="79">
        <f>IFERROR(VLOOKUP($A:$A,CS!$A:$AK,34,FALSE),"")</f>
      </c>
      <c r="V197" s="79">
        <f>IFERROR(VLOOKUP($A:$A,CS!$A:$AK,35,FALSE),"")</f>
      </c>
      <c r="W197" s="79">
        <f>IFERROR(VLOOKUP($A:$A,CS!$A:$AK,36,FALSE),"")</f>
      </c>
    </row>
    <row r="198" ht="16.5" customHeight="1" spans="1:23" x14ac:dyDescent="0.25">
      <c r="A198" s="93"/>
      <c r="B198" s="79">
        <f>IFERROR(VLOOKUP($A:$A,CS!$A:$AK,3,FALSE),"")</f>
      </c>
      <c r="C198" s="79">
        <f>IFERROR(VLOOKUP($A:$A,CS!$A:$AK,4,FALSE),"")</f>
      </c>
      <c r="D198" s="79">
        <f>IFERROR(VLOOKUP($A:$A,CS!$A:$AK,5,FALSE),"")</f>
      </c>
      <c r="E198" s="79">
        <f>IFERROR(VLOOKUP($A:$A,CS!$A:$AK,7,FALSE),"")</f>
      </c>
      <c r="F198" s="79">
        <f>IFERROR(VLOOKUP($A:$A,CS!$A:$AK,8,FALSE),"")</f>
      </c>
      <c r="G198" s="79">
        <f>IFERROR(VLOOKUP($A:$A,CS!$A:$AK,10,FALSE),"")</f>
      </c>
      <c r="H198" s="79">
        <f>IFERROR(VLOOKUP($A:$A,CS!$A:$AK,14,FALSE),"")</f>
      </c>
      <c r="I198" s="79">
        <f>IFERROR(VLOOKUP($A:$A,CS!$A:$AK,15,FALSE),"")</f>
      </c>
      <c r="J198" s="79">
        <f>IFERROR(VLOOKUP($A:$A,CS!$A:$AK,18,FALSE),"")</f>
      </c>
      <c r="K198" s="79">
        <f>IFERROR(VLOOKUP($A:$A,CS!$A:$AK,19,FALSE),"")</f>
      </c>
      <c r="L198" s="79">
        <f>IFERROR(VLOOKUP($A:$A,CS!$A:$AK,20,FALSE),"")</f>
      </c>
      <c r="M198" s="79">
        <f>IFERROR(VLOOKUP($A:$A,CS!$A:$AK,22,FALSE),"")</f>
      </c>
      <c r="N198" s="79">
        <f>IFERROR(VLOOKUP($A:$A,CS!$A:$AK,19,FALSE),"")</f>
      </c>
      <c r="O198" s="79">
        <f>IFERROR(VLOOKUP($A:$A,CS!$A:$AK,23,FALSE),"")</f>
      </c>
      <c r="P198" s="79">
        <f>IFERROR(VLOOKUP($A:$A,CS!$A:$AK,24,FALSE),"")</f>
      </c>
      <c r="Q198" s="79">
        <f>IFERROR(VLOOKUP($A:$A,CS!$A:$AK,25,FALSE),"")</f>
      </c>
      <c r="R198" s="79">
        <f>IFERROR(VLOOKUP($A:$A,CS!$A:$AK,26,FALSE),"")</f>
      </c>
      <c r="S198" s="79">
        <f>IFERROR(VLOOKUP($A:$A,CS!$A:$AK,29,FALSE),"")</f>
      </c>
      <c r="T198" s="79">
        <f>IFERROR(VLOOKUP($A:$A,CS!$A:$AK,33,FALSE),"")</f>
      </c>
      <c r="U198" s="79">
        <f>IFERROR(VLOOKUP($A:$A,CS!$A:$AK,34,FALSE),"")</f>
      </c>
      <c r="V198" s="79">
        <f>IFERROR(VLOOKUP($A:$A,CS!$A:$AK,35,FALSE),"")</f>
      </c>
      <c r="W198" s="79">
        <f>IFERROR(VLOOKUP($A:$A,CS!$A:$AK,36,FALSE),"")</f>
      </c>
    </row>
    <row r="199" ht="16.5" customHeight="1" spans="1:23" x14ac:dyDescent="0.25">
      <c r="A199" s="93"/>
      <c r="B199" s="79">
        <f>IFERROR(VLOOKUP($A:$A,CS!$A:$AK,3,FALSE),"")</f>
      </c>
      <c r="C199" s="79">
        <f>IFERROR(VLOOKUP($A:$A,CS!$A:$AK,4,FALSE),"")</f>
      </c>
      <c r="D199" s="79">
        <f>IFERROR(VLOOKUP($A:$A,CS!$A:$AK,5,FALSE),"")</f>
      </c>
      <c r="E199" s="79">
        <f>IFERROR(VLOOKUP($A:$A,CS!$A:$AK,7,FALSE),"")</f>
      </c>
      <c r="F199" s="79">
        <f>IFERROR(VLOOKUP($A:$A,CS!$A:$AK,8,FALSE),"")</f>
      </c>
      <c r="G199" s="79">
        <f>IFERROR(VLOOKUP($A:$A,CS!$A:$AK,10,FALSE),"")</f>
      </c>
      <c r="H199" s="79">
        <f>IFERROR(VLOOKUP($A:$A,CS!$A:$AK,14,FALSE),"")</f>
      </c>
      <c r="I199" s="79">
        <f>IFERROR(VLOOKUP($A:$A,CS!$A:$AK,15,FALSE),"")</f>
      </c>
      <c r="J199" s="79">
        <f>IFERROR(VLOOKUP($A:$A,CS!$A:$AK,18,FALSE),"")</f>
      </c>
      <c r="K199" s="79">
        <f>IFERROR(VLOOKUP($A:$A,CS!$A:$AK,19,FALSE),"")</f>
      </c>
      <c r="L199" s="79">
        <f>IFERROR(VLOOKUP($A:$A,CS!$A:$AK,20,FALSE),"")</f>
      </c>
      <c r="M199" s="79">
        <f>IFERROR(VLOOKUP($A:$A,CS!$A:$AK,22,FALSE),"")</f>
      </c>
      <c r="N199" s="79">
        <f>IFERROR(VLOOKUP($A:$A,CS!$A:$AK,19,FALSE),"")</f>
      </c>
      <c r="O199" s="79">
        <f>IFERROR(VLOOKUP($A:$A,CS!$A:$AK,23,FALSE),"")</f>
      </c>
      <c r="P199" s="79">
        <f>IFERROR(VLOOKUP($A:$A,CS!$A:$AK,24,FALSE),"")</f>
      </c>
      <c r="Q199" s="79">
        <f>IFERROR(VLOOKUP($A:$A,CS!$A:$AK,25,FALSE),"")</f>
      </c>
      <c r="R199" s="79">
        <f>IFERROR(VLOOKUP($A:$A,CS!$A:$AK,26,FALSE),"")</f>
      </c>
      <c r="S199" s="79">
        <f>IFERROR(VLOOKUP($A:$A,CS!$A:$AK,29,FALSE),"")</f>
      </c>
      <c r="T199" s="79">
        <f>IFERROR(VLOOKUP($A:$A,CS!$A:$AK,33,FALSE),"")</f>
      </c>
      <c r="U199" s="79">
        <f>IFERROR(VLOOKUP($A:$A,CS!$A:$AK,34,FALSE),"")</f>
      </c>
      <c r="V199" s="79">
        <f>IFERROR(VLOOKUP($A:$A,CS!$A:$AK,35,FALSE),"")</f>
      </c>
      <c r="W199" s="79">
        <f>IFERROR(VLOOKUP($A:$A,CS!$A:$AK,36,FALSE),"")</f>
      </c>
    </row>
    <row r="200" ht="16.5" customHeight="1" spans="1:23" x14ac:dyDescent="0.25">
      <c r="A200" s="93"/>
      <c r="B200" s="79">
        <f>IFERROR(VLOOKUP($A:$A,CS!$A:$AK,3,FALSE),"")</f>
      </c>
      <c r="C200" s="79">
        <f>IFERROR(VLOOKUP($A:$A,CS!$A:$AK,4,FALSE),"")</f>
      </c>
      <c r="D200" s="79">
        <f>IFERROR(VLOOKUP($A:$A,CS!$A:$AK,5,FALSE),"")</f>
      </c>
      <c r="E200" s="79">
        <f>IFERROR(VLOOKUP($A:$A,CS!$A:$AK,7,FALSE),"")</f>
      </c>
      <c r="F200" s="79">
        <f>IFERROR(VLOOKUP($A:$A,CS!$A:$AK,8,FALSE),"")</f>
      </c>
      <c r="G200" s="79">
        <f>IFERROR(VLOOKUP($A:$A,CS!$A:$AK,10,FALSE),"")</f>
      </c>
      <c r="H200" s="79">
        <f>IFERROR(VLOOKUP($A:$A,CS!$A:$AK,14,FALSE),"")</f>
      </c>
      <c r="I200" s="79">
        <f>IFERROR(VLOOKUP($A:$A,CS!$A:$AK,15,FALSE),"")</f>
      </c>
      <c r="J200" s="79">
        <f>IFERROR(VLOOKUP($A:$A,CS!$A:$AK,18,FALSE),"")</f>
      </c>
      <c r="K200" s="79">
        <f>IFERROR(VLOOKUP($A:$A,CS!$A:$AK,19,FALSE),"")</f>
      </c>
      <c r="L200" s="79">
        <f>IFERROR(VLOOKUP($A:$A,CS!$A:$AK,20,FALSE),"")</f>
      </c>
      <c r="M200" s="79">
        <f>IFERROR(VLOOKUP($A:$A,CS!$A:$AK,22,FALSE),"")</f>
      </c>
      <c r="N200" s="79">
        <f>IFERROR(VLOOKUP($A:$A,CS!$A:$AK,19,FALSE),"")</f>
      </c>
      <c r="O200" s="79">
        <f>IFERROR(VLOOKUP($A:$A,CS!$A:$AK,23,FALSE),"")</f>
      </c>
      <c r="P200" s="79">
        <f>IFERROR(VLOOKUP($A:$A,CS!$A:$AK,24,FALSE),"")</f>
      </c>
      <c r="Q200" s="79">
        <f>IFERROR(VLOOKUP($A:$A,CS!$A:$AK,25,FALSE),"")</f>
      </c>
      <c r="R200" s="79">
        <f>IFERROR(VLOOKUP($A:$A,CS!$A:$AK,26,FALSE),"")</f>
      </c>
      <c r="S200" s="79">
        <f>IFERROR(VLOOKUP($A:$A,CS!$A:$AK,29,FALSE),"")</f>
      </c>
      <c r="T200" s="79">
        <f>IFERROR(VLOOKUP($A:$A,CS!$A:$AK,33,FALSE),"")</f>
      </c>
      <c r="U200" s="79">
        <f>IFERROR(VLOOKUP($A:$A,CS!$A:$AK,34,FALSE),"")</f>
      </c>
      <c r="V200" s="79">
        <f>IFERROR(VLOOKUP($A:$A,CS!$A:$AK,35,FALSE),"")</f>
      </c>
      <c r="W200" s="79">
        <f>IFERROR(VLOOKUP($A:$A,CS!$A:$AK,36,FALSE),"")</f>
      </c>
    </row>
    <row r="201" ht="16.5" customHeight="1" spans="1:23" x14ac:dyDescent="0.25">
      <c r="A201" s="93"/>
      <c r="B201" s="79">
        <f>IFERROR(VLOOKUP($A:$A,CS!$A:$AK,3,FALSE),"")</f>
      </c>
      <c r="C201" s="79">
        <f>IFERROR(VLOOKUP($A:$A,CS!$A:$AK,4,FALSE),"")</f>
      </c>
      <c r="D201" s="79">
        <f>IFERROR(VLOOKUP($A:$A,CS!$A:$AK,5,FALSE),"")</f>
      </c>
      <c r="E201" s="79">
        <f>IFERROR(VLOOKUP($A:$A,CS!$A:$AK,7,FALSE),"")</f>
      </c>
      <c r="F201" s="79">
        <f>IFERROR(VLOOKUP($A:$A,CS!$A:$AK,8,FALSE),"")</f>
      </c>
      <c r="G201" s="79">
        <f>IFERROR(VLOOKUP($A:$A,CS!$A:$AK,10,FALSE),"")</f>
      </c>
      <c r="H201" s="79">
        <f>IFERROR(VLOOKUP($A:$A,CS!$A:$AK,14,FALSE),"")</f>
      </c>
      <c r="I201" s="79">
        <f>IFERROR(VLOOKUP($A:$A,CS!$A:$AK,15,FALSE),"")</f>
      </c>
      <c r="J201" s="79">
        <f>IFERROR(VLOOKUP($A:$A,CS!$A:$AK,18,FALSE),"")</f>
      </c>
      <c r="K201" s="79">
        <f>IFERROR(VLOOKUP($A:$A,CS!$A:$AK,19,FALSE),"")</f>
      </c>
      <c r="L201" s="79">
        <f>IFERROR(VLOOKUP($A:$A,CS!$A:$AK,20,FALSE),"")</f>
      </c>
      <c r="M201" s="79">
        <f>IFERROR(VLOOKUP($A:$A,CS!$A:$AK,22,FALSE),"")</f>
      </c>
      <c r="N201" s="79">
        <f>IFERROR(VLOOKUP($A:$A,CS!$A:$AK,19,FALSE),"")</f>
      </c>
      <c r="O201" s="79">
        <f>IFERROR(VLOOKUP($A:$A,CS!$A:$AK,23,FALSE),"")</f>
      </c>
      <c r="P201" s="79">
        <f>IFERROR(VLOOKUP($A:$A,CS!$A:$AK,24,FALSE),"")</f>
      </c>
      <c r="Q201" s="79">
        <f>IFERROR(VLOOKUP($A:$A,CS!$A:$AK,25,FALSE),"")</f>
      </c>
      <c r="R201" s="79">
        <f>IFERROR(VLOOKUP($A:$A,CS!$A:$AK,26,FALSE),"")</f>
      </c>
      <c r="S201" s="79">
        <f>IFERROR(VLOOKUP($A:$A,CS!$A:$AK,29,FALSE),"")</f>
      </c>
      <c r="T201" s="79">
        <f>IFERROR(VLOOKUP($A:$A,CS!$A:$AK,33,FALSE),"")</f>
      </c>
      <c r="U201" s="79">
        <f>IFERROR(VLOOKUP($A:$A,CS!$A:$AK,34,FALSE),"")</f>
      </c>
      <c r="V201" s="79">
        <f>IFERROR(VLOOKUP($A:$A,CS!$A:$AK,35,FALSE),"")</f>
      </c>
      <c r="W201" s="79">
        <f>IFERROR(VLOOKUP($A:$A,CS!$A:$AK,36,FALSE),"")</f>
      </c>
    </row>
    <row r="202" ht="16.5" customHeight="1" spans="1:23" x14ac:dyDescent="0.25">
      <c r="A202" s="93"/>
      <c r="B202" s="79">
        <f>IFERROR(VLOOKUP($A:$A,CS!$A:$AK,3,FALSE),"")</f>
      </c>
      <c r="C202" s="79">
        <f>IFERROR(VLOOKUP($A:$A,CS!$A:$AK,4,FALSE),"")</f>
      </c>
      <c r="D202" s="79">
        <f>IFERROR(VLOOKUP($A:$A,CS!$A:$AK,5,FALSE),"")</f>
      </c>
      <c r="E202" s="79">
        <f>IFERROR(VLOOKUP($A:$A,CS!$A:$AK,7,FALSE),"")</f>
      </c>
      <c r="F202" s="79">
        <f>IFERROR(VLOOKUP($A:$A,CS!$A:$AK,8,FALSE),"")</f>
      </c>
      <c r="G202" s="79">
        <f>IFERROR(VLOOKUP($A:$A,CS!$A:$AK,10,FALSE),"")</f>
      </c>
      <c r="H202" s="79">
        <f>IFERROR(VLOOKUP($A:$A,CS!$A:$AK,14,FALSE),"")</f>
      </c>
      <c r="I202" s="79">
        <f>IFERROR(VLOOKUP($A:$A,CS!$A:$AK,15,FALSE),"")</f>
      </c>
      <c r="J202" s="79">
        <f>IFERROR(VLOOKUP($A:$A,CS!$A:$AK,18,FALSE),"")</f>
      </c>
      <c r="K202" s="79">
        <f>IFERROR(VLOOKUP($A:$A,CS!$A:$AK,19,FALSE),"")</f>
      </c>
      <c r="L202" s="79">
        <f>IFERROR(VLOOKUP($A:$A,CS!$A:$AK,20,FALSE),"")</f>
      </c>
      <c r="M202" s="79">
        <f>IFERROR(VLOOKUP($A:$A,CS!$A:$AK,22,FALSE),"")</f>
      </c>
      <c r="N202" s="79">
        <f>IFERROR(VLOOKUP($A:$A,CS!$A:$AK,19,FALSE),"")</f>
      </c>
      <c r="O202" s="79">
        <f>IFERROR(VLOOKUP($A:$A,CS!$A:$AK,23,FALSE),"")</f>
      </c>
      <c r="P202" s="79">
        <f>IFERROR(VLOOKUP($A:$A,CS!$A:$AK,24,FALSE),"")</f>
      </c>
      <c r="Q202" s="79">
        <f>IFERROR(VLOOKUP($A:$A,CS!$A:$AK,25,FALSE),"")</f>
      </c>
      <c r="R202" s="79">
        <f>IFERROR(VLOOKUP($A:$A,CS!$A:$AK,26,FALSE),"")</f>
      </c>
      <c r="S202" s="79">
        <f>IFERROR(VLOOKUP($A:$A,CS!$A:$AK,29,FALSE),"")</f>
      </c>
      <c r="T202" s="79">
        <f>IFERROR(VLOOKUP($A:$A,CS!$A:$AK,33,FALSE),"")</f>
      </c>
      <c r="U202" s="79">
        <f>IFERROR(VLOOKUP($A:$A,CS!$A:$AK,34,FALSE),"")</f>
      </c>
      <c r="V202" s="79">
        <f>IFERROR(VLOOKUP($A:$A,CS!$A:$AK,35,FALSE),"")</f>
      </c>
      <c r="W202" s="79">
        <f>IFERROR(VLOOKUP($A:$A,CS!$A:$AK,36,FALSE),"")</f>
      </c>
    </row>
    <row r="203" ht="16.5" customHeight="1" spans="1:23" x14ac:dyDescent="0.25">
      <c r="A203" s="93"/>
      <c r="B203" s="79">
        <f>IFERROR(VLOOKUP($A:$A,CS!$A:$AK,3,FALSE),"")</f>
      </c>
      <c r="C203" s="79">
        <f>IFERROR(VLOOKUP($A:$A,CS!$A:$AK,4,FALSE),"")</f>
      </c>
      <c r="D203" s="79">
        <f>IFERROR(VLOOKUP($A:$A,CS!$A:$AK,5,FALSE),"")</f>
      </c>
      <c r="E203" s="79">
        <f>IFERROR(VLOOKUP($A:$A,CS!$A:$AK,7,FALSE),"")</f>
      </c>
      <c r="F203" s="79">
        <f>IFERROR(VLOOKUP($A:$A,CS!$A:$AK,8,FALSE),"")</f>
      </c>
      <c r="G203" s="79">
        <f>IFERROR(VLOOKUP($A:$A,CS!$A:$AK,10,FALSE),"")</f>
      </c>
      <c r="H203" s="79">
        <f>IFERROR(VLOOKUP($A:$A,CS!$A:$AK,14,FALSE),"")</f>
      </c>
      <c r="I203" s="79">
        <f>IFERROR(VLOOKUP($A:$A,CS!$A:$AK,15,FALSE),"")</f>
      </c>
      <c r="J203" s="79">
        <f>IFERROR(VLOOKUP($A:$A,CS!$A:$AK,18,FALSE),"")</f>
      </c>
      <c r="K203" s="79">
        <f>IFERROR(VLOOKUP($A:$A,CS!$A:$AK,19,FALSE),"")</f>
      </c>
      <c r="L203" s="79">
        <f>IFERROR(VLOOKUP($A:$A,CS!$A:$AK,20,FALSE),"")</f>
      </c>
      <c r="M203" s="79">
        <f>IFERROR(VLOOKUP($A:$A,CS!$A:$AK,22,FALSE),"")</f>
      </c>
      <c r="N203" s="79">
        <f>IFERROR(VLOOKUP($A:$A,CS!$A:$AK,19,FALSE),"")</f>
      </c>
      <c r="O203" s="79">
        <f>IFERROR(VLOOKUP($A:$A,CS!$A:$AK,23,FALSE),"")</f>
      </c>
      <c r="P203" s="79">
        <f>IFERROR(VLOOKUP($A:$A,CS!$A:$AK,24,FALSE),"")</f>
      </c>
      <c r="Q203" s="79">
        <f>IFERROR(VLOOKUP($A:$A,CS!$A:$AK,25,FALSE),"")</f>
      </c>
      <c r="R203" s="79">
        <f>IFERROR(VLOOKUP($A:$A,CS!$A:$AK,26,FALSE),"")</f>
      </c>
      <c r="S203" s="79">
        <f>IFERROR(VLOOKUP($A:$A,CS!$A:$AK,29,FALSE),"")</f>
      </c>
      <c r="T203" s="79">
        <f>IFERROR(VLOOKUP($A:$A,CS!$A:$AK,33,FALSE),"")</f>
      </c>
      <c r="U203" s="79">
        <f>IFERROR(VLOOKUP($A:$A,CS!$A:$AK,34,FALSE),"")</f>
      </c>
      <c r="V203" s="79">
        <f>IFERROR(VLOOKUP($A:$A,CS!$A:$AK,35,FALSE),"")</f>
      </c>
      <c r="W203" s="79">
        <f>IFERROR(VLOOKUP($A:$A,CS!$A:$AK,36,FALSE),"")</f>
      </c>
    </row>
    <row r="204" ht="16.5" customHeight="1" spans="1:23" x14ac:dyDescent="0.25">
      <c r="A204" s="93"/>
      <c r="B204" s="79">
        <f>IFERROR(VLOOKUP($A:$A,CS!$A:$AK,3,FALSE),"")</f>
      </c>
      <c r="C204" s="79">
        <f>IFERROR(VLOOKUP($A:$A,CS!$A:$AK,4,FALSE),"")</f>
      </c>
      <c r="D204" s="79">
        <f>IFERROR(VLOOKUP($A:$A,CS!$A:$AK,5,FALSE),"")</f>
      </c>
      <c r="E204" s="79">
        <f>IFERROR(VLOOKUP($A:$A,CS!$A:$AK,7,FALSE),"")</f>
      </c>
      <c r="F204" s="79">
        <f>IFERROR(VLOOKUP($A:$A,CS!$A:$AK,8,FALSE),"")</f>
      </c>
      <c r="G204" s="79">
        <f>IFERROR(VLOOKUP($A:$A,CS!$A:$AK,10,FALSE),"")</f>
      </c>
      <c r="H204" s="79">
        <f>IFERROR(VLOOKUP($A:$A,CS!$A:$AK,14,FALSE),"")</f>
      </c>
      <c r="I204" s="79">
        <f>IFERROR(VLOOKUP($A:$A,CS!$A:$AK,15,FALSE),"")</f>
      </c>
      <c r="J204" s="79">
        <f>IFERROR(VLOOKUP($A:$A,CS!$A:$AK,18,FALSE),"")</f>
      </c>
      <c r="K204" s="79">
        <f>IFERROR(VLOOKUP($A:$A,CS!$A:$AK,19,FALSE),"")</f>
      </c>
      <c r="L204" s="79">
        <f>IFERROR(VLOOKUP($A:$A,CS!$A:$AK,20,FALSE),"")</f>
      </c>
      <c r="M204" s="79">
        <f>IFERROR(VLOOKUP($A:$A,CS!$A:$AK,22,FALSE),"")</f>
      </c>
      <c r="N204" s="79">
        <f>IFERROR(VLOOKUP($A:$A,CS!$A:$AK,19,FALSE),"")</f>
      </c>
      <c r="O204" s="79">
        <f>IFERROR(VLOOKUP($A:$A,CS!$A:$AK,23,FALSE),"")</f>
      </c>
      <c r="P204" s="79">
        <f>IFERROR(VLOOKUP($A:$A,CS!$A:$AK,24,FALSE),"")</f>
      </c>
      <c r="Q204" s="79">
        <f>IFERROR(VLOOKUP($A:$A,CS!$A:$AK,25,FALSE),"")</f>
      </c>
      <c r="R204" s="79">
        <f>IFERROR(VLOOKUP($A:$A,CS!$A:$AK,26,FALSE),"")</f>
      </c>
      <c r="S204" s="79">
        <f>IFERROR(VLOOKUP($A:$A,CS!$A:$AK,29,FALSE),"")</f>
      </c>
      <c r="T204" s="79">
        <f>IFERROR(VLOOKUP($A:$A,CS!$A:$AK,33,FALSE),"")</f>
      </c>
      <c r="U204" s="79">
        <f>IFERROR(VLOOKUP($A:$A,CS!$A:$AK,34,FALSE),"")</f>
      </c>
      <c r="V204" s="79">
        <f>IFERROR(VLOOKUP($A:$A,CS!$A:$AK,35,FALSE),"")</f>
      </c>
      <c r="W204" s="79">
        <f>IFERROR(VLOOKUP($A:$A,CS!$A:$AK,36,FALSE),"")</f>
      </c>
    </row>
    <row r="205" ht="16.5" customHeight="1" spans="1:23" x14ac:dyDescent="0.25">
      <c r="A205" s="93"/>
      <c r="B205" s="79">
        <f>IFERROR(VLOOKUP($A:$A,CS!$A:$AK,3,FALSE),"")</f>
      </c>
      <c r="C205" s="79">
        <f>IFERROR(VLOOKUP($A:$A,CS!$A:$AK,4,FALSE),"")</f>
      </c>
      <c r="D205" s="79">
        <f>IFERROR(VLOOKUP($A:$A,CS!$A:$AK,5,FALSE),"")</f>
      </c>
      <c r="E205" s="79">
        <f>IFERROR(VLOOKUP($A:$A,CS!$A:$AK,7,FALSE),"")</f>
      </c>
      <c r="F205" s="79">
        <f>IFERROR(VLOOKUP($A:$A,CS!$A:$AK,8,FALSE),"")</f>
      </c>
      <c r="G205" s="79">
        <f>IFERROR(VLOOKUP($A:$A,CS!$A:$AK,10,FALSE),"")</f>
      </c>
      <c r="H205" s="79">
        <f>IFERROR(VLOOKUP($A:$A,CS!$A:$AK,14,FALSE),"")</f>
      </c>
      <c r="I205" s="79">
        <f>IFERROR(VLOOKUP($A:$A,CS!$A:$AK,15,FALSE),"")</f>
      </c>
      <c r="J205" s="79">
        <f>IFERROR(VLOOKUP($A:$A,CS!$A:$AK,18,FALSE),"")</f>
      </c>
      <c r="K205" s="79">
        <f>IFERROR(VLOOKUP($A:$A,CS!$A:$AK,19,FALSE),"")</f>
      </c>
      <c r="L205" s="79">
        <f>IFERROR(VLOOKUP($A:$A,CS!$A:$AK,20,FALSE),"")</f>
      </c>
      <c r="M205" s="79">
        <f>IFERROR(VLOOKUP($A:$A,CS!$A:$AK,22,FALSE),"")</f>
      </c>
      <c r="N205" s="79">
        <f>IFERROR(VLOOKUP($A:$A,CS!$A:$AK,19,FALSE),"")</f>
      </c>
      <c r="O205" s="79">
        <f>IFERROR(VLOOKUP($A:$A,CS!$A:$AK,23,FALSE),"")</f>
      </c>
      <c r="P205" s="79">
        <f>IFERROR(VLOOKUP($A:$A,CS!$A:$AK,24,FALSE),"")</f>
      </c>
      <c r="Q205" s="79">
        <f>IFERROR(VLOOKUP($A:$A,CS!$A:$AK,25,FALSE),"")</f>
      </c>
      <c r="R205" s="79">
        <f>IFERROR(VLOOKUP($A:$A,CS!$A:$AK,26,FALSE),"")</f>
      </c>
      <c r="S205" s="79">
        <f>IFERROR(VLOOKUP($A:$A,CS!$A:$AK,29,FALSE),"")</f>
      </c>
      <c r="T205" s="79">
        <f>IFERROR(VLOOKUP($A:$A,CS!$A:$AK,33,FALSE),"")</f>
      </c>
      <c r="U205" s="79">
        <f>IFERROR(VLOOKUP($A:$A,CS!$A:$AK,34,FALSE),"")</f>
      </c>
      <c r="V205" s="79">
        <f>IFERROR(VLOOKUP($A:$A,CS!$A:$AK,35,FALSE),"")</f>
      </c>
      <c r="W205" s="79">
        <f>IFERROR(VLOOKUP($A:$A,CS!$A:$AK,36,FALSE),"")</f>
      </c>
    </row>
    <row r="206" ht="16.5" customHeight="1" spans="1:23" x14ac:dyDescent="0.25">
      <c r="A206" s="93"/>
      <c r="B206" s="79">
        <f>IFERROR(VLOOKUP($A:$A,CS!$A:$AK,3,FALSE),"")</f>
      </c>
      <c r="C206" s="79">
        <f>IFERROR(VLOOKUP($A:$A,CS!$A:$AK,4,FALSE),"")</f>
      </c>
      <c r="D206" s="79">
        <f>IFERROR(VLOOKUP($A:$A,CS!$A:$AK,5,FALSE),"")</f>
      </c>
      <c r="E206" s="79">
        <f>IFERROR(VLOOKUP($A:$A,CS!$A:$AK,7,FALSE),"")</f>
      </c>
      <c r="F206" s="79">
        <f>IFERROR(VLOOKUP($A:$A,CS!$A:$AK,8,FALSE),"")</f>
      </c>
      <c r="G206" s="79">
        <f>IFERROR(VLOOKUP($A:$A,CS!$A:$AK,10,FALSE),"")</f>
      </c>
      <c r="H206" s="79">
        <f>IFERROR(VLOOKUP($A:$A,CS!$A:$AK,14,FALSE),"")</f>
      </c>
      <c r="I206" s="79">
        <f>IFERROR(VLOOKUP($A:$A,CS!$A:$AK,15,FALSE),"")</f>
      </c>
      <c r="J206" s="79">
        <f>IFERROR(VLOOKUP($A:$A,CS!$A:$AK,18,FALSE),"")</f>
      </c>
      <c r="K206" s="79">
        <f>IFERROR(VLOOKUP($A:$A,CS!$A:$AK,19,FALSE),"")</f>
      </c>
      <c r="L206" s="79">
        <f>IFERROR(VLOOKUP($A:$A,CS!$A:$AK,20,FALSE),"")</f>
      </c>
      <c r="M206" s="79">
        <f>IFERROR(VLOOKUP($A:$A,CS!$A:$AK,22,FALSE),"")</f>
      </c>
      <c r="N206" s="79">
        <f>IFERROR(VLOOKUP($A:$A,CS!$A:$AK,19,FALSE),"")</f>
      </c>
      <c r="O206" s="79">
        <f>IFERROR(VLOOKUP($A:$A,CS!$A:$AK,23,FALSE),"")</f>
      </c>
      <c r="P206" s="79">
        <f>IFERROR(VLOOKUP($A:$A,CS!$A:$AK,24,FALSE),"")</f>
      </c>
      <c r="Q206" s="79">
        <f>IFERROR(VLOOKUP($A:$A,CS!$A:$AK,25,FALSE),"")</f>
      </c>
      <c r="R206" s="79">
        <f>IFERROR(VLOOKUP($A:$A,CS!$A:$AK,26,FALSE),"")</f>
      </c>
      <c r="S206" s="79">
        <f>IFERROR(VLOOKUP($A:$A,CS!$A:$AK,29,FALSE),"")</f>
      </c>
      <c r="T206" s="79">
        <f>IFERROR(VLOOKUP($A:$A,CS!$A:$AK,33,FALSE),"")</f>
      </c>
      <c r="U206" s="79">
        <f>IFERROR(VLOOKUP($A:$A,CS!$A:$AK,34,FALSE),"")</f>
      </c>
      <c r="V206" s="79">
        <f>IFERROR(VLOOKUP($A:$A,CS!$A:$AK,35,FALSE),"")</f>
      </c>
      <c r="W206" s="79">
        <f>IFERROR(VLOOKUP($A:$A,CS!$A:$AK,36,FALSE),"")</f>
      </c>
    </row>
    <row r="207" ht="16.5" customHeight="1" spans="1:23" x14ac:dyDescent="0.25">
      <c r="A207" s="93"/>
      <c r="B207" s="79">
        <f>IFERROR(VLOOKUP($A:$A,CS!$A:$AK,3,FALSE),"")</f>
      </c>
      <c r="C207" s="79">
        <f>IFERROR(VLOOKUP($A:$A,CS!$A:$AK,4,FALSE),"")</f>
      </c>
      <c r="D207" s="79">
        <f>IFERROR(VLOOKUP($A:$A,CS!$A:$AK,5,FALSE),"")</f>
      </c>
      <c r="E207" s="79">
        <f>IFERROR(VLOOKUP($A:$A,CS!$A:$AK,7,FALSE),"")</f>
      </c>
      <c r="F207" s="79">
        <f>IFERROR(VLOOKUP($A:$A,CS!$A:$AK,8,FALSE),"")</f>
      </c>
      <c r="G207" s="79">
        <f>IFERROR(VLOOKUP($A:$A,CS!$A:$AK,10,FALSE),"")</f>
      </c>
      <c r="H207" s="79">
        <f>IFERROR(VLOOKUP($A:$A,CS!$A:$AK,14,FALSE),"")</f>
      </c>
      <c r="I207" s="79">
        <f>IFERROR(VLOOKUP($A:$A,CS!$A:$AK,15,FALSE),"")</f>
      </c>
      <c r="J207" s="79">
        <f>IFERROR(VLOOKUP($A:$A,CS!$A:$AK,18,FALSE),"")</f>
      </c>
      <c r="K207" s="79">
        <f>IFERROR(VLOOKUP($A:$A,CS!$A:$AK,19,FALSE),"")</f>
      </c>
      <c r="L207" s="79">
        <f>IFERROR(VLOOKUP($A:$A,CS!$A:$AK,20,FALSE),"")</f>
      </c>
      <c r="M207" s="79">
        <f>IFERROR(VLOOKUP($A:$A,CS!$A:$AK,22,FALSE),"")</f>
      </c>
      <c r="N207" s="79">
        <f>IFERROR(VLOOKUP($A:$A,CS!$A:$AK,19,FALSE),"")</f>
      </c>
      <c r="O207" s="79">
        <f>IFERROR(VLOOKUP($A:$A,CS!$A:$AK,23,FALSE),"")</f>
      </c>
      <c r="P207" s="79">
        <f>IFERROR(VLOOKUP($A:$A,CS!$A:$AK,24,FALSE),"")</f>
      </c>
      <c r="Q207" s="79">
        <f>IFERROR(VLOOKUP($A:$A,CS!$A:$AK,25,FALSE),"")</f>
      </c>
      <c r="R207" s="79">
        <f>IFERROR(VLOOKUP($A:$A,CS!$A:$AK,26,FALSE),"")</f>
      </c>
      <c r="S207" s="79">
        <f>IFERROR(VLOOKUP($A:$A,CS!$A:$AK,29,FALSE),"")</f>
      </c>
      <c r="T207" s="79">
        <f>IFERROR(VLOOKUP($A:$A,CS!$A:$AK,33,FALSE),"")</f>
      </c>
      <c r="U207" s="79">
        <f>IFERROR(VLOOKUP($A:$A,CS!$A:$AK,34,FALSE),"")</f>
      </c>
      <c r="V207" s="79">
        <f>IFERROR(VLOOKUP($A:$A,CS!$A:$AK,35,FALSE),"")</f>
      </c>
      <c r="W207" s="79">
        <f>IFERROR(VLOOKUP($A:$A,CS!$A:$AK,36,FALSE),"")</f>
      </c>
    </row>
    <row r="208" ht="16.5" customHeight="1" spans="1:23" x14ac:dyDescent="0.25">
      <c r="A208" s="93"/>
      <c r="B208" s="79">
        <f>IFERROR(VLOOKUP($A:$A,CS!$A:$AK,3,FALSE),"")</f>
      </c>
      <c r="C208" s="79">
        <f>IFERROR(VLOOKUP($A:$A,CS!$A:$AK,4,FALSE),"")</f>
      </c>
      <c r="D208" s="79">
        <f>IFERROR(VLOOKUP($A:$A,CS!$A:$AK,5,FALSE),"")</f>
      </c>
      <c r="E208" s="79">
        <f>IFERROR(VLOOKUP($A:$A,CS!$A:$AK,7,FALSE),"")</f>
      </c>
      <c r="F208" s="79">
        <f>IFERROR(VLOOKUP($A:$A,CS!$A:$AK,8,FALSE),"")</f>
      </c>
      <c r="G208" s="79">
        <f>IFERROR(VLOOKUP($A:$A,CS!$A:$AK,10,FALSE),"")</f>
      </c>
      <c r="H208" s="79">
        <f>IFERROR(VLOOKUP($A:$A,CS!$A:$AK,14,FALSE),"")</f>
      </c>
      <c r="I208" s="79">
        <f>IFERROR(VLOOKUP($A:$A,CS!$A:$AK,15,FALSE),"")</f>
      </c>
      <c r="J208" s="79">
        <f>IFERROR(VLOOKUP($A:$A,CS!$A:$AK,18,FALSE),"")</f>
      </c>
      <c r="K208" s="79">
        <f>IFERROR(VLOOKUP($A:$A,CS!$A:$AK,19,FALSE),"")</f>
      </c>
      <c r="L208" s="79">
        <f>IFERROR(VLOOKUP($A:$A,CS!$A:$AK,20,FALSE),"")</f>
      </c>
      <c r="M208" s="79">
        <f>IFERROR(VLOOKUP($A:$A,CS!$A:$AK,22,FALSE),"")</f>
      </c>
      <c r="N208" s="79">
        <f>IFERROR(VLOOKUP($A:$A,CS!$A:$AK,19,FALSE),"")</f>
      </c>
      <c r="O208" s="79">
        <f>IFERROR(VLOOKUP($A:$A,CS!$A:$AK,23,FALSE),"")</f>
      </c>
      <c r="P208" s="79">
        <f>IFERROR(VLOOKUP($A:$A,CS!$A:$AK,24,FALSE),"")</f>
      </c>
      <c r="Q208" s="79">
        <f>IFERROR(VLOOKUP($A:$A,CS!$A:$AK,25,FALSE),"")</f>
      </c>
      <c r="R208" s="79">
        <f>IFERROR(VLOOKUP($A:$A,CS!$A:$AK,26,FALSE),"")</f>
      </c>
      <c r="S208" s="79">
        <f>IFERROR(VLOOKUP($A:$A,CS!$A:$AK,29,FALSE),"")</f>
      </c>
      <c r="T208" s="79">
        <f>IFERROR(VLOOKUP($A:$A,CS!$A:$AK,33,FALSE),"")</f>
      </c>
      <c r="U208" s="79">
        <f>IFERROR(VLOOKUP($A:$A,CS!$A:$AK,34,FALSE),"")</f>
      </c>
      <c r="V208" s="79">
        <f>IFERROR(VLOOKUP($A:$A,CS!$A:$AK,35,FALSE),"")</f>
      </c>
      <c r="W208" s="79">
        <f>IFERROR(VLOOKUP($A:$A,CS!$A:$AK,36,FALSE),"")</f>
      </c>
    </row>
    <row r="209" ht="16.5" customHeight="1" spans="1:23" x14ac:dyDescent="0.25">
      <c r="A209" s="93"/>
      <c r="B209" s="79">
        <f>IFERROR(VLOOKUP($A:$A,CS!$A:$AK,3,FALSE),"")</f>
      </c>
      <c r="C209" s="79">
        <f>IFERROR(VLOOKUP($A:$A,CS!$A:$AK,4,FALSE),"")</f>
      </c>
      <c r="D209" s="79">
        <f>IFERROR(VLOOKUP($A:$A,CS!$A:$AK,5,FALSE),"")</f>
      </c>
      <c r="E209" s="79">
        <f>IFERROR(VLOOKUP($A:$A,CS!$A:$AK,7,FALSE),"")</f>
      </c>
      <c r="F209" s="79">
        <f>IFERROR(VLOOKUP($A:$A,CS!$A:$AK,8,FALSE),"")</f>
      </c>
      <c r="G209" s="79">
        <f>IFERROR(VLOOKUP($A:$A,CS!$A:$AK,10,FALSE),"")</f>
      </c>
      <c r="H209" s="79">
        <f>IFERROR(VLOOKUP($A:$A,CS!$A:$AK,14,FALSE),"")</f>
      </c>
      <c r="I209" s="79">
        <f>IFERROR(VLOOKUP($A:$A,CS!$A:$AK,15,FALSE),"")</f>
      </c>
      <c r="J209" s="79">
        <f>IFERROR(VLOOKUP($A:$A,CS!$A:$AK,18,FALSE),"")</f>
      </c>
      <c r="K209" s="79">
        <f>IFERROR(VLOOKUP($A:$A,CS!$A:$AK,19,FALSE),"")</f>
      </c>
      <c r="L209" s="79">
        <f>IFERROR(VLOOKUP($A:$A,CS!$A:$AK,20,FALSE),"")</f>
      </c>
      <c r="M209" s="79">
        <f>IFERROR(VLOOKUP($A:$A,CS!$A:$AK,22,FALSE),"")</f>
      </c>
      <c r="N209" s="79">
        <f>IFERROR(VLOOKUP($A:$A,CS!$A:$AK,19,FALSE),"")</f>
      </c>
      <c r="O209" s="79">
        <f>IFERROR(VLOOKUP($A:$A,CS!$A:$AK,23,FALSE),"")</f>
      </c>
      <c r="P209" s="79">
        <f>IFERROR(VLOOKUP($A:$A,CS!$A:$AK,24,FALSE),"")</f>
      </c>
      <c r="Q209" s="79">
        <f>IFERROR(VLOOKUP($A:$A,CS!$A:$AK,25,FALSE),"")</f>
      </c>
      <c r="R209" s="79">
        <f>IFERROR(VLOOKUP($A:$A,CS!$A:$AK,26,FALSE),"")</f>
      </c>
      <c r="S209" s="79">
        <f>IFERROR(VLOOKUP($A:$A,CS!$A:$AK,29,FALSE),"")</f>
      </c>
      <c r="T209" s="79">
        <f>IFERROR(VLOOKUP($A:$A,CS!$A:$AK,33,FALSE),"")</f>
      </c>
      <c r="U209" s="79">
        <f>IFERROR(VLOOKUP($A:$A,CS!$A:$AK,34,FALSE),"")</f>
      </c>
      <c r="V209" s="79">
        <f>IFERROR(VLOOKUP($A:$A,CS!$A:$AK,35,FALSE),"")</f>
      </c>
      <c r="W209" s="79">
        <f>IFERROR(VLOOKUP($A:$A,CS!$A:$AK,36,FALSE),"")</f>
      </c>
    </row>
    <row r="210" ht="16.5" customHeight="1" spans="1:23" x14ac:dyDescent="0.25">
      <c r="A210" s="93"/>
      <c r="B210" s="79">
        <f>IFERROR(VLOOKUP($A:$A,CS!$A:$AK,3,FALSE),"")</f>
      </c>
      <c r="C210" s="79">
        <f>IFERROR(VLOOKUP($A:$A,CS!$A:$AK,4,FALSE),"")</f>
      </c>
      <c r="D210" s="79">
        <f>IFERROR(VLOOKUP($A:$A,CS!$A:$AK,5,FALSE),"")</f>
      </c>
      <c r="E210" s="79">
        <f>IFERROR(VLOOKUP($A:$A,CS!$A:$AK,7,FALSE),"")</f>
      </c>
      <c r="F210" s="79">
        <f>IFERROR(VLOOKUP($A:$A,CS!$A:$AK,8,FALSE),"")</f>
      </c>
      <c r="G210" s="79">
        <f>IFERROR(VLOOKUP($A:$A,CS!$A:$AK,10,FALSE),"")</f>
      </c>
      <c r="H210" s="79">
        <f>IFERROR(VLOOKUP($A:$A,CS!$A:$AK,14,FALSE),"")</f>
      </c>
      <c r="I210" s="79">
        <f>IFERROR(VLOOKUP($A:$A,CS!$A:$AK,15,FALSE),"")</f>
      </c>
      <c r="J210" s="79">
        <f>IFERROR(VLOOKUP($A:$A,CS!$A:$AK,18,FALSE),"")</f>
      </c>
      <c r="K210" s="79">
        <f>IFERROR(VLOOKUP($A:$A,CS!$A:$AK,19,FALSE),"")</f>
      </c>
      <c r="L210" s="79">
        <f>IFERROR(VLOOKUP($A:$A,CS!$A:$AK,20,FALSE),"")</f>
      </c>
      <c r="M210" s="79">
        <f>IFERROR(VLOOKUP($A:$A,CS!$A:$AK,22,FALSE),"")</f>
      </c>
      <c r="N210" s="79">
        <f>IFERROR(VLOOKUP($A:$A,CS!$A:$AK,19,FALSE),"")</f>
      </c>
      <c r="O210" s="79">
        <f>IFERROR(VLOOKUP($A:$A,CS!$A:$AK,23,FALSE),"")</f>
      </c>
      <c r="P210" s="79">
        <f>IFERROR(VLOOKUP($A:$A,CS!$A:$AK,24,FALSE),"")</f>
      </c>
      <c r="Q210" s="79">
        <f>IFERROR(VLOOKUP($A:$A,CS!$A:$AK,25,FALSE),"")</f>
      </c>
      <c r="R210" s="79">
        <f>IFERROR(VLOOKUP($A:$A,CS!$A:$AK,26,FALSE),"")</f>
      </c>
      <c r="S210" s="79">
        <f>IFERROR(VLOOKUP($A:$A,CS!$A:$AK,29,FALSE),"")</f>
      </c>
      <c r="T210" s="79">
        <f>IFERROR(VLOOKUP($A:$A,CS!$A:$AK,33,FALSE),"")</f>
      </c>
      <c r="U210" s="79">
        <f>IFERROR(VLOOKUP($A:$A,CS!$A:$AK,34,FALSE),"")</f>
      </c>
      <c r="V210" s="79">
        <f>IFERROR(VLOOKUP($A:$A,CS!$A:$AK,35,FALSE),"")</f>
      </c>
      <c r="W210" s="79">
        <f>IFERROR(VLOOKUP($A:$A,CS!$A:$AK,36,FALSE),"")</f>
      </c>
    </row>
    <row r="211" ht="16.5" customHeight="1" spans="1:23" x14ac:dyDescent="0.25">
      <c r="A211" s="93"/>
      <c r="B211" s="79">
        <f>IFERROR(VLOOKUP($A:$A,CS!$A:$AK,3,FALSE),"")</f>
      </c>
      <c r="C211" s="79">
        <f>IFERROR(VLOOKUP($A:$A,CS!$A:$AK,4,FALSE),"")</f>
      </c>
      <c r="D211" s="79">
        <f>IFERROR(VLOOKUP($A:$A,CS!$A:$AK,5,FALSE),"")</f>
      </c>
      <c r="E211" s="79">
        <f>IFERROR(VLOOKUP($A:$A,CS!$A:$AK,7,FALSE),"")</f>
      </c>
      <c r="F211" s="79">
        <f>IFERROR(VLOOKUP($A:$A,CS!$A:$AK,8,FALSE),"")</f>
      </c>
      <c r="G211" s="79">
        <f>IFERROR(VLOOKUP($A:$A,CS!$A:$AK,10,FALSE),"")</f>
      </c>
      <c r="H211" s="79">
        <f>IFERROR(VLOOKUP($A:$A,CS!$A:$AK,14,FALSE),"")</f>
      </c>
      <c r="I211" s="79">
        <f>IFERROR(VLOOKUP($A:$A,CS!$A:$AK,15,FALSE),"")</f>
      </c>
      <c r="J211" s="79">
        <f>IFERROR(VLOOKUP($A:$A,CS!$A:$AK,18,FALSE),"")</f>
      </c>
      <c r="K211" s="79">
        <f>IFERROR(VLOOKUP($A:$A,CS!$A:$AK,19,FALSE),"")</f>
      </c>
      <c r="L211" s="79">
        <f>IFERROR(VLOOKUP($A:$A,CS!$A:$AK,20,FALSE),"")</f>
      </c>
      <c r="M211" s="79">
        <f>IFERROR(VLOOKUP($A:$A,CS!$A:$AK,22,FALSE),"")</f>
      </c>
      <c r="N211" s="79">
        <f>IFERROR(VLOOKUP($A:$A,CS!$A:$AK,19,FALSE),"")</f>
      </c>
      <c r="O211" s="79">
        <f>IFERROR(VLOOKUP($A:$A,CS!$A:$AK,23,FALSE),"")</f>
      </c>
      <c r="P211" s="79">
        <f>IFERROR(VLOOKUP($A:$A,CS!$A:$AK,24,FALSE),"")</f>
      </c>
      <c r="Q211" s="79">
        <f>IFERROR(VLOOKUP($A:$A,CS!$A:$AK,25,FALSE),"")</f>
      </c>
      <c r="R211" s="79">
        <f>IFERROR(VLOOKUP($A:$A,CS!$A:$AK,26,FALSE),"")</f>
      </c>
      <c r="S211" s="79">
        <f>IFERROR(VLOOKUP($A:$A,CS!$A:$AK,29,FALSE),"")</f>
      </c>
      <c r="T211" s="79">
        <f>IFERROR(VLOOKUP($A:$A,CS!$A:$AK,33,FALSE),"")</f>
      </c>
      <c r="U211" s="79">
        <f>IFERROR(VLOOKUP($A:$A,CS!$A:$AK,34,FALSE),"")</f>
      </c>
      <c r="V211" s="79">
        <f>IFERROR(VLOOKUP($A:$A,CS!$A:$AK,35,FALSE),"")</f>
      </c>
      <c r="W211" s="79">
        <f>IFERROR(VLOOKUP($A:$A,CS!$A:$AK,36,FALSE),"")</f>
      </c>
    </row>
    <row r="212" ht="16.5" customHeight="1" spans="1:23" x14ac:dyDescent="0.25">
      <c r="A212" s="93"/>
      <c r="B212" s="79">
        <f>IFERROR(VLOOKUP($A:$A,CS!$A:$AK,3,FALSE),"")</f>
      </c>
      <c r="C212" s="79">
        <f>IFERROR(VLOOKUP($A:$A,CS!$A:$AK,4,FALSE),"")</f>
      </c>
      <c r="D212" s="79">
        <f>IFERROR(VLOOKUP($A:$A,CS!$A:$AK,5,FALSE),"")</f>
      </c>
      <c r="E212" s="79">
        <f>IFERROR(VLOOKUP($A:$A,CS!$A:$AK,7,FALSE),"")</f>
      </c>
      <c r="F212" s="79">
        <f>IFERROR(VLOOKUP($A:$A,CS!$A:$AK,8,FALSE),"")</f>
      </c>
      <c r="G212" s="79">
        <f>IFERROR(VLOOKUP($A:$A,CS!$A:$AK,10,FALSE),"")</f>
      </c>
      <c r="H212" s="79">
        <f>IFERROR(VLOOKUP($A:$A,CS!$A:$AK,14,FALSE),"")</f>
      </c>
      <c r="I212" s="79">
        <f>IFERROR(VLOOKUP($A:$A,CS!$A:$AK,15,FALSE),"")</f>
      </c>
      <c r="J212" s="79">
        <f>IFERROR(VLOOKUP($A:$A,CS!$A:$AK,18,FALSE),"")</f>
      </c>
      <c r="K212" s="79">
        <f>IFERROR(VLOOKUP($A:$A,CS!$A:$AK,19,FALSE),"")</f>
      </c>
      <c r="L212" s="79">
        <f>IFERROR(VLOOKUP($A:$A,CS!$A:$AK,20,FALSE),"")</f>
      </c>
      <c r="M212" s="79">
        <f>IFERROR(VLOOKUP($A:$A,CS!$A:$AK,22,FALSE),"")</f>
      </c>
      <c r="N212" s="79">
        <f>IFERROR(VLOOKUP($A:$A,CS!$A:$AK,19,FALSE),"")</f>
      </c>
      <c r="O212" s="79">
        <f>IFERROR(VLOOKUP($A:$A,CS!$A:$AK,23,FALSE),"")</f>
      </c>
      <c r="P212" s="79">
        <f>IFERROR(VLOOKUP($A:$A,CS!$A:$AK,24,FALSE),"")</f>
      </c>
      <c r="Q212" s="79">
        <f>IFERROR(VLOOKUP($A:$A,CS!$A:$AK,25,FALSE),"")</f>
      </c>
      <c r="R212" s="79">
        <f>IFERROR(VLOOKUP($A:$A,CS!$A:$AK,26,FALSE),"")</f>
      </c>
      <c r="S212" s="79">
        <f>IFERROR(VLOOKUP($A:$A,CS!$A:$AK,29,FALSE),"")</f>
      </c>
      <c r="T212" s="79">
        <f>IFERROR(VLOOKUP($A:$A,CS!$A:$AK,33,FALSE),"")</f>
      </c>
      <c r="U212" s="79">
        <f>IFERROR(VLOOKUP($A:$A,CS!$A:$AK,34,FALSE),"")</f>
      </c>
      <c r="V212" s="79">
        <f>IFERROR(VLOOKUP($A:$A,CS!$A:$AK,35,FALSE),"")</f>
      </c>
      <c r="W212" s="79">
        <f>IFERROR(VLOOKUP($A:$A,CS!$A:$AK,36,FALSE),"")</f>
      </c>
    </row>
    <row r="213" ht="16.5" customHeight="1" spans="1:23" x14ac:dyDescent="0.25">
      <c r="A213" s="93"/>
      <c r="B213" s="79">
        <f>IFERROR(VLOOKUP($A:$A,CS!$A:$AK,3,FALSE),"")</f>
      </c>
      <c r="C213" s="79">
        <f>IFERROR(VLOOKUP($A:$A,CS!$A:$AK,4,FALSE),"")</f>
      </c>
      <c r="D213" s="79">
        <f>IFERROR(VLOOKUP($A:$A,CS!$A:$AK,5,FALSE),"")</f>
      </c>
      <c r="E213" s="79">
        <f>IFERROR(VLOOKUP($A:$A,CS!$A:$AK,7,FALSE),"")</f>
      </c>
      <c r="F213" s="79">
        <f>IFERROR(VLOOKUP($A:$A,CS!$A:$AK,8,FALSE),"")</f>
      </c>
      <c r="G213" s="79">
        <f>IFERROR(VLOOKUP($A:$A,CS!$A:$AK,10,FALSE),"")</f>
      </c>
      <c r="H213" s="79">
        <f>IFERROR(VLOOKUP($A:$A,CS!$A:$AK,14,FALSE),"")</f>
      </c>
      <c r="I213" s="79">
        <f>IFERROR(VLOOKUP($A:$A,CS!$A:$AK,15,FALSE),"")</f>
      </c>
      <c r="J213" s="79">
        <f>IFERROR(VLOOKUP($A:$A,CS!$A:$AK,18,FALSE),"")</f>
      </c>
      <c r="K213" s="79">
        <f>IFERROR(VLOOKUP($A:$A,CS!$A:$AK,19,FALSE),"")</f>
      </c>
      <c r="L213" s="79">
        <f>IFERROR(VLOOKUP($A:$A,CS!$A:$AK,20,FALSE),"")</f>
      </c>
      <c r="M213" s="79">
        <f>IFERROR(VLOOKUP($A:$A,CS!$A:$AK,22,FALSE),"")</f>
      </c>
      <c r="N213" s="79">
        <f>IFERROR(VLOOKUP($A:$A,CS!$A:$AK,19,FALSE),"")</f>
      </c>
      <c r="O213" s="79">
        <f>IFERROR(VLOOKUP($A:$A,CS!$A:$AK,23,FALSE),"")</f>
      </c>
      <c r="P213" s="79">
        <f>IFERROR(VLOOKUP($A:$A,CS!$A:$AK,24,FALSE),"")</f>
      </c>
      <c r="Q213" s="79">
        <f>IFERROR(VLOOKUP($A:$A,CS!$A:$AK,25,FALSE),"")</f>
      </c>
      <c r="R213" s="79">
        <f>IFERROR(VLOOKUP($A:$A,CS!$A:$AK,26,FALSE),"")</f>
      </c>
      <c r="S213" s="79">
        <f>IFERROR(VLOOKUP($A:$A,CS!$A:$AK,29,FALSE),"")</f>
      </c>
      <c r="T213" s="79">
        <f>IFERROR(VLOOKUP($A:$A,CS!$A:$AK,33,FALSE),"")</f>
      </c>
      <c r="U213" s="79">
        <f>IFERROR(VLOOKUP($A:$A,CS!$A:$AK,34,FALSE),"")</f>
      </c>
      <c r="V213" s="79">
        <f>IFERROR(VLOOKUP($A:$A,CS!$A:$AK,35,FALSE),"")</f>
      </c>
      <c r="W213" s="79">
        <f>IFERROR(VLOOKUP($A:$A,CS!$A:$AK,36,FALSE),"")</f>
      </c>
    </row>
    <row r="214" ht="16.5" customHeight="1" spans="1:23" x14ac:dyDescent="0.25">
      <c r="A214" s="93"/>
      <c r="B214" s="79">
        <f>IFERROR(VLOOKUP($A:$A,CS!$A:$AK,3,FALSE),"")</f>
      </c>
      <c r="C214" s="79">
        <f>IFERROR(VLOOKUP($A:$A,CS!$A:$AK,4,FALSE),"")</f>
      </c>
      <c r="D214" s="79">
        <f>IFERROR(VLOOKUP($A:$A,CS!$A:$AK,5,FALSE),"")</f>
      </c>
      <c r="E214" s="79">
        <f>IFERROR(VLOOKUP($A:$A,CS!$A:$AK,7,FALSE),"")</f>
      </c>
      <c r="F214" s="79">
        <f>IFERROR(VLOOKUP($A:$A,CS!$A:$AK,8,FALSE),"")</f>
      </c>
      <c r="G214" s="79">
        <f>IFERROR(VLOOKUP($A:$A,CS!$A:$AK,10,FALSE),"")</f>
      </c>
      <c r="H214" s="79">
        <f>IFERROR(VLOOKUP($A:$A,CS!$A:$AK,14,FALSE),"")</f>
      </c>
      <c r="I214" s="79">
        <f>IFERROR(VLOOKUP($A:$A,CS!$A:$AK,15,FALSE),"")</f>
      </c>
      <c r="J214" s="79">
        <f>IFERROR(VLOOKUP($A:$A,CS!$A:$AK,18,FALSE),"")</f>
      </c>
      <c r="K214" s="79">
        <f>IFERROR(VLOOKUP($A:$A,CS!$A:$AK,19,FALSE),"")</f>
      </c>
      <c r="L214" s="79">
        <f>IFERROR(VLOOKUP($A:$A,CS!$A:$AK,20,FALSE),"")</f>
      </c>
      <c r="M214" s="79">
        <f>IFERROR(VLOOKUP($A:$A,CS!$A:$AK,22,FALSE),"")</f>
      </c>
      <c r="N214" s="79">
        <f>IFERROR(VLOOKUP($A:$A,CS!$A:$AK,19,FALSE),"")</f>
      </c>
      <c r="O214" s="79">
        <f>IFERROR(VLOOKUP($A:$A,CS!$A:$AK,23,FALSE),"")</f>
      </c>
      <c r="P214" s="79">
        <f>IFERROR(VLOOKUP($A:$A,CS!$A:$AK,24,FALSE),"")</f>
      </c>
      <c r="Q214" s="79">
        <f>IFERROR(VLOOKUP($A:$A,CS!$A:$AK,25,FALSE),"")</f>
      </c>
      <c r="R214" s="79">
        <f>IFERROR(VLOOKUP($A:$A,CS!$A:$AK,26,FALSE),"")</f>
      </c>
      <c r="S214" s="79">
        <f>IFERROR(VLOOKUP($A:$A,CS!$A:$AK,29,FALSE),"")</f>
      </c>
      <c r="T214" s="79">
        <f>IFERROR(VLOOKUP($A:$A,CS!$A:$AK,33,FALSE),"")</f>
      </c>
      <c r="U214" s="79">
        <f>IFERROR(VLOOKUP($A:$A,CS!$A:$AK,34,FALSE),"")</f>
      </c>
      <c r="V214" s="79">
        <f>IFERROR(VLOOKUP($A:$A,CS!$A:$AK,35,FALSE),"")</f>
      </c>
      <c r="W214" s="79">
        <f>IFERROR(VLOOKUP($A:$A,CS!$A:$AK,36,FALSE),"")</f>
      </c>
    </row>
    <row r="215" ht="16.5" customHeight="1" spans="1:23" x14ac:dyDescent="0.25">
      <c r="A215" s="93"/>
      <c r="B215" s="79">
        <f>IFERROR(VLOOKUP($A:$A,CS!$A:$AK,3,FALSE),"")</f>
      </c>
      <c r="C215" s="79">
        <f>IFERROR(VLOOKUP($A:$A,CS!$A:$AK,4,FALSE),"")</f>
      </c>
      <c r="D215" s="79">
        <f>IFERROR(VLOOKUP($A:$A,CS!$A:$AK,5,FALSE),"")</f>
      </c>
      <c r="E215" s="79">
        <f>IFERROR(VLOOKUP($A:$A,CS!$A:$AK,7,FALSE),"")</f>
      </c>
      <c r="F215" s="79">
        <f>IFERROR(VLOOKUP($A:$A,CS!$A:$AK,8,FALSE),"")</f>
      </c>
      <c r="G215" s="79">
        <f>IFERROR(VLOOKUP($A:$A,CS!$A:$AK,10,FALSE),"")</f>
      </c>
      <c r="H215" s="79">
        <f>IFERROR(VLOOKUP($A:$A,CS!$A:$AK,14,FALSE),"")</f>
      </c>
      <c r="I215" s="79">
        <f>IFERROR(VLOOKUP($A:$A,CS!$A:$AK,15,FALSE),"")</f>
      </c>
      <c r="J215" s="79">
        <f>IFERROR(VLOOKUP($A:$A,CS!$A:$AK,18,FALSE),"")</f>
      </c>
      <c r="K215" s="79">
        <f>IFERROR(VLOOKUP($A:$A,CS!$A:$AK,19,FALSE),"")</f>
      </c>
      <c r="L215" s="79">
        <f>IFERROR(VLOOKUP($A:$A,CS!$A:$AK,20,FALSE),"")</f>
      </c>
      <c r="M215" s="79">
        <f>IFERROR(VLOOKUP($A:$A,CS!$A:$AK,22,FALSE),"")</f>
      </c>
      <c r="N215" s="79">
        <f>IFERROR(VLOOKUP($A:$A,CS!$A:$AK,19,FALSE),"")</f>
      </c>
      <c r="O215" s="79">
        <f>IFERROR(VLOOKUP($A:$A,CS!$A:$AK,23,FALSE),"")</f>
      </c>
      <c r="P215" s="79">
        <f>IFERROR(VLOOKUP($A:$A,CS!$A:$AK,24,FALSE),"")</f>
      </c>
      <c r="Q215" s="79">
        <f>IFERROR(VLOOKUP($A:$A,CS!$A:$AK,25,FALSE),"")</f>
      </c>
      <c r="R215" s="79">
        <f>IFERROR(VLOOKUP($A:$A,CS!$A:$AK,26,FALSE),"")</f>
      </c>
      <c r="S215" s="79">
        <f>IFERROR(VLOOKUP($A:$A,CS!$A:$AK,29,FALSE),"")</f>
      </c>
      <c r="T215" s="79">
        <f>IFERROR(VLOOKUP($A:$A,CS!$A:$AK,33,FALSE),"")</f>
      </c>
      <c r="U215" s="79">
        <f>IFERROR(VLOOKUP($A:$A,CS!$A:$AK,34,FALSE),"")</f>
      </c>
      <c r="V215" s="79">
        <f>IFERROR(VLOOKUP($A:$A,CS!$A:$AK,35,FALSE),"")</f>
      </c>
      <c r="W215" s="79">
        <f>IFERROR(VLOOKUP($A:$A,CS!$A:$AK,36,FALSE),"")</f>
      </c>
    </row>
    <row r="216" ht="16.5" customHeight="1" spans="1:23" x14ac:dyDescent="0.25">
      <c r="A216" s="93"/>
      <c r="B216" s="79">
        <f>IFERROR(VLOOKUP($A:$A,CS!$A:$AK,3,FALSE),"")</f>
      </c>
      <c r="C216" s="79">
        <f>IFERROR(VLOOKUP($A:$A,CS!$A:$AK,4,FALSE),"")</f>
      </c>
      <c r="D216" s="79">
        <f>IFERROR(VLOOKUP($A:$A,CS!$A:$AK,5,FALSE),"")</f>
      </c>
      <c r="E216" s="79">
        <f>IFERROR(VLOOKUP($A:$A,CS!$A:$AK,7,FALSE),"")</f>
      </c>
      <c r="F216" s="79">
        <f>IFERROR(VLOOKUP($A:$A,CS!$A:$AK,8,FALSE),"")</f>
      </c>
      <c r="G216" s="79">
        <f>IFERROR(VLOOKUP($A:$A,CS!$A:$AK,10,FALSE),"")</f>
      </c>
      <c r="H216" s="79">
        <f>IFERROR(VLOOKUP($A:$A,CS!$A:$AK,14,FALSE),"")</f>
      </c>
      <c r="I216" s="79">
        <f>IFERROR(VLOOKUP($A:$A,CS!$A:$AK,15,FALSE),"")</f>
      </c>
      <c r="J216" s="79">
        <f>IFERROR(VLOOKUP($A:$A,CS!$A:$AK,18,FALSE),"")</f>
      </c>
      <c r="K216" s="79">
        <f>IFERROR(VLOOKUP($A:$A,CS!$A:$AK,19,FALSE),"")</f>
      </c>
      <c r="L216" s="79">
        <f>IFERROR(VLOOKUP($A:$A,CS!$A:$AK,20,FALSE),"")</f>
      </c>
      <c r="M216" s="79">
        <f>IFERROR(VLOOKUP($A:$A,CS!$A:$AK,22,FALSE),"")</f>
      </c>
      <c r="N216" s="79">
        <f>IFERROR(VLOOKUP($A:$A,CS!$A:$AK,19,FALSE),"")</f>
      </c>
      <c r="O216" s="79">
        <f>IFERROR(VLOOKUP($A:$A,CS!$A:$AK,23,FALSE),"")</f>
      </c>
      <c r="P216" s="79">
        <f>IFERROR(VLOOKUP($A:$A,CS!$A:$AK,24,FALSE),"")</f>
      </c>
      <c r="Q216" s="79">
        <f>IFERROR(VLOOKUP($A:$A,CS!$A:$AK,25,FALSE),"")</f>
      </c>
      <c r="R216" s="79">
        <f>IFERROR(VLOOKUP($A:$A,CS!$A:$AK,26,FALSE),"")</f>
      </c>
      <c r="S216" s="79">
        <f>IFERROR(VLOOKUP($A:$A,CS!$A:$AK,29,FALSE),"")</f>
      </c>
      <c r="T216" s="79">
        <f>IFERROR(VLOOKUP($A:$A,CS!$A:$AK,33,FALSE),"")</f>
      </c>
      <c r="U216" s="79">
        <f>IFERROR(VLOOKUP($A:$A,CS!$A:$AK,34,FALSE),"")</f>
      </c>
      <c r="V216" s="79">
        <f>IFERROR(VLOOKUP($A:$A,CS!$A:$AK,35,FALSE),"")</f>
      </c>
      <c r="W216" s="79">
        <f>IFERROR(VLOOKUP($A:$A,CS!$A:$AK,36,FALSE),"")</f>
      </c>
    </row>
    <row r="217" ht="16.5" customHeight="1" spans="1:23" x14ac:dyDescent="0.25">
      <c r="A217" s="93"/>
      <c r="B217" s="79">
        <f>IFERROR(VLOOKUP($A:$A,CS!$A:$AK,3,FALSE),"")</f>
      </c>
      <c r="C217" s="79">
        <f>IFERROR(VLOOKUP($A:$A,CS!$A:$AK,4,FALSE),"")</f>
      </c>
      <c r="D217" s="79">
        <f>IFERROR(VLOOKUP($A:$A,CS!$A:$AK,5,FALSE),"")</f>
      </c>
      <c r="E217" s="79">
        <f>IFERROR(VLOOKUP($A:$A,CS!$A:$AK,7,FALSE),"")</f>
      </c>
      <c r="F217" s="79">
        <f>IFERROR(VLOOKUP($A:$A,CS!$A:$AK,8,FALSE),"")</f>
      </c>
      <c r="G217" s="79">
        <f>IFERROR(VLOOKUP($A:$A,CS!$A:$AK,10,FALSE),"")</f>
      </c>
      <c r="H217" s="79">
        <f>IFERROR(VLOOKUP($A:$A,CS!$A:$AK,14,FALSE),"")</f>
      </c>
      <c r="I217" s="79">
        <f>IFERROR(VLOOKUP($A:$A,CS!$A:$AK,15,FALSE),"")</f>
      </c>
      <c r="J217" s="79">
        <f>IFERROR(VLOOKUP($A:$A,CS!$A:$AK,18,FALSE),"")</f>
      </c>
      <c r="K217" s="79">
        <f>IFERROR(VLOOKUP($A:$A,CS!$A:$AK,19,FALSE),"")</f>
      </c>
      <c r="L217" s="79">
        <f>IFERROR(VLOOKUP($A:$A,CS!$A:$AK,20,FALSE),"")</f>
      </c>
      <c r="M217" s="79">
        <f>IFERROR(VLOOKUP($A:$A,CS!$A:$AK,22,FALSE),"")</f>
      </c>
      <c r="N217" s="79">
        <f>IFERROR(VLOOKUP($A:$A,CS!$A:$AK,19,FALSE),"")</f>
      </c>
      <c r="O217" s="79">
        <f>IFERROR(VLOOKUP($A:$A,CS!$A:$AK,23,FALSE),"")</f>
      </c>
      <c r="P217" s="79">
        <f>IFERROR(VLOOKUP($A:$A,CS!$A:$AK,24,FALSE),"")</f>
      </c>
      <c r="Q217" s="79">
        <f>IFERROR(VLOOKUP($A:$A,CS!$A:$AK,25,FALSE),"")</f>
      </c>
      <c r="R217" s="79">
        <f>IFERROR(VLOOKUP($A:$A,CS!$A:$AK,26,FALSE),"")</f>
      </c>
      <c r="S217" s="79">
        <f>IFERROR(VLOOKUP($A:$A,CS!$A:$AK,29,FALSE),"")</f>
      </c>
      <c r="T217" s="79">
        <f>IFERROR(VLOOKUP($A:$A,CS!$A:$AK,33,FALSE),"")</f>
      </c>
      <c r="U217" s="79">
        <f>IFERROR(VLOOKUP($A:$A,CS!$A:$AK,34,FALSE),"")</f>
      </c>
      <c r="V217" s="79">
        <f>IFERROR(VLOOKUP($A:$A,CS!$A:$AK,35,FALSE),"")</f>
      </c>
      <c r="W217" s="79">
        <f>IFERROR(VLOOKUP($A:$A,CS!$A:$AK,36,FALSE),"")</f>
      </c>
    </row>
    <row r="218" ht="16.5" customHeight="1" spans="1:23" x14ac:dyDescent="0.25">
      <c r="A218" s="93"/>
      <c r="B218" s="79">
        <f>IFERROR(VLOOKUP($A:$A,CS!$A:$AK,3,FALSE),"")</f>
      </c>
      <c r="C218" s="79">
        <f>IFERROR(VLOOKUP($A:$A,CS!$A:$AK,4,FALSE),"")</f>
      </c>
      <c r="D218" s="79">
        <f>IFERROR(VLOOKUP($A:$A,CS!$A:$AK,5,FALSE),"")</f>
      </c>
      <c r="E218" s="79">
        <f>IFERROR(VLOOKUP($A:$A,CS!$A:$AK,7,FALSE),"")</f>
      </c>
      <c r="F218" s="79">
        <f>IFERROR(VLOOKUP($A:$A,CS!$A:$AK,8,FALSE),"")</f>
      </c>
      <c r="G218" s="79">
        <f>IFERROR(VLOOKUP($A:$A,CS!$A:$AK,10,FALSE),"")</f>
      </c>
      <c r="H218" s="79">
        <f>IFERROR(VLOOKUP($A:$A,CS!$A:$AK,14,FALSE),"")</f>
      </c>
      <c r="I218" s="79">
        <f>IFERROR(VLOOKUP($A:$A,CS!$A:$AK,15,FALSE),"")</f>
      </c>
      <c r="J218" s="79">
        <f>IFERROR(VLOOKUP($A:$A,CS!$A:$AK,18,FALSE),"")</f>
      </c>
      <c r="K218" s="79">
        <f>IFERROR(VLOOKUP($A:$A,CS!$A:$AK,19,FALSE),"")</f>
      </c>
      <c r="L218" s="79">
        <f>IFERROR(VLOOKUP($A:$A,CS!$A:$AK,20,FALSE),"")</f>
      </c>
      <c r="M218" s="79">
        <f>IFERROR(VLOOKUP($A:$A,CS!$A:$AK,22,FALSE),"")</f>
      </c>
      <c r="N218" s="79">
        <f>IFERROR(VLOOKUP($A:$A,CS!$A:$AK,19,FALSE),"")</f>
      </c>
      <c r="O218" s="79">
        <f>IFERROR(VLOOKUP($A:$A,CS!$A:$AK,23,FALSE),"")</f>
      </c>
      <c r="P218" s="79">
        <f>IFERROR(VLOOKUP($A:$A,CS!$A:$AK,24,FALSE),"")</f>
      </c>
      <c r="Q218" s="79">
        <f>IFERROR(VLOOKUP($A:$A,CS!$A:$AK,25,FALSE),"")</f>
      </c>
      <c r="R218" s="79">
        <f>IFERROR(VLOOKUP($A:$A,CS!$A:$AK,26,FALSE),"")</f>
      </c>
      <c r="S218" s="79">
        <f>IFERROR(VLOOKUP($A:$A,CS!$A:$AK,29,FALSE),"")</f>
      </c>
      <c r="T218" s="79">
        <f>IFERROR(VLOOKUP($A:$A,CS!$A:$AK,33,FALSE),"")</f>
      </c>
      <c r="U218" s="79">
        <f>IFERROR(VLOOKUP($A:$A,CS!$A:$AK,34,FALSE),"")</f>
      </c>
      <c r="V218" s="79">
        <f>IFERROR(VLOOKUP($A:$A,CS!$A:$AK,35,FALSE),"")</f>
      </c>
      <c r="W218" s="79">
        <f>IFERROR(VLOOKUP($A:$A,CS!$A:$AK,36,FALSE),"")</f>
      </c>
    </row>
    <row r="219" ht="16.5" customHeight="1" spans="1:23" x14ac:dyDescent="0.25">
      <c r="A219" s="93"/>
      <c r="B219" s="79">
        <f>IFERROR(VLOOKUP($A:$A,CS!$A:$AK,3,FALSE),"")</f>
      </c>
      <c r="C219" s="79">
        <f>IFERROR(VLOOKUP($A:$A,CS!$A:$AK,4,FALSE),"")</f>
      </c>
      <c r="D219" s="79">
        <f>IFERROR(VLOOKUP($A:$A,CS!$A:$AK,5,FALSE),"")</f>
      </c>
      <c r="E219" s="79">
        <f>IFERROR(VLOOKUP($A:$A,CS!$A:$AK,7,FALSE),"")</f>
      </c>
      <c r="F219" s="79">
        <f>IFERROR(VLOOKUP($A:$A,CS!$A:$AK,8,FALSE),"")</f>
      </c>
      <c r="G219" s="79">
        <f>IFERROR(VLOOKUP($A:$A,CS!$A:$AK,10,FALSE),"")</f>
      </c>
      <c r="H219" s="79">
        <f>IFERROR(VLOOKUP($A:$A,CS!$A:$AK,14,FALSE),"")</f>
      </c>
      <c r="I219" s="79">
        <f>IFERROR(VLOOKUP($A:$A,CS!$A:$AK,15,FALSE),"")</f>
      </c>
      <c r="J219" s="79">
        <f>IFERROR(VLOOKUP($A:$A,CS!$A:$AK,18,FALSE),"")</f>
      </c>
      <c r="K219" s="79">
        <f>IFERROR(VLOOKUP($A:$A,CS!$A:$AK,19,FALSE),"")</f>
      </c>
      <c r="L219" s="79">
        <f>IFERROR(VLOOKUP($A:$A,CS!$A:$AK,20,FALSE),"")</f>
      </c>
      <c r="M219" s="79">
        <f>IFERROR(VLOOKUP($A:$A,CS!$A:$AK,22,FALSE),"")</f>
      </c>
      <c r="N219" s="79">
        <f>IFERROR(VLOOKUP($A:$A,CS!$A:$AK,19,FALSE),"")</f>
      </c>
      <c r="O219" s="79">
        <f>IFERROR(VLOOKUP($A:$A,CS!$A:$AK,23,FALSE),"")</f>
      </c>
      <c r="P219" s="79">
        <f>IFERROR(VLOOKUP($A:$A,CS!$A:$AK,24,FALSE),"")</f>
      </c>
      <c r="Q219" s="79">
        <f>IFERROR(VLOOKUP($A:$A,CS!$A:$AK,25,FALSE),"")</f>
      </c>
      <c r="R219" s="79">
        <f>IFERROR(VLOOKUP($A:$A,CS!$A:$AK,26,FALSE),"")</f>
      </c>
      <c r="S219" s="79">
        <f>IFERROR(VLOOKUP($A:$A,CS!$A:$AK,29,FALSE),"")</f>
      </c>
      <c r="T219" s="79">
        <f>IFERROR(VLOOKUP($A:$A,CS!$A:$AK,33,FALSE),"")</f>
      </c>
      <c r="U219" s="79">
        <f>IFERROR(VLOOKUP($A:$A,CS!$A:$AK,34,FALSE),"")</f>
      </c>
      <c r="V219" s="79">
        <f>IFERROR(VLOOKUP($A:$A,CS!$A:$AK,35,FALSE),"")</f>
      </c>
      <c r="W219" s="79">
        <f>IFERROR(VLOOKUP($A:$A,CS!$A:$AK,36,FALSE),"")</f>
      </c>
    </row>
    <row r="220" ht="16.5" customHeight="1" spans="1:23" x14ac:dyDescent="0.25">
      <c r="A220" s="93"/>
      <c r="B220" s="79">
        <f>IFERROR(VLOOKUP($A:$A,CS!$A:$AK,3,FALSE),"")</f>
      </c>
      <c r="C220" s="79">
        <f>IFERROR(VLOOKUP($A:$A,CS!$A:$AK,4,FALSE),"")</f>
      </c>
      <c r="D220" s="79">
        <f>IFERROR(VLOOKUP($A:$A,CS!$A:$AK,5,FALSE),"")</f>
      </c>
      <c r="E220" s="79">
        <f>IFERROR(VLOOKUP($A:$A,CS!$A:$AK,7,FALSE),"")</f>
      </c>
      <c r="F220" s="79">
        <f>IFERROR(VLOOKUP($A:$A,CS!$A:$AK,8,FALSE),"")</f>
      </c>
      <c r="G220" s="79">
        <f>IFERROR(VLOOKUP($A:$A,CS!$A:$AK,10,FALSE),"")</f>
      </c>
      <c r="H220" s="79">
        <f>IFERROR(VLOOKUP($A:$A,CS!$A:$AK,14,FALSE),"")</f>
      </c>
      <c r="I220" s="79">
        <f>IFERROR(VLOOKUP($A:$A,CS!$A:$AK,15,FALSE),"")</f>
      </c>
      <c r="J220" s="79">
        <f>IFERROR(VLOOKUP($A:$A,CS!$A:$AK,18,FALSE),"")</f>
      </c>
      <c r="K220" s="79">
        <f>IFERROR(VLOOKUP($A:$A,CS!$A:$AK,19,FALSE),"")</f>
      </c>
      <c r="L220" s="79">
        <f>IFERROR(VLOOKUP($A:$A,CS!$A:$AK,20,FALSE),"")</f>
      </c>
      <c r="M220" s="79">
        <f>IFERROR(VLOOKUP($A:$A,CS!$A:$AK,22,FALSE),"")</f>
      </c>
      <c r="N220" s="79">
        <f>IFERROR(VLOOKUP($A:$A,CS!$A:$AK,19,FALSE),"")</f>
      </c>
      <c r="O220" s="79">
        <f>IFERROR(VLOOKUP($A:$A,CS!$A:$AK,23,FALSE),"")</f>
      </c>
      <c r="P220" s="79">
        <f>IFERROR(VLOOKUP($A:$A,CS!$A:$AK,24,FALSE),"")</f>
      </c>
      <c r="Q220" s="79">
        <f>IFERROR(VLOOKUP($A:$A,CS!$A:$AK,25,FALSE),"")</f>
      </c>
      <c r="R220" s="79">
        <f>IFERROR(VLOOKUP($A:$A,CS!$A:$AK,26,FALSE),"")</f>
      </c>
      <c r="S220" s="79">
        <f>IFERROR(VLOOKUP($A:$A,CS!$A:$AK,29,FALSE),"")</f>
      </c>
      <c r="T220" s="79">
        <f>IFERROR(VLOOKUP($A:$A,CS!$A:$AK,33,FALSE),"")</f>
      </c>
      <c r="U220" s="79">
        <f>IFERROR(VLOOKUP($A:$A,CS!$A:$AK,34,FALSE),"")</f>
      </c>
      <c r="V220" s="79">
        <f>IFERROR(VLOOKUP($A:$A,CS!$A:$AK,35,FALSE),"")</f>
      </c>
      <c r="W220" s="79">
        <f>IFERROR(VLOOKUP($A:$A,CS!$A:$AK,36,FALSE),"")</f>
      </c>
    </row>
    <row r="221" ht="16.5" customHeight="1" spans="1:23" x14ac:dyDescent="0.25">
      <c r="A221" s="93"/>
      <c r="B221" s="79">
        <f>IFERROR(VLOOKUP($A:$A,CS!$A:$AK,3,FALSE),"")</f>
      </c>
      <c r="C221" s="79">
        <f>IFERROR(VLOOKUP($A:$A,CS!$A:$AK,4,FALSE),"")</f>
      </c>
      <c r="D221" s="79">
        <f>IFERROR(VLOOKUP($A:$A,CS!$A:$AK,5,FALSE),"")</f>
      </c>
      <c r="E221" s="79">
        <f>IFERROR(VLOOKUP($A:$A,CS!$A:$AK,7,FALSE),"")</f>
      </c>
      <c r="F221" s="79">
        <f>IFERROR(VLOOKUP($A:$A,CS!$A:$AK,8,FALSE),"")</f>
      </c>
      <c r="G221" s="79">
        <f>IFERROR(VLOOKUP($A:$A,CS!$A:$AK,10,FALSE),"")</f>
      </c>
      <c r="H221" s="79">
        <f>IFERROR(VLOOKUP($A:$A,CS!$A:$AK,14,FALSE),"")</f>
      </c>
      <c r="I221" s="79">
        <f>IFERROR(VLOOKUP($A:$A,CS!$A:$AK,15,FALSE),"")</f>
      </c>
      <c r="J221" s="79">
        <f>IFERROR(VLOOKUP($A:$A,CS!$A:$AK,18,FALSE),"")</f>
      </c>
      <c r="K221" s="79">
        <f>IFERROR(VLOOKUP($A:$A,CS!$A:$AK,19,FALSE),"")</f>
      </c>
      <c r="L221" s="79">
        <f>IFERROR(VLOOKUP($A:$A,CS!$A:$AK,20,FALSE),"")</f>
      </c>
      <c r="M221" s="79">
        <f>IFERROR(VLOOKUP($A:$A,CS!$A:$AK,22,FALSE),"")</f>
      </c>
      <c r="N221" s="79">
        <f>IFERROR(VLOOKUP($A:$A,CS!$A:$AK,19,FALSE),"")</f>
      </c>
      <c r="O221" s="79">
        <f>IFERROR(VLOOKUP($A:$A,CS!$A:$AK,23,FALSE),"")</f>
      </c>
      <c r="P221" s="79">
        <f>IFERROR(VLOOKUP($A:$A,CS!$A:$AK,24,FALSE),"")</f>
      </c>
      <c r="Q221" s="79">
        <f>IFERROR(VLOOKUP($A:$A,CS!$A:$AK,25,FALSE),"")</f>
      </c>
      <c r="R221" s="79">
        <f>IFERROR(VLOOKUP($A:$A,CS!$A:$AK,26,FALSE),"")</f>
      </c>
      <c r="S221" s="79">
        <f>IFERROR(VLOOKUP($A:$A,CS!$A:$AK,29,FALSE),"")</f>
      </c>
      <c r="T221" s="79">
        <f>IFERROR(VLOOKUP($A:$A,CS!$A:$AK,33,FALSE),"")</f>
      </c>
      <c r="U221" s="79">
        <f>IFERROR(VLOOKUP($A:$A,CS!$A:$AK,34,FALSE),"")</f>
      </c>
      <c r="V221" s="79">
        <f>IFERROR(VLOOKUP($A:$A,CS!$A:$AK,35,FALSE),"")</f>
      </c>
      <c r="W221" s="79">
        <f>IFERROR(VLOOKUP($A:$A,CS!$A:$AK,36,FALSE),"")</f>
      </c>
    </row>
    <row r="222" ht="16.5" customHeight="1" spans="1:23" x14ac:dyDescent="0.25">
      <c r="A222" s="93"/>
      <c r="B222" s="79">
        <f>IFERROR(VLOOKUP($A:$A,CS!$A:$AK,3,FALSE),"")</f>
      </c>
      <c r="C222" s="79">
        <f>IFERROR(VLOOKUP($A:$A,CS!$A:$AK,4,FALSE),"")</f>
      </c>
      <c r="D222" s="79">
        <f>IFERROR(VLOOKUP($A:$A,CS!$A:$AK,5,FALSE),"")</f>
      </c>
      <c r="E222" s="79">
        <f>IFERROR(VLOOKUP($A:$A,CS!$A:$AK,7,FALSE),"")</f>
      </c>
      <c r="F222" s="79">
        <f>IFERROR(VLOOKUP($A:$A,CS!$A:$AK,8,FALSE),"")</f>
      </c>
      <c r="G222" s="79">
        <f>IFERROR(VLOOKUP($A:$A,CS!$A:$AK,10,FALSE),"")</f>
      </c>
      <c r="H222" s="79">
        <f>IFERROR(VLOOKUP($A:$A,CS!$A:$AK,14,FALSE),"")</f>
      </c>
      <c r="I222" s="79">
        <f>IFERROR(VLOOKUP($A:$A,CS!$A:$AK,15,FALSE),"")</f>
      </c>
      <c r="J222" s="79">
        <f>IFERROR(VLOOKUP($A:$A,CS!$A:$AK,18,FALSE),"")</f>
      </c>
      <c r="K222" s="79">
        <f>IFERROR(VLOOKUP($A:$A,CS!$A:$AK,19,FALSE),"")</f>
      </c>
      <c r="L222" s="79">
        <f>IFERROR(VLOOKUP($A:$A,CS!$A:$AK,20,FALSE),"")</f>
      </c>
      <c r="M222" s="79">
        <f>IFERROR(VLOOKUP($A:$A,CS!$A:$AK,22,FALSE),"")</f>
      </c>
      <c r="N222" s="79">
        <f>IFERROR(VLOOKUP($A:$A,CS!$A:$AK,19,FALSE),"")</f>
      </c>
      <c r="O222" s="79">
        <f>IFERROR(VLOOKUP($A:$A,CS!$A:$AK,23,FALSE),"")</f>
      </c>
      <c r="P222" s="79">
        <f>IFERROR(VLOOKUP($A:$A,CS!$A:$AK,24,FALSE),"")</f>
      </c>
      <c r="Q222" s="79">
        <f>IFERROR(VLOOKUP($A:$A,CS!$A:$AK,25,FALSE),"")</f>
      </c>
      <c r="R222" s="79">
        <f>IFERROR(VLOOKUP($A:$A,CS!$A:$AK,26,FALSE),"")</f>
      </c>
      <c r="S222" s="79">
        <f>IFERROR(VLOOKUP($A:$A,CS!$A:$AK,29,FALSE),"")</f>
      </c>
      <c r="T222" s="79">
        <f>IFERROR(VLOOKUP($A:$A,CS!$A:$AK,33,FALSE),"")</f>
      </c>
      <c r="U222" s="79">
        <f>IFERROR(VLOOKUP($A:$A,CS!$A:$AK,34,FALSE),"")</f>
      </c>
      <c r="V222" s="79">
        <f>IFERROR(VLOOKUP($A:$A,CS!$A:$AK,35,FALSE),"")</f>
      </c>
      <c r="W222" s="79">
        <f>IFERROR(VLOOKUP($A:$A,CS!$A:$AK,36,FALSE),"")</f>
      </c>
    </row>
    <row r="223" ht="16.5" customHeight="1" spans="1:23" x14ac:dyDescent="0.25">
      <c r="A223" s="93"/>
      <c r="B223" s="79">
        <f>IFERROR(VLOOKUP($A:$A,CS!$A:$AK,3,FALSE),"")</f>
      </c>
      <c r="C223" s="79">
        <f>IFERROR(VLOOKUP($A:$A,CS!$A:$AK,4,FALSE),"")</f>
      </c>
      <c r="D223" s="79">
        <f>IFERROR(VLOOKUP($A:$A,CS!$A:$AK,5,FALSE),"")</f>
      </c>
      <c r="E223" s="79">
        <f>IFERROR(VLOOKUP($A:$A,CS!$A:$AK,7,FALSE),"")</f>
      </c>
      <c r="F223" s="79">
        <f>IFERROR(VLOOKUP($A:$A,CS!$A:$AK,8,FALSE),"")</f>
      </c>
      <c r="G223" s="79">
        <f>IFERROR(VLOOKUP($A:$A,CS!$A:$AK,10,FALSE),"")</f>
      </c>
      <c r="H223" s="79">
        <f>IFERROR(VLOOKUP($A:$A,CS!$A:$AK,14,FALSE),"")</f>
      </c>
      <c r="I223" s="79">
        <f>IFERROR(VLOOKUP($A:$A,CS!$A:$AK,15,FALSE),"")</f>
      </c>
      <c r="J223" s="79">
        <f>IFERROR(VLOOKUP($A:$A,CS!$A:$AK,18,FALSE),"")</f>
      </c>
      <c r="K223" s="79">
        <f>IFERROR(VLOOKUP($A:$A,CS!$A:$AK,19,FALSE),"")</f>
      </c>
      <c r="L223" s="79">
        <f>IFERROR(VLOOKUP($A:$A,CS!$A:$AK,20,FALSE),"")</f>
      </c>
      <c r="M223" s="79">
        <f>IFERROR(VLOOKUP($A:$A,CS!$A:$AK,22,FALSE),"")</f>
      </c>
      <c r="N223" s="79">
        <f>IFERROR(VLOOKUP($A:$A,CS!$A:$AK,19,FALSE),"")</f>
      </c>
      <c r="O223" s="79">
        <f>IFERROR(VLOOKUP($A:$A,CS!$A:$AK,23,FALSE),"")</f>
      </c>
      <c r="P223" s="79">
        <f>IFERROR(VLOOKUP($A:$A,CS!$A:$AK,24,FALSE),"")</f>
      </c>
      <c r="Q223" s="79">
        <f>IFERROR(VLOOKUP($A:$A,CS!$A:$AK,25,FALSE),"")</f>
      </c>
      <c r="R223" s="79">
        <f>IFERROR(VLOOKUP($A:$A,CS!$A:$AK,26,FALSE),"")</f>
      </c>
      <c r="S223" s="79">
        <f>IFERROR(VLOOKUP($A:$A,CS!$A:$AK,29,FALSE),"")</f>
      </c>
      <c r="T223" s="79">
        <f>IFERROR(VLOOKUP($A:$A,CS!$A:$AK,33,FALSE),"")</f>
      </c>
      <c r="U223" s="79">
        <f>IFERROR(VLOOKUP($A:$A,CS!$A:$AK,34,FALSE),"")</f>
      </c>
      <c r="V223" s="79">
        <f>IFERROR(VLOOKUP($A:$A,CS!$A:$AK,35,FALSE),"")</f>
      </c>
      <c r="W223" s="79">
        <f>IFERROR(VLOOKUP($A:$A,CS!$A:$AK,36,FALSE),"")</f>
      </c>
    </row>
    <row r="224" ht="16.5" customHeight="1" spans="1:23" x14ac:dyDescent="0.25">
      <c r="A224" s="93"/>
      <c r="B224" s="79">
        <f>IFERROR(VLOOKUP($A:$A,CS!$A:$AK,3,FALSE),"")</f>
      </c>
      <c r="C224" s="79">
        <f>IFERROR(VLOOKUP($A:$A,CS!$A:$AK,4,FALSE),"")</f>
      </c>
      <c r="D224" s="79">
        <f>IFERROR(VLOOKUP($A:$A,CS!$A:$AK,5,FALSE),"")</f>
      </c>
      <c r="E224" s="79">
        <f>IFERROR(VLOOKUP($A:$A,CS!$A:$AK,7,FALSE),"")</f>
      </c>
      <c r="F224" s="79">
        <f>IFERROR(VLOOKUP($A:$A,CS!$A:$AK,8,FALSE),"")</f>
      </c>
      <c r="G224" s="79">
        <f>IFERROR(VLOOKUP($A:$A,CS!$A:$AK,10,FALSE),"")</f>
      </c>
      <c r="H224" s="79">
        <f>IFERROR(VLOOKUP($A:$A,CS!$A:$AK,14,FALSE),"")</f>
      </c>
      <c r="I224" s="79">
        <f>IFERROR(VLOOKUP($A:$A,CS!$A:$AK,15,FALSE),"")</f>
      </c>
      <c r="J224" s="79">
        <f>IFERROR(VLOOKUP($A:$A,CS!$A:$AK,18,FALSE),"")</f>
      </c>
      <c r="K224" s="79">
        <f>IFERROR(VLOOKUP($A:$A,CS!$A:$AK,19,FALSE),"")</f>
      </c>
      <c r="L224" s="79">
        <f>IFERROR(VLOOKUP($A:$A,CS!$A:$AK,20,FALSE),"")</f>
      </c>
      <c r="M224" s="79">
        <f>IFERROR(VLOOKUP($A:$A,CS!$A:$AK,22,FALSE),"")</f>
      </c>
      <c r="N224" s="79">
        <f>IFERROR(VLOOKUP($A:$A,CS!$A:$AK,19,FALSE),"")</f>
      </c>
      <c r="O224" s="79">
        <f>IFERROR(VLOOKUP($A:$A,CS!$A:$AK,23,FALSE),"")</f>
      </c>
      <c r="P224" s="79">
        <f>IFERROR(VLOOKUP($A:$A,CS!$A:$AK,24,FALSE),"")</f>
      </c>
      <c r="Q224" s="79">
        <f>IFERROR(VLOOKUP($A:$A,CS!$A:$AK,25,FALSE),"")</f>
      </c>
      <c r="R224" s="79">
        <f>IFERROR(VLOOKUP($A:$A,CS!$A:$AK,26,FALSE),"")</f>
      </c>
      <c r="S224" s="79">
        <f>IFERROR(VLOOKUP($A:$A,CS!$A:$AK,29,FALSE),"")</f>
      </c>
      <c r="T224" s="79">
        <f>IFERROR(VLOOKUP($A:$A,CS!$A:$AK,33,FALSE),"")</f>
      </c>
      <c r="U224" s="79">
        <f>IFERROR(VLOOKUP($A:$A,CS!$A:$AK,34,FALSE),"")</f>
      </c>
      <c r="V224" s="79">
        <f>IFERROR(VLOOKUP($A:$A,CS!$A:$AK,35,FALSE),"")</f>
      </c>
      <c r="W224" s="79">
        <f>IFERROR(VLOOKUP($A:$A,CS!$A:$AK,36,FALSE),"")</f>
      </c>
    </row>
    <row r="225" ht="16.5" customHeight="1" spans="1:23" x14ac:dyDescent="0.25">
      <c r="A225" s="93"/>
      <c r="B225" s="79">
        <f>IFERROR(VLOOKUP($A:$A,CS!$A:$AK,3,FALSE),"")</f>
      </c>
      <c r="C225" s="79">
        <f>IFERROR(VLOOKUP($A:$A,CS!$A:$AK,4,FALSE),"")</f>
      </c>
      <c r="D225" s="79">
        <f>IFERROR(VLOOKUP($A:$A,CS!$A:$AK,5,FALSE),"")</f>
      </c>
      <c r="E225" s="79">
        <f>IFERROR(VLOOKUP($A:$A,CS!$A:$AK,7,FALSE),"")</f>
      </c>
      <c r="F225" s="79">
        <f>IFERROR(VLOOKUP($A:$A,CS!$A:$AK,8,FALSE),"")</f>
      </c>
      <c r="G225" s="79">
        <f>IFERROR(VLOOKUP($A:$A,CS!$A:$AK,10,FALSE),"")</f>
      </c>
      <c r="H225" s="79">
        <f>IFERROR(VLOOKUP($A:$A,CS!$A:$AK,14,FALSE),"")</f>
      </c>
      <c r="I225" s="79">
        <f>IFERROR(VLOOKUP($A:$A,CS!$A:$AK,15,FALSE),"")</f>
      </c>
      <c r="J225" s="79">
        <f>IFERROR(VLOOKUP($A:$A,CS!$A:$AK,18,FALSE),"")</f>
      </c>
      <c r="K225" s="79">
        <f>IFERROR(VLOOKUP($A:$A,CS!$A:$AK,19,FALSE),"")</f>
      </c>
      <c r="L225" s="79">
        <f>IFERROR(VLOOKUP($A:$A,CS!$A:$AK,20,FALSE),"")</f>
      </c>
      <c r="M225" s="79">
        <f>IFERROR(VLOOKUP($A:$A,CS!$A:$AK,22,FALSE),"")</f>
      </c>
      <c r="N225" s="79">
        <f>IFERROR(VLOOKUP($A:$A,CS!$A:$AK,19,FALSE),"")</f>
      </c>
      <c r="O225" s="79">
        <f>IFERROR(VLOOKUP($A:$A,CS!$A:$AK,23,FALSE),"")</f>
      </c>
      <c r="P225" s="79">
        <f>IFERROR(VLOOKUP($A:$A,CS!$A:$AK,24,FALSE),"")</f>
      </c>
      <c r="Q225" s="79">
        <f>IFERROR(VLOOKUP($A:$A,CS!$A:$AK,25,FALSE),"")</f>
      </c>
      <c r="R225" s="79">
        <f>IFERROR(VLOOKUP($A:$A,CS!$A:$AK,26,FALSE),"")</f>
      </c>
      <c r="S225" s="79">
        <f>IFERROR(VLOOKUP($A:$A,CS!$A:$AK,29,FALSE),"")</f>
      </c>
      <c r="T225" s="79">
        <f>IFERROR(VLOOKUP($A:$A,CS!$A:$AK,33,FALSE),"")</f>
      </c>
      <c r="U225" s="79">
        <f>IFERROR(VLOOKUP($A:$A,CS!$A:$AK,34,FALSE),"")</f>
      </c>
      <c r="V225" s="79">
        <f>IFERROR(VLOOKUP($A:$A,CS!$A:$AK,35,FALSE),"")</f>
      </c>
      <c r="W225" s="79">
        <f>IFERROR(VLOOKUP($A:$A,CS!$A:$AK,36,FALSE),"")</f>
      </c>
    </row>
    <row r="226" ht="16.5" customHeight="1" spans="1:23" x14ac:dyDescent="0.25">
      <c r="A226" s="93"/>
      <c r="B226" s="79">
        <f>IFERROR(VLOOKUP($A:$A,CS!$A:$AK,3,FALSE),"")</f>
      </c>
      <c r="C226" s="79">
        <f>IFERROR(VLOOKUP($A:$A,CS!$A:$AK,4,FALSE),"")</f>
      </c>
      <c r="D226" s="79">
        <f>IFERROR(VLOOKUP($A:$A,CS!$A:$AK,5,FALSE),"")</f>
      </c>
      <c r="E226" s="79">
        <f>IFERROR(VLOOKUP($A:$A,CS!$A:$AK,7,FALSE),"")</f>
      </c>
      <c r="F226" s="79">
        <f>IFERROR(VLOOKUP($A:$A,CS!$A:$AK,8,FALSE),"")</f>
      </c>
      <c r="G226" s="79">
        <f>IFERROR(VLOOKUP($A:$A,CS!$A:$AK,10,FALSE),"")</f>
      </c>
      <c r="H226" s="79">
        <f>IFERROR(VLOOKUP($A:$A,CS!$A:$AK,14,FALSE),"")</f>
      </c>
      <c r="I226" s="79">
        <f>IFERROR(VLOOKUP($A:$A,CS!$A:$AK,15,FALSE),"")</f>
      </c>
      <c r="J226" s="79">
        <f>IFERROR(VLOOKUP($A:$A,CS!$A:$AK,18,FALSE),"")</f>
      </c>
      <c r="K226" s="79">
        <f>IFERROR(VLOOKUP($A:$A,CS!$A:$AK,19,FALSE),"")</f>
      </c>
      <c r="L226" s="79">
        <f>IFERROR(VLOOKUP($A:$A,CS!$A:$AK,20,FALSE),"")</f>
      </c>
      <c r="M226" s="79">
        <f>IFERROR(VLOOKUP($A:$A,CS!$A:$AK,22,FALSE),"")</f>
      </c>
      <c r="N226" s="79">
        <f>IFERROR(VLOOKUP($A:$A,CS!$A:$AK,19,FALSE),"")</f>
      </c>
      <c r="O226" s="79">
        <f>IFERROR(VLOOKUP($A:$A,CS!$A:$AK,23,FALSE),"")</f>
      </c>
      <c r="P226" s="79">
        <f>IFERROR(VLOOKUP($A:$A,CS!$A:$AK,24,FALSE),"")</f>
      </c>
      <c r="Q226" s="79">
        <f>IFERROR(VLOOKUP($A:$A,CS!$A:$AK,25,FALSE),"")</f>
      </c>
      <c r="R226" s="79">
        <f>IFERROR(VLOOKUP($A:$A,CS!$A:$AK,26,FALSE),"")</f>
      </c>
      <c r="S226" s="79">
        <f>IFERROR(VLOOKUP($A:$A,CS!$A:$AK,29,FALSE),"")</f>
      </c>
      <c r="T226" s="79">
        <f>IFERROR(VLOOKUP($A:$A,CS!$A:$AK,33,FALSE),"")</f>
      </c>
      <c r="U226" s="79">
        <f>IFERROR(VLOOKUP($A:$A,CS!$A:$AK,34,FALSE),"")</f>
      </c>
      <c r="V226" s="79">
        <f>IFERROR(VLOOKUP($A:$A,CS!$A:$AK,35,FALSE),"")</f>
      </c>
      <c r="W226" s="79">
        <f>IFERROR(VLOOKUP($A:$A,CS!$A:$AK,36,FALSE),"")</f>
      </c>
    </row>
    <row r="227" ht="16.5" customHeight="1" spans="1:23" x14ac:dyDescent="0.25">
      <c r="A227" s="93"/>
      <c r="B227" s="79">
        <f>IFERROR(VLOOKUP($A:$A,CS!$A:$AK,3,FALSE),"")</f>
      </c>
      <c r="C227" s="79">
        <f>IFERROR(VLOOKUP($A:$A,CS!$A:$AK,4,FALSE),"")</f>
      </c>
      <c r="D227" s="79">
        <f>IFERROR(VLOOKUP($A:$A,CS!$A:$AK,5,FALSE),"")</f>
      </c>
      <c r="E227" s="79">
        <f>IFERROR(VLOOKUP($A:$A,CS!$A:$AK,7,FALSE),"")</f>
      </c>
      <c r="F227" s="79">
        <f>IFERROR(VLOOKUP($A:$A,CS!$A:$AK,8,FALSE),"")</f>
      </c>
      <c r="G227" s="79">
        <f>IFERROR(VLOOKUP($A:$A,CS!$A:$AK,10,FALSE),"")</f>
      </c>
      <c r="H227" s="79">
        <f>IFERROR(VLOOKUP($A:$A,CS!$A:$AK,14,FALSE),"")</f>
      </c>
      <c r="I227" s="79">
        <f>IFERROR(VLOOKUP($A:$A,CS!$A:$AK,15,FALSE),"")</f>
      </c>
      <c r="J227" s="79">
        <f>IFERROR(VLOOKUP($A:$A,CS!$A:$AK,18,FALSE),"")</f>
      </c>
      <c r="K227" s="79">
        <f>IFERROR(VLOOKUP($A:$A,CS!$A:$AK,19,FALSE),"")</f>
      </c>
      <c r="L227" s="79">
        <f>IFERROR(VLOOKUP($A:$A,CS!$A:$AK,20,FALSE),"")</f>
      </c>
      <c r="M227" s="79">
        <f>IFERROR(VLOOKUP($A:$A,CS!$A:$AK,22,FALSE),"")</f>
      </c>
      <c r="N227" s="79">
        <f>IFERROR(VLOOKUP($A:$A,CS!$A:$AK,19,FALSE),"")</f>
      </c>
      <c r="O227" s="79">
        <f>IFERROR(VLOOKUP($A:$A,CS!$A:$AK,23,FALSE),"")</f>
      </c>
      <c r="P227" s="79">
        <f>IFERROR(VLOOKUP($A:$A,CS!$A:$AK,24,FALSE),"")</f>
      </c>
      <c r="Q227" s="79">
        <f>IFERROR(VLOOKUP($A:$A,CS!$A:$AK,25,FALSE),"")</f>
      </c>
      <c r="R227" s="79">
        <f>IFERROR(VLOOKUP($A:$A,CS!$A:$AK,26,FALSE),"")</f>
      </c>
      <c r="S227" s="79">
        <f>IFERROR(VLOOKUP($A:$A,CS!$A:$AK,29,FALSE),"")</f>
      </c>
      <c r="T227" s="79">
        <f>IFERROR(VLOOKUP($A:$A,CS!$A:$AK,33,FALSE),"")</f>
      </c>
      <c r="U227" s="79">
        <f>IFERROR(VLOOKUP($A:$A,CS!$A:$AK,34,FALSE),"")</f>
      </c>
      <c r="V227" s="79">
        <f>IFERROR(VLOOKUP($A:$A,CS!$A:$AK,35,FALSE),"")</f>
      </c>
      <c r="W227" s="79">
        <f>IFERROR(VLOOKUP($A:$A,CS!$A:$AK,36,FALSE),"")</f>
      </c>
    </row>
    <row r="228" ht="16.5" customHeight="1" spans="1:23" x14ac:dyDescent="0.25">
      <c r="A228" s="93"/>
      <c r="B228" s="79">
        <f>IFERROR(VLOOKUP($A:$A,CS!$A:$AK,3,FALSE),"")</f>
      </c>
      <c r="C228" s="79">
        <f>IFERROR(VLOOKUP($A:$A,CS!$A:$AK,4,FALSE),"")</f>
      </c>
      <c r="D228" s="79">
        <f>IFERROR(VLOOKUP($A:$A,CS!$A:$AK,5,FALSE),"")</f>
      </c>
      <c r="E228" s="79">
        <f>IFERROR(VLOOKUP($A:$A,CS!$A:$AK,7,FALSE),"")</f>
      </c>
      <c r="F228" s="79">
        <f>IFERROR(VLOOKUP($A:$A,CS!$A:$AK,8,FALSE),"")</f>
      </c>
      <c r="G228" s="79">
        <f>IFERROR(VLOOKUP($A:$A,CS!$A:$AK,10,FALSE),"")</f>
      </c>
      <c r="H228" s="79">
        <f>IFERROR(VLOOKUP($A:$A,CS!$A:$AK,14,FALSE),"")</f>
      </c>
      <c r="I228" s="79">
        <f>IFERROR(VLOOKUP($A:$A,CS!$A:$AK,15,FALSE),"")</f>
      </c>
      <c r="J228" s="79">
        <f>IFERROR(VLOOKUP($A:$A,CS!$A:$AK,18,FALSE),"")</f>
      </c>
      <c r="K228" s="79">
        <f>IFERROR(VLOOKUP($A:$A,CS!$A:$AK,19,FALSE),"")</f>
      </c>
      <c r="L228" s="79">
        <f>IFERROR(VLOOKUP($A:$A,CS!$A:$AK,20,FALSE),"")</f>
      </c>
      <c r="M228" s="79">
        <f>IFERROR(VLOOKUP($A:$A,CS!$A:$AK,22,FALSE),"")</f>
      </c>
      <c r="N228" s="79">
        <f>IFERROR(VLOOKUP($A:$A,CS!$A:$AK,19,FALSE),"")</f>
      </c>
      <c r="O228" s="79">
        <f>IFERROR(VLOOKUP($A:$A,CS!$A:$AK,23,FALSE),"")</f>
      </c>
      <c r="P228" s="79">
        <f>IFERROR(VLOOKUP($A:$A,CS!$A:$AK,24,FALSE),"")</f>
      </c>
      <c r="Q228" s="79">
        <f>IFERROR(VLOOKUP($A:$A,CS!$A:$AK,25,FALSE),"")</f>
      </c>
      <c r="R228" s="79">
        <f>IFERROR(VLOOKUP($A:$A,CS!$A:$AK,26,FALSE),"")</f>
      </c>
      <c r="S228" s="79">
        <f>IFERROR(VLOOKUP($A:$A,CS!$A:$AK,29,FALSE),"")</f>
      </c>
      <c r="T228" s="79">
        <f>IFERROR(VLOOKUP($A:$A,CS!$A:$AK,33,FALSE),"")</f>
      </c>
      <c r="U228" s="79">
        <f>IFERROR(VLOOKUP($A:$A,CS!$A:$AK,34,FALSE),"")</f>
      </c>
      <c r="V228" s="79">
        <f>IFERROR(VLOOKUP($A:$A,CS!$A:$AK,35,FALSE),"")</f>
      </c>
      <c r="W228" s="79">
        <f>IFERROR(VLOOKUP($A:$A,CS!$A:$AK,36,FALSE),"")</f>
      </c>
    </row>
    <row r="229" ht="16.5" customHeight="1" spans="1:23" x14ac:dyDescent="0.25">
      <c r="A229" s="93"/>
      <c r="B229" s="79">
        <f>IFERROR(VLOOKUP($A:$A,CS!$A:$AK,3,FALSE),"")</f>
      </c>
      <c r="C229" s="79">
        <f>IFERROR(VLOOKUP($A:$A,CS!$A:$AK,4,FALSE),"")</f>
      </c>
      <c r="D229" s="79">
        <f>IFERROR(VLOOKUP($A:$A,CS!$A:$AK,5,FALSE),"")</f>
      </c>
      <c r="E229" s="79">
        <f>IFERROR(VLOOKUP($A:$A,CS!$A:$AK,7,FALSE),"")</f>
      </c>
      <c r="F229" s="79">
        <f>IFERROR(VLOOKUP($A:$A,CS!$A:$AK,8,FALSE),"")</f>
      </c>
      <c r="G229" s="79">
        <f>IFERROR(VLOOKUP($A:$A,CS!$A:$AK,10,FALSE),"")</f>
      </c>
      <c r="H229" s="79">
        <f>IFERROR(VLOOKUP($A:$A,CS!$A:$AK,14,FALSE),"")</f>
      </c>
      <c r="I229" s="79">
        <f>IFERROR(VLOOKUP($A:$A,CS!$A:$AK,15,FALSE),"")</f>
      </c>
      <c r="J229" s="79">
        <f>IFERROR(VLOOKUP($A:$A,CS!$A:$AK,18,FALSE),"")</f>
      </c>
      <c r="K229" s="79">
        <f>IFERROR(VLOOKUP($A:$A,CS!$A:$AK,19,FALSE),"")</f>
      </c>
      <c r="L229" s="79">
        <f>IFERROR(VLOOKUP($A:$A,CS!$A:$AK,20,FALSE),"")</f>
      </c>
      <c r="M229" s="79">
        <f>IFERROR(VLOOKUP($A:$A,CS!$A:$AK,22,FALSE),"")</f>
      </c>
      <c r="N229" s="79">
        <f>IFERROR(VLOOKUP($A:$A,CS!$A:$AK,19,FALSE),"")</f>
      </c>
      <c r="O229" s="79">
        <f>IFERROR(VLOOKUP($A:$A,CS!$A:$AK,23,FALSE),"")</f>
      </c>
      <c r="P229" s="79">
        <f>IFERROR(VLOOKUP($A:$A,CS!$A:$AK,24,FALSE),"")</f>
      </c>
      <c r="Q229" s="79">
        <f>IFERROR(VLOOKUP($A:$A,CS!$A:$AK,25,FALSE),"")</f>
      </c>
      <c r="R229" s="79">
        <f>IFERROR(VLOOKUP($A:$A,CS!$A:$AK,26,FALSE),"")</f>
      </c>
      <c r="S229" s="79">
        <f>IFERROR(VLOOKUP($A:$A,CS!$A:$AK,29,FALSE),"")</f>
      </c>
      <c r="T229" s="79">
        <f>IFERROR(VLOOKUP($A:$A,CS!$A:$AK,33,FALSE),"")</f>
      </c>
      <c r="U229" s="79">
        <f>IFERROR(VLOOKUP($A:$A,CS!$A:$AK,34,FALSE),"")</f>
      </c>
      <c r="V229" s="79">
        <f>IFERROR(VLOOKUP($A:$A,CS!$A:$AK,35,FALSE),"")</f>
      </c>
      <c r="W229" s="79">
        <f>IFERROR(VLOOKUP($A:$A,CS!$A:$AK,36,FALSE),"")</f>
      </c>
    </row>
    <row r="230" ht="16.5" customHeight="1" spans="1:23" x14ac:dyDescent="0.25">
      <c r="A230" s="93"/>
      <c r="B230" s="79">
        <f>IFERROR(VLOOKUP($A:$A,CS!$A:$AK,3,FALSE),"")</f>
      </c>
      <c r="C230" s="79">
        <f>IFERROR(VLOOKUP($A:$A,CS!$A:$AK,4,FALSE),"")</f>
      </c>
      <c r="D230" s="79">
        <f>IFERROR(VLOOKUP($A:$A,CS!$A:$AK,5,FALSE),"")</f>
      </c>
      <c r="E230" s="79">
        <f>IFERROR(VLOOKUP($A:$A,CS!$A:$AK,7,FALSE),"")</f>
      </c>
      <c r="F230" s="79">
        <f>IFERROR(VLOOKUP($A:$A,CS!$A:$AK,8,FALSE),"")</f>
      </c>
      <c r="G230" s="79">
        <f>IFERROR(VLOOKUP($A:$A,CS!$A:$AK,10,FALSE),"")</f>
      </c>
      <c r="H230" s="79">
        <f>IFERROR(VLOOKUP($A:$A,CS!$A:$AK,14,FALSE),"")</f>
      </c>
      <c r="I230" s="79">
        <f>IFERROR(VLOOKUP($A:$A,CS!$A:$AK,15,FALSE),"")</f>
      </c>
      <c r="J230" s="79">
        <f>IFERROR(VLOOKUP($A:$A,CS!$A:$AK,18,FALSE),"")</f>
      </c>
      <c r="K230" s="79">
        <f>IFERROR(VLOOKUP($A:$A,CS!$A:$AK,19,FALSE),"")</f>
      </c>
      <c r="L230" s="79">
        <f>IFERROR(VLOOKUP($A:$A,CS!$A:$AK,20,FALSE),"")</f>
      </c>
      <c r="M230" s="79">
        <f>IFERROR(VLOOKUP($A:$A,CS!$A:$AK,22,FALSE),"")</f>
      </c>
      <c r="N230" s="79">
        <f>IFERROR(VLOOKUP($A:$A,CS!$A:$AK,19,FALSE),"")</f>
      </c>
      <c r="O230" s="79">
        <f>IFERROR(VLOOKUP($A:$A,CS!$A:$AK,23,FALSE),"")</f>
      </c>
      <c r="P230" s="79">
        <f>IFERROR(VLOOKUP($A:$A,CS!$A:$AK,24,FALSE),"")</f>
      </c>
      <c r="Q230" s="79">
        <f>IFERROR(VLOOKUP($A:$A,CS!$A:$AK,25,FALSE),"")</f>
      </c>
      <c r="R230" s="79">
        <f>IFERROR(VLOOKUP($A:$A,CS!$A:$AK,26,FALSE),"")</f>
      </c>
      <c r="S230" s="79">
        <f>IFERROR(VLOOKUP($A:$A,CS!$A:$AK,29,FALSE),"")</f>
      </c>
      <c r="T230" s="79">
        <f>IFERROR(VLOOKUP($A:$A,CS!$A:$AK,33,FALSE),"")</f>
      </c>
      <c r="U230" s="79">
        <f>IFERROR(VLOOKUP($A:$A,CS!$A:$AK,34,FALSE),"")</f>
      </c>
      <c r="V230" s="79">
        <f>IFERROR(VLOOKUP($A:$A,CS!$A:$AK,35,FALSE),"")</f>
      </c>
      <c r="W230" s="79">
        <f>IFERROR(VLOOKUP($A:$A,CS!$A:$AK,36,FALSE),"")</f>
      </c>
    </row>
    <row r="231" ht="16.5" customHeight="1" spans="1:23" x14ac:dyDescent="0.25">
      <c r="A231" s="93"/>
      <c r="B231" s="79">
        <f>IFERROR(VLOOKUP($A:$A,CS!$A:$AK,3,FALSE),"")</f>
      </c>
      <c r="C231" s="79">
        <f>IFERROR(VLOOKUP($A:$A,CS!$A:$AK,4,FALSE),"")</f>
      </c>
      <c r="D231" s="79">
        <f>IFERROR(VLOOKUP($A:$A,CS!$A:$AK,5,FALSE),"")</f>
      </c>
      <c r="E231" s="79">
        <f>IFERROR(VLOOKUP($A:$A,CS!$A:$AK,7,FALSE),"")</f>
      </c>
      <c r="F231" s="79">
        <f>IFERROR(VLOOKUP($A:$A,CS!$A:$AK,8,FALSE),"")</f>
      </c>
      <c r="G231" s="79">
        <f>IFERROR(VLOOKUP($A:$A,CS!$A:$AK,10,FALSE),"")</f>
      </c>
      <c r="H231" s="79">
        <f>IFERROR(VLOOKUP($A:$A,CS!$A:$AK,14,FALSE),"")</f>
      </c>
      <c r="I231" s="79">
        <f>IFERROR(VLOOKUP($A:$A,CS!$A:$AK,15,FALSE),"")</f>
      </c>
      <c r="J231" s="79">
        <f>IFERROR(VLOOKUP($A:$A,CS!$A:$AK,18,FALSE),"")</f>
      </c>
      <c r="K231" s="79">
        <f>IFERROR(VLOOKUP($A:$A,CS!$A:$AK,19,FALSE),"")</f>
      </c>
      <c r="L231" s="79">
        <f>IFERROR(VLOOKUP($A:$A,CS!$A:$AK,20,FALSE),"")</f>
      </c>
      <c r="M231" s="79">
        <f>IFERROR(VLOOKUP($A:$A,CS!$A:$AK,22,FALSE),"")</f>
      </c>
      <c r="N231" s="79">
        <f>IFERROR(VLOOKUP($A:$A,CS!$A:$AK,19,FALSE),"")</f>
      </c>
      <c r="O231" s="79">
        <f>IFERROR(VLOOKUP($A:$A,CS!$A:$AK,23,FALSE),"")</f>
      </c>
      <c r="P231" s="79">
        <f>IFERROR(VLOOKUP($A:$A,CS!$A:$AK,24,FALSE),"")</f>
      </c>
      <c r="Q231" s="79">
        <f>IFERROR(VLOOKUP($A:$A,CS!$A:$AK,25,FALSE),"")</f>
      </c>
      <c r="R231" s="79">
        <f>IFERROR(VLOOKUP($A:$A,CS!$A:$AK,26,FALSE),"")</f>
      </c>
      <c r="S231" s="79">
        <f>IFERROR(VLOOKUP($A:$A,CS!$A:$AK,29,FALSE),"")</f>
      </c>
      <c r="T231" s="79">
        <f>IFERROR(VLOOKUP($A:$A,CS!$A:$AK,33,FALSE),"")</f>
      </c>
      <c r="U231" s="79">
        <f>IFERROR(VLOOKUP($A:$A,CS!$A:$AK,34,FALSE),"")</f>
      </c>
      <c r="V231" s="79">
        <f>IFERROR(VLOOKUP($A:$A,CS!$A:$AK,35,FALSE),"")</f>
      </c>
      <c r="W231" s="79">
        <f>IFERROR(VLOOKUP($A:$A,CS!$A:$AK,36,FALSE),"")</f>
      </c>
    </row>
    <row r="232" ht="16.5" customHeight="1" spans="1:23" x14ac:dyDescent="0.25">
      <c r="A232" s="93"/>
      <c r="B232" s="79">
        <f>IFERROR(VLOOKUP($A:$A,CS!$A:$AK,3,FALSE),"")</f>
      </c>
      <c r="C232" s="79">
        <f>IFERROR(VLOOKUP($A:$A,CS!$A:$AK,4,FALSE),"")</f>
      </c>
      <c r="D232" s="79">
        <f>IFERROR(VLOOKUP($A:$A,CS!$A:$AK,5,FALSE),"")</f>
      </c>
      <c r="E232" s="79">
        <f>IFERROR(VLOOKUP($A:$A,CS!$A:$AK,7,FALSE),"")</f>
      </c>
      <c r="F232" s="79">
        <f>IFERROR(VLOOKUP($A:$A,CS!$A:$AK,8,FALSE),"")</f>
      </c>
      <c r="G232" s="79">
        <f>IFERROR(VLOOKUP($A:$A,CS!$A:$AK,10,FALSE),"")</f>
      </c>
      <c r="H232" s="79">
        <f>IFERROR(VLOOKUP($A:$A,CS!$A:$AK,14,FALSE),"")</f>
      </c>
      <c r="I232" s="79">
        <f>IFERROR(VLOOKUP($A:$A,CS!$A:$AK,15,FALSE),"")</f>
      </c>
      <c r="J232" s="79">
        <f>IFERROR(VLOOKUP($A:$A,CS!$A:$AK,18,FALSE),"")</f>
      </c>
      <c r="K232" s="79">
        <f>IFERROR(VLOOKUP($A:$A,CS!$A:$AK,19,FALSE),"")</f>
      </c>
      <c r="L232" s="79">
        <f>IFERROR(VLOOKUP($A:$A,CS!$A:$AK,20,FALSE),"")</f>
      </c>
      <c r="M232" s="79">
        <f>IFERROR(VLOOKUP($A:$A,CS!$A:$AK,22,FALSE),"")</f>
      </c>
      <c r="N232" s="79">
        <f>IFERROR(VLOOKUP($A:$A,CS!$A:$AK,19,FALSE),"")</f>
      </c>
      <c r="O232" s="79">
        <f>IFERROR(VLOOKUP($A:$A,CS!$A:$AK,23,FALSE),"")</f>
      </c>
      <c r="P232" s="79">
        <f>IFERROR(VLOOKUP($A:$A,CS!$A:$AK,24,FALSE),"")</f>
      </c>
      <c r="Q232" s="79">
        <f>IFERROR(VLOOKUP($A:$A,CS!$A:$AK,25,FALSE),"")</f>
      </c>
      <c r="R232" s="79">
        <f>IFERROR(VLOOKUP($A:$A,CS!$A:$AK,26,FALSE),"")</f>
      </c>
      <c r="S232" s="79">
        <f>IFERROR(VLOOKUP($A:$A,CS!$A:$AK,29,FALSE),"")</f>
      </c>
      <c r="T232" s="79">
        <f>IFERROR(VLOOKUP($A:$A,CS!$A:$AK,33,FALSE),"")</f>
      </c>
      <c r="U232" s="79">
        <f>IFERROR(VLOOKUP($A:$A,CS!$A:$AK,34,FALSE),"")</f>
      </c>
      <c r="V232" s="79">
        <f>IFERROR(VLOOKUP($A:$A,CS!$A:$AK,35,FALSE),"")</f>
      </c>
      <c r="W232" s="79">
        <f>IFERROR(VLOOKUP($A:$A,CS!$A:$AK,36,FALSE),"")</f>
      </c>
    </row>
    <row r="233" ht="16.5" customHeight="1" spans="1:23" x14ac:dyDescent="0.25">
      <c r="A233" s="93"/>
      <c r="B233" s="79">
        <f>IFERROR(VLOOKUP($A:$A,CS!$A:$AK,3,FALSE),"")</f>
      </c>
      <c r="C233" s="79">
        <f>IFERROR(VLOOKUP($A:$A,CS!$A:$AK,4,FALSE),"")</f>
      </c>
      <c r="D233" s="79">
        <f>IFERROR(VLOOKUP($A:$A,CS!$A:$AK,5,FALSE),"")</f>
      </c>
      <c r="E233" s="79">
        <f>IFERROR(VLOOKUP($A:$A,CS!$A:$AK,7,FALSE),"")</f>
      </c>
      <c r="F233" s="79">
        <f>IFERROR(VLOOKUP($A:$A,CS!$A:$AK,8,FALSE),"")</f>
      </c>
      <c r="G233" s="79">
        <f>IFERROR(VLOOKUP($A:$A,CS!$A:$AK,10,FALSE),"")</f>
      </c>
      <c r="H233" s="79">
        <f>IFERROR(VLOOKUP($A:$A,CS!$A:$AK,14,FALSE),"")</f>
      </c>
      <c r="I233" s="79">
        <f>IFERROR(VLOOKUP($A:$A,CS!$A:$AK,15,FALSE),"")</f>
      </c>
      <c r="J233" s="79">
        <f>IFERROR(VLOOKUP($A:$A,CS!$A:$AK,18,FALSE),"")</f>
      </c>
      <c r="K233" s="79">
        <f>IFERROR(VLOOKUP($A:$A,CS!$A:$AK,19,FALSE),"")</f>
      </c>
      <c r="L233" s="79">
        <f>IFERROR(VLOOKUP($A:$A,CS!$A:$AK,20,FALSE),"")</f>
      </c>
      <c r="M233" s="79">
        <f>IFERROR(VLOOKUP($A:$A,CS!$A:$AK,22,FALSE),"")</f>
      </c>
      <c r="N233" s="79">
        <f>IFERROR(VLOOKUP($A:$A,CS!$A:$AK,19,FALSE),"")</f>
      </c>
      <c r="O233" s="79">
        <f>IFERROR(VLOOKUP($A:$A,CS!$A:$AK,23,FALSE),"")</f>
      </c>
      <c r="P233" s="79">
        <f>IFERROR(VLOOKUP($A:$A,CS!$A:$AK,24,FALSE),"")</f>
      </c>
      <c r="Q233" s="79">
        <f>IFERROR(VLOOKUP($A:$A,CS!$A:$AK,25,FALSE),"")</f>
      </c>
      <c r="R233" s="79">
        <f>IFERROR(VLOOKUP($A:$A,CS!$A:$AK,26,FALSE),"")</f>
      </c>
      <c r="S233" s="79">
        <f>IFERROR(VLOOKUP($A:$A,CS!$A:$AK,29,FALSE),"")</f>
      </c>
      <c r="T233" s="79">
        <f>IFERROR(VLOOKUP($A:$A,CS!$A:$AK,33,FALSE),"")</f>
      </c>
      <c r="U233" s="79">
        <f>IFERROR(VLOOKUP($A:$A,CS!$A:$AK,34,FALSE),"")</f>
      </c>
      <c r="V233" s="79">
        <f>IFERROR(VLOOKUP($A:$A,CS!$A:$AK,35,FALSE),"")</f>
      </c>
      <c r="W233" s="79">
        <f>IFERROR(VLOOKUP($A:$A,CS!$A:$AK,36,FALSE),"")</f>
      </c>
    </row>
    <row r="234" ht="16.5" customHeight="1" spans="1:23" x14ac:dyDescent="0.25">
      <c r="A234" s="93"/>
      <c r="B234" s="79">
        <f>IFERROR(VLOOKUP($A:$A,CS!$A:$AK,3,FALSE),"")</f>
      </c>
      <c r="C234" s="79">
        <f>IFERROR(VLOOKUP($A:$A,CS!$A:$AK,4,FALSE),"")</f>
      </c>
      <c r="D234" s="79">
        <f>IFERROR(VLOOKUP($A:$A,CS!$A:$AK,5,FALSE),"")</f>
      </c>
      <c r="E234" s="79">
        <f>IFERROR(VLOOKUP($A:$A,CS!$A:$AK,7,FALSE),"")</f>
      </c>
      <c r="F234" s="79">
        <f>IFERROR(VLOOKUP($A:$A,CS!$A:$AK,8,FALSE),"")</f>
      </c>
      <c r="G234" s="79">
        <f>IFERROR(VLOOKUP($A:$A,CS!$A:$AK,10,FALSE),"")</f>
      </c>
      <c r="H234" s="79">
        <f>IFERROR(VLOOKUP($A:$A,CS!$A:$AK,14,FALSE),"")</f>
      </c>
      <c r="I234" s="79">
        <f>IFERROR(VLOOKUP($A:$A,CS!$A:$AK,15,FALSE),"")</f>
      </c>
      <c r="J234" s="79">
        <f>IFERROR(VLOOKUP($A:$A,CS!$A:$AK,18,FALSE),"")</f>
      </c>
      <c r="K234" s="79">
        <f>IFERROR(VLOOKUP($A:$A,CS!$A:$AK,19,FALSE),"")</f>
      </c>
      <c r="L234" s="79">
        <f>IFERROR(VLOOKUP($A:$A,CS!$A:$AK,20,FALSE),"")</f>
      </c>
      <c r="M234" s="79">
        <f>IFERROR(VLOOKUP($A:$A,CS!$A:$AK,22,FALSE),"")</f>
      </c>
      <c r="N234" s="79">
        <f>IFERROR(VLOOKUP($A:$A,CS!$A:$AK,19,FALSE),"")</f>
      </c>
      <c r="O234" s="79">
        <f>IFERROR(VLOOKUP($A:$A,CS!$A:$AK,23,FALSE),"")</f>
      </c>
      <c r="P234" s="79">
        <f>IFERROR(VLOOKUP($A:$A,CS!$A:$AK,24,FALSE),"")</f>
      </c>
      <c r="Q234" s="79">
        <f>IFERROR(VLOOKUP($A:$A,CS!$A:$AK,25,FALSE),"")</f>
      </c>
      <c r="R234" s="79">
        <f>IFERROR(VLOOKUP($A:$A,CS!$A:$AK,26,FALSE),"")</f>
      </c>
      <c r="S234" s="79">
        <f>IFERROR(VLOOKUP($A:$A,CS!$A:$AK,29,FALSE),"")</f>
      </c>
      <c r="T234" s="79">
        <f>IFERROR(VLOOKUP($A:$A,CS!$A:$AK,33,FALSE),"")</f>
      </c>
      <c r="U234" s="79">
        <f>IFERROR(VLOOKUP($A:$A,CS!$A:$AK,34,FALSE),"")</f>
      </c>
      <c r="V234" s="79">
        <f>IFERROR(VLOOKUP($A:$A,CS!$A:$AK,35,FALSE),"")</f>
      </c>
      <c r="W234" s="79">
        <f>IFERROR(VLOOKUP($A:$A,CS!$A:$AK,36,FALSE),"")</f>
      </c>
    </row>
    <row r="235" ht="16.5" customHeight="1" spans="1:23" x14ac:dyDescent="0.25">
      <c r="A235" s="93"/>
      <c r="B235" s="79">
        <f>IFERROR(VLOOKUP($A:$A,CS!$A:$AK,3,FALSE),"")</f>
      </c>
      <c r="C235" s="79">
        <f>IFERROR(VLOOKUP($A:$A,CS!$A:$AK,4,FALSE),"")</f>
      </c>
      <c r="D235" s="79">
        <f>IFERROR(VLOOKUP($A:$A,CS!$A:$AK,5,FALSE),"")</f>
      </c>
      <c r="E235" s="79">
        <f>IFERROR(VLOOKUP($A:$A,CS!$A:$AK,7,FALSE),"")</f>
      </c>
      <c r="F235" s="79">
        <f>IFERROR(VLOOKUP($A:$A,CS!$A:$AK,8,FALSE),"")</f>
      </c>
      <c r="G235" s="79">
        <f>IFERROR(VLOOKUP($A:$A,CS!$A:$AK,10,FALSE),"")</f>
      </c>
      <c r="H235" s="79">
        <f>IFERROR(VLOOKUP($A:$A,CS!$A:$AK,14,FALSE),"")</f>
      </c>
      <c r="I235" s="79">
        <f>IFERROR(VLOOKUP($A:$A,CS!$A:$AK,15,FALSE),"")</f>
      </c>
      <c r="J235" s="79">
        <f>IFERROR(VLOOKUP($A:$A,CS!$A:$AK,18,FALSE),"")</f>
      </c>
      <c r="K235" s="79">
        <f>IFERROR(VLOOKUP($A:$A,CS!$A:$AK,19,FALSE),"")</f>
      </c>
      <c r="L235" s="79">
        <f>IFERROR(VLOOKUP($A:$A,CS!$A:$AK,20,FALSE),"")</f>
      </c>
      <c r="M235" s="79">
        <f>IFERROR(VLOOKUP($A:$A,CS!$A:$AK,22,FALSE),"")</f>
      </c>
      <c r="N235" s="79">
        <f>IFERROR(VLOOKUP($A:$A,CS!$A:$AK,19,FALSE),"")</f>
      </c>
      <c r="O235" s="79">
        <f>IFERROR(VLOOKUP($A:$A,CS!$A:$AK,23,FALSE),"")</f>
      </c>
      <c r="P235" s="79">
        <f>IFERROR(VLOOKUP($A:$A,CS!$A:$AK,24,FALSE),"")</f>
      </c>
      <c r="Q235" s="79">
        <f>IFERROR(VLOOKUP($A:$A,CS!$A:$AK,25,FALSE),"")</f>
      </c>
      <c r="R235" s="79">
        <f>IFERROR(VLOOKUP($A:$A,CS!$A:$AK,26,FALSE),"")</f>
      </c>
      <c r="S235" s="79">
        <f>IFERROR(VLOOKUP($A:$A,CS!$A:$AK,29,FALSE),"")</f>
      </c>
      <c r="T235" s="79">
        <f>IFERROR(VLOOKUP($A:$A,CS!$A:$AK,33,FALSE),"")</f>
      </c>
      <c r="U235" s="79">
        <f>IFERROR(VLOOKUP($A:$A,CS!$A:$AK,34,FALSE),"")</f>
      </c>
      <c r="V235" s="79">
        <f>IFERROR(VLOOKUP($A:$A,CS!$A:$AK,35,FALSE),"")</f>
      </c>
      <c r="W235" s="79">
        <f>IFERROR(VLOOKUP($A:$A,CS!$A:$AK,36,FALSE),"")</f>
      </c>
    </row>
    <row r="236" ht="16.5" customHeight="1" spans="1:23" x14ac:dyDescent="0.25">
      <c r="A236" s="93"/>
      <c r="B236" s="79">
        <f>IFERROR(VLOOKUP($A:$A,CS!$A:$AK,3,FALSE),"")</f>
      </c>
      <c r="C236" s="79">
        <f>IFERROR(VLOOKUP($A:$A,CS!$A:$AK,4,FALSE),"")</f>
      </c>
      <c r="D236" s="79">
        <f>IFERROR(VLOOKUP($A:$A,CS!$A:$AK,5,FALSE),"")</f>
      </c>
      <c r="E236" s="79">
        <f>IFERROR(VLOOKUP($A:$A,CS!$A:$AK,7,FALSE),"")</f>
      </c>
      <c r="F236" s="79">
        <f>IFERROR(VLOOKUP($A:$A,CS!$A:$AK,8,FALSE),"")</f>
      </c>
      <c r="G236" s="79">
        <f>IFERROR(VLOOKUP($A:$A,CS!$A:$AK,10,FALSE),"")</f>
      </c>
      <c r="H236" s="79">
        <f>IFERROR(VLOOKUP($A:$A,CS!$A:$AK,14,FALSE),"")</f>
      </c>
      <c r="I236" s="79">
        <f>IFERROR(VLOOKUP($A:$A,CS!$A:$AK,15,FALSE),"")</f>
      </c>
      <c r="J236" s="79">
        <f>IFERROR(VLOOKUP($A:$A,CS!$A:$AK,18,FALSE),"")</f>
      </c>
      <c r="K236" s="79">
        <f>IFERROR(VLOOKUP($A:$A,CS!$A:$AK,19,FALSE),"")</f>
      </c>
      <c r="L236" s="79">
        <f>IFERROR(VLOOKUP($A:$A,CS!$A:$AK,20,FALSE),"")</f>
      </c>
      <c r="M236" s="79">
        <f>IFERROR(VLOOKUP($A:$A,CS!$A:$AK,22,FALSE),"")</f>
      </c>
      <c r="N236" s="79">
        <f>IFERROR(VLOOKUP($A:$A,CS!$A:$AK,19,FALSE),"")</f>
      </c>
      <c r="O236" s="79">
        <f>IFERROR(VLOOKUP($A:$A,CS!$A:$AK,23,FALSE),"")</f>
      </c>
      <c r="P236" s="79">
        <f>IFERROR(VLOOKUP($A:$A,CS!$A:$AK,24,FALSE),"")</f>
      </c>
      <c r="Q236" s="79">
        <f>IFERROR(VLOOKUP($A:$A,CS!$A:$AK,25,FALSE),"")</f>
      </c>
      <c r="R236" s="79">
        <f>IFERROR(VLOOKUP($A:$A,CS!$A:$AK,26,FALSE),"")</f>
      </c>
      <c r="S236" s="79">
        <f>IFERROR(VLOOKUP($A:$A,CS!$A:$AK,29,FALSE),"")</f>
      </c>
      <c r="T236" s="79">
        <f>IFERROR(VLOOKUP($A:$A,CS!$A:$AK,33,FALSE),"")</f>
      </c>
      <c r="U236" s="79">
        <f>IFERROR(VLOOKUP($A:$A,CS!$A:$AK,34,FALSE),"")</f>
      </c>
      <c r="V236" s="79">
        <f>IFERROR(VLOOKUP($A:$A,CS!$A:$AK,35,FALSE),"")</f>
      </c>
      <c r="W236" s="79">
        <f>IFERROR(VLOOKUP($A:$A,CS!$A:$AK,36,FALSE),"")</f>
      </c>
    </row>
    <row r="237" ht="16.5" customHeight="1" spans="1:23" x14ac:dyDescent="0.25">
      <c r="A237" s="93"/>
      <c r="B237" s="79">
        <f>IFERROR(VLOOKUP($A:$A,CS!$A:$AK,3,FALSE),"")</f>
      </c>
      <c r="C237" s="79">
        <f>IFERROR(VLOOKUP($A:$A,CS!$A:$AK,4,FALSE),"")</f>
      </c>
      <c r="D237" s="79">
        <f>IFERROR(VLOOKUP($A:$A,CS!$A:$AK,5,FALSE),"")</f>
      </c>
      <c r="E237" s="79">
        <f>IFERROR(VLOOKUP($A:$A,CS!$A:$AK,7,FALSE),"")</f>
      </c>
      <c r="F237" s="79">
        <f>IFERROR(VLOOKUP($A:$A,CS!$A:$AK,8,FALSE),"")</f>
      </c>
      <c r="G237" s="79">
        <f>IFERROR(VLOOKUP($A:$A,CS!$A:$AK,10,FALSE),"")</f>
      </c>
      <c r="H237" s="79">
        <f>IFERROR(VLOOKUP($A:$A,CS!$A:$AK,14,FALSE),"")</f>
      </c>
      <c r="I237" s="79">
        <f>IFERROR(VLOOKUP($A:$A,CS!$A:$AK,15,FALSE),"")</f>
      </c>
      <c r="J237" s="79">
        <f>IFERROR(VLOOKUP($A:$A,CS!$A:$AK,18,FALSE),"")</f>
      </c>
      <c r="K237" s="79">
        <f>IFERROR(VLOOKUP($A:$A,CS!$A:$AK,19,FALSE),"")</f>
      </c>
      <c r="L237" s="79">
        <f>IFERROR(VLOOKUP($A:$A,CS!$A:$AK,20,FALSE),"")</f>
      </c>
      <c r="M237" s="79">
        <f>IFERROR(VLOOKUP($A:$A,CS!$A:$AK,22,FALSE),"")</f>
      </c>
      <c r="N237" s="79">
        <f>IFERROR(VLOOKUP($A:$A,CS!$A:$AK,19,FALSE),"")</f>
      </c>
      <c r="O237" s="79">
        <f>IFERROR(VLOOKUP($A:$A,CS!$A:$AK,23,FALSE),"")</f>
      </c>
      <c r="P237" s="79">
        <f>IFERROR(VLOOKUP($A:$A,CS!$A:$AK,24,FALSE),"")</f>
      </c>
      <c r="Q237" s="79">
        <f>IFERROR(VLOOKUP($A:$A,CS!$A:$AK,25,FALSE),"")</f>
      </c>
      <c r="R237" s="79">
        <f>IFERROR(VLOOKUP($A:$A,CS!$A:$AK,26,FALSE),"")</f>
      </c>
      <c r="S237" s="79">
        <f>IFERROR(VLOOKUP($A:$A,CS!$A:$AK,29,FALSE),"")</f>
      </c>
      <c r="T237" s="79">
        <f>IFERROR(VLOOKUP($A:$A,CS!$A:$AK,33,FALSE),"")</f>
      </c>
      <c r="U237" s="79">
        <f>IFERROR(VLOOKUP($A:$A,CS!$A:$AK,34,FALSE),"")</f>
      </c>
      <c r="V237" s="79">
        <f>IFERROR(VLOOKUP($A:$A,CS!$A:$AK,35,FALSE),"")</f>
      </c>
      <c r="W237" s="79">
        <f>IFERROR(VLOOKUP($A:$A,CS!$A:$AK,36,FALSE),"")</f>
      </c>
    </row>
    <row r="238" ht="16.5" customHeight="1" spans="1:23" x14ac:dyDescent="0.25">
      <c r="A238" s="93"/>
      <c r="B238" s="79">
        <f>IFERROR(VLOOKUP($A:$A,CS!$A:$AK,3,FALSE),"")</f>
      </c>
      <c r="C238" s="79">
        <f>IFERROR(VLOOKUP($A:$A,CS!$A:$AK,4,FALSE),"")</f>
      </c>
      <c r="D238" s="79">
        <f>IFERROR(VLOOKUP($A:$A,CS!$A:$AK,5,FALSE),"")</f>
      </c>
      <c r="E238" s="79">
        <f>IFERROR(VLOOKUP($A:$A,CS!$A:$AK,7,FALSE),"")</f>
      </c>
      <c r="F238" s="79">
        <f>IFERROR(VLOOKUP($A:$A,CS!$A:$AK,8,FALSE),"")</f>
      </c>
      <c r="G238" s="79">
        <f>IFERROR(VLOOKUP($A:$A,CS!$A:$AK,10,FALSE),"")</f>
      </c>
      <c r="H238" s="79">
        <f>IFERROR(VLOOKUP($A:$A,CS!$A:$AK,14,FALSE),"")</f>
      </c>
      <c r="I238" s="79">
        <f>IFERROR(VLOOKUP($A:$A,CS!$A:$AK,15,FALSE),"")</f>
      </c>
      <c r="J238" s="79">
        <f>IFERROR(VLOOKUP($A:$A,CS!$A:$AK,18,FALSE),"")</f>
      </c>
      <c r="K238" s="79">
        <f>IFERROR(VLOOKUP($A:$A,CS!$A:$AK,19,FALSE),"")</f>
      </c>
      <c r="L238" s="79">
        <f>IFERROR(VLOOKUP($A:$A,CS!$A:$AK,20,FALSE),"")</f>
      </c>
      <c r="M238" s="79">
        <f>IFERROR(VLOOKUP($A:$A,CS!$A:$AK,22,FALSE),"")</f>
      </c>
      <c r="N238" s="79">
        <f>IFERROR(VLOOKUP($A:$A,CS!$A:$AK,19,FALSE),"")</f>
      </c>
      <c r="O238" s="79">
        <f>IFERROR(VLOOKUP($A:$A,CS!$A:$AK,23,FALSE),"")</f>
      </c>
      <c r="P238" s="79">
        <f>IFERROR(VLOOKUP($A:$A,CS!$A:$AK,24,FALSE),"")</f>
      </c>
      <c r="Q238" s="79">
        <f>IFERROR(VLOOKUP($A:$A,CS!$A:$AK,25,FALSE),"")</f>
      </c>
      <c r="R238" s="79">
        <f>IFERROR(VLOOKUP($A:$A,CS!$A:$AK,26,FALSE),"")</f>
      </c>
      <c r="S238" s="79">
        <f>IFERROR(VLOOKUP($A:$A,CS!$A:$AK,29,FALSE),"")</f>
      </c>
      <c r="T238" s="79">
        <f>IFERROR(VLOOKUP($A:$A,CS!$A:$AK,33,FALSE),"")</f>
      </c>
      <c r="U238" s="79">
        <f>IFERROR(VLOOKUP($A:$A,CS!$A:$AK,34,FALSE),"")</f>
      </c>
      <c r="V238" s="79">
        <f>IFERROR(VLOOKUP($A:$A,CS!$A:$AK,35,FALSE),"")</f>
      </c>
      <c r="W238" s="79">
        <f>IFERROR(VLOOKUP($A:$A,CS!$A:$AK,36,FALSE),"")</f>
      </c>
    </row>
    <row r="239" ht="16.5" customHeight="1" spans="1:23" x14ac:dyDescent="0.25">
      <c r="A239" s="93"/>
      <c r="B239" s="79">
        <f>IFERROR(VLOOKUP($A:$A,CS!$A:$AK,3,FALSE),"")</f>
      </c>
      <c r="C239" s="79">
        <f>IFERROR(VLOOKUP($A:$A,CS!$A:$AK,4,FALSE),"")</f>
      </c>
      <c r="D239" s="79">
        <f>IFERROR(VLOOKUP($A:$A,CS!$A:$AK,5,FALSE),"")</f>
      </c>
      <c r="E239" s="79">
        <f>IFERROR(VLOOKUP($A:$A,CS!$A:$AK,7,FALSE),"")</f>
      </c>
      <c r="F239" s="79">
        <f>IFERROR(VLOOKUP($A:$A,CS!$A:$AK,8,FALSE),"")</f>
      </c>
      <c r="G239" s="79">
        <f>IFERROR(VLOOKUP($A:$A,CS!$A:$AK,10,FALSE),"")</f>
      </c>
      <c r="H239" s="79">
        <f>IFERROR(VLOOKUP($A:$A,CS!$A:$AK,14,FALSE),"")</f>
      </c>
      <c r="I239" s="79">
        <f>IFERROR(VLOOKUP($A:$A,CS!$A:$AK,15,FALSE),"")</f>
      </c>
      <c r="J239" s="79">
        <f>IFERROR(VLOOKUP($A:$A,CS!$A:$AK,18,FALSE),"")</f>
      </c>
      <c r="K239" s="79">
        <f>IFERROR(VLOOKUP($A:$A,CS!$A:$AK,19,FALSE),"")</f>
      </c>
      <c r="L239" s="79">
        <f>IFERROR(VLOOKUP($A:$A,CS!$A:$AK,20,FALSE),"")</f>
      </c>
      <c r="M239" s="79">
        <f>IFERROR(VLOOKUP($A:$A,CS!$A:$AK,22,FALSE),"")</f>
      </c>
      <c r="N239" s="79">
        <f>IFERROR(VLOOKUP($A:$A,CS!$A:$AK,19,FALSE),"")</f>
      </c>
      <c r="O239" s="79">
        <f>IFERROR(VLOOKUP($A:$A,CS!$A:$AK,23,FALSE),"")</f>
      </c>
      <c r="P239" s="79">
        <f>IFERROR(VLOOKUP($A:$A,CS!$A:$AK,24,FALSE),"")</f>
      </c>
      <c r="Q239" s="79">
        <f>IFERROR(VLOOKUP($A:$A,CS!$A:$AK,25,FALSE),"")</f>
      </c>
      <c r="R239" s="79">
        <f>IFERROR(VLOOKUP($A:$A,CS!$A:$AK,26,FALSE),"")</f>
      </c>
      <c r="S239" s="79">
        <f>IFERROR(VLOOKUP($A:$A,CS!$A:$AK,29,FALSE),"")</f>
      </c>
      <c r="T239" s="79">
        <f>IFERROR(VLOOKUP($A:$A,CS!$A:$AK,33,FALSE),"")</f>
      </c>
      <c r="U239" s="79">
        <f>IFERROR(VLOOKUP($A:$A,CS!$A:$AK,34,FALSE),"")</f>
      </c>
      <c r="V239" s="79">
        <f>IFERROR(VLOOKUP($A:$A,CS!$A:$AK,35,FALSE),"")</f>
      </c>
      <c r="W239" s="79">
        <f>IFERROR(VLOOKUP($A:$A,CS!$A:$AK,36,FALSE),"")</f>
      </c>
    </row>
    <row r="240" ht="16.5" customHeight="1" spans="1:23" x14ac:dyDescent="0.25">
      <c r="A240" s="93"/>
      <c r="B240" s="79">
        <f>IFERROR(VLOOKUP($A:$A,CS!$A:$AK,3,FALSE),"")</f>
      </c>
      <c r="C240" s="79">
        <f>IFERROR(VLOOKUP($A:$A,CS!$A:$AK,4,FALSE),"")</f>
      </c>
      <c r="D240" s="79">
        <f>IFERROR(VLOOKUP($A:$A,CS!$A:$AK,5,FALSE),"")</f>
      </c>
      <c r="E240" s="79">
        <f>IFERROR(VLOOKUP($A:$A,CS!$A:$AK,7,FALSE),"")</f>
      </c>
      <c r="F240" s="79">
        <f>IFERROR(VLOOKUP($A:$A,CS!$A:$AK,8,FALSE),"")</f>
      </c>
      <c r="G240" s="79">
        <f>IFERROR(VLOOKUP($A:$A,CS!$A:$AK,10,FALSE),"")</f>
      </c>
      <c r="H240" s="79">
        <f>IFERROR(VLOOKUP($A:$A,CS!$A:$AK,14,FALSE),"")</f>
      </c>
      <c r="I240" s="79">
        <f>IFERROR(VLOOKUP($A:$A,CS!$A:$AK,15,FALSE),"")</f>
      </c>
      <c r="J240" s="79">
        <f>IFERROR(VLOOKUP($A:$A,CS!$A:$AK,18,FALSE),"")</f>
      </c>
      <c r="K240" s="79">
        <f>IFERROR(VLOOKUP($A:$A,CS!$A:$AK,19,FALSE),"")</f>
      </c>
      <c r="L240" s="79">
        <f>IFERROR(VLOOKUP($A:$A,CS!$A:$AK,20,FALSE),"")</f>
      </c>
      <c r="M240" s="79">
        <f>IFERROR(VLOOKUP($A:$A,CS!$A:$AK,22,FALSE),"")</f>
      </c>
      <c r="N240" s="79">
        <f>IFERROR(VLOOKUP($A:$A,CS!$A:$AK,19,FALSE),"")</f>
      </c>
      <c r="O240" s="79">
        <f>IFERROR(VLOOKUP($A:$A,CS!$A:$AK,23,FALSE),"")</f>
      </c>
      <c r="P240" s="79">
        <f>IFERROR(VLOOKUP($A:$A,CS!$A:$AK,24,FALSE),"")</f>
      </c>
      <c r="Q240" s="79">
        <f>IFERROR(VLOOKUP($A:$A,CS!$A:$AK,25,FALSE),"")</f>
      </c>
      <c r="R240" s="79">
        <f>IFERROR(VLOOKUP($A:$A,CS!$A:$AK,26,FALSE),"")</f>
      </c>
      <c r="S240" s="79">
        <f>IFERROR(VLOOKUP($A:$A,CS!$A:$AK,29,FALSE),"")</f>
      </c>
      <c r="T240" s="79">
        <f>IFERROR(VLOOKUP($A:$A,CS!$A:$AK,33,FALSE),"")</f>
      </c>
      <c r="U240" s="79">
        <f>IFERROR(VLOOKUP($A:$A,CS!$A:$AK,34,FALSE),"")</f>
      </c>
      <c r="V240" s="79">
        <f>IFERROR(VLOOKUP($A:$A,CS!$A:$AK,35,FALSE),"")</f>
      </c>
      <c r="W240" s="79">
        <f>IFERROR(VLOOKUP($A:$A,CS!$A:$AK,36,FALSE),"")</f>
      </c>
    </row>
    <row r="241" ht="16.5" customHeight="1" spans="1:23" x14ac:dyDescent="0.25">
      <c r="A241" s="93"/>
      <c r="B241" s="79">
        <f>IFERROR(VLOOKUP($A:$A,CS!$A:$AK,3,FALSE),"")</f>
      </c>
      <c r="C241" s="79">
        <f>IFERROR(VLOOKUP($A:$A,CS!$A:$AK,4,FALSE),"")</f>
      </c>
      <c r="D241" s="79">
        <f>IFERROR(VLOOKUP($A:$A,CS!$A:$AK,5,FALSE),"")</f>
      </c>
      <c r="E241" s="79">
        <f>IFERROR(VLOOKUP($A:$A,CS!$A:$AK,7,FALSE),"")</f>
      </c>
      <c r="F241" s="79">
        <f>IFERROR(VLOOKUP($A:$A,CS!$A:$AK,8,FALSE),"")</f>
      </c>
      <c r="G241" s="79">
        <f>IFERROR(VLOOKUP($A:$A,CS!$A:$AK,10,FALSE),"")</f>
      </c>
      <c r="H241" s="79">
        <f>IFERROR(VLOOKUP($A:$A,CS!$A:$AK,14,FALSE),"")</f>
      </c>
      <c r="I241" s="79">
        <f>IFERROR(VLOOKUP($A:$A,CS!$A:$AK,15,FALSE),"")</f>
      </c>
      <c r="J241" s="79">
        <f>IFERROR(VLOOKUP($A:$A,CS!$A:$AK,18,FALSE),"")</f>
      </c>
      <c r="K241" s="79">
        <f>IFERROR(VLOOKUP($A:$A,CS!$A:$AK,19,FALSE),"")</f>
      </c>
      <c r="L241" s="79">
        <f>IFERROR(VLOOKUP($A:$A,CS!$A:$AK,20,FALSE),"")</f>
      </c>
      <c r="M241" s="79">
        <f>IFERROR(VLOOKUP($A:$A,CS!$A:$AK,22,FALSE),"")</f>
      </c>
      <c r="N241" s="79">
        <f>IFERROR(VLOOKUP($A:$A,CS!$A:$AK,19,FALSE),"")</f>
      </c>
      <c r="O241" s="79">
        <f>IFERROR(VLOOKUP($A:$A,CS!$A:$AK,23,FALSE),"")</f>
      </c>
      <c r="P241" s="79">
        <f>IFERROR(VLOOKUP($A:$A,CS!$A:$AK,24,FALSE),"")</f>
      </c>
      <c r="Q241" s="79">
        <f>IFERROR(VLOOKUP($A:$A,CS!$A:$AK,25,FALSE),"")</f>
      </c>
      <c r="R241" s="79">
        <f>IFERROR(VLOOKUP($A:$A,CS!$A:$AK,26,FALSE),"")</f>
      </c>
      <c r="S241" s="79">
        <f>IFERROR(VLOOKUP($A:$A,CS!$A:$AK,29,FALSE),"")</f>
      </c>
      <c r="T241" s="79">
        <f>IFERROR(VLOOKUP($A:$A,CS!$A:$AK,33,FALSE),"")</f>
      </c>
      <c r="U241" s="79">
        <f>IFERROR(VLOOKUP($A:$A,CS!$A:$AK,34,FALSE),"")</f>
      </c>
      <c r="V241" s="79">
        <f>IFERROR(VLOOKUP($A:$A,CS!$A:$AK,35,FALSE),"")</f>
      </c>
      <c r="W241" s="79">
        <f>IFERROR(VLOOKUP($A:$A,CS!$A:$AK,36,FALSE),"")</f>
      </c>
    </row>
    <row r="242" ht="16.5" customHeight="1" spans="1:23" x14ac:dyDescent="0.25">
      <c r="A242" s="93"/>
      <c r="B242" s="79">
        <f>IFERROR(VLOOKUP($A:$A,CS!$A:$AK,3,FALSE),"")</f>
      </c>
      <c r="C242" s="79">
        <f>IFERROR(VLOOKUP($A:$A,CS!$A:$AK,4,FALSE),"")</f>
      </c>
      <c r="D242" s="79">
        <f>IFERROR(VLOOKUP($A:$A,CS!$A:$AK,5,FALSE),"")</f>
      </c>
      <c r="E242" s="79">
        <f>IFERROR(VLOOKUP($A:$A,CS!$A:$AK,7,FALSE),"")</f>
      </c>
      <c r="F242" s="79">
        <f>IFERROR(VLOOKUP($A:$A,CS!$A:$AK,8,FALSE),"")</f>
      </c>
      <c r="G242" s="79">
        <f>IFERROR(VLOOKUP($A:$A,CS!$A:$AK,10,FALSE),"")</f>
      </c>
      <c r="H242" s="79">
        <f>IFERROR(VLOOKUP($A:$A,CS!$A:$AK,14,FALSE),"")</f>
      </c>
      <c r="I242" s="79">
        <f>IFERROR(VLOOKUP($A:$A,CS!$A:$AK,15,FALSE),"")</f>
      </c>
      <c r="J242" s="79">
        <f>IFERROR(VLOOKUP($A:$A,CS!$A:$AK,18,FALSE),"")</f>
      </c>
      <c r="K242" s="79">
        <f>IFERROR(VLOOKUP($A:$A,CS!$A:$AK,19,FALSE),"")</f>
      </c>
      <c r="L242" s="79">
        <f>IFERROR(VLOOKUP($A:$A,CS!$A:$AK,20,FALSE),"")</f>
      </c>
      <c r="M242" s="79">
        <f>IFERROR(VLOOKUP($A:$A,CS!$A:$AK,22,FALSE),"")</f>
      </c>
      <c r="N242" s="79">
        <f>IFERROR(VLOOKUP($A:$A,CS!$A:$AK,19,FALSE),"")</f>
      </c>
      <c r="O242" s="79">
        <f>IFERROR(VLOOKUP($A:$A,CS!$A:$AK,23,FALSE),"")</f>
      </c>
      <c r="P242" s="79">
        <f>IFERROR(VLOOKUP($A:$A,CS!$A:$AK,24,FALSE),"")</f>
      </c>
      <c r="Q242" s="79">
        <f>IFERROR(VLOOKUP($A:$A,CS!$A:$AK,25,FALSE),"")</f>
      </c>
      <c r="R242" s="79">
        <f>IFERROR(VLOOKUP($A:$A,CS!$A:$AK,26,FALSE),"")</f>
      </c>
      <c r="S242" s="79">
        <f>IFERROR(VLOOKUP($A:$A,CS!$A:$AK,29,FALSE),"")</f>
      </c>
      <c r="T242" s="79">
        <f>IFERROR(VLOOKUP($A:$A,CS!$A:$AK,33,FALSE),"")</f>
      </c>
      <c r="U242" s="79">
        <f>IFERROR(VLOOKUP($A:$A,CS!$A:$AK,34,FALSE),"")</f>
      </c>
      <c r="V242" s="79">
        <f>IFERROR(VLOOKUP($A:$A,CS!$A:$AK,35,FALSE),"")</f>
      </c>
      <c r="W242" s="79">
        <f>IFERROR(VLOOKUP($A:$A,CS!$A:$AK,36,FALSE),"")</f>
      </c>
    </row>
    <row r="243" ht="16.5" customHeight="1" spans="1:23" x14ac:dyDescent="0.25">
      <c r="A243" s="93"/>
      <c r="B243" s="79">
        <f>IFERROR(VLOOKUP($A:$A,CS!$A:$AK,3,FALSE),"")</f>
      </c>
      <c r="C243" s="79">
        <f>IFERROR(VLOOKUP($A:$A,CS!$A:$AK,4,FALSE),"")</f>
      </c>
      <c r="D243" s="79">
        <f>IFERROR(VLOOKUP($A:$A,CS!$A:$AK,5,FALSE),"")</f>
      </c>
      <c r="E243" s="79">
        <f>IFERROR(VLOOKUP($A:$A,CS!$A:$AK,7,FALSE),"")</f>
      </c>
      <c r="F243" s="79">
        <f>IFERROR(VLOOKUP($A:$A,CS!$A:$AK,8,FALSE),"")</f>
      </c>
      <c r="G243" s="79">
        <f>IFERROR(VLOOKUP($A:$A,CS!$A:$AK,10,FALSE),"")</f>
      </c>
      <c r="H243" s="79">
        <f>IFERROR(VLOOKUP($A:$A,CS!$A:$AK,14,FALSE),"")</f>
      </c>
      <c r="I243" s="79">
        <f>IFERROR(VLOOKUP($A:$A,CS!$A:$AK,15,FALSE),"")</f>
      </c>
      <c r="J243" s="79">
        <f>IFERROR(VLOOKUP($A:$A,CS!$A:$AK,18,FALSE),"")</f>
      </c>
      <c r="K243" s="79">
        <f>IFERROR(VLOOKUP($A:$A,CS!$A:$AK,19,FALSE),"")</f>
      </c>
      <c r="L243" s="79">
        <f>IFERROR(VLOOKUP($A:$A,CS!$A:$AK,20,FALSE),"")</f>
      </c>
      <c r="M243" s="79">
        <f>IFERROR(VLOOKUP($A:$A,CS!$A:$AK,22,FALSE),"")</f>
      </c>
      <c r="N243" s="79">
        <f>IFERROR(VLOOKUP($A:$A,CS!$A:$AK,19,FALSE),"")</f>
      </c>
      <c r="O243" s="79">
        <f>IFERROR(VLOOKUP($A:$A,CS!$A:$AK,23,FALSE),"")</f>
      </c>
      <c r="P243" s="79">
        <f>IFERROR(VLOOKUP($A:$A,CS!$A:$AK,24,FALSE),"")</f>
      </c>
      <c r="Q243" s="79">
        <f>IFERROR(VLOOKUP($A:$A,CS!$A:$AK,25,FALSE),"")</f>
      </c>
      <c r="R243" s="79">
        <f>IFERROR(VLOOKUP($A:$A,CS!$A:$AK,26,FALSE),"")</f>
      </c>
      <c r="S243" s="79">
        <f>IFERROR(VLOOKUP($A:$A,CS!$A:$AK,29,FALSE),"")</f>
      </c>
      <c r="T243" s="79">
        <f>IFERROR(VLOOKUP($A:$A,CS!$A:$AK,33,FALSE),"")</f>
      </c>
      <c r="U243" s="79">
        <f>IFERROR(VLOOKUP($A:$A,CS!$A:$AK,34,FALSE),"")</f>
      </c>
      <c r="V243" s="79">
        <f>IFERROR(VLOOKUP($A:$A,CS!$A:$AK,35,FALSE),"")</f>
      </c>
      <c r="W243" s="79">
        <f>IFERROR(VLOOKUP($A:$A,CS!$A:$AK,36,FALSE),"")</f>
      </c>
    </row>
    <row r="244" ht="16.5" customHeight="1" spans="1:23" x14ac:dyDescent="0.25">
      <c r="A244" s="93"/>
      <c r="B244" s="79">
        <f>IFERROR(VLOOKUP($A:$A,CS!$A:$AK,3,FALSE),"")</f>
      </c>
      <c r="C244" s="79">
        <f>IFERROR(VLOOKUP($A:$A,CS!$A:$AK,4,FALSE),"")</f>
      </c>
      <c r="D244" s="79">
        <f>IFERROR(VLOOKUP($A:$A,CS!$A:$AK,5,FALSE),"")</f>
      </c>
      <c r="E244" s="79">
        <f>IFERROR(VLOOKUP($A:$A,CS!$A:$AK,7,FALSE),"")</f>
      </c>
      <c r="F244" s="79">
        <f>IFERROR(VLOOKUP($A:$A,CS!$A:$AK,8,FALSE),"")</f>
      </c>
      <c r="G244" s="79">
        <f>IFERROR(VLOOKUP($A:$A,CS!$A:$AK,10,FALSE),"")</f>
      </c>
      <c r="H244" s="79">
        <f>IFERROR(VLOOKUP($A:$A,CS!$A:$AK,14,FALSE),"")</f>
      </c>
      <c r="I244" s="79">
        <f>IFERROR(VLOOKUP($A:$A,CS!$A:$AK,15,FALSE),"")</f>
      </c>
      <c r="J244" s="79">
        <f>IFERROR(VLOOKUP($A:$A,CS!$A:$AK,18,FALSE),"")</f>
      </c>
      <c r="K244" s="79">
        <f>IFERROR(VLOOKUP($A:$A,CS!$A:$AK,19,FALSE),"")</f>
      </c>
      <c r="L244" s="79">
        <f>IFERROR(VLOOKUP($A:$A,CS!$A:$AK,20,FALSE),"")</f>
      </c>
      <c r="M244" s="79">
        <f>IFERROR(VLOOKUP($A:$A,CS!$A:$AK,22,FALSE),"")</f>
      </c>
      <c r="N244" s="79">
        <f>IFERROR(VLOOKUP($A:$A,CS!$A:$AK,19,FALSE),"")</f>
      </c>
      <c r="O244" s="79">
        <f>IFERROR(VLOOKUP($A:$A,CS!$A:$AK,23,FALSE),"")</f>
      </c>
      <c r="P244" s="79">
        <f>IFERROR(VLOOKUP($A:$A,CS!$A:$AK,24,FALSE),"")</f>
      </c>
      <c r="Q244" s="79">
        <f>IFERROR(VLOOKUP($A:$A,CS!$A:$AK,25,FALSE),"")</f>
      </c>
      <c r="R244" s="79">
        <f>IFERROR(VLOOKUP($A:$A,CS!$A:$AK,26,FALSE),"")</f>
      </c>
      <c r="S244" s="79">
        <f>IFERROR(VLOOKUP($A:$A,CS!$A:$AK,29,FALSE),"")</f>
      </c>
      <c r="T244" s="79">
        <f>IFERROR(VLOOKUP($A:$A,CS!$A:$AK,33,FALSE),"")</f>
      </c>
      <c r="U244" s="79">
        <f>IFERROR(VLOOKUP($A:$A,CS!$A:$AK,34,FALSE),"")</f>
      </c>
      <c r="V244" s="79">
        <f>IFERROR(VLOOKUP($A:$A,CS!$A:$AK,35,FALSE),"")</f>
      </c>
      <c r="W244" s="79">
        <f>IFERROR(VLOOKUP($A:$A,CS!$A:$AK,36,FALSE),"")</f>
      </c>
    </row>
    <row r="245" ht="16.5" customHeight="1" spans="1:23" x14ac:dyDescent="0.25">
      <c r="A245" s="93"/>
      <c r="B245" s="79">
        <f>IFERROR(VLOOKUP($A:$A,CS!$A:$AK,3,FALSE),"")</f>
      </c>
      <c r="C245" s="79">
        <f>IFERROR(VLOOKUP($A:$A,CS!$A:$AK,4,FALSE),"")</f>
      </c>
      <c r="D245" s="79">
        <f>IFERROR(VLOOKUP($A:$A,CS!$A:$AK,5,FALSE),"")</f>
      </c>
      <c r="E245" s="79">
        <f>IFERROR(VLOOKUP($A:$A,CS!$A:$AK,7,FALSE),"")</f>
      </c>
      <c r="F245" s="79">
        <f>IFERROR(VLOOKUP($A:$A,CS!$A:$AK,8,FALSE),"")</f>
      </c>
      <c r="G245" s="79">
        <f>IFERROR(VLOOKUP($A:$A,CS!$A:$AK,10,FALSE),"")</f>
      </c>
      <c r="H245" s="79">
        <f>IFERROR(VLOOKUP($A:$A,CS!$A:$AK,14,FALSE),"")</f>
      </c>
      <c r="I245" s="79">
        <f>IFERROR(VLOOKUP($A:$A,CS!$A:$AK,15,FALSE),"")</f>
      </c>
      <c r="J245" s="79">
        <f>IFERROR(VLOOKUP($A:$A,CS!$A:$AK,18,FALSE),"")</f>
      </c>
      <c r="K245" s="79">
        <f>IFERROR(VLOOKUP($A:$A,CS!$A:$AK,19,FALSE),"")</f>
      </c>
      <c r="L245" s="79">
        <f>IFERROR(VLOOKUP($A:$A,CS!$A:$AK,20,FALSE),"")</f>
      </c>
      <c r="M245" s="79">
        <f>IFERROR(VLOOKUP($A:$A,CS!$A:$AK,22,FALSE),"")</f>
      </c>
      <c r="N245" s="79">
        <f>IFERROR(VLOOKUP($A:$A,CS!$A:$AK,19,FALSE),"")</f>
      </c>
      <c r="O245" s="79">
        <f>IFERROR(VLOOKUP($A:$A,CS!$A:$AK,23,FALSE),"")</f>
      </c>
      <c r="P245" s="79">
        <f>IFERROR(VLOOKUP($A:$A,CS!$A:$AK,24,FALSE),"")</f>
      </c>
      <c r="Q245" s="79">
        <f>IFERROR(VLOOKUP($A:$A,CS!$A:$AK,25,FALSE),"")</f>
      </c>
      <c r="R245" s="79">
        <f>IFERROR(VLOOKUP($A:$A,CS!$A:$AK,26,FALSE),"")</f>
      </c>
      <c r="S245" s="79">
        <f>IFERROR(VLOOKUP($A:$A,CS!$A:$AK,29,FALSE),"")</f>
      </c>
      <c r="T245" s="79">
        <f>IFERROR(VLOOKUP($A:$A,CS!$A:$AK,33,FALSE),"")</f>
      </c>
      <c r="U245" s="79">
        <f>IFERROR(VLOOKUP($A:$A,CS!$A:$AK,34,FALSE),"")</f>
      </c>
      <c r="V245" s="79">
        <f>IFERROR(VLOOKUP($A:$A,CS!$A:$AK,35,FALSE),"")</f>
      </c>
      <c r="W245" s="79">
        <f>IFERROR(VLOOKUP($A:$A,CS!$A:$AK,36,FALSE),"")</f>
      </c>
    </row>
    <row r="246" ht="16.5" customHeight="1" spans="1:23" x14ac:dyDescent="0.25">
      <c r="A246" s="93"/>
      <c r="B246" s="79">
        <f>IFERROR(VLOOKUP($A:$A,CS!$A:$AK,3,FALSE),"")</f>
      </c>
      <c r="C246" s="79">
        <f>IFERROR(VLOOKUP($A:$A,CS!$A:$AK,4,FALSE),"")</f>
      </c>
      <c r="D246" s="79">
        <f>IFERROR(VLOOKUP($A:$A,CS!$A:$AK,5,FALSE),"")</f>
      </c>
      <c r="E246" s="79">
        <f>IFERROR(VLOOKUP($A:$A,CS!$A:$AK,7,FALSE),"")</f>
      </c>
      <c r="F246" s="79">
        <f>IFERROR(VLOOKUP($A:$A,CS!$A:$AK,8,FALSE),"")</f>
      </c>
      <c r="G246" s="79">
        <f>IFERROR(VLOOKUP($A:$A,CS!$A:$AK,10,FALSE),"")</f>
      </c>
      <c r="H246" s="79">
        <f>IFERROR(VLOOKUP($A:$A,CS!$A:$AK,14,FALSE),"")</f>
      </c>
      <c r="I246" s="79">
        <f>IFERROR(VLOOKUP($A:$A,CS!$A:$AK,15,FALSE),"")</f>
      </c>
      <c r="J246" s="79">
        <f>IFERROR(VLOOKUP($A:$A,CS!$A:$AK,18,FALSE),"")</f>
      </c>
      <c r="K246" s="79">
        <f>IFERROR(VLOOKUP($A:$A,CS!$A:$AK,19,FALSE),"")</f>
      </c>
      <c r="L246" s="79">
        <f>IFERROR(VLOOKUP($A:$A,CS!$A:$AK,20,FALSE),"")</f>
      </c>
      <c r="M246" s="79">
        <f>IFERROR(VLOOKUP($A:$A,CS!$A:$AK,22,FALSE),"")</f>
      </c>
      <c r="N246" s="79">
        <f>IFERROR(VLOOKUP($A:$A,CS!$A:$AK,19,FALSE),"")</f>
      </c>
      <c r="O246" s="79">
        <f>IFERROR(VLOOKUP($A:$A,CS!$A:$AK,23,FALSE),"")</f>
      </c>
      <c r="P246" s="79">
        <f>IFERROR(VLOOKUP($A:$A,CS!$A:$AK,24,FALSE),"")</f>
      </c>
      <c r="Q246" s="79">
        <f>IFERROR(VLOOKUP($A:$A,CS!$A:$AK,25,FALSE),"")</f>
      </c>
      <c r="R246" s="79">
        <f>IFERROR(VLOOKUP($A:$A,CS!$A:$AK,26,FALSE),"")</f>
      </c>
      <c r="S246" s="79">
        <f>IFERROR(VLOOKUP($A:$A,CS!$A:$AK,29,FALSE),"")</f>
      </c>
      <c r="T246" s="79">
        <f>IFERROR(VLOOKUP($A:$A,CS!$A:$AK,33,FALSE),"")</f>
      </c>
      <c r="U246" s="79">
        <f>IFERROR(VLOOKUP($A:$A,CS!$A:$AK,34,FALSE),"")</f>
      </c>
      <c r="V246" s="79">
        <f>IFERROR(VLOOKUP($A:$A,CS!$A:$AK,35,FALSE),"")</f>
      </c>
      <c r="W246" s="79">
        <f>IFERROR(VLOOKUP($A:$A,CS!$A:$AK,36,FALSE),"")</f>
      </c>
    </row>
    <row r="247" ht="16.5" customHeight="1" spans="1:23" x14ac:dyDescent="0.25">
      <c r="A247" s="93"/>
      <c r="B247" s="79">
        <f>IFERROR(VLOOKUP($A:$A,CS!$A:$AK,3,FALSE),"")</f>
      </c>
      <c r="C247" s="79">
        <f>IFERROR(VLOOKUP($A:$A,CS!$A:$AK,4,FALSE),"")</f>
      </c>
      <c r="D247" s="79">
        <f>IFERROR(VLOOKUP($A:$A,CS!$A:$AK,5,FALSE),"")</f>
      </c>
      <c r="E247" s="79">
        <f>IFERROR(VLOOKUP($A:$A,CS!$A:$AK,7,FALSE),"")</f>
      </c>
      <c r="F247" s="79">
        <f>IFERROR(VLOOKUP($A:$A,CS!$A:$AK,8,FALSE),"")</f>
      </c>
      <c r="G247" s="79">
        <f>IFERROR(VLOOKUP($A:$A,CS!$A:$AK,10,FALSE),"")</f>
      </c>
      <c r="H247" s="79">
        <f>IFERROR(VLOOKUP($A:$A,CS!$A:$AK,14,FALSE),"")</f>
      </c>
      <c r="I247" s="79">
        <f>IFERROR(VLOOKUP($A:$A,CS!$A:$AK,15,FALSE),"")</f>
      </c>
      <c r="J247" s="79">
        <f>IFERROR(VLOOKUP($A:$A,CS!$A:$AK,18,FALSE),"")</f>
      </c>
      <c r="K247" s="79">
        <f>IFERROR(VLOOKUP($A:$A,CS!$A:$AK,19,FALSE),"")</f>
      </c>
      <c r="L247" s="79">
        <f>IFERROR(VLOOKUP($A:$A,CS!$A:$AK,20,FALSE),"")</f>
      </c>
      <c r="M247" s="79">
        <f>IFERROR(VLOOKUP($A:$A,CS!$A:$AK,22,FALSE),"")</f>
      </c>
      <c r="N247" s="79">
        <f>IFERROR(VLOOKUP($A:$A,CS!$A:$AK,19,FALSE),"")</f>
      </c>
      <c r="O247" s="79">
        <f>IFERROR(VLOOKUP($A:$A,CS!$A:$AK,23,FALSE),"")</f>
      </c>
      <c r="P247" s="79">
        <f>IFERROR(VLOOKUP($A:$A,CS!$A:$AK,24,FALSE),"")</f>
      </c>
      <c r="Q247" s="79">
        <f>IFERROR(VLOOKUP($A:$A,CS!$A:$AK,25,FALSE),"")</f>
      </c>
      <c r="R247" s="79">
        <f>IFERROR(VLOOKUP($A:$A,CS!$A:$AK,26,FALSE),"")</f>
      </c>
      <c r="S247" s="79">
        <f>IFERROR(VLOOKUP($A:$A,CS!$A:$AK,29,FALSE),"")</f>
      </c>
      <c r="T247" s="79">
        <f>IFERROR(VLOOKUP($A:$A,CS!$A:$AK,33,FALSE),"")</f>
      </c>
      <c r="U247" s="79">
        <f>IFERROR(VLOOKUP($A:$A,CS!$A:$AK,34,FALSE),"")</f>
      </c>
      <c r="V247" s="79">
        <f>IFERROR(VLOOKUP($A:$A,CS!$A:$AK,35,FALSE),"")</f>
      </c>
      <c r="W247" s="79">
        <f>IFERROR(VLOOKUP($A:$A,CS!$A:$AK,36,FALSE),"")</f>
      </c>
    </row>
    <row r="248" ht="16.5" customHeight="1" spans="1:23" x14ac:dyDescent="0.25">
      <c r="A248" s="93"/>
      <c r="B248" s="79">
        <f>IFERROR(VLOOKUP($A:$A,CS!$A:$AK,3,FALSE),"")</f>
      </c>
      <c r="C248" s="79">
        <f>IFERROR(VLOOKUP($A:$A,CS!$A:$AK,4,FALSE),"")</f>
      </c>
      <c r="D248" s="79">
        <f>IFERROR(VLOOKUP($A:$A,CS!$A:$AK,5,FALSE),"")</f>
      </c>
      <c r="E248" s="79">
        <f>IFERROR(VLOOKUP($A:$A,CS!$A:$AK,7,FALSE),"")</f>
      </c>
      <c r="F248" s="79">
        <f>IFERROR(VLOOKUP($A:$A,CS!$A:$AK,8,FALSE),"")</f>
      </c>
      <c r="G248" s="79">
        <f>IFERROR(VLOOKUP($A:$A,CS!$A:$AK,10,FALSE),"")</f>
      </c>
      <c r="H248" s="79">
        <f>IFERROR(VLOOKUP($A:$A,CS!$A:$AK,14,FALSE),"")</f>
      </c>
      <c r="I248" s="79">
        <f>IFERROR(VLOOKUP($A:$A,CS!$A:$AK,15,FALSE),"")</f>
      </c>
      <c r="J248" s="79">
        <f>IFERROR(VLOOKUP($A:$A,CS!$A:$AK,18,FALSE),"")</f>
      </c>
      <c r="K248" s="79">
        <f>IFERROR(VLOOKUP($A:$A,CS!$A:$AK,19,FALSE),"")</f>
      </c>
      <c r="L248" s="79">
        <f>IFERROR(VLOOKUP($A:$A,CS!$A:$AK,20,FALSE),"")</f>
      </c>
      <c r="M248" s="79">
        <f>IFERROR(VLOOKUP($A:$A,CS!$A:$AK,22,FALSE),"")</f>
      </c>
      <c r="N248" s="79">
        <f>IFERROR(VLOOKUP($A:$A,CS!$A:$AK,19,FALSE),"")</f>
      </c>
      <c r="O248" s="79">
        <f>IFERROR(VLOOKUP($A:$A,CS!$A:$AK,23,FALSE),"")</f>
      </c>
      <c r="P248" s="79">
        <f>IFERROR(VLOOKUP($A:$A,CS!$A:$AK,24,FALSE),"")</f>
      </c>
      <c r="Q248" s="79">
        <f>IFERROR(VLOOKUP($A:$A,CS!$A:$AK,25,FALSE),"")</f>
      </c>
      <c r="R248" s="79">
        <f>IFERROR(VLOOKUP($A:$A,CS!$A:$AK,26,FALSE),"")</f>
      </c>
      <c r="S248" s="79">
        <f>IFERROR(VLOOKUP($A:$A,CS!$A:$AK,29,FALSE),"")</f>
      </c>
      <c r="T248" s="79">
        <f>IFERROR(VLOOKUP($A:$A,CS!$A:$AK,33,FALSE),"")</f>
      </c>
      <c r="U248" s="79">
        <f>IFERROR(VLOOKUP($A:$A,CS!$A:$AK,34,FALSE),"")</f>
      </c>
      <c r="V248" s="79">
        <f>IFERROR(VLOOKUP($A:$A,CS!$A:$AK,35,FALSE),"")</f>
      </c>
      <c r="W248" s="79">
        <f>IFERROR(VLOOKUP($A:$A,CS!$A:$AK,36,FALSE),"")</f>
      </c>
    </row>
    <row r="249" ht="16.5" customHeight="1" spans="1:23" x14ac:dyDescent="0.25">
      <c r="A249" s="93"/>
      <c r="B249" s="79">
        <f>IFERROR(VLOOKUP($A:$A,CS!$A:$AK,3,FALSE),"")</f>
      </c>
      <c r="C249" s="79">
        <f>IFERROR(VLOOKUP($A:$A,CS!$A:$AK,4,FALSE),"")</f>
      </c>
      <c r="D249" s="79">
        <f>IFERROR(VLOOKUP($A:$A,CS!$A:$AK,5,FALSE),"")</f>
      </c>
      <c r="E249" s="79">
        <f>IFERROR(VLOOKUP($A:$A,CS!$A:$AK,7,FALSE),"")</f>
      </c>
      <c r="F249" s="79">
        <f>IFERROR(VLOOKUP($A:$A,CS!$A:$AK,8,FALSE),"")</f>
      </c>
      <c r="G249" s="79">
        <f>IFERROR(VLOOKUP($A:$A,CS!$A:$AK,10,FALSE),"")</f>
      </c>
      <c r="H249" s="79">
        <f>IFERROR(VLOOKUP($A:$A,CS!$A:$AK,14,FALSE),"")</f>
      </c>
      <c r="I249" s="79">
        <f>IFERROR(VLOOKUP($A:$A,CS!$A:$AK,15,FALSE),"")</f>
      </c>
      <c r="J249" s="79">
        <f>IFERROR(VLOOKUP($A:$A,CS!$A:$AK,18,FALSE),"")</f>
      </c>
      <c r="K249" s="79">
        <f>IFERROR(VLOOKUP($A:$A,CS!$A:$AK,19,FALSE),"")</f>
      </c>
      <c r="L249" s="79">
        <f>IFERROR(VLOOKUP($A:$A,CS!$A:$AK,20,FALSE),"")</f>
      </c>
      <c r="M249" s="79">
        <f>IFERROR(VLOOKUP($A:$A,CS!$A:$AK,22,FALSE),"")</f>
      </c>
      <c r="N249" s="79">
        <f>IFERROR(VLOOKUP($A:$A,CS!$A:$AK,19,FALSE),"")</f>
      </c>
      <c r="O249" s="79">
        <f>IFERROR(VLOOKUP($A:$A,CS!$A:$AK,23,FALSE),"")</f>
      </c>
      <c r="P249" s="79">
        <f>IFERROR(VLOOKUP($A:$A,CS!$A:$AK,24,FALSE),"")</f>
      </c>
      <c r="Q249" s="79">
        <f>IFERROR(VLOOKUP($A:$A,CS!$A:$AK,25,FALSE),"")</f>
      </c>
      <c r="R249" s="79">
        <f>IFERROR(VLOOKUP($A:$A,CS!$A:$AK,26,FALSE),"")</f>
      </c>
      <c r="S249" s="79">
        <f>IFERROR(VLOOKUP($A:$A,CS!$A:$AK,29,FALSE),"")</f>
      </c>
      <c r="T249" s="79">
        <f>IFERROR(VLOOKUP($A:$A,CS!$A:$AK,33,FALSE),"")</f>
      </c>
      <c r="U249" s="79">
        <f>IFERROR(VLOOKUP($A:$A,CS!$A:$AK,34,FALSE),"")</f>
      </c>
      <c r="V249" s="79">
        <f>IFERROR(VLOOKUP($A:$A,CS!$A:$AK,35,FALSE),"")</f>
      </c>
      <c r="W249" s="79">
        <f>IFERROR(VLOOKUP($A:$A,CS!$A:$AK,36,FALSE),"")</f>
      </c>
    </row>
    <row r="250" ht="16.5" customHeight="1" spans="1:23" x14ac:dyDescent="0.25">
      <c r="A250" s="93"/>
      <c r="B250" s="79">
        <f>IFERROR(VLOOKUP($A:$A,CS!$A:$AK,3,FALSE),"")</f>
      </c>
      <c r="C250" s="79">
        <f>IFERROR(VLOOKUP($A:$A,CS!$A:$AK,4,FALSE),"")</f>
      </c>
      <c r="D250" s="79">
        <f>IFERROR(VLOOKUP($A:$A,CS!$A:$AK,5,FALSE),"")</f>
      </c>
      <c r="E250" s="79">
        <f>IFERROR(VLOOKUP($A:$A,CS!$A:$AK,7,FALSE),"")</f>
      </c>
      <c r="F250" s="79">
        <f>IFERROR(VLOOKUP($A:$A,CS!$A:$AK,8,FALSE),"")</f>
      </c>
      <c r="G250" s="79">
        <f>IFERROR(VLOOKUP($A:$A,CS!$A:$AK,10,FALSE),"")</f>
      </c>
      <c r="H250" s="79">
        <f>IFERROR(VLOOKUP($A:$A,CS!$A:$AK,14,FALSE),"")</f>
      </c>
      <c r="I250" s="79">
        <f>IFERROR(VLOOKUP($A:$A,CS!$A:$AK,15,FALSE),"")</f>
      </c>
      <c r="J250" s="79">
        <f>IFERROR(VLOOKUP($A:$A,CS!$A:$AK,18,FALSE),"")</f>
      </c>
      <c r="K250" s="79">
        <f>IFERROR(VLOOKUP($A:$A,CS!$A:$AK,19,FALSE),"")</f>
      </c>
      <c r="L250" s="79">
        <f>IFERROR(VLOOKUP($A:$A,CS!$A:$AK,20,FALSE),"")</f>
      </c>
      <c r="M250" s="79">
        <f>IFERROR(VLOOKUP($A:$A,CS!$A:$AK,22,FALSE),"")</f>
      </c>
      <c r="N250" s="79">
        <f>IFERROR(VLOOKUP($A:$A,CS!$A:$AK,19,FALSE),"")</f>
      </c>
      <c r="O250" s="79">
        <f>IFERROR(VLOOKUP($A:$A,CS!$A:$AK,23,FALSE),"")</f>
      </c>
      <c r="P250" s="79">
        <f>IFERROR(VLOOKUP($A:$A,CS!$A:$AK,24,FALSE),"")</f>
      </c>
      <c r="Q250" s="79">
        <f>IFERROR(VLOOKUP($A:$A,CS!$A:$AK,25,FALSE),"")</f>
      </c>
      <c r="R250" s="79">
        <f>IFERROR(VLOOKUP($A:$A,CS!$A:$AK,26,FALSE),"")</f>
      </c>
      <c r="S250" s="79">
        <f>IFERROR(VLOOKUP($A:$A,CS!$A:$AK,29,FALSE),"")</f>
      </c>
      <c r="T250" s="79">
        <f>IFERROR(VLOOKUP($A:$A,CS!$A:$AK,33,FALSE),"")</f>
      </c>
      <c r="U250" s="79">
        <f>IFERROR(VLOOKUP($A:$A,CS!$A:$AK,34,FALSE),"")</f>
      </c>
      <c r="V250" s="79">
        <f>IFERROR(VLOOKUP($A:$A,CS!$A:$AK,35,FALSE),"")</f>
      </c>
      <c r="W250" s="79">
        <f>IFERROR(VLOOKUP($A:$A,CS!$A:$AK,36,FALSE),"")</f>
      </c>
    </row>
    <row r="251" ht="16.5" customHeight="1" spans="1:23" x14ac:dyDescent="0.25">
      <c r="A251" s="93"/>
      <c r="B251" s="79">
        <f>IFERROR(VLOOKUP($A:$A,CS!$A:$AK,3,FALSE),"")</f>
      </c>
      <c r="C251" s="79">
        <f>IFERROR(VLOOKUP($A:$A,CS!$A:$AK,4,FALSE),"")</f>
      </c>
      <c r="D251" s="79">
        <f>IFERROR(VLOOKUP($A:$A,CS!$A:$AK,5,FALSE),"")</f>
      </c>
      <c r="E251" s="79">
        <f>IFERROR(VLOOKUP($A:$A,CS!$A:$AK,7,FALSE),"")</f>
      </c>
      <c r="F251" s="79">
        <f>IFERROR(VLOOKUP($A:$A,CS!$A:$AK,8,FALSE),"")</f>
      </c>
      <c r="G251" s="79">
        <f>IFERROR(VLOOKUP($A:$A,CS!$A:$AK,10,FALSE),"")</f>
      </c>
      <c r="H251" s="79">
        <f>IFERROR(VLOOKUP($A:$A,CS!$A:$AK,14,FALSE),"")</f>
      </c>
      <c r="I251" s="79">
        <f>IFERROR(VLOOKUP($A:$A,CS!$A:$AK,15,FALSE),"")</f>
      </c>
      <c r="J251" s="79">
        <f>IFERROR(VLOOKUP($A:$A,CS!$A:$AK,18,FALSE),"")</f>
      </c>
      <c r="K251" s="79">
        <f>IFERROR(VLOOKUP($A:$A,CS!$A:$AK,19,FALSE),"")</f>
      </c>
      <c r="L251" s="79">
        <f>IFERROR(VLOOKUP($A:$A,CS!$A:$AK,20,FALSE),"")</f>
      </c>
      <c r="M251" s="79">
        <f>IFERROR(VLOOKUP($A:$A,CS!$A:$AK,22,FALSE),"")</f>
      </c>
      <c r="N251" s="79">
        <f>IFERROR(VLOOKUP($A:$A,CS!$A:$AK,19,FALSE),"")</f>
      </c>
      <c r="O251" s="79">
        <f>IFERROR(VLOOKUP($A:$A,CS!$A:$AK,23,FALSE),"")</f>
      </c>
      <c r="P251" s="79">
        <f>IFERROR(VLOOKUP($A:$A,CS!$A:$AK,24,FALSE),"")</f>
      </c>
      <c r="Q251" s="79">
        <f>IFERROR(VLOOKUP($A:$A,CS!$A:$AK,25,FALSE),"")</f>
      </c>
      <c r="R251" s="79">
        <f>IFERROR(VLOOKUP($A:$A,CS!$A:$AK,26,FALSE),"")</f>
      </c>
      <c r="S251" s="79">
        <f>IFERROR(VLOOKUP($A:$A,CS!$A:$AK,29,FALSE),"")</f>
      </c>
      <c r="T251" s="79">
        <f>IFERROR(VLOOKUP($A:$A,CS!$A:$AK,33,FALSE),"")</f>
      </c>
      <c r="U251" s="79">
        <f>IFERROR(VLOOKUP($A:$A,CS!$A:$AK,34,FALSE),"")</f>
      </c>
      <c r="V251" s="79">
        <f>IFERROR(VLOOKUP($A:$A,CS!$A:$AK,35,FALSE),"")</f>
      </c>
      <c r="W251" s="79">
        <f>IFERROR(VLOOKUP($A:$A,CS!$A:$AK,36,FALSE),"")</f>
      </c>
    </row>
    <row r="252" ht="16.5" customHeight="1" spans="1:23" x14ac:dyDescent="0.25">
      <c r="A252" s="93"/>
      <c r="B252" s="79">
        <f>IFERROR(VLOOKUP($A:$A,CS!$A:$AK,3,FALSE),"")</f>
      </c>
      <c r="C252" s="79">
        <f>IFERROR(VLOOKUP($A:$A,CS!$A:$AK,4,FALSE),"")</f>
      </c>
      <c r="D252" s="79">
        <f>IFERROR(VLOOKUP($A:$A,CS!$A:$AK,5,FALSE),"")</f>
      </c>
      <c r="E252" s="79">
        <f>IFERROR(VLOOKUP($A:$A,CS!$A:$AK,7,FALSE),"")</f>
      </c>
      <c r="F252" s="79">
        <f>IFERROR(VLOOKUP($A:$A,CS!$A:$AK,8,FALSE),"")</f>
      </c>
      <c r="G252" s="79">
        <f>IFERROR(VLOOKUP($A:$A,CS!$A:$AK,10,FALSE),"")</f>
      </c>
      <c r="H252" s="79">
        <f>IFERROR(VLOOKUP($A:$A,CS!$A:$AK,14,FALSE),"")</f>
      </c>
      <c r="I252" s="79">
        <f>IFERROR(VLOOKUP($A:$A,CS!$A:$AK,15,FALSE),"")</f>
      </c>
      <c r="J252" s="79">
        <f>IFERROR(VLOOKUP($A:$A,CS!$A:$AK,18,FALSE),"")</f>
      </c>
      <c r="K252" s="79">
        <f>IFERROR(VLOOKUP($A:$A,CS!$A:$AK,19,FALSE),"")</f>
      </c>
      <c r="L252" s="79">
        <f>IFERROR(VLOOKUP($A:$A,CS!$A:$AK,20,FALSE),"")</f>
      </c>
      <c r="M252" s="79">
        <f>IFERROR(VLOOKUP($A:$A,CS!$A:$AK,22,FALSE),"")</f>
      </c>
      <c r="N252" s="79">
        <f>IFERROR(VLOOKUP($A:$A,CS!$A:$AK,19,FALSE),"")</f>
      </c>
      <c r="O252" s="79">
        <f>IFERROR(VLOOKUP($A:$A,CS!$A:$AK,23,FALSE),"")</f>
      </c>
      <c r="P252" s="79">
        <f>IFERROR(VLOOKUP($A:$A,CS!$A:$AK,24,FALSE),"")</f>
      </c>
      <c r="Q252" s="79">
        <f>IFERROR(VLOOKUP($A:$A,CS!$A:$AK,25,FALSE),"")</f>
      </c>
      <c r="R252" s="79">
        <f>IFERROR(VLOOKUP($A:$A,CS!$A:$AK,26,FALSE),"")</f>
      </c>
      <c r="S252" s="79">
        <f>IFERROR(VLOOKUP($A:$A,CS!$A:$AK,29,FALSE),"")</f>
      </c>
      <c r="T252" s="79">
        <f>IFERROR(VLOOKUP($A:$A,CS!$A:$AK,33,FALSE),"")</f>
      </c>
      <c r="U252" s="79">
        <f>IFERROR(VLOOKUP($A:$A,CS!$A:$AK,34,FALSE),"")</f>
      </c>
      <c r="V252" s="79">
        <f>IFERROR(VLOOKUP($A:$A,CS!$A:$AK,35,FALSE),"")</f>
      </c>
      <c r="W252" s="79">
        <f>IFERROR(VLOOKUP($A:$A,CS!$A:$AK,36,FALSE),"")</f>
      </c>
    </row>
    <row r="253" ht="16.5" customHeight="1" spans="1:23" x14ac:dyDescent="0.25">
      <c r="A253" s="93"/>
      <c r="B253" s="79">
        <f>IFERROR(VLOOKUP($A:$A,CS!$A:$AK,3,FALSE),"")</f>
      </c>
      <c r="C253" s="79">
        <f>IFERROR(VLOOKUP($A:$A,CS!$A:$AK,4,FALSE),"")</f>
      </c>
      <c r="D253" s="79">
        <f>IFERROR(VLOOKUP($A:$A,CS!$A:$AK,5,FALSE),"")</f>
      </c>
      <c r="E253" s="79">
        <f>IFERROR(VLOOKUP($A:$A,CS!$A:$AK,7,FALSE),"")</f>
      </c>
      <c r="F253" s="79">
        <f>IFERROR(VLOOKUP($A:$A,CS!$A:$AK,8,FALSE),"")</f>
      </c>
      <c r="G253" s="79">
        <f>IFERROR(VLOOKUP($A:$A,CS!$A:$AK,10,FALSE),"")</f>
      </c>
      <c r="H253" s="79">
        <f>IFERROR(VLOOKUP($A:$A,CS!$A:$AK,14,FALSE),"")</f>
      </c>
      <c r="I253" s="79">
        <f>IFERROR(VLOOKUP($A:$A,CS!$A:$AK,15,FALSE),"")</f>
      </c>
      <c r="J253" s="79">
        <f>IFERROR(VLOOKUP($A:$A,CS!$A:$AK,18,FALSE),"")</f>
      </c>
      <c r="K253" s="79">
        <f>IFERROR(VLOOKUP($A:$A,CS!$A:$AK,19,FALSE),"")</f>
      </c>
      <c r="L253" s="79">
        <f>IFERROR(VLOOKUP($A:$A,CS!$A:$AK,20,FALSE),"")</f>
      </c>
      <c r="M253" s="79">
        <f>IFERROR(VLOOKUP($A:$A,CS!$A:$AK,22,FALSE),"")</f>
      </c>
      <c r="N253" s="79">
        <f>IFERROR(VLOOKUP($A:$A,CS!$A:$AK,19,FALSE),"")</f>
      </c>
      <c r="O253" s="79">
        <f>IFERROR(VLOOKUP($A:$A,CS!$A:$AK,23,FALSE),"")</f>
      </c>
      <c r="P253" s="79">
        <f>IFERROR(VLOOKUP($A:$A,CS!$A:$AK,24,FALSE),"")</f>
      </c>
      <c r="Q253" s="79">
        <f>IFERROR(VLOOKUP($A:$A,CS!$A:$AK,25,FALSE),"")</f>
      </c>
      <c r="R253" s="79">
        <f>IFERROR(VLOOKUP($A:$A,CS!$A:$AK,26,FALSE),"")</f>
      </c>
      <c r="S253" s="79">
        <f>IFERROR(VLOOKUP($A:$A,CS!$A:$AK,29,FALSE),"")</f>
      </c>
      <c r="T253" s="79">
        <f>IFERROR(VLOOKUP($A:$A,CS!$A:$AK,33,FALSE),"")</f>
      </c>
      <c r="U253" s="79">
        <f>IFERROR(VLOOKUP($A:$A,CS!$A:$AK,34,FALSE),"")</f>
      </c>
      <c r="V253" s="79">
        <f>IFERROR(VLOOKUP($A:$A,CS!$A:$AK,35,FALSE),"")</f>
      </c>
      <c r="W253" s="79">
        <f>IFERROR(VLOOKUP($A:$A,CS!$A:$AK,36,FALSE),"")</f>
      </c>
    </row>
    <row r="254" ht="16.5" customHeight="1" spans="1:23" x14ac:dyDescent="0.25">
      <c r="A254" s="93"/>
      <c r="B254" s="79">
        <f>IFERROR(VLOOKUP($A:$A,CS!$A:$AK,3,FALSE),"")</f>
      </c>
      <c r="C254" s="79">
        <f>IFERROR(VLOOKUP($A:$A,CS!$A:$AK,4,FALSE),"")</f>
      </c>
      <c r="D254" s="79">
        <f>IFERROR(VLOOKUP($A:$A,CS!$A:$AK,5,FALSE),"")</f>
      </c>
      <c r="E254" s="79">
        <f>IFERROR(VLOOKUP($A:$A,CS!$A:$AK,7,FALSE),"")</f>
      </c>
      <c r="F254" s="79">
        <f>IFERROR(VLOOKUP($A:$A,CS!$A:$AK,8,FALSE),"")</f>
      </c>
      <c r="G254" s="79">
        <f>IFERROR(VLOOKUP($A:$A,CS!$A:$AK,10,FALSE),"")</f>
      </c>
      <c r="H254" s="79">
        <f>IFERROR(VLOOKUP($A:$A,CS!$A:$AK,14,FALSE),"")</f>
      </c>
      <c r="I254" s="79">
        <f>IFERROR(VLOOKUP($A:$A,CS!$A:$AK,15,FALSE),"")</f>
      </c>
      <c r="J254" s="79">
        <f>IFERROR(VLOOKUP($A:$A,CS!$A:$AK,18,FALSE),"")</f>
      </c>
      <c r="K254" s="79">
        <f>IFERROR(VLOOKUP($A:$A,CS!$A:$AK,19,FALSE),"")</f>
      </c>
      <c r="L254" s="79">
        <f>IFERROR(VLOOKUP($A:$A,CS!$A:$AK,20,FALSE),"")</f>
      </c>
      <c r="M254" s="79">
        <f>IFERROR(VLOOKUP($A:$A,CS!$A:$AK,22,FALSE),"")</f>
      </c>
      <c r="N254" s="79">
        <f>IFERROR(VLOOKUP($A:$A,CS!$A:$AK,19,FALSE),"")</f>
      </c>
      <c r="O254" s="79">
        <f>IFERROR(VLOOKUP($A:$A,CS!$A:$AK,23,FALSE),"")</f>
      </c>
      <c r="P254" s="79">
        <f>IFERROR(VLOOKUP($A:$A,CS!$A:$AK,24,FALSE),"")</f>
      </c>
      <c r="Q254" s="79">
        <f>IFERROR(VLOOKUP($A:$A,CS!$A:$AK,25,FALSE),"")</f>
      </c>
      <c r="R254" s="79">
        <f>IFERROR(VLOOKUP($A:$A,CS!$A:$AK,26,FALSE),"")</f>
      </c>
      <c r="S254" s="79">
        <f>IFERROR(VLOOKUP($A:$A,CS!$A:$AK,29,FALSE),"")</f>
      </c>
      <c r="T254" s="79">
        <f>IFERROR(VLOOKUP($A:$A,CS!$A:$AK,33,FALSE),"")</f>
      </c>
      <c r="U254" s="79">
        <f>IFERROR(VLOOKUP($A:$A,CS!$A:$AK,34,FALSE),"")</f>
      </c>
      <c r="V254" s="79">
        <f>IFERROR(VLOOKUP($A:$A,CS!$A:$AK,35,FALSE),"")</f>
      </c>
      <c r="W254" s="79">
        <f>IFERROR(VLOOKUP($A:$A,CS!$A:$AK,36,FALSE),"")</f>
      </c>
    </row>
    <row r="255" ht="16.5" customHeight="1" spans="1:23" x14ac:dyDescent="0.25">
      <c r="A255" s="93"/>
      <c r="B255" s="79">
        <f>IFERROR(VLOOKUP($A:$A,CS!$A:$AK,3,FALSE),"")</f>
      </c>
      <c r="C255" s="79">
        <f>IFERROR(VLOOKUP($A:$A,CS!$A:$AK,4,FALSE),"")</f>
      </c>
      <c r="D255" s="79">
        <f>IFERROR(VLOOKUP($A:$A,CS!$A:$AK,5,FALSE),"")</f>
      </c>
      <c r="E255" s="79">
        <f>IFERROR(VLOOKUP($A:$A,CS!$A:$AK,7,FALSE),"")</f>
      </c>
      <c r="F255" s="79">
        <f>IFERROR(VLOOKUP($A:$A,CS!$A:$AK,8,FALSE),"")</f>
      </c>
      <c r="G255" s="79">
        <f>IFERROR(VLOOKUP($A:$A,CS!$A:$AK,10,FALSE),"")</f>
      </c>
      <c r="H255" s="79">
        <f>IFERROR(VLOOKUP($A:$A,CS!$A:$AK,14,FALSE),"")</f>
      </c>
      <c r="I255" s="79">
        <f>IFERROR(VLOOKUP($A:$A,CS!$A:$AK,15,FALSE),"")</f>
      </c>
      <c r="J255" s="79">
        <f>IFERROR(VLOOKUP($A:$A,CS!$A:$AK,18,FALSE),"")</f>
      </c>
      <c r="K255" s="79">
        <f>IFERROR(VLOOKUP($A:$A,CS!$A:$AK,19,FALSE),"")</f>
      </c>
      <c r="L255" s="79">
        <f>IFERROR(VLOOKUP($A:$A,CS!$A:$AK,20,FALSE),"")</f>
      </c>
      <c r="M255" s="79">
        <f>IFERROR(VLOOKUP($A:$A,CS!$A:$AK,22,FALSE),"")</f>
      </c>
      <c r="N255" s="79">
        <f>IFERROR(VLOOKUP($A:$A,CS!$A:$AK,19,FALSE),"")</f>
      </c>
      <c r="O255" s="79">
        <f>IFERROR(VLOOKUP($A:$A,CS!$A:$AK,23,FALSE),"")</f>
      </c>
      <c r="P255" s="79">
        <f>IFERROR(VLOOKUP($A:$A,CS!$A:$AK,24,FALSE),"")</f>
      </c>
      <c r="Q255" s="79">
        <f>IFERROR(VLOOKUP($A:$A,CS!$A:$AK,25,FALSE),"")</f>
      </c>
      <c r="R255" s="79">
        <f>IFERROR(VLOOKUP($A:$A,CS!$A:$AK,26,FALSE),"")</f>
      </c>
      <c r="S255" s="79">
        <f>IFERROR(VLOOKUP($A:$A,CS!$A:$AK,29,FALSE),"")</f>
      </c>
      <c r="T255" s="79">
        <f>IFERROR(VLOOKUP($A:$A,CS!$A:$AK,33,FALSE),"")</f>
      </c>
      <c r="U255" s="79">
        <f>IFERROR(VLOOKUP($A:$A,CS!$A:$AK,34,FALSE),"")</f>
      </c>
      <c r="V255" s="79">
        <f>IFERROR(VLOOKUP($A:$A,CS!$A:$AK,35,FALSE),"")</f>
      </c>
      <c r="W255" s="79">
        <f>IFERROR(VLOOKUP($A:$A,CS!$A:$AK,36,FALSE),"")</f>
      </c>
    </row>
    <row r="256" ht="16.5" customHeight="1" spans="1:23" x14ac:dyDescent="0.25">
      <c r="A256" s="93"/>
      <c r="B256" s="79">
        <f>IFERROR(VLOOKUP($A:$A,CS!$A:$AK,3,FALSE),"")</f>
      </c>
      <c r="C256" s="79">
        <f>IFERROR(VLOOKUP($A:$A,CS!$A:$AK,4,FALSE),"")</f>
      </c>
      <c r="D256" s="79">
        <f>IFERROR(VLOOKUP($A:$A,CS!$A:$AK,5,FALSE),"")</f>
      </c>
      <c r="E256" s="79">
        <f>IFERROR(VLOOKUP($A:$A,CS!$A:$AK,7,FALSE),"")</f>
      </c>
      <c r="F256" s="79">
        <f>IFERROR(VLOOKUP($A:$A,CS!$A:$AK,8,FALSE),"")</f>
      </c>
      <c r="G256" s="79">
        <f>IFERROR(VLOOKUP($A:$A,CS!$A:$AK,10,FALSE),"")</f>
      </c>
      <c r="H256" s="79">
        <f>IFERROR(VLOOKUP($A:$A,CS!$A:$AK,14,FALSE),"")</f>
      </c>
      <c r="I256" s="79">
        <f>IFERROR(VLOOKUP($A:$A,CS!$A:$AK,15,FALSE),"")</f>
      </c>
      <c r="J256" s="79">
        <f>IFERROR(VLOOKUP($A:$A,CS!$A:$AK,18,FALSE),"")</f>
      </c>
      <c r="K256" s="79">
        <f>IFERROR(VLOOKUP($A:$A,CS!$A:$AK,19,FALSE),"")</f>
      </c>
      <c r="L256" s="79">
        <f>IFERROR(VLOOKUP($A:$A,CS!$A:$AK,20,FALSE),"")</f>
      </c>
      <c r="M256" s="79">
        <f>IFERROR(VLOOKUP($A:$A,CS!$A:$AK,22,FALSE),"")</f>
      </c>
      <c r="N256" s="79">
        <f>IFERROR(VLOOKUP($A:$A,CS!$A:$AK,19,FALSE),"")</f>
      </c>
      <c r="O256" s="79">
        <f>IFERROR(VLOOKUP($A:$A,CS!$A:$AK,23,FALSE),"")</f>
      </c>
      <c r="P256" s="79">
        <f>IFERROR(VLOOKUP($A:$A,CS!$A:$AK,24,FALSE),"")</f>
      </c>
      <c r="Q256" s="79">
        <f>IFERROR(VLOOKUP($A:$A,CS!$A:$AK,25,FALSE),"")</f>
      </c>
      <c r="R256" s="79">
        <f>IFERROR(VLOOKUP($A:$A,CS!$A:$AK,26,FALSE),"")</f>
      </c>
      <c r="S256" s="79">
        <f>IFERROR(VLOOKUP($A:$A,CS!$A:$AK,29,FALSE),"")</f>
      </c>
      <c r="T256" s="79">
        <f>IFERROR(VLOOKUP($A:$A,CS!$A:$AK,33,FALSE),"")</f>
      </c>
      <c r="U256" s="79">
        <f>IFERROR(VLOOKUP($A:$A,CS!$A:$AK,34,FALSE),"")</f>
      </c>
      <c r="V256" s="79">
        <f>IFERROR(VLOOKUP($A:$A,CS!$A:$AK,35,FALSE),"")</f>
      </c>
      <c r="W256" s="79">
        <f>IFERROR(VLOOKUP($A:$A,CS!$A:$AK,36,FALSE),"")</f>
      </c>
    </row>
    <row r="257" ht="16.5" customHeight="1" spans="1:23" x14ac:dyDescent="0.25">
      <c r="A257" s="93"/>
      <c r="B257" s="79">
        <f>IFERROR(VLOOKUP($A:$A,CS!$A:$AK,3,FALSE),"")</f>
      </c>
      <c r="C257" s="79">
        <f>IFERROR(VLOOKUP($A:$A,CS!$A:$AK,4,FALSE),"")</f>
      </c>
      <c r="D257" s="79">
        <f>IFERROR(VLOOKUP($A:$A,CS!$A:$AK,5,FALSE),"")</f>
      </c>
      <c r="E257" s="79">
        <f>IFERROR(VLOOKUP($A:$A,CS!$A:$AK,7,FALSE),"")</f>
      </c>
      <c r="F257" s="79">
        <f>IFERROR(VLOOKUP($A:$A,CS!$A:$AK,8,FALSE),"")</f>
      </c>
      <c r="G257" s="79">
        <f>IFERROR(VLOOKUP($A:$A,CS!$A:$AK,10,FALSE),"")</f>
      </c>
      <c r="H257" s="79">
        <f>IFERROR(VLOOKUP($A:$A,CS!$A:$AK,14,FALSE),"")</f>
      </c>
      <c r="I257" s="79">
        <f>IFERROR(VLOOKUP($A:$A,CS!$A:$AK,15,FALSE),"")</f>
      </c>
      <c r="J257" s="79">
        <f>IFERROR(VLOOKUP($A:$A,CS!$A:$AK,18,FALSE),"")</f>
      </c>
      <c r="K257" s="79">
        <f>IFERROR(VLOOKUP($A:$A,CS!$A:$AK,19,FALSE),"")</f>
      </c>
      <c r="L257" s="79">
        <f>IFERROR(VLOOKUP($A:$A,CS!$A:$AK,20,FALSE),"")</f>
      </c>
      <c r="M257" s="79">
        <f>IFERROR(VLOOKUP($A:$A,CS!$A:$AK,22,FALSE),"")</f>
      </c>
      <c r="N257" s="79">
        <f>IFERROR(VLOOKUP($A:$A,CS!$A:$AK,19,FALSE),"")</f>
      </c>
      <c r="O257" s="79">
        <f>IFERROR(VLOOKUP($A:$A,CS!$A:$AK,23,FALSE),"")</f>
      </c>
      <c r="P257" s="79">
        <f>IFERROR(VLOOKUP($A:$A,CS!$A:$AK,24,FALSE),"")</f>
      </c>
      <c r="Q257" s="79">
        <f>IFERROR(VLOOKUP($A:$A,CS!$A:$AK,25,FALSE),"")</f>
      </c>
      <c r="R257" s="79">
        <f>IFERROR(VLOOKUP($A:$A,CS!$A:$AK,26,FALSE),"")</f>
      </c>
      <c r="S257" s="79">
        <f>IFERROR(VLOOKUP($A:$A,CS!$A:$AK,29,FALSE),"")</f>
      </c>
      <c r="T257" s="79">
        <f>IFERROR(VLOOKUP($A:$A,CS!$A:$AK,33,FALSE),"")</f>
      </c>
      <c r="U257" s="79">
        <f>IFERROR(VLOOKUP($A:$A,CS!$A:$AK,34,FALSE),"")</f>
      </c>
      <c r="V257" s="79">
        <f>IFERROR(VLOOKUP($A:$A,CS!$A:$AK,35,FALSE),"")</f>
      </c>
      <c r="W257" s="79">
        <f>IFERROR(VLOOKUP($A:$A,CS!$A:$AK,36,FALSE),"")</f>
      </c>
    </row>
    <row r="258" ht="16.5" customHeight="1" spans="1:23" x14ac:dyDescent="0.25">
      <c r="A258" s="93"/>
      <c r="B258" s="79">
        <f>IFERROR(VLOOKUP($A:$A,CS!$A:$AK,3,FALSE),"")</f>
      </c>
      <c r="C258" s="79">
        <f>IFERROR(VLOOKUP($A:$A,CS!$A:$AK,4,FALSE),"")</f>
      </c>
      <c r="D258" s="79">
        <f>IFERROR(VLOOKUP($A:$A,CS!$A:$AK,5,FALSE),"")</f>
      </c>
      <c r="E258" s="79">
        <f>IFERROR(VLOOKUP($A:$A,CS!$A:$AK,7,FALSE),"")</f>
      </c>
      <c r="F258" s="79">
        <f>IFERROR(VLOOKUP($A:$A,CS!$A:$AK,8,FALSE),"")</f>
      </c>
      <c r="G258" s="79">
        <f>IFERROR(VLOOKUP($A:$A,CS!$A:$AK,10,FALSE),"")</f>
      </c>
      <c r="H258" s="79">
        <f>IFERROR(VLOOKUP($A:$A,CS!$A:$AK,14,FALSE),"")</f>
      </c>
      <c r="I258" s="79">
        <f>IFERROR(VLOOKUP($A:$A,CS!$A:$AK,15,FALSE),"")</f>
      </c>
      <c r="J258" s="79">
        <f>IFERROR(VLOOKUP($A:$A,CS!$A:$AK,18,FALSE),"")</f>
      </c>
      <c r="K258" s="79">
        <f>IFERROR(VLOOKUP($A:$A,CS!$A:$AK,19,FALSE),"")</f>
      </c>
      <c r="L258" s="79">
        <f>IFERROR(VLOOKUP($A:$A,CS!$A:$AK,20,FALSE),"")</f>
      </c>
      <c r="M258" s="79">
        <f>IFERROR(VLOOKUP($A:$A,CS!$A:$AK,22,FALSE),"")</f>
      </c>
      <c r="N258" s="79">
        <f>IFERROR(VLOOKUP($A:$A,CS!$A:$AK,19,FALSE),"")</f>
      </c>
      <c r="O258" s="79">
        <f>IFERROR(VLOOKUP($A:$A,CS!$A:$AK,23,FALSE),"")</f>
      </c>
      <c r="P258" s="79">
        <f>IFERROR(VLOOKUP($A:$A,CS!$A:$AK,24,FALSE),"")</f>
      </c>
      <c r="Q258" s="79">
        <f>IFERROR(VLOOKUP($A:$A,CS!$A:$AK,25,FALSE),"")</f>
      </c>
      <c r="R258" s="79">
        <f>IFERROR(VLOOKUP($A:$A,CS!$A:$AK,26,FALSE),"")</f>
      </c>
      <c r="S258" s="79">
        <f>IFERROR(VLOOKUP($A:$A,CS!$A:$AK,29,FALSE),"")</f>
      </c>
      <c r="T258" s="79">
        <f>IFERROR(VLOOKUP($A:$A,CS!$A:$AK,33,FALSE),"")</f>
      </c>
      <c r="U258" s="79">
        <f>IFERROR(VLOOKUP($A:$A,CS!$A:$AK,34,FALSE),"")</f>
      </c>
      <c r="V258" s="79">
        <f>IFERROR(VLOOKUP($A:$A,CS!$A:$AK,35,FALSE),"")</f>
      </c>
      <c r="W258" s="79">
        <f>IFERROR(VLOOKUP($A:$A,CS!$A:$AK,36,FALSE),"")</f>
      </c>
    </row>
    <row r="259" ht="16.5" customHeight="1" spans="1:23" x14ac:dyDescent="0.25">
      <c r="A259" s="93"/>
      <c r="B259" s="79">
        <f>IFERROR(VLOOKUP($A:$A,CS!$A:$AK,3,FALSE),"")</f>
      </c>
      <c r="C259" s="79">
        <f>IFERROR(VLOOKUP($A:$A,CS!$A:$AK,4,FALSE),"")</f>
      </c>
      <c r="D259" s="79">
        <f>IFERROR(VLOOKUP($A:$A,CS!$A:$AK,5,FALSE),"")</f>
      </c>
      <c r="E259" s="79">
        <f>IFERROR(VLOOKUP($A:$A,CS!$A:$AK,7,FALSE),"")</f>
      </c>
      <c r="F259" s="79">
        <f>IFERROR(VLOOKUP($A:$A,CS!$A:$AK,8,FALSE),"")</f>
      </c>
      <c r="G259" s="79">
        <f>IFERROR(VLOOKUP($A:$A,CS!$A:$AK,10,FALSE),"")</f>
      </c>
      <c r="H259" s="79">
        <f>IFERROR(VLOOKUP($A:$A,CS!$A:$AK,14,FALSE),"")</f>
      </c>
      <c r="I259" s="79">
        <f>IFERROR(VLOOKUP($A:$A,CS!$A:$AK,15,FALSE),"")</f>
      </c>
      <c r="J259" s="79">
        <f>IFERROR(VLOOKUP($A:$A,CS!$A:$AK,18,FALSE),"")</f>
      </c>
      <c r="K259" s="79">
        <f>IFERROR(VLOOKUP($A:$A,CS!$A:$AK,19,FALSE),"")</f>
      </c>
      <c r="L259" s="79">
        <f>IFERROR(VLOOKUP($A:$A,CS!$A:$AK,20,FALSE),"")</f>
      </c>
      <c r="M259" s="79">
        <f>IFERROR(VLOOKUP($A:$A,CS!$A:$AK,22,FALSE),"")</f>
      </c>
      <c r="N259" s="79">
        <f>IFERROR(VLOOKUP($A:$A,CS!$A:$AK,19,FALSE),"")</f>
      </c>
      <c r="O259" s="79">
        <f>IFERROR(VLOOKUP($A:$A,CS!$A:$AK,23,FALSE),"")</f>
      </c>
      <c r="P259" s="79">
        <f>IFERROR(VLOOKUP($A:$A,CS!$A:$AK,24,FALSE),"")</f>
      </c>
      <c r="Q259" s="79">
        <f>IFERROR(VLOOKUP($A:$A,CS!$A:$AK,25,FALSE),"")</f>
      </c>
      <c r="R259" s="79">
        <f>IFERROR(VLOOKUP($A:$A,CS!$A:$AK,26,FALSE),"")</f>
      </c>
      <c r="S259" s="79">
        <f>IFERROR(VLOOKUP($A:$A,CS!$A:$AK,29,FALSE),"")</f>
      </c>
      <c r="T259" s="79">
        <f>IFERROR(VLOOKUP($A:$A,CS!$A:$AK,33,FALSE),"")</f>
      </c>
      <c r="U259" s="79">
        <f>IFERROR(VLOOKUP($A:$A,CS!$A:$AK,34,FALSE),"")</f>
      </c>
      <c r="V259" s="79">
        <f>IFERROR(VLOOKUP($A:$A,CS!$A:$AK,35,FALSE),"")</f>
      </c>
      <c r="W259" s="79">
        <f>IFERROR(VLOOKUP($A:$A,CS!$A:$AK,36,FALSE),"")</f>
      </c>
    </row>
    <row r="260" ht="16.5" customHeight="1" spans="1:23" x14ac:dyDescent="0.25">
      <c r="A260" s="93"/>
      <c r="B260" s="79">
        <f>IFERROR(VLOOKUP($A:$A,CS!$A:$AK,3,FALSE),"")</f>
      </c>
      <c r="C260" s="79">
        <f>IFERROR(VLOOKUP($A:$A,CS!$A:$AK,4,FALSE),"")</f>
      </c>
      <c r="D260" s="79">
        <f>IFERROR(VLOOKUP($A:$A,CS!$A:$AK,5,FALSE),"")</f>
      </c>
      <c r="E260" s="79">
        <f>IFERROR(VLOOKUP($A:$A,CS!$A:$AK,7,FALSE),"")</f>
      </c>
      <c r="F260" s="79">
        <f>IFERROR(VLOOKUP($A:$A,CS!$A:$AK,8,FALSE),"")</f>
      </c>
      <c r="G260" s="79">
        <f>IFERROR(VLOOKUP($A:$A,CS!$A:$AK,10,FALSE),"")</f>
      </c>
      <c r="H260" s="79">
        <f>IFERROR(VLOOKUP($A:$A,CS!$A:$AK,14,FALSE),"")</f>
      </c>
      <c r="I260" s="79">
        <f>IFERROR(VLOOKUP($A:$A,CS!$A:$AK,15,FALSE),"")</f>
      </c>
      <c r="J260" s="79">
        <f>IFERROR(VLOOKUP($A:$A,CS!$A:$AK,18,FALSE),"")</f>
      </c>
      <c r="K260" s="79">
        <f>IFERROR(VLOOKUP($A:$A,CS!$A:$AK,19,FALSE),"")</f>
      </c>
      <c r="L260" s="79">
        <f>IFERROR(VLOOKUP($A:$A,CS!$A:$AK,20,FALSE),"")</f>
      </c>
      <c r="M260" s="79">
        <f>IFERROR(VLOOKUP($A:$A,CS!$A:$AK,22,FALSE),"")</f>
      </c>
      <c r="N260" s="79">
        <f>IFERROR(VLOOKUP($A:$A,CS!$A:$AK,19,FALSE),"")</f>
      </c>
      <c r="O260" s="79">
        <f>IFERROR(VLOOKUP($A:$A,CS!$A:$AK,23,FALSE),"")</f>
      </c>
      <c r="P260" s="79">
        <f>IFERROR(VLOOKUP($A:$A,CS!$A:$AK,24,FALSE),"")</f>
      </c>
      <c r="Q260" s="79">
        <f>IFERROR(VLOOKUP($A:$A,CS!$A:$AK,25,FALSE),"")</f>
      </c>
      <c r="R260" s="79">
        <f>IFERROR(VLOOKUP($A:$A,CS!$A:$AK,26,FALSE),"")</f>
      </c>
      <c r="S260" s="79">
        <f>IFERROR(VLOOKUP($A:$A,CS!$A:$AK,29,FALSE),"")</f>
      </c>
      <c r="T260" s="79">
        <f>IFERROR(VLOOKUP($A:$A,CS!$A:$AK,33,FALSE),"")</f>
      </c>
      <c r="U260" s="79">
        <f>IFERROR(VLOOKUP($A:$A,CS!$A:$AK,34,FALSE),"")</f>
      </c>
      <c r="V260" s="79">
        <f>IFERROR(VLOOKUP($A:$A,CS!$A:$AK,35,FALSE),"")</f>
      </c>
      <c r="W260" s="79">
        <f>IFERROR(VLOOKUP($A:$A,CS!$A:$AK,36,FALSE),"")</f>
      </c>
    </row>
    <row r="261" ht="16.5" customHeight="1" spans="1:23" x14ac:dyDescent="0.25">
      <c r="A261" s="93"/>
      <c r="B261" s="79">
        <f>IFERROR(VLOOKUP($A:$A,CS!$A:$AK,3,FALSE),"")</f>
      </c>
      <c r="C261" s="79">
        <f>IFERROR(VLOOKUP($A:$A,CS!$A:$AK,4,FALSE),"")</f>
      </c>
      <c r="D261" s="79">
        <f>IFERROR(VLOOKUP($A:$A,CS!$A:$AK,5,FALSE),"")</f>
      </c>
      <c r="E261" s="79">
        <f>IFERROR(VLOOKUP($A:$A,CS!$A:$AK,7,FALSE),"")</f>
      </c>
      <c r="F261" s="79">
        <f>IFERROR(VLOOKUP($A:$A,CS!$A:$AK,8,FALSE),"")</f>
      </c>
      <c r="G261" s="79">
        <f>IFERROR(VLOOKUP($A:$A,CS!$A:$AK,10,FALSE),"")</f>
      </c>
      <c r="H261" s="79">
        <f>IFERROR(VLOOKUP($A:$A,CS!$A:$AK,14,FALSE),"")</f>
      </c>
      <c r="I261" s="79">
        <f>IFERROR(VLOOKUP($A:$A,CS!$A:$AK,15,FALSE),"")</f>
      </c>
      <c r="J261" s="79">
        <f>IFERROR(VLOOKUP($A:$A,CS!$A:$AK,18,FALSE),"")</f>
      </c>
      <c r="K261" s="79">
        <f>IFERROR(VLOOKUP($A:$A,CS!$A:$AK,19,FALSE),"")</f>
      </c>
      <c r="L261" s="79">
        <f>IFERROR(VLOOKUP($A:$A,CS!$A:$AK,20,FALSE),"")</f>
      </c>
      <c r="M261" s="79">
        <f>IFERROR(VLOOKUP($A:$A,CS!$A:$AK,22,FALSE),"")</f>
      </c>
      <c r="N261" s="79">
        <f>IFERROR(VLOOKUP($A:$A,CS!$A:$AK,19,FALSE),"")</f>
      </c>
      <c r="O261" s="79">
        <f>IFERROR(VLOOKUP($A:$A,CS!$A:$AK,23,FALSE),"")</f>
      </c>
      <c r="P261" s="79">
        <f>IFERROR(VLOOKUP($A:$A,CS!$A:$AK,24,FALSE),"")</f>
      </c>
      <c r="Q261" s="79">
        <f>IFERROR(VLOOKUP($A:$A,CS!$A:$AK,25,FALSE),"")</f>
      </c>
      <c r="R261" s="79">
        <f>IFERROR(VLOOKUP($A:$A,CS!$A:$AK,26,FALSE),"")</f>
      </c>
      <c r="S261" s="79">
        <f>IFERROR(VLOOKUP($A:$A,CS!$A:$AK,29,FALSE),"")</f>
      </c>
      <c r="T261" s="79">
        <f>IFERROR(VLOOKUP($A:$A,CS!$A:$AK,33,FALSE),"")</f>
      </c>
      <c r="U261" s="79">
        <f>IFERROR(VLOOKUP($A:$A,CS!$A:$AK,34,FALSE),"")</f>
      </c>
      <c r="V261" s="79">
        <f>IFERROR(VLOOKUP($A:$A,CS!$A:$AK,35,FALSE),"")</f>
      </c>
      <c r="W261" s="79">
        <f>IFERROR(VLOOKUP($A:$A,CS!$A:$AK,36,FALSE),"")</f>
      </c>
    </row>
    <row r="262" ht="16.5" customHeight="1" spans="1:23" x14ac:dyDescent="0.25">
      <c r="A262" s="93"/>
      <c r="B262" s="79">
        <f>IFERROR(VLOOKUP($A:$A,CS!$A:$AK,3,FALSE),"")</f>
      </c>
      <c r="C262" s="79">
        <f>IFERROR(VLOOKUP($A:$A,CS!$A:$AK,4,FALSE),"")</f>
      </c>
      <c r="D262" s="79">
        <f>IFERROR(VLOOKUP($A:$A,CS!$A:$AK,5,FALSE),"")</f>
      </c>
      <c r="E262" s="79">
        <f>IFERROR(VLOOKUP($A:$A,CS!$A:$AK,7,FALSE),"")</f>
      </c>
      <c r="F262" s="79">
        <f>IFERROR(VLOOKUP($A:$A,CS!$A:$AK,8,FALSE),"")</f>
      </c>
      <c r="G262" s="79">
        <f>IFERROR(VLOOKUP($A:$A,CS!$A:$AK,10,FALSE),"")</f>
      </c>
      <c r="H262" s="79">
        <f>IFERROR(VLOOKUP($A:$A,CS!$A:$AK,14,FALSE),"")</f>
      </c>
      <c r="I262" s="79">
        <f>IFERROR(VLOOKUP($A:$A,CS!$A:$AK,15,FALSE),"")</f>
      </c>
      <c r="J262" s="79">
        <f>IFERROR(VLOOKUP($A:$A,CS!$A:$AK,18,FALSE),"")</f>
      </c>
      <c r="K262" s="79">
        <f>IFERROR(VLOOKUP($A:$A,CS!$A:$AK,19,FALSE),"")</f>
      </c>
      <c r="L262" s="79">
        <f>IFERROR(VLOOKUP($A:$A,CS!$A:$AK,20,FALSE),"")</f>
      </c>
      <c r="M262" s="79">
        <f>IFERROR(VLOOKUP($A:$A,CS!$A:$AK,22,FALSE),"")</f>
      </c>
      <c r="N262" s="79">
        <f>IFERROR(VLOOKUP($A:$A,CS!$A:$AK,19,FALSE),"")</f>
      </c>
      <c r="O262" s="79">
        <f>IFERROR(VLOOKUP($A:$A,CS!$A:$AK,23,FALSE),"")</f>
      </c>
      <c r="P262" s="79">
        <f>IFERROR(VLOOKUP($A:$A,CS!$A:$AK,24,FALSE),"")</f>
      </c>
      <c r="Q262" s="79">
        <f>IFERROR(VLOOKUP($A:$A,CS!$A:$AK,25,FALSE),"")</f>
      </c>
      <c r="R262" s="79">
        <f>IFERROR(VLOOKUP($A:$A,CS!$A:$AK,26,FALSE),"")</f>
      </c>
      <c r="S262" s="79">
        <f>IFERROR(VLOOKUP($A:$A,CS!$A:$AK,29,FALSE),"")</f>
      </c>
      <c r="T262" s="79">
        <f>IFERROR(VLOOKUP($A:$A,CS!$A:$AK,33,FALSE),"")</f>
      </c>
      <c r="U262" s="79">
        <f>IFERROR(VLOOKUP($A:$A,CS!$A:$AK,34,FALSE),"")</f>
      </c>
      <c r="V262" s="79">
        <f>IFERROR(VLOOKUP($A:$A,CS!$A:$AK,35,FALSE),"")</f>
      </c>
      <c r="W262" s="79">
        <f>IFERROR(VLOOKUP($A:$A,CS!$A:$AK,36,FALSE),"")</f>
      </c>
    </row>
    <row r="263" ht="16.5" customHeight="1" spans="1:23" x14ac:dyDescent="0.25">
      <c r="A263" s="93"/>
      <c r="B263" s="79">
        <f>IFERROR(VLOOKUP($A:$A,CS!$A:$AK,3,FALSE),"")</f>
      </c>
      <c r="C263" s="79">
        <f>IFERROR(VLOOKUP($A:$A,CS!$A:$AK,4,FALSE),"")</f>
      </c>
      <c r="D263" s="79">
        <f>IFERROR(VLOOKUP($A:$A,CS!$A:$AK,5,FALSE),"")</f>
      </c>
      <c r="E263" s="79">
        <f>IFERROR(VLOOKUP($A:$A,CS!$A:$AK,7,FALSE),"")</f>
      </c>
      <c r="F263" s="79">
        <f>IFERROR(VLOOKUP($A:$A,CS!$A:$AK,8,FALSE),"")</f>
      </c>
      <c r="G263" s="79">
        <f>IFERROR(VLOOKUP($A:$A,CS!$A:$AK,10,FALSE),"")</f>
      </c>
      <c r="H263" s="79">
        <f>IFERROR(VLOOKUP($A:$A,CS!$A:$AK,14,FALSE),"")</f>
      </c>
      <c r="I263" s="79">
        <f>IFERROR(VLOOKUP($A:$A,CS!$A:$AK,15,FALSE),"")</f>
      </c>
      <c r="J263" s="79">
        <f>IFERROR(VLOOKUP($A:$A,CS!$A:$AK,18,FALSE),"")</f>
      </c>
      <c r="K263" s="79">
        <f>IFERROR(VLOOKUP($A:$A,CS!$A:$AK,19,FALSE),"")</f>
      </c>
      <c r="L263" s="79">
        <f>IFERROR(VLOOKUP($A:$A,CS!$A:$AK,20,FALSE),"")</f>
      </c>
      <c r="M263" s="79">
        <f>IFERROR(VLOOKUP($A:$A,CS!$A:$AK,22,FALSE),"")</f>
      </c>
      <c r="N263" s="79">
        <f>IFERROR(VLOOKUP($A:$A,CS!$A:$AK,19,FALSE),"")</f>
      </c>
      <c r="O263" s="79">
        <f>IFERROR(VLOOKUP($A:$A,CS!$A:$AK,23,FALSE),"")</f>
      </c>
      <c r="P263" s="79">
        <f>IFERROR(VLOOKUP($A:$A,CS!$A:$AK,24,FALSE),"")</f>
      </c>
      <c r="Q263" s="79">
        <f>IFERROR(VLOOKUP($A:$A,CS!$A:$AK,25,FALSE),"")</f>
      </c>
      <c r="R263" s="79">
        <f>IFERROR(VLOOKUP($A:$A,CS!$A:$AK,26,FALSE),"")</f>
      </c>
      <c r="S263" s="79">
        <f>IFERROR(VLOOKUP($A:$A,CS!$A:$AK,29,FALSE),"")</f>
      </c>
      <c r="T263" s="79">
        <f>IFERROR(VLOOKUP($A:$A,CS!$A:$AK,33,FALSE),"")</f>
      </c>
      <c r="U263" s="79">
        <f>IFERROR(VLOOKUP($A:$A,CS!$A:$AK,34,FALSE),"")</f>
      </c>
      <c r="V263" s="79">
        <f>IFERROR(VLOOKUP($A:$A,CS!$A:$AK,35,FALSE),"")</f>
      </c>
      <c r="W263" s="79">
        <f>IFERROR(VLOOKUP($A:$A,CS!$A:$AK,36,FALSE),"")</f>
      </c>
    </row>
    <row r="264" ht="16.5" customHeight="1" spans="1:23" x14ac:dyDescent="0.25">
      <c r="A264" s="93"/>
      <c r="B264" s="79">
        <f>IFERROR(VLOOKUP($A:$A,CS!$A:$AK,3,FALSE),"")</f>
      </c>
      <c r="C264" s="79">
        <f>IFERROR(VLOOKUP($A:$A,CS!$A:$AK,4,FALSE),"")</f>
      </c>
      <c r="D264" s="79">
        <f>IFERROR(VLOOKUP($A:$A,CS!$A:$AK,5,FALSE),"")</f>
      </c>
      <c r="E264" s="79">
        <f>IFERROR(VLOOKUP($A:$A,CS!$A:$AK,7,FALSE),"")</f>
      </c>
      <c r="F264" s="79">
        <f>IFERROR(VLOOKUP($A:$A,CS!$A:$AK,8,FALSE),"")</f>
      </c>
      <c r="G264" s="79">
        <f>IFERROR(VLOOKUP($A:$A,CS!$A:$AK,10,FALSE),"")</f>
      </c>
      <c r="H264" s="79">
        <f>IFERROR(VLOOKUP($A:$A,CS!$A:$AK,14,FALSE),"")</f>
      </c>
      <c r="I264" s="79">
        <f>IFERROR(VLOOKUP($A:$A,CS!$A:$AK,15,FALSE),"")</f>
      </c>
      <c r="J264" s="79">
        <f>IFERROR(VLOOKUP($A:$A,CS!$A:$AK,18,FALSE),"")</f>
      </c>
      <c r="K264" s="79">
        <f>IFERROR(VLOOKUP($A:$A,CS!$A:$AK,19,FALSE),"")</f>
      </c>
      <c r="L264" s="79">
        <f>IFERROR(VLOOKUP($A:$A,CS!$A:$AK,20,FALSE),"")</f>
      </c>
      <c r="M264" s="79">
        <f>IFERROR(VLOOKUP($A:$A,CS!$A:$AK,22,FALSE),"")</f>
      </c>
      <c r="N264" s="79">
        <f>IFERROR(VLOOKUP($A:$A,CS!$A:$AK,19,FALSE),"")</f>
      </c>
      <c r="O264" s="79">
        <f>IFERROR(VLOOKUP($A:$A,CS!$A:$AK,23,FALSE),"")</f>
      </c>
      <c r="P264" s="79">
        <f>IFERROR(VLOOKUP($A:$A,CS!$A:$AK,24,FALSE),"")</f>
      </c>
      <c r="Q264" s="79">
        <f>IFERROR(VLOOKUP($A:$A,CS!$A:$AK,25,FALSE),"")</f>
      </c>
      <c r="R264" s="79">
        <f>IFERROR(VLOOKUP($A:$A,CS!$A:$AK,26,FALSE),"")</f>
      </c>
      <c r="S264" s="79">
        <f>IFERROR(VLOOKUP($A:$A,CS!$A:$AK,29,FALSE),"")</f>
      </c>
      <c r="T264" s="79">
        <f>IFERROR(VLOOKUP($A:$A,CS!$A:$AK,33,FALSE),"")</f>
      </c>
      <c r="U264" s="79">
        <f>IFERROR(VLOOKUP($A:$A,CS!$A:$AK,34,FALSE),"")</f>
      </c>
      <c r="V264" s="79">
        <f>IFERROR(VLOOKUP($A:$A,CS!$A:$AK,35,FALSE),"")</f>
      </c>
      <c r="W264" s="79">
        <f>IFERROR(VLOOKUP($A:$A,CS!$A:$AK,36,FALSE),"")</f>
      </c>
    </row>
    <row r="265" ht="16.5" customHeight="1" spans="1:23" x14ac:dyDescent="0.25">
      <c r="A265" s="93"/>
      <c r="B265" s="79">
        <f>IFERROR(VLOOKUP($A:$A,CS!$A:$AK,3,FALSE),"")</f>
      </c>
      <c r="C265" s="79">
        <f>IFERROR(VLOOKUP($A:$A,CS!$A:$AK,4,FALSE),"")</f>
      </c>
      <c r="D265" s="79">
        <f>IFERROR(VLOOKUP($A:$A,CS!$A:$AK,5,FALSE),"")</f>
      </c>
      <c r="E265" s="79">
        <f>IFERROR(VLOOKUP($A:$A,CS!$A:$AK,7,FALSE),"")</f>
      </c>
      <c r="F265" s="79">
        <f>IFERROR(VLOOKUP($A:$A,CS!$A:$AK,8,FALSE),"")</f>
      </c>
      <c r="G265" s="79">
        <f>IFERROR(VLOOKUP($A:$A,CS!$A:$AK,10,FALSE),"")</f>
      </c>
      <c r="H265" s="79">
        <f>IFERROR(VLOOKUP($A:$A,CS!$A:$AK,14,FALSE),"")</f>
      </c>
      <c r="I265" s="79">
        <f>IFERROR(VLOOKUP($A:$A,CS!$A:$AK,15,FALSE),"")</f>
      </c>
      <c r="J265" s="79">
        <f>IFERROR(VLOOKUP($A:$A,CS!$A:$AK,18,FALSE),"")</f>
      </c>
      <c r="K265" s="79">
        <f>IFERROR(VLOOKUP($A:$A,CS!$A:$AK,19,FALSE),"")</f>
      </c>
      <c r="L265" s="79">
        <f>IFERROR(VLOOKUP($A:$A,CS!$A:$AK,20,FALSE),"")</f>
      </c>
      <c r="M265" s="79">
        <f>IFERROR(VLOOKUP($A:$A,CS!$A:$AK,22,FALSE),"")</f>
      </c>
      <c r="N265" s="79">
        <f>IFERROR(VLOOKUP($A:$A,CS!$A:$AK,19,FALSE),"")</f>
      </c>
      <c r="O265" s="79">
        <f>IFERROR(VLOOKUP($A:$A,CS!$A:$AK,23,FALSE),"")</f>
      </c>
      <c r="P265" s="79">
        <f>IFERROR(VLOOKUP($A:$A,CS!$A:$AK,24,FALSE),"")</f>
      </c>
      <c r="Q265" s="79">
        <f>IFERROR(VLOOKUP($A:$A,CS!$A:$AK,25,FALSE),"")</f>
      </c>
      <c r="R265" s="79">
        <f>IFERROR(VLOOKUP($A:$A,CS!$A:$AK,26,FALSE),"")</f>
      </c>
      <c r="S265" s="79">
        <f>IFERROR(VLOOKUP($A:$A,CS!$A:$AK,29,FALSE),"")</f>
      </c>
      <c r="T265" s="79">
        <f>IFERROR(VLOOKUP($A:$A,CS!$A:$AK,33,FALSE),"")</f>
      </c>
      <c r="U265" s="79">
        <f>IFERROR(VLOOKUP($A:$A,CS!$A:$AK,34,FALSE),"")</f>
      </c>
      <c r="V265" s="79">
        <f>IFERROR(VLOOKUP($A:$A,CS!$A:$AK,35,FALSE),"")</f>
      </c>
      <c r="W265" s="79">
        <f>IFERROR(VLOOKUP($A:$A,CS!$A:$AK,36,FALSE),"")</f>
      </c>
    </row>
    <row r="266" ht="16.5" customHeight="1" spans="1:23" x14ac:dyDescent="0.25">
      <c r="A266" s="93"/>
      <c r="B266" s="79">
        <f>IFERROR(VLOOKUP($A:$A,CS!$A:$AK,3,FALSE),"")</f>
      </c>
      <c r="C266" s="79">
        <f>IFERROR(VLOOKUP($A:$A,CS!$A:$AK,4,FALSE),"")</f>
      </c>
      <c r="D266" s="79">
        <f>IFERROR(VLOOKUP($A:$A,CS!$A:$AK,5,FALSE),"")</f>
      </c>
      <c r="E266" s="79">
        <f>IFERROR(VLOOKUP($A:$A,CS!$A:$AK,7,FALSE),"")</f>
      </c>
      <c r="F266" s="79">
        <f>IFERROR(VLOOKUP($A:$A,CS!$A:$AK,8,FALSE),"")</f>
      </c>
      <c r="G266" s="79">
        <f>IFERROR(VLOOKUP($A:$A,CS!$A:$AK,10,FALSE),"")</f>
      </c>
      <c r="H266" s="79">
        <f>IFERROR(VLOOKUP($A:$A,CS!$A:$AK,14,FALSE),"")</f>
      </c>
      <c r="I266" s="79">
        <f>IFERROR(VLOOKUP($A:$A,CS!$A:$AK,15,FALSE),"")</f>
      </c>
      <c r="J266" s="79">
        <f>IFERROR(VLOOKUP($A:$A,CS!$A:$AK,18,FALSE),"")</f>
      </c>
      <c r="K266" s="79">
        <f>IFERROR(VLOOKUP($A:$A,CS!$A:$AK,19,FALSE),"")</f>
      </c>
      <c r="L266" s="79">
        <f>IFERROR(VLOOKUP($A:$A,CS!$A:$AK,20,FALSE),"")</f>
      </c>
      <c r="M266" s="79">
        <f>IFERROR(VLOOKUP($A:$A,CS!$A:$AK,22,FALSE),"")</f>
      </c>
      <c r="N266" s="79">
        <f>IFERROR(VLOOKUP($A:$A,CS!$A:$AK,19,FALSE),"")</f>
      </c>
      <c r="O266" s="79">
        <f>IFERROR(VLOOKUP($A:$A,CS!$A:$AK,23,FALSE),"")</f>
      </c>
      <c r="P266" s="79">
        <f>IFERROR(VLOOKUP($A:$A,CS!$A:$AK,24,FALSE),"")</f>
      </c>
      <c r="Q266" s="79">
        <f>IFERROR(VLOOKUP($A:$A,CS!$A:$AK,25,FALSE),"")</f>
      </c>
      <c r="R266" s="79">
        <f>IFERROR(VLOOKUP($A:$A,CS!$A:$AK,26,FALSE),"")</f>
      </c>
      <c r="S266" s="79">
        <f>IFERROR(VLOOKUP($A:$A,CS!$A:$AK,29,FALSE),"")</f>
      </c>
      <c r="T266" s="79">
        <f>IFERROR(VLOOKUP($A:$A,CS!$A:$AK,33,FALSE),"")</f>
      </c>
      <c r="U266" s="79">
        <f>IFERROR(VLOOKUP($A:$A,CS!$A:$AK,34,FALSE),"")</f>
      </c>
      <c r="V266" s="79">
        <f>IFERROR(VLOOKUP($A:$A,CS!$A:$AK,35,FALSE),"")</f>
      </c>
      <c r="W266" s="79">
        <f>IFERROR(VLOOKUP($A:$A,CS!$A:$AK,36,FALSE),"")</f>
      </c>
    </row>
    <row r="267" ht="16.5" customHeight="1" spans="1:23" x14ac:dyDescent="0.25">
      <c r="A267" s="93"/>
      <c r="B267" s="79">
        <f>IFERROR(VLOOKUP($A:$A,CS!$A:$AK,3,FALSE),"")</f>
      </c>
      <c r="C267" s="79">
        <f>IFERROR(VLOOKUP($A:$A,CS!$A:$AK,4,FALSE),"")</f>
      </c>
      <c r="D267" s="79">
        <f>IFERROR(VLOOKUP($A:$A,CS!$A:$AK,5,FALSE),"")</f>
      </c>
      <c r="E267" s="79">
        <f>IFERROR(VLOOKUP($A:$A,CS!$A:$AK,7,FALSE),"")</f>
      </c>
      <c r="F267" s="79">
        <f>IFERROR(VLOOKUP($A:$A,CS!$A:$AK,8,FALSE),"")</f>
      </c>
      <c r="G267" s="79">
        <f>IFERROR(VLOOKUP($A:$A,CS!$A:$AK,10,FALSE),"")</f>
      </c>
      <c r="H267" s="79">
        <f>IFERROR(VLOOKUP($A:$A,CS!$A:$AK,14,FALSE),"")</f>
      </c>
      <c r="I267" s="79">
        <f>IFERROR(VLOOKUP($A:$A,CS!$A:$AK,15,FALSE),"")</f>
      </c>
      <c r="J267" s="79">
        <f>IFERROR(VLOOKUP($A:$A,CS!$A:$AK,18,FALSE),"")</f>
      </c>
      <c r="K267" s="79">
        <f>IFERROR(VLOOKUP($A:$A,CS!$A:$AK,19,FALSE),"")</f>
      </c>
      <c r="L267" s="79">
        <f>IFERROR(VLOOKUP($A:$A,CS!$A:$AK,20,FALSE),"")</f>
      </c>
      <c r="M267" s="79">
        <f>IFERROR(VLOOKUP($A:$A,CS!$A:$AK,22,FALSE),"")</f>
      </c>
      <c r="N267" s="79">
        <f>IFERROR(VLOOKUP($A:$A,CS!$A:$AK,19,FALSE),"")</f>
      </c>
      <c r="O267" s="79">
        <f>IFERROR(VLOOKUP($A:$A,CS!$A:$AK,23,FALSE),"")</f>
      </c>
      <c r="P267" s="79">
        <f>IFERROR(VLOOKUP($A:$A,CS!$A:$AK,24,FALSE),"")</f>
      </c>
      <c r="Q267" s="79">
        <f>IFERROR(VLOOKUP($A:$A,CS!$A:$AK,25,FALSE),"")</f>
      </c>
      <c r="R267" s="79">
        <f>IFERROR(VLOOKUP($A:$A,CS!$A:$AK,26,FALSE),"")</f>
      </c>
      <c r="S267" s="79">
        <f>IFERROR(VLOOKUP($A:$A,CS!$A:$AK,29,FALSE),"")</f>
      </c>
      <c r="T267" s="79">
        <f>IFERROR(VLOOKUP($A:$A,CS!$A:$AK,33,FALSE),"")</f>
      </c>
      <c r="U267" s="79">
        <f>IFERROR(VLOOKUP($A:$A,CS!$A:$AK,34,FALSE),"")</f>
      </c>
      <c r="V267" s="79">
        <f>IFERROR(VLOOKUP($A:$A,CS!$A:$AK,35,FALSE),"")</f>
      </c>
      <c r="W267" s="79">
        <f>IFERROR(VLOOKUP($A:$A,CS!$A:$AK,36,FALSE),"")</f>
      </c>
    </row>
    <row r="268" ht="16.5" customHeight="1" spans="1:23" x14ac:dyDescent="0.25">
      <c r="A268" s="93"/>
      <c r="B268" s="79">
        <f>IFERROR(VLOOKUP($A:$A,CS!$A:$AK,3,FALSE),"")</f>
      </c>
      <c r="C268" s="79">
        <f>IFERROR(VLOOKUP($A:$A,CS!$A:$AK,4,FALSE),"")</f>
      </c>
      <c r="D268" s="79">
        <f>IFERROR(VLOOKUP($A:$A,CS!$A:$AK,5,FALSE),"")</f>
      </c>
      <c r="E268" s="79">
        <f>IFERROR(VLOOKUP($A:$A,CS!$A:$AK,7,FALSE),"")</f>
      </c>
      <c r="F268" s="79">
        <f>IFERROR(VLOOKUP($A:$A,CS!$A:$AK,8,FALSE),"")</f>
      </c>
      <c r="G268" s="79">
        <f>IFERROR(VLOOKUP($A:$A,CS!$A:$AK,10,FALSE),"")</f>
      </c>
      <c r="H268" s="79">
        <f>IFERROR(VLOOKUP($A:$A,CS!$A:$AK,14,FALSE),"")</f>
      </c>
      <c r="I268" s="79">
        <f>IFERROR(VLOOKUP($A:$A,CS!$A:$AK,15,FALSE),"")</f>
      </c>
      <c r="J268" s="79">
        <f>IFERROR(VLOOKUP($A:$A,CS!$A:$AK,18,FALSE),"")</f>
      </c>
      <c r="K268" s="79">
        <f>IFERROR(VLOOKUP($A:$A,CS!$A:$AK,19,FALSE),"")</f>
      </c>
      <c r="L268" s="79">
        <f>IFERROR(VLOOKUP($A:$A,CS!$A:$AK,20,FALSE),"")</f>
      </c>
      <c r="M268" s="79">
        <f>IFERROR(VLOOKUP($A:$A,CS!$A:$AK,22,FALSE),"")</f>
      </c>
      <c r="N268" s="79">
        <f>IFERROR(VLOOKUP($A:$A,CS!$A:$AK,19,FALSE),"")</f>
      </c>
      <c r="O268" s="79">
        <f>IFERROR(VLOOKUP($A:$A,CS!$A:$AK,23,FALSE),"")</f>
      </c>
      <c r="P268" s="79">
        <f>IFERROR(VLOOKUP($A:$A,CS!$A:$AK,24,FALSE),"")</f>
      </c>
      <c r="Q268" s="79">
        <f>IFERROR(VLOOKUP($A:$A,CS!$A:$AK,25,FALSE),"")</f>
      </c>
      <c r="R268" s="79">
        <f>IFERROR(VLOOKUP($A:$A,CS!$A:$AK,26,FALSE),"")</f>
      </c>
      <c r="S268" s="79">
        <f>IFERROR(VLOOKUP($A:$A,CS!$A:$AK,29,FALSE),"")</f>
      </c>
      <c r="T268" s="79">
        <f>IFERROR(VLOOKUP($A:$A,CS!$A:$AK,33,FALSE),"")</f>
      </c>
      <c r="U268" s="79">
        <f>IFERROR(VLOOKUP($A:$A,CS!$A:$AK,34,FALSE),"")</f>
      </c>
      <c r="V268" s="79">
        <f>IFERROR(VLOOKUP($A:$A,CS!$A:$AK,35,FALSE),"")</f>
      </c>
      <c r="W268" s="79">
        <f>IFERROR(VLOOKUP($A:$A,CS!$A:$AK,36,FALSE),"")</f>
      </c>
    </row>
    <row r="269" ht="16.5" customHeight="1" spans="1:23" x14ac:dyDescent="0.25">
      <c r="A269" s="93"/>
      <c r="B269" s="79">
        <f>IFERROR(VLOOKUP($A:$A,CS!$A:$AK,3,FALSE),"")</f>
      </c>
      <c r="C269" s="79">
        <f>IFERROR(VLOOKUP($A:$A,CS!$A:$AK,4,FALSE),"")</f>
      </c>
      <c r="D269" s="79">
        <f>IFERROR(VLOOKUP($A:$A,CS!$A:$AK,5,FALSE),"")</f>
      </c>
      <c r="E269" s="79">
        <f>IFERROR(VLOOKUP($A:$A,CS!$A:$AK,7,FALSE),"")</f>
      </c>
      <c r="F269" s="79">
        <f>IFERROR(VLOOKUP($A:$A,CS!$A:$AK,8,FALSE),"")</f>
      </c>
      <c r="G269" s="79">
        <f>IFERROR(VLOOKUP($A:$A,CS!$A:$AK,10,FALSE),"")</f>
      </c>
      <c r="H269" s="79">
        <f>IFERROR(VLOOKUP($A:$A,CS!$A:$AK,14,FALSE),"")</f>
      </c>
      <c r="I269" s="79">
        <f>IFERROR(VLOOKUP($A:$A,CS!$A:$AK,15,FALSE),"")</f>
      </c>
      <c r="J269" s="79">
        <f>IFERROR(VLOOKUP($A:$A,CS!$A:$AK,18,FALSE),"")</f>
      </c>
      <c r="K269" s="79">
        <f>IFERROR(VLOOKUP($A:$A,CS!$A:$AK,19,FALSE),"")</f>
      </c>
      <c r="L269" s="79">
        <f>IFERROR(VLOOKUP($A:$A,CS!$A:$AK,20,FALSE),"")</f>
      </c>
      <c r="M269" s="79">
        <f>IFERROR(VLOOKUP($A:$A,CS!$A:$AK,22,FALSE),"")</f>
      </c>
      <c r="N269" s="79">
        <f>IFERROR(VLOOKUP($A:$A,CS!$A:$AK,19,FALSE),"")</f>
      </c>
      <c r="O269" s="79">
        <f>IFERROR(VLOOKUP($A:$A,CS!$A:$AK,23,FALSE),"")</f>
      </c>
      <c r="P269" s="79">
        <f>IFERROR(VLOOKUP($A:$A,CS!$A:$AK,24,FALSE),"")</f>
      </c>
      <c r="Q269" s="79">
        <f>IFERROR(VLOOKUP($A:$A,CS!$A:$AK,25,FALSE),"")</f>
      </c>
      <c r="R269" s="79">
        <f>IFERROR(VLOOKUP($A:$A,CS!$A:$AK,26,FALSE),"")</f>
      </c>
      <c r="S269" s="79">
        <f>IFERROR(VLOOKUP($A:$A,CS!$A:$AK,29,FALSE),"")</f>
      </c>
      <c r="T269" s="79">
        <f>IFERROR(VLOOKUP($A:$A,CS!$A:$AK,33,FALSE),"")</f>
      </c>
      <c r="U269" s="79">
        <f>IFERROR(VLOOKUP($A:$A,CS!$A:$AK,34,FALSE),"")</f>
      </c>
      <c r="V269" s="79">
        <f>IFERROR(VLOOKUP($A:$A,CS!$A:$AK,35,FALSE),"")</f>
      </c>
      <c r="W269" s="79">
        <f>IFERROR(VLOOKUP($A:$A,CS!$A:$AK,36,FALSE),"")</f>
      </c>
    </row>
    <row r="270" ht="16.5" customHeight="1" spans="1:23" x14ac:dyDescent="0.25">
      <c r="A270" s="93"/>
      <c r="B270" s="79">
        <f>IFERROR(VLOOKUP($A:$A,CS!$A:$AK,3,FALSE),"")</f>
      </c>
      <c r="C270" s="79">
        <f>IFERROR(VLOOKUP($A:$A,CS!$A:$AK,4,FALSE),"")</f>
      </c>
      <c r="D270" s="79">
        <f>IFERROR(VLOOKUP($A:$A,CS!$A:$AK,5,FALSE),"")</f>
      </c>
      <c r="E270" s="79">
        <f>IFERROR(VLOOKUP($A:$A,CS!$A:$AK,7,FALSE),"")</f>
      </c>
      <c r="F270" s="79">
        <f>IFERROR(VLOOKUP($A:$A,CS!$A:$AK,8,FALSE),"")</f>
      </c>
      <c r="G270" s="79">
        <f>IFERROR(VLOOKUP($A:$A,CS!$A:$AK,10,FALSE),"")</f>
      </c>
      <c r="H270" s="79">
        <f>IFERROR(VLOOKUP($A:$A,CS!$A:$AK,14,FALSE),"")</f>
      </c>
      <c r="I270" s="79">
        <f>IFERROR(VLOOKUP($A:$A,CS!$A:$AK,15,FALSE),"")</f>
      </c>
      <c r="J270" s="79">
        <f>IFERROR(VLOOKUP($A:$A,CS!$A:$AK,18,FALSE),"")</f>
      </c>
      <c r="K270" s="79">
        <f>IFERROR(VLOOKUP($A:$A,CS!$A:$AK,19,FALSE),"")</f>
      </c>
      <c r="L270" s="79">
        <f>IFERROR(VLOOKUP($A:$A,CS!$A:$AK,20,FALSE),"")</f>
      </c>
      <c r="M270" s="79">
        <f>IFERROR(VLOOKUP($A:$A,CS!$A:$AK,22,FALSE),"")</f>
      </c>
      <c r="N270" s="79">
        <f>IFERROR(VLOOKUP($A:$A,CS!$A:$AK,19,FALSE),"")</f>
      </c>
      <c r="O270" s="79">
        <f>IFERROR(VLOOKUP($A:$A,CS!$A:$AK,23,FALSE),"")</f>
      </c>
      <c r="P270" s="79">
        <f>IFERROR(VLOOKUP($A:$A,CS!$A:$AK,24,FALSE),"")</f>
      </c>
      <c r="Q270" s="79">
        <f>IFERROR(VLOOKUP($A:$A,CS!$A:$AK,25,FALSE),"")</f>
      </c>
      <c r="R270" s="79">
        <f>IFERROR(VLOOKUP($A:$A,CS!$A:$AK,26,FALSE),"")</f>
      </c>
      <c r="S270" s="79">
        <f>IFERROR(VLOOKUP($A:$A,CS!$A:$AK,29,FALSE),"")</f>
      </c>
      <c r="T270" s="79">
        <f>IFERROR(VLOOKUP($A:$A,CS!$A:$AK,33,FALSE),"")</f>
      </c>
      <c r="U270" s="79">
        <f>IFERROR(VLOOKUP($A:$A,CS!$A:$AK,34,FALSE),"")</f>
      </c>
      <c r="V270" s="79">
        <f>IFERROR(VLOOKUP($A:$A,CS!$A:$AK,35,FALSE),"")</f>
      </c>
      <c r="W270" s="79">
        <f>IFERROR(VLOOKUP($A:$A,CS!$A:$AK,36,FALSE),"")</f>
      </c>
    </row>
    <row r="271" ht="16.5" customHeight="1" spans="1:23" x14ac:dyDescent="0.25">
      <c r="A271" s="93"/>
      <c r="B271" s="79">
        <f>IFERROR(VLOOKUP($A:$A,CS!$A:$AK,3,FALSE),"")</f>
      </c>
      <c r="C271" s="79">
        <f>IFERROR(VLOOKUP($A:$A,CS!$A:$AK,4,FALSE),"")</f>
      </c>
      <c r="D271" s="79">
        <f>IFERROR(VLOOKUP($A:$A,CS!$A:$AK,5,FALSE),"")</f>
      </c>
      <c r="E271" s="79">
        <f>IFERROR(VLOOKUP($A:$A,CS!$A:$AK,7,FALSE),"")</f>
      </c>
      <c r="F271" s="79">
        <f>IFERROR(VLOOKUP($A:$A,CS!$A:$AK,8,FALSE),"")</f>
      </c>
      <c r="G271" s="79">
        <f>IFERROR(VLOOKUP($A:$A,CS!$A:$AK,10,FALSE),"")</f>
      </c>
      <c r="H271" s="79">
        <f>IFERROR(VLOOKUP($A:$A,CS!$A:$AK,14,FALSE),"")</f>
      </c>
      <c r="I271" s="79">
        <f>IFERROR(VLOOKUP($A:$A,CS!$A:$AK,15,FALSE),"")</f>
      </c>
      <c r="J271" s="79">
        <f>IFERROR(VLOOKUP($A:$A,CS!$A:$AK,18,FALSE),"")</f>
      </c>
      <c r="K271" s="79">
        <f>IFERROR(VLOOKUP($A:$A,CS!$A:$AK,19,FALSE),"")</f>
      </c>
      <c r="L271" s="79">
        <f>IFERROR(VLOOKUP($A:$A,CS!$A:$AK,20,FALSE),"")</f>
      </c>
      <c r="M271" s="79">
        <f>IFERROR(VLOOKUP($A:$A,CS!$A:$AK,22,FALSE),"")</f>
      </c>
      <c r="N271" s="79">
        <f>IFERROR(VLOOKUP($A:$A,CS!$A:$AK,19,FALSE),"")</f>
      </c>
      <c r="O271" s="79">
        <f>IFERROR(VLOOKUP($A:$A,CS!$A:$AK,23,FALSE),"")</f>
      </c>
      <c r="P271" s="79">
        <f>IFERROR(VLOOKUP($A:$A,CS!$A:$AK,24,FALSE),"")</f>
      </c>
      <c r="Q271" s="79">
        <f>IFERROR(VLOOKUP($A:$A,CS!$A:$AK,25,FALSE),"")</f>
      </c>
      <c r="R271" s="79">
        <f>IFERROR(VLOOKUP($A:$A,CS!$A:$AK,26,FALSE),"")</f>
      </c>
      <c r="S271" s="79">
        <f>IFERROR(VLOOKUP($A:$A,CS!$A:$AK,29,FALSE),"")</f>
      </c>
      <c r="T271" s="79">
        <f>IFERROR(VLOOKUP($A:$A,CS!$A:$AK,33,FALSE),"")</f>
      </c>
      <c r="U271" s="79">
        <f>IFERROR(VLOOKUP($A:$A,CS!$A:$AK,34,FALSE),"")</f>
      </c>
      <c r="V271" s="79">
        <f>IFERROR(VLOOKUP($A:$A,CS!$A:$AK,35,FALSE),"")</f>
      </c>
      <c r="W271" s="79">
        <f>IFERROR(VLOOKUP($A:$A,CS!$A:$AK,36,FALSE),"")</f>
      </c>
    </row>
    <row r="272" ht="16.5" customHeight="1" spans="1:23" x14ac:dyDescent="0.25">
      <c r="A272" s="93"/>
      <c r="B272" s="79">
        <f>IFERROR(VLOOKUP($A:$A,CS!$A:$AK,3,FALSE),"")</f>
      </c>
      <c r="C272" s="79">
        <f>IFERROR(VLOOKUP($A:$A,CS!$A:$AK,4,FALSE),"")</f>
      </c>
      <c r="D272" s="79">
        <f>IFERROR(VLOOKUP($A:$A,CS!$A:$AK,5,FALSE),"")</f>
      </c>
      <c r="E272" s="79">
        <f>IFERROR(VLOOKUP($A:$A,CS!$A:$AK,7,FALSE),"")</f>
      </c>
      <c r="F272" s="79">
        <f>IFERROR(VLOOKUP($A:$A,CS!$A:$AK,8,FALSE),"")</f>
      </c>
      <c r="G272" s="79">
        <f>IFERROR(VLOOKUP($A:$A,CS!$A:$AK,10,FALSE),"")</f>
      </c>
      <c r="H272" s="79">
        <f>IFERROR(VLOOKUP($A:$A,CS!$A:$AK,14,FALSE),"")</f>
      </c>
      <c r="I272" s="79">
        <f>IFERROR(VLOOKUP($A:$A,CS!$A:$AK,15,FALSE),"")</f>
      </c>
      <c r="J272" s="79">
        <f>IFERROR(VLOOKUP($A:$A,CS!$A:$AK,18,FALSE),"")</f>
      </c>
      <c r="K272" s="79">
        <f>IFERROR(VLOOKUP($A:$A,CS!$A:$AK,19,FALSE),"")</f>
      </c>
      <c r="L272" s="79">
        <f>IFERROR(VLOOKUP($A:$A,CS!$A:$AK,20,FALSE),"")</f>
      </c>
      <c r="M272" s="79">
        <f>IFERROR(VLOOKUP($A:$A,CS!$A:$AK,22,FALSE),"")</f>
      </c>
      <c r="N272" s="79">
        <f>IFERROR(VLOOKUP($A:$A,CS!$A:$AK,19,FALSE),"")</f>
      </c>
      <c r="O272" s="79">
        <f>IFERROR(VLOOKUP($A:$A,CS!$A:$AK,23,FALSE),"")</f>
      </c>
      <c r="P272" s="79">
        <f>IFERROR(VLOOKUP($A:$A,CS!$A:$AK,24,FALSE),"")</f>
      </c>
      <c r="Q272" s="79">
        <f>IFERROR(VLOOKUP($A:$A,CS!$A:$AK,25,FALSE),"")</f>
      </c>
      <c r="R272" s="79">
        <f>IFERROR(VLOOKUP($A:$A,CS!$A:$AK,26,FALSE),"")</f>
      </c>
      <c r="S272" s="79">
        <f>IFERROR(VLOOKUP($A:$A,CS!$A:$AK,29,FALSE),"")</f>
      </c>
      <c r="T272" s="79">
        <f>IFERROR(VLOOKUP($A:$A,CS!$A:$AK,33,FALSE),"")</f>
      </c>
      <c r="U272" s="79">
        <f>IFERROR(VLOOKUP($A:$A,CS!$A:$AK,34,FALSE),"")</f>
      </c>
      <c r="V272" s="79">
        <f>IFERROR(VLOOKUP($A:$A,CS!$A:$AK,35,FALSE),"")</f>
      </c>
      <c r="W272" s="79">
        <f>IFERROR(VLOOKUP($A:$A,CS!$A:$AK,36,FALSE),"")</f>
      </c>
    </row>
    <row r="273" ht="16.5" customHeight="1" spans="1:23" x14ac:dyDescent="0.25">
      <c r="A273" s="93"/>
      <c r="B273" s="79">
        <f>IFERROR(VLOOKUP($A:$A,CS!$A:$AK,3,FALSE),"")</f>
      </c>
      <c r="C273" s="79">
        <f>IFERROR(VLOOKUP($A:$A,CS!$A:$AK,4,FALSE),"")</f>
      </c>
      <c r="D273" s="79">
        <f>IFERROR(VLOOKUP($A:$A,CS!$A:$AK,5,FALSE),"")</f>
      </c>
      <c r="E273" s="79">
        <f>IFERROR(VLOOKUP($A:$A,CS!$A:$AK,7,FALSE),"")</f>
      </c>
      <c r="F273" s="79">
        <f>IFERROR(VLOOKUP($A:$A,CS!$A:$AK,8,FALSE),"")</f>
      </c>
      <c r="G273" s="79">
        <f>IFERROR(VLOOKUP($A:$A,CS!$A:$AK,10,FALSE),"")</f>
      </c>
      <c r="H273" s="79">
        <f>IFERROR(VLOOKUP($A:$A,CS!$A:$AK,14,FALSE),"")</f>
      </c>
      <c r="I273" s="79">
        <f>IFERROR(VLOOKUP($A:$A,CS!$A:$AK,15,FALSE),"")</f>
      </c>
      <c r="J273" s="79">
        <f>IFERROR(VLOOKUP($A:$A,CS!$A:$AK,18,FALSE),"")</f>
      </c>
      <c r="K273" s="79">
        <f>IFERROR(VLOOKUP($A:$A,CS!$A:$AK,19,FALSE),"")</f>
      </c>
      <c r="L273" s="79">
        <f>IFERROR(VLOOKUP($A:$A,CS!$A:$AK,20,FALSE),"")</f>
      </c>
      <c r="M273" s="79">
        <f>IFERROR(VLOOKUP($A:$A,CS!$A:$AK,22,FALSE),"")</f>
      </c>
      <c r="N273" s="79">
        <f>IFERROR(VLOOKUP($A:$A,CS!$A:$AK,19,FALSE),"")</f>
      </c>
      <c r="O273" s="79">
        <f>IFERROR(VLOOKUP($A:$A,CS!$A:$AK,23,FALSE),"")</f>
      </c>
      <c r="P273" s="79">
        <f>IFERROR(VLOOKUP($A:$A,CS!$A:$AK,24,FALSE),"")</f>
      </c>
      <c r="Q273" s="79">
        <f>IFERROR(VLOOKUP($A:$A,CS!$A:$AK,25,FALSE),"")</f>
      </c>
      <c r="R273" s="79">
        <f>IFERROR(VLOOKUP($A:$A,CS!$A:$AK,26,FALSE),"")</f>
      </c>
      <c r="S273" s="79">
        <f>IFERROR(VLOOKUP($A:$A,CS!$A:$AK,29,FALSE),"")</f>
      </c>
      <c r="T273" s="79">
        <f>IFERROR(VLOOKUP($A:$A,CS!$A:$AK,33,FALSE),"")</f>
      </c>
      <c r="U273" s="79">
        <f>IFERROR(VLOOKUP($A:$A,CS!$A:$AK,34,FALSE),"")</f>
      </c>
      <c r="V273" s="79">
        <f>IFERROR(VLOOKUP($A:$A,CS!$A:$AK,35,FALSE),"")</f>
      </c>
      <c r="W273" s="79">
        <f>IFERROR(VLOOKUP($A:$A,CS!$A:$AK,36,FALSE),"")</f>
      </c>
    </row>
    <row r="274" ht="16.5" customHeight="1" spans="1:23" x14ac:dyDescent="0.25">
      <c r="A274" s="93"/>
      <c r="B274" s="79">
        <f>IFERROR(VLOOKUP($A:$A,CS!$A:$AK,3,FALSE),"")</f>
      </c>
      <c r="C274" s="79">
        <f>IFERROR(VLOOKUP($A:$A,CS!$A:$AK,4,FALSE),"")</f>
      </c>
      <c r="D274" s="79">
        <f>IFERROR(VLOOKUP($A:$A,CS!$A:$AK,5,FALSE),"")</f>
      </c>
      <c r="E274" s="79">
        <f>IFERROR(VLOOKUP($A:$A,CS!$A:$AK,7,FALSE),"")</f>
      </c>
      <c r="F274" s="79">
        <f>IFERROR(VLOOKUP($A:$A,CS!$A:$AK,8,FALSE),"")</f>
      </c>
      <c r="G274" s="79">
        <f>IFERROR(VLOOKUP($A:$A,CS!$A:$AK,10,FALSE),"")</f>
      </c>
      <c r="H274" s="79">
        <f>IFERROR(VLOOKUP($A:$A,CS!$A:$AK,14,FALSE),"")</f>
      </c>
      <c r="I274" s="79">
        <f>IFERROR(VLOOKUP($A:$A,CS!$A:$AK,15,FALSE),"")</f>
      </c>
      <c r="J274" s="79">
        <f>IFERROR(VLOOKUP($A:$A,CS!$A:$AK,18,FALSE),"")</f>
      </c>
      <c r="K274" s="79">
        <f>IFERROR(VLOOKUP($A:$A,CS!$A:$AK,19,FALSE),"")</f>
      </c>
      <c r="L274" s="79">
        <f>IFERROR(VLOOKUP($A:$A,CS!$A:$AK,20,FALSE),"")</f>
      </c>
      <c r="M274" s="79">
        <f>IFERROR(VLOOKUP($A:$A,CS!$A:$AK,22,FALSE),"")</f>
      </c>
      <c r="N274" s="79">
        <f>IFERROR(VLOOKUP($A:$A,CS!$A:$AK,19,FALSE),"")</f>
      </c>
      <c r="O274" s="79">
        <f>IFERROR(VLOOKUP($A:$A,CS!$A:$AK,23,FALSE),"")</f>
      </c>
      <c r="P274" s="79">
        <f>IFERROR(VLOOKUP($A:$A,CS!$A:$AK,24,FALSE),"")</f>
      </c>
      <c r="Q274" s="79">
        <f>IFERROR(VLOOKUP($A:$A,CS!$A:$AK,25,FALSE),"")</f>
      </c>
      <c r="R274" s="79">
        <f>IFERROR(VLOOKUP($A:$A,CS!$A:$AK,26,FALSE),"")</f>
      </c>
      <c r="S274" s="79">
        <f>IFERROR(VLOOKUP($A:$A,CS!$A:$AK,29,FALSE),"")</f>
      </c>
      <c r="T274" s="79">
        <f>IFERROR(VLOOKUP($A:$A,CS!$A:$AK,33,FALSE),"")</f>
      </c>
      <c r="U274" s="79">
        <f>IFERROR(VLOOKUP($A:$A,CS!$A:$AK,34,FALSE),"")</f>
      </c>
      <c r="V274" s="79">
        <f>IFERROR(VLOOKUP($A:$A,CS!$A:$AK,35,FALSE),"")</f>
      </c>
      <c r="W274" s="79">
        <f>IFERROR(VLOOKUP($A:$A,CS!$A:$AK,36,FALSE),"")</f>
      </c>
    </row>
    <row r="275" ht="16.5" customHeight="1" spans="1:23" x14ac:dyDescent="0.25">
      <c r="A275" s="93"/>
      <c r="B275" s="79">
        <f>IFERROR(VLOOKUP($A:$A,CS!$A:$AK,3,FALSE),"")</f>
      </c>
      <c r="C275" s="79">
        <f>IFERROR(VLOOKUP($A:$A,CS!$A:$AK,4,FALSE),"")</f>
      </c>
      <c r="D275" s="79">
        <f>IFERROR(VLOOKUP($A:$A,CS!$A:$AK,5,FALSE),"")</f>
      </c>
      <c r="E275" s="79">
        <f>IFERROR(VLOOKUP($A:$A,CS!$A:$AK,7,FALSE),"")</f>
      </c>
      <c r="F275" s="79">
        <f>IFERROR(VLOOKUP($A:$A,CS!$A:$AK,8,FALSE),"")</f>
      </c>
      <c r="G275" s="79">
        <f>IFERROR(VLOOKUP($A:$A,CS!$A:$AK,10,FALSE),"")</f>
      </c>
      <c r="H275" s="79">
        <f>IFERROR(VLOOKUP($A:$A,CS!$A:$AK,14,FALSE),"")</f>
      </c>
      <c r="I275" s="79">
        <f>IFERROR(VLOOKUP($A:$A,CS!$A:$AK,15,FALSE),"")</f>
      </c>
      <c r="J275" s="79">
        <f>IFERROR(VLOOKUP($A:$A,CS!$A:$AK,18,FALSE),"")</f>
      </c>
      <c r="K275" s="79">
        <f>IFERROR(VLOOKUP($A:$A,CS!$A:$AK,19,FALSE),"")</f>
      </c>
      <c r="L275" s="79">
        <f>IFERROR(VLOOKUP($A:$A,CS!$A:$AK,20,FALSE),"")</f>
      </c>
      <c r="M275" s="79">
        <f>IFERROR(VLOOKUP($A:$A,CS!$A:$AK,22,FALSE),"")</f>
      </c>
      <c r="N275" s="79">
        <f>IFERROR(VLOOKUP($A:$A,CS!$A:$AK,19,FALSE),"")</f>
      </c>
      <c r="O275" s="79">
        <f>IFERROR(VLOOKUP($A:$A,CS!$A:$AK,23,FALSE),"")</f>
      </c>
      <c r="P275" s="79">
        <f>IFERROR(VLOOKUP($A:$A,CS!$A:$AK,24,FALSE),"")</f>
      </c>
      <c r="Q275" s="79">
        <f>IFERROR(VLOOKUP($A:$A,CS!$A:$AK,25,FALSE),"")</f>
      </c>
      <c r="R275" s="79">
        <f>IFERROR(VLOOKUP($A:$A,CS!$A:$AK,26,FALSE),"")</f>
      </c>
      <c r="S275" s="79">
        <f>IFERROR(VLOOKUP($A:$A,CS!$A:$AK,29,FALSE),"")</f>
      </c>
      <c r="T275" s="79">
        <f>IFERROR(VLOOKUP($A:$A,CS!$A:$AK,33,FALSE),"")</f>
      </c>
      <c r="U275" s="79">
        <f>IFERROR(VLOOKUP($A:$A,CS!$A:$AK,34,FALSE),"")</f>
      </c>
      <c r="V275" s="79">
        <f>IFERROR(VLOOKUP($A:$A,CS!$A:$AK,35,FALSE),"")</f>
      </c>
      <c r="W275" s="79">
        <f>IFERROR(VLOOKUP($A:$A,CS!$A:$AK,36,FALSE),"")</f>
      </c>
    </row>
    <row r="276" ht="16.5" customHeight="1" spans="1:23" x14ac:dyDescent="0.25">
      <c r="A276" s="93"/>
      <c r="B276" s="79">
        <f>IFERROR(VLOOKUP($A:$A,CS!$A:$AK,3,FALSE),"")</f>
      </c>
      <c r="C276" s="79">
        <f>IFERROR(VLOOKUP($A:$A,CS!$A:$AK,4,FALSE),"")</f>
      </c>
      <c r="D276" s="79">
        <f>IFERROR(VLOOKUP($A:$A,CS!$A:$AK,5,FALSE),"")</f>
      </c>
      <c r="E276" s="79">
        <f>IFERROR(VLOOKUP($A:$A,CS!$A:$AK,7,FALSE),"")</f>
      </c>
      <c r="F276" s="79">
        <f>IFERROR(VLOOKUP($A:$A,CS!$A:$AK,8,FALSE),"")</f>
      </c>
      <c r="G276" s="79">
        <f>IFERROR(VLOOKUP($A:$A,CS!$A:$AK,10,FALSE),"")</f>
      </c>
      <c r="H276" s="79">
        <f>IFERROR(VLOOKUP($A:$A,CS!$A:$AK,14,FALSE),"")</f>
      </c>
      <c r="I276" s="79">
        <f>IFERROR(VLOOKUP($A:$A,CS!$A:$AK,15,FALSE),"")</f>
      </c>
      <c r="J276" s="79">
        <f>IFERROR(VLOOKUP($A:$A,CS!$A:$AK,18,FALSE),"")</f>
      </c>
      <c r="K276" s="79">
        <f>IFERROR(VLOOKUP($A:$A,CS!$A:$AK,19,FALSE),"")</f>
      </c>
      <c r="L276" s="79">
        <f>IFERROR(VLOOKUP($A:$A,CS!$A:$AK,20,FALSE),"")</f>
      </c>
      <c r="M276" s="79">
        <f>IFERROR(VLOOKUP($A:$A,CS!$A:$AK,22,FALSE),"")</f>
      </c>
      <c r="N276" s="79">
        <f>IFERROR(VLOOKUP($A:$A,CS!$A:$AK,19,FALSE),"")</f>
      </c>
      <c r="O276" s="79">
        <f>IFERROR(VLOOKUP($A:$A,CS!$A:$AK,23,FALSE),"")</f>
      </c>
      <c r="P276" s="79">
        <f>IFERROR(VLOOKUP($A:$A,CS!$A:$AK,24,FALSE),"")</f>
      </c>
      <c r="Q276" s="79">
        <f>IFERROR(VLOOKUP($A:$A,CS!$A:$AK,25,FALSE),"")</f>
      </c>
      <c r="R276" s="79">
        <f>IFERROR(VLOOKUP($A:$A,CS!$A:$AK,26,FALSE),"")</f>
      </c>
      <c r="S276" s="79">
        <f>IFERROR(VLOOKUP($A:$A,CS!$A:$AK,29,FALSE),"")</f>
      </c>
      <c r="T276" s="79">
        <f>IFERROR(VLOOKUP($A:$A,CS!$A:$AK,33,FALSE),"")</f>
      </c>
      <c r="U276" s="79">
        <f>IFERROR(VLOOKUP($A:$A,CS!$A:$AK,34,FALSE),"")</f>
      </c>
      <c r="V276" s="79">
        <f>IFERROR(VLOOKUP($A:$A,CS!$A:$AK,35,FALSE),"")</f>
      </c>
      <c r="W276" s="79">
        <f>IFERROR(VLOOKUP($A:$A,CS!$A:$AK,36,FALSE),"")</f>
      </c>
    </row>
    <row r="277" ht="16.5" customHeight="1" spans="1:23" x14ac:dyDescent="0.25">
      <c r="A277" s="93"/>
      <c r="B277" s="79">
        <f>IFERROR(VLOOKUP($A:$A,CS!$A:$AK,3,FALSE),"")</f>
      </c>
      <c r="C277" s="79">
        <f>IFERROR(VLOOKUP($A:$A,CS!$A:$AK,4,FALSE),"")</f>
      </c>
      <c r="D277" s="79">
        <f>IFERROR(VLOOKUP($A:$A,CS!$A:$AK,5,FALSE),"")</f>
      </c>
      <c r="E277" s="79">
        <f>IFERROR(VLOOKUP($A:$A,CS!$A:$AK,7,FALSE),"")</f>
      </c>
      <c r="F277" s="79">
        <f>IFERROR(VLOOKUP($A:$A,CS!$A:$AK,8,FALSE),"")</f>
      </c>
      <c r="G277" s="79">
        <f>IFERROR(VLOOKUP($A:$A,CS!$A:$AK,10,FALSE),"")</f>
      </c>
      <c r="H277" s="79">
        <f>IFERROR(VLOOKUP($A:$A,CS!$A:$AK,14,FALSE),"")</f>
      </c>
      <c r="I277" s="79">
        <f>IFERROR(VLOOKUP($A:$A,CS!$A:$AK,15,FALSE),"")</f>
      </c>
      <c r="J277" s="79">
        <f>IFERROR(VLOOKUP($A:$A,CS!$A:$AK,18,FALSE),"")</f>
      </c>
      <c r="K277" s="79">
        <f>IFERROR(VLOOKUP($A:$A,CS!$A:$AK,19,FALSE),"")</f>
      </c>
      <c r="L277" s="79">
        <f>IFERROR(VLOOKUP($A:$A,CS!$A:$AK,20,FALSE),"")</f>
      </c>
      <c r="M277" s="79">
        <f>IFERROR(VLOOKUP($A:$A,CS!$A:$AK,22,FALSE),"")</f>
      </c>
      <c r="N277" s="79">
        <f>IFERROR(VLOOKUP($A:$A,CS!$A:$AK,19,FALSE),"")</f>
      </c>
      <c r="O277" s="79">
        <f>IFERROR(VLOOKUP($A:$A,CS!$A:$AK,23,FALSE),"")</f>
      </c>
      <c r="P277" s="79">
        <f>IFERROR(VLOOKUP($A:$A,CS!$A:$AK,24,FALSE),"")</f>
      </c>
      <c r="Q277" s="79">
        <f>IFERROR(VLOOKUP($A:$A,CS!$A:$AK,25,FALSE),"")</f>
      </c>
      <c r="R277" s="79">
        <f>IFERROR(VLOOKUP($A:$A,CS!$A:$AK,26,FALSE),"")</f>
      </c>
      <c r="S277" s="79">
        <f>IFERROR(VLOOKUP($A:$A,CS!$A:$AK,29,FALSE),"")</f>
      </c>
      <c r="T277" s="79">
        <f>IFERROR(VLOOKUP($A:$A,CS!$A:$AK,33,FALSE),"")</f>
      </c>
      <c r="U277" s="79">
        <f>IFERROR(VLOOKUP($A:$A,CS!$A:$AK,34,FALSE),"")</f>
      </c>
      <c r="V277" s="79">
        <f>IFERROR(VLOOKUP($A:$A,CS!$A:$AK,35,FALSE),"")</f>
      </c>
      <c r="W277" s="79">
        <f>IFERROR(VLOOKUP($A:$A,CS!$A:$AK,36,FALSE),"")</f>
      </c>
    </row>
    <row r="278" ht="16.5" customHeight="1" spans="1:23" x14ac:dyDescent="0.25">
      <c r="A278" s="93"/>
      <c r="B278" s="79">
        <f>IFERROR(VLOOKUP($A:$A,CS!$A:$AK,3,FALSE),"")</f>
      </c>
      <c r="C278" s="79">
        <f>IFERROR(VLOOKUP($A:$A,CS!$A:$AK,4,FALSE),"")</f>
      </c>
      <c r="D278" s="79">
        <f>IFERROR(VLOOKUP($A:$A,CS!$A:$AK,5,FALSE),"")</f>
      </c>
      <c r="E278" s="79">
        <f>IFERROR(VLOOKUP($A:$A,CS!$A:$AK,7,FALSE),"")</f>
      </c>
      <c r="F278" s="79">
        <f>IFERROR(VLOOKUP($A:$A,CS!$A:$AK,8,FALSE),"")</f>
      </c>
      <c r="G278" s="79">
        <f>IFERROR(VLOOKUP($A:$A,CS!$A:$AK,10,FALSE),"")</f>
      </c>
      <c r="H278" s="79">
        <f>IFERROR(VLOOKUP($A:$A,CS!$A:$AK,14,FALSE),"")</f>
      </c>
      <c r="I278" s="79">
        <f>IFERROR(VLOOKUP($A:$A,CS!$A:$AK,15,FALSE),"")</f>
      </c>
      <c r="J278" s="79">
        <f>IFERROR(VLOOKUP($A:$A,CS!$A:$AK,18,FALSE),"")</f>
      </c>
      <c r="K278" s="79">
        <f>IFERROR(VLOOKUP($A:$A,CS!$A:$AK,19,FALSE),"")</f>
      </c>
      <c r="L278" s="79">
        <f>IFERROR(VLOOKUP($A:$A,CS!$A:$AK,20,FALSE),"")</f>
      </c>
      <c r="M278" s="79">
        <f>IFERROR(VLOOKUP($A:$A,CS!$A:$AK,22,FALSE),"")</f>
      </c>
      <c r="N278" s="79">
        <f>IFERROR(VLOOKUP($A:$A,CS!$A:$AK,19,FALSE),"")</f>
      </c>
      <c r="O278" s="79">
        <f>IFERROR(VLOOKUP($A:$A,CS!$A:$AK,23,FALSE),"")</f>
      </c>
      <c r="P278" s="79">
        <f>IFERROR(VLOOKUP($A:$A,CS!$A:$AK,24,FALSE),"")</f>
      </c>
      <c r="Q278" s="79">
        <f>IFERROR(VLOOKUP($A:$A,CS!$A:$AK,25,FALSE),"")</f>
      </c>
      <c r="R278" s="79">
        <f>IFERROR(VLOOKUP($A:$A,CS!$A:$AK,26,FALSE),"")</f>
      </c>
      <c r="S278" s="79">
        <f>IFERROR(VLOOKUP($A:$A,CS!$A:$AK,29,FALSE),"")</f>
      </c>
      <c r="T278" s="79">
        <f>IFERROR(VLOOKUP($A:$A,CS!$A:$AK,33,FALSE),"")</f>
      </c>
      <c r="U278" s="79">
        <f>IFERROR(VLOOKUP($A:$A,CS!$A:$AK,34,FALSE),"")</f>
      </c>
      <c r="V278" s="79">
        <f>IFERROR(VLOOKUP($A:$A,CS!$A:$AK,35,FALSE),"")</f>
      </c>
      <c r="W278" s="79">
        <f>IFERROR(VLOOKUP($A:$A,CS!$A:$AK,36,FALSE),"")</f>
      </c>
    </row>
    <row r="279" ht="16.5" customHeight="1" spans="1:23" x14ac:dyDescent="0.25">
      <c r="A279" s="93"/>
      <c r="B279" s="79">
        <f>IFERROR(VLOOKUP($A:$A,CS!$A:$AK,3,FALSE),"")</f>
      </c>
      <c r="C279" s="79">
        <f>IFERROR(VLOOKUP($A:$A,CS!$A:$AK,4,FALSE),"")</f>
      </c>
      <c r="D279" s="79">
        <f>IFERROR(VLOOKUP($A:$A,CS!$A:$AK,5,FALSE),"")</f>
      </c>
      <c r="E279" s="79">
        <f>IFERROR(VLOOKUP($A:$A,CS!$A:$AK,7,FALSE),"")</f>
      </c>
      <c r="F279" s="79">
        <f>IFERROR(VLOOKUP($A:$A,CS!$A:$AK,8,FALSE),"")</f>
      </c>
      <c r="G279" s="79">
        <f>IFERROR(VLOOKUP($A:$A,CS!$A:$AK,10,FALSE),"")</f>
      </c>
      <c r="H279" s="79">
        <f>IFERROR(VLOOKUP($A:$A,CS!$A:$AK,14,FALSE),"")</f>
      </c>
      <c r="I279" s="79">
        <f>IFERROR(VLOOKUP($A:$A,CS!$A:$AK,15,FALSE),"")</f>
      </c>
      <c r="J279" s="79">
        <f>IFERROR(VLOOKUP($A:$A,CS!$A:$AK,18,FALSE),"")</f>
      </c>
      <c r="K279" s="79">
        <f>IFERROR(VLOOKUP($A:$A,CS!$A:$AK,19,FALSE),"")</f>
      </c>
      <c r="L279" s="79">
        <f>IFERROR(VLOOKUP($A:$A,CS!$A:$AK,20,FALSE),"")</f>
      </c>
      <c r="M279" s="79">
        <f>IFERROR(VLOOKUP($A:$A,CS!$A:$AK,22,FALSE),"")</f>
      </c>
      <c r="N279" s="79">
        <f>IFERROR(VLOOKUP($A:$A,CS!$A:$AK,19,FALSE),"")</f>
      </c>
      <c r="O279" s="79">
        <f>IFERROR(VLOOKUP($A:$A,CS!$A:$AK,23,FALSE),"")</f>
      </c>
      <c r="P279" s="79">
        <f>IFERROR(VLOOKUP($A:$A,CS!$A:$AK,24,FALSE),"")</f>
      </c>
      <c r="Q279" s="79">
        <f>IFERROR(VLOOKUP($A:$A,CS!$A:$AK,25,FALSE),"")</f>
      </c>
      <c r="R279" s="79">
        <f>IFERROR(VLOOKUP($A:$A,CS!$A:$AK,26,FALSE),"")</f>
      </c>
      <c r="S279" s="79">
        <f>IFERROR(VLOOKUP($A:$A,CS!$A:$AK,29,FALSE),"")</f>
      </c>
      <c r="T279" s="79">
        <f>IFERROR(VLOOKUP($A:$A,CS!$A:$AK,33,FALSE),"")</f>
      </c>
      <c r="U279" s="79">
        <f>IFERROR(VLOOKUP($A:$A,CS!$A:$AK,34,FALSE),"")</f>
      </c>
      <c r="V279" s="79">
        <f>IFERROR(VLOOKUP($A:$A,CS!$A:$AK,35,FALSE),"")</f>
      </c>
      <c r="W279" s="79">
        <f>IFERROR(VLOOKUP($A:$A,CS!$A:$AK,36,FALSE),"")</f>
      </c>
    </row>
    <row r="280" ht="16.5" customHeight="1" spans="1:23" x14ac:dyDescent="0.25">
      <c r="A280" s="93"/>
      <c r="B280" s="79">
        <f>IFERROR(VLOOKUP($A:$A,CS!$A:$AK,3,FALSE),"")</f>
      </c>
      <c r="C280" s="79">
        <f>IFERROR(VLOOKUP($A:$A,CS!$A:$AK,4,FALSE),"")</f>
      </c>
      <c r="D280" s="79">
        <f>IFERROR(VLOOKUP($A:$A,CS!$A:$AK,5,FALSE),"")</f>
      </c>
      <c r="E280" s="79">
        <f>IFERROR(VLOOKUP($A:$A,CS!$A:$AK,7,FALSE),"")</f>
      </c>
      <c r="F280" s="79">
        <f>IFERROR(VLOOKUP($A:$A,CS!$A:$AK,8,FALSE),"")</f>
      </c>
      <c r="G280" s="79">
        <f>IFERROR(VLOOKUP($A:$A,CS!$A:$AK,10,FALSE),"")</f>
      </c>
      <c r="H280" s="79">
        <f>IFERROR(VLOOKUP($A:$A,CS!$A:$AK,14,FALSE),"")</f>
      </c>
      <c r="I280" s="79">
        <f>IFERROR(VLOOKUP($A:$A,CS!$A:$AK,15,FALSE),"")</f>
      </c>
      <c r="J280" s="79">
        <f>IFERROR(VLOOKUP($A:$A,CS!$A:$AK,18,FALSE),"")</f>
      </c>
      <c r="K280" s="79">
        <f>IFERROR(VLOOKUP($A:$A,CS!$A:$AK,19,FALSE),"")</f>
      </c>
      <c r="L280" s="79">
        <f>IFERROR(VLOOKUP($A:$A,CS!$A:$AK,20,FALSE),"")</f>
      </c>
      <c r="M280" s="79">
        <f>IFERROR(VLOOKUP($A:$A,CS!$A:$AK,22,FALSE),"")</f>
      </c>
      <c r="N280" s="79">
        <f>IFERROR(VLOOKUP($A:$A,CS!$A:$AK,19,FALSE),"")</f>
      </c>
      <c r="O280" s="79">
        <f>IFERROR(VLOOKUP($A:$A,CS!$A:$AK,23,FALSE),"")</f>
      </c>
      <c r="P280" s="79">
        <f>IFERROR(VLOOKUP($A:$A,CS!$A:$AK,24,FALSE),"")</f>
      </c>
      <c r="Q280" s="79">
        <f>IFERROR(VLOOKUP($A:$A,CS!$A:$AK,25,FALSE),"")</f>
      </c>
      <c r="R280" s="79">
        <f>IFERROR(VLOOKUP($A:$A,CS!$A:$AK,26,FALSE),"")</f>
      </c>
      <c r="S280" s="79">
        <f>IFERROR(VLOOKUP($A:$A,CS!$A:$AK,29,FALSE),"")</f>
      </c>
      <c r="T280" s="79">
        <f>IFERROR(VLOOKUP($A:$A,CS!$A:$AK,33,FALSE),"")</f>
      </c>
      <c r="U280" s="79">
        <f>IFERROR(VLOOKUP($A:$A,CS!$A:$AK,34,FALSE),"")</f>
      </c>
      <c r="V280" s="79">
        <f>IFERROR(VLOOKUP($A:$A,CS!$A:$AK,35,FALSE),"")</f>
      </c>
      <c r="W280" s="79">
        <f>IFERROR(VLOOKUP($A:$A,CS!$A:$AK,36,FALSE),"")</f>
      </c>
    </row>
    <row r="281" ht="16.5" customHeight="1" spans="1:23" x14ac:dyDescent="0.25">
      <c r="A281" s="93"/>
      <c r="B281" s="79">
        <f>IFERROR(VLOOKUP($A:$A,CS!$A:$AK,3,FALSE),"")</f>
      </c>
      <c r="C281" s="79">
        <f>IFERROR(VLOOKUP($A:$A,CS!$A:$AK,4,FALSE),"")</f>
      </c>
      <c r="D281" s="79">
        <f>IFERROR(VLOOKUP($A:$A,CS!$A:$AK,5,FALSE),"")</f>
      </c>
      <c r="E281" s="79">
        <f>IFERROR(VLOOKUP($A:$A,CS!$A:$AK,7,FALSE),"")</f>
      </c>
      <c r="F281" s="79">
        <f>IFERROR(VLOOKUP($A:$A,CS!$A:$AK,8,FALSE),"")</f>
      </c>
      <c r="G281" s="79">
        <f>IFERROR(VLOOKUP($A:$A,CS!$A:$AK,10,FALSE),"")</f>
      </c>
      <c r="H281" s="79">
        <f>IFERROR(VLOOKUP($A:$A,CS!$A:$AK,14,FALSE),"")</f>
      </c>
      <c r="I281" s="79">
        <f>IFERROR(VLOOKUP($A:$A,CS!$A:$AK,15,FALSE),"")</f>
      </c>
      <c r="J281" s="79">
        <f>IFERROR(VLOOKUP($A:$A,CS!$A:$AK,18,FALSE),"")</f>
      </c>
      <c r="K281" s="79">
        <f>IFERROR(VLOOKUP($A:$A,CS!$A:$AK,19,FALSE),"")</f>
      </c>
      <c r="L281" s="79">
        <f>IFERROR(VLOOKUP($A:$A,CS!$A:$AK,20,FALSE),"")</f>
      </c>
      <c r="M281" s="79">
        <f>IFERROR(VLOOKUP($A:$A,CS!$A:$AK,22,FALSE),"")</f>
      </c>
      <c r="N281" s="79">
        <f>IFERROR(VLOOKUP($A:$A,CS!$A:$AK,19,FALSE),"")</f>
      </c>
      <c r="O281" s="79">
        <f>IFERROR(VLOOKUP($A:$A,CS!$A:$AK,23,FALSE),"")</f>
      </c>
      <c r="P281" s="79">
        <f>IFERROR(VLOOKUP($A:$A,CS!$A:$AK,24,FALSE),"")</f>
      </c>
      <c r="Q281" s="79">
        <f>IFERROR(VLOOKUP($A:$A,CS!$A:$AK,25,FALSE),"")</f>
      </c>
      <c r="R281" s="79">
        <f>IFERROR(VLOOKUP($A:$A,CS!$A:$AK,26,FALSE),"")</f>
      </c>
      <c r="S281" s="79">
        <f>IFERROR(VLOOKUP($A:$A,CS!$A:$AK,29,FALSE),"")</f>
      </c>
      <c r="T281" s="79">
        <f>IFERROR(VLOOKUP($A:$A,CS!$A:$AK,33,FALSE),"")</f>
      </c>
      <c r="U281" s="79">
        <f>IFERROR(VLOOKUP($A:$A,CS!$A:$AK,34,FALSE),"")</f>
      </c>
      <c r="V281" s="79">
        <f>IFERROR(VLOOKUP($A:$A,CS!$A:$AK,35,FALSE),"")</f>
      </c>
      <c r="W281" s="79">
        <f>IFERROR(VLOOKUP($A:$A,CS!$A:$AK,36,FALSE),"")</f>
      </c>
    </row>
    <row r="282" ht="16.5" customHeight="1" spans="1:23" x14ac:dyDescent="0.25">
      <c r="A282" s="93"/>
      <c r="B282" s="79">
        <f>IFERROR(VLOOKUP($A:$A,CS!$A:$AK,3,FALSE),"")</f>
      </c>
      <c r="C282" s="79">
        <f>IFERROR(VLOOKUP($A:$A,CS!$A:$AK,4,FALSE),"")</f>
      </c>
      <c r="D282" s="79">
        <f>IFERROR(VLOOKUP($A:$A,CS!$A:$AK,5,FALSE),"")</f>
      </c>
      <c r="E282" s="79">
        <f>IFERROR(VLOOKUP($A:$A,CS!$A:$AK,7,FALSE),"")</f>
      </c>
      <c r="F282" s="79">
        <f>IFERROR(VLOOKUP($A:$A,CS!$A:$AK,8,FALSE),"")</f>
      </c>
      <c r="G282" s="79">
        <f>IFERROR(VLOOKUP($A:$A,CS!$A:$AK,10,FALSE),"")</f>
      </c>
      <c r="H282" s="79">
        <f>IFERROR(VLOOKUP($A:$A,CS!$A:$AK,14,FALSE),"")</f>
      </c>
      <c r="I282" s="79">
        <f>IFERROR(VLOOKUP($A:$A,CS!$A:$AK,15,FALSE),"")</f>
      </c>
      <c r="J282" s="79">
        <f>IFERROR(VLOOKUP($A:$A,CS!$A:$AK,18,FALSE),"")</f>
      </c>
      <c r="K282" s="79">
        <f>IFERROR(VLOOKUP($A:$A,CS!$A:$AK,19,FALSE),"")</f>
      </c>
      <c r="L282" s="79">
        <f>IFERROR(VLOOKUP($A:$A,CS!$A:$AK,20,FALSE),"")</f>
      </c>
      <c r="M282" s="79">
        <f>IFERROR(VLOOKUP($A:$A,CS!$A:$AK,22,FALSE),"")</f>
      </c>
      <c r="N282" s="79">
        <f>IFERROR(VLOOKUP($A:$A,CS!$A:$AK,19,FALSE),"")</f>
      </c>
      <c r="O282" s="79">
        <f>IFERROR(VLOOKUP($A:$A,CS!$A:$AK,23,FALSE),"")</f>
      </c>
      <c r="P282" s="79">
        <f>IFERROR(VLOOKUP($A:$A,CS!$A:$AK,24,FALSE),"")</f>
      </c>
      <c r="Q282" s="79">
        <f>IFERROR(VLOOKUP($A:$A,CS!$A:$AK,25,FALSE),"")</f>
      </c>
      <c r="R282" s="79">
        <f>IFERROR(VLOOKUP($A:$A,CS!$A:$AK,26,FALSE),"")</f>
      </c>
      <c r="S282" s="79">
        <f>IFERROR(VLOOKUP($A:$A,CS!$A:$AK,29,FALSE),"")</f>
      </c>
      <c r="T282" s="79">
        <f>IFERROR(VLOOKUP($A:$A,CS!$A:$AK,33,FALSE),"")</f>
      </c>
      <c r="U282" s="79">
        <f>IFERROR(VLOOKUP($A:$A,CS!$A:$AK,34,FALSE),"")</f>
      </c>
      <c r="V282" s="79">
        <f>IFERROR(VLOOKUP($A:$A,CS!$A:$AK,35,FALSE),"")</f>
      </c>
      <c r="W282" s="79">
        <f>IFERROR(VLOOKUP($A:$A,CS!$A:$AK,36,FALSE),"")</f>
      </c>
    </row>
    <row r="283" ht="16.5" customHeight="1" spans="1:23" x14ac:dyDescent="0.25">
      <c r="A283" s="93"/>
      <c r="B283" s="79">
        <f>IFERROR(VLOOKUP($A:$A,CS!$A:$AK,3,FALSE),"")</f>
      </c>
      <c r="C283" s="79">
        <f>IFERROR(VLOOKUP($A:$A,CS!$A:$AK,4,FALSE),"")</f>
      </c>
      <c r="D283" s="79">
        <f>IFERROR(VLOOKUP($A:$A,CS!$A:$AK,5,FALSE),"")</f>
      </c>
      <c r="E283" s="79">
        <f>IFERROR(VLOOKUP($A:$A,CS!$A:$AK,7,FALSE),"")</f>
      </c>
      <c r="F283" s="79">
        <f>IFERROR(VLOOKUP($A:$A,CS!$A:$AK,8,FALSE),"")</f>
      </c>
      <c r="G283" s="79">
        <f>IFERROR(VLOOKUP($A:$A,CS!$A:$AK,10,FALSE),"")</f>
      </c>
      <c r="H283" s="79">
        <f>IFERROR(VLOOKUP($A:$A,CS!$A:$AK,14,FALSE),"")</f>
      </c>
      <c r="I283" s="79">
        <f>IFERROR(VLOOKUP($A:$A,CS!$A:$AK,15,FALSE),"")</f>
      </c>
      <c r="J283" s="79">
        <f>IFERROR(VLOOKUP($A:$A,CS!$A:$AK,18,FALSE),"")</f>
      </c>
      <c r="K283" s="79">
        <f>IFERROR(VLOOKUP($A:$A,CS!$A:$AK,19,FALSE),"")</f>
      </c>
      <c r="L283" s="79">
        <f>IFERROR(VLOOKUP($A:$A,CS!$A:$AK,20,FALSE),"")</f>
      </c>
      <c r="M283" s="79">
        <f>IFERROR(VLOOKUP($A:$A,CS!$A:$AK,22,FALSE),"")</f>
      </c>
      <c r="N283" s="79">
        <f>IFERROR(VLOOKUP($A:$A,CS!$A:$AK,19,FALSE),"")</f>
      </c>
      <c r="O283" s="79">
        <f>IFERROR(VLOOKUP($A:$A,CS!$A:$AK,23,FALSE),"")</f>
      </c>
      <c r="P283" s="79">
        <f>IFERROR(VLOOKUP($A:$A,CS!$A:$AK,24,FALSE),"")</f>
      </c>
      <c r="Q283" s="79">
        <f>IFERROR(VLOOKUP($A:$A,CS!$A:$AK,25,FALSE),"")</f>
      </c>
      <c r="R283" s="79">
        <f>IFERROR(VLOOKUP($A:$A,CS!$A:$AK,26,FALSE),"")</f>
      </c>
      <c r="S283" s="79">
        <f>IFERROR(VLOOKUP($A:$A,CS!$A:$AK,29,FALSE),"")</f>
      </c>
      <c r="T283" s="79">
        <f>IFERROR(VLOOKUP($A:$A,CS!$A:$AK,33,FALSE),"")</f>
      </c>
      <c r="U283" s="79">
        <f>IFERROR(VLOOKUP($A:$A,CS!$A:$AK,34,FALSE),"")</f>
      </c>
      <c r="V283" s="79">
        <f>IFERROR(VLOOKUP($A:$A,CS!$A:$AK,35,FALSE),"")</f>
      </c>
      <c r="W283" s="79">
        <f>IFERROR(VLOOKUP($A:$A,CS!$A:$AK,36,FALSE),"")</f>
      </c>
    </row>
    <row r="284" ht="16.5" customHeight="1" spans="1:23" x14ac:dyDescent="0.25">
      <c r="A284" s="93"/>
      <c r="B284" s="79">
        <f>IFERROR(VLOOKUP($A:$A,CS!$A:$AK,3,FALSE),"")</f>
      </c>
      <c r="C284" s="79">
        <f>IFERROR(VLOOKUP($A:$A,CS!$A:$AK,4,FALSE),"")</f>
      </c>
      <c r="D284" s="79">
        <f>IFERROR(VLOOKUP($A:$A,CS!$A:$AK,5,FALSE),"")</f>
      </c>
      <c r="E284" s="79">
        <f>IFERROR(VLOOKUP($A:$A,CS!$A:$AK,7,FALSE),"")</f>
      </c>
      <c r="F284" s="79">
        <f>IFERROR(VLOOKUP($A:$A,CS!$A:$AK,8,FALSE),"")</f>
      </c>
      <c r="G284" s="79">
        <f>IFERROR(VLOOKUP($A:$A,CS!$A:$AK,10,FALSE),"")</f>
      </c>
      <c r="H284" s="79">
        <f>IFERROR(VLOOKUP($A:$A,CS!$A:$AK,14,FALSE),"")</f>
      </c>
      <c r="I284" s="79">
        <f>IFERROR(VLOOKUP($A:$A,CS!$A:$AK,15,FALSE),"")</f>
      </c>
      <c r="J284" s="79">
        <f>IFERROR(VLOOKUP($A:$A,CS!$A:$AK,18,FALSE),"")</f>
      </c>
      <c r="K284" s="79">
        <f>IFERROR(VLOOKUP($A:$A,CS!$A:$AK,19,FALSE),"")</f>
      </c>
      <c r="L284" s="79">
        <f>IFERROR(VLOOKUP($A:$A,CS!$A:$AK,20,FALSE),"")</f>
      </c>
      <c r="M284" s="79">
        <f>IFERROR(VLOOKUP($A:$A,CS!$A:$AK,22,FALSE),"")</f>
      </c>
      <c r="N284" s="79">
        <f>IFERROR(VLOOKUP($A:$A,CS!$A:$AK,19,FALSE),"")</f>
      </c>
      <c r="O284" s="79">
        <f>IFERROR(VLOOKUP($A:$A,CS!$A:$AK,23,FALSE),"")</f>
      </c>
      <c r="P284" s="79">
        <f>IFERROR(VLOOKUP($A:$A,CS!$A:$AK,24,FALSE),"")</f>
      </c>
      <c r="Q284" s="79">
        <f>IFERROR(VLOOKUP($A:$A,CS!$A:$AK,25,FALSE),"")</f>
      </c>
      <c r="R284" s="79">
        <f>IFERROR(VLOOKUP($A:$A,CS!$A:$AK,26,FALSE),"")</f>
      </c>
      <c r="S284" s="79">
        <f>IFERROR(VLOOKUP($A:$A,CS!$A:$AK,29,FALSE),"")</f>
      </c>
      <c r="T284" s="79">
        <f>IFERROR(VLOOKUP($A:$A,CS!$A:$AK,33,FALSE),"")</f>
      </c>
      <c r="U284" s="79">
        <f>IFERROR(VLOOKUP($A:$A,CS!$A:$AK,34,FALSE),"")</f>
      </c>
      <c r="V284" s="79">
        <f>IFERROR(VLOOKUP($A:$A,CS!$A:$AK,35,FALSE),"")</f>
      </c>
      <c r="W284" s="79">
        <f>IFERROR(VLOOKUP($A:$A,CS!$A:$AK,36,FALSE),"")</f>
      </c>
    </row>
    <row r="285" ht="16.5" customHeight="1" spans="1:23" x14ac:dyDescent="0.25">
      <c r="A285" s="93"/>
      <c r="B285" s="79">
        <f>IFERROR(VLOOKUP($A:$A,CS!$A:$AK,3,FALSE),"")</f>
      </c>
      <c r="C285" s="79">
        <f>IFERROR(VLOOKUP($A:$A,CS!$A:$AK,4,FALSE),"")</f>
      </c>
      <c r="D285" s="79">
        <f>IFERROR(VLOOKUP($A:$A,CS!$A:$AK,5,FALSE),"")</f>
      </c>
      <c r="E285" s="79">
        <f>IFERROR(VLOOKUP($A:$A,CS!$A:$AK,7,FALSE),"")</f>
      </c>
      <c r="F285" s="79">
        <f>IFERROR(VLOOKUP($A:$A,CS!$A:$AK,8,FALSE),"")</f>
      </c>
      <c r="G285" s="79">
        <f>IFERROR(VLOOKUP($A:$A,CS!$A:$AK,10,FALSE),"")</f>
      </c>
      <c r="H285" s="79">
        <f>IFERROR(VLOOKUP($A:$A,CS!$A:$AK,14,FALSE),"")</f>
      </c>
      <c r="I285" s="79">
        <f>IFERROR(VLOOKUP($A:$A,CS!$A:$AK,15,FALSE),"")</f>
      </c>
      <c r="J285" s="79">
        <f>IFERROR(VLOOKUP($A:$A,CS!$A:$AK,18,FALSE),"")</f>
      </c>
      <c r="K285" s="79">
        <f>IFERROR(VLOOKUP($A:$A,CS!$A:$AK,19,FALSE),"")</f>
      </c>
      <c r="L285" s="79">
        <f>IFERROR(VLOOKUP($A:$A,CS!$A:$AK,20,FALSE),"")</f>
      </c>
      <c r="M285" s="79">
        <f>IFERROR(VLOOKUP($A:$A,CS!$A:$AK,22,FALSE),"")</f>
      </c>
      <c r="N285" s="79">
        <f>IFERROR(VLOOKUP($A:$A,CS!$A:$AK,19,FALSE),"")</f>
      </c>
      <c r="O285" s="79">
        <f>IFERROR(VLOOKUP($A:$A,CS!$A:$AK,23,FALSE),"")</f>
      </c>
      <c r="P285" s="79">
        <f>IFERROR(VLOOKUP($A:$A,CS!$A:$AK,24,FALSE),"")</f>
      </c>
      <c r="Q285" s="79">
        <f>IFERROR(VLOOKUP($A:$A,CS!$A:$AK,25,FALSE),"")</f>
      </c>
      <c r="R285" s="79">
        <f>IFERROR(VLOOKUP($A:$A,CS!$A:$AK,26,FALSE),"")</f>
      </c>
      <c r="S285" s="79">
        <f>IFERROR(VLOOKUP($A:$A,CS!$A:$AK,29,FALSE),"")</f>
      </c>
      <c r="T285" s="79">
        <f>IFERROR(VLOOKUP($A:$A,CS!$A:$AK,33,FALSE),"")</f>
      </c>
      <c r="U285" s="79">
        <f>IFERROR(VLOOKUP($A:$A,CS!$A:$AK,34,FALSE),"")</f>
      </c>
      <c r="V285" s="79">
        <f>IFERROR(VLOOKUP($A:$A,CS!$A:$AK,35,FALSE),"")</f>
      </c>
      <c r="W285" s="79">
        <f>IFERROR(VLOOKUP($A:$A,CS!$A:$AK,36,FALSE),"")</f>
      </c>
    </row>
    <row r="286" ht="16.5" customHeight="1" spans="1:23" x14ac:dyDescent="0.25">
      <c r="A286" s="93"/>
      <c r="B286" s="79">
        <f>IFERROR(VLOOKUP($A:$A,CS!$A:$AK,3,FALSE),"")</f>
      </c>
      <c r="C286" s="79">
        <f>IFERROR(VLOOKUP($A:$A,CS!$A:$AK,4,FALSE),"")</f>
      </c>
      <c r="D286" s="79">
        <f>IFERROR(VLOOKUP($A:$A,CS!$A:$AK,5,FALSE),"")</f>
      </c>
      <c r="E286" s="79">
        <f>IFERROR(VLOOKUP($A:$A,CS!$A:$AK,7,FALSE),"")</f>
      </c>
      <c r="F286" s="79">
        <f>IFERROR(VLOOKUP($A:$A,CS!$A:$AK,8,FALSE),"")</f>
      </c>
      <c r="G286" s="79">
        <f>IFERROR(VLOOKUP($A:$A,CS!$A:$AK,10,FALSE),"")</f>
      </c>
      <c r="H286" s="79">
        <f>IFERROR(VLOOKUP($A:$A,CS!$A:$AK,14,FALSE),"")</f>
      </c>
      <c r="I286" s="79">
        <f>IFERROR(VLOOKUP($A:$A,CS!$A:$AK,15,FALSE),"")</f>
      </c>
      <c r="J286" s="79">
        <f>IFERROR(VLOOKUP($A:$A,CS!$A:$AK,18,FALSE),"")</f>
      </c>
      <c r="K286" s="79">
        <f>IFERROR(VLOOKUP($A:$A,CS!$A:$AK,19,FALSE),"")</f>
      </c>
      <c r="L286" s="79">
        <f>IFERROR(VLOOKUP($A:$A,CS!$A:$AK,20,FALSE),"")</f>
      </c>
      <c r="M286" s="79">
        <f>IFERROR(VLOOKUP($A:$A,CS!$A:$AK,22,FALSE),"")</f>
      </c>
      <c r="N286" s="79">
        <f>IFERROR(VLOOKUP($A:$A,CS!$A:$AK,19,FALSE),"")</f>
      </c>
      <c r="O286" s="79">
        <f>IFERROR(VLOOKUP($A:$A,CS!$A:$AK,23,FALSE),"")</f>
      </c>
      <c r="P286" s="79">
        <f>IFERROR(VLOOKUP($A:$A,CS!$A:$AK,24,FALSE),"")</f>
      </c>
      <c r="Q286" s="79">
        <f>IFERROR(VLOOKUP($A:$A,CS!$A:$AK,25,FALSE),"")</f>
      </c>
      <c r="R286" s="79">
        <f>IFERROR(VLOOKUP($A:$A,CS!$A:$AK,26,FALSE),"")</f>
      </c>
      <c r="S286" s="79">
        <f>IFERROR(VLOOKUP($A:$A,CS!$A:$AK,29,FALSE),"")</f>
      </c>
      <c r="T286" s="79">
        <f>IFERROR(VLOOKUP($A:$A,CS!$A:$AK,33,FALSE),"")</f>
      </c>
      <c r="U286" s="79">
        <f>IFERROR(VLOOKUP($A:$A,CS!$A:$AK,34,FALSE),"")</f>
      </c>
      <c r="V286" s="79">
        <f>IFERROR(VLOOKUP($A:$A,CS!$A:$AK,35,FALSE),"")</f>
      </c>
      <c r="W286" s="79">
        <f>IFERROR(VLOOKUP($A:$A,CS!$A:$AK,36,FALSE),"")</f>
      </c>
    </row>
    <row r="287" ht="16.5" customHeight="1" spans="1:23" x14ac:dyDescent="0.25">
      <c r="A287" s="93"/>
      <c r="B287" s="79">
        <f>IFERROR(VLOOKUP($A:$A,CS!$A:$AK,3,FALSE),"")</f>
      </c>
      <c r="C287" s="79">
        <f>IFERROR(VLOOKUP($A:$A,CS!$A:$AK,4,FALSE),"")</f>
      </c>
      <c r="D287" s="79">
        <f>IFERROR(VLOOKUP($A:$A,CS!$A:$AK,5,FALSE),"")</f>
      </c>
      <c r="E287" s="79">
        <f>IFERROR(VLOOKUP($A:$A,CS!$A:$AK,7,FALSE),"")</f>
      </c>
      <c r="F287" s="79">
        <f>IFERROR(VLOOKUP($A:$A,CS!$A:$AK,8,FALSE),"")</f>
      </c>
      <c r="G287" s="79">
        <f>IFERROR(VLOOKUP($A:$A,CS!$A:$AK,10,FALSE),"")</f>
      </c>
      <c r="H287" s="79">
        <f>IFERROR(VLOOKUP($A:$A,CS!$A:$AK,14,FALSE),"")</f>
      </c>
      <c r="I287" s="79">
        <f>IFERROR(VLOOKUP($A:$A,CS!$A:$AK,15,FALSE),"")</f>
      </c>
      <c r="J287" s="79">
        <f>IFERROR(VLOOKUP($A:$A,CS!$A:$AK,18,FALSE),"")</f>
      </c>
      <c r="K287" s="79">
        <f>IFERROR(VLOOKUP($A:$A,CS!$A:$AK,19,FALSE),"")</f>
      </c>
      <c r="L287" s="79">
        <f>IFERROR(VLOOKUP($A:$A,CS!$A:$AK,20,FALSE),"")</f>
      </c>
      <c r="M287" s="79">
        <f>IFERROR(VLOOKUP($A:$A,CS!$A:$AK,22,FALSE),"")</f>
      </c>
      <c r="N287" s="79">
        <f>IFERROR(VLOOKUP($A:$A,CS!$A:$AK,19,FALSE),"")</f>
      </c>
      <c r="O287" s="79">
        <f>IFERROR(VLOOKUP($A:$A,CS!$A:$AK,23,FALSE),"")</f>
      </c>
      <c r="P287" s="79">
        <f>IFERROR(VLOOKUP($A:$A,CS!$A:$AK,24,FALSE),"")</f>
      </c>
      <c r="Q287" s="79">
        <f>IFERROR(VLOOKUP($A:$A,CS!$A:$AK,25,FALSE),"")</f>
      </c>
      <c r="R287" s="79">
        <f>IFERROR(VLOOKUP($A:$A,CS!$A:$AK,26,FALSE),"")</f>
      </c>
      <c r="S287" s="79">
        <f>IFERROR(VLOOKUP($A:$A,CS!$A:$AK,29,FALSE),"")</f>
      </c>
      <c r="T287" s="79">
        <f>IFERROR(VLOOKUP($A:$A,CS!$A:$AK,33,FALSE),"")</f>
      </c>
      <c r="U287" s="79">
        <f>IFERROR(VLOOKUP($A:$A,CS!$A:$AK,34,FALSE),"")</f>
      </c>
      <c r="V287" s="79">
        <f>IFERROR(VLOOKUP($A:$A,CS!$A:$AK,35,FALSE),"")</f>
      </c>
      <c r="W287" s="79">
        <f>IFERROR(VLOOKUP($A:$A,CS!$A:$AK,36,FALSE),"")</f>
      </c>
    </row>
    <row r="288" ht="16.5" customHeight="1" spans="1:23" x14ac:dyDescent="0.25">
      <c r="A288" s="93"/>
      <c r="B288" s="79">
        <f>IFERROR(VLOOKUP($A:$A,CS!$A:$AK,3,FALSE),"")</f>
      </c>
      <c r="C288" s="79">
        <f>IFERROR(VLOOKUP($A:$A,CS!$A:$AK,4,FALSE),"")</f>
      </c>
      <c r="D288" s="79">
        <f>IFERROR(VLOOKUP($A:$A,CS!$A:$AK,5,FALSE),"")</f>
      </c>
      <c r="E288" s="79">
        <f>IFERROR(VLOOKUP($A:$A,CS!$A:$AK,7,FALSE),"")</f>
      </c>
      <c r="F288" s="79">
        <f>IFERROR(VLOOKUP($A:$A,CS!$A:$AK,8,FALSE),"")</f>
      </c>
      <c r="G288" s="79">
        <f>IFERROR(VLOOKUP($A:$A,CS!$A:$AK,10,FALSE),"")</f>
      </c>
      <c r="H288" s="79">
        <f>IFERROR(VLOOKUP($A:$A,CS!$A:$AK,14,FALSE),"")</f>
      </c>
      <c r="I288" s="79">
        <f>IFERROR(VLOOKUP($A:$A,CS!$A:$AK,15,FALSE),"")</f>
      </c>
      <c r="J288" s="79">
        <f>IFERROR(VLOOKUP($A:$A,CS!$A:$AK,18,FALSE),"")</f>
      </c>
      <c r="K288" s="79">
        <f>IFERROR(VLOOKUP($A:$A,CS!$A:$AK,19,FALSE),"")</f>
      </c>
      <c r="L288" s="79">
        <f>IFERROR(VLOOKUP($A:$A,CS!$A:$AK,20,FALSE),"")</f>
      </c>
      <c r="M288" s="79">
        <f>IFERROR(VLOOKUP($A:$A,CS!$A:$AK,22,FALSE),"")</f>
      </c>
      <c r="N288" s="79">
        <f>IFERROR(VLOOKUP($A:$A,CS!$A:$AK,19,FALSE),"")</f>
      </c>
      <c r="O288" s="79">
        <f>IFERROR(VLOOKUP($A:$A,CS!$A:$AK,23,FALSE),"")</f>
      </c>
      <c r="P288" s="79">
        <f>IFERROR(VLOOKUP($A:$A,CS!$A:$AK,24,FALSE),"")</f>
      </c>
      <c r="Q288" s="79">
        <f>IFERROR(VLOOKUP($A:$A,CS!$A:$AK,25,FALSE),"")</f>
      </c>
      <c r="R288" s="79">
        <f>IFERROR(VLOOKUP($A:$A,CS!$A:$AK,26,FALSE),"")</f>
      </c>
      <c r="S288" s="79">
        <f>IFERROR(VLOOKUP($A:$A,CS!$A:$AK,29,FALSE),"")</f>
      </c>
      <c r="T288" s="79">
        <f>IFERROR(VLOOKUP($A:$A,CS!$A:$AK,33,FALSE),"")</f>
      </c>
      <c r="U288" s="79">
        <f>IFERROR(VLOOKUP($A:$A,CS!$A:$AK,34,FALSE),"")</f>
      </c>
      <c r="V288" s="79">
        <f>IFERROR(VLOOKUP($A:$A,CS!$A:$AK,35,FALSE),"")</f>
      </c>
      <c r="W288" s="79">
        <f>IFERROR(VLOOKUP($A:$A,CS!$A:$AK,36,FALSE),"")</f>
      </c>
    </row>
    <row r="289" ht="16.5" customHeight="1" spans="1:23" x14ac:dyDescent="0.25">
      <c r="A289" s="93"/>
      <c r="B289" s="79">
        <f>IFERROR(VLOOKUP($A:$A,CS!$A:$AK,3,FALSE),"")</f>
      </c>
      <c r="C289" s="79">
        <f>IFERROR(VLOOKUP($A:$A,CS!$A:$AK,4,FALSE),"")</f>
      </c>
      <c r="D289" s="79">
        <f>IFERROR(VLOOKUP($A:$A,CS!$A:$AK,5,FALSE),"")</f>
      </c>
      <c r="E289" s="79">
        <f>IFERROR(VLOOKUP($A:$A,CS!$A:$AK,7,FALSE),"")</f>
      </c>
      <c r="F289" s="79">
        <f>IFERROR(VLOOKUP($A:$A,CS!$A:$AK,8,FALSE),"")</f>
      </c>
      <c r="G289" s="79">
        <f>IFERROR(VLOOKUP($A:$A,CS!$A:$AK,10,FALSE),"")</f>
      </c>
      <c r="H289" s="79">
        <f>IFERROR(VLOOKUP($A:$A,CS!$A:$AK,14,FALSE),"")</f>
      </c>
      <c r="I289" s="79">
        <f>IFERROR(VLOOKUP($A:$A,CS!$A:$AK,15,FALSE),"")</f>
      </c>
      <c r="J289" s="79">
        <f>IFERROR(VLOOKUP($A:$A,CS!$A:$AK,18,FALSE),"")</f>
      </c>
      <c r="K289" s="79">
        <f>IFERROR(VLOOKUP($A:$A,CS!$A:$AK,19,FALSE),"")</f>
      </c>
      <c r="L289" s="79">
        <f>IFERROR(VLOOKUP($A:$A,CS!$A:$AK,20,FALSE),"")</f>
      </c>
      <c r="M289" s="79">
        <f>IFERROR(VLOOKUP($A:$A,CS!$A:$AK,22,FALSE),"")</f>
      </c>
      <c r="N289" s="79">
        <f>IFERROR(VLOOKUP($A:$A,CS!$A:$AK,19,FALSE),"")</f>
      </c>
      <c r="O289" s="79">
        <f>IFERROR(VLOOKUP($A:$A,CS!$A:$AK,23,FALSE),"")</f>
      </c>
      <c r="P289" s="79">
        <f>IFERROR(VLOOKUP($A:$A,CS!$A:$AK,24,FALSE),"")</f>
      </c>
      <c r="Q289" s="79">
        <f>IFERROR(VLOOKUP($A:$A,CS!$A:$AK,25,FALSE),"")</f>
      </c>
      <c r="R289" s="79">
        <f>IFERROR(VLOOKUP($A:$A,CS!$A:$AK,26,FALSE),"")</f>
      </c>
      <c r="S289" s="79">
        <f>IFERROR(VLOOKUP($A:$A,CS!$A:$AK,29,FALSE),"")</f>
      </c>
      <c r="T289" s="79">
        <f>IFERROR(VLOOKUP($A:$A,CS!$A:$AK,33,FALSE),"")</f>
      </c>
      <c r="U289" s="79">
        <f>IFERROR(VLOOKUP($A:$A,CS!$A:$AK,34,FALSE),"")</f>
      </c>
      <c r="V289" s="79">
        <f>IFERROR(VLOOKUP($A:$A,CS!$A:$AK,35,FALSE),"")</f>
      </c>
      <c r="W289" s="79">
        <f>IFERROR(VLOOKUP($A:$A,CS!$A:$AK,36,FALSE),"")</f>
      </c>
    </row>
    <row r="290" ht="16.5" customHeight="1" spans="1:23" x14ac:dyDescent="0.25">
      <c r="A290" s="93"/>
      <c r="B290" s="79">
        <f>IFERROR(VLOOKUP($A:$A,CS!$A:$AK,3,FALSE),"")</f>
      </c>
      <c r="C290" s="79">
        <f>IFERROR(VLOOKUP($A:$A,CS!$A:$AK,4,FALSE),"")</f>
      </c>
      <c r="D290" s="79">
        <f>IFERROR(VLOOKUP($A:$A,CS!$A:$AK,5,FALSE),"")</f>
      </c>
      <c r="E290" s="79">
        <f>IFERROR(VLOOKUP($A:$A,CS!$A:$AK,7,FALSE),"")</f>
      </c>
      <c r="F290" s="79">
        <f>IFERROR(VLOOKUP($A:$A,CS!$A:$AK,8,FALSE),"")</f>
      </c>
      <c r="G290" s="79">
        <f>IFERROR(VLOOKUP($A:$A,CS!$A:$AK,10,FALSE),"")</f>
      </c>
      <c r="H290" s="79">
        <f>IFERROR(VLOOKUP($A:$A,CS!$A:$AK,14,FALSE),"")</f>
      </c>
      <c r="I290" s="79">
        <f>IFERROR(VLOOKUP($A:$A,CS!$A:$AK,15,FALSE),"")</f>
      </c>
      <c r="J290" s="79">
        <f>IFERROR(VLOOKUP($A:$A,CS!$A:$AK,18,FALSE),"")</f>
      </c>
      <c r="K290" s="79">
        <f>IFERROR(VLOOKUP($A:$A,CS!$A:$AK,19,FALSE),"")</f>
      </c>
      <c r="L290" s="79">
        <f>IFERROR(VLOOKUP($A:$A,CS!$A:$AK,20,FALSE),"")</f>
      </c>
      <c r="M290" s="79">
        <f>IFERROR(VLOOKUP($A:$A,CS!$A:$AK,22,FALSE),"")</f>
      </c>
      <c r="N290" s="79">
        <f>IFERROR(VLOOKUP($A:$A,CS!$A:$AK,19,FALSE),"")</f>
      </c>
      <c r="O290" s="79">
        <f>IFERROR(VLOOKUP($A:$A,CS!$A:$AK,23,FALSE),"")</f>
      </c>
      <c r="P290" s="79">
        <f>IFERROR(VLOOKUP($A:$A,CS!$A:$AK,24,FALSE),"")</f>
      </c>
      <c r="Q290" s="79">
        <f>IFERROR(VLOOKUP($A:$A,CS!$A:$AK,25,FALSE),"")</f>
      </c>
      <c r="R290" s="79">
        <f>IFERROR(VLOOKUP($A:$A,CS!$A:$AK,26,FALSE),"")</f>
      </c>
      <c r="S290" s="79">
        <f>IFERROR(VLOOKUP($A:$A,CS!$A:$AK,29,FALSE),"")</f>
      </c>
      <c r="T290" s="79">
        <f>IFERROR(VLOOKUP($A:$A,CS!$A:$AK,33,FALSE),"")</f>
      </c>
      <c r="U290" s="79">
        <f>IFERROR(VLOOKUP($A:$A,CS!$A:$AK,34,FALSE),"")</f>
      </c>
      <c r="V290" s="79">
        <f>IFERROR(VLOOKUP($A:$A,CS!$A:$AK,35,FALSE),"")</f>
      </c>
      <c r="W290" s="79">
        <f>IFERROR(VLOOKUP($A:$A,CS!$A:$AK,36,FALSE),"")</f>
      </c>
    </row>
    <row r="291" ht="16.5" customHeight="1" spans="1:23" x14ac:dyDescent="0.25">
      <c r="A291" s="93"/>
      <c r="B291" s="79">
        <f>IFERROR(VLOOKUP($A:$A,CS!$A:$AK,3,FALSE),"")</f>
      </c>
      <c r="C291" s="79">
        <f>IFERROR(VLOOKUP($A:$A,CS!$A:$AK,4,FALSE),"")</f>
      </c>
      <c r="D291" s="79">
        <f>IFERROR(VLOOKUP($A:$A,CS!$A:$AK,5,FALSE),"")</f>
      </c>
      <c r="E291" s="79">
        <f>IFERROR(VLOOKUP($A:$A,CS!$A:$AK,7,FALSE),"")</f>
      </c>
      <c r="F291" s="79">
        <f>IFERROR(VLOOKUP($A:$A,CS!$A:$AK,8,FALSE),"")</f>
      </c>
      <c r="G291" s="79">
        <f>IFERROR(VLOOKUP($A:$A,CS!$A:$AK,10,FALSE),"")</f>
      </c>
      <c r="H291" s="79">
        <f>IFERROR(VLOOKUP($A:$A,CS!$A:$AK,14,FALSE),"")</f>
      </c>
      <c r="I291" s="79">
        <f>IFERROR(VLOOKUP($A:$A,CS!$A:$AK,15,FALSE),"")</f>
      </c>
      <c r="J291" s="79">
        <f>IFERROR(VLOOKUP($A:$A,CS!$A:$AK,18,FALSE),"")</f>
      </c>
      <c r="K291" s="79">
        <f>IFERROR(VLOOKUP($A:$A,CS!$A:$AK,19,FALSE),"")</f>
      </c>
      <c r="L291" s="79">
        <f>IFERROR(VLOOKUP($A:$A,CS!$A:$AK,20,FALSE),"")</f>
      </c>
      <c r="M291" s="79">
        <f>IFERROR(VLOOKUP($A:$A,CS!$A:$AK,22,FALSE),"")</f>
      </c>
      <c r="N291" s="79">
        <f>IFERROR(VLOOKUP($A:$A,CS!$A:$AK,19,FALSE),"")</f>
      </c>
      <c r="O291" s="79">
        <f>IFERROR(VLOOKUP($A:$A,CS!$A:$AK,23,FALSE),"")</f>
      </c>
      <c r="P291" s="79">
        <f>IFERROR(VLOOKUP($A:$A,CS!$A:$AK,24,FALSE),"")</f>
      </c>
      <c r="Q291" s="79">
        <f>IFERROR(VLOOKUP($A:$A,CS!$A:$AK,25,FALSE),"")</f>
      </c>
      <c r="R291" s="79">
        <f>IFERROR(VLOOKUP($A:$A,CS!$A:$AK,26,FALSE),"")</f>
      </c>
      <c r="S291" s="79">
        <f>IFERROR(VLOOKUP($A:$A,CS!$A:$AK,29,FALSE),"")</f>
      </c>
      <c r="T291" s="79">
        <f>IFERROR(VLOOKUP($A:$A,CS!$A:$AK,33,FALSE),"")</f>
      </c>
      <c r="U291" s="79">
        <f>IFERROR(VLOOKUP($A:$A,CS!$A:$AK,34,FALSE),"")</f>
      </c>
      <c r="V291" s="79">
        <f>IFERROR(VLOOKUP($A:$A,CS!$A:$AK,35,FALSE),"")</f>
      </c>
      <c r="W291" s="79">
        <f>IFERROR(VLOOKUP($A:$A,CS!$A:$AK,36,FALSE),"")</f>
      </c>
    </row>
    <row r="292" ht="16.5" customHeight="1" spans="1:23" x14ac:dyDescent="0.25">
      <c r="A292" s="93"/>
      <c r="B292" s="79">
        <f>IFERROR(VLOOKUP($A:$A,CS!$A:$AK,3,FALSE),"")</f>
      </c>
      <c r="C292" s="79">
        <f>IFERROR(VLOOKUP($A:$A,CS!$A:$AK,4,FALSE),"")</f>
      </c>
      <c r="D292" s="79">
        <f>IFERROR(VLOOKUP($A:$A,CS!$A:$AK,5,FALSE),"")</f>
      </c>
      <c r="E292" s="79">
        <f>IFERROR(VLOOKUP($A:$A,CS!$A:$AK,7,FALSE),"")</f>
      </c>
      <c r="F292" s="79">
        <f>IFERROR(VLOOKUP($A:$A,CS!$A:$AK,8,FALSE),"")</f>
      </c>
      <c r="G292" s="79">
        <f>IFERROR(VLOOKUP($A:$A,CS!$A:$AK,10,FALSE),"")</f>
      </c>
      <c r="H292" s="79">
        <f>IFERROR(VLOOKUP($A:$A,CS!$A:$AK,14,FALSE),"")</f>
      </c>
      <c r="I292" s="79">
        <f>IFERROR(VLOOKUP($A:$A,CS!$A:$AK,15,FALSE),"")</f>
      </c>
      <c r="J292" s="79">
        <f>IFERROR(VLOOKUP($A:$A,CS!$A:$AK,18,FALSE),"")</f>
      </c>
      <c r="K292" s="79">
        <f>IFERROR(VLOOKUP($A:$A,CS!$A:$AK,19,FALSE),"")</f>
      </c>
      <c r="L292" s="79">
        <f>IFERROR(VLOOKUP($A:$A,CS!$A:$AK,20,FALSE),"")</f>
      </c>
      <c r="M292" s="79">
        <f>IFERROR(VLOOKUP($A:$A,CS!$A:$AK,22,FALSE),"")</f>
      </c>
      <c r="N292" s="79">
        <f>IFERROR(VLOOKUP($A:$A,CS!$A:$AK,19,FALSE),"")</f>
      </c>
      <c r="O292" s="79">
        <f>IFERROR(VLOOKUP($A:$A,CS!$A:$AK,23,FALSE),"")</f>
      </c>
      <c r="P292" s="79">
        <f>IFERROR(VLOOKUP($A:$A,CS!$A:$AK,24,FALSE),"")</f>
      </c>
      <c r="Q292" s="79">
        <f>IFERROR(VLOOKUP($A:$A,CS!$A:$AK,25,FALSE),"")</f>
      </c>
      <c r="R292" s="79">
        <f>IFERROR(VLOOKUP($A:$A,CS!$A:$AK,26,FALSE),"")</f>
      </c>
      <c r="S292" s="79">
        <f>IFERROR(VLOOKUP($A:$A,CS!$A:$AK,29,FALSE),"")</f>
      </c>
      <c r="T292" s="79">
        <f>IFERROR(VLOOKUP($A:$A,CS!$A:$AK,33,FALSE),"")</f>
      </c>
      <c r="U292" s="79">
        <f>IFERROR(VLOOKUP($A:$A,CS!$A:$AK,34,FALSE),"")</f>
      </c>
      <c r="V292" s="79">
        <f>IFERROR(VLOOKUP($A:$A,CS!$A:$AK,35,FALSE),"")</f>
      </c>
      <c r="W292" s="79">
        <f>IFERROR(VLOOKUP($A:$A,CS!$A:$AK,36,FALSE),"")</f>
      </c>
    </row>
    <row r="293" ht="16.5" customHeight="1" spans="1:23" x14ac:dyDescent="0.25">
      <c r="A293" s="93"/>
      <c r="B293" s="79">
        <f>IFERROR(VLOOKUP($A:$A,CS!$A:$AK,3,FALSE),"")</f>
      </c>
      <c r="C293" s="79">
        <f>IFERROR(VLOOKUP($A:$A,CS!$A:$AK,4,FALSE),"")</f>
      </c>
      <c r="D293" s="79">
        <f>IFERROR(VLOOKUP($A:$A,CS!$A:$AK,5,FALSE),"")</f>
      </c>
      <c r="E293" s="79">
        <f>IFERROR(VLOOKUP($A:$A,CS!$A:$AK,7,FALSE),"")</f>
      </c>
      <c r="F293" s="79">
        <f>IFERROR(VLOOKUP($A:$A,CS!$A:$AK,8,FALSE),"")</f>
      </c>
      <c r="G293" s="79">
        <f>IFERROR(VLOOKUP($A:$A,CS!$A:$AK,10,FALSE),"")</f>
      </c>
      <c r="H293" s="79">
        <f>IFERROR(VLOOKUP($A:$A,CS!$A:$AK,14,FALSE),"")</f>
      </c>
      <c r="I293" s="79">
        <f>IFERROR(VLOOKUP($A:$A,CS!$A:$AK,15,FALSE),"")</f>
      </c>
      <c r="J293" s="79">
        <f>IFERROR(VLOOKUP($A:$A,CS!$A:$AK,18,FALSE),"")</f>
      </c>
      <c r="K293" s="79">
        <f>IFERROR(VLOOKUP($A:$A,CS!$A:$AK,19,FALSE),"")</f>
      </c>
      <c r="L293" s="79">
        <f>IFERROR(VLOOKUP($A:$A,CS!$A:$AK,20,FALSE),"")</f>
      </c>
      <c r="M293" s="79">
        <f>IFERROR(VLOOKUP($A:$A,CS!$A:$AK,22,FALSE),"")</f>
      </c>
      <c r="N293" s="79">
        <f>IFERROR(VLOOKUP($A:$A,CS!$A:$AK,19,FALSE),"")</f>
      </c>
      <c r="O293" s="79">
        <f>IFERROR(VLOOKUP($A:$A,CS!$A:$AK,23,FALSE),"")</f>
      </c>
      <c r="P293" s="79">
        <f>IFERROR(VLOOKUP($A:$A,CS!$A:$AK,24,FALSE),"")</f>
      </c>
      <c r="Q293" s="79">
        <f>IFERROR(VLOOKUP($A:$A,CS!$A:$AK,25,FALSE),"")</f>
      </c>
      <c r="R293" s="79">
        <f>IFERROR(VLOOKUP($A:$A,CS!$A:$AK,26,FALSE),"")</f>
      </c>
      <c r="S293" s="79">
        <f>IFERROR(VLOOKUP($A:$A,CS!$A:$AK,29,FALSE),"")</f>
      </c>
      <c r="T293" s="79">
        <f>IFERROR(VLOOKUP($A:$A,CS!$A:$AK,33,FALSE),"")</f>
      </c>
      <c r="U293" s="79">
        <f>IFERROR(VLOOKUP($A:$A,CS!$A:$AK,34,FALSE),"")</f>
      </c>
      <c r="V293" s="79">
        <f>IFERROR(VLOOKUP($A:$A,CS!$A:$AK,35,FALSE),"")</f>
      </c>
      <c r="W293" s="79">
        <f>IFERROR(VLOOKUP($A:$A,CS!$A:$AK,36,FALSE),"")</f>
      </c>
    </row>
    <row r="294" ht="16.5" customHeight="1" spans="1:23" x14ac:dyDescent="0.25">
      <c r="A294" s="93"/>
      <c r="B294" s="79">
        <f>IFERROR(VLOOKUP($A:$A,CS!$A:$AK,3,FALSE),"")</f>
      </c>
      <c r="C294" s="79">
        <f>IFERROR(VLOOKUP($A:$A,CS!$A:$AK,4,FALSE),"")</f>
      </c>
      <c r="D294" s="79">
        <f>IFERROR(VLOOKUP($A:$A,CS!$A:$AK,5,FALSE),"")</f>
      </c>
      <c r="E294" s="79">
        <f>IFERROR(VLOOKUP($A:$A,CS!$A:$AK,7,FALSE),"")</f>
      </c>
      <c r="F294" s="79">
        <f>IFERROR(VLOOKUP($A:$A,CS!$A:$AK,8,FALSE),"")</f>
      </c>
      <c r="G294" s="79">
        <f>IFERROR(VLOOKUP($A:$A,CS!$A:$AK,10,FALSE),"")</f>
      </c>
      <c r="H294" s="79">
        <f>IFERROR(VLOOKUP($A:$A,CS!$A:$AK,14,FALSE),"")</f>
      </c>
      <c r="I294" s="79">
        <f>IFERROR(VLOOKUP($A:$A,CS!$A:$AK,15,FALSE),"")</f>
      </c>
      <c r="J294" s="79">
        <f>IFERROR(VLOOKUP($A:$A,CS!$A:$AK,18,FALSE),"")</f>
      </c>
      <c r="K294" s="79">
        <f>IFERROR(VLOOKUP($A:$A,CS!$A:$AK,19,FALSE),"")</f>
      </c>
      <c r="L294" s="79">
        <f>IFERROR(VLOOKUP($A:$A,CS!$A:$AK,20,FALSE),"")</f>
      </c>
      <c r="M294" s="79">
        <f>IFERROR(VLOOKUP($A:$A,CS!$A:$AK,22,FALSE),"")</f>
      </c>
      <c r="N294" s="79">
        <f>IFERROR(VLOOKUP($A:$A,CS!$A:$AK,19,FALSE),"")</f>
      </c>
      <c r="O294" s="79">
        <f>IFERROR(VLOOKUP($A:$A,CS!$A:$AK,23,FALSE),"")</f>
      </c>
      <c r="P294" s="79">
        <f>IFERROR(VLOOKUP($A:$A,CS!$A:$AK,24,FALSE),"")</f>
      </c>
      <c r="Q294" s="79">
        <f>IFERROR(VLOOKUP($A:$A,CS!$A:$AK,25,FALSE),"")</f>
      </c>
      <c r="R294" s="79">
        <f>IFERROR(VLOOKUP($A:$A,CS!$A:$AK,26,FALSE),"")</f>
      </c>
      <c r="S294" s="79">
        <f>IFERROR(VLOOKUP($A:$A,CS!$A:$AK,29,FALSE),"")</f>
      </c>
      <c r="T294" s="79">
        <f>IFERROR(VLOOKUP($A:$A,CS!$A:$AK,33,FALSE),"")</f>
      </c>
      <c r="U294" s="79">
        <f>IFERROR(VLOOKUP($A:$A,CS!$A:$AK,34,FALSE),"")</f>
      </c>
      <c r="V294" s="79">
        <f>IFERROR(VLOOKUP($A:$A,CS!$A:$AK,35,FALSE),"")</f>
      </c>
      <c r="W294" s="79">
        <f>IFERROR(VLOOKUP($A:$A,CS!$A:$AK,36,FALSE),"")</f>
      </c>
    </row>
    <row r="295" ht="16.5" customHeight="1" spans="1:23" x14ac:dyDescent="0.25">
      <c r="A295" s="93"/>
      <c r="B295" s="79">
        <f>IFERROR(VLOOKUP($A:$A,CS!$A:$AK,3,FALSE),"")</f>
      </c>
      <c r="C295" s="79">
        <f>IFERROR(VLOOKUP($A:$A,CS!$A:$AK,4,FALSE),"")</f>
      </c>
      <c r="D295" s="79">
        <f>IFERROR(VLOOKUP($A:$A,CS!$A:$AK,5,FALSE),"")</f>
      </c>
      <c r="E295" s="79">
        <f>IFERROR(VLOOKUP($A:$A,CS!$A:$AK,7,FALSE),"")</f>
      </c>
      <c r="F295" s="79">
        <f>IFERROR(VLOOKUP($A:$A,CS!$A:$AK,8,FALSE),"")</f>
      </c>
      <c r="G295" s="79">
        <f>IFERROR(VLOOKUP($A:$A,CS!$A:$AK,10,FALSE),"")</f>
      </c>
      <c r="H295" s="79">
        <f>IFERROR(VLOOKUP($A:$A,CS!$A:$AK,14,FALSE),"")</f>
      </c>
      <c r="I295" s="79">
        <f>IFERROR(VLOOKUP($A:$A,CS!$A:$AK,15,FALSE),"")</f>
      </c>
      <c r="J295" s="79">
        <f>IFERROR(VLOOKUP($A:$A,CS!$A:$AK,18,FALSE),"")</f>
      </c>
      <c r="K295" s="79">
        <f>IFERROR(VLOOKUP($A:$A,CS!$A:$AK,19,FALSE),"")</f>
      </c>
      <c r="L295" s="79">
        <f>IFERROR(VLOOKUP($A:$A,CS!$A:$AK,20,FALSE),"")</f>
      </c>
      <c r="M295" s="79">
        <f>IFERROR(VLOOKUP($A:$A,CS!$A:$AK,22,FALSE),"")</f>
      </c>
      <c r="N295" s="79">
        <f>IFERROR(VLOOKUP($A:$A,CS!$A:$AK,19,FALSE),"")</f>
      </c>
      <c r="O295" s="79">
        <f>IFERROR(VLOOKUP($A:$A,CS!$A:$AK,23,FALSE),"")</f>
      </c>
      <c r="P295" s="79">
        <f>IFERROR(VLOOKUP($A:$A,CS!$A:$AK,24,FALSE),"")</f>
      </c>
      <c r="Q295" s="79">
        <f>IFERROR(VLOOKUP($A:$A,CS!$A:$AK,25,FALSE),"")</f>
      </c>
      <c r="R295" s="79">
        <f>IFERROR(VLOOKUP($A:$A,CS!$A:$AK,26,FALSE),"")</f>
      </c>
      <c r="S295" s="79">
        <f>IFERROR(VLOOKUP($A:$A,CS!$A:$AK,29,FALSE),"")</f>
      </c>
      <c r="T295" s="79">
        <f>IFERROR(VLOOKUP($A:$A,CS!$A:$AK,33,FALSE),"")</f>
      </c>
      <c r="U295" s="79">
        <f>IFERROR(VLOOKUP($A:$A,CS!$A:$AK,34,FALSE),"")</f>
      </c>
      <c r="V295" s="79">
        <f>IFERROR(VLOOKUP($A:$A,CS!$A:$AK,35,FALSE),"")</f>
      </c>
      <c r="W295" s="79">
        <f>IFERROR(VLOOKUP($A:$A,CS!$A:$AK,36,FALSE),"")</f>
      </c>
    </row>
    <row r="296" ht="16.5" customHeight="1" spans="1:23" x14ac:dyDescent="0.25">
      <c r="A296" s="93"/>
      <c r="B296" s="79">
        <f>IFERROR(VLOOKUP($A:$A,CS!$A:$AK,3,FALSE),"")</f>
      </c>
      <c r="C296" s="79">
        <f>IFERROR(VLOOKUP($A:$A,CS!$A:$AK,4,FALSE),"")</f>
      </c>
      <c r="D296" s="79">
        <f>IFERROR(VLOOKUP($A:$A,CS!$A:$AK,5,FALSE),"")</f>
      </c>
      <c r="E296" s="79">
        <f>IFERROR(VLOOKUP($A:$A,CS!$A:$AK,7,FALSE),"")</f>
      </c>
      <c r="F296" s="79">
        <f>IFERROR(VLOOKUP($A:$A,CS!$A:$AK,8,FALSE),"")</f>
      </c>
      <c r="G296" s="79">
        <f>IFERROR(VLOOKUP($A:$A,CS!$A:$AK,10,FALSE),"")</f>
      </c>
      <c r="H296" s="79">
        <f>IFERROR(VLOOKUP($A:$A,CS!$A:$AK,14,FALSE),"")</f>
      </c>
      <c r="I296" s="79">
        <f>IFERROR(VLOOKUP($A:$A,CS!$A:$AK,15,FALSE),"")</f>
      </c>
      <c r="J296" s="79">
        <f>IFERROR(VLOOKUP($A:$A,CS!$A:$AK,18,FALSE),"")</f>
      </c>
      <c r="K296" s="79">
        <f>IFERROR(VLOOKUP($A:$A,CS!$A:$AK,19,FALSE),"")</f>
      </c>
      <c r="L296" s="79">
        <f>IFERROR(VLOOKUP($A:$A,CS!$A:$AK,20,FALSE),"")</f>
      </c>
      <c r="M296" s="79">
        <f>IFERROR(VLOOKUP($A:$A,CS!$A:$AK,22,FALSE),"")</f>
      </c>
      <c r="N296" s="79">
        <f>IFERROR(VLOOKUP($A:$A,CS!$A:$AK,19,FALSE),"")</f>
      </c>
      <c r="O296" s="79">
        <f>IFERROR(VLOOKUP($A:$A,CS!$A:$AK,23,FALSE),"")</f>
      </c>
      <c r="P296" s="79">
        <f>IFERROR(VLOOKUP($A:$A,CS!$A:$AK,24,FALSE),"")</f>
      </c>
      <c r="Q296" s="79">
        <f>IFERROR(VLOOKUP($A:$A,CS!$A:$AK,25,FALSE),"")</f>
      </c>
      <c r="R296" s="79">
        <f>IFERROR(VLOOKUP($A:$A,CS!$A:$AK,26,FALSE),"")</f>
      </c>
      <c r="S296" s="79">
        <f>IFERROR(VLOOKUP($A:$A,CS!$A:$AK,29,FALSE),"")</f>
      </c>
      <c r="T296" s="79">
        <f>IFERROR(VLOOKUP($A:$A,CS!$A:$AK,33,FALSE),"")</f>
      </c>
      <c r="U296" s="79">
        <f>IFERROR(VLOOKUP($A:$A,CS!$A:$AK,34,FALSE),"")</f>
      </c>
      <c r="V296" s="79">
        <f>IFERROR(VLOOKUP($A:$A,CS!$A:$AK,35,FALSE),"")</f>
      </c>
      <c r="W296" s="79">
        <f>IFERROR(VLOOKUP($A:$A,CS!$A:$AK,36,FALSE),"")</f>
      </c>
    </row>
    <row r="297" ht="16.5" customHeight="1" spans="1:23" x14ac:dyDescent="0.25">
      <c r="A297" s="93"/>
      <c r="B297" s="79">
        <f>IFERROR(VLOOKUP($A:$A,CS!$A:$AK,3,FALSE),"")</f>
      </c>
      <c r="C297" s="79">
        <f>IFERROR(VLOOKUP($A:$A,CS!$A:$AK,4,FALSE),"")</f>
      </c>
      <c r="D297" s="79">
        <f>IFERROR(VLOOKUP($A:$A,CS!$A:$AK,5,FALSE),"")</f>
      </c>
      <c r="E297" s="79">
        <f>IFERROR(VLOOKUP($A:$A,CS!$A:$AK,7,FALSE),"")</f>
      </c>
      <c r="F297" s="79">
        <f>IFERROR(VLOOKUP($A:$A,CS!$A:$AK,8,FALSE),"")</f>
      </c>
      <c r="G297" s="79">
        <f>IFERROR(VLOOKUP($A:$A,CS!$A:$AK,10,FALSE),"")</f>
      </c>
      <c r="H297" s="79">
        <f>IFERROR(VLOOKUP($A:$A,CS!$A:$AK,14,FALSE),"")</f>
      </c>
      <c r="I297" s="79">
        <f>IFERROR(VLOOKUP($A:$A,CS!$A:$AK,15,FALSE),"")</f>
      </c>
      <c r="J297" s="79">
        <f>IFERROR(VLOOKUP($A:$A,CS!$A:$AK,18,FALSE),"")</f>
      </c>
      <c r="K297" s="79">
        <f>IFERROR(VLOOKUP($A:$A,CS!$A:$AK,19,FALSE),"")</f>
      </c>
      <c r="L297" s="79">
        <f>IFERROR(VLOOKUP($A:$A,CS!$A:$AK,20,FALSE),"")</f>
      </c>
      <c r="M297" s="79">
        <f>IFERROR(VLOOKUP($A:$A,CS!$A:$AK,22,FALSE),"")</f>
      </c>
      <c r="N297" s="79">
        <f>IFERROR(VLOOKUP($A:$A,CS!$A:$AK,19,FALSE),"")</f>
      </c>
      <c r="O297" s="79">
        <f>IFERROR(VLOOKUP($A:$A,CS!$A:$AK,23,FALSE),"")</f>
      </c>
      <c r="P297" s="79">
        <f>IFERROR(VLOOKUP($A:$A,CS!$A:$AK,24,FALSE),"")</f>
      </c>
      <c r="Q297" s="79">
        <f>IFERROR(VLOOKUP($A:$A,CS!$A:$AK,25,FALSE),"")</f>
      </c>
      <c r="R297" s="79">
        <f>IFERROR(VLOOKUP($A:$A,CS!$A:$AK,26,FALSE),"")</f>
      </c>
      <c r="S297" s="79">
        <f>IFERROR(VLOOKUP($A:$A,CS!$A:$AK,29,FALSE),"")</f>
      </c>
      <c r="T297" s="79">
        <f>IFERROR(VLOOKUP($A:$A,CS!$A:$AK,33,FALSE),"")</f>
      </c>
      <c r="U297" s="79">
        <f>IFERROR(VLOOKUP($A:$A,CS!$A:$AK,34,FALSE),"")</f>
      </c>
      <c r="V297" s="79">
        <f>IFERROR(VLOOKUP($A:$A,CS!$A:$AK,35,FALSE),"")</f>
      </c>
      <c r="W297" s="79">
        <f>IFERROR(VLOOKUP($A:$A,CS!$A:$AK,36,FALSE),"")</f>
      </c>
    </row>
    <row r="298" ht="16.5" customHeight="1" spans="1:23" x14ac:dyDescent="0.25">
      <c r="A298" s="93"/>
      <c r="B298" s="79">
        <f>IFERROR(VLOOKUP($A:$A,CS!$A:$AK,3,FALSE),"")</f>
      </c>
      <c r="C298" s="79">
        <f>IFERROR(VLOOKUP($A:$A,CS!$A:$AK,4,FALSE),"")</f>
      </c>
      <c r="D298" s="79">
        <f>IFERROR(VLOOKUP($A:$A,CS!$A:$AK,5,FALSE),"")</f>
      </c>
      <c r="E298" s="79">
        <f>IFERROR(VLOOKUP($A:$A,CS!$A:$AK,7,FALSE),"")</f>
      </c>
      <c r="F298" s="79">
        <f>IFERROR(VLOOKUP($A:$A,CS!$A:$AK,8,FALSE),"")</f>
      </c>
      <c r="G298" s="79">
        <f>IFERROR(VLOOKUP($A:$A,CS!$A:$AK,10,FALSE),"")</f>
      </c>
      <c r="H298" s="79">
        <f>IFERROR(VLOOKUP($A:$A,CS!$A:$AK,14,FALSE),"")</f>
      </c>
      <c r="I298" s="79">
        <f>IFERROR(VLOOKUP($A:$A,CS!$A:$AK,15,FALSE),"")</f>
      </c>
      <c r="J298" s="79">
        <f>IFERROR(VLOOKUP($A:$A,CS!$A:$AK,18,FALSE),"")</f>
      </c>
      <c r="K298" s="79">
        <f>IFERROR(VLOOKUP($A:$A,CS!$A:$AK,19,FALSE),"")</f>
      </c>
      <c r="L298" s="79">
        <f>IFERROR(VLOOKUP($A:$A,CS!$A:$AK,20,FALSE),"")</f>
      </c>
      <c r="M298" s="79">
        <f>IFERROR(VLOOKUP($A:$A,CS!$A:$AK,22,FALSE),"")</f>
      </c>
      <c r="N298" s="79">
        <f>IFERROR(VLOOKUP($A:$A,CS!$A:$AK,19,FALSE),"")</f>
      </c>
      <c r="O298" s="79">
        <f>IFERROR(VLOOKUP($A:$A,CS!$A:$AK,23,FALSE),"")</f>
      </c>
      <c r="P298" s="79">
        <f>IFERROR(VLOOKUP($A:$A,CS!$A:$AK,24,FALSE),"")</f>
      </c>
      <c r="Q298" s="79">
        <f>IFERROR(VLOOKUP($A:$A,CS!$A:$AK,25,FALSE),"")</f>
      </c>
      <c r="R298" s="79">
        <f>IFERROR(VLOOKUP($A:$A,CS!$A:$AK,26,FALSE),"")</f>
      </c>
      <c r="S298" s="79">
        <f>IFERROR(VLOOKUP($A:$A,CS!$A:$AK,29,FALSE),"")</f>
      </c>
      <c r="T298" s="79">
        <f>IFERROR(VLOOKUP($A:$A,CS!$A:$AK,33,FALSE),"")</f>
      </c>
      <c r="U298" s="79">
        <f>IFERROR(VLOOKUP($A:$A,CS!$A:$AK,34,FALSE),"")</f>
      </c>
      <c r="V298" s="79">
        <f>IFERROR(VLOOKUP($A:$A,CS!$A:$AK,35,FALSE),"")</f>
      </c>
      <c r="W298" s="79">
        <f>IFERROR(VLOOKUP($A:$A,CS!$A:$AK,36,FALSE),"")</f>
      </c>
    </row>
    <row r="299" ht="16.5" customHeight="1" spans="1:23" x14ac:dyDescent="0.25">
      <c r="A299" s="93"/>
      <c r="B299" s="79">
        <f>IFERROR(VLOOKUP($A:$A,CS!$A:$AK,3,FALSE),"")</f>
      </c>
      <c r="C299" s="79">
        <f>IFERROR(VLOOKUP($A:$A,CS!$A:$AK,4,FALSE),"")</f>
      </c>
      <c r="D299" s="79">
        <f>IFERROR(VLOOKUP($A:$A,CS!$A:$AK,5,FALSE),"")</f>
      </c>
      <c r="E299" s="79">
        <f>IFERROR(VLOOKUP($A:$A,CS!$A:$AK,7,FALSE),"")</f>
      </c>
      <c r="F299" s="79">
        <f>IFERROR(VLOOKUP($A:$A,CS!$A:$AK,8,FALSE),"")</f>
      </c>
      <c r="G299" s="79">
        <f>IFERROR(VLOOKUP($A:$A,CS!$A:$AK,10,FALSE),"")</f>
      </c>
      <c r="H299" s="79">
        <f>IFERROR(VLOOKUP($A:$A,CS!$A:$AK,14,FALSE),"")</f>
      </c>
      <c r="I299" s="79">
        <f>IFERROR(VLOOKUP($A:$A,CS!$A:$AK,15,FALSE),"")</f>
      </c>
      <c r="J299" s="79">
        <f>IFERROR(VLOOKUP($A:$A,CS!$A:$AK,18,FALSE),"")</f>
      </c>
      <c r="K299" s="79">
        <f>IFERROR(VLOOKUP($A:$A,CS!$A:$AK,19,FALSE),"")</f>
      </c>
      <c r="L299" s="79">
        <f>IFERROR(VLOOKUP($A:$A,CS!$A:$AK,20,FALSE),"")</f>
      </c>
      <c r="M299" s="79">
        <f>IFERROR(VLOOKUP($A:$A,CS!$A:$AK,22,FALSE),"")</f>
      </c>
      <c r="N299" s="79">
        <f>IFERROR(VLOOKUP($A:$A,CS!$A:$AK,19,FALSE),"")</f>
      </c>
      <c r="O299" s="79">
        <f>IFERROR(VLOOKUP($A:$A,CS!$A:$AK,23,FALSE),"")</f>
      </c>
      <c r="P299" s="79">
        <f>IFERROR(VLOOKUP($A:$A,CS!$A:$AK,24,FALSE),"")</f>
      </c>
      <c r="Q299" s="79">
        <f>IFERROR(VLOOKUP($A:$A,CS!$A:$AK,25,FALSE),"")</f>
      </c>
      <c r="R299" s="79">
        <f>IFERROR(VLOOKUP($A:$A,CS!$A:$AK,26,FALSE),"")</f>
      </c>
      <c r="S299" s="79">
        <f>IFERROR(VLOOKUP($A:$A,CS!$A:$AK,29,FALSE),"")</f>
      </c>
      <c r="T299" s="79">
        <f>IFERROR(VLOOKUP($A:$A,CS!$A:$AK,33,FALSE),"")</f>
      </c>
      <c r="U299" s="79">
        <f>IFERROR(VLOOKUP($A:$A,CS!$A:$AK,34,FALSE),"")</f>
      </c>
      <c r="V299" s="79">
        <f>IFERROR(VLOOKUP($A:$A,CS!$A:$AK,35,FALSE),"")</f>
      </c>
      <c r="W299" s="79">
        <f>IFERROR(VLOOKUP($A:$A,CS!$A:$AK,36,FALSE),"")</f>
      </c>
    </row>
    <row r="300" ht="16.5" customHeight="1" spans="1:23" x14ac:dyDescent="0.25">
      <c r="A300" s="93"/>
      <c r="B300" s="79">
        <f>IFERROR(VLOOKUP($A:$A,CS!$A:$AK,3,FALSE),"")</f>
      </c>
      <c r="C300" s="79">
        <f>IFERROR(VLOOKUP($A:$A,CS!$A:$AK,4,FALSE),"")</f>
      </c>
      <c r="D300" s="79">
        <f>IFERROR(VLOOKUP($A:$A,CS!$A:$AK,5,FALSE),"")</f>
      </c>
      <c r="E300" s="79">
        <f>IFERROR(VLOOKUP($A:$A,CS!$A:$AK,7,FALSE),"")</f>
      </c>
      <c r="F300" s="79">
        <f>IFERROR(VLOOKUP($A:$A,CS!$A:$AK,8,FALSE),"")</f>
      </c>
      <c r="G300" s="79">
        <f>IFERROR(VLOOKUP($A:$A,CS!$A:$AK,10,FALSE),"")</f>
      </c>
      <c r="H300" s="79">
        <f>IFERROR(VLOOKUP($A:$A,CS!$A:$AK,14,FALSE),"")</f>
      </c>
      <c r="I300" s="79">
        <f>IFERROR(VLOOKUP($A:$A,CS!$A:$AK,15,FALSE),"")</f>
      </c>
      <c r="J300" s="79">
        <f>IFERROR(VLOOKUP($A:$A,CS!$A:$AK,18,FALSE),"")</f>
      </c>
      <c r="K300" s="79">
        <f>IFERROR(VLOOKUP($A:$A,CS!$A:$AK,19,FALSE),"")</f>
      </c>
      <c r="L300" s="79">
        <f>IFERROR(VLOOKUP($A:$A,CS!$A:$AK,20,FALSE),"")</f>
      </c>
      <c r="M300" s="79">
        <f>IFERROR(VLOOKUP($A:$A,CS!$A:$AK,22,FALSE),"")</f>
      </c>
      <c r="N300" s="79">
        <f>IFERROR(VLOOKUP($A:$A,CS!$A:$AK,19,FALSE),"")</f>
      </c>
      <c r="O300" s="79">
        <f>IFERROR(VLOOKUP($A:$A,CS!$A:$AK,23,FALSE),"")</f>
      </c>
      <c r="P300" s="79">
        <f>IFERROR(VLOOKUP($A:$A,CS!$A:$AK,24,FALSE),"")</f>
      </c>
      <c r="Q300" s="79">
        <f>IFERROR(VLOOKUP($A:$A,CS!$A:$AK,25,FALSE),"")</f>
      </c>
      <c r="R300" s="79">
        <f>IFERROR(VLOOKUP($A:$A,CS!$A:$AK,26,FALSE),"")</f>
      </c>
      <c r="S300" s="79">
        <f>IFERROR(VLOOKUP($A:$A,CS!$A:$AK,29,FALSE),"")</f>
      </c>
      <c r="T300" s="79">
        <f>IFERROR(VLOOKUP($A:$A,CS!$A:$AK,33,FALSE),"")</f>
      </c>
      <c r="U300" s="79">
        <f>IFERROR(VLOOKUP($A:$A,CS!$A:$AK,34,FALSE),"")</f>
      </c>
      <c r="V300" s="79">
        <f>IFERROR(VLOOKUP($A:$A,CS!$A:$AK,35,FALSE),"")</f>
      </c>
      <c r="W300" s="79">
        <f>IFERROR(VLOOKUP($A:$A,CS!$A:$AK,36,FALSE),"")</f>
      </c>
    </row>
    <row r="301" ht="16.5" customHeight="1" spans="1:23" x14ac:dyDescent="0.25">
      <c r="A301" s="93"/>
      <c r="B301" s="79">
        <f>IFERROR(VLOOKUP($A:$A,CS!$A:$AK,3,FALSE),"")</f>
      </c>
      <c r="C301" s="79">
        <f>IFERROR(VLOOKUP($A:$A,CS!$A:$AK,4,FALSE),"")</f>
      </c>
      <c r="D301" s="79">
        <f>IFERROR(VLOOKUP($A:$A,CS!$A:$AK,5,FALSE),"")</f>
      </c>
      <c r="E301" s="79">
        <f>IFERROR(VLOOKUP($A:$A,CS!$A:$AK,7,FALSE),"")</f>
      </c>
      <c r="F301" s="79">
        <f>IFERROR(VLOOKUP($A:$A,CS!$A:$AK,8,FALSE),"")</f>
      </c>
      <c r="G301" s="79">
        <f>IFERROR(VLOOKUP($A:$A,CS!$A:$AK,10,FALSE),"")</f>
      </c>
      <c r="H301" s="79">
        <f>IFERROR(VLOOKUP($A:$A,CS!$A:$AK,14,FALSE),"")</f>
      </c>
      <c r="I301" s="79">
        <f>IFERROR(VLOOKUP($A:$A,CS!$A:$AK,15,FALSE),"")</f>
      </c>
      <c r="J301" s="79">
        <f>IFERROR(VLOOKUP($A:$A,CS!$A:$AK,18,FALSE),"")</f>
      </c>
      <c r="K301" s="79">
        <f>IFERROR(VLOOKUP($A:$A,CS!$A:$AK,19,FALSE),"")</f>
      </c>
      <c r="L301" s="79">
        <f>IFERROR(VLOOKUP($A:$A,CS!$A:$AK,20,FALSE),"")</f>
      </c>
      <c r="M301" s="79">
        <f>IFERROR(VLOOKUP($A:$A,CS!$A:$AK,22,FALSE),"")</f>
      </c>
      <c r="N301" s="79">
        <f>IFERROR(VLOOKUP($A:$A,CS!$A:$AK,19,FALSE),"")</f>
      </c>
      <c r="O301" s="79">
        <f>IFERROR(VLOOKUP($A:$A,CS!$A:$AK,23,FALSE),"")</f>
      </c>
      <c r="P301" s="79">
        <f>IFERROR(VLOOKUP($A:$A,CS!$A:$AK,24,FALSE),"")</f>
      </c>
      <c r="Q301" s="79">
        <f>IFERROR(VLOOKUP($A:$A,CS!$A:$AK,25,FALSE),"")</f>
      </c>
      <c r="R301" s="79">
        <f>IFERROR(VLOOKUP($A:$A,CS!$A:$AK,26,FALSE),"")</f>
      </c>
      <c r="S301" s="79">
        <f>IFERROR(VLOOKUP($A:$A,CS!$A:$AK,29,FALSE),"")</f>
      </c>
      <c r="T301" s="79">
        <f>IFERROR(VLOOKUP($A:$A,CS!$A:$AK,33,FALSE),"")</f>
      </c>
      <c r="U301" s="79">
        <f>IFERROR(VLOOKUP($A:$A,CS!$A:$AK,34,FALSE),"")</f>
      </c>
      <c r="V301" s="79">
        <f>IFERROR(VLOOKUP($A:$A,CS!$A:$AK,35,FALSE),"")</f>
      </c>
      <c r="W301" s="79">
        <f>IFERROR(VLOOKUP($A:$A,CS!$A:$AK,36,FALSE),"")</f>
      </c>
    </row>
    <row r="302" ht="16.5" customHeight="1" spans="1:23" x14ac:dyDescent="0.25">
      <c r="A302" s="93"/>
      <c r="B302" s="79">
        <f>IFERROR(VLOOKUP($A:$A,CS!$A:$AK,3,FALSE),"")</f>
      </c>
      <c r="C302" s="79">
        <f>IFERROR(VLOOKUP($A:$A,CS!$A:$AK,4,FALSE),"")</f>
      </c>
      <c r="D302" s="79">
        <f>IFERROR(VLOOKUP($A:$A,CS!$A:$AK,5,FALSE),"")</f>
      </c>
      <c r="E302" s="79">
        <f>IFERROR(VLOOKUP($A:$A,CS!$A:$AK,7,FALSE),"")</f>
      </c>
      <c r="F302" s="79">
        <f>IFERROR(VLOOKUP($A:$A,CS!$A:$AK,8,FALSE),"")</f>
      </c>
      <c r="G302" s="79">
        <f>IFERROR(VLOOKUP($A:$A,CS!$A:$AK,10,FALSE),"")</f>
      </c>
      <c r="H302" s="79">
        <f>IFERROR(VLOOKUP($A:$A,CS!$A:$AK,14,FALSE),"")</f>
      </c>
      <c r="I302" s="79">
        <f>IFERROR(VLOOKUP($A:$A,CS!$A:$AK,15,FALSE),"")</f>
      </c>
      <c r="J302" s="79">
        <f>IFERROR(VLOOKUP($A:$A,CS!$A:$AK,18,FALSE),"")</f>
      </c>
      <c r="K302" s="79">
        <f>IFERROR(VLOOKUP($A:$A,CS!$A:$AK,19,FALSE),"")</f>
      </c>
      <c r="L302" s="79">
        <f>IFERROR(VLOOKUP($A:$A,CS!$A:$AK,20,FALSE),"")</f>
      </c>
      <c r="M302" s="79">
        <f>IFERROR(VLOOKUP($A:$A,CS!$A:$AK,22,FALSE),"")</f>
      </c>
      <c r="N302" s="79">
        <f>IFERROR(VLOOKUP($A:$A,CS!$A:$AK,19,FALSE),"")</f>
      </c>
      <c r="O302" s="79">
        <f>IFERROR(VLOOKUP($A:$A,CS!$A:$AK,23,FALSE),"")</f>
      </c>
      <c r="P302" s="79">
        <f>IFERROR(VLOOKUP($A:$A,CS!$A:$AK,24,FALSE),"")</f>
      </c>
      <c r="Q302" s="79">
        <f>IFERROR(VLOOKUP($A:$A,CS!$A:$AK,25,FALSE),"")</f>
      </c>
      <c r="R302" s="79">
        <f>IFERROR(VLOOKUP($A:$A,CS!$A:$AK,26,FALSE),"")</f>
      </c>
      <c r="S302" s="79">
        <f>IFERROR(VLOOKUP($A:$A,CS!$A:$AK,29,FALSE),"")</f>
      </c>
      <c r="T302" s="79">
        <f>IFERROR(VLOOKUP($A:$A,CS!$A:$AK,33,FALSE),"")</f>
      </c>
      <c r="U302" s="79">
        <f>IFERROR(VLOOKUP($A:$A,CS!$A:$AK,34,FALSE),"")</f>
      </c>
      <c r="V302" s="79">
        <f>IFERROR(VLOOKUP($A:$A,CS!$A:$AK,35,FALSE),"")</f>
      </c>
      <c r="W302" s="79">
        <f>IFERROR(VLOOKUP($A:$A,CS!$A:$AK,36,FALSE),"")</f>
      </c>
    </row>
    <row r="303" ht="16.5" customHeight="1" spans="1:23" x14ac:dyDescent="0.25">
      <c r="A303" s="93"/>
      <c r="B303" s="79">
        <f>IFERROR(VLOOKUP($A:$A,CS!$A:$AK,3,FALSE),"")</f>
      </c>
      <c r="C303" s="79">
        <f>IFERROR(VLOOKUP($A:$A,CS!$A:$AK,4,FALSE),"")</f>
      </c>
      <c r="D303" s="79">
        <f>IFERROR(VLOOKUP($A:$A,CS!$A:$AK,5,FALSE),"")</f>
      </c>
      <c r="E303" s="79">
        <f>IFERROR(VLOOKUP($A:$A,CS!$A:$AK,7,FALSE),"")</f>
      </c>
      <c r="F303" s="79">
        <f>IFERROR(VLOOKUP($A:$A,CS!$A:$AK,8,FALSE),"")</f>
      </c>
      <c r="G303" s="79">
        <f>IFERROR(VLOOKUP($A:$A,CS!$A:$AK,10,FALSE),"")</f>
      </c>
      <c r="H303" s="79">
        <f>IFERROR(VLOOKUP($A:$A,CS!$A:$AK,14,FALSE),"")</f>
      </c>
      <c r="I303" s="79">
        <f>IFERROR(VLOOKUP($A:$A,CS!$A:$AK,15,FALSE),"")</f>
      </c>
      <c r="J303" s="79">
        <f>IFERROR(VLOOKUP($A:$A,CS!$A:$AK,18,FALSE),"")</f>
      </c>
      <c r="K303" s="79">
        <f>IFERROR(VLOOKUP($A:$A,CS!$A:$AK,19,FALSE),"")</f>
      </c>
      <c r="L303" s="79">
        <f>IFERROR(VLOOKUP($A:$A,CS!$A:$AK,20,FALSE),"")</f>
      </c>
      <c r="M303" s="79">
        <f>IFERROR(VLOOKUP($A:$A,CS!$A:$AK,22,FALSE),"")</f>
      </c>
      <c r="N303" s="79">
        <f>IFERROR(VLOOKUP($A:$A,CS!$A:$AK,19,FALSE),"")</f>
      </c>
      <c r="O303" s="79">
        <f>IFERROR(VLOOKUP($A:$A,CS!$A:$AK,23,FALSE),"")</f>
      </c>
      <c r="P303" s="79">
        <f>IFERROR(VLOOKUP($A:$A,CS!$A:$AK,24,FALSE),"")</f>
      </c>
      <c r="Q303" s="79">
        <f>IFERROR(VLOOKUP($A:$A,CS!$A:$AK,25,FALSE),"")</f>
      </c>
      <c r="R303" s="79">
        <f>IFERROR(VLOOKUP($A:$A,CS!$A:$AK,26,FALSE),"")</f>
      </c>
      <c r="S303" s="79">
        <f>IFERROR(VLOOKUP($A:$A,CS!$A:$AK,29,FALSE),"")</f>
      </c>
      <c r="T303" s="79">
        <f>IFERROR(VLOOKUP($A:$A,CS!$A:$AK,33,FALSE),"")</f>
      </c>
      <c r="U303" s="79">
        <f>IFERROR(VLOOKUP($A:$A,CS!$A:$AK,34,FALSE),"")</f>
      </c>
      <c r="V303" s="79">
        <f>IFERROR(VLOOKUP($A:$A,CS!$A:$AK,35,FALSE),"")</f>
      </c>
      <c r="W303" s="79">
        <f>IFERROR(VLOOKUP($A:$A,CS!$A:$AK,36,FALSE),"")</f>
      </c>
    </row>
    <row r="304" ht="16.5" customHeight="1" spans="1:23" x14ac:dyDescent="0.25">
      <c r="A304" s="93"/>
      <c r="B304" s="79">
        <f>IFERROR(VLOOKUP($A:$A,CS!$A:$AK,3,FALSE),"")</f>
      </c>
      <c r="C304" s="79">
        <f>IFERROR(VLOOKUP($A:$A,CS!$A:$AK,4,FALSE),"")</f>
      </c>
      <c r="D304" s="79">
        <f>IFERROR(VLOOKUP($A:$A,CS!$A:$AK,5,FALSE),"")</f>
      </c>
      <c r="E304" s="79">
        <f>IFERROR(VLOOKUP($A:$A,CS!$A:$AK,7,FALSE),"")</f>
      </c>
      <c r="F304" s="79">
        <f>IFERROR(VLOOKUP($A:$A,CS!$A:$AK,8,FALSE),"")</f>
      </c>
      <c r="G304" s="79">
        <f>IFERROR(VLOOKUP($A:$A,CS!$A:$AK,10,FALSE),"")</f>
      </c>
      <c r="H304" s="79">
        <f>IFERROR(VLOOKUP($A:$A,CS!$A:$AK,14,FALSE),"")</f>
      </c>
      <c r="I304" s="79">
        <f>IFERROR(VLOOKUP($A:$A,CS!$A:$AK,15,FALSE),"")</f>
      </c>
      <c r="J304" s="79">
        <f>IFERROR(VLOOKUP($A:$A,CS!$A:$AK,18,FALSE),"")</f>
      </c>
      <c r="K304" s="79">
        <f>IFERROR(VLOOKUP($A:$A,CS!$A:$AK,19,FALSE),"")</f>
      </c>
      <c r="L304" s="79">
        <f>IFERROR(VLOOKUP($A:$A,CS!$A:$AK,20,FALSE),"")</f>
      </c>
      <c r="M304" s="79">
        <f>IFERROR(VLOOKUP($A:$A,CS!$A:$AK,22,FALSE),"")</f>
      </c>
      <c r="N304" s="79">
        <f>IFERROR(VLOOKUP($A:$A,CS!$A:$AK,19,FALSE),"")</f>
      </c>
      <c r="O304" s="79">
        <f>IFERROR(VLOOKUP($A:$A,CS!$A:$AK,23,FALSE),"")</f>
      </c>
      <c r="P304" s="79">
        <f>IFERROR(VLOOKUP($A:$A,CS!$A:$AK,24,FALSE),"")</f>
      </c>
      <c r="Q304" s="79">
        <f>IFERROR(VLOOKUP($A:$A,CS!$A:$AK,25,FALSE),"")</f>
      </c>
      <c r="R304" s="79">
        <f>IFERROR(VLOOKUP($A:$A,CS!$A:$AK,26,FALSE),"")</f>
      </c>
      <c r="S304" s="79">
        <f>IFERROR(VLOOKUP($A:$A,CS!$A:$AK,29,FALSE),"")</f>
      </c>
      <c r="T304" s="79">
        <f>IFERROR(VLOOKUP($A:$A,CS!$A:$AK,33,FALSE),"")</f>
      </c>
      <c r="U304" s="79">
        <f>IFERROR(VLOOKUP($A:$A,CS!$A:$AK,34,FALSE),"")</f>
      </c>
      <c r="V304" s="79">
        <f>IFERROR(VLOOKUP($A:$A,CS!$A:$AK,35,FALSE),"")</f>
      </c>
      <c r="W304" s="79">
        <f>IFERROR(VLOOKUP($A:$A,CS!$A:$AK,36,FALSE),"")</f>
      </c>
    </row>
    <row r="305" ht="16.5" customHeight="1" spans="1:23" x14ac:dyDescent="0.25">
      <c r="A305" s="93"/>
      <c r="B305" s="79">
        <f>IFERROR(VLOOKUP($A:$A,CS!$A:$AK,3,FALSE),"")</f>
      </c>
      <c r="C305" s="79">
        <f>IFERROR(VLOOKUP($A:$A,CS!$A:$AK,4,FALSE),"")</f>
      </c>
      <c r="D305" s="79">
        <f>IFERROR(VLOOKUP($A:$A,CS!$A:$AK,5,FALSE),"")</f>
      </c>
      <c r="E305" s="79">
        <f>IFERROR(VLOOKUP($A:$A,CS!$A:$AK,7,FALSE),"")</f>
      </c>
      <c r="F305" s="79">
        <f>IFERROR(VLOOKUP($A:$A,CS!$A:$AK,8,FALSE),"")</f>
      </c>
      <c r="G305" s="79">
        <f>IFERROR(VLOOKUP($A:$A,CS!$A:$AK,10,FALSE),"")</f>
      </c>
      <c r="H305" s="79">
        <f>IFERROR(VLOOKUP($A:$A,CS!$A:$AK,14,FALSE),"")</f>
      </c>
      <c r="I305" s="79">
        <f>IFERROR(VLOOKUP($A:$A,CS!$A:$AK,15,FALSE),"")</f>
      </c>
      <c r="J305" s="79">
        <f>IFERROR(VLOOKUP($A:$A,CS!$A:$AK,18,FALSE),"")</f>
      </c>
      <c r="K305" s="79">
        <f>IFERROR(VLOOKUP($A:$A,CS!$A:$AK,19,FALSE),"")</f>
      </c>
      <c r="L305" s="79">
        <f>IFERROR(VLOOKUP($A:$A,CS!$A:$AK,20,FALSE),"")</f>
      </c>
      <c r="M305" s="79">
        <f>IFERROR(VLOOKUP($A:$A,CS!$A:$AK,22,FALSE),"")</f>
      </c>
      <c r="N305" s="79">
        <f>IFERROR(VLOOKUP($A:$A,CS!$A:$AK,19,FALSE),"")</f>
      </c>
      <c r="O305" s="79">
        <f>IFERROR(VLOOKUP($A:$A,CS!$A:$AK,23,FALSE),"")</f>
      </c>
      <c r="P305" s="79">
        <f>IFERROR(VLOOKUP($A:$A,CS!$A:$AK,24,FALSE),"")</f>
      </c>
      <c r="Q305" s="79">
        <f>IFERROR(VLOOKUP($A:$A,CS!$A:$AK,25,FALSE),"")</f>
      </c>
      <c r="R305" s="79">
        <f>IFERROR(VLOOKUP($A:$A,CS!$A:$AK,26,FALSE),"")</f>
      </c>
      <c r="S305" s="79">
        <f>IFERROR(VLOOKUP($A:$A,CS!$A:$AK,29,FALSE),"")</f>
      </c>
      <c r="T305" s="79">
        <f>IFERROR(VLOOKUP($A:$A,CS!$A:$AK,33,FALSE),"")</f>
      </c>
      <c r="U305" s="79">
        <f>IFERROR(VLOOKUP($A:$A,CS!$A:$AK,34,FALSE),"")</f>
      </c>
      <c r="V305" s="79">
        <f>IFERROR(VLOOKUP($A:$A,CS!$A:$AK,35,FALSE),"")</f>
      </c>
      <c r="W305" s="79">
        <f>IFERROR(VLOOKUP($A:$A,CS!$A:$AK,36,FALSE),"")</f>
      </c>
    </row>
    <row r="306" ht="16.5" customHeight="1" spans="1:23" x14ac:dyDescent="0.25">
      <c r="A306" s="93"/>
      <c r="B306" s="79">
        <f>IFERROR(VLOOKUP($A:$A,CS!$A:$AK,3,FALSE),"")</f>
      </c>
      <c r="C306" s="79">
        <f>IFERROR(VLOOKUP($A:$A,CS!$A:$AK,4,FALSE),"")</f>
      </c>
      <c r="D306" s="79">
        <f>IFERROR(VLOOKUP($A:$A,CS!$A:$AK,5,FALSE),"")</f>
      </c>
      <c r="E306" s="79">
        <f>IFERROR(VLOOKUP($A:$A,CS!$A:$AK,7,FALSE),"")</f>
      </c>
      <c r="F306" s="79">
        <f>IFERROR(VLOOKUP($A:$A,CS!$A:$AK,8,FALSE),"")</f>
      </c>
      <c r="G306" s="79">
        <f>IFERROR(VLOOKUP($A:$A,CS!$A:$AK,10,FALSE),"")</f>
      </c>
      <c r="H306" s="79">
        <f>IFERROR(VLOOKUP($A:$A,CS!$A:$AK,14,FALSE),"")</f>
      </c>
      <c r="I306" s="79">
        <f>IFERROR(VLOOKUP($A:$A,CS!$A:$AK,15,FALSE),"")</f>
      </c>
      <c r="J306" s="79">
        <f>IFERROR(VLOOKUP($A:$A,CS!$A:$AK,18,FALSE),"")</f>
      </c>
      <c r="K306" s="79">
        <f>IFERROR(VLOOKUP($A:$A,CS!$A:$AK,19,FALSE),"")</f>
      </c>
      <c r="L306" s="79">
        <f>IFERROR(VLOOKUP($A:$A,CS!$A:$AK,20,FALSE),"")</f>
      </c>
      <c r="M306" s="79">
        <f>IFERROR(VLOOKUP($A:$A,CS!$A:$AK,22,FALSE),"")</f>
      </c>
      <c r="N306" s="79">
        <f>IFERROR(VLOOKUP($A:$A,CS!$A:$AK,19,FALSE),"")</f>
      </c>
      <c r="O306" s="79">
        <f>IFERROR(VLOOKUP($A:$A,CS!$A:$AK,23,FALSE),"")</f>
      </c>
      <c r="P306" s="79">
        <f>IFERROR(VLOOKUP($A:$A,CS!$A:$AK,24,FALSE),"")</f>
      </c>
      <c r="Q306" s="79">
        <f>IFERROR(VLOOKUP($A:$A,CS!$A:$AK,25,FALSE),"")</f>
      </c>
      <c r="R306" s="79">
        <f>IFERROR(VLOOKUP($A:$A,CS!$A:$AK,26,FALSE),"")</f>
      </c>
      <c r="S306" s="79">
        <f>IFERROR(VLOOKUP($A:$A,CS!$A:$AK,29,FALSE),"")</f>
      </c>
      <c r="T306" s="79">
        <f>IFERROR(VLOOKUP($A:$A,CS!$A:$AK,33,FALSE),"")</f>
      </c>
      <c r="U306" s="79">
        <f>IFERROR(VLOOKUP($A:$A,CS!$A:$AK,34,FALSE),"")</f>
      </c>
      <c r="V306" s="79">
        <f>IFERROR(VLOOKUP($A:$A,CS!$A:$AK,35,FALSE),"")</f>
      </c>
      <c r="W306" s="79">
        <f>IFERROR(VLOOKUP($A:$A,CS!$A:$AK,36,FALSE),"")</f>
      </c>
    </row>
    <row r="307" ht="16.5" customHeight="1" spans="1:23" x14ac:dyDescent="0.25">
      <c r="A307" s="93"/>
      <c r="B307" s="79">
        <f>IFERROR(VLOOKUP($A:$A,CS!$A:$AK,3,FALSE),"")</f>
      </c>
      <c r="C307" s="79">
        <f>IFERROR(VLOOKUP($A:$A,CS!$A:$AK,4,FALSE),"")</f>
      </c>
      <c r="D307" s="79">
        <f>IFERROR(VLOOKUP($A:$A,CS!$A:$AK,5,FALSE),"")</f>
      </c>
      <c r="E307" s="79">
        <f>IFERROR(VLOOKUP($A:$A,CS!$A:$AK,7,FALSE),"")</f>
      </c>
      <c r="F307" s="79">
        <f>IFERROR(VLOOKUP($A:$A,CS!$A:$AK,8,FALSE),"")</f>
      </c>
      <c r="G307" s="79">
        <f>IFERROR(VLOOKUP($A:$A,CS!$A:$AK,10,FALSE),"")</f>
      </c>
      <c r="H307" s="79">
        <f>IFERROR(VLOOKUP($A:$A,CS!$A:$AK,14,FALSE),"")</f>
      </c>
      <c r="I307" s="79">
        <f>IFERROR(VLOOKUP($A:$A,CS!$A:$AK,15,FALSE),"")</f>
      </c>
      <c r="J307" s="79">
        <f>IFERROR(VLOOKUP($A:$A,CS!$A:$AK,18,FALSE),"")</f>
      </c>
      <c r="K307" s="79">
        <f>IFERROR(VLOOKUP($A:$A,CS!$A:$AK,19,FALSE),"")</f>
      </c>
      <c r="L307" s="79">
        <f>IFERROR(VLOOKUP($A:$A,CS!$A:$AK,20,FALSE),"")</f>
      </c>
      <c r="M307" s="79">
        <f>IFERROR(VLOOKUP($A:$A,CS!$A:$AK,22,FALSE),"")</f>
      </c>
      <c r="N307" s="79">
        <f>IFERROR(VLOOKUP($A:$A,CS!$A:$AK,19,FALSE),"")</f>
      </c>
      <c r="O307" s="79">
        <f>IFERROR(VLOOKUP($A:$A,CS!$A:$AK,23,FALSE),"")</f>
      </c>
      <c r="P307" s="79">
        <f>IFERROR(VLOOKUP($A:$A,CS!$A:$AK,24,FALSE),"")</f>
      </c>
      <c r="Q307" s="79">
        <f>IFERROR(VLOOKUP($A:$A,CS!$A:$AK,25,FALSE),"")</f>
      </c>
      <c r="R307" s="79">
        <f>IFERROR(VLOOKUP($A:$A,CS!$A:$AK,26,FALSE),"")</f>
      </c>
      <c r="S307" s="79">
        <f>IFERROR(VLOOKUP($A:$A,CS!$A:$AK,29,FALSE),"")</f>
      </c>
      <c r="T307" s="79">
        <f>IFERROR(VLOOKUP($A:$A,CS!$A:$AK,33,FALSE),"")</f>
      </c>
      <c r="U307" s="79">
        <f>IFERROR(VLOOKUP($A:$A,CS!$A:$AK,34,FALSE),"")</f>
      </c>
      <c r="V307" s="79">
        <f>IFERROR(VLOOKUP($A:$A,CS!$A:$AK,35,FALSE),"")</f>
      </c>
      <c r="W307" s="79">
        <f>IFERROR(VLOOKUP($A:$A,CS!$A:$AK,36,FALSE),"")</f>
      </c>
    </row>
    <row r="308" ht="16.5" customHeight="1" spans="1:23" x14ac:dyDescent="0.25">
      <c r="A308" s="93"/>
      <c r="B308" s="79">
        <f>IFERROR(VLOOKUP($A:$A,CS!$A:$AK,3,FALSE),"")</f>
      </c>
      <c r="C308" s="79">
        <f>IFERROR(VLOOKUP($A:$A,CS!$A:$AK,4,FALSE),"")</f>
      </c>
      <c r="D308" s="79">
        <f>IFERROR(VLOOKUP($A:$A,CS!$A:$AK,5,FALSE),"")</f>
      </c>
      <c r="E308" s="79">
        <f>IFERROR(VLOOKUP($A:$A,CS!$A:$AK,7,FALSE),"")</f>
      </c>
      <c r="F308" s="79">
        <f>IFERROR(VLOOKUP($A:$A,CS!$A:$AK,8,FALSE),"")</f>
      </c>
      <c r="G308" s="79">
        <f>IFERROR(VLOOKUP($A:$A,CS!$A:$AK,10,FALSE),"")</f>
      </c>
      <c r="H308" s="79">
        <f>IFERROR(VLOOKUP($A:$A,CS!$A:$AK,14,FALSE),"")</f>
      </c>
      <c r="I308" s="79">
        <f>IFERROR(VLOOKUP($A:$A,CS!$A:$AK,15,FALSE),"")</f>
      </c>
      <c r="J308" s="79">
        <f>IFERROR(VLOOKUP($A:$A,CS!$A:$AK,18,FALSE),"")</f>
      </c>
      <c r="K308" s="79">
        <f>IFERROR(VLOOKUP($A:$A,CS!$A:$AK,19,FALSE),"")</f>
      </c>
      <c r="L308" s="79">
        <f>IFERROR(VLOOKUP($A:$A,CS!$A:$AK,20,FALSE),"")</f>
      </c>
      <c r="M308" s="79">
        <f>IFERROR(VLOOKUP($A:$A,CS!$A:$AK,22,FALSE),"")</f>
      </c>
      <c r="N308" s="79">
        <f>IFERROR(VLOOKUP($A:$A,CS!$A:$AK,19,FALSE),"")</f>
      </c>
      <c r="O308" s="79">
        <f>IFERROR(VLOOKUP($A:$A,CS!$A:$AK,23,FALSE),"")</f>
      </c>
      <c r="P308" s="79">
        <f>IFERROR(VLOOKUP($A:$A,CS!$A:$AK,24,FALSE),"")</f>
      </c>
      <c r="Q308" s="79">
        <f>IFERROR(VLOOKUP($A:$A,CS!$A:$AK,25,FALSE),"")</f>
      </c>
      <c r="R308" s="79">
        <f>IFERROR(VLOOKUP($A:$A,CS!$A:$AK,26,FALSE),"")</f>
      </c>
      <c r="S308" s="79">
        <f>IFERROR(VLOOKUP($A:$A,CS!$A:$AK,29,FALSE),"")</f>
      </c>
      <c r="T308" s="79">
        <f>IFERROR(VLOOKUP($A:$A,CS!$A:$AK,33,FALSE),"")</f>
      </c>
      <c r="U308" s="79">
        <f>IFERROR(VLOOKUP($A:$A,CS!$A:$AK,34,FALSE),"")</f>
      </c>
      <c r="V308" s="79">
        <f>IFERROR(VLOOKUP($A:$A,CS!$A:$AK,35,FALSE),"")</f>
      </c>
      <c r="W308" s="79">
        <f>IFERROR(VLOOKUP($A:$A,CS!$A:$AK,36,FALSE),"")</f>
      </c>
    </row>
    <row r="309" ht="16.5" customHeight="1" spans="1:23" x14ac:dyDescent="0.25">
      <c r="A309" s="93"/>
      <c r="B309" s="79">
        <f>IFERROR(VLOOKUP($A:$A,CS!$A:$AK,3,FALSE),"")</f>
      </c>
      <c r="C309" s="79">
        <f>IFERROR(VLOOKUP($A:$A,CS!$A:$AK,4,FALSE),"")</f>
      </c>
      <c r="D309" s="79">
        <f>IFERROR(VLOOKUP($A:$A,CS!$A:$AK,5,FALSE),"")</f>
      </c>
      <c r="E309" s="79">
        <f>IFERROR(VLOOKUP($A:$A,CS!$A:$AK,7,FALSE),"")</f>
      </c>
      <c r="F309" s="79">
        <f>IFERROR(VLOOKUP($A:$A,CS!$A:$AK,8,FALSE),"")</f>
      </c>
      <c r="G309" s="79">
        <f>IFERROR(VLOOKUP($A:$A,CS!$A:$AK,10,FALSE),"")</f>
      </c>
      <c r="H309" s="79">
        <f>IFERROR(VLOOKUP($A:$A,CS!$A:$AK,14,FALSE),"")</f>
      </c>
      <c r="I309" s="79">
        <f>IFERROR(VLOOKUP($A:$A,CS!$A:$AK,15,FALSE),"")</f>
      </c>
      <c r="J309" s="79">
        <f>IFERROR(VLOOKUP($A:$A,CS!$A:$AK,18,FALSE),"")</f>
      </c>
      <c r="K309" s="79">
        <f>IFERROR(VLOOKUP($A:$A,CS!$A:$AK,19,FALSE),"")</f>
      </c>
      <c r="L309" s="79">
        <f>IFERROR(VLOOKUP($A:$A,CS!$A:$AK,20,FALSE),"")</f>
      </c>
      <c r="M309" s="79">
        <f>IFERROR(VLOOKUP($A:$A,CS!$A:$AK,22,FALSE),"")</f>
      </c>
      <c r="N309" s="79">
        <f>IFERROR(VLOOKUP($A:$A,CS!$A:$AK,19,FALSE),"")</f>
      </c>
      <c r="O309" s="79">
        <f>IFERROR(VLOOKUP($A:$A,CS!$A:$AK,23,FALSE),"")</f>
      </c>
      <c r="P309" s="79">
        <f>IFERROR(VLOOKUP($A:$A,CS!$A:$AK,24,FALSE),"")</f>
      </c>
      <c r="Q309" s="79">
        <f>IFERROR(VLOOKUP($A:$A,CS!$A:$AK,25,FALSE),"")</f>
      </c>
      <c r="R309" s="79">
        <f>IFERROR(VLOOKUP($A:$A,CS!$A:$AK,26,FALSE),"")</f>
      </c>
      <c r="S309" s="79">
        <f>IFERROR(VLOOKUP($A:$A,CS!$A:$AK,29,FALSE),"")</f>
      </c>
      <c r="T309" s="79">
        <f>IFERROR(VLOOKUP($A:$A,CS!$A:$AK,33,FALSE),"")</f>
      </c>
      <c r="U309" s="79">
        <f>IFERROR(VLOOKUP($A:$A,CS!$A:$AK,34,FALSE),"")</f>
      </c>
      <c r="V309" s="79">
        <f>IFERROR(VLOOKUP($A:$A,CS!$A:$AK,35,FALSE),"")</f>
      </c>
      <c r="W309" s="79">
        <f>IFERROR(VLOOKUP($A:$A,CS!$A:$AK,36,FALSE),"")</f>
      </c>
    </row>
    <row r="310" ht="16.5" customHeight="1" spans="1:23" x14ac:dyDescent="0.25">
      <c r="A310" s="93"/>
      <c r="B310" s="79">
        <f>IFERROR(VLOOKUP($A:$A,CS!$A:$AK,3,FALSE),"")</f>
      </c>
      <c r="C310" s="79">
        <f>IFERROR(VLOOKUP($A:$A,CS!$A:$AK,4,FALSE),"")</f>
      </c>
      <c r="D310" s="79">
        <f>IFERROR(VLOOKUP($A:$A,CS!$A:$AK,5,FALSE),"")</f>
      </c>
      <c r="E310" s="79">
        <f>IFERROR(VLOOKUP($A:$A,CS!$A:$AK,7,FALSE),"")</f>
      </c>
      <c r="F310" s="79">
        <f>IFERROR(VLOOKUP($A:$A,CS!$A:$AK,8,FALSE),"")</f>
      </c>
      <c r="G310" s="79">
        <f>IFERROR(VLOOKUP($A:$A,CS!$A:$AK,10,FALSE),"")</f>
      </c>
      <c r="H310" s="79">
        <f>IFERROR(VLOOKUP($A:$A,CS!$A:$AK,14,FALSE),"")</f>
      </c>
      <c r="I310" s="79">
        <f>IFERROR(VLOOKUP($A:$A,CS!$A:$AK,15,FALSE),"")</f>
      </c>
      <c r="J310" s="79">
        <f>IFERROR(VLOOKUP($A:$A,CS!$A:$AK,18,FALSE),"")</f>
      </c>
      <c r="K310" s="79">
        <f>IFERROR(VLOOKUP($A:$A,CS!$A:$AK,19,FALSE),"")</f>
      </c>
      <c r="L310" s="79">
        <f>IFERROR(VLOOKUP($A:$A,CS!$A:$AK,20,FALSE),"")</f>
      </c>
      <c r="M310" s="79">
        <f>IFERROR(VLOOKUP($A:$A,CS!$A:$AK,22,FALSE),"")</f>
      </c>
      <c r="N310" s="79">
        <f>IFERROR(VLOOKUP($A:$A,CS!$A:$AK,19,FALSE),"")</f>
      </c>
      <c r="O310" s="79">
        <f>IFERROR(VLOOKUP($A:$A,CS!$A:$AK,23,FALSE),"")</f>
      </c>
      <c r="P310" s="79">
        <f>IFERROR(VLOOKUP($A:$A,CS!$A:$AK,24,FALSE),"")</f>
      </c>
      <c r="Q310" s="79">
        <f>IFERROR(VLOOKUP($A:$A,CS!$A:$AK,25,FALSE),"")</f>
      </c>
      <c r="R310" s="79">
        <f>IFERROR(VLOOKUP($A:$A,CS!$A:$AK,26,FALSE),"")</f>
      </c>
      <c r="S310" s="79">
        <f>IFERROR(VLOOKUP($A:$A,CS!$A:$AK,29,FALSE),"")</f>
      </c>
      <c r="T310" s="79">
        <f>IFERROR(VLOOKUP($A:$A,CS!$A:$AK,33,FALSE),"")</f>
      </c>
      <c r="U310" s="79">
        <f>IFERROR(VLOOKUP($A:$A,CS!$A:$AK,34,FALSE),"")</f>
      </c>
      <c r="V310" s="79">
        <f>IFERROR(VLOOKUP($A:$A,CS!$A:$AK,35,FALSE),"")</f>
      </c>
      <c r="W310" s="79">
        <f>IFERROR(VLOOKUP($A:$A,CS!$A:$AK,36,FALSE),"")</f>
      </c>
    </row>
    <row r="311" ht="16.5" customHeight="1" spans="1:23" x14ac:dyDescent="0.25">
      <c r="A311" s="93"/>
      <c r="B311" s="79">
        <f>IFERROR(VLOOKUP($A:$A,CS!$A:$AK,3,FALSE),"")</f>
      </c>
      <c r="C311" s="79">
        <f>IFERROR(VLOOKUP($A:$A,CS!$A:$AK,4,FALSE),"")</f>
      </c>
      <c r="D311" s="79">
        <f>IFERROR(VLOOKUP($A:$A,CS!$A:$AK,5,FALSE),"")</f>
      </c>
      <c r="E311" s="79">
        <f>IFERROR(VLOOKUP($A:$A,CS!$A:$AK,7,FALSE),"")</f>
      </c>
      <c r="F311" s="79">
        <f>IFERROR(VLOOKUP($A:$A,CS!$A:$AK,8,FALSE),"")</f>
      </c>
      <c r="G311" s="79">
        <f>IFERROR(VLOOKUP($A:$A,CS!$A:$AK,10,FALSE),"")</f>
      </c>
      <c r="H311" s="79">
        <f>IFERROR(VLOOKUP($A:$A,CS!$A:$AK,14,FALSE),"")</f>
      </c>
      <c r="I311" s="79">
        <f>IFERROR(VLOOKUP($A:$A,CS!$A:$AK,15,FALSE),"")</f>
      </c>
      <c r="J311" s="79">
        <f>IFERROR(VLOOKUP($A:$A,CS!$A:$AK,18,FALSE),"")</f>
      </c>
      <c r="K311" s="79">
        <f>IFERROR(VLOOKUP($A:$A,CS!$A:$AK,19,FALSE),"")</f>
      </c>
      <c r="L311" s="79">
        <f>IFERROR(VLOOKUP($A:$A,CS!$A:$AK,20,FALSE),"")</f>
      </c>
      <c r="M311" s="79">
        <f>IFERROR(VLOOKUP($A:$A,CS!$A:$AK,22,FALSE),"")</f>
      </c>
      <c r="N311" s="79">
        <f>IFERROR(VLOOKUP($A:$A,CS!$A:$AK,19,FALSE),"")</f>
      </c>
      <c r="O311" s="79">
        <f>IFERROR(VLOOKUP($A:$A,CS!$A:$AK,23,FALSE),"")</f>
      </c>
      <c r="P311" s="79">
        <f>IFERROR(VLOOKUP($A:$A,CS!$A:$AK,24,FALSE),"")</f>
      </c>
      <c r="Q311" s="79">
        <f>IFERROR(VLOOKUP($A:$A,CS!$A:$AK,25,FALSE),"")</f>
      </c>
      <c r="R311" s="79">
        <f>IFERROR(VLOOKUP($A:$A,CS!$A:$AK,26,FALSE),"")</f>
      </c>
      <c r="S311" s="79">
        <f>IFERROR(VLOOKUP($A:$A,CS!$A:$AK,29,FALSE),"")</f>
      </c>
      <c r="T311" s="79">
        <f>IFERROR(VLOOKUP($A:$A,CS!$A:$AK,33,FALSE),"")</f>
      </c>
      <c r="U311" s="79">
        <f>IFERROR(VLOOKUP($A:$A,CS!$A:$AK,34,FALSE),"")</f>
      </c>
      <c r="V311" s="79">
        <f>IFERROR(VLOOKUP($A:$A,CS!$A:$AK,35,FALSE),"")</f>
      </c>
      <c r="W311" s="79">
        <f>IFERROR(VLOOKUP($A:$A,CS!$A:$AK,36,FALSE),"")</f>
      </c>
    </row>
    <row r="312" ht="16.5" customHeight="1" spans="1:23" x14ac:dyDescent="0.25">
      <c r="A312" s="93"/>
      <c r="B312" s="79">
        <f>IFERROR(VLOOKUP($A:$A,CS!$A:$AK,3,FALSE),"")</f>
      </c>
      <c r="C312" s="79">
        <f>IFERROR(VLOOKUP($A:$A,CS!$A:$AK,4,FALSE),"")</f>
      </c>
      <c r="D312" s="79">
        <f>IFERROR(VLOOKUP($A:$A,CS!$A:$AK,5,FALSE),"")</f>
      </c>
      <c r="E312" s="79">
        <f>IFERROR(VLOOKUP($A:$A,CS!$A:$AK,7,FALSE),"")</f>
      </c>
      <c r="F312" s="79">
        <f>IFERROR(VLOOKUP($A:$A,CS!$A:$AK,8,FALSE),"")</f>
      </c>
      <c r="G312" s="79">
        <f>IFERROR(VLOOKUP($A:$A,CS!$A:$AK,10,FALSE),"")</f>
      </c>
      <c r="H312" s="79">
        <f>IFERROR(VLOOKUP($A:$A,CS!$A:$AK,14,FALSE),"")</f>
      </c>
      <c r="I312" s="79">
        <f>IFERROR(VLOOKUP($A:$A,CS!$A:$AK,15,FALSE),"")</f>
      </c>
      <c r="J312" s="79">
        <f>IFERROR(VLOOKUP($A:$A,CS!$A:$AK,18,FALSE),"")</f>
      </c>
      <c r="K312" s="79">
        <f>IFERROR(VLOOKUP($A:$A,CS!$A:$AK,19,FALSE),"")</f>
      </c>
      <c r="L312" s="79">
        <f>IFERROR(VLOOKUP($A:$A,CS!$A:$AK,20,FALSE),"")</f>
      </c>
      <c r="M312" s="79">
        <f>IFERROR(VLOOKUP($A:$A,CS!$A:$AK,22,FALSE),"")</f>
      </c>
      <c r="N312" s="79">
        <f>IFERROR(VLOOKUP($A:$A,CS!$A:$AK,19,FALSE),"")</f>
      </c>
      <c r="O312" s="79">
        <f>IFERROR(VLOOKUP($A:$A,CS!$A:$AK,23,FALSE),"")</f>
      </c>
      <c r="P312" s="79">
        <f>IFERROR(VLOOKUP($A:$A,CS!$A:$AK,24,FALSE),"")</f>
      </c>
      <c r="Q312" s="79">
        <f>IFERROR(VLOOKUP($A:$A,CS!$A:$AK,25,FALSE),"")</f>
      </c>
      <c r="R312" s="79">
        <f>IFERROR(VLOOKUP($A:$A,CS!$A:$AK,26,FALSE),"")</f>
      </c>
      <c r="S312" s="79">
        <f>IFERROR(VLOOKUP($A:$A,CS!$A:$AK,29,FALSE),"")</f>
      </c>
      <c r="T312" s="79">
        <f>IFERROR(VLOOKUP($A:$A,CS!$A:$AK,33,FALSE),"")</f>
      </c>
      <c r="U312" s="79">
        <f>IFERROR(VLOOKUP($A:$A,CS!$A:$AK,34,FALSE),"")</f>
      </c>
      <c r="V312" s="79">
        <f>IFERROR(VLOOKUP($A:$A,CS!$A:$AK,35,FALSE),"")</f>
      </c>
      <c r="W312" s="79">
        <f>IFERROR(VLOOKUP($A:$A,CS!$A:$AK,36,FALSE),"")</f>
      </c>
    </row>
    <row r="313" ht="16.5" customHeight="1" spans="1:23" x14ac:dyDescent="0.25">
      <c r="A313" s="93"/>
      <c r="B313" s="79">
        <f>IFERROR(VLOOKUP($A:$A,CS!$A:$AK,3,FALSE),"")</f>
      </c>
      <c r="C313" s="79">
        <f>IFERROR(VLOOKUP($A:$A,CS!$A:$AK,4,FALSE),"")</f>
      </c>
      <c r="D313" s="79">
        <f>IFERROR(VLOOKUP($A:$A,CS!$A:$AK,5,FALSE),"")</f>
      </c>
      <c r="E313" s="79">
        <f>IFERROR(VLOOKUP($A:$A,CS!$A:$AK,7,FALSE),"")</f>
      </c>
      <c r="F313" s="79">
        <f>IFERROR(VLOOKUP($A:$A,CS!$A:$AK,8,FALSE),"")</f>
      </c>
      <c r="G313" s="79">
        <f>IFERROR(VLOOKUP($A:$A,CS!$A:$AK,10,FALSE),"")</f>
      </c>
      <c r="H313" s="79">
        <f>IFERROR(VLOOKUP($A:$A,CS!$A:$AK,14,FALSE),"")</f>
      </c>
      <c r="I313" s="79">
        <f>IFERROR(VLOOKUP($A:$A,CS!$A:$AK,15,FALSE),"")</f>
      </c>
      <c r="J313" s="79">
        <f>IFERROR(VLOOKUP($A:$A,CS!$A:$AK,18,FALSE),"")</f>
      </c>
      <c r="K313" s="79">
        <f>IFERROR(VLOOKUP($A:$A,CS!$A:$AK,19,FALSE),"")</f>
      </c>
      <c r="L313" s="79">
        <f>IFERROR(VLOOKUP($A:$A,CS!$A:$AK,20,FALSE),"")</f>
      </c>
      <c r="M313" s="79">
        <f>IFERROR(VLOOKUP($A:$A,CS!$A:$AK,22,FALSE),"")</f>
      </c>
      <c r="N313" s="79">
        <f>IFERROR(VLOOKUP($A:$A,CS!$A:$AK,19,FALSE),"")</f>
      </c>
      <c r="O313" s="79">
        <f>IFERROR(VLOOKUP($A:$A,CS!$A:$AK,23,FALSE),"")</f>
      </c>
      <c r="P313" s="79">
        <f>IFERROR(VLOOKUP($A:$A,CS!$A:$AK,24,FALSE),"")</f>
      </c>
      <c r="Q313" s="79">
        <f>IFERROR(VLOOKUP($A:$A,CS!$A:$AK,25,FALSE),"")</f>
      </c>
      <c r="R313" s="79">
        <f>IFERROR(VLOOKUP($A:$A,CS!$A:$AK,26,FALSE),"")</f>
      </c>
      <c r="S313" s="79">
        <f>IFERROR(VLOOKUP($A:$A,CS!$A:$AK,29,FALSE),"")</f>
      </c>
      <c r="T313" s="79">
        <f>IFERROR(VLOOKUP($A:$A,CS!$A:$AK,33,FALSE),"")</f>
      </c>
      <c r="U313" s="79">
        <f>IFERROR(VLOOKUP($A:$A,CS!$A:$AK,34,FALSE),"")</f>
      </c>
      <c r="V313" s="79">
        <f>IFERROR(VLOOKUP($A:$A,CS!$A:$AK,35,FALSE),"")</f>
      </c>
      <c r="W313" s="79">
        <f>IFERROR(VLOOKUP($A:$A,CS!$A:$AK,36,FALSE),"")</f>
      </c>
    </row>
    <row r="314" ht="16.5" customHeight="1" spans="1:23" x14ac:dyDescent="0.25">
      <c r="A314" s="93"/>
      <c r="B314" s="79">
        <f>IFERROR(VLOOKUP($A:$A,CS!$A:$AK,3,FALSE),"")</f>
      </c>
      <c r="C314" s="79">
        <f>IFERROR(VLOOKUP($A:$A,CS!$A:$AK,4,FALSE),"")</f>
      </c>
      <c r="D314" s="79">
        <f>IFERROR(VLOOKUP($A:$A,CS!$A:$AK,5,FALSE),"")</f>
      </c>
      <c r="E314" s="79">
        <f>IFERROR(VLOOKUP($A:$A,CS!$A:$AK,7,FALSE),"")</f>
      </c>
      <c r="F314" s="79">
        <f>IFERROR(VLOOKUP($A:$A,CS!$A:$AK,8,FALSE),"")</f>
      </c>
      <c r="G314" s="79">
        <f>IFERROR(VLOOKUP($A:$A,CS!$A:$AK,10,FALSE),"")</f>
      </c>
      <c r="H314" s="79">
        <f>IFERROR(VLOOKUP($A:$A,CS!$A:$AK,14,FALSE),"")</f>
      </c>
      <c r="I314" s="79">
        <f>IFERROR(VLOOKUP($A:$A,CS!$A:$AK,15,FALSE),"")</f>
      </c>
      <c r="J314" s="79">
        <f>IFERROR(VLOOKUP($A:$A,CS!$A:$AK,18,FALSE),"")</f>
      </c>
      <c r="K314" s="79">
        <f>IFERROR(VLOOKUP($A:$A,CS!$A:$AK,19,FALSE),"")</f>
      </c>
      <c r="L314" s="79">
        <f>IFERROR(VLOOKUP($A:$A,CS!$A:$AK,20,FALSE),"")</f>
      </c>
      <c r="M314" s="79">
        <f>IFERROR(VLOOKUP($A:$A,CS!$A:$AK,22,FALSE),"")</f>
      </c>
      <c r="N314" s="79">
        <f>IFERROR(VLOOKUP($A:$A,CS!$A:$AK,19,FALSE),"")</f>
      </c>
      <c r="O314" s="79">
        <f>IFERROR(VLOOKUP($A:$A,CS!$A:$AK,23,FALSE),"")</f>
      </c>
      <c r="P314" s="79">
        <f>IFERROR(VLOOKUP($A:$A,CS!$A:$AK,24,FALSE),"")</f>
      </c>
      <c r="Q314" s="79">
        <f>IFERROR(VLOOKUP($A:$A,CS!$A:$AK,25,FALSE),"")</f>
      </c>
      <c r="R314" s="79">
        <f>IFERROR(VLOOKUP($A:$A,CS!$A:$AK,26,FALSE),"")</f>
      </c>
      <c r="S314" s="79">
        <f>IFERROR(VLOOKUP($A:$A,CS!$A:$AK,29,FALSE),"")</f>
      </c>
      <c r="T314" s="79">
        <f>IFERROR(VLOOKUP($A:$A,CS!$A:$AK,33,FALSE),"")</f>
      </c>
      <c r="U314" s="79">
        <f>IFERROR(VLOOKUP($A:$A,CS!$A:$AK,34,FALSE),"")</f>
      </c>
      <c r="V314" s="79">
        <f>IFERROR(VLOOKUP($A:$A,CS!$A:$AK,35,FALSE),"")</f>
      </c>
      <c r="W314" s="79">
        <f>IFERROR(VLOOKUP($A:$A,CS!$A:$AK,36,FALSE),"")</f>
      </c>
    </row>
    <row r="315" ht="16.5" customHeight="1" spans="1:23" x14ac:dyDescent="0.25">
      <c r="A315" s="93"/>
      <c r="B315" s="79">
        <f>IFERROR(VLOOKUP($A:$A,CS!$A:$AK,3,FALSE),"")</f>
      </c>
      <c r="C315" s="79">
        <f>IFERROR(VLOOKUP($A:$A,CS!$A:$AK,4,FALSE),"")</f>
      </c>
      <c r="D315" s="79">
        <f>IFERROR(VLOOKUP($A:$A,CS!$A:$AK,5,FALSE),"")</f>
      </c>
      <c r="E315" s="79">
        <f>IFERROR(VLOOKUP($A:$A,CS!$A:$AK,7,FALSE),"")</f>
      </c>
      <c r="F315" s="79">
        <f>IFERROR(VLOOKUP($A:$A,CS!$A:$AK,8,FALSE),"")</f>
      </c>
      <c r="G315" s="79">
        <f>IFERROR(VLOOKUP($A:$A,CS!$A:$AK,10,FALSE),"")</f>
      </c>
      <c r="H315" s="79">
        <f>IFERROR(VLOOKUP($A:$A,CS!$A:$AK,14,FALSE),"")</f>
      </c>
      <c r="I315" s="79">
        <f>IFERROR(VLOOKUP($A:$A,CS!$A:$AK,15,FALSE),"")</f>
      </c>
      <c r="J315" s="79">
        <f>IFERROR(VLOOKUP($A:$A,CS!$A:$AK,18,FALSE),"")</f>
      </c>
      <c r="K315" s="79">
        <f>IFERROR(VLOOKUP($A:$A,CS!$A:$AK,19,FALSE),"")</f>
      </c>
      <c r="L315" s="79">
        <f>IFERROR(VLOOKUP($A:$A,CS!$A:$AK,20,FALSE),"")</f>
      </c>
      <c r="M315" s="79">
        <f>IFERROR(VLOOKUP($A:$A,CS!$A:$AK,22,FALSE),"")</f>
      </c>
      <c r="N315" s="79">
        <f>IFERROR(VLOOKUP($A:$A,CS!$A:$AK,19,FALSE),"")</f>
      </c>
      <c r="O315" s="79">
        <f>IFERROR(VLOOKUP($A:$A,CS!$A:$AK,23,FALSE),"")</f>
      </c>
      <c r="P315" s="79">
        <f>IFERROR(VLOOKUP($A:$A,CS!$A:$AK,24,FALSE),"")</f>
      </c>
      <c r="Q315" s="79">
        <f>IFERROR(VLOOKUP($A:$A,CS!$A:$AK,25,FALSE),"")</f>
      </c>
      <c r="R315" s="79">
        <f>IFERROR(VLOOKUP($A:$A,CS!$A:$AK,26,FALSE),"")</f>
      </c>
      <c r="S315" s="79">
        <f>IFERROR(VLOOKUP($A:$A,CS!$A:$AK,29,FALSE),"")</f>
      </c>
      <c r="T315" s="79">
        <f>IFERROR(VLOOKUP($A:$A,CS!$A:$AK,33,FALSE),"")</f>
      </c>
      <c r="U315" s="79">
        <f>IFERROR(VLOOKUP($A:$A,CS!$A:$AK,34,FALSE),"")</f>
      </c>
      <c r="V315" s="79">
        <f>IFERROR(VLOOKUP($A:$A,CS!$A:$AK,35,FALSE),"")</f>
      </c>
      <c r="W315" s="79">
        <f>IFERROR(VLOOKUP($A:$A,CS!$A:$AK,36,FALSE),"")</f>
      </c>
    </row>
    <row r="316" ht="16.5" customHeight="1" spans="1:23" x14ac:dyDescent="0.25">
      <c r="A316" s="93"/>
      <c r="B316" s="79">
        <f>IFERROR(VLOOKUP($A:$A,CS!$A:$AK,3,FALSE),"")</f>
      </c>
      <c r="C316" s="79">
        <f>IFERROR(VLOOKUP($A:$A,CS!$A:$AK,4,FALSE),"")</f>
      </c>
      <c r="D316" s="79">
        <f>IFERROR(VLOOKUP($A:$A,CS!$A:$AK,5,FALSE),"")</f>
      </c>
      <c r="E316" s="79">
        <f>IFERROR(VLOOKUP($A:$A,CS!$A:$AK,7,FALSE),"")</f>
      </c>
      <c r="F316" s="79">
        <f>IFERROR(VLOOKUP($A:$A,CS!$A:$AK,8,FALSE),"")</f>
      </c>
      <c r="G316" s="79">
        <f>IFERROR(VLOOKUP($A:$A,CS!$A:$AK,10,FALSE),"")</f>
      </c>
      <c r="H316" s="79">
        <f>IFERROR(VLOOKUP($A:$A,CS!$A:$AK,14,FALSE),"")</f>
      </c>
      <c r="I316" s="79">
        <f>IFERROR(VLOOKUP($A:$A,CS!$A:$AK,15,FALSE),"")</f>
      </c>
      <c r="J316" s="79">
        <f>IFERROR(VLOOKUP($A:$A,CS!$A:$AK,18,FALSE),"")</f>
      </c>
      <c r="K316" s="79">
        <f>IFERROR(VLOOKUP($A:$A,CS!$A:$AK,19,FALSE),"")</f>
      </c>
      <c r="L316" s="79">
        <f>IFERROR(VLOOKUP($A:$A,CS!$A:$AK,20,FALSE),"")</f>
      </c>
      <c r="M316" s="79">
        <f>IFERROR(VLOOKUP($A:$A,CS!$A:$AK,22,FALSE),"")</f>
      </c>
      <c r="N316" s="79">
        <f>IFERROR(VLOOKUP($A:$A,CS!$A:$AK,19,FALSE),"")</f>
      </c>
      <c r="O316" s="79">
        <f>IFERROR(VLOOKUP($A:$A,CS!$A:$AK,23,FALSE),"")</f>
      </c>
      <c r="P316" s="79">
        <f>IFERROR(VLOOKUP($A:$A,CS!$A:$AK,24,FALSE),"")</f>
      </c>
      <c r="Q316" s="79">
        <f>IFERROR(VLOOKUP($A:$A,CS!$A:$AK,25,FALSE),"")</f>
      </c>
      <c r="R316" s="79">
        <f>IFERROR(VLOOKUP($A:$A,CS!$A:$AK,26,FALSE),"")</f>
      </c>
      <c r="S316" s="79">
        <f>IFERROR(VLOOKUP($A:$A,CS!$A:$AK,29,FALSE),"")</f>
      </c>
      <c r="T316" s="79">
        <f>IFERROR(VLOOKUP($A:$A,CS!$A:$AK,33,FALSE),"")</f>
      </c>
      <c r="U316" s="79">
        <f>IFERROR(VLOOKUP($A:$A,CS!$A:$AK,34,FALSE),"")</f>
      </c>
      <c r="V316" s="79">
        <f>IFERROR(VLOOKUP($A:$A,CS!$A:$AK,35,FALSE),"")</f>
      </c>
      <c r="W316" s="79">
        <f>IFERROR(VLOOKUP($A:$A,CS!$A:$AK,36,FALSE),"")</f>
      </c>
    </row>
    <row r="317" ht="16.5" customHeight="1" spans="1:23" x14ac:dyDescent="0.25">
      <c r="A317" s="93"/>
      <c r="B317" s="79">
        <f>IFERROR(VLOOKUP($A:$A,CS!$A:$AK,3,FALSE),"")</f>
      </c>
      <c r="C317" s="79">
        <f>IFERROR(VLOOKUP($A:$A,CS!$A:$AK,4,FALSE),"")</f>
      </c>
      <c r="D317" s="79">
        <f>IFERROR(VLOOKUP($A:$A,CS!$A:$AK,5,FALSE),"")</f>
      </c>
      <c r="E317" s="79">
        <f>IFERROR(VLOOKUP($A:$A,CS!$A:$AK,7,FALSE),"")</f>
      </c>
      <c r="F317" s="79">
        <f>IFERROR(VLOOKUP($A:$A,CS!$A:$AK,8,FALSE),"")</f>
      </c>
      <c r="G317" s="79">
        <f>IFERROR(VLOOKUP($A:$A,CS!$A:$AK,10,FALSE),"")</f>
      </c>
      <c r="H317" s="79">
        <f>IFERROR(VLOOKUP($A:$A,CS!$A:$AK,14,FALSE),"")</f>
      </c>
      <c r="I317" s="79">
        <f>IFERROR(VLOOKUP($A:$A,CS!$A:$AK,15,FALSE),"")</f>
      </c>
      <c r="J317" s="79">
        <f>IFERROR(VLOOKUP($A:$A,CS!$A:$AK,18,FALSE),"")</f>
      </c>
      <c r="K317" s="79">
        <f>IFERROR(VLOOKUP($A:$A,CS!$A:$AK,19,FALSE),"")</f>
      </c>
      <c r="L317" s="79">
        <f>IFERROR(VLOOKUP($A:$A,CS!$A:$AK,20,FALSE),"")</f>
      </c>
      <c r="M317" s="79">
        <f>IFERROR(VLOOKUP($A:$A,CS!$A:$AK,22,FALSE),"")</f>
      </c>
      <c r="N317" s="79">
        <f>IFERROR(VLOOKUP($A:$A,CS!$A:$AK,19,FALSE),"")</f>
      </c>
      <c r="O317" s="79">
        <f>IFERROR(VLOOKUP($A:$A,CS!$A:$AK,23,FALSE),"")</f>
      </c>
      <c r="P317" s="79">
        <f>IFERROR(VLOOKUP($A:$A,CS!$A:$AK,24,FALSE),"")</f>
      </c>
      <c r="Q317" s="79">
        <f>IFERROR(VLOOKUP($A:$A,CS!$A:$AK,25,FALSE),"")</f>
      </c>
      <c r="R317" s="79">
        <f>IFERROR(VLOOKUP($A:$A,CS!$A:$AK,26,FALSE),"")</f>
      </c>
      <c r="S317" s="79">
        <f>IFERROR(VLOOKUP($A:$A,CS!$A:$AK,29,FALSE),"")</f>
      </c>
      <c r="T317" s="79">
        <f>IFERROR(VLOOKUP($A:$A,CS!$A:$AK,33,FALSE),"")</f>
      </c>
      <c r="U317" s="79">
        <f>IFERROR(VLOOKUP($A:$A,CS!$A:$AK,34,FALSE),"")</f>
      </c>
      <c r="V317" s="79">
        <f>IFERROR(VLOOKUP($A:$A,CS!$A:$AK,35,FALSE),"")</f>
      </c>
      <c r="W317" s="79">
        <f>IFERROR(VLOOKUP($A:$A,CS!$A:$AK,36,FALSE),"")</f>
      </c>
    </row>
    <row r="318" ht="16.5" customHeight="1" spans="1:23" x14ac:dyDescent="0.25">
      <c r="A318" s="93"/>
      <c r="B318" s="79">
        <f>IFERROR(VLOOKUP($A:$A,CS!$A:$AK,3,FALSE),"")</f>
      </c>
      <c r="C318" s="79">
        <f>IFERROR(VLOOKUP($A:$A,CS!$A:$AK,4,FALSE),"")</f>
      </c>
      <c r="D318" s="79">
        <f>IFERROR(VLOOKUP($A:$A,CS!$A:$AK,5,FALSE),"")</f>
      </c>
      <c r="E318" s="79">
        <f>IFERROR(VLOOKUP($A:$A,CS!$A:$AK,7,FALSE),"")</f>
      </c>
      <c r="F318" s="79">
        <f>IFERROR(VLOOKUP($A:$A,CS!$A:$AK,8,FALSE),"")</f>
      </c>
      <c r="G318" s="79">
        <f>IFERROR(VLOOKUP($A:$A,CS!$A:$AK,10,FALSE),"")</f>
      </c>
      <c r="H318" s="79">
        <f>IFERROR(VLOOKUP($A:$A,CS!$A:$AK,14,FALSE),"")</f>
      </c>
      <c r="I318" s="79">
        <f>IFERROR(VLOOKUP($A:$A,CS!$A:$AK,15,FALSE),"")</f>
      </c>
      <c r="J318" s="79">
        <f>IFERROR(VLOOKUP($A:$A,CS!$A:$AK,18,FALSE),"")</f>
      </c>
      <c r="K318" s="79">
        <f>IFERROR(VLOOKUP($A:$A,CS!$A:$AK,19,FALSE),"")</f>
      </c>
      <c r="L318" s="79">
        <f>IFERROR(VLOOKUP($A:$A,CS!$A:$AK,20,FALSE),"")</f>
      </c>
      <c r="M318" s="79">
        <f>IFERROR(VLOOKUP($A:$A,CS!$A:$AK,22,FALSE),"")</f>
      </c>
      <c r="N318" s="79">
        <f>IFERROR(VLOOKUP($A:$A,CS!$A:$AK,19,FALSE),"")</f>
      </c>
      <c r="O318" s="79">
        <f>IFERROR(VLOOKUP($A:$A,CS!$A:$AK,23,FALSE),"")</f>
      </c>
      <c r="P318" s="79">
        <f>IFERROR(VLOOKUP($A:$A,CS!$A:$AK,24,FALSE),"")</f>
      </c>
      <c r="Q318" s="79">
        <f>IFERROR(VLOOKUP($A:$A,CS!$A:$AK,25,FALSE),"")</f>
      </c>
      <c r="R318" s="79">
        <f>IFERROR(VLOOKUP($A:$A,CS!$A:$AK,26,FALSE),"")</f>
      </c>
      <c r="S318" s="79">
        <f>IFERROR(VLOOKUP($A:$A,CS!$A:$AK,29,FALSE),"")</f>
      </c>
      <c r="T318" s="79">
        <f>IFERROR(VLOOKUP($A:$A,CS!$A:$AK,33,FALSE),"")</f>
      </c>
      <c r="U318" s="79">
        <f>IFERROR(VLOOKUP($A:$A,CS!$A:$AK,34,FALSE),"")</f>
      </c>
      <c r="V318" s="79">
        <f>IFERROR(VLOOKUP($A:$A,CS!$A:$AK,35,FALSE),"")</f>
      </c>
      <c r="W318" s="79">
        <f>IFERROR(VLOOKUP($A:$A,CS!$A:$AK,36,FALSE),"")</f>
      </c>
    </row>
    <row r="319" ht="16.5" customHeight="1" spans="1:23" x14ac:dyDescent="0.25">
      <c r="A319" s="93"/>
      <c r="B319" s="79">
        <f>IFERROR(VLOOKUP($A:$A,CS!$A:$AK,3,FALSE),"")</f>
      </c>
      <c r="C319" s="79">
        <f>IFERROR(VLOOKUP($A:$A,CS!$A:$AK,4,FALSE),"")</f>
      </c>
      <c r="D319" s="79">
        <f>IFERROR(VLOOKUP($A:$A,CS!$A:$AK,5,FALSE),"")</f>
      </c>
      <c r="E319" s="79">
        <f>IFERROR(VLOOKUP($A:$A,CS!$A:$AK,7,FALSE),"")</f>
      </c>
      <c r="F319" s="79">
        <f>IFERROR(VLOOKUP($A:$A,CS!$A:$AK,8,FALSE),"")</f>
      </c>
      <c r="G319" s="79">
        <f>IFERROR(VLOOKUP($A:$A,CS!$A:$AK,10,FALSE),"")</f>
      </c>
      <c r="H319" s="79">
        <f>IFERROR(VLOOKUP($A:$A,CS!$A:$AK,14,FALSE),"")</f>
      </c>
      <c r="I319" s="79">
        <f>IFERROR(VLOOKUP($A:$A,CS!$A:$AK,15,FALSE),"")</f>
      </c>
      <c r="J319" s="79">
        <f>IFERROR(VLOOKUP($A:$A,CS!$A:$AK,18,FALSE),"")</f>
      </c>
      <c r="K319" s="79">
        <f>IFERROR(VLOOKUP($A:$A,CS!$A:$AK,19,FALSE),"")</f>
      </c>
      <c r="L319" s="79">
        <f>IFERROR(VLOOKUP($A:$A,CS!$A:$AK,20,FALSE),"")</f>
      </c>
      <c r="M319" s="79">
        <f>IFERROR(VLOOKUP($A:$A,CS!$A:$AK,22,FALSE),"")</f>
      </c>
      <c r="N319" s="79">
        <f>IFERROR(VLOOKUP($A:$A,CS!$A:$AK,19,FALSE),"")</f>
      </c>
      <c r="O319" s="79">
        <f>IFERROR(VLOOKUP($A:$A,CS!$A:$AK,23,FALSE),"")</f>
      </c>
      <c r="P319" s="79">
        <f>IFERROR(VLOOKUP($A:$A,CS!$A:$AK,24,FALSE),"")</f>
      </c>
      <c r="Q319" s="79">
        <f>IFERROR(VLOOKUP($A:$A,CS!$A:$AK,25,FALSE),"")</f>
      </c>
      <c r="R319" s="79">
        <f>IFERROR(VLOOKUP($A:$A,CS!$A:$AK,26,FALSE),"")</f>
      </c>
      <c r="S319" s="79">
        <f>IFERROR(VLOOKUP($A:$A,CS!$A:$AK,29,FALSE),"")</f>
      </c>
      <c r="T319" s="79">
        <f>IFERROR(VLOOKUP($A:$A,CS!$A:$AK,33,FALSE),"")</f>
      </c>
      <c r="U319" s="79">
        <f>IFERROR(VLOOKUP($A:$A,CS!$A:$AK,34,FALSE),"")</f>
      </c>
      <c r="V319" s="79">
        <f>IFERROR(VLOOKUP($A:$A,CS!$A:$AK,35,FALSE),"")</f>
      </c>
      <c r="W319" s="79">
        <f>IFERROR(VLOOKUP($A:$A,CS!$A:$AK,36,FALSE),"")</f>
      </c>
    </row>
    <row r="320" ht="16.5" customHeight="1" spans="1:23" x14ac:dyDescent="0.25">
      <c r="A320" s="93"/>
      <c r="B320" s="79">
        <f>IFERROR(VLOOKUP($A:$A,CS!$A:$AK,3,FALSE),"")</f>
      </c>
      <c r="C320" s="79">
        <f>IFERROR(VLOOKUP($A:$A,CS!$A:$AK,4,FALSE),"")</f>
      </c>
      <c r="D320" s="79">
        <f>IFERROR(VLOOKUP($A:$A,CS!$A:$AK,5,FALSE),"")</f>
      </c>
      <c r="E320" s="79">
        <f>IFERROR(VLOOKUP($A:$A,CS!$A:$AK,7,FALSE),"")</f>
      </c>
      <c r="F320" s="79">
        <f>IFERROR(VLOOKUP($A:$A,CS!$A:$AK,8,FALSE),"")</f>
      </c>
      <c r="G320" s="79">
        <f>IFERROR(VLOOKUP($A:$A,CS!$A:$AK,10,FALSE),"")</f>
      </c>
      <c r="H320" s="79">
        <f>IFERROR(VLOOKUP($A:$A,CS!$A:$AK,14,FALSE),"")</f>
      </c>
      <c r="I320" s="79">
        <f>IFERROR(VLOOKUP($A:$A,CS!$A:$AK,15,FALSE),"")</f>
      </c>
      <c r="J320" s="79">
        <f>IFERROR(VLOOKUP($A:$A,CS!$A:$AK,18,FALSE),"")</f>
      </c>
      <c r="K320" s="79">
        <f>IFERROR(VLOOKUP($A:$A,CS!$A:$AK,19,FALSE),"")</f>
      </c>
      <c r="L320" s="79">
        <f>IFERROR(VLOOKUP($A:$A,CS!$A:$AK,20,FALSE),"")</f>
      </c>
      <c r="M320" s="79">
        <f>IFERROR(VLOOKUP($A:$A,CS!$A:$AK,22,FALSE),"")</f>
      </c>
      <c r="N320" s="79">
        <f>IFERROR(VLOOKUP($A:$A,CS!$A:$AK,19,FALSE),"")</f>
      </c>
      <c r="O320" s="79">
        <f>IFERROR(VLOOKUP($A:$A,CS!$A:$AK,23,FALSE),"")</f>
      </c>
      <c r="P320" s="79">
        <f>IFERROR(VLOOKUP($A:$A,CS!$A:$AK,24,FALSE),"")</f>
      </c>
      <c r="Q320" s="79">
        <f>IFERROR(VLOOKUP($A:$A,CS!$A:$AK,25,FALSE),"")</f>
      </c>
      <c r="R320" s="79">
        <f>IFERROR(VLOOKUP($A:$A,CS!$A:$AK,26,FALSE),"")</f>
      </c>
      <c r="S320" s="79">
        <f>IFERROR(VLOOKUP($A:$A,CS!$A:$AK,29,FALSE),"")</f>
      </c>
      <c r="T320" s="79">
        <f>IFERROR(VLOOKUP($A:$A,CS!$A:$AK,33,FALSE),"")</f>
      </c>
      <c r="U320" s="79">
        <f>IFERROR(VLOOKUP($A:$A,CS!$A:$AK,34,FALSE),"")</f>
      </c>
      <c r="V320" s="79">
        <f>IFERROR(VLOOKUP($A:$A,CS!$A:$AK,35,FALSE),"")</f>
      </c>
      <c r="W320" s="79">
        <f>IFERROR(VLOOKUP($A:$A,CS!$A:$AK,36,FALSE),"")</f>
      </c>
    </row>
    <row r="321" ht="16.5" customHeight="1" spans="1:23" x14ac:dyDescent="0.25">
      <c r="A321" s="93"/>
      <c r="B321" s="79">
        <f>IFERROR(VLOOKUP($A:$A,CS!$A:$AK,3,FALSE),"")</f>
      </c>
      <c r="C321" s="79">
        <f>IFERROR(VLOOKUP($A:$A,CS!$A:$AK,4,FALSE),"")</f>
      </c>
      <c r="D321" s="79">
        <f>IFERROR(VLOOKUP($A:$A,CS!$A:$AK,5,FALSE),"")</f>
      </c>
      <c r="E321" s="79">
        <f>IFERROR(VLOOKUP($A:$A,CS!$A:$AK,7,FALSE),"")</f>
      </c>
      <c r="F321" s="79">
        <f>IFERROR(VLOOKUP($A:$A,CS!$A:$AK,8,FALSE),"")</f>
      </c>
      <c r="G321" s="79">
        <f>IFERROR(VLOOKUP($A:$A,CS!$A:$AK,10,FALSE),"")</f>
      </c>
      <c r="H321" s="79">
        <f>IFERROR(VLOOKUP($A:$A,CS!$A:$AK,14,FALSE),"")</f>
      </c>
      <c r="I321" s="79">
        <f>IFERROR(VLOOKUP($A:$A,CS!$A:$AK,15,FALSE),"")</f>
      </c>
      <c r="J321" s="79">
        <f>IFERROR(VLOOKUP($A:$A,CS!$A:$AK,18,FALSE),"")</f>
      </c>
      <c r="K321" s="79">
        <f>IFERROR(VLOOKUP($A:$A,CS!$A:$AK,19,FALSE),"")</f>
      </c>
      <c r="L321" s="79">
        <f>IFERROR(VLOOKUP($A:$A,CS!$A:$AK,20,FALSE),"")</f>
      </c>
      <c r="M321" s="79">
        <f>IFERROR(VLOOKUP($A:$A,CS!$A:$AK,22,FALSE),"")</f>
      </c>
      <c r="N321" s="79">
        <f>IFERROR(VLOOKUP($A:$A,CS!$A:$AK,19,FALSE),"")</f>
      </c>
      <c r="O321" s="79">
        <f>IFERROR(VLOOKUP($A:$A,CS!$A:$AK,23,FALSE),"")</f>
      </c>
      <c r="P321" s="79">
        <f>IFERROR(VLOOKUP($A:$A,CS!$A:$AK,24,FALSE),"")</f>
      </c>
      <c r="Q321" s="79">
        <f>IFERROR(VLOOKUP($A:$A,CS!$A:$AK,25,FALSE),"")</f>
      </c>
      <c r="R321" s="79">
        <f>IFERROR(VLOOKUP($A:$A,CS!$A:$AK,26,FALSE),"")</f>
      </c>
      <c r="S321" s="79">
        <f>IFERROR(VLOOKUP($A:$A,CS!$A:$AK,29,FALSE),"")</f>
      </c>
      <c r="T321" s="79">
        <f>IFERROR(VLOOKUP($A:$A,CS!$A:$AK,33,FALSE),"")</f>
      </c>
      <c r="U321" s="79">
        <f>IFERROR(VLOOKUP($A:$A,CS!$A:$AK,34,FALSE),"")</f>
      </c>
      <c r="V321" s="79">
        <f>IFERROR(VLOOKUP($A:$A,CS!$A:$AK,35,FALSE),"")</f>
      </c>
      <c r="W321" s="79">
        <f>IFERROR(VLOOKUP($A:$A,CS!$A:$AK,36,FALSE),"")</f>
      </c>
    </row>
    <row r="322" ht="16.5" customHeight="1" spans="1:23" x14ac:dyDescent="0.25">
      <c r="A322" s="93"/>
      <c r="B322" s="79">
        <f>IFERROR(VLOOKUP($A:$A,CS!$A:$AK,3,FALSE),"")</f>
      </c>
      <c r="C322" s="79">
        <f>IFERROR(VLOOKUP($A:$A,CS!$A:$AK,4,FALSE),"")</f>
      </c>
      <c r="D322" s="79">
        <f>IFERROR(VLOOKUP($A:$A,CS!$A:$AK,5,FALSE),"")</f>
      </c>
      <c r="E322" s="79">
        <f>IFERROR(VLOOKUP($A:$A,CS!$A:$AK,7,FALSE),"")</f>
      </c>
      <c r="F322" s="79">
        <f>IFERROR(VLOOKUP($A:$A,CS!$A:$AK,8,FALSE),"")</f>
      </c>
      <c r="G322" s="79">
        <f>IFERROR(VLOOKUP($A:$A,CS!$A:$AK,10,FALSE),"")</f>
      </c>
      <c r="H322" s="79">
        <f>IFERROR(VLOOKUP($A:$A,CS!$A:$AK,14,FALSE),"")</f>
      </c>
      <c r="I322" s="79">
        <f>IFERROR(VLOOKUP($A:$A,CS!$A:$AK,15,FALSE),"")</f>
      </c>
      <c r="J322" s="79">
        <f>IFERROR(VLOOKUP($A:$A,CS!$A:$AK,18,FALSE),"")</f>
      </c>
      <c r="K322" s="79">
        <f>IFERROR(VLOOKUP($A:$A,CS!$A:$AK,19,FALSE),"")</f>
      </c>
      <c r="L322" s="79">
        <f>IFERROR(VLOOKUP($A:$A,CS!$A:$AK,20,FALSE),"")</f>
      </c>
      <c r="M322" s="79">
        <f>IFERROR(VLOOKUP($A:$A,CS!$A:$AK,22,FALSE),"")</f>
      </c>
      <c r="N322" s="79">
        <f>IFERROR(VLOOKUP($A:$A,CS!$A:$AK,19,FALSE),"")</f>
      </c>
      <c r="O322" s="79">
        <f>IFERROR(VLOOKUP($A:$A,CS!$A:$AK,23,FALSE),"")</f>
      </c>
      <c r="P322" s="79">
        <f>IFERROR(VLOOKUP($A:$A,CS!$A:$AK,24,FALSE),"")</f>
      </c>
      <c r="Q322" s="79">
        <f>IFERROR(VLOOKUP($A:$A,CS!$A:$AK,25,FALSE),"")</f>
      </c>
      <c r="R322" s="79">
        <f>IFERROR(VLOOKUP($A:$A,CS!$A:$AK,26,FALSE),"")</f>
      </c>
      <c r="S322" s="79">
        <f>IFERROR(VLOOKUP($A:$A,CS!$A:$AK,29,FALSE),"")</f>
      </c>
      <c r="T322" s="79">
        <f>IFERROR(VLOOKUP($A:$A,CS!$A:$AK,33,FALSE),"")</f>
      </c>
      <c r="U322" s="79">
        <f>IFERROR(VLOOKUP($A:$A,CS!$A:$AK,34,FALSE),"")</f>
      </c>
      <c r="V322" s="79">
        <f>IFERROR(VLOOKUP($A:$A,CS!$A:$AK,35,FALSE),"")</f>
      </c>
      <c r="W322" s="79">
        <f>IFERROR(VLOOKUP($A:$A,CS!$A:$AK,36,FALSE),"")</f>
      </c>
    </row>
    <row r="323" ht="16.5" customHeight="1" spans="1:23" x14ac:dyDescent="0.25">
      <c r="A323" s="93"/>
      <c r="B323" s="79">
        <f>IFERROR(VLOOKUP($A:$A,CS!$A:$AK,3,FALSE),"")</f>
      </c>
      <c r="C323" s="79">
        <f>IFERROR(VLOOKUP($A:$A,CS!$A:$AK,4,FALSE),"")</f>
      </c>
      <c r="D323" s="79">
        <f>IFERROR(VLOOKUP($A:$A,CS!$A:$AK,5,FALSE),"")</f>
      </c>
      <c r="E323" s="79">
        <f>IFERROR(VLOOKUP($A:$A,CS!$A:$AK,7,FALSE),"")</f>
      </c>
      <c r="F323" s="79">
        <f>IFERROR(VLOOKUP($A:$A,CS!$A:$AK,8,FALSE),"")</f>
      </c>
      <c r="G323" s="79">
        <f>IFERROR(VLOOKUP($A:$A,CS!$A:$AK,10,FALSE),"")</f>
      </c>
      <c r="H323" s="79">
        <f>IFERROR(VLOOKUP($A:$A,CS!$A:$AK,14,FALSE),"")</f>
      </c>
      <c r="I323" s="79">
        <f>IFERROR(VLOOKUP($A:$A,CS!$A:$AK,15,FALSE),"")</f>
      </c>
      <c r="J323" s="79">
        <f>IFERROR(VLOOKUP($A:$A,CS!$A:$AK,18,FALSE),"")</f>
      </c>
      <c r="K323" s="79">
        <f>IFERROR(VLOOKUP($A:$A,CS!$A:$AK,19,FALSE),"")</f>
      </c>
      <c r="L323" s="79">
        <f>IFERROR(VLOOKUP($A:$A,CS!$A:$AK,20,FALSE),"")</f>
      </c>
      <c r="M323" s="79">
        <f>IFERROR(VLOOKUP($A:$A,CS!$A:$AK,22,FALSE),"")</f>
      </c>
      <c r="N323" s="79">
        <f>IFERROR(VLOOKUP($A:$A,CS!$A:$AK,19,FALSE),"")</f>
      </c>
      <c r="O323" s="79">
        <f>IFERROR(VLOOKUP($A:$A,CS!$A:$AK,23,FALSE),"")</f>
      </c>
      <c r="P323" s="79">
        <f>IFERROR(VLOOKUP($A:$A,CS!$A:$AK,24,FALSE),"")</f>
      </c>
      <c r="Q323" s="79">
        <f>IFERROR(VLOOKUP($A:$A,CS!$A:$AK,25,FALSE),"")</f>
      </c>
      <c r="R323" s="79">
        <f>IFERROR(VLOOKUP($A:$A,CS!$A:$AK,26,FALSE),"")</f>
      </c>
      <c r="S323" s="79">
        <f>IFERROR(VLOOKUP($A:$A,CS!$A:$AK,29,FALSE),"")</f>
      </c>
      <c r="T323" s="79">
        <f>IFERROR(VLOOKUP($A:$A,CS!$A:$AK,33,FALSE),"")</f>
      </c>
      <c r="U323" s="79">
        <f>IFERROR(VLOOKUP($A:$A,CS!$A:$AK,34,FALSE),"")</f>
      </c>
      <c r="V323" s="79">
        <f>IFERROR(VLOOKUP($A:$A,CS!$A:$AK,35,FALSE),"")</f>
      </c>
      <c r="W323" s="79">
        <f>IFERROR(VLOOKUP($A:$A,CS!$A:$AK,36,FALSE),"")</f>
      </c>
    </row>
    <row r="324" ht="16.5" customHeight="1" spans="1:23" x14ac:dyDescent="0.25">
      <c r="A324" s="93"/>
      <c r="B324" s="79">
        <f>IFERROR(VLOOKUP($A:$A,CS!$A:$AK,3,FALSE),"")</f>
      </c>
      <c r="C324" s="79">
        <f>IFERROR(VLOOKUP($A:$A,CS!$A:$AK,4,FALSE),"")</f>
      </c>
      <c r="D324" s="79">
        <f>IFERROR(VLOOKUP($A:$A,CS!$A:$AK,5,FALSE),"")</f>
      </c>
      <c r="E324" s="79">
        <f>IFERROR(VLOOKUP($A:$A,CS!$A:$AK,7,FALSE),"")</f>
      </c>
      <c r="F324" s="79">
        <f>IFERROR(VLOOKUP($A:$A,CS!$A:$AK,8,FALSE),"")</f>
      </c>
      <c r="G324" s="79">
        <f>IFERROR(VLOOKUP($A:$A,CS!$A:$AK,10,FALSE),"")</f>
      </c>
      <c r="H324" s="79">
        <f>IFERROR(VLOOKUP($A:$A,CS!$A:$AK,14,FALSE),"")</f>
      </c>
      <c r="I324" s="79">
        <f>IFERROR(VLOOKUP($A:$A,CS!$A:$AK,15,FALSE),"")</f>
      </c>
      <c r="J324" s="79">
        <f>IFERROR(VLOOKUP($A:$A,CS!$A:$AK,18,FALSE),"")</f>
      </c>
      <c r="K324" s="79">
        <f>IFERROR(VLOOKUP($A:$A,CS!$A:$AK,19,FALSE),"")</f>
      </c>
      <c r="L324" s="79">
        <f>IFERROR(VLOOKUP($A:$A,CS!$A:$AK,20,FALSE),"")</f>
      </c>
      <c r="M324" s="79">
        <f>IFERROR(VLOOKUP($A:$A,CS!$A:$AK,22,FALSE),"")</f>
      </c>
      <c r="N324" s="79">
        <f>IFERROR(VLOOKUP($A:$A,CS!$A:$AK,19,FALSE),"")</f>
      </c>
      <c r="O324" s="79">
        <f>IFERROR(VLOOKUP($A:$A,CS!$A:$AK,23,FALSE),"")</f>
      </c>
      <c r="P324" s="79">
        <f>IFERROR(VLOOKUP($A:$A,CS!$A:$AK,24,FALSE),"")</f>
      </c>
      <c r="Q324" s="79">
        <f>IFERROR(VLOOKUP($A:$A,CS!$A:$AK,25,FALSE),"")</f>
      </c>
      <c r="R324" s="79">
        <f>IFERROR(VLOOKUP($A:$A,CS!$A:$AK,26,FALSE),"")</f>
      </c>
      <c r="S324" s="79">
        <f>IFERROR(VLOOKUP($A:$A,CS!$A:$AK,29,FALSE),"")</f>
      </c>
      <c r="T324" s="79">
        <f>IFERROR(VLOOKUP($A:$A,CS!$A:$AK,33,FALSE),"")</f>
      </c>
      <c r="U324" s="79">
        <f>IFERROR(VLOOKUP($A:$A,CS!$A:$AK,34,FALSE),"")</f>
      </c>
      <c r="V324" s="79">
        <f>IFERROR(VLOOKUP($A:$A,CS!$A:$AK,35,FALSE),"")</f>
      </c>
      <c r="W324" s="79">
        <f>IFERROR(VLOOKUP($A:$A,CS!$A:$AK,36,FALSE),"")</f>
      </c>
    </row>
    <row r="325" ht="16.5" customHeight="1" spans="1:23" x14ac:dyDescent="0.25">
      <c r="A325" s="93"/>
      <c r="B325" s="79">
        <f>IFERROR(VLOOKUP($A:$A,CS!$A:$AK,3,FALSE),"")</f>
      </c>
      <c r="C325" s="79">
        <f>IFERROR(VLOOKUP($A:$A,CS!$A:$AK,4,FALSE),"")</f>
      </c>
      <c r="D325" s="79">
        <f>IFERROR(VLOOKUP($A:$A,CS!$A:$AK,5,FALSE),"")</f>
      </c>
      <c r="E325" s="79">
        <f>IFERROR(VLOOKUP($A:$A,CS!$A:$AK,7,FALSE),"")</f>
      </c>
      <c r="F325" s="79">
        <f>IFERROR(VLOOKUP($A:$A,CS!$A:$AK,8,FALSE),"")</f>
      </c>
      <c r="G325" s="79">
        <f>IFERROR(VLOOKUP($A:$A,CS!$A:$AK,10,FALSE),"")</f>
      </c>
      <c r="H325" s="79">
        <f>IFERROR(VLOOKUP($A:$A,CS!$A:$AK,14,FALSE),"")</f>
      </c>
      <c r="I325" s="79">
        <f>IFERROR(VLOOKUP($A:$A,CS!$A:$AK,15,FALSE),"")</f>
      </c>
      <c r="J325" s="79">
        <f>IFERROR(VLOOKUP($A:$A,CS!$A:$AK,18,FALSE),"")</f>
      </c>
      <c r="K325" s="79">
        <f>IFERROR(VLOOKUP($A:$A,CS!$A:$AK,19,FALSE),"")</f>
      </c>
      <c r="L325" s="79">
        <f>IFERROR(VLOOKUP($A:$A,CS!$A:$AK,20,FALSE),"")</f>
      </c>
      <c r="M325" s="79">
        <f>IFERROR(VLOOKUP($A:$A,CS!$A:$AK,22,FALSE),"")</f>
      </c>
      <c r="N325" s="79">
        <f>IFERROR(VLOOKUP($A:$A,CS!$A:$AK,19,FALSE),"")</f>
      </c>
      <c r="O325" s="79">
        <f>IFERROR(VLOOKUP($A:$A,CS!$A:$AK,23,FALSE),"")</f>
      </c>
      <c r="P325" s="79">
        <f>IFERROR(VLOOKUP($A:$A,CS!$A:$AK,24,FALSE),"")</f>
      </c>
      <c r="Q325" s="79">
        <f>IFERROR(VLOOKUP($A:$A,CS!$A:$AK,25,FALSE),"")</f>
      </c>
      <c r="R325" s="79">
        <f>IFERROR(VLOOKUP($A:$A,CS!$A:$AK,26,FALSE),"")</f>
      </c>
      <c r="S325" s="79">
        <f>IFERROR(VLOOKUP($A:$A,CS!$A:$AK,29,FALSE),"")</f>
      </c>
      <c r="T325" s="79">
        <f>IFERROR(VLOOKUP($A:$A,CS!$A:$AK,33,FALSE),"")</f>
      </c>
      <c r="U325" s="79">
        <f>IFERROR(VLOOKUP($A:$A,CS!$A:$AK,34,FALSE),"")</f>
      </c>
      <c r="V325" s="79">
        <f>IFERROR(VLOOKUP($A:$A,CS!$A:$AK,35,FALSE),"")</f>
      </c>
      <c r="W325" s="79">
        <f>IFERROR(VLOOKUP($A:$A,CS!$A:$AK,36,FALSE),"")</f>
      </c>
    </row>
    <row r="326" ht="16.5" customHeight="1" spans="1:23" x14ac:dyDescent="0.25">
      <c r="A326" s="93"/>
      <c r="B326" s="79">
        <f>IFERROR(VLOOKUP($A:$A,CS!$A:$AK,3,FALSE),"")</f>
      </c>
      <c r="C326" s="79">
        <f>IFERROR(VLOOKUP($A:$A,CS!$A:$AK,4,FALSE),"")</f>
      </c>
      <c r="D326" s="79">
        <f>IFERROR(VLOOKUP($A:$A,CS!$A:$AK,5,FALSE),"")</f>
      </c>
      <c r="E326" s="79">
        <f>IFERROR(VLOOKUP($A:$A,CS!$A:$AK,7,FALSE),"")</f>
      </c>
      <c r="F326" s="79">
        <f>IFERROR(VLOOKUP($A:$A,CS!$A:$AK,8,FALSE),"")</f>
      </c>
      <c r="G326" s="79">
        <f>IFERROR(VLOOKUP($A:$A,CS!$A:$AK,10,FALSE),"")</f>
      </c>
      <c r="H326" s="79">
        <f>IFERROR(VLOOKUP($A:$A,CS!$A:$AK,14,FALSE),"")</f>
      </c>
      <c r="I326" s="79">
        <f>IFERROR(VLOOKUP($A:$A,CS!$A:$AK,15,FALSE),"")</f>
      </c>
      <c r="J326" s="79">
        <f>IFERROR(VLOOKUP($A:$A,CS!$A:$AK,18,FALSE),"")</f>
      </c>
      <c r="K326" s="79">
        <f>IFERROR(VLOOKUP($A:$A,CS!$A:$AK,19,FALSE),"")</f>
      </c>
      <c r="L326" s="79">
        <f>IFERROR(VLOOKUP($A:$A,CS!$A:$AK,20,FALSE),"")</f>
      </c>
      <c r="M326" s="79">
        <f>IFERROR(VLOOKUP($A:$A,CS!$A:$AK,22,FALSE),"")</f>
      </c>
      <c r="N326" s="79">
        <f>IFERROR(VLOOKUP($A:$A,CS!$A:$AK,19,FALSE),"")</f>
      </c>
      <c r="O326" s="79">
        <f>IFERROR(VLOOKUP($A:$A,CS!$A:$AK,23,FALSE),"")</f>
      </c>
      <c r="P326" s="79">
        <f>IFERROR(VLOOKUP($A:$A,CS!$A:$AK,24,FALSE),"")</f>
      </c>
      <c r="Q326" s="79">
        <f>IFERROR(VLOOKUP($A:$A,CS!$A:$AK,25,FALSE),"")</f>
      </c>
      <c r="R326" s="79">
        <f>IFERROR(VLOOKUP($A:$A,CS!$A:$AK,26,FALSE),"")</f>
      </c>
      <c r="S326" s="79">
        <f>IFERROR(VLOOKUP($A:$A,CS!$A:$AK,29,FALSE),"")</f>
      </c>
      <c r="T326" s="79">
        <f>IFERROR(VLOOKUP($A:$A,CS!$A:$AK,33,FALSE),"")</f>
      </c>
      <c r="U326" s="79">
        <f>IFERROR(VLOOKUP($A:$A,CS!$A:$AK,34,FALSE),"")</f>
      </c>
      <c r="V326" s="79">
        <f>IFERROR(VLOOKUP($A:$A,CS!$A:$AK,35,FALSE),"")</f>
      </c>
      <c r="W326" s="79">
        <f>IFERROR(VLOOKUP($A:$A,CS!$A:$AK,36,FALSE),"")</f>
      </c>
    </row>
    <row r="327" ht="16.5" customHeight="1" spans="1:23" x14ac:dyDescent="0.25">
      <c r="A327" s="93"/>
      <c r="B327" s="79">
        <f>IFERROR(VLOOKUP($A:$A,CS!$A:$AK,3,FALSE),"")</f>
      </c>
      <c r="C327" s="79">
        <f>IFERROR(VLOOKUP($A:$A,CS!$A:$AK,4,FALSE),"")</f>
      </c>
      <c r="D327" s="79">
        <f>IFERROR(VLOOKUP($A:$A,CS!$A:$AK,5,FALSE),"")</f>
      </c>
      <c r="E327" s="79">
        <f>IFERROR(VLOOKUP($A:$A,CS!$A:$AK,7,FALSE),"")</f>
      </c>
      <c r="F327" s="79">
        <f>IFERROR(VLOOKUP($A:$A,CS!$A:$AK,8,FALSE),"")</f>
      </c>
      <c r="G327" s="79">
        <f>IFERROR(VLOOKUP($A:$A,CS!$A:$AK,10,FALSE),"")</f>
      </c>
      <c r="H327" s="79">
        <f>IFERROR(VLOOKUP($A:$A,CS!$A:$AK,14,FALSE),"")</f>
      </c>
      <c r="I327" s="79">
        <f>IFERROR(VLOOKUP($A:$A,CS!$A:$AK,15,FALSE),"")</f>
      </c>
      <c r="J327" s="79">
        <f>IFERROR(VLOOKUP($A:$A,CS!$A:$AK,18,FALSE),"")</f>
      </c>
      <c r="K327" s="79">
        <f>IFERROR(VLOOKUP($A:$A,CS!$A:$AK,19,FALSE),"")</f>
      </c>
      <c r="L327" s="79">
        <f>IFERROR(VLOOKUP($A:$A,CS!$A:$AK,20,FALSE),"")</f>
      </c>
      <c r="M327" s="79">
        <f>IFERROR(VLOOKUP($A:$A,CS!$A:$AK,22,FALSE),"")</f>
      </c>
      <c r="N327" s="79">
        <f>IFERROR(VLOOKUP($A:$A,CS!$A:$AK,19,FALSE),"")</f>
      </c>
      <c r="O327" s="79">
        <f>IFERROR(VLOOKUP($A:$A,CS!$A:$AK,23,FALSE),"")</f>
      </c>
      <c r="P327" s="79">
        <f>IFERROR(VLOOKUP($A:$A,CS!$A:$AK,24,FALSE),"")</f>
      </c>
      <c r="Q327" s="79">
        <f>IFERROR(VLOOKUP($A:$A,CS!$A:$AK,25,FALSE),"")</f>
      </c>
      <c r="R327" s="79">
        <f>IFERROR(VLOOKUP($A:$A,CS!$A:$AK,26,FALSE),"")</f>
      </c>
      <c r="S327" s="79">
        <f>IFERROR(VLOOKUP($A:$A,CS!$A:$AK,29,FALSE),"")</f>
      </c>
      <c r="T327" s="79">
        <f>IFERROR(VLOOKUP($A:$A,CS!$A:$AK,33,FALSE),"")</f>
      </c>
      <c r="U327" s="79">
        <f>IFERROR(VLOOKUP($A:$A,CS!$A:$AK,34,FALSE),"")</f>
      </c>
      <c r="V327" s="79">
        <f>IFERROR(VLOOKUP($A:$A,CS!$A:$AK,35,FALSE),"")</f>
      </c>
      <c r="W327" s="79">
        <f>IFERROR(VLOOKUP($A:$A,CS!$A:$AK,36,FALSE),"")</f>
      </c>
    </row>
    <row r="328" ht="16.5" customHeight="1" spans="1:23" x14ac:dyDescent="0.25">
      <c r="A328" s="93"/>
      <c r="B328" s="79">
        <f>IFERROR(VLOOKUP($A:$A,CS!$A:$AK,3,FALSE),"")</f>
      </c>
      <c r="C328" s="79">
        <f>IFERROR(VLOOKUP($A:$A,CS!$A:$AK,4,FALSE),"")</f>
      </c>
      <c r="D328" s="79">
        <f>IFERROR(VLOOKUP($A:$A,CS!$A:$AK,5,FALSE),"")</f>
      </c>
      <c r="E328" s="79">
        <f>IFERROR(VLOOKUP($A:$A,CS!$A:$AK,7,FALSE),"")</f>
      </c>
      <c r="F328" s="79">
        <f>IFERROR(VLOOKUP($A:$A,CS!$A:$AK,8,FALSE),"")</f>
      </c>
      <c r="G328" s="79">
        <f>IFERROR(VLOOKUP($A:$A,CS!$A:$AK,10,FALSE),"")</f>
      </c>
      <c r="H328" s="79">
        <f>IFERROR(VLOOKUP($A:$A,CS!$A:$AK,14,FALSE),"")</f>
      </c>
      <c r="I328" s="79">
        <f>IFERROR(VLOOKUP($A:$A,CS!$A:$AK,15,FALSE),"")</f>
      </c>
      <c r="J328" s="79">
        <f>IFERROR(VLOOKUP($A:$A,CS!$A:$AK,18,FALSE),"")</f>
      </c>
      <c r="K328" s="79">
        <f>IFERROR(VLOOKUP($A:$A,CS!$A:$AK,19,FALSE),"")</f>
      </c>
      <c r="L328" s="79">
        <f>IFERROR(VLOOKUP($A:$A,CS!$A:$AK,20,FALSE),"")</f>
      </c>
      <c r="M328" s="79">
        <f>IFERROR(VLOOKUP($A:$A,CS!$A:$AK,22,FALSE),"")</f>
      </c>
      <c r="N328" s="79">
        <f>IFERROR(VLOOKUP($A:$A,CS!$A:$AK,19,FALSE),"")</f>
      </c>
      <c r="O328" s="79">
        <f>IFERROR(VLOOKUP($A:$A,CS!$A:$AK,23,FALSE),"")</f>
      </c>
      <c r="P328" s="79">
        <f>IFERROR(VLOOKUP($A:$A,CS!$A:$AK,24,FALSE),"")</f>
      </c>
      <c r="Q328" s="79">
        <f>IFERROR(VLOOKUP($A:$A,CS!$A:$AK,25,FALSE),"")</f>
      </c>
      <c r="R328" s="79">
        <f>IFERROR(VLOOKUP($A:$A,CS!$A:$AK,26,FALSE),"")</f>
      </c>
      <c r="S328" s="79">
        <f>IFERROR(VLOOKUP($A:$A,CS!$A:$AK,29,FALSE),"")</f>
      </c>
      <c r="T328" s="79">
        <f>IFERROR(VLOOKUP($A:$A,CS!$A:$AK,33,FALSE),"")</f>
      </c>
      <c r="U328" s="79">
        <f>IFERROR(VLOOKUP($A:$A,CS!$A:$AK,34,FALSE),"")</f>
      </c>
      <c r="V328" s="79">
        <f>IFERROR(VLOOKUP($A:$A,CS!$A:$AK,35,FALSE),"")</f>
      </c>
      <c r="W328" s="79">
        <f>IFERROR(VLOOKUP($A:$A,CS!$A:$AK,36,FALSE),"")</f>
      </c>
    </row>
    <row r="329" ht="16.5" customHeight="1" spans="1:23" x14ac:dyDescent="0.25">
      <c r="A329" s="93"/>
      <c r="B329" s="79">
        <f>IFERROR(VLOOKUP($A:$A,CS!$A:$AK,3,FALSE),"")</f>
      </c>
      <c r="C329" s="79">
        <f>IFERROR(VLOOKUP($A:$A,CS!$A:$AK,4,FALSE),"")</f>
      </c>
      <c r="D329" s="79">
        <f>IFERROR(VLOOKUP($A:$A,CS!$A:$AK,5,FALSE),"")</f>
      </c>
      <c r="E329" s="79">
        <f>IFERROR(VLOOKUP($A:$A,CS!$A:$AK,7,FALSE),"")</f>
      </c>
      <c r="F329" s="79">
        <f>IFERROR(VLOOKUP($A:$A,CS!$A:$AK,8,FALSE),"")</f>
      </c>
      <c r="G329" s="79">
        <f>IFERROR(VLOOKUP($A:$A,CS!$A:$AK,10,FALSE),"")</f>
      </c>
      <c r="H329" s="79">
        <f>IFERROR(VLOOKUP($A:$A,CS!$A:$AK,14,FALSE),"")</f>
      </c>
      <c r="I329" s="79">
        <f>IFERROR(VLOOKUP($A:$A,CS!$A:$AK,15,FALSE),"")</f>
      </c>
      <c r="J329" s="79">
        <f>IFERROR(VLOOKUP($A:$A,CS!$A:$AK,18,FALSE),"")</f>
      </c>
      <c r="K329" s="79">
        <f>IFERROR(VLOOKUP($A:$A,CS!$A:$AK,19,FALSE),"")</f>
      </c>
      <c r="L329" s="79">
        <f>IFERROR(VLOOKUP($A:$A,CS!$A:$AK,20,FALSE),"")</f>
      </c>
      <c r="M329" s="79">
        <f>IFERROR(VLOOKUP($A:$A,CS!$A:$AK,22,FALSE),"")</f>
      </c>
      <c r="N329" s="79">
        <f>IFERROR(VLOOKUP($A:$A,CS!$A:$AK,19,FALSE),"")</f>
      </c>
      <c r="O329" s="79">
        <f>IFERROR(VLOOKUP($A:$A,CS!$A:$AK,23,FALSE),"")</f>
      </c>
      <c r="P329" s="79">
        <f>IFERROR(VLOOKUP($A:$A,CS!$A:$AK,24,FALSE),"")</f>
      </c>
      <c r="Q329" s="79">
        <f>IFERROR(VLOOKUP($A:$A,CS!$A:$AK,25,FALSE),"")</f>
      </c>
      <c r="R329" s="79">
        <f>IFERROR(VLOOKUP($A:$A,CS!$A:$AK,26,FALSE),"")</f>
      </c>
      <c r="S329" s="79">
        <f>IFERROR(VLOOKUP($A:$A,CS!$A:$AK,29,FALSE),"")</f>
      </c>
      <c r="T329" s="79">
        <f>IFERROR(VLOOKUP($A:$A,CS!$A:$AK,33,FALSE),"")</f>
      </c>
      <c r="U329" s="79">
        <f>IFERROR(VLOOKUP($A:$A,CS!$A:$AK,34,FALSE),"")</f>
      </c>
      <c r="V329" s="79">
        <f>IFERROR(VLOOKUP($A:$A,CS!$A:$AK,35,FALSE),"")</f>
      </c>
      <c r="W329" s="79">
        <f>IFERROR(VLOOKUP($A:$A,CS!$A:$AK,36,FALSE),"")</f>
      </c>
    </row>
    <row r="330" ht="16.5" customHeight="1" spans="1:23" x14ac:dyDescent="0.25">
      <c r="A330" s="93"/>
      <c r="B330" s="79">
        <f>IFERROR(VLOOKUP($A:$A,CS!$A:$AK,3,FALSE),"")</f>
      </c>
      <c r="C330" s="79">
        <f>IFERROR(VLOOKUP($A:$A,CS!$A:$AK,4,FALSE),"")</f>
      </c>
      <c r="D330" s="79">
        <f>IFERROR(VLOOKUP($A:$A,CS!$A:$AK,5,FALSE),"")</f>
      </c>
      <c r="E330" s="79">
        <f>IFERROR(VLOOKUP($A:$A,CS!$A:$AK,7,FALSE),"")</f>
      </c>
      <c r="F330" s="79">
        <f>IFERROR(VLOOKUP($A:$A,CS!$A:$AK,8,FALSE),"")</f>
      </c>
      <c r="G330" s="79">
        <f>IFERROR(VLOOKUP($A:$A,CS!$A:$AK,10,FALSE),"")</f>
      </c>
      <c r="H330" s="79">
        <f>IFERROR(VLOOKUP($A:$A,CS!$A:$AK,14,FALSE),"")</f>
      </c>
      <c r="I330" s="79">
        <f>IFERROR(VLOOKUP($A:$A,CS!$A:$AK,15,FALSE),"")</f>
      </c>
      <c r="J330" s="79">
        <f>IFERROR(VLOOKUP($A:$A,CS!$A:$AK,18,FALSE),"")</f>
      </c>
      <c r="K330" s="79">
        <f>IFERROR(VLOOKUP($A:$A,CS!$A:$AK,19,FALSE),"")</f>
      </c>
      <c r="L330" s="79">
        <f>IFERROR(VLOOKUP($A:$A,CS!$A:$AK,20,FALSE),"")</f>
      </c>
      <c r="M330" s="79">
        <f>IFERROR(VLOOKUP($A:$A,CS!$A:$AK,22,FALSE),"")</f>
      </c>
      <c r="N330" s="79">
        <f>IFERROR(VLOOKUP($A:$A,CS!$A:$AK,19,FALSE),"")</f>
      </c>
      <c r="O330" s="79">
        <f>IFERROR(VLOOKUP($A:$A,CS!$A:$AK,23,FALSE),"")</f>
      </c>
      <c r="P330" s="79">
        <f>IFERROR(VLOOKUP($A:$A,CS!$A:$AK,24,FALSE),"")</f>
      </c>
      <c r="Q330" s="79">
        <f>IFERROR(VLOOKUP($A:$A,CS!$A:$AK,25,FALSE),"")</f>
      </c>
      <c r="R330" s="79">
        <f>IFERROR(VLOOKUP($A:$A,CS!$A:$AK,26,FALSE),"")</f>
      </c>
      <c r="S330" s="79">
        <f>IFERROR(VLOOKUP($A:$A,CS!$A:$AK,29,FALSE),"")</f>
      </c>
      <c r="T330" s="79">
        <f>IFERROR(VLOOKUP($A:$A,CS!$A:$AK,33,FALSE),"")</f>
      </c>
      <c r="U330" s="79">
        <f>IFERROR(VLOOKUP($A:$A,CS!$A:$AK,34,FALSE),"")</f>
      </c>
      <c r="V330" s="79">
        <f>IFERROR(VLOOKUP($A:$A,CS!$A:$AK,35,FALSE),"")</f>
      </c>
      <c r="W330" s="79">
        <f>IFERROR(VLOOKUP($A:$A,CS!$A:$AK,36,FALSE),"")</f>
      </c>
    </row>
    <row r="331" ht="16.5" customHeight="1" spans="1:23" x14ac:dyDescent="0.25">
      <c r="A331" s="93"/>
      <c r="B331" s="79">
        <f>IFERROR(VLOOKUP($A:$A,CS!$A:$AK,3,FALSE),"")</f>
      </c>
      <c r="C331" s="79">
        <f>IFERROR(VLOOKUP($A:$A,CS!$A:$AK,4,FALSE),"")</f>
      </c>
      <c r="D331" s="79">
        <f>IFERROR(VLOOKUP($A:$A,CS!$A:$AK,5,FALSE),"")</f>
      </c>
      <c r="E331" s="79">
        <f>IFERROR(VLOOKUP($A:$A,CS!$A:$AK,7,FALSE),"")</f>
      </c>
      <c r="F331" s="79">
        <f>IFERROR(VLOOKUP($A:$A,CS!$A:$AK,8,FALSE),"")</f>
      </c>
      <c r="G331" s="79">
        <f>IFERROR(VLOOKUP($A:$A,CS!$A:$AK,10,FALSE),"")</f>
      </c>
      <c r="H331" s="79">
        <f>IFERROR(VLOOKUP($A:$A,CS!$A:$AK,14,FALSE),"")</f>
      </c>
      <c r="I331" s="79">
        <f>IFERROR(VLOOKUP($A:$A,CS!$A:$AK,15,FALSE),"")</f>
      </c>
      <c r="J331" s="79">
        <f>IFERROR(VLOOKUP($A:$A,CS!$A:$AK,18,FALSE),"")</f>
      </c>
      <c r="K331" s="79">
        <f>IFERROR(VLOOKUP($A:$A,CS!$A:$AK,19,FALSE),"")</f>
      </c>
      <c r="L331" s="79">
        <f>IFERROR(VLOOKUP($A:$A,CS!$A:$AK,20,FALSE),"")</f>
      </c>
      <c r="M331" s="79">
        <f>IFERROR(VLOOKUP($A:$A,CS!$A:$AK,22,FALSE),"")</f>
      </c>
      <c r="N331" s="79">
        <f>IFERROR(VLOOKUP($A:$A,CS!$A:$AK,19,FALSE),"")</f>
      </c>
      <c r="O331" s="79">
        <f>IFERROR(VLOOKUP($A:$A,CS!$A:$AK,23,FALSE),"")</f>
      </c>
      <c r="P331" s="79">
        <f>IFERROR(VLOOKUP($A:$A,CS!$A:$AK,24,FALSE),"")</f>
      </c>
      <c r="Q331" s="79">
        <f>IFERROR(VLOOKUP($A:$A,CS!$A:$AK,25,FALSE),"")</f>
      </c>
      <c r="R331" s="79">
        <f>IFERROR(VLOOKUP($A:$A,CS!$A:$AK,26,FALSE),"")</f>
      </c>
      <c r="S331" s="79">
        <f>IFERROR(VLOOKUP($A:$A,CS!$A:$AK,29,FALSE),"")</f>
      </c>
      <c r="T331" s="79">
        <f>IFERROR(VLOOKUP($A:$A,CS!$A:$AK,33,FALSE),"")</f>
      </c>
      <c r="U331" s="79">
        <f>IFERROR(VLOOKUP($A:$A,CS!$A:$AK,34,FALSE),"")</f>
      </c>
      <c r="V331" s="79">
        <f>IFERROR(VLOOKUP($A:$A,CS!$A:$AK,35,FALSE),"")</f>
      </c>
      <c r="W331" s="79">
        <f>IFERROR(VLOOKUP($A:$A,CS!$A:$AK,36,FALSE),"")</f>
      </c>
    </row>
    <row r="332" ht="16.5" customHeight="1" spans="1:23" x14ac:dyDescent="0.25">
      <c r="A332" s="93"/>
      <c r="B332" s="79">
        <f>IFERROR(VLOOKUP($A:$A,CS!$A:$AK,3,FALSE),"")</f>
      </c>
      <c r="C332" s="79">
        <f>IFERROR(VLOOKUP($A:$A,CS!$A:$AK,4,FALSE),"")</f>
      </c>
      <c r="D332" s="79">
        <f>IFERROR(VLOOKUP($A:$A,CS!$A:$AK,5,FALSE),"")</f>
      </c>
      <c r="E332" s="79">
        <f>IFERROR(VLOOKUP($A:$A,CS!$A:$AK,7,FALSE),"")</f>
      </c>
      <c r="F332" s="79">
        <f>IFERROR(VLOOKUP($A:$A,CS!$A:$AK,8,FALSE),"")</f>
      </c>
      <c r="G332" s="79">
        <f>IFERROR(VLOOKUP($A:$A,CS!$A:$AK,10,FALSE),"")</f>
      </c>
      <c r="H332" s="79">
        <f>IFERROR(VLOOKUP($A:$A,CS!$A:$AK,14,FALSE),"")</f>
      </c>
      <c r="I332" s="79">
        <f>IFERROR(VLOOKUP($A:$A,CS!$A:$AK,15,FALSE),"")</f>
      </c>
      <c r="J332" s="79">
        <f>IFERROR(VLOOKUP($A:$A,CS!$A:$AK,18,FALSE),"")</f>
      </c>
      <c r="K332" s="79">
        <f>IFERROR(VLOOKUP($A:$A,CS!$A:$AK,19,FALSE),"")</f>
      </c>
      <c r="L332" s="79">
        <f>IFERROR(VLOOKUP($A:$A,CS!$A:$AK,20,FALSE),"")</f>
      </c>
      <c r="M332" s="79">
        <f>IFERROR(VLOOKUP($A:$A,CS!$A:$AK,22,FALSE),"")</f>
      </c>
      <c r="N332" s="79">
        <f>IFERROR(VLOOKUP($A:$A,CS!$A:$AK,19,FALSE),"")</f>
      </c>
      <c r="O332" s="79">
        <f>IFERROR(VLOOKUP($A:$A,CS!$A:$AK,23,FALSE),"")</f>
      </c>
      <c r="P332" s="79">
        <f>IFERROR(VLOOKUP($A:$A,CS!$A:$AK,24,FALSE),"")</f>
      </c>
      <c r="Q332" s="79">
        <f>IFERROR(VLOOKUP($A:$A,CS!$A:$AK,25,FALSE),"")</f>
      </c>
      <c r="R332" s="79">
        <f>IFERROR(VLOOKUP($A:$A,CS!$A:$AK,26,FALSE),"")</f>
      </c>
      <c r="S332" s="79">
        <f>IFERROR(VLOOKUP($A:$A,CS!$A:$AK,29,FALSE),"")</f>
      </c>
      <c r="T332" s="79">
        <f>IFERROR(VLOOKUP($A:$A,CS!$A:$AK,33,FALSE),"")</f>
      </c>
      <c r="U332" s="79">
        <f>IFERROR(VLOOKUP($A:$A,CS!$A:$AK,34,FALSE),"")</f>
      </c>
      <c r="V332" s="79">
        <f>IFERROR(VLOOKUP($A:$A,CS!$A:$AK,35,FALSE),"")</f>
      </c>
      <c r="W332" s="79">
        <f>IFERROR(VLOOKUP($A:$A,CS!$A:$AK,36,FALSE),"")</f>
      </c>
    </row>
    <row r="333" ht="16.5" customHeight="1" spans="1:23" x14ac:dyDescent="0.25">
      <c r="A333" s="93"/>
      <c r="B333" s="79">
        <f>IFERROR(VLOOKUP($A:$A,CS!$A:$AK,3,FALSE),"")</f>
      </c>
      <c r="C333" s="79">
        <f>IFERROR(VLOOKUP($A:$A,CS!$A:$AK,4,FALSE),"")</f>
      </c>
      <c r="D333" s="79">
        <f>IFERROR(VLOOKUP($A:$A,CS!$A:$AK,5,FALSE),"")</f>
      </c>
      <c r="E333" s="79">
        <f>IFERROR(VLOOKUP($A:$A,CS!$A:$AK,7,FALSE),"")</f>
      </c>
      <c r="F333" s="79">
        <f>IFERROR(VLOOKUP($A:$A,CS!$A:$AK,8,FALSE),"")</f>
      </c>
      <c r="G333" s="79">
        <f>IFERROR(VLOOKUP($A:$A,CS!$A:$AK,10,FALSE),"")</f>
      </c>
      <c r="H333" s="79">
        <f>IFERROR(VLOOKUP($A:$A,CS!$A:$AK,14,FALSE),"")</f>
      </c>
      <c r="I333" s="79">
        <f>IFERROR(VLOOKUP($A:$A,CS!$A:$AK,15,FALSE),"")</f>
      </c>
      <c r="J333" s="79">
        <f>IFERROR(VLOOKUP($A:$A,CS!$A:$AK,18,FALSE),"")</f>
      </c>
      <c r="K333" s="79">
        <f>IFERROR(VLOOKUP($A:$A,CS!$A:$AK,19,FALSE),"")</f>
      </c>
      <c r="L333" s="79">
        <f>IFERROR(VLOOKUP($A:$A,CS!$A:$AK,20,FALSE),"")</f>
      </c>
      <c r="M333" s="79">
        <f>IFERROR(VLOOKUP($A:$A,CS!$A:$AK,22,FALSE),"")</f>
      </c>
      <c r="N333" s="79">
        <f>IFERROR(VLOOKUP($A:$A,CS!$A:$AK,19,FALSE),"")</f>
      </c>
      <c r="O333" s="79">
        <f>IFERROR(VLOOKUP($A:$A,CS!$A:$AK,23,FALSE),"")</f>
      </c>
      <c r="P333" s="79">
        <f>IFERROR(VLOOKUP($A:$A,CS!$A:$AK,24,FALSE),"")</f>
      </c>
      <c r="Q333" s="79">
        <f>IFERROR(VLOOKUP($A:$A,CS!$A:$AK,25,FALSE),"")</f>
      </c>
      <c r="R333" s="79">
        <f>IFERROR(VLOOKUP($A:$A,CS!$A:$AK,26,FALSE),"")</f>
      </c>
      <c r="S333" s="79">
        <f>IFERROR(VLOOKUP($A:$A,CS!$A:$AK,29,FALSE),"")</f>
      </c>
      <c r="T333" s="79">
        <f>IFERROR(VLOOKUP($A:$A,CS!$A:$AK,33,FALSE),"")</f>
      </c>
      <c r="U333" s="79">
        <f>IFERROR(VLOOKUP($A:$A,CS!$A:$AK,34,FALSE),"")</f>
      </c>
      <c r="V333" s="79">
        <f>IFERROR(VLOOKUP($A:$A,CS!$A:$AK,35,FALSE),"")</f>
      </c>
      <c r="W333" s="79">
        <f>IFERROR(VLOOKUP($A:$A,CS!$A:$AK,36,FALSE),"")</f>
      </c>
    </row>
    <row r="334" ht="16.5" customHeight="1" spans="1:23" x14ac:dyDescent="0.25">
      <c r="A334" s="93"/>
      <c r="B334" s="79">
        <f>IFERROR(VLOOKUP($A:$A,CS!$A:$AK,3,FALSE),"")</f>
      </c>
      <c r="C334" s="79">
        <f>IFERROR(VLOOKUP($A:$A,CS!$A:$AK,4,FALSE),"")</f>
      </c>
      <c r="D334" s="79">
        <f>IFERROR(VLOOKUP($A:$A,CS!$A:$AK,5,FALSE),"")</f>
      </c>
      <c r="E334" s="79">
        <f>IFERROR(VLOOKUP($A:$A,CS!$A:$AK,7,FALSE),"")</f>
      </c>
      <c r="F334" s="79">
        <f>IFERROR(VLOOKUP($A:$A,CS!$A:$AK,8,FALSE),"")</f>
      </c>
      <c r="G334" s="79">
        <f>IFERROR(VLOOKUP($A:$A,CS!$A:$AK,10,FALSE),"")</f>
      </c>
      <c r="H334" s="79">
        <f>IFERROR(VLOOKUP($A:$A,CS!$A:$AK,14,FALSE),"")</f>
      </c>
      <c r="I334" s="79">
        <f>IFERROR(VLOOKUP($A:$A,CS!$A:$AK,15,FALSE),"")</f>
      </c>
      <c r="J334" s="79">
        <f>IFERROR(VLOOKUP($A:$A,CS!$A:$AK,18,FALSE),"")</f>
      </c>
      <c r="K334" s="79">
        <f>IFERROR(VLOOKUP($A:$A,CS!$A:$AK,19,FALSE),"")</f>
      </c>
      <c r="L334" s="79">
        <f>IFERROR(VLOOKUP($A:$A,CS!$A:$AK,20,FALSE),"")</f>
      </c>
      <c r="M334" s="79">
        <f>IFERROR(VLOOKUP($A:$A,CS!$A:$AK,22,FALSE),"")</f>
      </c>
      <c r="N334" s="79">
        <f>IFERROR(VLOOKUP($A:$A,CS!$A:$AK,19,FALSE),"")</f>
      </c>
      <c r="O334" s="79">
        <f>IFERROR(VLOOKUP($A:$A,CS!$A:$AK,23,FALSE),"")</f>
      </c>
      <c r="P334" s="79">
        <f>IFERROR(VLOOKUP($A:$A,CS!$A:$AK,24,FALSE),"")</f>
      </c>
      <c r="Q334" s="79">
        <f>IFERROR(VLOOKUP($A:$A,CS!$A:$AK,25,FALSE),"")</f>
      </c>
      <c r="R334" s="79">
        <f>IFERROR(VLOOKUP($A:$A,CS!$A:$AK,26,FALSE),"")</f>
      </c>
      <c r="S334" s="79">
        <f>IFERROR(VLOOKUP($A:$A,CS!$A:$AK,29,FALSE),"")</f>
      </c>
      <c r="T334" s="79">
        <f>IFERROR(VLOOKUP($A:$A,CS!$A:$AK,33,FALSE),"")</f>
      </c>
      <c r="U334" s="79">
        <f>IFERROR(VLOOKUP($A:$A,CS!$A:$AK,34,FALSE),"")</f>
      </c>
      <c r="V334" s="79">
        <f>IFERROR(VLOOKUP($A:$A,CS!$A:$AK,35,FALSE),"")</f>
      </c>
      <c r="W334" s="79">
        <f>IFERROR(VLOOKUP($A:$A,CS!$A:$AK,36,FALSE),"")</f>
      </c>
    </row>
    <row r="335" ht="16.5" customHeight="1" spans="1:23" x14ac:dyDescent="0.25">
      <c r="A335" s="93"/>
      <c r="B335" s="79">
        <f>IFERROR(VLOOKUP($A:$A,CS!$A:$AK,3,FALSE),"")</f>
      </c>
      <c r="C335" s="79">
        <f>IFERROR(VLOOKUP($A:$A,CS!$A:$AK,4,FALSE),"")</f>
      </c>
      <c r="D335" s="79">
        <f>IFERROR(VLOOKUP($A:$A,CS!$A:$AK,5,FALSE),"")</f>
      </c>
      <c r="E335" s="79">
        <f>IFERROR(VLOOKUP($A:$A,CS!$A:$AK,7,FALSE),"")</f>
      </c>
      <c r="F335" s="79">
        <f>IFERROR(VLOOKUP($A:$A,CS!$A:$AK,8,FALSE),"")</f>
      </c>
      <c r="G335" s="79">
        <f>IFERROR(VLOOKUP($A:$A,CS!$A:$AK,10,FALSE),"")</f>
      </c>
      <c r="H335" s="79">
        <f>IFERROR(VLOOKUP($A:$A,CS!$A:$AK,14,FALSE),"")</f>
      </c>
      <c r="I335" s="79">
        <f>IFERROR(VLOOKUP($A:$A,CS!$A:$AK,15,FALSE),"")</f>
      </c>
      <c r="J335" s="79">
        <f>IFERROR(VLOOKUP($A:$A,CS!$A:$AK,18,FALSE),"")</f>
      </c>
      <c r="K335" s="79">
        <f>IFERROR(VLOOKUP($A:$A,CS!$A:$AK,19,FALSE),"")</f>
      </c>
      <c r="L335" s="79">
        <f>IFERROR(VLOOKUP($A:$A,CS!$A:$AK,20,FALSE),"")</f>
      </c>
      <c r="M335" s="79">
        <f>IFERROR(VLOOKUP($A:$A,CS!$A:$AK,22,FALSE),"")</f>
      </c>
      <c r="N335" s="79">
        <f>IFERROR(VLOOKUP($A:$A,CS!$A:$AK,19,FALSE),"")</f>
      </c>
      <c r="O335" s="79">
        <f>IFERROR(VLOOKUP($A:$A,CS!$A:$AK,23,FALSE),"")</f>
      </c>
      <c r="P335" s="79">
        <f>IFERROR(VLOOKUP($A:$A,CS!$A:$AK,24,FALSE),"")</f>
      </c>
      <c r="Q335" s="79">
        <f>IFERROR(VLOOKUP($A:$A,CS!$A:$AK,25,FALSE),"")</f>
      </c>
      <c r="R335" s="79">
        <f>IFERROR(VLOOKUP($A:$A,CS!$A:$AK,26,FALSE),"")</f>
      </c>
      <c r="S335" s="79">
        <f>IFERROR(VLOOKUP($A:$A,CS!$A:$AK,29,FALSE),"")</f>
      </c>
      <c r="T335" s="79">
        <f>IFERROR(VLOOKUP($A:$A,CS!$A:$AK,33,FALSE),"")</f>
      </c>
      <c r="U335" s="79">
        <f>IFERROR(VLOOKUP($A:$A,CS!$A:$AK,34,FALSE),"")</f>
      </c>
      <c r="V335" s="79">
        <f>IFERROR(VLOOKUP($A:$A,CS!$A:$AK,35,FALSE),"")</f>
      </c>
      <c r="W335" s="79">
        <f>IFERROR(VLOOKUP($A:$A,CS!$A:$AK,36,FALSE),"")</f>
      </c>
    </row>
    <row r="336" ht="16.5" customHeight="1" spans="1:23" x14ac:dyDescent="0.25">
      <c r="A336" s="93"/>
      <c r="B336" s="79">
        <f>IFERROR(VLOOKUP($A:$A,CS!$A:$AK,3,FALSE),"")</f>
      </c>
      <c r="C336" s="79">
        <f>IFERROR(VLOOKUP($A:$A,CS!$A:$AK,4,FALSE),"")</f>
      </c>
      <c r="D336" s="79">
        <f>IFERROR(VLOOKUP($A:$A,CS!$A:$AK,5,FALSE),"")</f>
      </c>
      <c r="E336" s="79">
        <f>IFERROR(VLOOKUP($A:$A,CS!$A:$AK,7,FALSE),"")</f>
      </c>
      <c r="F336" s="79">
        <f>IFERROR(VLOOKUP($A:$A,CS!$A:$AK,8,FALSE),"")</f>
      </c>
      <c r="G336" s="79">
        <f>IFERROR(VLOOKUP($A:$A,CS!$A:$AK,10,FALSE),"")</f>
      </c>
      <c r="H336" s="79">
        <f>IFERROR(VLOOKUP($A:$A,CS!$A:$AK,14,FALSE),"")</f>
      </c>
      <c r="I336" s="79">
        <f>IFERROR(VLOOKUP($A:$A,CS!$A:$AK,15,FALSE),"")</f>
      </c>
      <c r="J336" s="79">
        <f>IFERROR(VLOOKUP($A:$A,CS!$A:$AK,18,FALSE),"")</f>
      </c>
      <c r="K336" s="79">
        <f>IFERROR(VLOOKUP($A:$A,CS!$A:$AK,19,FALSE),"")</f>
      </c>
      <c r="L336" s="79">
        <f>IFERROR(VLOOKUP($A:$A,CS!$A:$AK,20,FALSE),"")</f>
      </c>
      <c r="M336" s="79">
        <f>IFERROR(VLOOKUP($A:$A,CS!$A:$AK,22,FALSE),"")</f>
      </c>
      <c r="N336" s="79">
        <f>IFERROR(VLOOKUP($A:$A,CS!$A:$AK,19,FALSE),"")</f>
      </c>
      <c r="O336" s="79">
        <f>IFERROR(VLOOKUP($A:$A,CS!$A:$AK,23,FALSE),"")</f>
      </c>
      <c r="P336" s="79">
        <f>IFERROR(VLOOKUP($A:$A,CS!$A:$AK,24,FALSE),"")</f>
      </c>
      <c r="Q336" s="79">
        <f>IFERROR(VLOOKUP($A:$A,CS!$A:$AK,25,FALSE),"")</f>
      </c>
      <c r="R336" s="79">
        <f>IFERROR(VLOOKUP($A:$A,CS!$A:$AK,26,FALSE),"")</f>
      </c>
      <c r="S336" s="79">
        <f>IFERROR(VLOOKUP($A:$A,CS!$A:$AK,29,FALSE),"")</f>
      </c>
      <c r="T336" s="79">
        <f>IFERROR(VLOOKUP($A:$A,CS!$A:$AK,33,FALSE),"")</f>
      </c>
      <c r="U336" s="79">
        <f>IFERROR(VLOOKUP($A:$A,CS!$A:$AK,34,FALSE),"")</f>
      </c>
      <c r="V336" s="79">
        <f>IFERROR(VLOOKUP($A:$A,CS!$A:$AK,35,FALSE),"")</f>
      </c>
      <c r="W336" s="79">
        <f>IFERROR(VLOOKUP($A:$A,CS!$A:$AK,36,FALSE),"")</f>
      </c>
    </row>
    <row r="337" ht="16.5" customHeight="1" spans="1:23" x14ac:dyDescent="0.25">
      <c r="A337" s="93"/>
      <c r="B337" s="79">
        <f>IFERROR(VLOOKUP($A:$A,CS!$A:$AK,3,FALSE),"")</f>
      </c>
      <c r="C337" s="79">
        <f>IFERROR(VLOOKUP($A:$A,CS!$A:$AK,4,FALSE),"")</f>
      </c>
      <c r="D337" s="79">
        <f>IFERROR(VLOOKUP($A:$A,CS!$A:$AK,5,FALSE),"")</f>
      </c>
      <c r="E337" s="79">
        <f>IFERROR(VLOOKUP($A:$A,CS!$A:$AK,7,FALSE),"")</f>
      </c>
      <c r="F337" s="79">
        <f>IFERROR(VLOOKUP($A:$A,CS!$A:$AK,8,FALSE),"")</f>
      </c>
      <c r="G337" s="79">
        <f>IFERROR(VLOOKUP($A:$A,CS!$A:$AK,10,FALSE),"")</f>
      </c>
      <c r="H337" s="79">
        <f>IFERROR(VLOOKUP($A:$A,CS!$A:$AK,14,FALSE),"")</f>
      </c>
      <c r="I337" s="79">
        <f>IFERROR(VLOOKUP($A:$A,CS!$A:$AK,15,FALSE),"")</f>
      </c>
      <c r="J337" s="79">
        <f>IFERROR(VLOOKUP($A:$A,CS!$A:$AK,18,FALSE),"")</f>
      </c>
      <c r="K337" s="79">
        <f>IFERROR(VLOOKUP($A:$A,CS!$A:$AK,19,FALSE),"")</f>
      </c>
      <c r="L337" s="79">
        <f>IFERROR(VLOOKUP($A:$A,CS!$A:$AK,20,FALSE),"")</f>
      </c>
      <c r="M337" s="79">
        <f>IFERROR(VLOOKUP($A:$A,CS!$A:$AK,22,FALSE),"")</f>
      </c>
      <c r="N337" s="79">
        <f>IFERROR(VLOOKUP($A:$A,CS!$A:$AK,19,FALSE),"")</f>
      </c>
      <c r="O337" s="79">
        <f>IFERROR(VLOOKUP($A:$A,CS!$A:$AK,23,FALSE),"")</f>
      </c>
      <c r="P337" s="79">
        <f>IFERROR(VLOOKUP($A:$A,CS!$A:$AK,24,FALSE),"")</f>
      </c>
      <c r="Q337" s="79">
        <f>IFERROR(VLOOKUP($A:$A,CS!$A:$AK,25,FALSE),"")</f>
      </c>
      <c r="R337" s="79">
        <f>IFERROR(VLOOKUP($A:$A,CS!$A:$AK,26,FALSE),"")</f>
      </c>
      <c r="S337" s="79">
        <f>IFERROR(VLOOKUP($A:$A,CS!$A:$AK,29,FALSE),"")</f>
      </c>
      <c r="T337" s="79">
        <f>IFERROR(VLOOKUP($A:$A,CS!$A:$AK,33,FALSE),"")</f>
      </c>
      <c r="U337" s="79">
        <f>IFERROR(VLOOKUP($A:$A,CS!$A:$AK,34,FALSE),"")</f>
      </c>
      <c r="V337" s="79">
        <f>IFERROR(VLOOKUP($A:$A,CS!$A:$AK,35,FALSE),"")</f>
      </c>
      <c r="W337" s="79">
        <f>IFERROR(VLOOKUP($A:$A,CS!$A:$AK,36,FALSE),"")</f>
      </c>
    </row>
    <row r="338" ht="16.5" customHeight="1" spans="1:23" x14ac:dyDescent="0.25">
      <c r="A338" s="93"/>
      <c r="B338" s="79">
        <f>IFERROR(VLOOKUP($A:$A,CS!$A:$AK,3,FALSE),"")</f>
      </c>
      <c r="C338" s="79">
        <f>IFERROR(VLOOKUP($A:$A,CS!$A:$AK,4,FALSE),"")</f>
      </c>
      <c r="D338" s="79">
        <f>IFERROR(VLOOKUP($A:$A,CS!$A:$AK,5,FALSE),"")</f>
      </c>
      <c r="E338" s="79">
        <f>IFERROR(VLOOKUP($A:$A,CS!$A:$AK,7,FALSE),"")</f>
      </c>
      <c r="F338" s="79">
        <f>IFERROR(VLOOKUP($A:$A,CS!$A:$AK,8,FALSE),"")</f>
      </c>
      <c r="G338" s="79">
        <f>IFERROR(VLOOKUP($A:$A,CS!$A:$AK,10,FALSE),"")</f>
      </c>
      <c r="H338" s="79">
        <f>IFERROR(VLOOKUP($A:$A,CS!$A:$AK,14,FALSE),"")</f>
      </c>
      <c r="I338" s="79">
        <f>IFERROR(VLOOKUP($A:$A,CS!$A:$AK,15,FALSE),"")</f>
      </c>
      <c r="J338" s="79">
        <f>IFERROR(VLOOKUP($A:$A,CS!$A:$AK,18,FALSE),"")</f>
      </c>
      <c r="K338" s="79">
        <f>IFERROR(VLOOKUP($A:$A,CS!$A:$AK,19,FALSE),"")</f>
      </c>
      <c r="L338" s="79">
        <f>IFERROR(VLOOKUP($A:$A,CS!$A:$AK,20,FALSE),"")</f>
      </c>
      <c r="M338" s="79">
        <f>IFERROR(VLOOKUP($A:$A,CS!$A:$AK,22,FALSE),"")</f>
      </c>
      <c r="N338" s="79">
        <f>IFERROR(VLOOKUP($A:$A,CS!$A:$AK,19,FALSE),"")</f>
      </c>
      <c r="O338" s="79">
        <f>IFERROR(VLOOKUP($A:$A,CS!$A:$AK,23,FALSE),"")</f>
      </c>
      <c r="P338" s="79">
        <f>IFERROR(VLOOKUP($A:$A,CS!$A:$AK,24,FALSE),"")</f>
      </c>
      <c r="Q338" s="79">
        <f>IFERROR(VLOOKUP($A:$A,CS!$A:$AK,25,FALSE),"")</f>
      </c>
      <c r="R338" s="79">
        <f>IFERROR(VLOOKUP($A:$A,CS!$A:$AK,26,FALSE),"")</f>
      </c>
      <c r="S338" s="79">
        <f>IFERROR(VLOOKUP($A:$A,CS!$A:$AK,29,FALSE),"")</f>
      </c>
      <c r="T338" s="79">
        <f>IFERROR(VLOOKUP($A:$A,CS!$A:$AK,33,FALSE),"")</f>
      </c>
      <c r="U338" s="79">
        <f>IFERROR(VLOOKUP($A:$A,CS!$A:$AK,34,FALSE),"")</f>
      </c>
      <c r="V338" s="79">
        <f>IFERROR(VLOOKUP($A:$A,CS!$A:$AK,35,FALSE),"")</f>
      </c>
      <c r="W338" s="79">
        <f>IFERROR(VLOOKUP($A:$A,CS!$A:$AK,36,FALSE),"")</f>
      </c>
    </row>
    <row r="339" ht="16.5" customHeight="1" spans="1:23" x14ac:dyDescent="0.25">
      <c r="A339" s="93"/>
      <c r="B339" s="79">
        <f>IFERROR(VLOOKUP($A:$A,CS!$A:$AK,3,FALSE),"")</f>
      </c>
      <c r="C339" s="79">
        <f>IFERROR(VLOOKUP($A:$A,CS!$A:$AK,4,FALSE),"")</f>
      </c>
      <c r="D339" s="79">
        <f>IFERROR(VLOOKUP($A:$A,CS!$A:$AK,5,FALSE),"")</f>
      </c>
      <c r="E339" s="79">
        <f>IFERROR(VLOOKUP($A:$A,CS!$A:$AK,7,FALSE),"")</f>
      </c>
      <c r="F339" s="79">
        <f>IFERROR(VLOOKUP($A:$A,CS!$A:$AK,8,FALSE),"")</f>
      </c>
      <c r="G339" s="79">
        <f>IFERROR(VLOOKUP($A:$A,CS!$A:$AK,10,FALSE),"")</f>
      </c>
      <c r="H339" s="79">
        <f>IFERROR(VLOOKUP($A:$A,CS!$A:$AK,14,FALSE),"")</f>
      </c>
      <c r="I339" s="79">
        <f>IFERROR(VLOOKUP($A:$A,CS!$A:$AK,15,FALSE),"")</f>
      </c>
      <c r="J339" s="79">
        <f>IFERROR(VLOOKUP($A:$A,CS!$A:$AK,18,FALSE),"")</f>
      </c>
      <c r="K339" s="79">
        <f>IFERROR(VLOOKUP($A:$A,CS!$A:$AK,19,FALSE),"")</f>
      </c>
      <c r="L339" s="79">
        <f>IFERROR(VLOOKUP($A:$A,CS!$A:$AK,20,FALSE),"")</f>
      </c>
      <c r="M339" s="79">
        <f>IFERROR(VLOOKUP($A:$A,CS!$A:$AK,22,FALSE),"")</f>
      </c>
      <c r="N339" s="79">
        <f>IFERROR(VLOOKUP($A:$A,CS!$A:$AK,19,FALSE),"")</f>
      </c>
      <c r="O339" s="79">
        <f>IFERROR(VLOOKUP($A:$A,CS!$A:$AK,23,FALSE),"")</f>
      </c>
      <c r="P339" s="79">
        <f>IFERROR(VLOOKUP($A:$A,CS!$A:$AK,24,FALSE),"")</f>
      </c>
      <c r="Q339" s="79">
        <f>IFERROR(VLOOKUP($A:$A,CS!$A:$AK,25,FALSE),"")</f>
      </c>
      <c r="R339" s="79">
        <f>IFERROR(VLOOKUP($A:$A,CS!$A:$AK,26,FALSE),"")</f>
      </c>
      <c r="S339" s="79">
        <f>IFERROR(VLOOKUP($A:$A,CS!$A:$AK,29,FALSE),"")</f>
      </c>
      <c r="T339" s="79">
        <f>IFERROR(VLOOKUP($A:$A,CS!$A:$AK,33,FALSE),"")</f>
      </c>
      <c r="U339" s="79">
        <f>IFERROR(VLOOKUP($A:$A,CS!$A:$AK,34,FALSE),"")</f>
      </c>
      <c r="V339" s="79">
        <f>IFERROR(VLOOKUP($A:$A,CS!$A:$AK,35,FALSE),"")</f>
      </c>
      <c r="W339" s="79">
        <f>IFERROR(VLOOKUP($A:$A,CS!$A:$AK,36,FALSE),"")</f>
      </c>
    </row>
    <row r="340" ht="16.5" customHeight="1" spans="1:23" x14ac:dyDescent="0.25">
      <c r="A340" s="93"/>
      <c r="B340" s="79">
        <f>IFERROR(VLOOKUP($A:$A,CS!$A:$AK,3,FALSE),"")</f>
      </c>
      <c r="C340" s="79">
        <f>IFERROR(VLOOKUP($A:$A,CS!$A:$AK,4,FALSE),"")</f>
      </c>
      <c r="D340" s="79">
        <f>IFERROR(VLOOKUP($A:$A,CS!$A:$AK,5,FALSE),"")</f>
      </c>
      <c r="E340" s="79">
        <f>IFERROR(VLOOKUP($A:$A,CS!$A:$AK,7,FALSE),"")</f>
      </c>
      <c r="F340" s="79">
        <f>IFERROR(VLOOKUP($A:$A,CS!$A:$AK,8,FALSE),"")</f>
      </c>
      <c r="G340" s="79">
        <f>IFERROR(VLOOKUP($A:$A,CS!$A:$AK,10,FALSE),"")</f>
      </c>
      <c r="H340" s="79">
        <f>IFERROR(VLOOKUP($A:$A,CS!$A:$AK,14,FALSE),"")</f>
      </c>
      <c r="I340" s="79">
        <f>IFERROR(VLOOKUP($A:$A,CS!$A:$AK,15,FALSE),"")</f>
      </c>
      <c r="J340" s="79">
        <f>IFERROR(VLOOKUP($A:$A,CS!$A:$AK,18,FALSE),"")</f>
      </c>
      <c r="K340" s="79">
        <f>IFERROR(VLOOKUP($A:$A,CS!$A:$AK,19,FALSE),"")</f>
      </c>
      <c r="L340" s="79">
        <f>IFERROR(VLOOKUP($A:$A,CS!$A:$AK,20,FALSE),"")</f>
      </c>
      <c r="M340" s="79">
        <f>IFERROR(VLOOKUP($A:$A,CS!$A:$AK,22,FALSE),"")</f>
      </c>
      <c r="N340" s="79">
        <f>IFERROR(VLOOKUP($A:$A,CS!$A:$AK,19,FALSE),"")</f>
      </c>
      <c r="O340" s="79">
        <f>IFERROR(VLOOKUP($A:$A,CS!$A:$AK,23,FALSE),"")</f>
      </c>
      <c r="P340" s="79">
        <f>IFERROR(VLOOKUP($A:$A,CS!$A:$AK,24,FALSE),"")</f>
      </c>
      <c r="Q340" s="79">
        <f>IFERROR(VLOOKUP($A:$A,CS!$A:$AK,25,FALSE),"")</f>
      </c>
      <c r="R340" s="79">
        <f>IFERROR(VLOOKUP($A:$A,CS!$A:$AK,26,FALSE),"")</f>
      </c>
      <c r="S340" s="79">
        <f>IFERROR(VLOOKUP($A:$A,CS!$A:$AK,29,FALSE),"")</f>
      </c>
      <c r="T340" s="79">
        <f>IFERROR(VLOOKUP($A:$A,CS!$A:$AK,33,FALSE),"")</f>
      </c>
      <c r="U340" s="79">
        <f>IFERROR(VLOOKUP($A:$A,CS!$A:$AK,34,FALSE),"")</f>
      </c>
      <c r="V340" s="79">
        <f>IFERROR(VLOOKUP($A:$A,CS!$A:$AK,35,FALSE),"")</f>
      </c>
      <c r="W340" s="79">
        <f>IFERROR(VLOOKUP($A:$A,CS!$A:$AK,36,FALSE),"")</f>
      </c>
    </row>
    <row r="341" ht="16.5" customHeight="1" spans="1:23" x14ac:dyDescent="0.25">
      <c r="A341" s="93"/>
      <c r="B341" s="79">
        <f>IFERROR(VLOOKUP($A:$A,CS!$A:$AK,3,FALSE),"")</f>
      </c>
      <c r="C341" s="79">
        <f>IFERROR(VLOOKUP($A:$A,CS!$A:$AK,4,FALSE),"")</f>
      </c>
      <c r="D341" s="79">
        <f>IFERROR(VLOOKUP($A:$A,CS!$A:$AK,5,FALSE),"")</f>
      </c>
      <c r="E341" s="79">
        <f>IFERROR(VLOOKUP($A:$A,CS!$A:$AK,7,FALSE),"")</f>
      </c>
      <c r="F341" s="79">
        <f>IFERROR(VLOOKUP($A:$A,CS!$A:$AK,8,FALSE),"")</f>
      </c>
      <c r="G341" s="79">
        <f>IFERROR(VLOOKUP($A:$A,CS!$A:$AK,10,FALSE),"")</f>
      </c>
      <c r="H341" s="79">
        <f>IFERROR(VLOOKUP($A:$A,CS!$A:$AK,14,FALSE),"")</f>
      </c>
      <c r="I341" s="79">
        <f>IFERROR(VLOOKUP($A:$A,CS!$A:$AK,15,FALSE),"")</f>
      </c>
      <c r="J341" s="79">
        <f>IFERROR(VLOOKUP($A:$A,CS!$A:$AK,18,FALSE),"")</f>
      </c>
      <c r="K341" s="79">
        <f>IFERROR(VLOOKUP($A:$A,CS!$A:$AK,19,FALSE),"")</f>
      </c>
      <c r="L341" s="79">
        <f>IFERROR(VLOOKUP($A:$A,CS!$A:$AK,20,FALSE),"")</f>
      </c>
      <c r="M341" s="79">
        <f>IFERROR(VLOOKUP($A:$A,CS!$A:$AK,22,FALSE),"")</f>
      </c>
      <c r="N341" s="79">
        <f>IFERROR(VLOOKUP($A:$A,CS!$A:$AK,19,FALSE),"")</f>
      </c>
      <c r="O341" s="79">
        <f>IFERROR(VLOOKUP($A:$A,CS!$A:$AK,23,FALSE),"")</f>
      </c>
      <c r="P341" s="79">
        <f>IFERROR(VLOOKUP($A:$A,CS!$A:$AK,24,FALSE),"")</f>
      </c>
      <c r="Q341" s="79">
        <f>IFERROR(VLOOKUP($A:$A,CS!$A:$AK,25,FALSE),"")</f>
      </c>
      <c r="R341" s="79">
        <f>IFERROR(VLOOKUP($A:$A,CS!$A:$AK,26,FALSE),"")</f>
      </c>
      <c r="S341" s="79">
        <f>IFERROR(VLOOKUP($A:$A,CS!$A:$AK,29,FALSE),"")</f>
      </c>
      <c r="T341" s="79">
        <f>IFERROR(VLOOKUP($A:$A,CS!$A:$AK,33,FALSE),"")</f>
      </c>
      <c r="U341" s="79">
        <f>IFERROR(VLOOKUP($A:$A,CS!$A:$AK,34,FALSE),"")</f>
      </c>
      <c r="V341" s="79">
        <f>IFERROR(VLOOKUP($A:$A,CS!$A:$AK,35,FALSE),"")</f>
      </c>
      <c r="W341" s="79">
        <f>IFERROR(VLOOKUP($A:$A,CS!$A:$AK,36,FALSE),"")</f>
      </c>
    </row>
    <row r="342" ht="16.5" customHeight="1" spans="1:23" x14ac:dyDescent="0.25">
      <c r="A342" s="93"/>
      <c r="B342" s="79">
        <f>IFERROR(VLOOKUP($A:$A,CS!$A:$AK,3,FALSE),"")</f>
      </c>
      <c r="C342" s="79">
        <f>IFERROR(VLOOKUP($A:$A,CS!$A:$AK,4,FALSE),"")</f>
      </c>
      <c r="D342" s="79">
        <f>IFERROR(VLOOKUP($A:$A,CS!$A:$AK,5,FALSE),"")</f>
      </c>
      <c r="E342" s="79">
        <f>IFERROR(VLOOKUP($A:$A,CS!$A:$AK,7,FALSE),"")</f>
      </c>
      <c r="F342" s="79">
        <f>IFERROR(VLOOKUP($A:$A,CS!$A:$AK,8,FALSE),"")</f>
      </c>
      <c r="G342" s="79">
        <f>IFERROR(VLOOKUP($A:$A,CS!$A:$AK,10,FALSE),"")</f>
      </c>
      <c r="H342" s="79">
        <f>IFERROR(VLOOKUP($A:$A,CS!$A:$AK,14,FALSE),"")</f>
      </c>
      <c r="I342" s="79">
        <f>IFERROR(VLOOKUP($A:$A,CS!$A:$AK,15,FALSE),"")</f>
      </c>
      <c r="J342" s="79">
        <f>IFERROR(VLOOKUP($A:$A,CS!$A:$AK,18,FALSE),"")</f>
      </c>
      <c r="K342" s="79">
        <f>IFERROR(VLOOKUP($A:$A,CS!$A:$AK,19,FALSE),"")</f>
      </c>
      <c r="L342" s="79">
        <f>IFERROR(VLOOKUP($A:$A,CS!$A:$AK,20,FALSE),"")</f>
      </c>
      <c r="M342" s="79">
        <f>IFERROR(VLOOKUP($A:$A,CS!$A:$AK,22,FALSE),"")</f>
      </c>
      <c r="N342" s="79">
        <f>IFERROR(VLOOKUP($A:$A,CS!$A:$AK,19,FALSE),"")</f>
      </c>
      <c r="O342" s="79">
        <f>IFERROR(VLOOKUP($A:$A,CS!$A:$AK,23,FALSE),"")</f>
      </c>
      <c r="P342" s="79">
        <f>IFERROR(VLOOKUP($A:$A,CS!$A:$AK,24,FALSE),"")</f>
      </c>
      <c r="Q342" s="79">
        <f>IFERROR(VLOOKUP($A:$A,CS!$A:$AK,25,FALSE),"")</f>
      </c>
      <c r="R342" s="79">
        <f>IFERROR(VLOOKUP($A:$A,CS!$A:$AK,26,FALSE),"")</f>
      </c>
      <c r="S342" s="79">
        <f>IFERROR(VLOOKUP($A:$A,CS!$A:$AK,29,FALSE),"")</f>
      </c>
      <c r="T342" s="79">
        <f>IFERROR(VLOOKUP($A:$A,CS!$A:$AK,33,FALSE),"")</f>
      </c>
      <c r="U342" s="79">
        <f>IFERROR(VLOOKUP($A:$A,CS!$A:$AK,34,FALSE),"")</f>
      </c>
      <c r="V342" s="79">
        <f>IFERROR(VLOOKUP($A:$A,CS!$A:$AK,35,FALSE),"")</f>
      </c>
      <c r="W342" s="79">
        <f>IFERROR(VLOOKUP($A:$A,CS!$A:$AK,36,FALSE),"")</f>
      </c>
    </row>
    <row r="343" ht="16.5" customHeight="1" spans="1:23" x14ac:dyDescent="0.25">
      <c r="A343" s="93"/>
      <c r="B343" s="79">
        <f>IFERROR(VLOOKUP($A:$A,CS!$A:$AK,3,FALSE),"")</f>
      </c>
      <c r="C343" s="79">
        <f>IFERROR(VLOOKUP($A:$A,CS!$A:$AK,4,FALSE),"")</f>
      </c>
      <c r="D343" s="79">
        <f>IFERROR(VLOOKUP($A:$A,CS!$A:$AK,5,FALSE),"")</f>
      </c>
      <c r="E343" s="79">
        <f>IFERROR(VLOOKUP($A:$A,CS!$A:$AK,7,FALSE),"")</f>
      </c>
      <c r="F343" s="79">
        <f>IFERROR(VLOOKUP($A:$A,CS!$A:$AK,8,FALSE),"")</f>
      </c>
      <c r="G343" s="79">
        <f>IFERROR(VLOOKUP($A:$A,CS!$A:$AK,10,FALSE),"")</f>
      </c>
      <c r="H343" s="79">
        <f>IFERROR(VLOOKUP($A:$A,CS!$A:$AK,14,FALSE),"")</f>
      </c>
      <c r="I343" s="79">
        <f>IFERROR(VLOOKUP($A:$A,CS!$A:$AK,15,FALSE),"")</f>
      </c>
      <c r="J343" s="79">
        <f>IFERROR(VLOOKUP($A:$A,CS!$A:$AK,18,FALSE),"")</f>
      </c>
      <c r="K343" s="79">
        <f>IFERROR(VLOOKUP($A:$A,CS!$A:$AK,19,FALSE),"")</f>
      </c>
      <c r="L343" s="79">
        <f>IFERROR(VLOOKUP($A:$A,CS!$A:$AK,20,FALSE),"")</f>
      </c>
      <c r="M343" s="79">
        <f>IFERROR(VLOOKUP($A:$A,CS!$A:$AK,22,FALSE),"")</f>
      </c>
      <c r="N343" s="79">
        <f>IFERROR(VLOOKUP($A:$A,CS!$A:$AK,19,FALSE),"")</f>
      </c>
      <c r="O343" s="79">
        <f>IFERROR(VLOOKUP($A:$A,CS!$A:$AK,23,FALSE),"")</f>
      </c>
      <c r="P343" s="79">
        <f>IFERROR(VLOOKUP($A:$A,CS!$A:$AK,24,FALSE),"")</f>
      </c>
      <c r="Q343" s="79">
        <f>IFERROR(VLOOKUP($A:$A,CS!$A:$AK,25,FALSE),"")</f>
      </c>
      <c r="R343" s="79">
        <f>IFERROR(VLOOKUP($A:$A,CS!$A:$AK,26,FALSE),"")</f>
      </c>
      <c r="S343" s="79">
        <f>IFERROR(VLOOKUP($A:$A,CS!$A:$AK,29,FALSE),"")</f>
      </c>
      <c r="T343" s="79">
        <f>IFERROR(VLOOKUP($A:$A,CS!$A:$AK,33,FALSE),"")</f>
      </c>
      <c r="U343" s="79">
        <f>IFERROR(VLOOKUP($A:$A,CS!$A:$AK,34,FALSE),"")</f>
      </c>
      <c r="V343" s="79">
        <f>IFERROR(VLOOKUP($A:$A,CS!$A:$AK,35,FALSE),"")</f>
      </c>
      <c r="W343" s="79">
        <f>IFERROR(VLOOKUP($A:$A,CS!$A:$AK,36,FALSE),"")</f>
      </c>
    </row>
    <row r="344" ht="16.5" customHeight="1" spans="1:23" x14ac:dyDescent="0.25">
      <c r="A344" s="93"/>
      <c r="B344" s="79">
        <f>IFERROR(VLOOKUP($A:$A,CS!$A:$AK,3,FALSE),"")</f>
      </c>
      <c r="C344" s="79">
        <f>IFERROR(VLOOKUP($A:$A,CS!$A:$AK,4,FALSE),"")</f>
      </c>
      <c r="D344" s="79">
        <f>IFERROR(VLOOKUP($A:$A,CS!$A:$AK,5,FALSE),"")</f>
      </c>
      <c r="E344" s="79">
        <f>IFERROR(VLOOKUP($A:$A,CS!$A:$AK,7,FALSE),"")</f>
      </c>
      <c r="F344" s="79">
        <f>IFERROR(VLOOKUP($A:$A,CS!$A:$AK,8,FALSE),"")</f>
      </c>
      <c r="G344" s="79">
        <f>IFERROR(VLOOKUP($A:$A,CS!$A:$AK,10,FALSE),"")</f>
      </c>
      <c r="H344" s="79">
        <f>IFERROR(VLOOKUP($A:$A,CS!$A:$AK,14,FALSE),"")</f>
      </c>
      <c r="I344" s="79">
        <f>IFERROR(VLOOKUP($A:$A,CS!$A:$AK,15,FALSE),"")</f>
      </c>
      <c r="J344" s="79">
        <f>IFERROR(VLOOKUP($A:$A,CS!$A:$AK,18,FALSE),"")</f>
      </c>
      <c r="K344" s="79">
        <f>IFERROR(VLOOKUP($A:$A,CS!$A:$AK,19,FALSE),"")</f>
      </c>
      <c r="L344" s="79">
        <f>IFERROR(VLOOKUP($A:$A,CS!$A:$AK,20,FALSE),"")</f>
      </c>
      <c r="M344" s="79">
        <f>IFERROR(VLOOKUP($A:$A,CS!$A:$AK,22,FALSE),"")</f>
      </c>
      <c r="N344" s="79">
        <f>IFERROR(VLOOKUP($A:$A,CS!$A:$AK,19,FALSE),"")</f>
      </c>
      <c r="O344" s="79">
        <f>IFERROR(VLOOKUP($A:$A,CS!$A:$AK,23,FALSE),"")</f>
      </c>
      <c r="P344" s="79">
        <f>IFERROR(VLOOKUP($A:$A,CS!$A:$AK,24,FALSE),"")</f>
      </c>
      <c r="Q344" s="79">
        <f>IFERROR(VLOOKUP($A:$A,CS!$A:$AK,25,FALSE),"")</f>
      </c>
      <c r="R344" s="79">
        <f>IFERROR(VLOOKUP($A:$A,CS!$A:$AK,26,FALSE),"")</f>
      </c>
      <c r="S344" s="79">
        <f>IFERROR(VLOOKUP($A:$A,CS!$A:$AK,29,FALSE),"")</f>
      </c>
      <c r="T344" s="79">
        <f>IFERROR(VLOOKUP($A:$A,CS!$A:$AK,33,FALSE),"")</f>
      </c>
      <c r="U344" s="79">
        <f>IFERROR(VLOOKUP($A:$A,CS!$A:$AK,34,FALSE),"")</f>
      </c>
      <c r="V344" s="79">
        <f>IFERROR(VLOOKUP($A:$A,CS!$A:$AK,35,FALSE),"")</f>
      </c>
      <c r="W344" s="79">
        <f>IFERROR(VLOOKUP($A:$A,CS!$A:$AK,36,FALSE),"")</f>
      </c>
    </row>
    <row r="345" ht="16.5" customHeight="1" spans="1:23" x14ac:dyDescent="0.25">
      <c r="A345" s="93"/>
      <c r="B345" s="79">
        <f>IFERROR(VLOOKUP($A:$A,CS!$A:$AK,3,FALSE),"")</f>
      </c>
      <c r="C345" s="79">
        <f>IFERROR(VLOOKUP($A:$A,CS!$A:$AK,4,FALSE),"")</f>
      </c>
      <c r="D345" s="79">
        <f>IFERROR(VLOOKUP($A:$A,CS!$A:$AK,5,FALSE),"")</f>
      </c>
      <c r="E345" s="79">
        <f>IFERROR(VLOOKUP($A:$A,CS!$A:$AK,7,FALSE),"")</f>
      </c>
      <c r="F345" s="79">
        <f>IFERROR(VLOOKUP($A:$A,CS!$A:$AK,8,FALSE),"")</f>
      </c>
      <c r="G345" s="79">
        <f>IFERROR(VLOOKUP($A:$A,CS!$A:$AK,10,FALSE),"")</f>
      </c>
      <c r="H345" s="79">
        <f>IFERROR(VLOOKUP($A:$A,CS!$A:$AK,14,FALSE),"")</f>
      </c>
      <c r="I345" s="79">
        <f>IFERROR(VLOOKUP($A:$A,CS!$A:$AK,15,FALSE),"")</f>
      </c>
      <c r="J345" s="79">
        <f>IFERROR(VLOOKUP($A:$A,CS!$A:$AK,18,FALSE),"")</f>
      </c>
      <c r="K345" s="79">
        <f>IFERROR(VLOOKUP($A:$A,CS!$A:$AK,19,FALSE),"")</f>
      </c>
      <c r="L345" s="79">
        <f>IFERROR(VLOOKUP($A:$A,CS!$A:$AK,20,FALSE),"")</f>
      </c>
      <c r="M345" s="79">
        <f>IFERROR(VLOOKUP($A:$A,CS!$A:$AK,22,FALSE),"")</f>
      </c>
      <c r="N345" s="79">
        <f>IFERROR(VLOOKUP($A:$A,CS!$A:$AK,19,FALSE),"")</f>
      </c>
      <c r="O345" s="79">
        <f>IFERROR(VLOOKUP($A:$A,CS!$A:$AK,23,FALSE),"")</f>
      </c>
      <c r="P345" s="79">
        <f>IFERROR(VLOOKUP($A:$A,CS!$A:$AK,24,FALSE),"")</f>
      </c>
      <c r="Q345" s="79">
        <f>IFERROR(VLOOKUP($A:$A,CS!$A:$AK,25,FALSE),"")</f>
      </c>
      <c r="R345" s="79">
        <f>IFERROR(VLOOKUP($A:$A,CS!$A:$AK,26,FALSE),"")</f>
      </c>
      <c r="S345" s="79">
        <f>IFERROR(VLOOKUP($A:$A,CS!$A:$AK,29,FALSE),"")</f>
      </c>
      <c r="T345" s="79">
        <f>IFERROR(VLOOKUP($A:$A,CS!$A:$AK,33,FALSE),"")</f>
      </c>
      <c r="U345" s="79">
        <f>IFERROR(VLOOKUP($A:$A,CS!$A:$AK,34,FALSE),"")</f>
      </c>
      <c r="V345" s="79">
        <f>IFERROR(VLOOKUP($A:$A,CS!$A:$AK,35,FALSE),"")</f>
      </c>
      <c r="W345" s="79">
        <f>IFERROR(VLOOKUP($A:$A,CS!$A:$AK,36,FALSE),"")</f>
      </c>
    </row>
    <row r="346" ht="16.5" customHeight="1" spans="1:23" x14ac:dyDescent="0.25">
      <c r="A346" s="93"/>
      <c r="B346" s="79">
        <f>IFERROR(VLOOKUP($A:$A,CS!$A:$AK,3,FALSE),"")</f>
      </c>
      <c r="C346" s="79">
        <f>IFERROR(VLOOKUP($A:$A,CS!$A:$AK,4,FALSE),"")</f>
      </c>
      <c r="D346" s="79">
        <f>IFERROR(VLOOKUP($A:$A,CS!$A:$AK,5,FALSE),"")</f>
      </c>
      <c r="E346" s="79">
        <f>IFERROR(VLOOKUP($A:$A,CS!$A:$AK,7,FALSE),"")</f>
      </c>
      <c r="F346" s="79">
        <f>IFERROR(VLOOKUP($A:$A,CS!$A:$AK,8,FALSE),"")</f>
      </c>
      <c r="G346" s="79">
        <f>IFERROR(VLOOKUP($A:$A,CS!$A:$AK,10,FALSE),"")</f>
      </c>
      <c r="H346" s="79">
        <f>IFERROR(VLOOKUP($A:$A,CS!$A:$AK,14,FALSE),"")</f>
      </c>
      <c r="I346" s="79">
        <f>IFERROR(VLOOKUP($A:$A,CS!$A:$AK,15,FALSE),"")</f>
      </c>
      <c r="J346" s="79">
        <f>IFERROR(VLOOKUP($A:$A,CS!$A:$AK,18,FALSE),"")</f>
      </c>
      <c r="K346" s="79">
        <f>IFERROR(VLOOKUP($A:$A,CS!$A:$AK,19,FALSE),"")</f>
      </c>
      <c r="L346" s="79">
        <f>IFERROR(VLOOKUP($A:$A,CS!$A:$AK,20,FALSE),"")</f>
      </c>
      <c r="M346" s="79">
        <f>IFERROR(VLOOKUP($A:$A,CS!$A:$AK,22,FALSE),"")</f>
      </c>
      <c r="N346" s="79">
        <f>IFERROR(VLOOKUP($A:$A,CS!$A:$AK,19,FALSE),"")</f>
      </c>
      <c r="O346" s="79">
        <f>IFERROR(VLOOKUP($A:$A,CS!$A:$AK,23,FALSE),"")</f>
      </c>
      <c r="P346" s="79">
        <f>IFERROR(VLOOKUP($A:$A,CS!$A:$AK,24,FALSE),"")</f>
      </c>
      <c r="Q346" s="79">
        <f>IFERROR(VLOOKUP($A:$A,CS!$A:$AK,25,FALSE),"")</f>
      </c>
      <c r="R346" s="79">
        <f>IFERROR(VLOOKUP($A:$A,CS!$A:$AK,26,FALSE),"")</f>
      </c>
      <c r="S346" s="79">
        <f>IFERROR(VLOOKUP($A:$A,CS!$A:$AK,29,FALSE),"")</f>
      </c>
      <c r="T346" s="79">
        <f>IFERROR(VLOOKUP($A:$A,CS!$A:$AK,33,FALSE),"")</f>
      </c>
      <c r="U346" s="79">
        <f>IFERROR(VLOOKUP($A:$A,CS!$A:$AK,34,FALSE),"")</f>
      </c>
      <c r="V346" s="79">
        <f>IFERROR(VLOOKUP($A:$A,CS!$A:$AK,35,FALSE),"")</f>
      </c>
      <c r="W346" s="79">
        <f>IFERROR(VLOOKUP($A:$A,CS!$A:$AK,36,FALSE),"")</f>
      </c>
    </row>
    <row r="347" ht="16.5" customHeight="1" spans="1:23" x14ac:dyDescent="0.25">
      <c r="A347" s="93"/>
      <c r="B347" s="79">
        <f>IFERROR(VLOOKUP($A:$A,CS!$A:$AK,3,FALSE),"")</f>
      </c>
      <c r="C347" s="79">
        <f>IFERROR(VLOOKUP($A:$A,CS!$A:$AK,4,FALSE),"")</f>
      </c>
      <c r="D347" s="79">
        <f>IFERROR(VLOOKUP($A:$A,CS!$A:$AK,5,FALSE),"")</f>
      </c>
      <c r="E347" s="79">
        <f>IFERROR(VLOOKUP($A:$A,CS!$A:$AK,7,FALSE),"")</f>
      </c>
      <c r="F347" s="79">
        <f>IFERROR(VLOOKUP($A:$A,CS!$A:$AK,8,FALSE),"")</f>
      </c>
      <c r="G347" s="79">
        <f>IFERROR(VLOOKUP($A:$A,CS!$A:$AK,10,FALSE),"")</f>
      </c>
      <c r="H347" s="79">
        <f>IFERROR(VLOOKUP($A:$A,CS!$A:$AK,14,FALSE),"")</f>
      </c>
      <c r="I347" s="79">
        <f>IFERROR(VLOOKUP($A:$A,CS!$A:$AK,15,FALSE),"")</f>
      </c>
      <c r="J347" s="79">
        <f>IFERROR(VLOOKUP($A:$A,CS!$A:$AK,18,FALSE),"")</f>
      </c>
      <c r="K347" s="79">
        <f>IFERROR(VLOOKUP($A:$A,CS!$A:$AK,19,FALSE),"")</f>
      </c>
      <c r="L347" s="79">
        <f>IFERROR(VLOOKUP($A:$A,CS!$A:$AK,20,FALSE),"")</f>
      </c>
      <c r="M347" s="79">
        <f>IFERROR(VLOOKUP($A:$A,CS!$A:$AK,22,FALSE),"")</f>
      </c>
      <c r="N347" s="79">
        <f>IFERROR(VLOOKUP($A:$A,CS!$A:$AK,19,FALSE),"")</f>
      </c>
      <c r="O347" s="79">
        <f>IFERROR(VLOOKUP($A:$A,CS!$A:$AK,23,FALSE),"")</f>
      </c>
      <c r="P347" s="79">
        <f>IFERROR(VLOOKUP($A:$A,CS!$A:$AK,24,FALSE),"")</f>
      </c>
      <c r="Q347" s="79">
        <f>IFERROR(VLOOKUP($A:$A,CS!$A:$AK,25,FALSE),"")</f>
      </c>
      <c r="R347" s="79">
        <f>IFERROR(VLOOKUP($A:$A,CS!$A:$AK,26,FALSE),"")</f>
      </c>
      <c r="S347" s="79">
        <f>IFERROR(VLOOKUP($A:$A,CS!$A:$AK,29,FALSE),"")</f>
      </c>
      <c r="T347" s="79">
        <f>IFERROR(VLOOKUP($A:$A,CS!$A:$AK,33,FALSE),"")</f>
      </c>
      <c r="U347" s="79">
        <f>IFERROR(VLOOKUP($A:$A,CS!$A:$AK,34,FALSE),"")</f>
      </c>
      <c r="V347" s="79">
        <f>IFERROR(VLOOKUP($A:$A,CS!$A:$AK,35,FALSE),"")</f>
      </c>
      <c r="W347" s="79">
        <f>IFERROR(VLOOKUP($A:$A,CS!$A:$AK,36,FALSE),"")</f>
      </c>
    </row>
    <row r="348" ht="16.5" customHeight="1" spans="1:23" x14ac:dyDescent="0.25">
      <c r="A348" s="93"/>
      <c r="B348" s="79">
        <f>IFERROR(VLOOKUP($A:$A,CS!$A:$AK,3,FALSE),"")</f>
      </c>
      <c r="C348" s="79">
        <f>IFERROR(VLOOKUP($A:$A,CS!$A:$AK,4,FALSE),"")</f>
      </c>
      <c r="D348" s="79">
        <f>IFERROR(VLOOKUP($A:$A,CS!$A:$AK,5,FALSE),"")</f>
      </c>
      <c r="E348" s="79">
        <f>IFERROR(VLOOKUP($A:$A,CS!$A:$AK,7,FALSE),"")</f>
      </c>
      <c r="F348" s="79">
        <f>IFERROR(VLOOKUP($A:$A,CS!$A:$AK,8,FALSE),"")</f>
      </c>
      <c r="G348" s="79">
        <f>IFERROR(VLOOKUP($A:$A,CS!$A:$AK,10,FALSE),"")</f>
      </c>
      <c r="H348" s="79">
        <f>IFERROR(VLOOKUP($A:$A,CS!$A:$AK,14,FALSE),"")</f>
      </c>
      <c r="I348" s="79">
        <f>IFERROR(VLOOKUP($A:$A,CS!$A:$AK,15,FALSE),"")</f>
      </c>
      <c r="J348" s="79">
        <f>IFERROR(VLOOKUP($A:$A,CS!$A:$AK,18,FALSE),"")</f>
      </c>
      <c r="K348" s="79">
        <f>IFERROR(VLOOKUP($A:$A,CS!$A:$AK,19,FALSE),"")</f>
      </c>
      <c r="L348" s="79">
        <f>IFERROR(VLOOKUP($A:$A,CS!$A:$AK,20,FALSE),"")</f>
      </c>
      <c r="M348" s="79">
        <f>IFERROR(VLOOKUP($A:$A,CS!$A:$AK,22,FALSE),"")</f>
      </c>
      <c r="N348" s="79">
        <f>IFERROR(VLOOKUP($A:$A,CS!$A:$AK,19,FALSE),"")</f>
      </c>
      <c r="O348" s="79">
        <f>IFERROR(VLOOKUP($A:$A,CS!$A:$AK,23,FALSE),"")</f>
      </c>
      <c r="P348" s="79">
        <f>IFERROR(VLOOKUP($A:$A,CS!$A:$AK,24,FALSE),"")</f>
      </c>
      <c r="Q348" s="79">
        <f>IFERROR(VLOOKUP($A:$A,CS!$A:$AK,25,FALSE),"")</f>
      </c>
      <c r="R348" s="79">
        <f>IFERROR(VLOOKUP($A:$A,CS!$A:$AK,26,FALSE),"")</f>
      </c>
      <c r="S348" s="79">
        <f>IFERROR(VLOOKUP($A:$A,CS!$A:$AK,29,FALSE),"")</f>
      </c>
      <c r="T348" s="79">
        <f>IFERROR(VLOOKUP($A:$A,CS!$A:$AK,33,FALSE),"")</f>
      </c>
      <c r="U348" s="79">
        <f>IFERROR(VLOOKUP($A:$A,CS!$A:$AK,34,FALSE),"")</f>
      </c>
      <c r="V348" s="79">
        <f>IFERROR(VLOOKUP($A:$A,CS!$A:$AK,35,FALSE),"")</f>
      </c>
      <c r="W348" s="79">
        <f>IFERROR(VLOOKUP($A:$A,CS!$A:$AK,36,FALSE),"")</f>
      </c>
    </row>
    <row r="349" ht="16.5" customHeight="1" spans="1:23" x14ac:dyDescent="0.25">
      <c r="A349" s="93"/>
      <c r="B349" s="79">
        <f>IFERROR(VLOOKUP($A:$A,CS!$A:$AK,3,FALSE),"")</f>
      </c>
      <c r="C349" s="79">
        <f>IFERROR(VLOOKUP($A:$A,CS!$A:$AK,4,FALSE),"")</f>
      </c>
      <c r="D349" s="79">
        <f>IFERROR(VLOOKUP($A:$A,CS!$A:$AK,5,FALSE),"")</f>
      </c>
      <c r="E349" s="79">
        <f>IFERROR(VLOOKUP($A:$A,CS!$A:$AK,7,FALSE),"")</f>
      </c>
      <c r="F349" s="79">
        <f>IFERROR(VLOOKUP($A:$A,CS!$A:$AK,8,FALSE),"")</f>
      </c>
      <c r="G349" s="79">
        <f>IFERROR(VLOOKUP($A:$A,CS!$A:$AK,10,FALSE),"")</f>
      </c>
      <c r="H349" s="79">
        <f>IFERROR(VLOOKUP($A:$A,CS!$A:$AK,14,FALSE),"")</f>
      </c>
      <c r="I349" s="79">
        <f>IFERROR(VLOOKUP($A:$A,CS!$A:$AK,15,FALSE),"")</f>
      </c>
      <c r="J349" s="79">
        <f>IFERROR(VLOOKUP($A:$A,CS!$A:$AK,18,FALSE),"")</f>
      </c>
      <c r="K349" s="79">
        <f>IFERROR(VLOOKUP($A:$A,CS!$A:$AK,19,FALSE),"")</f>
      </c>
      <c r="L349" s="79">
        <f>IFERROR(VLOOKUP($A:$A,CS!$A:$AK,20,FALSE),"")</f>
      </c>
      <c r="M349" s="79">
        <f>IFERROR(VLOOKUP($A:$A,CS!$A:$AK,22,FALSE),"")</f>
      </c>
      <c r="N349" s="79">
        <f>IFERROR(VLOOKUP($A:$A,CS!$A:$AK,19,FALSE),"")</f>
      </c>
      <c r="O349" s="79">
        <f>IFERROR(VLOOKUP($A:$A,CS!$A:$AK,23,FALSE),"")</f>
      </c>
      <c r="P349" s="79">
        <f>IFERROR(VLOOKUP($A:$A,CS!$A:$AK,24,FALSE),"")</f>
      </c>
      <c r="Q349" s="79">
        <f>IFERROR(VLOOKUP($A:$A,CS!$A:$AK,25,FALSE),"")</f>
      </c>
      <c r="R349" s="79">
        <f>IFERROR(VLOOKUP($A:$A,CS!$A:$AK,26,FALSE),"")</f>
      </c>
      <c r="S349" s="79">
        <f>IFERROR(VLOOKUP($A:$A,CS!$A:$AK,29,FALSE),"")</f>
      </c>
      <c r="T349" s="79">
        <f>IFERROR(VLOOKUP($A:$A,CS!$A:$AK,33,FALSE),"")</f>
      </c>
      <c r="U349" s="79">
        <f>IFERROR(VLOOKUP($A:$A,CS!$A:$AK,34,FALSE),"")</f>
      </c>
      <c r="V349" s="79">
        <f>IFERROR(VLOOKUP($A:$A,CS!$A:$AK,35,FALSE),"")</f>
      </c>
      <c r="W349" s="79">
        <f>IFERROR(VLOOKUP($A:$A,CS!$A:$AK,36,FALSE),"")</f>
      </c>
    </row>
    <row r="350" ht="16.5" customHeight="1" spans="1:23" x14ac:dyDescent="0.25">
      <c r="A350" s="93"/>
      <c r="B350" s="79">
        <f>IFERROR(VLOOKUP($A:$A,CS!$A:$AK,3,FALSE),"")</f>
      </c>
      <c r="C350" s="79">
        <f>IFERROR(VLOOKUP($A:$A,CS!$A:$AK,4,FALSE),"")</f>
      </c>
      <c r="D350" s="79">
        <f>IFERROR(VLOOKUP($A:$A,CS!$A:$AK,5,FALSE),"")</f>
      </c>
      <c r="E350" s="79">
        <f>IFERROR(VLOOKUP($A:$A,CS!$A:$AK,7,FALSE),"")</f>
      </c>
      <c r="F350" s="79">
        <f>IFERROR(VLOOKUP($A:$A,CS!$A:$AK,8,FALSE),"")</f>
      </c>
      <c r="G350" s="79">
        <f>IFERROR(VLOOKUP($A:$A,CS!$A:$AK,10,FALSE),"")</f>
      </c>
      <c r="H350" s="79">
        <f>IFERROR(VLOOKUP($A:$A,CS!$A:$AK,14,FALSE),"")</f>
      </c>
      <c r="I350" s="79">
        <f>IFERROR(VLOOKUP($A:$A,CS!$A:$AK,15,FALSE),"")</f>
      </c>
      <c r="J350" s="79">
        <f>IFERROR(VLOOKUP($A:$A,CS!$A:$AK,18,FALSE),"")</f>
      </c>
      <c r="K350" s="79">
        <f>IFERROR(VLOOKUP($A:$A,CS!$A:$AK,19,FALSE),"")</f>
      </c>
      <c r="L350" s="79">
        <f>IFERROR(VLOOKUP($A:$A,CS!$A:$AK,20,FALSE),"")</f>
      </c>
      <c r="M350" s="79">
        <f>IFERROR(VLOOKUP($A:$A,CS!$A:$AK,22,FALSE),"")</f>
      </c>
      <c r="N350" s="79">
        <f>IFERROR(VLOOKUP($A:$A,CS!$A:$AK,19,FALSE),"")</f>
      </c>
      <c r="O350" s="79">
        <f>IFERROR(VLOOKUP($A:$A,CS!$A:$AK,23,FALSE),"")</f>
      </c>
      <c r="P350" s="79">
        <f>IFERROR(VLOOKUP($A:$A,CS!$A:$AK,24,FALSE),"")</f>
      </c>
      <c r="Q350" s="79">
        <f>IFERROR(VLOOKUP($A:$A,CS!$A:$AK,25,FALSE),"")</f>
      </c>
      <c r="R350" s="79">
        <f>IFERROR(VLOOKUP($A:$A,CS!$A:$AK,26,FALSE),"")</f>
      </c>
      <c r="S350" s="79">
        <f>IFERROR(VLOOKUP($A:$A,CS!$A:$AK,29,FALSE),"")</f>
      </c>
      <c r="T350" s="79">
        <f>IFERROR(VLOOKUP($A:$A,CS!$A:$AK,33,FALSE),"")</f>
      </c>
      <c r="U350" s="79">
        <f>IFERROR(VLOOKUP($A:$A,CS!$A:$AK,34,FALSE),"")</f>
      </c>
      <c r="V350" s="79">
        <f>IFERROR(VLOOKUP($A:$A,CS!$A:$AK,35,FALSE),"")</f>
      </c>
      <c r="W350" s="79">
        <f>IFERROR(VLOOKUP($A:$A,CS!$A:$AK,36,FALSE),"")</f>
      </c>
    </row>
    <row r="351" ht="16.5" customHeight="1" spans="1:23" x14ac:dyDescent="0.25">
      <c r="A351" s="93"/>
      <c r="B351" s="79">
        <f>IFERROR(VLOOKUP($A:$A,CS!$A:$AK,3,FALSE),"")</f>
      </c>
      <c r="C351" s="79">
        <f>IFERROR(VLOOKUP($A:$A,CS!$A:$AK,4,FALSE),"")</f>
      </c>
      <c r="D351" s="79">
        <f>IFERROR(VLOOKUP($A:$A,CS!$A:$AK,5,FALSE),"")</f>
      </c>
      <c r="E351" s="79">
        <f>IFERROR(VLOOKUP($A:$A,CS!$A:$AK,7,FALSE),"")</f>
      </c>
      <c r="F351" s="79">
        <f>IFERROR(VLOOKUP($A:$A,CS!$A:$AK,8,FALSE),"")</f>
      </c>
      <c r="G351" s="79">
        <f>IFERROR(VLOOKUP($A:$A,CS!$A:$AK,10,FALSE),"")</f>
      </c>
      <c r="H351" s="79">
        <f>IFERROR(VLOOKUP($A:$A,CS!$A:$AK,14,FALSE),"")</f>
      </c>
      <c r="I351" s="79">
        <f>IFERROR(VLOOKUP($A:$A,CS!$A:$AK,15,FALSE),"")</f>
      </c>
      <c r="J351" s="79">
        <f>IFERROR(VLOOKUP($A:$A,CS!$A:$AK,18,FALSE),"")</f>
      </c>
      <c r="K351" s="79">
        <f>IFERROR(VLOOKUP($A:$A,CS!$A:$AK,19,FALSE),"")</f>
      </c>
      <c r="L351" s="79">
        <f>IFERROR(VLOOKUP($A:$A,CS!$A:$AK,20,FALSE),"")</f>
      </c>
      <c r="M351" s="79">
        <f>IFERROR(VLOOKUP($A:$A,CS!$A:$AK,22,FALSE),"")</f>
      </c>
      <c r="N351" s="79">
        <f>IFERROR(VLOOKUP($A:$A,CS!$A:$AK,19,FALSE),"")</f>
      </c>
      <c r="O351" s="79">
        <f>IFERROR(VLOOKUP($A:$A,CS!$A:$AK,23,FALSE),"")</f>
      </c>
      <c r="P351" s="79">
        <f>IFERROR(VLOOKUP($A:$A,CS!$A:$AK,24,FALSE),"")</f>
      </c>
      <c r="Q351" s="79">
        <f>IFERROR(VLOOKUP($A:$A,CS!$A:$AK,25,FALSE),"")</f>
      </c>
      <c r="R351" s="79">
        <f>IFERROR(VLOOKUP($A:$A,CS!$A:$AK,26,FALSE),"")</f>
      </c>
      <c r="S351" s="79">
        <f>IFERROR(VLOOKUP($A:$A,CS!$A:$AK,29,FALSE),"")</f>
      </c>
      <c r="T351" s="79">
        <f>IFERROR(VLOOKUP($A:$A,CS!$A:$AK,33,FALSE),"")</f>
      </c>
      <c r="U351" s="79">
        <f>IFERROR(VLOOKUP($A:$A,CS!$A:$AK,34,FALSE),"")</f>
      </c>
      <c r="V351" s="79">
        <f>IFERROR(VLOOKUP($A:$A,CS!$A:$AK,35,FALSE),"")</f>
      </c>
      <c r="W351" s="79">
        <f>IFERROR(VLOOKUP($A:$A,CS!$A:$AK,36,FALSE),"")</f>
      </c>
    </row>
    <row r="352" ht="16.5" customHeight="1" spans="1:23" x14ac:dyDescent="0.25">
      <c r="A352" s="93"/>
      <c r="B352" s="79">
        <f>IFERROR(VLOOKUP($A:$A,CS!$A:$AK,3,FALSE),"")</f>
      </c>
      <c r="C352" s="79">
        <f>IFERROR(VLOOKUP($A:$A,CS!$A:$AK,4,FALSE),"")</f>
      </c>
      <c r="D352" s="79">
        <f>IFERROR(VLOOKUP($A:$A,CS!$A:$AK,5,FALSE),"")</f>
      </c>
      <c r="E352" s="79">
        <f>IFERROR(VLOOKUP($A:$A,CS!$A:$AK,7,FALSE),"")</f>
      </c>
      <c r="F352" s="79">
        <f>IFERROR(VLOOKUP($A:$A,CS!$A:$AK,8,FALSE),"")</f>
      </c>
      <c r="G352" s="79">
        <f>IFERROR(VLOOKUP($A:$A,CS!$A:$AK,10,FALSE),"")</f>
      </c>
      <c r="H352" s="79">
        <f>IFERROR(VLOOKUP($A:$A,CS!$A:$AK,14,FALSE),"")</f>
      </c>
      <c r="I352" s="79">
        <f>IFERROR(VLOOKUP($A:$A,CS!$A:$AK,15,FALSE),"")</f>
      </c>
      <c r="J352" s="79">
        <f>IFERROR(VLOOKUP($A:$A,CS!$A:$AK,18,FALSE),"")</f>
      </c>
      <c r="K352" s="79">
        <f>IFERROR(VLOOKUP($A:$A,CS!$A:$AK,19,FALSE),"")</f>
      </c>
      <c r="L352" s="79">
        <f>IFERROR(VLOOKUP($A:$A,CS!$A:$AK,20,FALSE),"")</f>
      </c>
      <c r="M352" s="79">
        <f>IFERROR(VLOOKUP($A:$A,CS!$A:$AK,22,FALSE),"")</f>
      </c>
      <c r="N352" s="79">
        <f>IFERROR(VLOOKUP($A:$A,CS!$A:$AK,19,FALSE),"")</f>
      </c>
      <c r="O352" s="79">
        <f>IFERROR(VLOOKUP($A:$A,CS!$A:$AK,23,FALSE),"")</f>
      </c>
      <c r="P352" s="79">
        <f>IFERROR(VLOOKUP($A:$A,CS!$A:$AK,24,FALSE),"")</f>
      </c>
      <c r="Q352" s="79">
        <f>IFERROR(VLOOKUP($A:$A,CS!$A:$AK,25,FALSE),"")</f>
      </c>
      <c r="R352" s="79">
        <f>IFERROR(VLOOKUP($A:$A,CS!$A:$AK,26,FALSE),"")</f>
      </c>
      <c r="S352" s="79">
        <f>IFERROR(VLOOKUP($A:$A,CS!$A:$AK,29,FALSE),"")</f>
      </c>
      <c r="T352" s="79">
        <f>IFERROR(VLOOKUP($A:$A,CS!$A:$AK,33,FALSE),"")</f>
      </c>
      <c r="U352" s="79">
        <f>IFERROR(VLOOKUP($A:$A,CS!$A:$AK,34,FALSE),"")</f>
      </c>
      <c r="V352" s="79">
        <f>IFERROR(VLOOKUP($A:$A,CS!$A:$AK,35,FALSE),"")</f>
      </c>
      <c r="W352" s="79">
        <f>IFERROR(VLOOKUP($A:$A,CS!$A:$AK,36,FALSE),"")</f>
      </c>
    </row>
    <row r="353" ht="16.5" customHeight="1" spans="1:23" x14ac:dyDescent="0.25">
      <c r="A353" s="93"/>
      <c r="B353" s="79">
        <f>IFERROR(VLOOKUP($A:$A,CS!$A:$AK,3,FALSE),"")</f>
      </c>
      <c r="C353" s="79">
        <f>IFERROR(VLOOKUP($A:$A,CS!$A:$AK,4,FALSE),"")</f>
      </c>
      <c r="D353" s="79">
        <f>IFERROR(VLOOKUP($A:$A,CS!$A:$AK,5,FALSE),"")</f>
      </c>
      <c r="E353" s="79">
        <f>IFERROR(VLOOKUP($A:$A,CS!$A:$AK,7,FALSE),"")</f>
      </c>
      <c r="F353" s="79">
        <f>IFERROR(VLOOKUP($A:$A,CS!$A:$AK,8,FALSE),"")</f>
      </c>
      <c r="G353" s="79">
        <f>IFERROR(VLOOKUP($A:$A,CS!$A:$AK,10,FALSE),"")</f>
      </c>
      <c r="H353" s="79">
        <f>IFERROR(VLOOKUP($A:$A,CS!$A:$AK,14,FALSE),"")</f>
      </c>
      <c r="I353" s="79">
        <f>IFERROR(VLOOKUP($A:$A,CS!$A:$AK,15,FALSE),"")</f>
      </c>
      <c r="J353" s="79">
        <f>IFERROR(VLOOKUP($A:$A,CS!$A:$AK,18,FALSE),"")</f>
      </c>
      <c r="K353" s="79">
        <f>IFERROR(VLOOKUP($A:$A,CS!$A:$AK,19,FALSE),"")</f>
      </c>
      <c r="L353" s="79">
        <f>IFERROR(VLOOKUP($A:$A,CS!$A:$AK,20,FALSE),"")</f>
      </c>
      <c r="M353" s="79">
        <f>IFERROR(VLOOKUP($A:$A,CS!$A:$AK,22,FALSE),"")</f>
      </c>
      <c r="N353" s="79">
        <f>IFERROR(VLOOKUP($A:$A,CS!$A:$AK,19,FALSE),"")</f>
      </c>
      <c r="O353" s="79">
        <f>IFERROR(VLOOKUP($A:$A,CS!$A:$AK,23,FALSE),"")</f>
      </c>
      <c r="P353" s="79">
        <f>IFERROR(VLOOKUP($A:$A,CS!$A:$AK,24,FALSE),"")</f>
      </c>
      <c r="Q353" s="79">
        <f>IFERROR(VLOOKUP($A:$A,CS!$A:$AK,25,FALSE),"")</f>
      </c>
      <c r="R353" s="79">
        <f>IFERROR(VLOOKUP($A:$A,CS!$A:$AK,26,FALSE),"")</f>
      </c>
      <c r="S353" s="79">
        <f>IFERROR(VLOOKUP($A:$A,CS!$A:$AK,29,FALSE),"")</f>
      </c>
      <c r="T353" s="79">
        <f>IFERROR(VLOOKUP($A:$A,CS!$A:$AK,33,FALSE),"")</f>
      </c>
      <c r="U353" s="79">
        <f>IFERROR(VLOOKUP($A:$A,CS!$A:$AK,34,FALSE),"")</f>
      </c>
      <c r="V353" s="79">
        <f>IFERROR(VLOOKUP($A:$A,CS!$A:$AK,35,FALSE),"")</f>
      </c>
      <c r="W353" s="79">
        <f>IFERROR(VLOOKUP($A:$A,CS!$A:$AK,36,FALSE),"")</f>
      </c>
    </row>
    <row r="354" ht="16.5" customHeight="1" spans="1:23" x14ac:dyDescent="0.25">
      <c r="A354" s="93"/>
      <c r="B354" s="79">
        <f>IFERROR(VLOOKUP($A:$A,CS!$A:$AK,3,FALSE),"")</f>
      </c>
      <c r="C354" s="79">
        <f>IFERROR(VLOOKUP($A:$A,CS!$A:$AK,4,FALSE),"")</f>
      </c>
      <c r="D354" s="79">
        <f>IFERROR(VLOOKUP($A:$A,CS!$A:$AK,5,FALSE),"")</f>
      </c>
      <c r="E354" s="79">
        <f>IFERROR(VLOOKUP($A:$A,CS!$A:$AK,7,FALSE),"")</f>
      </c>
      <c r="F354" s="79">
        <f>IFERROR(VLOOKUP($A:$A,CS!$A:$AK,8,FALSE),"")</f>
      </c>
      <c r="G354" s="79">
        <f>IFERROR(VLOOKUP($A:$A,CS!$A:$AK,10,FALSE),"")</f>
      </c>
      <c r="H354" s="79">
        <f>IFERROR(VLOOKUP($A:$A,CS!$A:$AK,14,FALSE),"")</f>
      </c>
      <c r="I354" s="79">
        <f>IFERROR(VLOOKUP($A:$A,CS!$A:$AK,15,FALSE),"")</f>
      </c>
      <c r="J354" s="79">
        <f>IFERROR(VLOOKUP($A:$A,CS!$A:$AK,18,FALSE),"")</f>
      </c>
      <c r="K354" s="79">
        <f>IFERROR(VLOOKUP($A:$A,CS!$A:$AK,19,FALSE),"")</f>
      </c>
      <c r="L354" s="79">
        <f>IFERROR(VLOOKUP($A:$A,CS!$A:$AK,20,FALSE),"")</f>
      </c>
      <c r="M354" s="79">
        <f>IFERROR(VLOOKUP($A:$A,CS!$A:$AK,22,FALSE),"")</f>
      </c>
      <c r="N354" s="79">
        <f>IFERROR(VLOOKUP($A:$A,CS!$A:$AK,19,FALSE),"")</f>
      </c>
      <c r="O354" s="79">
        <f>IFERROR(VLOOKUP($A:$A,CS!$A:$AK,23,FALSE),"")</f>
      </c>
      <c r="P354" s="79">
        <f>IFERROR(VLOOKUP($A:$A,CS!$A:$AK,24,FALSE),"")</f>
      </c>
      <c r="Q354" s="79">
        <f>IFERROR(VLOOKUP($A:$A,CS!$A:$AK,25,FALSE),"")</f>
      </c>
      <c r="R354" s="79">
        <f>IFERROR(VLOOKUP($A:$A,CS!$A:$AK,26,FALSE),"")</f>
      </c>
      <c r="S354" s="79">
        <f>IFERROR(VLOOKUP($A:$A,CS!$A:$AK,29,FALSE),"")</f>
      </c>
      <c r="T354" s="79">
        <f>IFERROR(VLOOKUP($A:$A,CS!$A:$AK,33,FALSE),"")</f>
      </c>
      <c r="U354" s="79">
        <f>IFERROR(VLOOKUP($A:$A,CS!$A:$AK,34,FALSE),"")</f>
      </c>
      <c r="V354" s="79">
        <f>IFERROR(VLOOKUP($A:$A,CS!$A:$AK,35,FALSE),"")</f>
      </c>
      <c r="W354" s="79">
        <f>IFERROR(VLOOKUP($A:$A,CS!$A:$AK,36,FALSE),"")</f>
      </c>
    </row>
    <row r="355" ht="16.5" customHeight="1" spans="1:23" x14ac:dyDescent="0.25">
      <c r="A355" s="93"/>
      <c r="B355" s="79">
        <f>IFERROR(VLOOKUP($A:$A,CS!$A:$AK,3,FALSE),"")</f>
      </c>
      <c r="C355" s="79">
        <f>IFERROR(VLOOKUP($A:$A,CS!$A:$AK,4,FALSE),"")</f>
      </c>
      <c r="D355" s="79">
        <f>IFERROR(VLOOKUP($A:$A,CS!$A:$AK,5,FALSE),"")</f>
      </c>
      <c r="E355" s="79">
        <f>IFERROR(VLOOKUP($A:$A,CS!$A:$AK,7,FALSE),"")</f>
      </c>
      <c r="F355" s="79">
        <f>IFERROR(VLOOKUP($A:$A,CS!$A:$AK,8,FALSE),"")</f>
      </c>
      <c r="G355" s="79">
        <f>IFERROR(VLOOKUP($A:$A,CS!$A:$AK,10,FALSE),"")</f>
      </c>
      <c r="H355" s="79">
        <f>IFERROR(VLOOKUP($A:$A,CS!$A:$AK,14,FALSE),"")</f>
      </c>
      <c r="I355" s="79">
        <f>IFERROR(VLOOKUP($A:$A,CS!$A:$AK,15,FALSE),"")</f>
      </c>
      <c r="J355" s="79">
        <f>IFERROR(VLOOKUP($A:$A,CS!$A:$AK,18,FALSE),"")</f>
      </c>
      <c r="K355" s="79">
        <f>IFERROR(VLOOKUP($A:$A,CS!$A:$AK,19,FALSE),"")</f>
      </c>
      <c r="L355" s="79">
        <f>IFERROR(VLOOKUP($A:$A,CS!$A:$AK,20,FALSE),"")</f>
      </c>
      <c r="M355" s="79">
        <f>IFERROR(VLOOKUP($A:$A,CS!$A:$AK,22,FALSE),"")</f>
      </c>
      <c r="N355" s="79">
        <f>IFERROR(VLOOKUP($A:$A,CS!$A:$AK,19,FALSE),"")</f>
      </c>
      <c r="O355" s="79">
        <f>IFERROR(VLOOKUP($A:$A,CS!$A:$AK,23,FALSE),"")</f>
      </c>
      <c r="P355" s="79">
        <f>IFERROR(VLOOKUP($A:$A,CS!$A:$AK,24,FALSE),"")</f>
      </c>
      <c r="Q355" s="79">
        <f>IFERROR(VLOOKUP($A:$A,CS!$A:$AK,25,FALSE),"")</f>
      </c>
      <c r="R355" s="79">
        <f>IFERROR(VLOOKUP($A:$A,CS!$A:$AK,26,FALSE),"")</f>
      </c>
      <c r="S355" s="79">
        <f>IFERROR(VLOOKUP($A:$A,CS!$A:$AK,29,FALSE),"")</f>
      </c>
      <c r="T355" s="79">
        <f>IFERROR(VLOOKUP($A:$A,CS!$A:$AK,33,FALSE),"")</f>
      </c>
      <c r="U355" s="79">
        <f>IFERROR(VLOOKUP($A:$A,CS!$A:$AK,34,FALSE),"")</f>
      </c>
      <c r="V355" s="79">
        <f>IFERROR(VLOOKUP($A:$A,CS!$A:$AK,35,FALSE),"")</f>
      </c>
      <c r="W355" s="79">
        <f>IFERROR(VLOOKUP($A:$A,CS!$A:$AK,36,FALSE),"")</f>
      </c>
    </row>
    <row r="356" ht="16.5" customHeight="1" spans="1:23" x14ac:dyDescent="0.25">
      <c r="A356" s="93"/>
      <c r="B356" s="79">
        <f>IFERROR(VLOOKUP($A:$A,CS!$A:$AK,3,FALSE),"")</f>
      </c>
      <c r="C356" s="79">
        <f>IFERROR(VLOOKUP($A:$A,CS!$A:$AK,4,FALSE),"")</f>
      </c>
      <c r="D356" s="79">
        <f>IFERROR(VLOOKUP($A:$A,CS!$A:$AK,5,FALSE),"")</f>
      </c>
      <c r="E356" s="79">
        <f>IFERROR(VLOOKUP($A:$A,CS!$A:$AK,7,FALSE),"")</f>
      </c>
      <c r="F356" s="79">
        <f>IFERROR(VLOOKUP($A:$A,CS!$A:$AK,8,FALSE),"")</f>
      </c>
      <c r="G356" s="79">
        <f>IFERROR(VLOOKUP($A:$A,CS!$A:$AK,10,FALSE),"")</f>
      </c>
      <c r="H356" s="79">
        <f>IFERROR(VLOOKUP($A:$A,CS!$A:$AK,14,FALSE),"")</f>
      </c>
      <c r="I356" s="79">
        <f>IFERROR(VLOOKUP($A:$A,CS!$A:$AK,15,FALSE),"")</f>
      </c>
      <c r="J356" s="79">
        <f>IFERROR(VLOOKUP($A:$A,CS!$A:$AK,18,FALSE),"")</f>
      </c>
      <c r="K356" s="79">
        <f>IFERROR(VLOOKUP($A:$A,CS!$A:$AK,19,FALSE),"")</f>
      </c>
      <c r="L356" s="79">
        <f>IFERROR(VLOOKUP($A:$A,CS!$A:$AK,20,FALSE),"")</f>
      </c>
      <c r="M356" s="79">
        <f>IFERROR(VLOOKUP($A:$A,CS!$A:$AK,22,FALSE),"")</f>
      </c>
      <c r="N356" s="79">
        <f>IFERROR(VLOOKUP($A:$A,CS!$A:$AK,19,FALSE),"")</f>
      </c>
      <c r="O356" s="79">
        <f>IFERROR(VLOOKUP($A:$A,CS!$A:$AK,23,FALSE),"")</f>
      </c>
      <c r="P356" s="79">
        <f>IFERROR(VLOOKUP($A:$A,CS!$A:$AK,24,FALSE),"")</f>
      </c>
      <c r="Q356" s="79">
        <f>IFERROR(VLOOKUP($A:$A,CS!$A:$AK,25,FALSE),"")</f>
      </c>
      <c r="R356" s="79">
        <f>IFERROR(VLOOKUP($A:$A,CS!$A:$AK,26,FALSE),"")</f>
      </c>
      <c r="S356" s="79">
        <f>IFERROR(VLOOKUP($A:$A,CS!$A:$AK,29,FALSE),"")</f>
      </c>
      <c r="T356" s="79">
        <f>IFERROR(VLOOKUP($A:$A,CS!$A:$AK,33,FALSE),"")</f>
      </c>
      <c r="U356" s="79">
        <f>IFERROR(VLOOKUP($A:$A,CS!$A:$AK,34,FALSE),"")</f>
      </c>
      <c r="V356" s="79">
        <f>IFERROR(VLOOKUP($A:$A,CS!$A:$AK,35,FALSE),"")</f>
      </c>
      <c r="W356" s="79">
        <f>IFERROR(VLOOKUP($A:$A,CS!$A:$AK,36,FALSE),"")</f>
      </c>
    </row>
    <row r="357" ht="16.5" customHeight="1" spans="1:23" x14ac:dyDescent="0.25">
      <c r="A357" s="93"/>
      <c r="B357" s="79">
        <f>IFERROR(VLOOKUP($A:$A,CS!$A:$AK,3,FALSE),"")</f>
      </c>
      <c r="C357" s="79">
        <f>IFERROR(VLOOKUP($A:$A,CS!$A:$AK,4,FALSE),"")</f>
      </c>
      <c r="D357" s="79">
        <f>IFERROR(VLOOKUP($A:$A,CS!$A:$AK,5,FALSE),"")</f>
      </c>
      <c r="E357" s="79">
        <f>IFERROR(VLOOKUP($A:$A,CS!$A:$AK,7,FALSE),"")</f>
      </c>
      <c r="F357" s="79">
        <f>IFERROR(VLOOKUP($A:$A,CS!$A:$AK,8,FALSE),"")</f>
      </c>
      <c r="G357" s="79">
        <f>IFERROR(VLOOKUP($A:$A,CS!$A:$AK,10,FALSE),"")</f>
      </c>
      <c r="H357" s="79">
        <f>IFERROR(VLOOKUP($A:$A,CS!$A:$AK,14,FALSE),"")</f>
      </c>
      <c r="I357" s="79">
        <f>IFERROR(VLOOKUP($A:$A,CS!$A:$AK,15,FALSE),"")</f>
      </c>
      <c r="J357" s="79">
        <f>IFERROR(VLOOKUP($A:$A,CS!$A:$AK,18,FALSE),"")</f>
      </c>
      <c r="K357" s="79">
        <f>IFERROR(VLOOKUP($A:$A,CS!$A:$AK,19,FALSE),"")</f>
      </c>
      <c r="L357" s="79">
        <f>IFERROR(VLOOKUP($A:$A,CS!$A:$AK,20,FALSE),"")</f>
      </c>
      <c r="M357" s="79">
        <f>IFERROR(VLOOKUP($A:$A,CS!$A:$AK,22,FALSE),"")</f>
      </c>
      <c r="N357" s="79">
        <f>IFERROR(VLOOKUP($A:$A,CS!$A:$AK,19,FALSE),"")</f>
      </c>
      <c r="O357" s="79">
        <f>IFERROR(VLOOKUP($A:$A,CS!$A:$AK,23,FALSE),"")</f>
      </c>
      <c r="P357" s="79">
        <f>IFERROR(VLOOKUP($A:$A,CS!$A:$AK,24,FALSE),"")</f>
      </c>
      <c r="Q357" s="79">
        <f>IFERROR(VLOOKUP($A:$A,CS!$A:$AK,25,FALSE),"")</f>
      </c>
      <c r="R357" s="79">
        <f>IFERROR(VLOOKUP($A:$A,CS!$A:$AK,26,FALSE),"")</f>
      </c>
      <c r="S357" s="79">
        <f>IFERROR(VLOOKUP($A:$A,CS!$A:$AK,29,FALSE),"")</f>
      </c>
      <c r="T357" s="79">
        <f>IFERROR(VLOOKUP($A:$A,CS!$A:$AK,33,FALSE),"")</f>
      </c>
      <c r="U357" s="79">
        <f>IFERROR(VLOOKUP($A:$A,CS!$A:$AK,34,FALSE),"")</f>
      </c>
      <c r="V357" s="79">
        <f>IFERROR(VLOOKUP($A:$A,CS!$A:$AK,35,FALSE),"")</f>
      </c>
      <c r="W357" s="79">
        <f>IFERROR(VLOOKUP($A:$A,CS!$A:$AK,36,FALSE),"")</f>
      </c>
    </row>
    <row r="358" ht="16.5" customHeight="1" spans="1:23" x14ac:dyDescent="0.25">
      <c r="A358" s="93"/>
      <c r="B358" s="79">
        <f>IFERROR(VLOOKUP($A:$A,CS!$A:$AK,3,FALSE),"")</f>
      </c>
      <c r="C358" s="79">
        <f>IFERROR(VLOOKUP($A:$A,CS!$A:$AK,4,FALSE),"")</f>
      </c>
      <c r="D358" s="79">
        <f>IFERROR(VLOOKUP($A:$A,CS!$A:$AK,5,FALSE),"")</f>
      </c>
      <c r="E358" s="79">
        <f>IFERROR(VLOOKUP($A:$A,CS!$A:$AK,7,FALSE),"")</f>
      </c>
      <c r="F358" s="79">
        <f>IFERROR(VLOOKUP($A:$A,CS!$A:$AK,8,FALSE),"")</f>
      </c>
      <c r="G358" s="79">
        <f>IFERROR(VLOOKUP($A:$A,CS!$A:$AK,10,FALSE),"")</f>
      </c>
      <c r="H358" s="79">
        <f>IFERROR(VLOOKUP($A:$A,CS!$A:$AK,14,FALSE),"")</f>
      </c>
      <c r="I358" s="79">
        <f>IFERROR(VLOOKUP($A:$A,CS!$A:$AK,15,FALSE),"")</f>
      </c>
      <c r="J358" s="79">
        <f>IFERROR(VLOOKUP($A:$A,CS!$A:$AK,18,FALSE),"")</f>
      </c>
      <c r="K358" s="79">
        <f>IFERROR(VLOOKUP($A:$A,CS!$A:$AK,19,FALSE),"")</f>
      </c>
      <c r="L358" s="79">
        <f>IFERROR(VLOOKUP($A:$A,CS!$A:$AK,20,FALSE),"")</f>
      </c>
      <c r="M358" s="79">
        <f>IFERROR(VLOOKUP($A:$A,CS!$A:$AK,22,FALSE),"")</f>
      </c>
      <c r="N358" s="79">
        <f>IFERROR(VLOOKUP($A:$A,CS!$A:$AK,19,FALSE),"")</f>
      </c>
      <c r="O358" s="79">
        <f>IFERROR(VLOOKUP($A:$A,CS!$A:$AK,23,FALSE),"")</f>
      </c>
      <c r="P358" s="79">
        <f>IFERROR(VLOOKUP($A:$A,CS!$A:$AK,24,FALSE),"")</f>
      </c>
      <c r="Q358" s="79">
        <f>IFERROR(VLOOKUP($A:$A,CS!$A:$AK,25,FALSE),"")</f>
      </c>
      <c r="R358" s="79">
        <f>IFERROR(VLOOKUP($A:$A,CS!$A:$AK,26,FALSE),"")</f>
      </c>
      <c r="S358" s="79">
        <f>IFERROR(VLOOKUP($A:$A,CS!$A:$AK,29,FALSE),"")</f>
      </c>
      <c r="T358" s="79">
        <f>IFERROR(VLOOKUP($A:$A,CS!$A:$AK,33,FALSE),"")</f>
      </c>
      <c r="U358" s="79">
        <f>IFERROR(VLOOKUP($A:$A,CS!$A:$AK,34,FALSE),"")</f>
      </c>
      <c r="V358" s="79">
        <f>IFERROR(VLOOKUP($A:$A,CS!$A:$AK,35,FALSE),"")</f>
      </c>
      <c r="W358" s="79">
        <f>IFERROR(VLOOKUP($A:$A,CS!$A:$AK,36,FALSE),"")</f>
      </c>
    </row>
    <row r="359" ht="16.5" customHeight="1" spans="1:23" x14ac:dyDescent="0.25">
      <c r="A359" s="93"/>
      <c r="B359" s="79">
        <f>IFERROR(VLOOKUP($A:$A,CS!$A:$AK,3,FALSE),"")</f>
      </c>
      <c r="C359" s="79">
        <f>IFERROR(VLOOKUP($A:$A,CS!$A:$AK,4,FALSE),"")</f>
      </c>
      <c r="D359" s="79">
        <f>IFERROR(VLOOKUP($A:$A,CS!$A:$AK,5,FALSE),"")</f>
      </c>
      <c r="E359" s="79">
        <f>IFERROR(VLOOKUP($A:$A,CS!$A:$AK,7,FALSE),"")</f>
      </c>
      <c r="F359" s="79">
        <f>IFERROR(VLOOKUP($A:$A,CS!$A:$AK,8,FALSE),"")</f>
      </c>
      <c r="G359" s="79">
        <f>IFERROR(VLOOKUP($A:$A,CS!$A:$AK,10,FALSE),"")</f>
      </c>
      <c r="H359" s="79">
        <f>IFERROR(VLOOKUP($A:$A,CS!$A:$AK,14,FALSE),"")</f>
      </c>
      <c r="I359" s="79">
        <f>IFERROR(VLOOKUP($A:$A,CS!$A:$AK,15,FALSE),"")</f>
      </c>
      <c r="J359" s="79">
        <f>IFERROR(VLOOKUP($A:$A,CS!$A:$AK,18,FALSE),"")</f>
      </c>
      <c r="K359" s="79">
        <f>IFERROR(VLOOKUP($A:$A,CS!$A:$AK,19,FALSE),"")</f>
      </c>
      <c r="L359" s="79">
        <f>IFERROR(VLOOKUP($A:$A,CS!$A:$AK,20,FALSE),"")</f>
      </c>
      <c r="M359" s="79">
        <f>IFERROR(VLOOKUP($A:$A,CS!$A:$AK,22,FALSE),"")</f>
      </c>
      <c r="N359" s="79">
        <f>IFERROR(VLOOKUP($A:$A,CS!$A:$AK,19,FALSE),"")</f>
      </c>
      <c r="O359" s="79">
        <f>IFERROR(VLOOKUP($A:$A,CS!$A:$AK,23,FALSE),"")</f>
      </c>
      <c r="P359" s="79">
        <f>IFERROR(VLOOKUP($A:$A,CS!$A:$AK,24,FALSE),"")</f>
      </c>
      <c r="Q359" s="79">
        <f>IFERROR(VLOOKUP($A:$A,CS!$A:$AK,25,FALSE),"")</f>
      </c>
      <c r="R359" s="79">
        <f>IFERROR(VLOOKUP($A:$A,CS!$A:$AK,26,FALSE),"")</f>
      </c>
      <c r="S359" s="79">
        <f>IFERROR(VLOOKUP($A:$A,CS!$A:$AK,29,FALSE),"")</f>
      </c>
      <c r="T359" s="79">
        <f>IFERROR(VLOOKUP($A:$A,CS!$A:$AK,33,FALSE),"")</f>
      </c>
      <c r="U359" s="79">
        <f>IFERROR(VLOOKUP($A:$A,CS!$A:$AK,34,FALSE),"")</f>
      </c>
      <c r="V359" s="79">
        <f>IFERROR(VLOOKUP($A:$A,CS!$A:$AK,35,FALSE),"")</f>
      </c>
      <c r="W359" s="79">
        <f>IFERROR(VLOOKUP($A:$A,CS!$A:$AK,36,FALSE),"")</f>
      </c>
    </row>
    <row r="360" ht="16.5" customHeight="1" spans="1:23" x14ac:dyDescent="0.25">
      <c r="A360" s="93"/>
      <c r="B360" s="79">
        <f>IFERROR(VLOOKUP($A:$A,CS!$A:$AK,3,FALSE),"")</f>
      </c>
      <c r="C360" s="79">
        <f>IFERROR(VLOOKUP($A:$A,CS!$A:$AK,4,FALSE),"")</f>
      </c>
      <c r="D360" s="79">
        <f>IFERROR(VLOOKUP($A:$A,CS!$A:$AK,5,FALSE),"")</f>
      </c>
      <c r="E360" s="79">
        <f>IFERROR(VLOOKUP($A:$A,CS!$A:$AK,7,FALSE),"")</f>
      </c>
      <c r="F360" s="79">
        <f>IFERROR(VLOOKUP($A:$A,CS!$A:$AK,8,FALSE),"")</f>
      </c>
      <c r="G360" s="79">
        <f>IFERROR(VLOOKUP($A:$A,CS!$A:$AK,10,FALSE),"")</f>
      </c>
      <c r="H360" s="79">
        <f>IFERROR(VLOOKUP($A:$A,CS!$A:$AK,14,FALSE),"")</f>
      </c>
      <c r="I360" s="79">
        <f>IFERROR(VLOOKUP($A:$A,CS!$A:$AK,15,FALSE),"")</f>
      </c>
      <c r="J360" s="79">
        <f>IFERROR(VLOOKUP($A:$A,CS!$A:$AK,18,FALSE),"")</f>
      </c>
      <c r="K360" s="79">
        <f>IFERROR(VLOOKUP($A:$A,CS!$A:$AK,19,FALSE),"")</f>
      </c>
      <c r="L360" s="79">
        <f>IFERROR(VLOOKUP($A:$A,CS!$A:$AK,20,FALSE),"")</f>
      </c>
      <c r="M360" s="79">
        <f>IFERROR(VLOOKUP($A:$A,CS!$A:$AK,22,FALSE),"")</f>
      </c>
      <c r="N360" s="79">
        <f>IFERROR(VLOOKUP($A:$A,CS!$A:$AK,19,FALSE),"")</f>
      </c>
      <c r="O360" s="79">
        <f>IFERROR(VLOOKUP($A:$A,CS!$A:$AK,23,FALSE),"")</f>
      </c>
      <c r="P360" s="79">
        <f>IFERROR(VLOOKUP($A:$A,CS!$A:$AK,24,FALSE),"")</f>
      </c>
      <c r="Q360" s="79">
        <f>IFERROR(VLOOKUP($A:$A,CS!$A:$AK,25,FALSE),"")</f>
      </c>
      <c r="R360" s="79">
        <f>IFERROR(VLOOKUP($A:$A,CS!$A:$AK,26,FALSE),"")</f>
      </c>
      <c r="S360" s="79">
        <f>IFERROR(VLOOKUP($A:$A,CS!$A:$AK,29,FALSE),"")</f>
      </c>
      <c r="T360" s="79">
        <f>IFERROR(VLOOKUP($A:$A,CS!$A:$AK,33,FALSE),"")</f>
      </c>
      <c r="U360" s="79">
        <f>IFERROR(VLOOKUP($A:$A,CS!$A:$AK,34,FALSE),"")</f>
      </c>
      <c r="V360" s="79">
        <f>IFERROR(VLOOKUP($A:$A,CS!$A:$AK,35,FALSE),"")</f>
      </c>
      <c r="W360" s="79">
        <f>IFERROR(VLOOKUP($A:$A,CS!$A:$AK,36,FALSE),"")</f>
      </c>
    </row>
    <row r="361" ht="16.5" customHeight="1" spans="1:23" x14ac:dyDescent="0.25">
      <c r="A361" s="93"/>
      <c r="B361" s="79">
        <f>IFERROR(VLOOKUP($A:$A,CS!$A:$AK,3,FALSE),"")</f>
      </c>
      <c r="C361" s="79">
        <f>IFERROR(VLOOKUP($A:$A,CS!$A:$AK,4,FALSE),"")</f>
      </c>
      <c r="D361" s="79">
        <f>IFERROR(VLOOKUP($A:$A,CS!$A:$AK,5,FALSE),"")</f>
      </c>
      <c r="E361" s="79">
        <f>IFERROR(VLOOKUP($A:$A,CS!$A:$AK,7,FALSE),"")</f>
      </c>
      <c r="F361" s="79">
        <f>IFERROR(VLOOKUP($A:$A,CS!$A:$AK,8,FALSE),"")</f>
      </c>
      <c r="G361" s="79">
        <f>IFERROR(VLOOKUP($A:$A,CS!$A:$AK,10,FALSE),"")</f>
      </c>
      <c r="H361" s="79">
        <f>IFERROR(VLOOKUP($A:$A,CS!$A:$AK,14,FALSE),"")</f>
      </c>
      <c r="I361" s="79">
        <f>IFERROR(VLOOKUP($A:$A,CS!$A:$AK,15,FALSE),"")</f>
      </c>
      <c r="J361" s="79">
        <f>IFERROR(VLOOKUP($A:$A,CS!$A:$AK,18,FALSE),"")</f>
      </c>
      <c r="K361" s="79">
        <f>IFERROR(VLOOKUP($A:$A,CS!$A:$AK,19,FALSE),"")</f>
      </c>
      <c r="L361" s="79">
        <f>IFERROR(VLOOKUP($A:$A,CS!$A:$AK,20,FALSE),"")</f>
      </c>
      <c r="M361" s="79">
        <f>IFERROR(VLOOKUP($A:$A,CS!$A:$AK,22,FALSE),"")</f>
      </c>
      <c r="N361" s="79">
        <f>IFERROR(VLOOKUP($A:$A,CS!$A:$AK,19,FALSE),"")</f>
      </c>
      <c r="O361" s="79">
        <f>IFERROR(VLOOKUP($A:$A,CS!$A:$AK,23,FALSE),"")</f>
      </c>
      <c r="P361" s="79">
        <f>IFERROR(VLOOKUP($A:$A,CS!$A:$AK,24,FALSE),"")</f>
      </c>
      <c r="Q361" s="79">
        <f>IFERROR(VLOOKUP($A:$A,CS!$A:$AK,25,FALSE),"")</f>
      </c>
      <c r="R361" s="79">
        <f>IFERROR(VLOOKUP($A:$A,CS!$A:$AK,26,FALSE),"")</f>
      </c>
      <c r="S361" s="79">
        <f>IFERROR(VLOOKUP($A:$A,CS!$A:$AK,29,FALSE),"")</f>
      </c>
      <c r="T361" s="79">
        <f>IFERROR(VLOOKUP($A:$A,CS!$A:$AK,33,FALSE),"")</f>
      </c>
      <c r="U361" s="79">
        <f>IFERROR(VLOOKUP($A:$A,CS!$A:$AK,34,FALSE),"")</f>
      </c>
      <c r="V361" s="79">
        <f>IFERROR(VLOOKUP($A:$A,CS!$A:$AK,35,FALSE),"")</f>
      </c>
      <c r="W361" s="79">
        <f>IFERROR(VLOOKUP($A:$A,CS!$A:$AK,36,FALSE),"")</f>
      </c>
    </row>
    <row r="362" ht="16.5" customHeight="1" spans="1:23" x14ac:dyDescent="0.25">
      <c r="A362" s="93"/>
      <c r="B362" s="79">
        <f>IFERROR(VLOOKUP($A:$A,CS!$A:$AK,3,FALSE),"")</f>
      </c>
      <c r="C362" s="79">
        <f>IFERROR(VLOOKUP($A:$A,CS!$A:$AK,4,FALSE),"")</f>
      </c>
      <c r="D362" s="79">
        <f>IFERROR(VLOOKUP($A:$A,CS!$A:$AK,5,FALSE),"")</f>
      </c>
      <c r="E362" s="79">
        <f>IFERROR(VLOOKUP($A:$A,CS!$A:$AK,7,FALSE),"")</f>
      </c>
      <c r="F362" s="79">
        <f>IFERROR(VLOOKUP($A:$A,CS!$A:$AK,8,FALSE),"")</f>
      </c>
      <c r="G362" s="79">
        <f>IFERROR(VLOOKUP($A:$A,CS!$A:$AK,10,FALSE),"")</f>
      </c>
      <c r="H362" s="79">
        <f>IFERROR(VLOOKUP($A:$A,CS!$A:$AK,14,FALSE),"")</f>
      </c>
      <c r="I362" s="79">
        <f>IFERROR(VLOOKUP($A:$A,CS!$A:$AK,15,FALSE),"")</f>
      </c>
      <c r="J362" s="79">
        <f>IFERROR(VLOOKUP($A:$A,CS!$A:$AK,18,FALSE),"")</f>
      </c>
      <c r="K362" s="79">
        <f>IFERROR(VLOOKUP($A:$A,CS!$A:$AK,19,FALSE),"")</f>
      </c>
      <c r="L362" s="79">
        <f>IFERROR(VLOOKUP($A:$A,CS!$A:$AK,20,FALSE),"")</f>
      </c>
      <c r="M362" s="79">
        <f>IFERROR(VLOOKUP($A:$A,CS!$A:$AK,22,FALSE),"")</f>
      </c>
      <c r="N362" s="79">
        <f>IFERROR(VLOOKUP($A:$A,CS!$A:$AK,19,FALSE),"")</f>
      </c>
      <c r="O362" s="79">
        <f>IFERROR(VLOOKUP($A:$A,CS!$A:$AK,23,FALSE),"")</f>
      </c>
      <c r="P362" s="79">
        <f>IFERROR(VLOOKUP($A:$A,CS!$A:$AK,24,FALSE),"")</f>
      </c>
      <c r="Q362" s="79">
        <f>IFERROR(VLOOKUP($A:$A,CS!$A:$AK,25,FALSE),"")</f>
      </c>
      <c r="R362" s="79">
        <f>IFERROR(VLOOKUP($A:$A,CS!$A:$AK,26,FALSE),"")</f>
      </c>
      <c r="S362" s="79">
        <f>IFERROR(VLOOKUP($A:$A,CS!$A:$AK,29,FALSE),"")</f>
      </c>
      <c r="T362" s="79">
        <f>IFERROR(VLOOKUP($A:$A,CS!$A:$AK,33,FALSE),"")</f>
      </c>
      <c r="U362" s="79">
        <f>IFERROR(VLOOKUP($A:$A,CS!$A:$AK,34,FALSE),"")</f>
      </c>
      <c r="V362" s="79">
        <f>IFERROR(VLOOKUP($A:$A,CS!$A:$AK,35,FALSE),"")</f>
      </c>
      <c r="W362" s="79">
        <f>IFERROR(VLOOKUP($A:$A,CS!$A:$AK,36,FALSE),"")</f>
      </c>
    </row>
    <row r="363" ht="16.5" customHeight="1" spans="1:23" x14ac:dyDescent="0.25">
      <c r="A363" s="93"/>
      <c r="B363" s="79">
        <f>IFERROR(VLOOKUP($A:$A,CS!$A:$AK,3,FALSE),"")</f>
      </c>
      <c r="C363" s="79">
        <f>IFERROR(VLOOKUP($A:$A,CS!$A:$AK,4,FALSE),"")</f>
      </c>
      <c r="D363" s="79">
        <f>IFERROR(VLOOKUP($A:$A,CS!$A:$AK,5,FALSE),"")</f>
      </c>
      <c r="E363" s="79">
        <f>IFERROR(VLOOKUP($A:$A,CS!$A:$AK,7,FALSE),"")</f>
      </c>
      <c r="F363" s="79">
        <f>IFERROR(VLOOKUP($A:$A,CS!$A:$AK,8,FALSE),"")</f>
      </c>
      <c r="G363" s="79">
        <f>IFERROR(VLOOKUP($A:$A,CS!$A:$AK,10,FALSE),"")</f>
      </c>
      <c r="H363" s="79">
        <f>IFERROR(VLOOKUP($A:$A,CS!$A:$AK,14,FALSE),"")</f>
      </c>
      <c r="I363" s="79">
        <f>IFERROR(VLOOKUP($A:$A,CS!$A:$AK,15,FALSE),"")</f>
      </c>
      <c r="J363" s="79">
        <f>IFERROR(VLOOKUP($A:$A,CS!$A:$AK,18,FALSE),"")</f>
      </c>
      <c r="K363" s="79">
        <f>IFERROR(VLOOKUP($A:$A,CS!$A:$AK,19,FALSE),"")</f>
      </c>
      <c r="L363" s="79">
        <f>IFERROR(VLOOKUP($A:$A,CS!$A:$AK,20,FALSE),"")</f>
      </c>
      <c r="M363" s="79">
        <f>IFERROR(VLOOKUP($A:$A,CS!$A:$AK,22,FALSE),"")</f>
      </c>
      <c r="N363" s="79">
        <f>IFERROR(VLOOKUP($A:$A,CS!$A:$AK,19,FALSE),"")</f>
      </c>
      <c r="O363" s="79">
        <f>IFERROR(VLOOKUP($A:$A,CS!$A:$AK,23,FALSE),"")</f>
      </c>
      <c r="P363" s="79">
        <f>IFERROR(VLOOKUP($A:$A,CS!$A:$AK,24,FALSE),"")</f>
      </c>
      <c r="Q363" s="79">
        <f>IFERROR(VLOOKUP($A:$A,CS!$A:$AK,25,FALSE),"")</f>
      </c>
      <c r="R363" s="79">
        <f>IFERROR(VLOOKUP($A:$A,CS!$A:$AK,26,FALSE),"")</f>
      </c>
      <c r="S363" s="79">
        <f>IFERROR(VLOOKUP($A:$A,CS!$A:$AK,29,FALSE),"")</f>
      </c>
      <c r="T363" s="79">
        <f>IFERROR(VLOOKUP($A:$A,CS!$A:$AK,33,FALSE),"")</f>
      </c>
      <c r="U363" s="79">
        <f>IFERROR(VLOOKUP($A:$A,CS!$A:$AK,34,FALSE),"")</f>
      </c>
      <c r="V363" s="79">
        <f>IFERROR(VLOOKUP($A:$A,CS!$A:$AK,35,FALSE),"")</f>
      </c>
      <c r="W363" s="79">
        <f>IFERROR(VLOOKUP($A:$A,CS!$A:$AK,36,FALSE),"")</f>
      </c>
    </row>
    <row r="364" ht="16.5" customHeight="1" spans="1:23" x14ac:dyDescent="0.25">
      <c r="A364" s="93"/>
      <c r="B364" s="79">
        <f>IFERROR(VLOOKUP($A:$A,CS!$A:$AK,3,FALSE),"")</f>
      </c>
      <c r="C364" s="79">
        <f>IFERROR(VLOOKUP($A:$A,CS!$A:$AK,4,FALSE),"")</f>
      </c>
      <c r="D364" s="79">
        <f>IFERROR(VLOOKUP($A:$A,CS!$A:$AK,5,FALSE),"")</f>
      </c>
      <c r="E364" s="79">
        <f>IFERROR(VLOOKUP($A:$A,CS!$A:$AK,7,FALSE),"")</f>
      </c>
      <c r="F364" s="79">
        <f>IFERROR(VLOOKUP($A:$A,CS!$A:$AK,8,FALSE),"")</f>
      </c>
      <c r="G364" s="79">
        <f>IFERROR(VLOOKUP($A:$A,CS!$A:$AK,10,FALSE),"")</f>
      </c>
      <c r="H364" s="79">
        <f>IFERROR(VLOOKUP($A:$A,CS!$A:$AK,14,FALSE),"")</f>
      </c>
      <c r="I364" s="79">
        <f>IFERROR(VLOOKUP($A:$A,CS!$A:$AK,15,FALSE),"")</f>
      </c>
      <c r="J364" s="79">
        <f>IFERROR(VLOOKUP($A:$A,CS!$A:$AK,18,FALSE),"")</f>
      </c>
      <c r="K364" s="79">
        <f>IFERROR(VLOOKUP($A:$A,CS!$A:$AK,19,FALSE),"")</f>
      </c>
      <c r="L364" s="79">
        <f>IFERROR(VLOOKUP($A:$A,CS!$A:$AK,20,FALSE),"")</f>
      </c>
      <c r="M364" s="79">
        <f>IFERROR(VLOOKUP($A:$A,CS!$A:$AK,22,FALSE),"")</f>
      </c>
      <c r="N364" s="79">
        <f>IFERROR(VLOOKUP($A:$A,CS!$A:$AK,19,FALSE),"")</f>
      </c>
      <c r="O364" s="79">
        <f>IFERROR(VLOOKUP($A:$A,CS!$A:$AK,23,FALSE),"")</f>
      </c>
      <c r="P364" s="79">
        <f>IFERROR(VLOOKUP($A:$A,CS!$A:$AK,24,FALSE),"")</f>
      </c>
      <c r="Q364" s="79">
        <f>IFERROR(VLOOKUP($A:$A,CS!$A:$AK,25,FALSE),"")</f>
      </c>
      <c r="R364" s="79">
        <f>IFERROR(VLOOKUP($A:$A,CS!$A:$AK,26,FALSE),"")</f>
      </c>
      <c r="S364" s="79">
        <f>IFERROR(VLOOKUP($A:$A,CS!$A:$AK,29,FALSE),"")</f>
      </c>
      <c r="T364" s="79">
        <f>IFERROR(VLOOKUP($A:$A,CS!$A:$AK,33,FALSE),"")</f>
      </c>
      <c r="U364" s="79">
        <f>IFERROR(VLOOKUP($A:$A,CS!$A:$AK,34,FALSE),"")</f>
      </c>
      <c r="V364" s="79">
        <f>IFERROR(VLOOKUP($A:$A,CS!$A:$AK,35,FALSE),"")</f>
      </c>
      <c r="W364" s="79">
        <f>IFERROR(VLOOKUP($A:$A,CS!$A:$AK,36,FALSE),"")</f>
      </c>
    </row>
    <row r="365" ht="16.5" customHeight="1" spans="1:23" x14ac:dyDescent="0.25">
      <c r="A365" s="93"/>
      <c r="B365" s="79">
        <f>IFERROR(VLOOKUP($A:$A,CS!$A:$AK,3,FALSE),"")</f>
      </c>
      <c r="C365" s="79">
        <f>IFERROR(VLOOKUP($A:$A,CS!$A:$AK,4,FALSE),"")</f>
      </c>
      <c r="D365" s="79">
        <f>IFERROR(VLOOKUP($A:$A,CS!$A:$AK,5,FALSE),"")</f>
      </c>
      <c r="E365" s="79">
        <f>IFERROR(VLOOKUP($A:$A,CS!$A:$AK,7,FALSE),"")</f>
      </c>
      <c r="F365" s="79">
        <f>IFERROR(VLOOKUP($A:$A,CS!$A:$AK,8,FALSE),"")</f>
      </c>
      <c r="G365" s="79">
        <f>IFERROR(VLOOKUP($A:$A,CS!$A:$AK,10,FALSE),"")</f>
      </c>
      <c r="H365" s="79">
        <f>IFERROR(VLOOKUP($A:$A,CS!$A:$AK,14,FALSE),"")</f>
      </c>
      <c r="I365" s="79">
        <f>IFERROR(VLOOKUP($A:$A,CS!$A:$AK,15,FALSE),"")</f>
      </c>
      <c r="J365" s="79">
        <f>IFERROR(VLOOKUP($A:$A,CS!$A:$AK,18,FALSE),"")</f>
      </c>
      <c r="K365" s="79">
        <f>IFERROR(VLOOKUP($A:$A,CS!$A:$AK,19,FALSE),"")</f>
      </c>
      <c r="L365" s="79">
        <f>IFERROR(VLOOKUP($A:$A,CS!$A:$AK,20,FALSE),"")</f>
      </c>
      <c r="M365" s="79">
        <f>IFERROR(VLOOKUP($A:$A,CS!$A:$AK,22,FALSE),"")</f>
      </c>
      <c r="N365" s="79">
        <f>IFERROR(VLOOKUP($A:$A,CS!$A:$AK,19,FALSE),"")</f>
      </c>
      <c r="O365" s="79">
        <f>IFERROR(VLOOKUP($A:$A,CS!$A:$AK,23,FALSE),"")</f>
      </c>
      <c r="P365" s="79">
        <f>IFERROR(VLOOKUP($A:$A,CS!$A:$AK,24,FALSE),"")</f>
      </c>
      <c r="Q365" s="79">
        <f>IFERROR(VLOOKUP($A:$A,CS!$A:$AK,25,FALSE),"")</f>
      </c>
      <c r="R365" s="79">
        <f>IFERROR(VLOOKUP($A:$A,CS!$A:$AK,26,FALSE),"")</f>
      </c>
      <c r="S365" s="79">
        <f>IFERROR(VLOOKUP($A:$A,CS!$A:$AK,29,FALSE),"")</f>
      </c>
      <c r="T365" s="79">
        <f>IFERROR(VLOOKUP($A:$A,CS!$A:$AK,33,FALSE),"")</f>
      </c>
      <c r="U365" s="79">
        <f>IFERROR(VLOOKUP($A:$A,CS!$A:$AK,34,FALSE),"")</f>
      </c>
      <c r="V365" s="79">
        <f>IFERROR(VLOOKUP($A:$A,CS!$A:$AK,35,FALSE),"")</f>
      </c>
      <c r="W365" s="79">
        <f>IFERROR(VLOOKUP($A:$A,CS!$A:$AK,36,FALSE),"")</f>
      </c>
    </row>
    <row r="366" ht="16.5" customHeight="1" spans="1:23" x14ac:dyDescent="0.25">
      <c r="A366" s="93"/>
      <c r="B366" s="79">
        <f>IFERROR(VLOOKUP($A:$A,CS!$A:$AK,3,FALSE),"")</f>
      </c>
      <c r="C366" s="79">
        <f>IFERROR(VLOOKUP($A:$A,CS!$A:$AK,4,FALSE),"")</f>
      </c>
      <c r="D366" s="79">
        <f>IFERROR(VLOOKUP($A:$A,CS!$A:$AK,5,FALSE),"")</f>
      </c>
      <c r="E366" s="79">
        <f>IFERROR(VLOOKUP($A:$A,CS!$A:$AK,7,FALSE),"")</f>
      </c>
      <c r="F366" s="79">
        <f>IFERROR(VLOOKUP($A:$A,CS!$A:$AK,8,FALSE),"")</f>
      </c>
      <c r="G366" s="79">
        <f>IFERROR(VLOOKUP($A:$A,CS!$A:$AK,10,FALSE),"")</f>
      </c>
      <c r="H366" s="79">
        <f>IFERROR(VLOOKUP($A:$A,CS!$A:$AK,14,FALSE),"")</f>
      </c>
      <c r="I366" s="79">
        <f>IFERROR(VLOOKUP($A:$A,CS!$A:$AK,15,FALSE),"")</f>
      </c>
      <c r="J366" s="79">
        <f>IFERROR(VLOOKUP($A:$A,CS!$A:$AK,18,FALSE),"")</f>
      </c>
      <c r="K366" s="79">
        <f>IFERROR(VLOOKUP($A:$A,CS!$A:$AK,19,FALSE),"")</f>
      </c>
      <c r="L366" s="79">
        <f>IFERROR(VLOOKUP($A:$A,CS!$A:$AK,20,FALSE),"")</f>
      </c>
      <c r="M366" s="79">
        <f>IFERROR(VLOOKUP($A:$A,CS!$A:$AK,22,FALSE),"")</f>
      </c>
      <c r="N366" s="79">
        <f>IFERROR(VLOOKUP($A:$A,CS!$A:$AK,19,FALSE),"")</f>
      </c>
      <c r="O366" s="79">
        <f>IFERROR(VLOOKUP($A:$A,CS!$A:$AK,23,FALSE),"")</f>
      </c>
      <c r="P366" s="79">
        <f>IFERROR(VLOOKUP($A:$A,CS!$A:$AK,24,FALSE),"")</f>
      </c>
      <c r="Q366" s="79">
        <f>IFERROR(VLOOKUP($A:$A,CS!$A:$AK,25,FALSE),"")</f>
      </c>
      <c r="R366" s="79">
        <f>IFERROR(VLOOKUP($A:$A,CS!$A:$AK,26,FALSE),"")</f>
      </c>
      <c r="S366" s="79">
        <f>IFERROR(VLOOKUP($A:$A,CS!$A:$AK,29,FALSE),"")</f>
      </c>
      <c r="T366" s="79">
        <f>IFERROR(VLOOKUP($A:$A,CS!$A:$AK,33,FALSE),"")</f>
      </c>
      <c r="U366" s="79">
        <f>IFERROR(VLOOKUP($A:$A,CS!$A:$AK,34,FALSE),"")</f>
      </c>
      <c r="V366" s="79">
        <f>IFERROR(VLOOKUP($A:$A,CS!$A:$AK,35,FALSE),"")</f>
      </c>
      <c r="W366" s="79">
        <f>IFERROR(VLOOKUP($A:$A,CS!$A:$AK,36,FALSE),"")</f>
      </c>
    </row>
    <row r="367" ht="16.5" customHeight="1" spans="1:23" x14ac:dyDescent="0.25">
      <c r="A367" s="93"/>
      <c r="B367" s="79">
        <f>IFERROR(VLOOKUP($A:$A,CS!$A:$AK,3,FALSE),"")</f>
      </c>
      <c r="C367" s="79">
        <f>IFERROR(VLOOKUP($A:$A,CS!$A:$AK,4,FALSE),"")</f>
      </c>
      <c r="D367" s="79">
        <f>IFERROR(VLOOKUP($A:$A,CS!$A:$AK,5,FALSE),"")</f>
      </c>
      <c r="E367" s="79">
        <f>IFERROR(VLOOKUP($A:$A,CS!$A:$AK,7,FALSE),"")</f>
      </c>
      <c r="F367" s="79">
        <f>IFERROR(VLOOKUP($A:$A,CS!$A:$AK,8,FALSE),"")</f>
      </c>
      <c r="G367" s="79">
        <f>IFERROR(VLOOKUP($A:$A,CS!$A:$AK,10,FALSE),"")</f>
      </c>
      <c r="H367" s="79">
        <f>IFERROR(VLOOKUP($A:$A,CS!$A:$AK,14,FALSE),"")</f>
      </c>
      <c r="I367" s="79">
        <f>IFERROR(VLOOKUP($A:$A,CS!$A:$AK,15,FALSE),"")</f>
      </c>
      <c r="J367" s="79">
        <f>IFERROR(VLOOKUP($A:$A,CS!$A:$AK,18,FALSE),"")</f>
      </c>
      <c r="K367" s="79">
        <f>IFERROR(VLOOKUP($A:$A,CS!$A:$AK,19,FALSE),"")</f>
      </c>
      <c r="L367" s="79">
        <f>IFERROR(VLOOKUP($A:$A,CS!$A:$AK,20,FALSE),"")</f>
      </c>
      <c r="M367" s="79">
        <f>IFERROR(VLOOKUP($A:$A,CS!$A:$AK,22,FALSE),"")</f>
      </c>
      <c r="N367" s="79">
        <f>IFERROR(VLOOKUP($A:$A,CS!$A:$AK,19,FALSE),"")</f>
      </c>
      <c r="O367" s="79">
        <f>IFERROR(VLOOKUP($A:$A,CS!$A:$AK,23,FALSE),"")</f>
      </c>
      <c r="P367" s="79">
        <f>IFERROR(VLOOKUP($A:$A,CS!$A:$AK,24,FALSE),"")</f>
      </c>
      <c r="Q367" s="79">
        <f>IFERROR(VLOOKUP($A:$A,CS!$A:$AK,25,FALSE),"")</f>
      </c>
      <c r="R367" s="79">
        <f>IFERROR(VLOOKUP($A:$A,CS!$A:$AK,26,FALSE),"")</f>
      </c>
      <c r="S367" s="79">
        <f>IFERROR(VLOOKUP($A:$A,CS!$A:$AK,29,FALSE),"")</f>
      </c>
      <c r="T367" s="79">
        <f>IFERROR(VLOOKUP($A:$A,CS!$A:$AK,33,FALSE),"")</f>
      </c>
      <c r="U367" s="79">
        <f>IFERROR(VLOOKUP($A:$A,CS!$A:$AK,34,FALSE),"")</f>
      </c>
      <c r="V367" s="79">
        <f>IFERROR(VLOOKUP($A:$A,CS!$A:$AK,35,FALSE),"")</f>
      </c>
      <c r="W367" s="79">
        <f>IFERROR(VLOOKUP($A:$A,CS!$A:$AK,36,FALSE),"")</f>
      </c>
    </row>
    <row r="368" ht="16.5" customHeight="1" spans="1:23" x14ac:dyDescent="0.25">
      <c r="A368" s="93"/>
      <c r="B368" s="79">
        <f>IFERROR(VLOOKUP($A:$A,CS!$A:$AK,3,FALSE),"")</f>
      </c>
      <c r="C368" s="79">
        <f>IFERROR(VLOOKUP($A:$A,CS!$A:$AK,4,FALSE),"")</f>
      </c>
      <c r="D368" s="79">
        <f>IFERROR(VLOOKUP($A:$A,CS!$A:$AK,5,FALSE),"")</f>
      </c>
      <c r="E368" s="79">
        <f>IFERROR(VLOOKUP($A:$A,CS!$A:$AK,7,FALSE),"")</f>
      </c>
      <c r="F368" s="79">
        <f>IFERROR(VLOOKUP($A:$A,CS!$A:$AK,8,FALSE),"")</f>
      </c>
      <c r="G368" s="79">
        <f>IFERROR(VLOOKUP($A:$A,CS!$A:$AK,10,FALSE),"")</f>
      </c>
      <c r="H368" s="79">
        <f>IFERROR(VLOOKUP($A:$A,CS!$A:$AK,14,FALSE),"")</f>
      </c>
      <c r="I368" s="79">
        <f>IFERROR(VLOOKUP($A:$A,CS!$A:$AK,15,FALSE),"")</f>
      </c>
      <c r="J368" s="79">
        <f>IFERROR(VLOOKUP($A:$A,CS!$A:$AK,18,FALSE),"")</f>
      </c>
      <c r="K368" s="79">
        <f>IFERROR(VLOOKUP($A:$A,CS!$A:$AK,19,FALSE),"")</f>
      </c>
      <c r="L368" s="79">
        <f>IFERROR(VLOOKUP($A:$A,CS!$A:$AK,20,FALSE),"")</f>
      </c>
      <c r="M368" s="79">
        <f>IFERROR(VLOOKUP($A:$A,CS!$A:$AK,22,FALSE),"")</f>
      </c>
      <c r="N368" s="79">
        <f>IFERROR(VLOOKUP($A:$A,CS!$A:$AK,19,FALSE),"")</f>
      </c>
      <c r="O368" s="79">
        <f>IFERROR(VLOOKUP($A:$A,CS!$A:$AK,23,FALSE),"")</f>
      </c>
      <c r="P368" s="79">
        <f>IFERROR(VLOOKUP($A:$A,CS!$A:$AK,24,FALSE),"")</f>
      </c>
      <c r="Q368" s="79">
        <f>IFERROR(VLOOKUP($A:$A,CS!$A:$AK,25,FALSE),"")</f>
      </c>
      <c r="R368" s="79">
        <f>IFERROR(VLOOKUP($A:$A,CS!$A:$AK,26,FALSE),"")</f>
      </c>
      <c r="S368" s="79">
        <f>IFERROR(VLOOKUP($A:$A,CS!$A:$AK,29,FALSE),"")</f>
      </c>
      <c r="T368" s="79">
        <f>IFERROR(VLOOKUP($A:$A,CS!$A:$AK,33,FALSE),"")</f>
      </c>
      <c r="U368" s="79">
        <f>IFERROR(VLOOKUP($A:$A,CS!$A:$AK,34,FALSE),"")</f>
      </c>
      <c r="V368" s="79">
        <f>IFERROR(VLOOKUP($A:$A,CS!$A:$AK,35,FALSE),"")</f>
      </c>
      <c r="W368" s="79">
        <f>IFERROR(VLOOKUP($A:$A,CS!$A:$AK,36,FALSE),"")</f>
      </c>
    </row>
    <row r="369" ht="16.5" customHeight="1" spans="1:23" x14ac:dyDescent="0.25">
      <c r="A369" s="93"/>
      <c r="B369" s="79">
        <f>IFERROR(VLOOKUP($A:$A,CS!$A:$AK,3,FALSE),"")</f>
      </c>
      <c r="C369" s="79">
        <f>IFERROR(VLOOKUP($A:$A,CS!$A:$AK,4,FALSE),"")</f>
      </c>
      <c r="D369" s="79">
        <f>IFERROR(VLOOKUP($A:$A,CS!$A:$AK,5,FALSE),"")</f>
      </c>
      <c r="E369" s="79">
        <f>IFERROR(VLOOKUP($A:$A,CS!$A:$AK,7,FALSE),"")</f>
      </c>
      <c r="F369" s="79">
        <f>IFERROR(VLOOKUP($A:$A,CS!$A:$AK,8,FALSE),"")</f>
      </c>
      <c r="G369" s="79">
        <f>IFERROR(VLOOKUP($A:$A,CS!$A:$AK,10,FALSE),"")</f>
      </c>
      <c r="H369" s="79">
        <f>IFERROR(VLOOKUP($A:$A,CS!$A:$AK,14,FALSE),"")</f>
      </c>
      <c r="I369" s="79">
        <f>IFERROR(VLOOKUP($A:$A,CS!$A:$AK,15,FALSE),"")</f>
      </c>
      <c r="J369" s="79">
        <f>IFERROR(VLOOKUP($A:$A,CS!$A:$AK,18,FALSE),"")</f>
      </c>
      <c r="K369" s="79">
        <f>IFERROR(VLOOKUP($A:$A,CS!$A:$AK,19,FALSE),"")</f>
      </c>
      <c r="L369" s="79">
        <f>IFERROR(VLOOKUP($A:$A,CS!$A:$AK,20,FALSE),"")</f>
      </c>
      <c r="M369" s="79">
        <f>IFERROR(VLOOKUP($A:$A,CS!$A:$AK,22,FALSE),"")</f>
      </c>
      <c r="N369" s="79">
        <f>IFERROR(VLOOKUP($A:$A,CS!$A:$AK,19,FALSE),"")</f>
      </c>
      <c r="O369" s="79">
        <f>IFERROR(VLOOKUP($A:$A,CS!$A:$AK,23,FALSE),"")</f>
      </c>
      <c r="P369" s="79">
        <f>IFERROR(VLOOKUP($A:$A,CS!$A:$AK,24,FALSE),"")</f>
      </c>
      <c r="Q369" s="79">
        <f>IFERROR(VLOOKUP($A:$A,CS!$A:$AK,25,FALSE),"")</f>
      </c>
      <c r="R369" s="79">
        <f>IFERROR(VLOOKUP($A:$A,CS!$A:$AK,26,FALSE),"")</f>
      </c>
      <c r="S369" s="79">
        <f>IFERROR(VLOOKUP($A:$A,CS!$A:$AK,29,FALSE),"")</f>
      </c>
      <c r="T369" s="79">
        <f>IFERROR(VLOOKUP($A:$A,CS!$A:$AK,33,FALSE),"")</f>
      </c>
      <c r="U369" s="79">
        <f>IFERROR(VLOOKUP($A:$A,CS!$A:$AK,34,FALSE),"")</f>
      </c>
      <c r="V369" s="79">
        <f>IFERROR(VLOOKUP($A:$A,CS!$A:$AK,35,FALSE),"")</f>
      </c>
      <c r="W369" s="79">
        <f>IFERROR(VLOOKUP($A:$A,CS!$A:$AK,36,FALSE),"")</f>
      </c>
    </row>
    <row r="370" ht="16.5" customHeight="1" spans="1:23" x14ac:dyDescent="0.25">
      <c r="A370" s="93"/>
      <c r="B370" s="79">
        <f>IFERROR(VLOOKUP($A:$A,CS!$A:$AK,3,FALSE),"")</f>
      </c>
      <c r="C370" s="79">
        <f>IFERROR(VLOOKUP($A:$A,CS!$A:$AK,4,FALSE),"")</f>
      </c>
      <c r="D370" s="79">
        <f>IFERROR(VLOOKUP($A:$A,CS!$A:$AK,5,FALSE),"")</f>
      </c>
      <c r="E370" s="79">
        <f>IFERROR(VLOOKUP($A:$A,CS!$A:$AK,7,FALSE),"")</f>
      </c>
      <c r="F370" s="79">
        <f>IFERROR(VLOOKUP($A:$A,CS!$A:$AK,8,FALSE),"")</f>
      </c>
      <c r="G370" s="79">
        <f>IFERROR(VLOOKUP($A:$A,CS!$A:$AK,10,FALSE),"")</f>
      </c>
      <c r="H370" s="79">
        <f>IFERROR(VLOOKUP($A:$A,CS!$A:$AK,14,FALSE),"")</f>
      </c>
      <c r="I370" s="79">
        <f>IFERROR(VLOOKUP($A:$A,CS!$A:$AK,15,FALSE),"")</f>
      </c>
      <c r="J370" s="79">
        <f>IFERROR(VLOOKUP($A:$A,CS!$A:$AK,18,FALSE),"")</f>
      </c>
      <c r="K370" s="79">
        <f>IFERROR(VLOOKUP($A:$A,CS!$A:$AK,19,FALSE),"")</f>
      </c>
      <c r="L370" s="79">
        <f>IFERROR(VLOOKUP($A:$A,CS!$A:$AK,20,FALSE),"")</f>
      </c>
      <c r="M370" s="79">
        <f>IFERROR(VLOOKUP($A:$A,CS!$A:$AK,22,FALSE),"")</f>
      </c>
      <c r="N370" s="79">
        <f>IFERROR(VLOOKUP($A:$A,CS!$A:$AK,19,FALSE),"")</f>
      </c>
      <c r="O370" s="79">
        <f>IFERROR(VLOOKUP($A:$A,CS!$A:$AK,23,FALSE),"")</f>
      </c>
      <c r="P370" s="79">
        <f>IFERROR(VLOOKUP($A:$A,CS!$A:$AK,24,FALSE),"")</f>
      </c>
      <c r="Q370" s="79">
        <f>IFERROR(VLOOKUP($A:$A,CS!$A:$AK,25,FALSE),"")</f>
      </c>
      <c r="R370" s="79">
        <f>IFERROR(VLOOKUP($A:$A,CS!$A:$AK,26,FALSE),"")</f>
      </c>
      <c r="S370" s="79">
        <f>IFERROR(VLOOKUP($A:$A,CS!$A:$AK,29,FALSE),"")</f>
      </c>
      <c r="T370" s="79">
        <f>IFERROR(VLOOKUP($A:$A,CS!$A:$AK,33,FALSE),"")</f>
      </c>
      <c r="U370" s="79">
        <f>IFERROR(VLOOKUP($A:$A,CS!$A:$AK,34,FALSE),"")</f>
      </c>
      <c r="V370" s="79">
        <f>IFERROR(VLOOKUP($A:$A,CS!$A:$AK,35,FALSE),"")</f>
      </c>
      <c r="W370" s="79">
        <f>IFERROR(VLOOKUP($A:$A,CS!$A:$AK,36,FALSE),"")</f>
      </c>
    </row>
    <row r="371" ht="16.5" customHeight="1" spans="1:23" x14ac:dyDescent="0.25">
      <c r="A371" s="93"/>
      <c r="B371" s="79">
        <f>IFERROR(VLOOKUP($A:$A,CS!$A:$AK,3,FALSE),"")</f>
      </c>
      <c r="C371" s="79">
        <f>IFERROR(VLOOKUP($A:$A,CS!$A:$AK,4,FALSE),"")</f>
      </c>
      <c r="D371" s="79">
        <f>IFERROR(VLOOKUP($A:$A,CS!$A:$AK,5,FALSE),"")</f>
      </c>
      <c r="E371" s="79">
        <f>IFERROR(VLOOKUP($A:$A,CS!$A:$AK,7,FALSE),"")</f>
      </c>
      <c r="F371" s="79">
        <f>IFERROR(VLOOKUP($A:$A,CS!$A:$AK,8,FALSE),"")</f>
      </c>
      <c r="G371" s="79">
        <f>IFERROR(VLOOKUP($A:$A,CS!$A:$AK,10,FALSE),"")</f>
      </c>
      <c r="H371" s="79">
        <f>IFERROR(VLOOKUP($A:$A,CS!$A:$AK,14,FALSE),"")</f>
      </c>
      <c r="I371" s="79">
        <f>IFERROR(VLOOKUP($A:$A,CS!$A:$AK,15,FALSE),"")</f>
      </c>
      <c r="J371" s="79">
        <f>IFERROR(VLOOKUP($A:$A,CS!$A:$AK,18,FALSE),"")</f>
      </c>
      <c r="K371" s="79">
        <f>IFERROR(VLOOKUP($A:$A,CS!$A:$AK,19,FALSE),"")</f>
      </c>
      <c r="L371" s="79">
        <f>IFERROR(VLOOKUP($A:$A,CS!$A:$AK,20,FALSE),"")</f>
      </c>
      <c r="M371" s="79">
        <f>IFERROR(VLOOKUP($A:$A,CS!$A:$AK,22,FALSE),"")</f>
      </c>
      <c r="N371" s="79">
        <f>IFERROR(VLOOKUP($A:$A,CS!$A:$AK,19,FALSE),"")</f>
      </c>
      <c r="O371" s="79">
        <f>IFERROR(VLOOKUP($A:$A,CS!$A:$AK,23,FALSE),"")</f>
      </c>
      <c r="P371" s="79">
        <f>IFERROR(VLOOKUP($A:$A,CS!$A:$AK,24,FALSE),"")</f>
      </c>
      <c r="Q371" s="79">
        <f>IFERROR(VLOOKUP($A:$A,CS!$A:$AK,25,FALSE),"")</f>
      </c>
      <c r="R371" s="79">
        <f>IFERROR(VLOOKUP($A:$A,CS!$A:$AK,26,FALSE),"")</f>
      </c>
      <c r="S371" s="79">
        <f>IFERROR(VLOOKUP($A:$A,CS!$A:$AK,29,FALSE),"")</f>
      </c>
      <c r="T371" s="79">
        <f>IFERROR(VLOOKUP($A:$A,CS!$A:$AK,33,FALSE),"")</f>
      </c>
      <c r="U371" s="79">
        <f>IFERROR(VLOOKUP($A:$A,CS!$A:$AK,34,FALSE),"")</f>
      </c>
      <c r="V371" s="79">
        <f>IFERROR(VLOOKUP($A:$A,CS!$A:$AK,35,FALSE),"")</f>
      </c>
      <c r="W371" s="79">
        <f>IFERROR(VLOOKUP($A:$A,CS!$A:$AK,36,FALSE),"")</f>
      </c>
    </row>
    <row r="372" ht="16.5" customHeight="1" spans="1:23" x14ac:dyDescent="0.25">
      <c r="A372" s="93"/>
      <c r="B372" s="79">
        <f>IFERROR(VLOOKUP($A:$A,CS!$A:$AK,3,FALSE),"")</f>
      </c>
      <c r="C372" s="79">
        <f>IFERROR(VLOOKUP($A:$A,CS!$A:$AK,4,FALSE),"")</f>
      </c>
      <c r="D372" s="79">
        <f>IFERROR(VLOOKUP($A:$A,CS!$A:$AK,5,FALSE),"")</f>
      </c>
      <c r="E372" s="79">
        <f>IFERROR(VLOOKUP($A:$A,CS!$A:$AK,7,FALSE),"")</f>
      </c>
      <c r="F372" s="79">
        <f>IFERROR(VLOOKUP($A:$A,CS!$A:$AK,8,FALSE),"")</f>
      </c>
      <c r="G372" s="79">
        <f>IFERROR(VLOOKUP($A:$A,CS!$A:$AK,10,FALSE),"")</f>
      </c>
      <c r="H372" s="79">
        <f>IFERROR(VLOOKUP($A:$A,CS!$A:$AK,14,FALSE),"")</f>
      </c>
      <c r="I372" s="79">
        <f>IFERROR(VLOOKUP($A:$A,CS!$A:$AK,15,FALSE),"")</f>
      </c>
      <c r="J372" s="79">
        <f>IFERROR(VLOOKUP($A:$A,CS!$A:$AK,18,FALSE),"")</f>
      </c>
      <c r="K372" s="79">
        <f>IFERROR(VLOOKUP($A:$A,CS!$A:$AK,19,FALSE),"")</f>
      </c>
      <c r="L372" s="79">
        <f>IFERROR(VLOOKUP($A:$A,CS!$A:$AK,20,FALSE),"")</f>
      </c>
      <c r="M372" s="79">
        <f>IFERROR(VLOOKUP($A:$A,CS!$A:$AK,22,FALSE),"")</f>
      </c>
      <c r="N372" s="79">
        <f>IFERROR(VLOOKUP($A:$A,CS!$A:$AK,19,FALSE),"")</f>
      </c>
      <c r="O372" s="79">
        <f>IFERROR(VLOOKUP($A:$A,CS!$A:$AK,23,FALSE),"")</f>
      </c>
      <c r="P372" s="79">
        <f>IFERROR(VLOOKUP($A:$A,CS!$A:$AK,24,FALSE),"")</f>
      </c>
      <c r="Q372" s="79">
        <f>IFERROR(VLOOKUP($A:$A,CS!$A:$AK,25,FALSE),"")</f>
      </c>
      <c r="R372" s="79">
        <f>IFERROR(VLOOKUP($A:$A,CS!$A:$AK,26,FALSE),"")</f>
      </c>
      <c r="S372" s="79">
        <f>IFERROR(VLOOKUP($A:$A,CS!$A:$AK,29,FALSE),"")</f>
      </c>
      <c r="T372" s="79">
        <f>IFERROR(VLOOKUP($A:$A,CS!$A:$AK,33,FALSE),"")</f>
      </c>
      <c r="U372" s="79">
        <f>IFERROR(VLOOKUP($A:$A,CS!$A:$AK,34,FALSE),"")</f>
      </c>
      <c r="V372" s="79">
        <f>IFERROR(VLOOKUP($A:$A,CS!$A:$AK,35,FALSE),"")</f>
      </c>
      <c r="W372" s="79">
        <f>IFERROR(VLOOKUP($A:$A,CS!$A:$AK,36,FALSE),"")</f>
      </c>
    </row>
    <row r="373" ht="16.5" customHeight="1" spans="1:23" x14ac:dyDescent="0.25">
      <c r="A373" s="93"/>
      <c r="B373" s="79">
        <f>IFERROR(VLOOKUP($A:$A,CS!$A:$AK,3,FALSE),"")</f>
      </c>
      <c r="C373" s="79">
        <f>IFERROR(VLOOKUP($A:$A,CS!$A:$AK,4,FALSE),"")</f>
      </c>
      <c r="D373" s="79">
        <f>IFERROR(VLOOKUP($A:$A,CS!$A:$AK,5,FALSE),"")</f>
      </c>
      <c r="E373" s="79">
        <f>IFERROR(VLOOKUP($A:$A,CS!$A:$AK,7,FALSE),"")</f>
      </c>
      <c r="F373" s="79">
        <f>IFERROR(VLOOKUP($A:$A,CS!$A:$AK,8,FALSE),"")</f>
      </c>
      <c r="G373" s="79">
        <f>IFERROR(VLOOKUP($A:$A,CS!$A:$AK,10,FALSE),"")</f>
      </c>
      <c r="H373" s="79">
        <f>IFERROR(VLOOKUP($A:$A,CS!$A:$AK,14,FALSE),"")</f>
      </c>
      <c r="I373" s="79">
        <f>IFERROR(VLOOKUP($A:$A,CS!$A:$AK,15,FALSE),"")</f>
      </c>
      <c r="J373" s="79">
        <f>IFERROR(VLOOKUP($A:$A,CS!$A:$AK,18,FALSE),"")</f>
      </c>
      <c r="K373" s="79">
        <f>IFERROR(VLOOKUP($A:$A,CS!$A:$AK,19,FALSE),"")</f>
      </c>
      <c r="L373" s="79">
        <f>IFERROR(VLOOKUP($A:$A,CS!$A:$AK,20,FALSE),"")</f>
      </c>
      <c r="M373" s="79">
        <f>IFERROR(VLOOKUP($A:$A,CS!$A:$AK,22,FALSE),"")</f>
      </c>
      <c r="N373" s="79">
        <f>IFERROR(VLOOKUP($A:$A,CS!$A:$AK,19,FALSE),"")</f>
      </c>
      <c r="O373" s="79">
        <f>IFERROR(VLOOKUP($A:$A,CS!$A:$AK,23,FALSE),"")</f>
      </c>
      <c r="P373" s="79">
        <f>IFERROR(VLOOKUP($A:$A,CS!$A:$AK,24,FALSE),"")</f>
      </c>
      <c r="Q373" s="79">
        <f>IFERROR(VLOOKUP($A:$A,CS!$A:$AK,25,FALSE),"")</f>
      </c>
      <c r="R373" s="79">
        <f>IFERROR(VLOOKUP($A:$A,CS!$A:$AK,26,FALSE),"")</f>
      </c>
      <c r="S373" s="79">
        <f>IFERROR(VLOOKUP($A:$A,CS!$A:$AK,29,FALSE),"")</f>
      </c>
      <c r="T373" s="79">
        <f>IFERROR(VLOOKUP($A:$A,CS!$A:$AK,33,FALSE),"")</f>
      </c>
      <c r="U373" s="79">
        <f>IFERROR(VLOOKUP($A:$A,CS!$A:$AK,34,FALSE),"")</f>
      </c>
      <c r="V373" s="79">
        <f>IFERROR(VLOOKUP($A:$A,CS!$A:$AK,35,FALSE),"")</f>
      </c>
      <c r="W373" s="79">
        <f>IFERROR(VLOOKUP($A:$A,CS!$A:$AK,36,FALSE),"")</f>
      </c>
    </row>
    <row r="374" ht="16.5" customHeight="1" spans="1:23" x14ac:dyDescent="0.25">
      <c r="A374" s="93"/>
      <c r="B374" s="79">
        <f>IFERROR(VLOOKUP($A:$A,CS!$A:$AK,3,FALSE),"")</f>
      </c>
      <c r="C374" s="79">
        <f>IFERROR(VLOOKUP($A:$A,CS!$A:$AK,4,FALSE),"")</f>
      </c>
      <c r="D374" s="79">
        <f>IFERROR(VLOOKUP($A:$A,CS!$A:$AK,5,FALSE),"")</f>
      </c>
      <c r="E374" s="79">
        <f>IFERROR(VLOOKUP($A:$A,CS!$A:$AK,7,FALSE),"")</f>
      </c>
      <c r="F374" s="79">
        <f>IFERROR(VLOOKUP($A:$A,CS!$A:$AK,8,FALSE),"")</f>
      </c>
      <c r="G374" s="79">
        <f>IFERROR(VLOOKUP($A:$A,CS!$A:$AK,10,FALSE),"")</f>
      </c>
      <c r="H374" s="79">
        <f>IFERROR(VLOOKUP($A:$A,CS!$A:$AK,14,FALSE),"")</f>
      </c>
      <c r="I374" s="79">
        <f>IFERROR(VLOOKUP($A:$A,CS!$A:$AK,15,FALSE),"")</f>
      </c>
      <c r="J374" s="79">
        <f>IFERROR(VLOOKUP($A:$A,CS!$A:$AK,18,FALSE),"")</f>
      </c>
      <c r="K374" s="79">
        <f>IFERROR(VLOOKUP($A:$A,CS!$A:$AK,19,FALSE),"")</f>
      </c>
      <c r="L374" s="79">
        <f>IFERROR(VLOOKUP($A:$A,CS!$A:$AK,20,FALSE),"")</f>
      </c>
      <c r="M374" s="79">
        <f>IFERROR(VLOOKUP($A:$A,CS!$A:$AK,22,FALSE),"")</f>
      </c>
      <c r="N374" s="79">
        <f>IFERROR(VLOOKUP($A:$A,CS!$A:$AK,19,FALSE),"")</f>
      </c>
      <c r="O374" s="79">
        <f>IFERROR(VLOOKUP($A:$A,CS!$A:$AK,23,FALSE),"")</f>
      </c>
      <c r="P374" s="79">
        <f>IFERROR(VLOOKUP($A:$A,CS!$A:$AK,24,FALSE),"")</f>
      </c>
      <c r="Q374" s="79">
        <f>IFERROR(VLOOKUP($A:$A,CS!$A:$AK,25,FALSE),"")</f>
      </c>
      <c r="R374" s="79">
        <f>IFERROR(VLOOKUP($A:$A,CS!$A:$AK,26,FALSE),"")</f>
      </c>
      <c r="S374" s="79">
        <f>IFERROR(VLOOKUP($A:$A,CS!$A:$AK,29,FALSE),"")</f>
      </c>
      <c r="T374" s="79">
        <f>IFERROR(VLOOKUP($A:$A,CS!$A:$AK,33,FALSE),"")</f>
      </c>
      <c r="U374" s="79">
        <f>IFERROR(VLOOKUP($A:$A,CS!$A:$AK,34,FALSE),"")</f>
      </c>
      <c r="V374" s="79">
        <f>IFERROR(VLOOKUP($A:$A,CS!$A:$AK,35,FALSE),"")</f>
      </c>
      <c r="W374" s="79">
        <f>IFERROR(VLOOKUP($A:$A,CS!$A:$AK,36,FALSE),"")</f>
      </c>
    </row>
    <row r="375" ht="16.5" customHeight="1" spans="1:23" x14ac:dyDescent="0.25">
      <c r="A375" s="93"/>
      <c r="B375" s="79">
        <f>IFERROR(VLOOKUP($A:$A,CS!$A:$AK,3,FALSE),"")</f>
      </c>
      <c r="C375" s="79">
        <f>IFERROR(VLOOKUP($A:$A,CS!$A:$AK,4,FALSE),"")</f>
      </c>
      <c r="D375" s="79">
        <f>IFERROR(VLOOKUP($A:$A,CS!$A:$AK,5,FALSE),"")</f>
      </c>
      <c r="E375" s="79">
        <f>IFERROR(VLOOKUP($A:$A,CS!$A:$AK,7,FALSE),"")</f>
      </c>
      <c r="F375" s="79">
        <f>IFERROR(VLOOKUP($A:$A,CS!$A:$AK,8,FALSE),"")</f>
      </c>
      <c r="G375" s="79">
        <f>IFERROR(VLOOKUP($A:$A,CS!$A:$AK,10,FALSE),"")</f>
      </c>
      <c r="H375" s="79">
        <f>IFERROR(VLOOKUP($A:$A,CS!$A:$AK,14,FALSE),"")</f>
      </c>
      <c r="I375" s="79">
        <f>IFERROR(VLOOKUP($A:$A,CS!$A:$AK,15,FALSE),"")</f>
      </c>
      <c r="J375" s="79">
        <f>IFERROR(VLOOKUP($A:$A,CS!$A:$AK,18,FALSE),"")</f>
      </c>
      <c r="K375" s="79">
        <f>IFERROR(VLOOKUP($A:$A,CS!$A:$AK,19,FALSE),"")</f>
      </c>
      <c r="L375" s="79">
        <f>IFERROR(VLOOKUP($A:$A,CS!$A:$AK,20,FALSE),"")</f>
      </c>
      <c r="M375" s="79">
        <f>IFERROR(VLOOKUP($A:$A,CS!$A:$AK,22,FALSE),"")</f>
      </c>
      <c r="N375" s="79">
        <f>IFERROR(VLOOKUP($A:$A,CS!$A:$AK,19,FALSE),"")</f>
      </c>
      <c r="O375" s="79">
        <f>IFERROR(VLOOKUP($A:$A,CS!$A:$AK,23,FALSE),"")</f>
      </c>
      <c r="P375" s="79">
        <f>IFERROR(VLOOKUP($A:$A,CS!$A:$AK,24,FALSE),"")</f>
      </c>
      <c r="Q375" s="79">
        <f>IFERROR(VLOOKUP($A:$A,CS!$A:$AK,25,FALSE),"")</f>
      </c>
      <c r="R375" s="79">
        <f>IFERROR(VLOOKUP($A:$A,CS!$A:$AK,26,FALSE),"")</f>
      </c>
      <c r="S375" s="79">
        <f>IFERROR(VLOOKUP($A:$A,CS!$A:$AK,29,FALSE),"")</f>
      </c>
      <c r="T375" s="79">
        <f>IFERROR(VLOOKUP($A:$A,CS!$A:$AK,33,FALSE),"")</f>
      </c>
      <c r="U375" s="79">
        <f>IFERROR(VLOOKUP($A:$A,CS!$A:$AK,34,FALSE),"")</f>
      </c>
      <c r="V375" s="79">
        <f>IFERROR(VLOOKUP($A:$A,CS!$A:$AK,35,FALSE),"")</f>
      </c>
      <c r="W375" s="79">
        <f>IFERROR(VLOOKUP($A:$A,CS!$A:$AK,36,FALSE),"")</f>
      </c>
    </row>
    <row r="376" ht="16.5" customHeight="1" spans="1:23" x14ac:dyDescent="0.25">
      <c r="A376" s="93"/>
      <c r="B376" s="79">
        <f>IFERROR(VLOOKUP($A:$A,CS!$A:$AK,3,FALSE),"")</f>
      </c>
      <c r="C376" s="79">
        <f>IFERROR(VLOOKUP($A:$A,CS!$A:$AK,4,FALSE),"")</f>
      </c>
      <c r="D376" s="79">
        <f>IFERROR(VLOOKUP($A:$A,CS!$A:$AK,5,FALSE),"")</f>
      </c>
      <c r="E376" s="79">
        <f>IFERROR(VLOOKUP($A:$A,CS!$A:$AK,7,FALSE),"")</f>
      </c>
      <c r="F376" s="79">
        <f>IFERROR(VLOOKUP($A:$A,CS!$A:$AK,8,FALSE),"")</f>
      </c>
      <c r="G376" s="79">
        <f>IFERROR(VLOOKUP($A:$A,CS!$A:$AK,10,FALSE),"")</f>
      </c>
      <c r="H376" s="79">
        <f>IFERROR(VLOOKUP($A:$A,CS!$A:$AK,14,FALSE),"")</f>
      </c>
      <c r="I376" s="79">
        <f>IFERROR(VLOOKUP($A:$A,CS!$A:$AK,15,FALSE),"")</f>
      </c>
      <c r="J376" s="79">
        <f>IFERROR(VLOOKUP($A:$A,CS!$A:$AK,18,FALSE),"")</f>
      </c>
      <c r="K376" s="79">
        <f>IFERROR(VLOOKUP($A:$A,CS!$A:$AK,19,FALSE),"")</f>
      </c>
      <c r="L376" s="79">
        <f>IFERROR(VLOOKUP($A:$A,CS!$A:$AK,20,FALSE),"")</f>
      </c>
      <c r="M376" s="79">
        <f>IFERROR(VLOOKUP($A:$A,CS!$A:$AK,22,FALSE),"")</f>
      </c>
      <c r="N376" s="79">
        <f>IFERROR(VLOOKUP($A:$A,CS!$A:$AK,19,FALSE),"")</f>
      </c>
      <c r="O376" s="79">
        <f>IFERROR(VLOOKUP($A:$A,CS!$A:$AK,23,FALSE),"")</f>
      </c>
      <c r="P376" s="79">
        <f>IFERROR(VLOOKUP($A:$A,CS!$A:$AK,24,FALSE),"")</f>
      </c>
      <c r="Q376" s="79">
        <f>IFERROR(VLOOKUP($A:$A,CS!$A:$AK,25,FALSE),"")</f>
      </c>
      <c r="R376" s="79">
        <f>IFERROR(VLOOKUP($A:$A,CS!$A:$AK,26,FALSE),"")</f>
      </c>
      <c r="S376" s="79">
        <f>IFERROR(VLOOKUP($A:$A,CS!$A:$AK,29,FALSE),"")</f>
      </c>
      <c r="T376" s="79">
        <f>IFERROR(VLOOKUP($A:$A,CS!$A:$AK,33,FALSE),"")</f>
      </c>
      <c r="U376" s="79">
        <f>IFERROR(VLOOKUP($A:$A,CS!$A:$AK,34,FALSE),"")</f>
      </c>
      <c r="V376" s="79">
        <f>IFERROR(VLOOKUP($A:$A,CS!$A:$AK,35,FALSE),"")</f>
      </c>
      <c r="W376" s="79">
        <f>IFERROR(VLOOKUP($A:$A,CS!$A:$AK,36,FALSE),"")</f>
      </c>
    </row>
    <row r="377" ht="16.5" customHeight="1" spans="1:23" x14ac:dyDescent="0.25">
      <c r="A377" s="93"/>
      <c r="B377" s="79">
        <f>IFERROR(VLOOKUP($A:$A,CS!$A:$AK,3,FALSE),"")</f>
      </c>
      <c r="C377" s="79">
        <f>IFERROR(VLOOKUP($A:$A,CS!$A:$AK,4,FALSE),"")</f>
      </c>
      <c r="D377" s="79">
        <f>IFERROR(VLOOKUP($A:$A,CS!$A:$AK,5,FALSE),"")</f>
      </c>
      <c r="E377" s="79">
        <f>IFERROR(VLOOKUP($A:$A,CS!$A:$AK,7,FALSE),"")</f>
      </c>
      <c r="F377" s="79">
        <f>IFERROR(VLOOKUP($A:$A,CS!$A:$AK,8,FALSE),"")</f>
      </c>
      <c r="G377" s="79">
        <f>IFERROR(VLOOKUP($A:$A,CS!$A:$AK,10,FALSE),"")</f>
      </c>
      <c r="H377" s="79">
        <f>IFERROR(VLOOKUP($A:$A,CS!$A:$AK,14,FALSE),"")</f>
      </c>
      <c r="I377" s="79">
        <f>IFERROR(VLOOKUP($A:$A,CS!$A:$AK,15,FALSE),"")</f>
      </c>
      <c r="J377" s="79">
        <f>IFERROR(VLOOKUP($A:$A,CS!$A:$AK,18,FALSE),"")</f>
      </c>
      <c r="K377" s="79">
        <f>IFERROR(VLOOKUP($A:$A,CS!$A:$AK,19,FALSE),"")</f>
      </c>
      <c r="L377" s="79">
        <f>IFERROR(VLOOKUP($A:$A,CS!$A:$AK,20,FALSE),"")</f>
      </c>
      <c r="M377" s="79">
        <f>IFERROR(VLOOKUP($A:$A,CS!$A:$AK,22,FALSE),"")</f>
      </c>
      <c r="N377" s="79">
        <f>IFERROR(VLOOKUP($A:$A,CS!$A:$AK,19,FALSE),"")</f>
      </c>
      <c r="O377" s="79">
        <f>IFERROR(VLOOKUP($A:$A,CS!$A:$AK,23,FALSE),"")</f>
      </c>
      <c r="P377" s="79">
        <f>IFERROR(VLOOKUP($A:$A,CS!$A:$AK,24,FALSE),"")</f>
      </c>
      <c r="Q377" s="79">
        <f>IFERROR(VLOOKUP($A:$A,CS!$A:$AK,25,FALSE),"")</f>
      </c>
      <c r="R377" s="79">
        <f>IFERROR(VLOOKUP($A:$A,CS!$A:$AK,26,FALSE),"")</f>
      </c>
      <c r="S377" s="79">
        <f>IFERROR(VLOOKUP($A:$A,CS!$A:$AK,29,FALSE),"")</f>
      </c>
      <c r="T377" s="79">
        <f>IFERROR(VLOOKUP($A:$A,CS!$A:$AK,33,FALSE),"")</f>
      </c>
      <c r="U377" s="79">
        <f>IFERROR(VLOOKUP($A:$A,CS!$A:$AK,34,FALSE),"")</f>
      </c>
      <c r="V377" s="79">
        <f>IFERROR(VLOOKUP($A:$A,CS!$A:$AK,35,FALSE),"")</f>
      </c>
      <c r="W377" s="79">
        <f>IFERROR(VLOOKUP($A:$A,CS!$A:$AK,36,FALSE),"")</f>
      </c>
    </row>
    <row r="378" ht="16.5" customHeight="1" spans="1:23" x14ac:dyDescent="0.25">
      <c r="A378" s="93"/>
      <c r="B378" s="79">
        <f>IFERROR(VLOOKUP($A:$A,CS!$A:$AK,3,FALSE),"")</f>
      </c>
      <c r="C378" s="79">
        <f>IFERROR(VLOOKUP($A:$A,CS!$A:$AK,4,FALSE),"")</f>
      </c>
      <c r="D378" s="79">
        <f>IFERROR(VLOOKUP($A:$A,CS!$A:$AK,5,FALSE),"")</f>
      </c>
      <c r="E378" s="79">
        <f>IFERROR(VLOOKUP($A:$A,CS!$A:$AK,7,FALSE),"")</f>
      </c>
      <c r="F378" s="79">
        <f>IFERROR(VLOOKUP($A:$A,CS!$A:$AK,8,FALSE),"")</f>
      </c>
      <c r="G378" s="79">
        <f>IFERROR(VLOOKUP($A:$A,CS!$A:$AK,10,FALSE),"")</f>
      </c>
      <c r="H378" s="79">
        <f>IFERROR(VLOOKUP($A:$A,CS!$A:$AK,14,FALSE),"")</f>
      </c>
      <c r="I378" s="79">
        <f>IFERROR(VLOOKUP($A:$A,CS!$A:$AK,15,FALSE),"")</f>
      </c>
      <c r="J378" s="79">
        <f>IFERROR(VLOOKUP($A:$A,CS!$A:$AK,18,FALSE),"")</f>
      </c>
      <c r="K378" s="79">
        <f>IFERROR(VLOOKUP($A:$A,CS!$A:$AK,19,FALSE),"")</f>
      </c>
      <c r="L378" s="79">
        <f>IFERROR(VLOOKUP($A:$A,CS!$A:$AK,20,FALSE),"")</f>
      </c>
      <c r="M378" s="79">
        <f>IFERROR(VLOOKUP($A:$A,CS!$A:$AK,22,FALSE),"")</f>
      </c>
      <c r="N378" s="79">
        <f>IFERROR(VLOOKUP($A:$A,CS!$A:$AK,19,FALSE),"")</f>
      </c>
      <c r="O378" s="79">
        <f>IFERROR(VLOOKUP($A:$A,CS!$A:$AK,23,FALSE),"")</f>
      </c>
      <c r="P378" s="79">
        <f>IFERROR(VLOOKUP($A:$A,CS!$A:$AK,24,FALSE),"")</f>
      </c>
      <c r="Q378" s="79">
        <f>IFERROR(VLOOKUP($A:$A,CS!$A:$AK,25,FALSE),"")</f>
      </c>
      <c r="R378" s="79">
        <f>IFERROR(VLOOKUP($A:$A,CS!$A:$AK,26,FALSE),"")</f>
      </c>
      <c r="S378" s="79">
        <f>IFERROR(VLOOKUP($A:$A,CS!$A:$AK,29,FALSE),"")</f>
      </c>
      <c r="T378" s="79">
        <f>IFERROR(VLOOKUP($A:$A,CS!$A:$AK,33,FALSE),"")</f>
      </c>
      <c r="U378" s="79">
        <f>IFERROR(VLOOKUP($A:$A,CS!$A:$AK,34,FALSE),"")</f>
      </c>
      <c r="V378" s="79">
        <f>IFERROR(VLOOKUP($A:$A,CS!$A:$AK,35,FALSE),"")</f>
      </c>
      <c r="W378" s="79">
        <f>IFERROR(VLOOKUP($A:$A,CS!$A:$AK,36,FALSE),"")</f>
      </c>
    </row>
    <row r="379" ht="16.5" customHeight="1" spans="1:23" x14ac:dyDescent="0.25">
      <c r="A379" s="93"/>
      <c r="B379" s="79">
        <f>IFERROR(VLOOKUP($A:$A,CS!$A:$AK,3,FALSE),"")</f>
      </c>
      <c r="C379" s="79">
        <f>IFERROR(VLOOKUP($A:$A,CS!$A:$AK,4,FALSE),"")</f>
      </c>
      <c r="D379" s="79">
        <f>IFERROR(VLOOKUP($A:$A,CS!$A:$AK,5,FALSE),"")</f>
      </c>
      <c r="E379" s="79">
        <f>IFERROR(VLOOKUP($A:$A,CS!$A:$AK,7,FALSE),"")</f>
      </c>
      <c r="F379" s="79">
        <f>IFERROR(VLOOKUP($A:$A,CS!$A:$AK,8,FALSE),"")</f>
      </c>
      <c r="G379" s="79">
        <f>IFERROR(VLOOKUP($A:$A,CS!$A:$AK,10,FALSE),"")</f>
      </c>
      <c r="H379" s="79">
        <f>IFERROR(VLOOKUP($A:$A,CS!$A:$AK,14,FALSE),"")</f>
      </c>
      <c r="I379" s="79">
        <f>IFERROR(VLOOKUP($A:$A,CS!$A:$AK,15,FALSE),"")</f>
      </c>
      <c r="J379" s="79">
        <f>IFERROR(VLOOKUP($A:$A,CS!$A:$AK,18,FALSE),"")</f>
      </c>
      <c r="K379" s="79">
        <f>IFERROR(VLOOKUP($A:$A,CS!$A:$AK,19,FALSE),"")</f>
      </c>
      <c r="L379" s="79">
        <f>IFERROR(VLOOKUP($A:$A,CS!$A:$AK,20,FALSE),"")</f>
      </c>
      <c r="M379" s="79">
        <f>IFERROR(VLOOKUP($A:$A,CS!$A:$AK,22,FALSE),"")</f>
      </c>
      <c r="N379" s="79">
        <f>IFERROR(VLOOKUP($A:$A,CS!$A:$AK,19,FALSE),"")</f>
      </c>
      <c r="O379" s="79">
        <f>IFERROR(VLOOKUP($A:$A,CS!$A:$AK,23,FALSE),"")</f>
      </c>
      <c r="P379" s="79">
        <f>IFERROR(VLOOKUP($A:$A,CS!$A:$AK,24,FALSE),"")</f>
      </c>
      <c r="Q379" s="79">
        <f>IFERROR(VLOOKUP($A:$A,CS!$A:$AK,25,FALSE),"")</f>
      </c>
      <c r="R379" s="79">
        <f>IFERROR(VLOOKUP($A:$A,CS!$A:$AK,26,FALSE),"")</f>
      </c>
      <c r="S379" s="79">
        <f>IFERROR(VLOOKUP($A:$A,CS!$A:$AK,29,FALSE),"")</f>
      </c>
      <c r="T379" s="79">
        <f>IFERROR(VLOOKUP($A:$A,CS!$A:$AK,33,FALSE),"")</f>
      </c>
      <c r="U379" s="79">
        <f>IFERROR(VLOOKUP($A:$A,CS!$A:$AK,34,FALSE),"")</f>
      </c>
      <c r="V379" s="79">
        <f>IFERROR(VLOOKUP($A:$A,CS!$A:$AK,35,FALSE),"")</f>
      </c>
      <c r="W379" s="79">
        <f>IFERROR(VLOOKUP($A:$A,CS!$A:$AK,36,FALSE),"")</f>
      </c>
    </row>
    <row r="380" ht="16.5" customHeight="1" spans="1:23" x14ac:dyDescent="0.25">
      <c r="A380" s="93"/>
      <c r="B380" s="79">
        <f>IFERROR(VLOOKUP($A:$A,CS!$A:$AK,3,FALSE),"")</f>
      </c>
      <c r="C380" s="79">
        <f>IFERROR(VLOOKUP($A:$A,CS!$A:$AK,4,FALSE),"")</f>
      </c>
      <c r="D380" s="79">
        <f>IFERROR(VLOOKUP($A:$A,CS!$A:$AK,5,FALSE),"")</f>
      </c>
      <c r="E380" s="79">
        <f>IFERROR(VLOOKUP($A:$A,CS!$A:$AK,7,FALSE),"")</f>
      </c>
      <c r="F380" s="79">
        <f>IFERROR(VLOOKUP($A:$A,CS!$A:$AK,8,FALSE),"")</f>
      </c>
      <c r="G380" s="79">
        <f>IFERROR(VLOOKUP($A:$A,CS!$A:$AK,10,FALSE),"")</f>
      </c>
      <c r="H380" s="79">
        <f>IFERROR(VLOOKUP($A:$A,CS!$A:$AK,14,FALSE),"")</f>
      </c>
      <c r="I380" s="79">
        <f>IFERROR(VLOOKUP($A:$A,CS!$A:$AK,15,FALSE),"")</f>
      </c>
      <c r="J380" s="79">
        <f>IFERROR(VLOOKUP($A:$A,CS!$A:$AK,18,FALSE),"")</f>
      </c>
      <c r="K380" s="79">
        <f>IFERROR(VLOOKUP($A:$A,CS!$A:$AK,19,FALSE),"")</f>
      </c>
      <c r="L380" s="79">
        <f>IFERROR(VLOOKUP($A:$A,CS!$A:$AK,20,FALSE),"")</f>
      </c>
      <c r="M380" s="79">
        <f>IFERROR(VLOOKUP($A:$A,CS!$A:$AK,22,FALSE),"")</f>
      </c>
      <c r="N380" s="79">
        <f>IFERROR(VLOOKUP($A:$A,CS!$A:$AK,19,FALSE),"")</f>
      </c>
      <c r="O380" s="79">
        <f>IFERROR(VLOOKUP($A:$A,CS!$A:$AK,23,FALSE),"")</f>
      </c>
      <c r="P380" s="79">
        <f>IFERROR(VLOOKUP($A:$A,CS!$A:$AK,24,FALSE),"")</f>
      </c>
      <c r="Q380" s="79">
        <f>IFERROR(VLOOKUP($A:$A,CS!$A:$AK,25,FALSE),"")</f>
      </c>
      <c r="R380" s="79">
        <f>IFERROR(VLOOKUP($A:$A,CS!$A:$AK,26,FALSE),"")</f>
      </c>
      <c r="S380" s="79">
        <f>IFERROR(VLOOKUP($A:$A,CS!$A:$AK,29,FALSE),"")</f>
      </c>
      <c r="T380" s="79">
        <f>IFERROR(VLOOKUP($A:$A,CS!$A:$AK,33,FALSE),"")</f>
      </c>
      <c r="U380" s="79">
        <f>IFERROR(VLOOKUP($A:$A,CS!$A:$AK,34,FALSE),"")</f>
      </c>
      <c r="V380" s="79">
        <f>IFERROR(VLOOKUP($A:$A,CS!$A:$AK,35,FALSE),"")</f>
      </c>
      <c r="W380" s="79">
        <f>IFERROR(VLOOKUP($A:$A,CS!$A:$AK,36,FALSE),"")</f>
      </c>
    </row>
    <row r="381" ht="16.5" customHeight="1" spans="1:23" x14ac:dyDescent="0.25">
      <c r="A381" s="93"/>
      <c r="B381" s="79">
        <f>IFERROR(VLOOKUP($A:$A,CS!$A:$AK,3,FALSE),"")</f>
      </c>
      <c r="C381" s="79">
        <f>IFERROR(VLOOKUP($A:$A,CS!$A:$AK,4,FALSE),"")</f>
      </c>
      <c r="D381" s="79">
        <f>IFERROR(VLOOKUP($A:$A,CS!$A:$AK,5,FALSE),"")</f>
      </c>
      <c r="E381" s="79">
        <f>IFERROR(VLOOKUP($A:$A,CS!$A:$AK,7,FALSE),"")</f>
      </c>
      <c r="F381" s="79">
        <f>IFERROR(VLOOKUP($A:$A,CS!$A:$AK,8,FALSE),"")</f>
      </c>
      <c r="G381" s="79">
        <f>IFERROR(VLOOKUP($A:$A,CS!$A:$AK,10,FALSE),"")</f>
      </c>
      <c r="H381" s="79">
        <f>IFERROR(VLOOKUP($A:$A,CS!$A:$AK,14,FALSE),"")</f>
      </c>
      <c r="I381" s="79">
        <f>IFERROR(VLOOKUP($A:$A,CS!$A:$AK,15,FALSE),"")</f>
      </c>
      <c r="J381" s="79">
        <f>IFERROR(VLOOKUP($A:$A,CS!$A:$AK,18,FALSE),"")</f>
      </c>
      <c r="K381" s="79">
        <f>IFERROR(VLOOKUP($A:$A,CS!$A:$AK,19,FALSE),"")</f>
      </c>
      <c r="L381" s="79">
        <f>IFERROR(VLOOKUP($A:$A,CS!$A:$AK,20,FALSE),"")</f>
      </c>
      <c r="M381" s="79">
        <f>IFERROR(VLOOKUP($A:$A,CS!$A:$AK,22,FALSE),"")</f>
      </c>
      <c r="N381" s="79">
        <f>IFERROR(VLOOKUP($A:$A,CS!$A:$AK,19,FALSE),"")</f>
      </c>
      <c r="O381" s="79">
        <f>IFERROR(VLOOKUP($A:$A,CS!$A:$AK,23,FALSE),"")</f>
      </c>
      <c r="P381" s="79">
        <f>IFERROR(VLOOKUP($A:$A,CS!$A:$AK,24,FALSE),"")</f>
      </c>
      <c r="Q381" s="79">
        <f>IFERROR(VLOOKUP($A:$A,CS!$A:$AK,25,FALSE),"")</f>
      </c>
      <c r="R381" s="79">
        <f>IFERROR(VLOOKUP($A:$A,CS!$A:$AK,26,FALSE),"")</f>
      </c>
      <c r="S381" s="79">
        <f>IFERROR(VLOOKUP($A:$A,CS!$A:$AK,29,FALSE),"")</f>
      </c>
      <c r="T381" s="79">
        <f>IFERROR(VLOOKUP($A:$A,CS!$A:$AK,33,FALSE),"")</f>
      </c>
      <c r="U381" s="79">
        <f>IFERROR(VLOOKUP($A:$A,CS!$A:$AK,34,FALSE),"")</f>
      </c>
      <c r="V381" s="79">
        <f>IFERROR(VLOOKUP($A:$A,CS!$A:$AK,35,FALSE),"")</f>
      </c>
      <c r="W381" s="79">
        <f>IFERROR(VLOOKUP($A:$A,CS!$A:$AK,36,FALSE),"")</f>
      </c>
    </row>
    <row r="382" ht="16.5" customHeight="1" spans="1:23" x14ac:dyDescent="0.25">
      <c r="A382" s="93"/>
      <c r="B382" s="79">
        <f>IFERROR(VLOOKUP($A:$A,CS!$A:$AK,3,FALSE),"")</f>
      </c>
      <c r="C382" s="79">
        <f>IFERROR(VLOOKUP($A:$A,CS!$A:$AK,4,FALSE),"")</f>
      </c>
      <c r="D382" s="79">
        <f>IFERROR(VLOOKUP($A:$A,CS!$A:$AK,5,FALSE),"")</f>
      </c>
      <c r="E382" s="79">
        <f>IFERROR(VLOOKUP($A:$A,CS!$A:$AK,7,FALSE),"")</f>
      </c>
      <c r="F382" s="79">
        <f>IFERROR(VLOOKUP($A:$A,CS!$A:$AK,8,FALSE),"")</f>
      </c>
      <c r="G382" s="79">
        <f>IFERROR(VLOOKUP($A:$A,CS!$A:$AK,10,FALSE),"")</f>
      </c>
      <c r="H382" s="79">
        <f>IFERROR(VLOOKUP($A:$A,CS!$A:$AK,14,FALSE),"")</f>
      </c>
      <c r="I382" s="79">
        <f>IFERROR(VLOOKUP($A:$A,CS!$A:$AK,15,FALSE),"")</f>
      </c>
      <c r="J382" s="79">
        <f>IFERROR(VLOOKUP($A:$A,CS!$A:$AK,18,FALSE),"")</f>
      </c>
      <c r="K382" s="79">
        <f>IFERROR(VLOOKUP($A:$A,CS!$A:$AK,19,FALSE),"")</f>
      </c>
      <c r="L382" s="79">
        <f>IFERROR(VLOOKUP($A:$A,CS!$A:$AK,20,FALSE),"")</f>
      </c>
      <c r="M382" s="79">
        <f>IFERROR(VLOOKUP($A:$A,CS!$A:$AK,22,FALSE),"")</f>
      </c>
      <c r="N382" s="79">
        <f>IFERROR(VLOOKUP($A:$A,CS!$A:$AK,19,FALSE),"")</f>
      </c>
      <c r="O382" s="79">
        <f>IFERROR(VLOOKUP($A:$A,CS!$A:$AK,23,FALSE),"")</f>
      </c>
      <c r="P382" s="79">
        <f>IFERROR(VLOOKUP($A:$A,CS!$A:$AK,24,FALSE),"")</f>
      </c>
      <c r="Q382" s="79">
        <f>IFERROR(VLOOKUP($A:$A,CS!$A:$AK,25,FALSE),"")</f>
      </c>
      <c r="R382" s="79">
        <f>IFERROR(VLOOKUP($A:$A,CS!$A:$AK,26,FALSE),"")</f>
      </c>
      <c r="S382" s="79">
        <f>IFERROR(VLOOKUP($A:$A,CS!$A:$AK,29,FALSE),"")</f>
      </c>
      <c r="T382" s="79">
        <f>IFERROR(VLOOKUP($A:$A,CS!$A:$AK,33,FALSE),"")</f>
      </c>
      <c r="U382" s="79">
        <f>IFERROR(VLOOKUP($A:$A,CS!$A:$AK,34,FALSE),"")</f>
      </c>
      <c r="V382" s="79">
        <f>IFERROR(VLOOKUP($A:$A,CS!$A:$AK,35,FALSE),"")</f>
      </c>
      <c r="W382" s="79">
        <f>IFERROR(VLOOKUP($A:$A,CS!$A:$AK,36,FALSE),"")</f>
      </c>
    </row>
    <row r="383" ht="16.5" customHeight="1" spans="1:23" x14ac:dyDescent="0.25">
      <c r="A383" s="93"/>
      <c r="B383" s="79">
        <f>IFERROR(VLOOKUP($A:$A,CS!$A:$AK,3,FALSE),"")</f>
      </c>
      <c r="C383" s="79">
        <f>IFERROR(VLOOKUP($A:$A,CS!$A:$AK,4,FALSE),"")</f>
      </c>
      <c r="D383" s="79">
        <f>IFERROR(VLOOKUP($A:$A,CS!$A:$AK,5,FALSE),"")</f>
      </c>
      <c r="E383" s="79">
        <f>IFERROR(VLOOKUP($A:$A,CS!$A:$AK,7,FALSE),"")</f>
      </c>
      <c r="F383" s="79">
        <f>IFERROR(VLOOKUP($A:$A,CS!$A:$AK,8,FALSE),"")</f>
      </c>
      <c r="G383" s="79">
        <f>IFERROR(VLOOKUP($A:$A,CS!$A:$AK,10,FALSE),"")</f>
      </c>
      <c r="H383" s="79">
        <f>IFERROR(VLOOKUP($A:$A,CS!$A:$AK,14,FALSE),"")</f>
      </c>
      <c r="I383" s="79">
        <f>IFERROR(VLOOKUP($A:$A,CS!$A:$AK,15,FALSE),"")</f>
      </c>
      <c r="J383" s="79">
        <f>IFERROR(VLOOKUP($A:$A,CS!$A:$AK,18,FALSE),"")</f>
      </c>
      <c r="K383" s="79">
        <f>IFERROR(VLOOKUP($A:$A,CS!$A:$AK,19,FALSE),"")</f>
      </c>
      <c r="L383" s="79">
        <f>IFERROR(VLOOKUP($A:$A,CS!$A:$AK,20,FALSE),"")</f>
      </c>
      <c r="M383" s="79">
        <f>IFERROR(VLOOKUP($A:$A,CS!$A:$AK,22,FALSE),"")</f>
      </c>
      <c r="N383" s="79">
        <f>IFERROR(VLOOKUP($A:$A,CS!$A:$AK,19,FALSE),"")</f>
      </c>
      <c r="O383" s="79">
        <f>IFERROR(VLOOKUP($A:$A,CS!$A:$AK,23,FALSE),"")</f>
      </c>
      <c r="P383" s="79">
        <f>IFERROR(VLOOKUP($A:$A,CS!$A:$AK,24,FALSE),"")</f>
      </c>
      <c r="Q383" s="79">
        <f>IFERROR(VLOOKUP($A:$A,CS!$A:$AK,25,FALSE),"")</f>
      </c>
      <c r="R383" s="79">
        <f>IFERROR(VLOOKUP($A:$A,CS!$A:$AK,26,FALSE),"")</f>
      </c>
      <c r="S383" s="79">
        <f>IFERROR(VLOOKUP($A:$A,CS!$A:$AK,29,FALSE),"")</f>
      </c>
      <c r="T383" s="79">
        <f>IFERROR(VLOOKUP($A:$A,CS!$A:$AK,33,FALSE),"")</f>
      </c>
      <c r="U383" s="79">
        <f>IFERROR(VLOOKUP($A:$A,CS!$A:$AK,34,FALSE),"")</f>
      </c>
      <c r="V383" s="79">
        <f>IFERROR(VLOOKUP($A:$A,CS!$A:$AK,35,FALSE),"")</f>
      </c>
      <c r="W383" s="79">
        <f>IFERROR(VLOOKUP($A:$A,CS!$A:$AK,36,FALSE),"")</f>
      </c>
    </row>
    <row r="384" ht="16.5" customHeight="1" spans="1:23" x14ac:dyDescent="0.25">
      <c r="A384" s="93"/>
      <c r="B384" s="79">
        <f>IFERROR(VLOOKUP($A:$A,CS!$A:$AK,3,FALSE),"")</f>
      </c>
      <c r="C384" s="79">
        <f>IFERROR(VLOOKUP($A:$A,CS!$A:$AK,4,FALSE),"")</f>
      </c>
      <c r="D384" s="79">
        <f>IFERROR(VLOOKUP($A:$A,CS!$A:$AK,5,FALSE),"")</f>
      </c>
      <c r="E384" s="79">
        <f>IFERROR(VLOOKUP($A:$A,CS!$A:$AK,7,FALSE),"")</f>
      </c>
      <c r="F384" s="79">
        <f>IFERROR(VLOOKUP($A:$A,CS!$A:$AK,8,FALSE),"")</f>
      </c>
      <c r="G384" s="79">
        <f>IFERROR(VLOOKUP($A:$A,CS!$A:$AK,10,FALSE),"")</f>
      </c>
      <c r="H384" s="79">
        <f>IFERROR(VLOOKUP($A:$A,CS!$A:$AK,14,FALSE),"")</f>
      </c>
      <c r="I384" s="79">
        <f>IFERROR(VLOOKUP($A:$A,CS!$A:$AK,15,FALSE),"")</f>
      </c>
      <c r="J384" s="79">
        <f>IFERROR(VLOOKUP($A:$A,CS!$A:$AK,18,FALSE),"")</f>
      </c>
      <c r="K384" s="79">
        <f>IFERROR(VLOOKUP($A:$A,CS!$A:$AK,19,FALSE),"")</f>
      </c>
      <c r="L384" s="79">
        <f>IFERROR(VLOOKUP($A:$A,CS!$A:$AK,20,FALSE),"")</f>
      </c>
      <c r="M384" s="79">
        <f>IFERROR(VLOOKUP($A:$A,CS!$A:$AK,22,FALSE),"")</f>
      </c>
      <c r="N384" s="79">
        <f>IFERROR(VLOOKUP($A:$A,CS!$A:$AK,19,FALSE),"")</f>
      </c>
      <c r="O384" s="79">
        <f>IFERROR(VLOOKUP($A:$A,CS!$A:$AK,23,FALSE),"")</f>
      </c>
      <c r="P384" s="79">
        <f>IFERROR(VLOOKUP($A:$A,CS!$A:$AK,24,FALSE),"")</f>
      </c>
      <c r="Q384" s="79">
        <f>IFERROR(VLOOKUP($A:$A,CS!$A:$AK,25,FALSE),"")</f>
      </c>
      <c r="R384" s="79">
        <f>IFERROR(VLOOKUP($A:$A,CS!$A:$AK,26,FALSE),"")</f>
      </c>
      <c r="S384" s="79">
        <f>IFERROR(VLOOKUP($A:$A,CS!$A:$AK,29,FALSE),"")</f>
      </c>
      <c r="T384" s="79">
        <f>IFERROR(VLOOKUP($A:$A,CS!$A:$AK,33,FALSE),"")</f>
      </c>
      <c r="U384" s="79">
        <f>IFERROR(VLOOKUP($A:$A,CS!$A:$AK,34,FALSE),"")</f>
      </c>
      <c r="V384" s="79">
        <f>IFERROR(VLOOKUP($A:$A,CS!$A:$AK,35,FALSE),"")</f>
      </c>
      <c r="W384" s="79">
        <f>IFERROR(VLOOKUP($A:$A,CS!$A:$AK,36,FALSE),"")</f>
      </c>
    </row>
    <row r="385" ht="16.5" customHeight="1" spans="1:23" x14ac:dyDescent="0.25">
      <c r="A385" s="93"/>
      <c r="B385" s="79">
        <f>IFERROR(VLOOKUP($A:$A,CS!$A:$AK,3,FALSE),"")</f>
      </c>
      <c r="C385" s="79">
        <f>IFERROR(VLOOKUP($A:$A,CS!$A:$AK,4,FALSE),"")</f>
      </c>
      <c r="D385" s="79">
        <f>IFERROR(VLOOKUP($A:$A,CS!$A:$AK,5,FALSE),"")</f>
      </c>
      <c r="E385" s="79">
        <f>IFERROR(VLOOKUP($A:$A,CS!$A:$AK,7,FALSE),"")</f>
      </c>
      <c r="F385" s="79">
        <f>IFERROR(VLOOKUP($A:$A,CS!$A:$AK,8,FALSE),"")</f>
      </c>
      <c r="G385" s="79">
        <f>IFERROR(VLOOKUP($A:$A,CS!$A:$AK,10,FALSE),"")</f>
      </c>
      <c r="H385" s="79">
        <f>IFERROR(VLOOKUP($A:$A,CS!$A:$AK,14,FALSE),"")</f>
      </c>
      <c r="I385" s="79">
        <f>IFERROR(VLOOKUP($A:$A,CS!$A:$AK,15,FALSE),"")</f>
      </c>
      <c r="J385" s="79">
        <f>IFERROR(VLOOKUP($A:$A,CS!$A:$AK,18,FALSE),"")</f>
      </c>
      <c r="K385" s="79">
        <f>IFERROR(VLOOKUP($A:$A,CS!$A:$AK,19,FALSE),"")</f>
      </c>
      <c r="L385" s="79">
        <f>IFERROR(VLOOKUP($A:$A,CS!$A:$AK,20,FALSE),"")</f>
      </c>
      <c r="M385" s="79">
        <f>IFERROR(VLOOKUP($A:$A,CS!$A:$AK,22,FALSE),"")</f>
      </c>
      <c r="N385" s="79">
        <f>IFERROR(VLOOKUP($A:$A,CS!$A:$AK,19,FALSE),"")</f>
      </c>
      <c r="O385" s="79">
        <f>IFERROR(VLOOKUP($A:$A,CS!$A:$AK,23,FALSE),"")</f>
      </c>
      <c r="P385" s="79">
        <f>IFERROR(VLOOKUP($A:$A,CS!$A:$AK,24,FALSE),"")</f>
      </c>
      <c r="Q385" s="79">
        <f>IFERROR(VLOOKUP($A:$A,CS!$A:$AK,25,FALSE),"")</f>
      </c>
      <c r="R385" s="79">
        <f>IFERROR(VLOOKUP($A:$A,CS!$A:$AK,26,FALSE),"")</f>
      </c>
      <c r="S385" s="79">
        <f>IFERROR(VLOOKUP($A:$A,CS!$A:$AK,29,FALSE),"")</f>
      </c>
      <c r="T385" s="79">
        <f>IFERROR(VLOOKUP($A:$A,CS!$A:$AK,33,FALSE),"")</f>
      </c>
      <c r="U385" s="79">
        <f>IFERROR(VLOOKUP($A:$A,CS!$A:$AK,34,FALSE),"")</f>
      </c>
      <c r="V385" s="79">
        <f>IFERROR(VLOOKUP($A:$A,CS!$A:$AK,35,FALSE),"")</f>
      </c>
      <c r="W385" s="79">
        <f>IFERROR(VLOOKUP($A:$A,CS!$A:$AK,36,FALSE),"")</f>
      </c>
    </row>
    <row r="386" ht="16.5" customHeight="1" spans="1:23" x14ac:dyDescent="0.25">
      <c r="A386" s="93"/>
      <c r="B386" s="79">
        <f>IFERROR(VLOOKUP($A:$A,CS!$A:$AK,3,FALSE),"")</f>
      </c>
      <c r="C386" s="79">
        <f>IFERROR(VLOOKUP($A:$A,CS!$A:$AK,4,FALSE),"")</f>
      </c>
      <c r="D386" s="79">
        <f>IFERROR(VLOOKUP($A:$A,CS!$A:$AK,5,FALSE),"")</f>
      </c>
      <c r="E386" s="79">
        <f>IFERROR(VLOOKUP($A:$A,CS!$A:$AK,7,FALSE),"")</f>
      </c>
      <c r="F386" s="79">
        <f>IFERROR(VLOOKUP($A:$A,CS!$A:$AK,8,FALSE),"")</f>
      </c>
      <c r="G386" s="79">
        <f>IFERROR(VLOOKUP($A:$A,CS!$A:$AK,10,FALSE),"")</f>
      </c>
      <c r="H386" s="79">
        <f>IFERROR(VLOOKUP($A:$A,CS!$A:$AK,14,FALSE),"")</f>
      </c>
      <c r="I386" s="79">
        <f>IFERROR(VLOOKUP($A:$A,CS!$A:$AK,15,FALSE),"")</f>
      </c>
      <c r="J386" s="79">
        <f>IFERROR(VLOOKUP($A:$A,CS!$A:$AK,18,FALSE),"")</f>
      </c>
      <c r="K386" s="79">
        <f>IFERROR(VLOOKUP($A:$A,CS!$A:$AK,19,FALSE),"")</f>
      </c>
      <c r="L386" s="79">
        <f>IFERROR(VLOOKUP($A:$A,CS!$A:$AK,20,FALSE),"")</f>
      </c>
      <c r="M386" s="79">
        <f>IFERROR(VLOOKUP($A:$A,CS!$A:$AK,22,FALSE),"")</f>
      </c>
      <c r="N386" s="79">
        <f>IFERROR(VLOOKUP($A:$A,CS!$A:$AK,19,FALSE),"")</f>
      </c>
      <c r="O386" s="79">
        <f>IFERROR(VLOOKUP($A:$A,CS!$A:$AK,23,FALSE),"")</f>
      </c>
      <c r="P386" s="79">
        <f>IFERROR(VLOOKUP($A:$A,CS!$A:$AK,24,FALSE),"")</f>
      </c>
      <c r="Q386" s="79">
        <f>IFERROR(VLOOKUP($A:$A,CS!$A:$AK,25,FALSE),"")</f>
      </c>
      <c r="R386" s="79">
        <f>IFERROR(VLOOKUP($A:$A,CS!$A:$AK,26,FALSE),"")</f>
      </c>
      <c r="S386" s="79">
        <f>IFERROR(VLOOKUP($A:$A,CS!$A:$AK,29,FALSE),"")</f>
      </c>
      <c r="T386" s="79">
        <f>IFERROR(VLOOKUP($A:$A,CS!$A:$AK,33,FALSE),"")</f>
      </c>
      <c r="U386" s="79">
        <f>IFERROR(VLOOKUP($A:$A,CS!$A:$AK,34,FALSE),"")</f>
      </c>
      <c r="V386" s="79">
        <f>IFERROR(VLOOKUP($A:$A,CS!$A:$AK,35,FALSE),"")</f>
      </c>
      <c r="W386" s="79">
        <f>IFERROR(VLOOKUP($A:$A,CS!$A:$AK,36,FALSE),"")</f>
      </c>
    </row>
    <row r="387" ht="16.5" customHeight="1" spans="1:23" x14ac:dyDescent="0.25">
      <c r="A387" s="93"/>
      <c r="B387" s="79">
        <f>IFERROR(VLOOKUP($A:$A,CS!$A:$AK,3,FALSE),"")</f>
      </c>
      <c r="C387" s="79">
        <f>IFERROR(VLOOKUP($A:$A,CS!$A:$AK,4,FALSE),"")</f>
      </c>
      <c r="D387" s="79">
        <f>IFERROR(VLOOKUP($A:$A,CS!$A:$AK,5,FALSE),"")</f>
      </c>
      <c r="E387" s="79">
        <f>IFERROR(VLOOKUP($A:$A,CS!$A:$AK,7,FALSE),"")</f>
      </c>
      <c r="F387" s="79">
        <f>IFERROR(VLOOKUP($A:$A,CS!$A:$AK,8,FALSE),"")</f>
      </c>
      <c r="G387" s="79">
        <f>IFERROR(VLOOKUP($A:$A,CS!$A:$AK,10,FALSE),"")</f>
      </c>
      <c r="H387" s="79">
        <f>IFERROR(VLOOKUP($A:$A,CS!$A:$AK,14,FALSE),"")</f>
      </c>
      <c r="I387" s="79">
        <f>IFERROR(VLOOKUP($A:$A,CS!$A:$AK,15,FALSE),"")</f>
      </c>
      <c r="J387" s="79">
        <f>IFERROR(VLOOKUP($A:$A,CS!$A:$AK,18,FALSE),"")</f>
      </c>
      <c r="K387" s="79">
        <f>IFERROR(VLOOKUP($A:$A,CS!$A:$AK,19,FALSE),"")</f>
      </c>
      <c r="L387" s="79">
        <f>IFERROR(VLOOKUP($A:$A,CS!$A:$AK,20,FALSE),"")</f>
      </c>
      <c r="M387" s="79">
        <f>IFERROR(VLOOKUP($A:$A,CS!$A:$AK,22,FALSE),"")</f>
      </c>
      <c r="N387" s="79">
        <f>IFERROR(VLOOKUP($A:$A,CS!$A:$AK,19,FALSE),"")</f>
      </c>
      <c r="O387" s="79">
        <f>IFERROR(VLOOKUP($A:$A,CS!$A:$AK,23,FALSE),"")</f>
      </c>
      <c r="P387" s="79">
        <f>IFERROR(VLOOKUP($A:$A,CS!$A:$AK,24,FALSE),"")</f>
      </c>
      <c r="Q387" s="79">
        <f>IFERROR(VLOOKUP($A:$A,CS!$A:$AK,25,FALSE),"")</f>
      </c>
      <c r="R387" s="79">
        <f>IFERROR(VLOOKUP($A:$A,CS!$A:$AK,26,FALSE),"")</f>
      </c>
      <c r="S387" s="79">
        <f>IFERROR(VLOOKUP($A:$A,CS!$A:$AK,29,FALSE),"")</f>
      </c>
      <c r="T387" s="79">
        <f>IFERROR(VLOOKUP($A:$A,CS!$A:$AK,33,FALSE),"")</f>
      </c>
      <c r="U387" s="79">
        <f>IFERROR(VLOOKUP($A:$A,CS!$A:$AK,34,FALSE),"")</f>
      </c>
      <c r="V387" s="79">
        <f>IFERROR(VLOOKUP($A:$A,CS!$A:$AK,35,FALSE),"")</f>
      </c>
      <c r="W387" s="79">
        <f>IFERROR(VLOOKUP($A:$A,CS!$A:$AK,36,FALSE),"")</f>
      </c>
    </row>
    <row r="388" ht="16.5" customHeight="1" spans="1:23" x14ac:dyDescent="0.25">
      <c r="A388" s="93"/>
      <c r="B388" s="79">
        <f>IFERROR(VLOOKUP($A:$A,CS!$A:$AK,3,FALSE),"")</f>
      </c>
      <c r="C388" s="79">
        <f>IFERROR(VLOOKUP($A:$A,CS!$A:$AK,4,FALSE),"")</f>
      </c>
      <c r="D388" s="79">
        <f>IFERROR(VLOOKUP($A:$A,CS!$A:$AK,5,FALSE),"")</f>
      </c>
      <c r="E388" s="79">
        <f>IFERROR(VLOOKUP($A:$A,CS!$A:$AK,7,FALSE),"")</f>
      </c>
      <c r="F388" s="79">
        <f>IFERROR(VLOOKUP($A:$A,CS!$A:$AK,8,FALSE),"")</f>
      </c>
      <c r="G388" s="79">
        <f>IFERROR(VLOOKUP($A:$A,CS!$A:$AK,10,FALSE),"")</f>
      </c>
      <c r="H388" s="79">
        <f>IFERROR(VLOOKUP($A:$A,CS!$A:$AK,14,FALSE),"")</f>
      </c>
      <c r="I388" s="79">
        <f>IFERROR(VLOOKUP($A:$A,CS!$A:$AK,15,FALSE),"")</f>
      </c>
      <c r="J388" s="79">
        <f>IFERROR(VLOOKUP($A:$A,CS!$A:$AK,18,FALSE),"")</f>
      </c>
      <c r="K388" s="79">
        <f>IFERROR(VLOOKUP($A:$A,CS!$A:$AK,19,FALSE),"")</f>
      </c>
      <c r="L388" s="79">
        <f>IFERROR(VLOOKUP($A:$A,CS!$A:$AK,20,FALSE),"")</f>
      </c>
      <c r="M388" s="79">
        <f>IFERROR(VLOOKUP($A:$A,CS!$A:$AK,22,FALSE),"")</f>
      </c>
      <c r="N388" s="79">
        <f>IFERROR(VLOOKUP($A:$A,CS!$A:$AK,19,FALSE),"")</f>
      </c>
      <c r="O388" s="79">
        <f>IFERROR(VLOOKUP($A:$A,CS!$A:$AK,23,FALSE),"")</f>
      </c>
      <c r="P388" s="79">
        <f>IFERROR(VLOOKUP($A:$A,CS!$A:$AK,24,FALSE),"")</f>
      </c>
      <c r="Q388" s="79">
        <f>IFERROR(VLOOKUP($A:$A,CS!$A:$AK,25,FALSE),"")</f>
      </c>
      <c r="R388" s="79">
        <f>IFERROR(VLOOKUP($A:$A,CS!$A:$AK,26,FALSE),"")</f>
      </c>
      <c r="S388" s="79">
        <f>IFERROR(VLOOKUP($A:$A,CS!$A:$AK,29,FALSE),"")</f>
      </c>
      <c r="T388" s="79">
        <f>IFERROR(VLOOKUP($A:$A,CS!$A:$AK,33,FALSE),"")</f>
      </c>
      <c r="U388" s="79">
        <f>IFERROR(VLOOKUP($A:$A,CS!$A:$AK,34,FALSE),"")</f>
      </c>
      <c r="V388" s="79">
        <f>IFERROR(VLOOKUP($A:$A,CS!$A:$AK,35,FALSE),"")</f>
      </c>
      <c r="W388" s="79">
        <f>IFERROR(VLOOKUP($A:$A,CS!$A:$AK,36,FALSE),"")</f>
      </c>
    </row>
    <row r="389" ht="16.5" customHeight="1" spans="1:23" x14ac:dyDescent="0.25">
      <c r="A389" s="93"/>
      <c r="B389" s="79">
        <f>IFERROR(VLOOKUP($A:$A,CS!$A:$AK,3,FALSE),"")</f>
      </c>
      <c r="C389" s="79">
        <f>IFERROR(VLOOKUP($A:$A,CS!$A:$AK,4,FALSE),"")</f>
      </c>
      <c r="D389" s="79">
        <f>IFERROR(VLOOKUP($A:$A,CS!$A:$AK,5,FALSE),"")</f>
      </c>
      <c r="E389" s="79">
        <f>IFERROR(VLOOKUP($A:$A,CS!$A:$AK,7,FALSE),"")</f>
      </c>
      <c r="F389" s="79">
        <f>IFERROR(VLOOKUP($A:$A,CS!$A:$AK,8,FALSE),"")</f>
      </c>
      <c r="G389" s="79">
        <f>IFERROR(VLOOKUP($A:$A,CS!$A:$AK,10,FALSE),"")</f>
      </c>
      <c r="H389" s="79">
        <f>IFERROR(VLOOKUP($A:$A,CS!$A:$AK,14,FALSE),"")</f>
      </c>
      <c r="I389" s="79">
        <f>IFERROR(VLOOKUP($A:$A,CS!$A:$AK,15,FALSE),"")</f>
      </c>
      <c r="J389" s="79">
        <f>IFERROR(VLOOKUP($A:$A,CS!$A:$AK,18,FALSE),"")</f>
      </c>
      <c r="K389" s="79">
        <f>IFERROR(VLOOKUP($A:$A,CS!$A:$AK,19,FALSE),"")</f>
      </c>
      <c r="L389" s="79">
        <f>IFERROR(VLOOKUP($A:$A,CS!$A:$AK,20,FALSE),"")</f>
      </c>
      <c r="M389" s="79">
        <f>IFERROR(VLOOKUP($A:$A,CS!$A:$AK,22,FALSE),"")</f>
      </c>
      <c r="N389" s="79">
        <f>IFERROR(VLOOKUP($A:$A,CS!$A:$AK,19,FALSE),"")</f>
      </c>
      <c r="O389" s="79">
        <f>IFERROR(VLOOKUP($A:$A,CS!$A:$AK,23,FALSE),"")</f>
      </c>
      <c r="P389" s="79">
        <f>IFERROR(VLOOKUP($A:$A,CS!$A:$AK,24,FALSE),"")</f>
      </c>
      <c r="Q389" s="79">
        <f>IFERROR(VLOOKUP($A:$A,CS!$A:$AK,25,FALSE),"")</f>
      </c>
      <c r="R389" s="79">
        <f>IFERROR(VLOOKUP($A:$A,CS!$A:$AK,26,FALSE),"")</f>
      </c>
      <c r="S389" s="79">
        <f>IFERROR(VLOOKUP($A:$A,CS!$A:$AK,29,FALSE),"")</f>
      </c>
      <c r="T389" s="79">
        <f>IFERROR(VLOOKUP($A:$A,CS!$A:$AK,33,FALSE),"")</f>
      </c>
      <c r="U389" s="79">
        <f>IFERROR(VLOOKUP($A:$A,CS!$A:$AK,34,FALSE),"")</f>
      </c>
      <c r="V389" s="79">
        <f>IFERROR(VLOOKUP($A:$A,CS!$A:$AK,35,FALSE),"")</f>
      </c>
      <c r="W389" s="79">
        <f>IFERROR(VLOOKUP($A:$A,CS!$A:$AK,36,FALSE),"")</f>
      </c>
    </row>
    <row r="390" ht="16.5" customHeight="1" spans="1:23" x14ac:dyDescent="0.25">
      <c r="A390" s="93"/>
      <c r="B390" s="79">
        <f>IFERROR(VLOOKUP($A:$A,CS!$A:$AK,3,FALSE),"")</f>
      </c>
      <c r="C390" s="79">
        <f>IFERROR(VLOOKUP($A:$A,CS!$A:$AK,4,FALSE),"")</f>
      </c>
      <c r="D390" s="79">
        <f>IFERROR(VLOOKUP($A:$A,CS!$A:$AK,5,FALSE),"")</f>
      </c>
      <c r="E390" s="79">
        <f>IFERROR(VLOOKUP($A:$A,CS!$A:$AK,7,FALSE),"")</f>
      </c>
      <c r="F390" s="79">
        <f>IFERROR(VLOOKUP($A:$A,CS!$A:$AK,8,FALSE),"")</f>
      </c>
      <c r="G390" s="79">
        <f>IFERROR(VLOOKUP($A:$A,CS!$A:$AK,10,FALSE),"")</f>
      </c>
      <c r="H390" s="79">
        <f>IFERROR(VLOOKUP($A:$A,CS!$A:$AK,14,FALSE),"")</f>
      </c>
      <c r="I390" s="79">
        <f>IFERROR(VLOOKUP($A:$A,CS!$A:$AK,15,FALSE),"")</f>
      </c>
      <c r="J390" s="79">
        <f>IFERROR(VLOOKUP($A:$A,CS!$A:$AK,18,FALSE),"")</f>
      </c>
      <c r="K390" s="79">
        <f>IFERROR(VLOOKUP($A:$A,CS!$A:$AK,19,FALSE),"")</f>
      </c>
      <c r="L390" s="79">
        <f>IFERROR(VLOOKUP($A:$A,CS!$A:$AK,20,FALSE),"")</f>
      </c>
      <c r="M390" s="79">
        <f>IFERROR(VLOOKUP($A:$A,CS!$A:$AK,22,FALSE),"")</f>
      </c>
      <c r="N390" s="79">
        <f>IFERROR(VLOOKUP($A:$A,CS!$A:$AK,19,FALSE),"")</f>
      </c>
      <c r="O390" s="79">
        <f>IFERROR(VLOOKUP($A:$A,CS!$A:$AK,23,FALSE),"")</f>
      </c>
      <c r="P390" s="79">
        <f>IFERROR(VLOOKUP($A:$A,CS!$A:$AK,24,FALSE),"")</f>
      </c>
      <c r="Q390" s="79">
        <f>IFERROR(VLOOKUP($A:$A,CS!$A:$AK,25,FALSE),"")</f>
      </c>
      <c r="R390" s="79">
        <f>IFERROR(VLOOKUP($A:$A,CS!$A:$AK,26,FALSE),"")</f>
      </c>
      <c r="S390" s="79">
        <f>IFERROR(VLOOKUP($A:$A,CS!$A:$AK,29,FALSE),"")</f>
      </c>
      <c r="T390" s="79">
        <f>IFERROR(VLOOKUP($A:$A,CS!$A:$AK,33,FALSE),"")</f>
      </c>
      <c r="U390" s="79">
        <f>IFERROR(VLOOKUP($A:$A,CS!$A:$AK,34,FALSE),"")</f>
      </c>
      <c r="V390" s="79">
        <f>IFERROR(VLOOKUP($A:$A,CS!$A:$AK,35,FALSE),"")</f>
      </c>
      <c r="W390" s="79">
        <f>IFERROR(VLOOKUP($A:$A,CS!$A:$AK,36,FALSE),"")</f>
      </c>
    </row>
    <row r="391" ht="16.5" customHeight="1" spans="1:23" x14ac:dyDescent="0.25">
      <c r="A391" s="93"/>
      <c r="B391" s="79">
        <f>IFERROR(VLOOKUP($A:$A,CS!$A:$AK,3,FALSE),"")</f>
      </c>
      <c r="C391" s="79">
        <f>IFERROR(VLOOKUP($A:$A,CS!$A:$AK,4,FALSE),"")</f>
      </c>
      <c r="D391" s="79">
        <f>IFERROR(VLOOKUP($A:$A,CS!$A:$AK,5,FALSE),"")</f>
      </c>
      <c r="E391" s="79">
        <f>IFERROR(VLOOKUP($A:$A,CS!$A:$AK,7,FALSE),"")</f>
      </c>
      <c r="F391" s="79">
        <f>IFERROR(VLOOKUP($A:$A,CS!$A:$AK,8,FALSE),"")</f>
      </c>
      <c r="G391" s="79">
        <f>IFERROR(VLOOKUP($A:$A,CS!$A:$AK,10,FALSE),"")</f>
      </c>
      <c r="H391" s="79">
        <f>IFERROR(VLOOKUP($A:$A,CS!$A:$AK,14,FALSE),"")</f>
      </c>
      <c r="I391" s="79">
        <f>IFERROR(VLOOKUP($A:$A,CS!$A:$AK,15,FALSE),"")</f>
      </c>
      <c r="J391" s="79">
        <f>IFERROR(VLOOKUP($A:$A,CS!$A:$AK,18,FALSE),"")</f>
      </c>
      <c r="K391" s="79">
        <f>IFERROR(VLOOKUP($A:$A,CS!$A:$AK,19,FALSE),"")</f>
      </c>
      <c r="L391" s="79">
        <f>IFERROR(VLOOKUP($A:$A,CS!$A:$AK,20,FALSE),"")</f>
      </c>
      <c r="M391" s="79">
        <f>IFERROR(VLOOKUP($A:$A,CS!$A:$AK,22,FALSE),"")</f>
      </c>
      <c r="N391" s="79">
        <f>IFERROR(VLOOKUP($A:$A,CS!$A:$AK,19,FALSE),"")</f>
      </c>
      <c r="O391" s="79">
        <f>IFERROR(VLOOKUP($A:$A,CS!$A:$AK,23,FALSE),"")</f>
      </c>
      <c r="P391" s="79">
        <f>IFERROR(VLOOKUP($A:$A,CS!$A:$AK,24,FALSE),"")</f>
      </c>
      <c r="Q391" s="79">
        <f>IFERROR(VLOOKUP($A:$A,CS!$A:$AK,25,FALSE),"")</f>
      </c>
      <c r="R391" s="79">
        <f>IFERROR(VLOOKUP($A:$A,CS!$A:$AK,26,FALSE),"")</f>
      </c>
      <c r="S391" s="79">
        <f>IFERROR(VLOOKUP($A:$A,CS!$A:$AK,29,FALSE),"")</f>
      </c>
      <c r="T391" s="79">
        <f>IFERROR(VLOOKUP($A:$A,CS!$A:$AK,33,FALSE),"")</f>
      </c>
      <c r="U391" s="79">
        <f>IFERROR(VLOOKUP($A:$A,CS!$A:$AK,34,FALSE),"")</f>
      </c>
      <c r="V391" s="79">
        <f>IFERROR(VLOOKUP($A:$A,CS!$A:$AK,35,FALSE),"")</f>
      </c>
      <c r="W391" s="79">
        <f>IFERROR(VLOOKUP($A:$A,CS!$A:$AK,36,FALSE),"")</f>
      </c>
    </row>
    <row r="392" ht="16.5" customHeight="1" spans="1:23" x14ac:dyDescent="0.25">
      <c r="A392" s="93"/>
      <c r="B392" s="79">
        <f>IFERROR(VLOOKUP($A:$A,CS!$A:$AK,3,FALSE),"")</f>
      </c>
      <c r="C392" s="79">
        <f>IFERROR(VLOOKUP($A:$A,CS!$A:$AK,4,FALSE),"")</f>
      </c>
      <c r="D392" s="79">
        <f>IFERROR(VLOOKUP($A:$A,CS!$A:$AK,5,FALSE),"")</f>
      </c>
      <c r="E392" s="79">
        <f>IFERROR(VLOOKUP($A:$A,CS!$A:$AK,7,FALSE),"")</f>
      </c>
      <c r="F392" s="79">
        <f>IFERROR(VLOOKUP($A:$A,CS!$A:$AK,8,FALSE),"")</f>
      </c>
      <c r="G392" s="79">
        <f>IFERROR(VLOOKUP($A:$A,CS!$A:$AK,10,FALSE),"")</f>
      </c>
      <c r="H392" s="79">
        <f>IFERROR(VLOOKUP($A:$A,CS!$A:$AK,14,FALSE),"")</f>
      </c>
      <c r="I392" s="79">
        <f>IFERROR(VLOOKUP($A:$A,CS!$A:$AK,15,FALSE),"")</f>
      </c>
      <c r="J392" s="79">
        <f>IFERROR(VLOOKUP($A:$A,CS!$A:$AK,18,FALSE),"")</f>
      </c>
      <c r="K392" s="79">
        <f>IFERROR(VLOOKUP($A:$A,CS!$A:$AK,19,FALSE),"")</f>
      </c>
      <c r="L392" s="79">
        <f>IFERROR(VLOOKUP($A:$A,CS!$A:$AK,20,FALSE),"")</f>
      </c>
      <c r="M392" s="79">
        <f>IFERROR(VLOOKUP($A:$A,CS!$A:$AK,22,FALSE),"")</f>
      </c>
      <c r="N392" s="79">
        <f>IFERROR(VLOOKUP($A:$A,CS!$A:$AK,19,FALSE),"")</f>
      </c>
      <c r="O392" s="79">
        <f>IFERROR(VLOOKUP($A:$A,CS!$A:$AK,23,FALSE),"")</f>
      </c>
      <c r="P392" s="79">
        <f>IFERROR(VLOOKUP($A:$A,CS!$A:$AK,24,FALSE),"")</f>
      </c>
      <c r="Q392" s="79">
        <f>IFERROR(VLOOKUP($A:$A,CS!$A:$AK,25,FALSE),"")</f>
      </c>
      <c r="R392" s="79">
        <f>IFERROR(VLOOKUP($A:$A,CS!$A:$AK,26,FALSE),"")</f>
      </c>
      <c r="S392" s="79">
        <f>IFERROR(VLOOKUP($A:$A,CS!$A:$AK,29,FALSE),"")</f>
      </c>
      <c r="T392" s="79">
        <f>IFERROR(VLOOKUP($A:$A,CS!$A:$AK,33,FALSE),"")</f>
      </c>
      <c r="U392" s="79">
        <f>IFERROR(VLOOKUP($A:$A,CS!$A:$AK,34,FALSE),"")</f>
      </c>
      <c r="V392" s="79">
        <f>IFERROR(VLOOKUP($A:$A,CS!$A:$AK,35,FALSE),"")</f>
      </c>
      <c r="W392" s="79">
        <f>IFERROR(VLOOKUP($A:$A,CS!$A:$AK,36,FALSE),"")</f>
      </c>
    </row>
    <row r="393" ht="16.5" customHeight="1" spans="1:23" x14ac:dyDescent="0.25">
      <c r="A393" s="93"/>
      <c r="B393" s="79">
        <f>IFERROR(VLOOKUP($A:$A,CS!$A:$AK,3,FALSE),"")</f>
      </c>
      <c r="C393" s="79">
        <f>IFERROR(VLOOKUP($A:$A,CS!$A:$AK,4,FALSE),"")</f>
      </c>
      <c r="D393" s="79">
        <f>IFERROR(VLOOKUP($A:$A,CS!$A:$AK,5,FALSE),"")</f>
      </c>
      <c r="E393" s="79">
        <f>IFERROR(VLOOKUP($A:$A,CS!$A:$AK,7,FALSE),"")</f>
      </c>
      <c r="F393" s="79">
        <f>IFERROR(VLOOKUP($A:$A,CS!$A:$AK,8,FALSE),"")</f>
      </c>
      <c r="G393" s="79">
        <f>IFERROR(VLOOKUP($A:$A,CS!$A:$AK,10,FALSE),"")</f>
      </c>
      <c r="H393" s="79">
        <f>IFERROR(VLOOKUP($A:$A,CS!$A:$AK,14,FALSE),"")</f>
      </c>
      <c r="I393" s="79">
        <f>IFERROR(VLOOKUP($A:$A,CS!$A:$AK,15,FALSE),"")</f>
      </c>
      <c r="J393" s="79">
        <f>IFERROR(VLOOKUP($A:$A,CS!$A:$AK,18,FALSE),"")</f>
      </c>
      <c r="K393" s="79">
        <f>IFERROR(VLOOKUP($A:$A,CS!$A:$AK,19,FALSE),"")</f>
      </c>
      <c r="L393" s="79">
        <f>IFERROR(VLOOKUP($A:$A,CS!$A:$AK,20,FALSE),"")</f>
      </c>
      <c r="M393" s="79">
        <f>IFERROR(VLOOKUP($A:$A,CS!$A:$AK,22,FALSE),"")</f>
      </c>
      <c r="N393" s="79">
        <f>IFERROR(VLOOKUP($A:$A,CS!$A:$AK,19,FALSE),"")</f>
      </c>
      <c r="O393" s="79">
        <f>IFERROR(VLOOKUP($A:$A,CS!$A:$AK,23,FALSE),"")</f>
      </c>
      <c r="P393" s="79">
        <f>IFERROR(VLOOKUP($A:$A,CS!$A:$AK,24,FALSE),"")</f>
      </c>
      <c r="Q393" s="79">
        <f>IFERROR(VLOOKUP($A:$A,CS!$A:$AK,25,FALSE),"")</f>
      </c>
      <c r="R393" s="79">
        <f>IFERROR(VLOOKUP($A:$A,CS!$A:$AK,26,FALSE),"")</f>
      </c>
      <c r="S393" s="79">
        <f>IFERROR(VLOOKUP($A:$A,CS!$A:$AK,29,FALSE),"")</f>
      </c>
      <c r="T393" s="79">
        <f>IFERROR(VLOOKUP($A:$A,CS!$A:$AK,33,FALSE),"")</f>
      </c>
      <c r="U393" s="79">
        <f>IFERROR(VLOOKUP($A:$A,CS!$A:$AK,34,FALSE),"")</f>
      </c>
      <c r="V393" s="79">
        <f>IFERROR(VLOOKUP($A:$A,CS!$A:$AK,35,FALSE),"")</f>
      </c>
      <c r="W393" s="79">
        <f>IFERROR(VLOOKUP($A:$A,CS!$A:$AK,36,FALSE),"")</f>
      </c>
    </row>
    <row r="394" ht="16.5" customHeight="1" spans="1:23" x14ac:dyDescent="0.25">
      <c r="A394" s="93"/>
      <c r="B394" s="79">
        <f>IFERROR(VLOOKUP($A:$A,CS!$A:$AK,3,FALSE),"")</f>
      </c>
      <c r="C394" s="79">
        <f>IFERROR(VLOOKUP($A:$A,CS!$A:$AK,4,FALSE),"")</f>
      </c>
      <c r="D394" s="79">
        <f>IFERROR(VLOOKUP($A:$A,CS!$A:$AK,5,FALSE),"")</f>
      </c>
      <c r="E394" s="79">
        <f>IFERROR(VLOOKUP($A:$A,CS!$A:$AK,7,FALSE),"")</f>
      </c>
      <c r="F394" s="79">
        <f>IFERROR(VLOOKUP($A:$A,CS!$A:$AK,8,FALSE),"")</f>
      </c>
      <c r="G394" s="79">
        <f>IFERROR(VLOOKUP($A:$A,CS!$A:$AK,10,FALSE),"")</f>
      </c>
      <c r="H394" s="79">
        <f>IFERROR(VLOOKUP($A:$A,CS!$A:$AK,14,FALSE),"")</f>
      </c>
      <c r="I394" s="79">
        <f>IFERROR(VLOOKUP($A:$A,CS!$A:$AK,15,FALSE),"")</f>
      </c>
      <c r="J394" s="79">
        <f>IFERROR(VLOOKUP($A:$A,CS!$A:$AK,18,FALSE),"")</f>
      </c>
      <c r="K394" s="79">
        <f>IFERROR(VLOOKUP($A:$A,CS!$A:$AK,19,FALSE),"")</f>
      </c>
      <c r="L394" s="79">
        <f>IFERROR(VLOOKUP($A:$A,CS!$A:$AK,20,FALSE),"")</f>
      </c>
      <c r="M394" s="79">
        <f>IFERROR(VLOOKUP($A:$A,CS!$A:$AK,22,FALSE),"")</f>
      </c>
      <c r="N394" s="79">
        <f>IFERROR(VLOOKUP($A:$A,CS!$A:$AK,19,FALSE),"")</f>
      </c>
      <c r="O394" s="79">
        <f>IFERROR(VLOOKUP($A:$A,CS!$A:$AK,23,FALSE),"")</f>
      </c>
      <c r="P394" s="79">
        <f>IFERROR(VLOOKUP($A:$A,CS!$A:$AK,24,FALSE),"")</f>
      </c>
      <c r="Q394" s="79">
        <f>IFERROR(VLOOKUP($A:$A,CS!$A:$AK,25,FALSE),"")</f>
      </c>
      <c r="R394" s="79">
        <f>IFERROR(VLOOKUP($A:$A,CS!$A:$AK,26,FALSE),"")</f>
      </c>
      <c r="S394" s="79">
        <f>IFERROR(VLOOKUP($A:$A,CS!$A:$AK,29,FALSE),"")</f>
      </c>
      <c r="T394" s="79">
        <f>IFERROR(VLOOKUP($A:$A,CS!$A:$AK,33,FALSE),"")</f>
      </c>
      <c r="U394" s="79">
        <f>IFERROR(VLOOKUP($A:$A,CS!$A:$AK,34,FALSE),"")</f>
      </c>
      <c r="V394" s="79">
        <f>IFERROR(VLOOKUP($A:$A,CS!$A:$AK,35,FALSE),"")</f>
      </c>
      <c r="W394" s="79">
        <f>IFERROR(VLOOKUP($A:$A,CS!$A:$AK,36,FALSE),"")</f>
      </c>
    </row>
    <row r="395" ht="16.5" customHeight="1" spans="1:23" x14ac:dyDescent="0.25">
      <c r="A395" s="93"/>
      <c r="B395" s="79">
        <f>IFERROR(VLOOKUP($A:$A,CS!$A:$AK,3,FALSE),"")</f>
      </c>
      <c r="C395" s="79">
        <f>IFERROR(VLOOKUP($A:$A,CS!$A:$AK,4,FALSE),"")</f>
      </c>
      <c r="D395" s="79">
        <f>IFERROR(VLOOKUP($A:$A,CS!$A:$AK,5,FALSE),"")</f>
      </c>
      <c r="E395" s="79">
        <f>IFERROR(VLOOKUP($A:$A,CS!$A:$AK,7,FALSE),"")</f>
      </c>
      <c r="F395" s="79">
        <f>IFERROR(VLOOKUP($A:$A,CS!$A:$AK,8,FALSE),"")</f>
      </c>
      <c r="G395" s="79">
        <f>IFERROR(VLOOKUP($A:$A,CS!$A:$AK,10,FALSE),"")</f>
      </c>
      <c r="H395" s="79">
        <f>IFERROR(VLOOKUP($A:$A,CS!$A:$AK,14,FALSE),"")</f>
      </c>
      <c r="I395" s="79">
        <f>IFERROR(VLOOKUP($A:$A,CS!$A:$AK,15,FALSE),"")</f>
      </c>
      <c r="J395" s="79">
        <f>IFERROR(VLOOKUP($A:$A,CS!$A:$AK,18,FALSE),"")</f>
      </c>
      <c r="K395" s="79">
        <f>IFERROR(VLOOKUP($A:$A,CS!$A:$AK,19,FALSE),"")</f>
      </c>
      <c r="L395" s="79">
        <f>IFERROR(VLOOKUP($A:$A,CS!$A:$AK,20,FALSE),"")</f>
      </c>
      <c r="M395" s="79">
        <f>IFERROR(VLOOKUP($A:$A,CS!$A:$AK,22,FALSE),"")</f>
      </c>
      <c r="N395" s="79">
        <f>IFERROR(VLOOKUP($A:$A,CS!$A:$AK,19,FALSE),"")</f>
      </c>
      <c r="O395" s="79">
        <f>IFERROR(VLOOKUP($A:$A,CS!$A:$AK,23,FALSE),"")</f>
      </c>
      <c r="P395" s="79">
        <f>IFERROR(VLOOKUP($A:$A,CS!$A:$AK,24,FALSE),"")</f>
      </c>
      <c r="Q395" s="79">
        <f>IFERROR(VLOOKUP($A:$A,CS!$A:$AK,25,FALSE),"")</f>
      </c>
      <c r="R395" s="79">
        <f>IFERROR(VLOOKUP($A:$A,CS!$A:$AK,26,FALSE),"")</f>
      </c>
      <c r="S395" s="79">
        <f>IFERROR(VLOOKUP($A:$A,CS!$A:$AK,29,FALSE),"")</f>
      </c>
      <c r="T395" s="79">
        <f>IFERROR(VLOOKUP($A:$A,CS!$A:$AK,33,FALSE),"")</f>
      </c>
      <c r="U395" s="79">
        <f>IFERROR(VLOOKUP($A:$A,CS!$A:$AK,34,FALSE),"")</f>
      </c>
      <c r="V395" s="79">
        <f>IFERROR(VLOOKUP($A:$A,CS!$A:$AK,35,FALSE),"")</f>
      </c>
      <c r="W395" s="79">
        <f>IFERROR(VLOOKUP($A:$A,CS!$A:$AK,36,FALSE),"")</f>
      </c>
    </row>
    <row r="396" ht="16.5" customHeight="1" spans="1:23" x14ac:dyDescent="0.25">
      <c r="A396" s="93"/>
      <c r="B396" s="79">
        <f>IFERROR(VLOOKUP($A:$A,CS!$A:$AK,3,FALSE),"")</f>
      </c>
      <c r="C396" s="79">
        <f>IFERROR(VLOOKUP($A:$A,CS!$A:$AK,4,FALSE),"")</f>
      </c>
      <c r="D396" s="79">
        <f>IFERROR(VLOOKUP($A:$A,CS!$A:$AK,5,FALSE),"")</f>
      </c>
      <c r="E396" s="79">
        <f>IFERROR(VLOOKUP($A:$A,CS!$A:$AK,7,FALSE),"")</f>
      </c>
      <c r="F396" s="79">
        <f>IFERROR(VLOOKUP($A:$A,CS!$A:$AK,8,FALSE),"")</f>
      </c>
      <c r="G396" s="79">
        <f>IFERROR(VLOOKUP($A:$A,CS!$A:$AK,10,FALSE),"")</f>
      </c>
      <c r="H396" s="79">
        <f>IFERROR(VLOOKUP($A:$A,CS!$A:$AK,14,FALSE),"")</f>
      </c>
      <c r="I396" s="79">
        <f>IFERROR(VLOOKUP($A:$A,CS!$A:$AK,15,FALSE),"")</f>
      </c>
      <c r="J396" s="79">
        <f>IFERROR(VLOOKUP($A:$A,CS!$A:$AK,18,FALSE),"")</f>
      </c>
      <c r="K396" s="79">
        <f>IFERROR(VLOOKUP($A:$A,CS!$A:$AK,19,FALSE),"")</f>
      </c>
      <c r="L396" s="79">
        <f>IFERROR(VLOOKUP($A:$A,CS!$A:$AK,20,FALSE),"")</f>
      </c>
      <c r="M396" s="79">
        <f>IFERROR(VLOOKUP($A:$A,CS!$A:$AK,22,FALSE),"")</f>
      </c>
      <c r="N396" s="79">
        <f>IFERROR(VLOOKUP($A:$A,CS!$A:$AK,19,FALSE),"")</f>
      </c>
      <c r="O396" s="79">
        <f>IFERROR(VLOOKUP($A:$A,CS!$A:$AK,23,FALSE),"")</f>
      </c>
      <c r="P396" s="79">
        <f>IFERROR(VLOOKUP($A:$A,CS!$A:$AK,24,FALSE),"")</f>
      </c>
      <c r="Q396" s="79">
        <f>IFERROR(VLOOKUP($A:$A,CS!$A:$AK,25,FALSE),"")</f>
      </c>
      <c r="R396" s="79">
        <f>IFERROR(VLOOKUP($A:$A,CS!$A:$AK,26,FALSE),"")</f>
      </c>
      <c r="S396" s="79">
        <f>IFERROR(VLOOKUP($A:$A,CS!$A:$AK,29,FALSE),"")</f>
      </c>
      <c r="T396" s="79">
        <f>IFERROR(VLOOKUP($A:$A,CS!$A:$AK,33,FALSE),"")</f>
      </c>
      <c r="U396" s="79">
        <f>IFERROR(VLOOKUP($A:$A,CS!$A:$AK,34,FALSE),"")</f>
      </c>
      <c r="V396" s="79">
        <f>IFERROR(VLOOKUP($A:$A,CS!$A:$AK,35,FALSE),"")</f>
      </c>
      <c r="W396" s="79">
        <f>IFERROR(VLOOKUP($A:$A,CS!$A:$AK,36,FALSE),"")</f>
      </c>
    </row>
    <row r="397" ht="16.5" customHeight="1" spans="1:23" x14ac:dyDescent="0.25">
      <c r="A397" s="93"/>
      <c r="B397" s="79">
        <f>IFERROR(VLOOKUP($A:$A,CS!$A:$AK,3,FALSE),"")</f>
      </c>
      <c r="C397" s="79">
        <f>IFERROR(VLOOKUP($A:$A,CS!$A:$AK,4,FALSE),"")</f>
      </c>
      <c r="D397" s="79">
        <f>IFERROR(VLOOKUP($A:$A,CS!$A:$AK,5,FALSE),"")</f>
      </c>
      <c r="E397" s="79">
        <f>IFERROR(VLOOKUP($A:$A,CS!$A:$AK,7,FALSE),"")</f>
      </c>
      <c r="F397" s="79">
        <f>IFERROR(VLOOKUP($A:$A,CS!$A:$AK,8,FALSE),"")</f>
      </c>
      <c r="G397" s="79">
        <f>IFERROR(VLOOKUP($A:$A,CS!$A:$AK,10,FALSE),"")</f>
      </c>
      <c r="H397" s="79">
        <f>IFERROR(VLOOKUP($A:$A,CS!$A:$AK,14,FALSE),"")</f>
      </c>
      <c r="I397" s="79">
        <f>IFERROR(VLOOKUP($A:$A,CS!$A:$AK,15,FALSE),"")</f>
      </c>
      <c r="J397" s="79">
        <f>IFERROR(VLOOKUP($A:$A,CS!$A:$AK,18,FALSE),"")</f>
      </c>
      <c r="K397" s="79">
        <f>IFERROR(VLOOKUP($A:$A,CS!$A:$AK,19,FALSE),"")</f>
      </c>
      <c r="L397" s="79">
        <f>IFERROR(VLOOKUP($A:$A,CS!$A:$AK,20,FALSE),"")</f>
      </c>
      <c r="M397" s="79">
        <f>IFERROR(VLOOKUP($A:$A,CS!$A:$AK,22,FALSE),"")</f>
      </c>
      <c r="N397" s="79">
        <f>IFERROR(VLOOKUP($A:$A,CS!$A:$AK,19,FALSE),"")</f>
      </c>
      <c r="O397" s="79">
        <f>IFERROR(VLOOKUP($A:$A,CS!$A:$AK,23,FALSE),"")</f>
      </c>
      <c r="P397" s="79">
        <f>IFERROR(VLOOKUP($A:$A,CS!$A:$AK,24,FALSE),"")</f>
      </c>
      <c r="Q397" s="79">
        <f>IFERROR(VLOOKUP($A:$A,CS!$A:$AK,25,FALSE),"")</f>
      </c>
      <c r="R397" s="79">
        <f>IFERROR(VLOOKUP($A:$A,CS!$A:$AK,26,FALSE),"")</f>
      </c>
      <c r="S397" s="79">
        <f>IFERROR(VLOOKUP($A:$A,CS!$A:$AK,29,FALSE),"")</f>
      </c>
      <c r="T397" s="79">
        <f>IFERROR(VLOOKUP($A:$A,CS!$A:$AK,33,FALSE),"")</f>
      </c>
      <c r="U397" s="79">
        <f>IFERROR(VLOOKUP($A:$A,CS!$A:$AK,34,FALSE),"")</f>
      </c>
      <c r="V397" s="79">
        <f>IFERROR(VLOOKUP($A:$A,CS!$A:$AK,35,FALSE),"")</f>
      </c>
      <c r="W397" s="79">
        <f>IFERROR(VLOOKUP($A:$A,CS!$A:$AK,36,FALSE),"")</f>
      </c>
    </row>
    <row r="398" ht="16.5" customHeight="1" spans="1:23" x14ac:dyDescent="0.25">
      <c r="A398" s="93"/>
      <c r="B398" s="79">
        <f>IFERROR(VLOOKUP($A:$A,CS!$A:$AK,3,FALSE),"")</f>
      </c>
      <c r="C398" s="79">
        <f>IFERROR(VLOOKUP($A:$A,CS!$A:$AK,4,FALSE),"")</f>
      </c>
      <c r="D398" s="79">
        <f>IFERROR(VLOOKUP($A:$A,CS!$A:$AK,5,FALSE),"")</f>
      </c>
      <c r="E398" s="79">
        <f>IFERROR(VLOOKUP($A:$A,CS!$A:$AK,7,FALSE),"")</f>
      </c>
      <c r="F398" s="79">
        <f>IFERROR(VLOOKUP($A:$A,CS!$A:$AK,8,FALSE),"")</f>
      </c>
      <c r="G398" s="79">
        <f>IFERROR(VLOOKUP($A:$A,CS!$A:$AK,10,FALSE),"")</f>
      </c>
      <c r="H398" s="79">
        <f>IFERROR(VLOOKUP($A:$A,CS!$A:$AK,14,FALSE),"")</f>
      </c>
      <c r="I398" s="79">
        <f>IFERROR(VLOOKUP($A:$A,CS!$A:$AK,15,FALSE),"")</f>
      </c>
      <c r="J398" s="79">
        <f>IFERROR(VLOOKUP($A:$A,CS!$A:$AK,18,FALSE),"")</f>
      </c>
      <c r="K398" s="79">
        <f>IFERROR(VLOOKUP($A:$A,CS!$A:$AK,19,FALSE),"")</f>
      </c>
      <c r="L398" s="79">
        <f>IFERROR(VLOOKUP($A:$A,CS!$A:$AK,20,FALSE),"")</f>
      </c>
      <c r="M398" s="79">
        <f>IFERROR(VLOOKUP($A:$A,CS!$A:$AK,22,FALSE),"")</f>
      </c>
      <c r="N398" s="79">
        <f>IFERROR(VLOOKUP($A:$A,CS!$A:$AK,19,FALSE),"")</f>
      </c>
      <c r="O398" s="79">
        <f>IFERROR(VLOOKUP($A:$A,CS!$A:$AK,23,FALSE),"")</f>
      </c>
      <c r="P398" s="79">
        <f>IFERROR(VLOOKUP($A:$A,CS!$A:$AK,24,FALSE),"")</f>
      </c>
      <c r="Q398" s="79">
        <f>IFERROR(VLOOKUP($A:$A,CS!$A:$AK,25,FALSE),"")</f>
      </c>
      <c r="R398" s="79">
        <f>IFERROR(VLOOKUP($A:$A,CS!$A:$AK,26,FALSE),"")</f>
      </c>
      <c r="S398" s="79">
        <f>IFERROR(VLOOKUP($A:$A,CS!$A:$AK,29,FALSE),"")</f>
      </c>
      <c r="T398" s="79">
        <f>IFERROR(VLOOKUP($A:$A,CS!$A:$AK,33,FALSE),"")</f>
      </c>
      <c r="U398" s="79">
        <f>IFERROR(VLOOKUP($A:$A,CS!$A:$AK,34,FALSE),"")</f>
      </c>
      <c r="V398" s="79">
        <f>IFERROR(VLOOKUP($A:$A,CS!$A:$AK,35,FALSE),"")</f>
      </c>
      <c r="W398" s="79">
        <f>IFERROR(VLOOKUP($A:$A,CS!$A:$AK,36,FALSE),"")</f>
      </c>
    </row>
    <row r="399" ht="16.5" customHeight="1" spans="1:23" x14ac:dyDescent="0.25">
      <c r="A399" s="93"/>
      <c r="B399" s="79">
        <f>IFERROR(VLOOKUP($A:$A,CS!$A:$AK,3,FALSE),"")</f>
      </c>
      <c r="C399" s="79">
        <f>IFERROR(VLOOKUP($A:$A,CS!$A:$AK,4,FALSE),"")</f>
      </c>
      <c r="D399" s="79">
        <f>IFERROR(VLOOKUP($A:$A,CS!$A:$AK,5,FALSE),"")</f>
      </c>
      <c r="E399" s="79">
        <f>IFERROR(VLOOKUP($A:$A,CS!$A:$AK,7,FALSE),"")</f>
      </c>
      <c r="F399" s="79">
        <f>IFERROR(VLOOKUP($A:$A,CS!$A:$AK,8,FALSE),"")</f>
      </c>
      <c r="G399" s="79">
        <f>IFERROR(VLOOKUP($A:$A,CS!$A:$AK,10,FALSE),"")</f>
      </c>
      <c r="H399" s="79">
        <f>IFERROR(VLOOKUP($A:$A,CS!$A:$AK,14,FALSE),"")</f>
      </c>
      <c r="I399" s="79">
        <f>IFERROR(VLOOKUP($A:$A,CS!$A:$AK,15,FALSE),"")</f>
      </c>
      <c r="J399" s="79">
        <f>IFERROR(VLOOKUP($A:$A,CS!$A:$AK,18,FALSE),"")</f>
      </c>
      <c r="K399" s="79">
        <f>IFERROR(VLOOKUP($A:$A,CS!$A:$AK,19,FALSE),"")</f>
      </c>
      <c r="L399" s="79">
        <f>IFERROR(VLOOKUP($A:$A,CS!$A:$AK,20,FALSE),"")</f>
      </c>
      <c r="M399" s="79">
        <f>IFERROR(VLOOKUP($A:$A,CS!$A:$AK,22,FALSE),"")</f>
      </c>
      <c r="N399" s="79">
        <f>IFERROR(VLOOKUP($A:$A,CS!$A:$AK,19,FALSE),"")</f>
      </c>
      <c r="O399" s="79">
        <f>IFERROR(VLOOKUP($A:$A,CS!$A:$AK,23,FALSE),"")</f>
      </c>
      <c r="P399" s="79">
        <f>IFERROR(VLOOKUP($A:$A,CS!$A:$AK,24,FALSE),"")</f>
      </c>
      <c r="Q399" s="79">
        <f>IFERROR(VLOOKUP($A:$A,CS!$A:$AK,25,FALSE),"")</f>
      </c>
      <c r="R399" s="79">
        <f>IFERROR(VLOOKUP($A:$A,CS!$A:$AK,26,FALSE),"")</f>
      </c>
      <c r="S399" s="79">
        <f>IFERROR(VLOOKUP($A:$A,CS!$A:$AK,29,FALSE),"")</f>
      </c>
      <c r="T399" s="79">
        <f>IFERROR(VLOOKUP($A:$A,CS!$A:$AK,33,FALSE),"")</f>
      </c>
      <c r="U399" s="79">
        <f>IFERROR(VLOOKUP($A:$A,CS!$A:$AK,34,FALSE),"")</f>
      </c>
      <c r="V399" s="79">
        <f>IFERROR(VLOOKUP($A:$A,CS!$A:$AK,35,FALSE),"")</f>
      </c>
      <c r="W399" s="79">
        <f>IFERROR(VLOOKUP($A:$A,CS!$A:$AK,36,FALSE),"")</f>
      </c>
    </row>
    <row r="400" ht="16.5" customHeight="1" spans="1:23" x14ac:dyDescent="0.25">
      <c r="A400" s="93"/>
      <c r="B400" s="79">
        <f>IFERROR(VLOOKUP($A:$A,CS!$A:$AK,3,FALSE),"")</f>
      </c>
      <c r="C400" s="79">
        <f>IFERROR(VLOOKUP($A:$A,CS!$A:$AK,4,FALSE),"")</f>
      </c>
      <c r="D400" s="79">
        <f>IFERROR(VLOOKUP($A:$A,CS!$A:$AK,5,FALSE),"")</f>
      </c>
      <c r="E400" s="79">
        <f>IFERROR(VLOOKUP($A:$A,CS!$A:$AK,7,FALSE),"")</f>
      </c>
      <c r="F400" s="79">
        <f>IFERROR(VLOOKUP($A:$A,CS!$A:$AK,8,FALSE),"")</f>
      </c>
      <c r="G400" s="79">
        <f>IFERROR(VLOOKUP($A:$A,CS!$A:$AK,10,FALSE),"")</f>
      </c>
      <c r="H400" s="79">
        <f>IFERROR(VLOOKUP($A:$A,CS!$A:$AK,14,FALSE),"")</f>
      </c>
      <c r="I400" s="79">
        <f>IFERROR(VLOOKUP($A:$A,CS!$A:$AK,15,FALSE),"")</f>
      </c>
      <c r="J400" s="79">
        <f>IFERROR(VLOOKUP($A:$A,CS!$A:$AK,18,FALSE),"")</f>
      </c>
      <c r="K400" s="79">
        <f>IFERROR(VLOOKUP($A:$A,CS!$A:$AK,19,FALSE),"")</f>
      </c>
      <c r="L400" s="79">
        <f>IFERROR(VLOOKUP($A:$A,CS!$A:$AK,20,FALSE),"")</f>
      </c>
      <c r="M400" s="79">
        <f>IFERROR(VLOOKUP($A:$A,CS!$A:$AK,22,FALSE),"")</f>
      </c>
      <c r="N400" s="79">
        <f>IFERROR(VLOOKUP($A:$A,CS!$A:$AK,19,FALSE),"")</f>
      </c>
      <c r="O400" s="79">
        <f>IFERROR(VLOOKUP($A:$A,CS!$A:$AK,23,FALSE),"")</f>
      </c>
      <c r="P400" s="79">
        <f>IFERROR(VLOOKUP($A:$A,CS!$A:$AK,24,FALSE),"")</f>
      </c>
      <c r="Q400" s="79">
        <f>IFERROR(VLOOKUP($A:$A,CS!$A:$AK,25,FALSE),"")</f>
      </c>
      <c r="R400" s="79">
        <f>IFERROR(VLOOKUP($A:$A,CS!$A:$AK,26,FALSE),"")</f>
      </c>
      <c r="S400" s="79">
        <f>IFERROR(VLOOKUP($A:$A,CS!$A:$AK,29,FALSE),"")</f>
      </c>
      <c r="T400" s="79">
        <f>IFERROR(VLOOKUP($A:$A,CS!$A:$AK,33,FALSE),"")</f>
      </c>
      <c r="U400" s="79">
        <f>IFERROR(VLOOKUP($A:$A,CS!$A:$AK,34,FALSE),"")</f>
      </c>
      <c r="V400" s="79">
        <f>IFERROR(VLOOKUP($A:$A,CS!$A:$AK,35,FALSE),"")</f>
      </c>
      <c r="W400" s="79">
        <f>IFERROR(VLOOKUP($A:$A,CS!$A:$AK,36,FALSE),"")</f>
      </c>
    </row>
    <row r="401" ht="16.5" customHeight="1" spans="1:23" x14ac:dyDescent="0.25">
      <c r="A401" s="93"/>
      <c r="B401" s="79">
        <f>IFERROR(VLOOKUP($A:$A,CS!$A:$AK,3,FALSE),"")</f>
      </c>
      <c r="C401" s="79">
        <f>IFERROR(VLOOKUP($A:$A,CS!$A:$AK,4,FALSE),"")</f>
      </c>
      <c r="D401" s="79">
        <f>IFERROR(VLOOKUP($A:$A,CS!$A:$AK,5,FALSE),"")</f>
      </c>
      <c r="E401" s="79">
        <f>IFERROR(VLOOKUP($A:$A,CS!$A:$AK,7,FALSE),"")</f>
      </c>
      <c r="F401" s="79">
        <f>IFERROR(VLOOKUP($A:$A,CS!$A:$AK,8,FALSE),"")</f>
      </c>
      <c r="G401" s="79">
        <f>IFERROR(VLOOKUP($A:$A,CS!$A:$AK,10,FALSE),"")</f>
      </c>
      <c r="H401" s="79">
        <f>IFERROR(VLOOKUP($A:$A,CS!$A:$AK,14,FALSE),"")</f>
      </c>
      <c r="I401" s="79">
        <f>IFERROR(VLOOKUP($A:$A,CS!$A:$AK,15,FALSE),"")</f>
      </c>
      <c r="J401" s="79">
        <f>IFERROR(VLOOKUP($A:$A,CS!$A:$AK,18,FALSE),"")</f>
      </c>
      <c r="K401" s="79">
        <f>IFERROR(VLOOKUP($A:$A,CS!$A:$AK,19,FALSE),"")</f>
      </c>
      <c r="L401" s="79">
        <f>IFERROR(VLOOKUP($A:$A,CS!$A:$AK,20,FALSE),"")</f>
      </c>
      <c r="M401" s="79">
        <f>IFERROR(VLOOKUP($A:$A,CS!$A:$AK,22,FALSE),"")</f>
      </c>
      <c r="N401" s="79">
        <f>IFERROR(VLOOKUP($A:$A,CS!$A:$AK,19,FALSE),"")</f>
      </c>
      <c r="O401" s="79">
        <f>IFERROR(VLOOKUP($A:$A,CS!$A:$AK,23,FALSE),"")</f>
      </c>
      <c r="P401" s="79">
        <f>IFERROR(VLOOKUP($A:$A,CS!$A:$AK,24,FALSE),"")</f>
      </c>
      <c r="Q401" s="79">
        <f>IFERROR(VLOOKUP($A:$A,CS!$A:$AK,25,FALSE),"")</f>
      </c>
      <c r="R401" s="79">
        <f>IFERROR(VLOOKUP($A:$A,CS!$A:$AK,26,FALSE),"")</f>
      </c>
      <c r="S401" s="79">
        <f>IFERROR(VLOOKUP($A:$A,CS!$A:$AK,29,FALSE),"")</f>
      </c>
      <c r="T401" s="79">
        <f>IFERROR(VLOOKUP($A:$A,CS!$A:$AK,33,FALSE),"")</f>
      </c>
      <c r="U401" s="79">
        <f>IFERROR(VLOOKUP($A:$A,CS!$A:$AK,34,FALSE),"")</f>
      </c>
      <c r="V401" s="79">
        <f>IFERROR(VLOOKUP($A:$A,CS!$A:$AK,35,FALSE),"")</f>
      </c>
      <c r="W401" s="79">
        <f>IFERROR(VLOOKUP($A:$A,CS!$A:$AK,36,FALSE),"")</f>
      </c>
    </row>
    <row r="402" ht="16.5" customHeight="1" spans="1:23" x14ac:dyDescent="0.25">
      <c r="A402" s="93"/>
      <c r="B402" s="79">
        <f>IFERROR(VLOOKUP($A:$A,CS!$A:$AK,3,FALSE),"")</f>
      </c>
      <c r="C402" s="79">
        <f>IFERROR(VLOOKUP($A:$A,CS!$A:$AK,4,FALSE),"")</f>
      </c>
      <c r="D402" s="79">
        <f>IFERROR(VLOOKUP($A:$A,CS!$A:$AK,5,FALSE),"")</f>
      </c>
      <c r="E402" s="79">
        <f>IFERROR(VLOOKUP($A:$A,CS!$A:$AK,7,FALSE),"")</f>
      </c>
      <c r="F402" s="79">
        <f>IFERROR(VLOOKUP($A:$A,CS!$A:$AK,8,FALSE),"")</f>
      </c>
      <c r="G402" s="79">
        <f>IFERROR(VLOOKUP($A:$A,CS!$A:$AK,10,FALSE),"")</f>
      </c>
      <c r="H402" s="79">
        <f>IFERROR(VLOOKUP($A:$A,CS!$A:$AK,14,FALSE),"")</f>
      </c>
      <c r="I402" s="79">
        <f>IFERROR(VLOOKUP($A:$A,CS!$A:$AK,15,FALSE),"")</f>
      </c>
      <c r="J402" s="79">
        <f>IFERROR(VLOOKUP($A:$A,CS!$A:$AK,18,FALSE),"")</f>
      </c>
      <c r="K402" s="79">
        <f>IFERROR(VLOOKUP($A:$A,CS!$A:$AK,19,FALSE),"")</f>
      </c>
      <c r="L402" s="79">
        <f>IFERROR(VLOOKUP($A:$A,CS!$A:$AK,20,FALSE),"")</f>
      </c>
      <c r="M402" s="79">
        <f>IFERROR(VLOOKUP($A:$A,CS!$A:$AK,22,FALSE),"")</f>
      </c>
      <c r="N402" s="79">
        <f>IFERROR(VLOOKUP($A:$A,CS!$A:$AK,19,FALSE),"")</f>
      </c>
      <c r="O402" s="79">
        <f>IFERROR(VLOOKUP($A:$A,CS!$A:$AK,23,FALSE),"")</f>
      </c>
      <c r="P402" s="79">
        <f>IFERROR(VLOOKUP($A:$A,CS!$A:$AK,24,FALSE),"")</f>
      </c>
      <c r="Q402" s="79">
        <f>IFERROR(VLOOKUP($A:$A,CS!$A:$AK,25,FALSE),"")</f>
      </c>
      <c r="R402" s="79">
        <f>IFERROR(VLOOKUP($A:$A,CS!$A:$AK,26,FALSE),"")</f>
      </c>
      <c r="S402" s="79">
        <f>IFERROR(VLOOKUP($A:$A,CS!$A:$AK,29,FALSE),"")</f>
      </c>
      <c r="T402" s="79">
        <f>IFERROR(VLOOKUP($A:$A,CS!$A:$AK,33,FALSE),"")</f>
      </c>
      <c r="U402" s="79">
        <f>IFERROR(VLOOKUP($A:$A,CS!$A:$AK,34,FALSE),"")</f>
      </c>
      <c r="V402" s="79">
        <f>IFERROR(VLOOKUP($A:$A,CS!$A:$AK,35,FALSE),"")</f>
      </c>
      <c r="W402" s="79">
        <f>IFERROR(VLOOKUP($A:$A,CS!$A:$AK,36,FALSE),"")</f>
      </c>
    </row>
    <row r="403" ht="16.5" customHeight="1" spans="1:23" x14ac:dyDescent="0.25">
      <c r="A403" s="93"/>
      <c r="B403" s="79">
        <f>IFERROR(VLOOKUP($A:$A,CS!$A:$AK,3,FALSE),"")</f>
      </c>
      <c r="C403" s="79">
        <f>IFERROR(VLOOKUP($A:$A,CS!$A:$AK,4,FALSE),"")</f>
      </c>
      <c r="D403" s="79">
        <f>IFERROR(VLOOKUP($A:$A,CS!$A:$AK,5,FALSE),"")</f>
      </c>
      <c r="E403" s="79">
        <f>IFERROR(VLOOKUP($A:$A,CS!$A:$AK,7,FALSE),"")</f>
      </c>
      <c r="F403" s="79">
        <f>IFERROR(VLOOKUP($A:$A,CS!$A:$AK,8,FALSE),"")</f>
      </c>
      <c r="G403" s="79">
        <f>IFERROR(VLOOKUP($A:$A,CS!$A:$AK,10,FALSE),"")</f>
      </c>
      <c r="H403" s="79">
        <f>IFERROR(VLOOKUP($A:$A,CS!$A:$AK,14,FALSE),"")</f>
      </c>
      <c r="I403" s="79">
        <f>IFERROR(VLOOKUP($A:$A,CS!$A:$AK,15,FALSE),"")</f>
      </c>
      <c r="J403" s="79">
        <f>IFERROR(VLOOKUP($A:$A,CS!$A:$AK,18,FALSE),"")</f>
      </c>
      <c r="K403" s="79">
        <f>IFERROR(VLOOKUP($A:$A,CS!$A:$AK,19,FALSE),"")</f>
      </c>
      <c r="L403" s="79">
        <f>IFERROR(VLOOKUP($A:$A,CS!$A:$AK,20,FALSE),"")</f>
      </c>
      <c r="M403" s="79">
        <f>IFERROR(VLOOKUP($A:$A,CS!$A:$AK,22,FALSE),"")</f>
      </c>
      <c r="N403" s="79">
        <f>IFERROR(VLOOKUP($A:$A,CS!$A:$AK,19,FALSE),"")</f>
      </c>
      <c r="O403" s="79">
        <f>IFERROR(VLOOKUP($A:$A,CS!$A:$AK,23,FALSE),"")</f>
      </c>
      <c r="P403" s="79">
        <f>IFERROR(VLOOKUP($A:$A,CS!$A:$AK,24,FALSE),"")</f>
      </c>
      <c r="Q403" s="79">
        <f>IFERROR(VLOOKUP($A:$A,CS!$A:$AK,25,FALSE),"")</f>
      </c>
      <c r="R403" s="79">
        <f>IFERROR(VLOOKUP($A:$A,CS!$A:$AK,26,FALSE),"")</f>
      </c>
      <c r="S403" s="79">
        <f>IFERROR(VLOOKUP($A:$A,CS!$A:$AK,29,FALSE),"")</f>
      </c>
      <c r="T403" s="79">
        <f>IFERROR(VLOOKUP($A:$A,CS!$A:$AK,33,FALSE),"")</f>
      </c>
      <c r="U403" s="79">
        <f>IFERROR(VLOOKUP($A:$A,CS!$A:$AK,34,FALSE),"")</f>
      </c>
      <c r="V403" s="79">
        <f>IFERROR(VLOOKUP($A:$A,CS!$A:$AK,35,FALSE),"")</f>
      </c>
      <c r="W403" s="79">
        <f>IFERROR(VLOOKUP($A:$A,CS!$A:$AK,36,FALSE),"")</f>
      </c>
    </row>
    <row r="404" ht="16.5" customHeight="1" spans="1:23" x14ac:dyDescent="0.25">
      <c r="A404" s="93"/>
      <c r="B404" s="79">
        <f>IFERROR(VLOOKUP($A:$A,CS!$A:$AK,3,FALSE),"")</f>
      </c>
      <c r="C404" s="79">
        <f>IFERROR(VLOOKUP($A:$A,CS!$A:$AK,4,FALSE),"")</f>
      </c>
      <c r="D404" s="79">
        <f>IFERROR(VLOOKUP($A:$A,CS!$A:$AK,5,FALSE),"")</f>
      </c>
      <c r="E404" s="79">
        <f>IFERROR(VLOOKUP($A:$A,CS!$A:$AK,7,FALSE),"")</f>
      </c>
      <c r="F404" s="79">
        <f>IFERROR(VLOOKUP($A:$A,CS!$A:$AK,8,FALSE),"")</f>
      </c>
      <c r="G404" s="79">
        <f>IFERROR(VLOOKUP($A:$A,CS!$A:$AK,10,FALSE),"")</f>
      </c>
      <c r="H404" s="79">
        <f>IFERROR(VLOOKUP($A:$A,CS!$A:$AK,14,FALSE),"")</f>
      </c>
      <c r="I404" s="79">
        <f>IFERROR(VLOOKUP($A:$A,CS!$A:$AK,15,FALSE),"")</f>
      </c>
      <c r="J404" s="79">
        <f>IFERROR(VLOOKUP($A:$A,CS!$A:$AK,18,FALSE),"")</f>
      </c>
      <c r="K404" s="79">
        <f>IFERROR(VLOOKUP($A:$A,CS!$A:$AK,19,FALSE),"")</f>
      </c>
      <c r="L404" s="79">
        <f>IFERROR(VLOOKUP($A:$A,CS!$A:$AK,20,FALSE),"")</f>
      </c>
      <c r="M404" s="79">
        <f>IFERROR(VLOOKUP($A:$A,CS!$A:$AK,22,FALSE),"")</f>
      </c>
      <c r="N404" s="79">
        <f>IFERROR(VLOOKUP($A:$A,CS!$A:$AK,19,FALSE),"")</f>
      </c>
      <c r="O404" s="79">
        <f>IFERROR(VLOOKUP($A:$A,CS!$A:$AK,23,FALSE),"")</f>
      </c>
      <c r="P404" s="79">
        <f>IFERROR(VLOOKUP($A:$A,CS!$A:$AK,24,FALSE),"")</f>
      </c>
      <c r="Q404" s="79">
        <f>IFERROR(VLOOKUP($A:$A,CS!$A:$AK,25,FALSE),"")</f>
      </c>
      <c r="R404" s="79">
        <f>IFERROR(VLOOKUP($A:$A,CS!$A:$AK,26,FALSE),"")</f>
      </c>
      <c r="S404" s="79">
        <f>IFERROR(VLOOKUP($A:$A,CS!$A:$AK,29,FALSE),"")</f>
      </c>
      <c r="T404" s="79">
        <f>IFERROR(VLOOKUP($A:$A,CS!$A:$AK,33,FALSE),"")</f>
      </c>
      <c r="U404" s="79">
        <f>IFERROR(VLOOKUP($A:$A,CS!$A:$AK,34,FALSE),"")</f>
      </c>
      <c r="V404" s="79">
        <f>IFERROR(VLOOKUP($A:$A,CS!$A:$AK,35,FALSE),"")</f>
      </c>
      <c r="W404" s="79">
        <f>IFERROR(VLOOKUP($A:$A,CS!$A:$AK,36,FALSE),"")</f>
      </c>
    </row>
    <row r="405" ht="16.5" customHeight="1" spans="1:23" x14ac:dyDescent="0.25">
      <c r="A405" s="93"/>
      <c r="B405" s="79">
        <f>IFERROR(VLOOKUP($A:$A,CS!$A:$AK,3,FALSE),"")</f>
      </c>
      <c r="C405" s="79">
        <f>IFERROR(VLOOKUP($A:$A,CS!$A:$AK,4,FALSE),"")</f>
      </c>
      <c r="D405" s="79">
        <f>IFERROR(VLOOKUP($A:$A,CS!$A:$AK,5,FALSE),"")</f>
      </c>
      <c r="E405" s="79">
        <f>IFERROR(VLOOKUP($A:$A,CS!$A:$AK,7,FALSE),"")</f>
      </c>
      <c r="F405" s="79">
        <f>IFERROR(VLOOKUP($A:$A,CS!$A:$AK,8,FALSE),"")</f>
      </c>
      <c r="G405" s="79">
        <f>IFERROR(VLOOKUP($A:$A,CS!$A:$AK,10,FALSE),"")</f>
      </c>
      <c r="H405" s="79">
        <f>IFERROR(VLOOKUP($A:$A,CS!$A:$AK,14,FALSE),"")</f>
      </c>
      <c r="I405" s="79">
        <f>IFERROR(VLOOKUP($A:$A,CS!$A:$AK,15,FALSE),"")</f>
      </c>
      <c r="J405" s="79">
        <f>IFERROR(VLOOKUP($A:$A,CS!$A:$AK,18,FALSE),"")</f>
      </c>
      <c r="K405" s="79">
        <f>IFERROR(VLOOKUP($A:$A,CS!$A:$AK,19,FALSE),"")</f>
      </c>
      <c r="L405" s="79">
        <f>IFERROR(VLOOKUP($A:$A,CS!$A:$AK,20,FALSE),"")</f>
      </c>
      <c r="M405" s="79">
        <f>IFERROR(VLOOKUP($A:$A,CS!$A:$AK,22,FALSE),"")</f>
      </c>
      <c r="N405" s="79">
        <f>IFERROR(VLOOKUP($A:$A,CS!$A:$AK,19,FALSE),"")</f>
      </c>
      <c r="O405" s="79">
        <f>IFERROR(VLOOKUP($A:$A,CS!$A:$AK,23,FALSE),"")</f>
      </c>
      <c r="P405" s="79">
        <f>IFERROR(VLOOKUP($A:$A,CS!$A:$AK,24,FALSE),"")</f>
      </c>
      <c r="Q405" s="79">
        <f>IFERROR(VLOOKUP($A:$A,CS!$A:$AK,25,FALSE),"")</f>
      </c>
      <c r="R405" s="79">
        <f>IFERROR(VLOOKUP($A:$A,CS!$A:$AK,26,FALSE),"")</f>
      </c>
      <c r="S405" s="79">
        <f>IFERROR(VLOOKUP($A:$A,CS!$A:$AK,29,FALSE),"")</f>
      </c>
      <c r="T405" s="79">
        <f>IFERROR(VLOOKUP($A:$A,CS!$A:$AK,33,FALSE),"")</f>
      </c>
      <c r="U405" s="79">
        <f>IFERROR(VLOOKUP($A:$A,CS!$A:$AK,34,FALSE),"")</f>
      </c>
      <c r="V405" s="79">
        <f>IFERROR(VLOOKUP($A:$A,CS!$A:$AK,35,FALSE),"")</f>
      </c>
      <c r="W405" s="79">
        <f>IFERROR(VLOOKUP($A:$A,CS!$A:$AK,36,FALSE),"")</f>
      </c>
    </row>
    <row r="406" ht="16.5" customHeight="1" spans="1:23" x14ac:dyDescent="0.25">
      <c r="A406" s="93"/>
      <c r="B406" s="79">
        <f>IFERROR(VLOOKUP($A:$A,CS!$A:$AK,3,FALSE),"")</f>
      </c>
      <c r="C406" s="79">
        <f>IFERROR(VLOOKUP($A:$A,CS!$A:$AK,4,FALSE),"")</f>
      </c>
      <c r="D406" s="79">
        <f>IFERROR(VLOOKUP($A:$A,CS!$A:$AK,5,FALSE),"")</f>
      </c>
      <c r="E406" s="79">
        <f>IFERROR(VLOOKUP($A:$A,CS!$A:$AK,7,FALSE),"")</f>
      </c>
      <c r="F406" s="79">
        <f>IFERROR(VLOOKUP($A:$A,CS!$A:$AK,8,FALSE),"")</f>
      </c>
      <c r="G406" s="79">
        <f>IFERROR(VLOOKUP($A:$A,CS!$A:$AK,10,FALSE),"")</f>
      </c>
      <c r="H406" s="79">
        <f>IFERROR(VLOOKUP($A:$A,CS!$A:$AK,14,FALSE),"")</f>
      </c>
      <c r="I406" s="79">
        <f>IFERROR(VLOOKUP($A:$A,CS!$A:$AK,15,FALSE),"")</f>
      </c>
      <c r="J406" s="79">
        <f>IFERROR(VLOOKUP($A:$A,CS!$A:$AK,18,FALSE),"")</f>
      </c>
      <c r="K406" s="79">
        <f>IFERROR(VLOOKUP($A:$A,CS!$A:$AK,19,FALSE),"")</f>
      </c>
      <c r="L406" s="79">
        <f>IFERROR(VLOOKUP($A:$A,CS!$A:$AK,20,FALSE),"")</f>
      </c>
      <c r="M406" s="79">
        <f>IFERROR(VLOOKUP($A:$A,CS!$A:$AK,22,FALSE),"")</f>
      </c>
      <c r="N406" s="79">
        <f>IFERROR(VLOOKUP($A:$A,CS!$A:$AK,19,FALSE),"")</f>
      </c>
      <c r="O406" s="79">
        <f>IFERROR(VLOOKUP($A:$A,CS!$A:$AK,23,FALSE),"")</f>
      </c>
      <c r="P406" s="79">
        <f>IFERROR(VLOOKUP($A:$A,CS!$A:$AK,24,FALSE),"")</f>
      </c>
      <c r="Q406" s="79">
        <f>IFERROR(VLOOKUP($A:$A,CS!$A:$AK,25,FALSE),"")</f>
      </c>
      <c r="R406" s="79">
        <f>IFERROR(VLOOKUP($A:$A,CS!$A:$AK,26,FALSE),"")</f>
      </c>
      <c r="S406" s="79">
        <f>IFERROR(VLOOKUP($A:$A,CS!$A:$AK,29,FALSE),"")</f>
      </c>
      <c r="T406" s="79">
        <f>IFERROR(VLOOKUP($A:$A,CS!$A:$AK,33,FALSE),"")</f>
      </c>
      <c r="U406" s="79">
        <f>IFERROR(VLOOKUP($A:$A,CS!$A:$AK,34,FALSE),"")</f>
      </c>
      <c r="V406" s="79">
        <f>IFERROR(VLOOKUP($A:$A,CS!$A:$AK,35,FALSE),"")</f>
      </c>
      <c r="W406" s="79">
        <f>IFERROR(VLOOKUP($A:$A,CS!$A:$AK,36,FALSE),"")</f>
      </c>
    </row>
    <row r="407" ht="16.5" customHeight="1" spans="1:23" x14ac:dyDescent="0.25">
      <c r="A407" s="93"/>
      <c r="B407" s="79">
        <f>IFERROR(VLOOKUP($A:$A,CS!$A:$AK,3,FALSE),"")</f>
      </c>
      <c r="C407" s="79">
        <f>IFERROR(VLOOKUP($A:$A,CS!$A:$AK,4,FALSE),"")</f>
      </c>
      <c r="D407" s="79">
        <f>IFERROR(VLOOKUP($A:$A,CS!$A:$AK,5,FALSE),"")</f>
      </c>
      <c r="E407" s="79">
        <f>IFERROR(VLOOKUP($A:$A,CS!$A:$AK,7,FALSE),"")</f>
      </c>
      <c r="F407" s="79">
        <f>IFERROR(VLOOKUP($A:$A,CS!$A:$AK,8,FALSE),"")</f>
      </c>
      <c r="G407" s="79">
        <f>IFERROR(VLOOKUP($A:$A,CS!$A:$AK,10,FALSE),"")</f>
      </c>
      <c r="H407" s="79">
        <f>IFERROR(VLOOKUP($A:$A,CS!$A:$AK,14,FALSE),"")</f>
      </c>
      <c r="I407" s="79">
        <f>IFERROR(VLOOKUP($A:$A,CS!$A:$AK,15,FALSE),"")</f>
      </c>
      <c r="J407" s="79">
        <f>IFERROR(VLOOKUP($A:$A,CS!$A:$AK,18,FALSE),"")</f>
      </c>
      <c r="K407" s="79">
        <f>IFERROR(VLOOKUP($A:$A,CS!$A:$AK,19,FALSE),"")</f>
      </c>
      <c r="L407" s="79">
        <f>IFERROR(VLOOKUP($A:$A,CS!$A:$AK,20,FALSE),"")</f>
      </c>
      <c r="M407" s="79">
        <f>IFERROR(VLOOKUP($A:$A,CS!$A:$AK,22,FALSE),"")</f>
      </c>
      <c r="N407" s="79">
        <f>IFERROR(VLOOKUP($A:$A,CS!$A:$AK,19,FALSE),"")</f>
      </c>
      <c r="O407" s="79">
        <f>IFERROR(VLOOKUP($A:$A,CS!$A:$AK,23,FALSE),"")</f>
      </c>
      <c r="P407" s="79">
        <f>IFERROR(VLOOKUP($A:$A,CS!$A:$AK,24,FALSE),"")</f>
      </c>
      <c r="Q407" s="79">
        <f>IFERROR(VLOOKUP($A:$A,CS!$A:$AK,25,FALSE),"")</f>
      </c>
      <c r="R407" s="79">
        <f>IFERROR(VLOOKUP($A:$A,CS!$A:$AK,26,FALSE),"")</f>
      </c>
      <c r="S407" s="79">
        <f>IFERROR(VLOOKUP($A:$A,CS!$A:$AK,29,FALSE),"")</f>
      </c>
      <c r="T407" s="79">
        <f>IFERROR(VLOOKUP($A:$A,CS!$A:$AK,33,FALSE),"")</f>
      </c>
      <c r="U407" s="79">
        <f>IFERROR(VLOOKUP($A:$A,CS!$A:$AK,34,FALSE),"")</f>
      </c>
      <c r="V407" s="79">
        <f>IFERROR(VLOOKUP($A:$A,CS!$A:$AK,35,FALSE),"")</f>
      </c>
      <c r="W407" s="79">
        <f>IFERROR(VLOOKUP($A:$A,CS!$A:$AK,36,FALSE),"")</f>
      </c>
    </row>
    <row r="408" ht="16.5" customHeight="1" spans="1:23" x14ac:dyDescent="0.25">
      <c r="A408" s="93"/>
      <c r="B408" s="79">
        <f>IFERROR(VLOOKUP($A:$A,CS!$A:$AK,3,FALSE),"")</f>
      </c>
      <c r="C408" s="79">
        <f>IFERROR(VLOOKUP($A:$A,CS!$A:$AK,4,FALSE),"")</f>
      </c>
      <c r="D408" s="79">
        <f>IFERROR(VLOOKUP($A:$A,CS!$A:$AK,5,FALSE),"")</f>
      </c>
      <c r="E408" s="79">
        <f>IFERROR(VLOOKUP($A:$A,CS!$A:$AK,7,FALSE),"")</f>
      </c>
      <c r="F408" s="79">
        <f>IFERROR(VLOOKUP($A:$A,CS!$A:$AK,8,FALSE),"")</f>
      </c>
      <c r="G408" s="79">
        <f>IFERROR(VLOOKUP($A:$A,CS!$A:$AK,10,FALSE),"")</f>
      </c>
      <c r="H408" s="79">
        <f>IFERROR(VLOOKUP($A:$A,CS!$A:$AK,14,FALSE),"")</f>
      </c>
      <c r="I408" s="79">
        <f>IFERROR(VLOOKUP($A:$A,CS!$A:$AK,15,FALSE),"")</f>
      </c>
      <c r="J408" s="79">
        <f>IFERROR(VLOOKUP($A:$A,CS!$A:$AK,18,FALSE),"")</f>
      </c>
      <c r="K408" s="79">
        <f>IFERROR(VLOOKUP($A:$A,CS!$A:$AK,19,FALSE),"")</f>
      </c>
      <c r="L408" s="79">
        <f>IFERROR(VLOOKUP($A:$A,CS!$A:$AK,20,FALSE),"")</f>
      </c>
      <c r="M408" s="79">
        <f>IFERROR(VLOOKUP($A:$A,CS!$A:$AK,22,FALSE),"")</f>
      </c>
      <c r="N408" s="79">
        <f>IFERROR(VLOOKUP($A:$A,CS!$A:$AK,19,FALSE),"")</f>
      </c>
      <c r="O408" s="79">
        <f>IFERROR(VLOOKUP($A:$A,CS!$A:$AK,23,FALSE),"")</f>
      </c>
      <c r="P408" s="79">
        <f>IFERROR(VLOOKUP($A:$A,CS!$A:$AK,24,FALSE),"")</f>
      </c>
      <c r="Q408" s="79">
        <f>IFERROR(VLOOKUP($A:$A,CS!$A:$AK,25,FALSE),"")</f>
      </c>
      <c r="R408" s="79">
        <f>IFERROR(VLOOKUP($A:$A,CS!$A:$AK,26,FALSE),"")</f>
      </c>
      <c r="S408" s="79">
        <f>IFERROR(VLOOKUP($A:$A,CS!$A:$AK,29,FALSE),"")</f>
      </c>
      <c r="T408" s="79">
        <f>IFERROR(VLOOKUP($A:$A,CS!$A:$AK,33,FALSE),"")</f>
      </c>
      <c r="U408" s="79">
        <f>IFERROR(VLOOKUP($A:$A,CS!$A:$AK,34,FALSE),"")</f>
      </c>
      <c r="V408" s="79">
        <f>IFERROR(VLOOKUP($A:$A,CS!$A:$AK,35,FALSE),"")</f>
      </c>
      <c r="W408" s="79">
        <f>IFERROR(VLOOKUP($A:$A,CS!$A:$AK,36,FALSE),"")</f>
      </c>
    </row>
    <row r="409" ht="16.5" customHeight="1" spans="1:23" x14ac:dyDescent="0.25">
      <c r="A409" s="93"/>
      <c r="B409" s="79">
        <f>IFERROR(VLOOKUP($A:$A,CS!$A:$AK,3,FALSE),"")</f>
      </c>
      <c r="C409" s="79">
        <f>IFERROR(VLOOKUP($A:$A,CS!$A:$AK,4,FALSE),"")</f>
      </c>
      <c r="D409" s="79">
        <f>IFERROR(VLOOKUP($A:$A,CS!$A:$AK,5,FALSE),"")</f>
      </c>
      <c r="E409" s="79">
        <f>IFERROR(VLOOKUP($A:$A,CS!$A:$AK,7,FALSE),"")</f>
      </c>
      <c r="F409" s="79">
        <f>IFERROR(VLOOKUP($A:$A,CS!$A:$AK,8,FALSE),"")</f>
      </c>
      <c r="G409" s="79">
        <f>IFERROR(VLOOKUP($A:$A,CS!$A:$AK,10,FALSE),"")</f>
      </c>
      <c r="H409" s="79">
        <f>IFERROR(VLOOKUP($A:$A,CS!$A:$AK,14,FALSE),"")</f>
      </c>
      <c r="I409" s="79">
        <f>IFERROR(VLOOKUP($A:$A,CS!$A:$AK,15,FALSE),"")</f>
      </c>
      <c r="J409" s="79">
        <f>IFERROR(VLOOKUP($A:$A,CS!$A:$AK,18,FALSE),"")</f>
      </c>
      <c r="K409" s="79">
        <f>IFERROR(VLOOKUP($A:$A,CS!$A:$AK,19,FALSE),"")</f>
      </c>
      <c r="L409" s="79">
        <f>IFERROR(VLOOKUP($A:$A,CS!$A:$AK,20,FALSE),"")</f>
      </c>
      <c r="M409" s="79">
        <f>IFERROR(VLOOKUP($A:$A,CS!$A:$AK,22,FALSE),"")</f>
      </c>
      <c r="N409" s="79">
        <f>IFERROR(VLOOKUP($A:$A,CS!$A:$AK,19,FALSE),"")</f>
      </c>
      <c r="O409" s="79">
        <f>IFERROR(VLOOKUP($A:$A,CS!$A:$AK,23,FALSE),"")</f>
      </c>
      <c r="P409" s="79">
        <f>IFERROR(VLOOKUP($A:$A,CS!$A:$AK,24,FALSE),"")</f>
      </c>
      <c r="Q409" s="79">
        <f>IFERROR(VLOOKUP($A:$A,CS!$A:$AK,25,FALSE),"")</f>
      </c>
      <c r="R409" s="79">
        <f>IFERROR(VLOOKUP($A:$A,CS!$A:$AK,26,FALSE),"")</f>
      </c>
      <c r="S409" s="79">
        <f>IFERROR(VLOOKUP($A:$A,CS!$A:$AK,29,FALSE),"")</f>
      </c>
      <c r="T409" s="79">
        <f>IFERROR(VLOOKUP($A:$A,CS!$A:$AK,33,FALSE),"")</f>
      </c>
      <c r="U409" s="79">
        <f>IFERROR(VLOOKUP($A:$A,CS!$A:$AK,34,FALSE),"")</f>
      </c>
      <c r="V409" s="79">
        <f>IFERROR(VLOOKUP($A:$A,CS!$A:$AK,35,FALSE),"")</f>
      </c>
      <c r="W409" s="79">
        <f>IFERROR(VLOOKUP($A:$A,CS!$A:$AK,36,FALSE),"")</f>
      </c>
    </row>
    <row r="410" ht="16.5" customHeight="1" spans="1:23" x14ac:dyDescent="0.25">
      <c r="A410" s="93"/>
      <c r="B410" s="79">
        <f>IFERROR(VLOOKUP($A:$A,CS!$A:$AK,3,FALSE),"")</f>
      </c>
      <c r="C410" s="79">
        <f>IFERROR(VLOOKUP($A:$A,CS!$A:$AK,4,FALSE),"")</f>
      </c>
      <c r="D410" s="79">
        <f>IFERROR(VLOOKUP($A:$A,CS!$A:$AK,5,FALSE),"")</f>
      </c>
      <c r="E410" s="79">
        <f>IFERROR(VLOOKUP($A:$A,CS!$A:$AK,7,FALSE),"")</f>
      </c>
      <c r="F410" s="79">
        <f>IFERROR(VLOOKUP($A:$A,CS!$A:$AK,8,FALSE),"")</f>
      </c>
      <c r="G410" s="79">
        <f>IFERROR(VLOOKUP($A:$A,CS!$A:$AK,10,FALSE),"")</f>
      </c>
      <c r="H410" s="79">
        <f>IFERROR(VLOOKUP($A:$A,CS!$A:$AK,14,FALSE),"")</f>
      </c>
      <c r="I410" s="79">
        <f>IFERROR(VLOOKUP($A:$A,CS!$A:$AK,15,FALSE),"")</f>
      </c>
      <c r="J410" s="79">
        <f>IFERROR(VLOOKUP($A:$A,CS!$A:$AK,18,FALSE),"")</f>
      </c>
      <c r="K410" s="79">
        <f>IFERROR(VLOOKUP($A:$A,CS!$A:$AK,19,FALSE),"")</f>
      </c>
      <c r="L410" s="79">
        <f>IFERROR(VLOOKUP($A:$A,CS!$A:$AK,20,FALSE),"")</f>
      </c>
      <c r="M410" s="79">
        <f>IFERROR(VLOOKUP($A:$A,CS!$A:$AK,22,FALSE),"")</f>
      </c>
      <c r="N410" s="79">
        <f>IFERROR(VLOOKUP($A:$A,CS!$A:$AK,19,FALSE),"")</f>
      </c>
      <c r="O410" s="79">
        <f>IFERROR(VLOOKUP($A:$A,CS!$A:$AK,23,FALSE),"")</f>
      </c>
      <c r="P410" s="79">
        <f>IFERROR(VLOOKUP($A:$A,CS!$A:$AK,24,FALSE),"")</f>
      </c>
      <c r="Q410" s="79">
        <f>IFERROR(VLOOKUP($A:$A,CS!$A:$AK,25,FALSE),"")</f>
      </c>
      <c r="R410" s="79">
        <f>IFERROR(VLOOKUP($A:$A,CS!$A:$AK,26,FALSE),"")</f>
      </c>
      <c r="S410" s="79">
        <f>IFERROR(VLOOKUP($A:$A,CS!$A:$AK,29,FALSE),"")</f>
      </c>
      <c r="T410" s="79">
        <f>IFERROR(VLOOKUP($A:$A,CS!$A:$AK,33,FALSE),"")</f>
      </c>
      <c r="U410" s="79">
        <f>IFERROR(VLOOKUP($A:$A,CS!$A:$AK,34,FALSE),"")</f>
      </c>
      <c r="V410" s="79">
        <f>IFERROR(VLOOKUP($A:$A,CS!$A:$AK,35,FALSE),"")</f>
      </c>
      <c r="W410" s="79">
        <f>IFERROR(VLOOKUP($A:$A,CS!$A:$AK,36,FALSE),"")</f>
      </c>
    </row>
    <row r="411" ht="16.5" customHeight="1" spans="1:23" x14ac:dyDescent="0.25">
      <c r="A411" s="93"/>
      <c r="B411" s="79">
        <f>IFERROR(VLOOKUP($A:$A,CS!$A:$AK,3,FALSE),"")</f>
      </c>
      <c r="C411" s="79">
        <f>IFERROR(VLOOKUP($A:$A,CS!$A:$AK,4,FALSE),"")</f>
      </c>
      <c r="D411" s="79">
        <f>IFERROR(VLOOKUP($A:$A,CS!$A:$AK,5,FALSE),"")</f>
      </c>
      <c r="E411" s="79">
        <f>IFERROR(VLOOKUP($A:$A,CS!$A:$AK,7,FALSE),"")</f>
      </c>
      <c r="F411" s="79">
        <f>IFERROR(VLOOKUP($A:$A,CS!$A:$AK,8,FALSE),"")</f>
      </c>
      <c r="G411" s="79">
        <f>IFERROR(VLOOKUP($A:$A,CS!$A:$AK,10,FALSE),"")</f>
      </c>
      <c r="H411" s="79">
        <f>IFERROR(VLOOKUP($A:$A,CS!$A:$AK,14,FALSE),"")</f>
      </c>
      <c r="I411" s="79">
        <f>IFERROR(VLOOKUP($A:$A,CS!$A:$AK,15,FALSE),"")</f>
      </c>
      <c r="J411" s="79">
        <f>IFERROR(VLOOKUP($A:$A,CS!$A:$AK,18,FALSE),"")</f>
      </c>
      <c r="K411" s="79">
        <f>IFERROR(VLOOKUP($A:$A,CS!$A:$AK,19,FALSE),"")</f>
      </c>
      <c r="L411" s="79">
        <f>IFERROR(VLOOKUP($A:$A,CS!$A:$AK,20,FALSE),"")</f>
      </c>
      <c r="M411" s="79">
        <f>IFERROR(VLOOKUP($A:$A,CS!$A:$AK,22,FALSE),"")</f>
      </c>
      <c r="N411" s="79">
        <f>IFERROR(VLOOKUP($A:$A,CS!$A:$AK,19,FALSE),"")</f>
      </c>
      <c r="O411" s="79">
        <f>IFERROR(VLOOKUP($A:$A,CS!$A:$AK,23,FALSE),"")</f>
      </c>
      <c r="P411" s="79">
        <f>IFERROR(VLOOKUP($A:$A,CS!$A:$AK,24,FALSE),"")</f>
      </c>
      <c r="Q411" s="79">
        <f>IFERROR(VLOOKUP($A:$A,CS!$A:$AK,25,FALSE),"")</f>
      </c>
      <c r="R411" s="79">
        <f>IFERROR(VLOOKUP($A:$A,CS!$A:$AK,26,FALSE),"")</f>
      </c>
      <c r="S411" s="79">
        <f>IFERROR(VLOOKUP($A:$A,CS!$A:$AK,29,FALSE),"")</f>
      </c>
      <c r="T411" s="79">
        <f>IFERROR(VLOOKUP($A:$A,CS!$A:$AK,33,FALSE),"")</f>
      </c>
      <c r="U411" s="79">
        <f>IFERROR(VLOOKUP($A:$A,CS!$A:$AK,34,FALSE),"")</f>
      </c>
      <c r="V411" s="79">
        <f>IFERROR(VLOOKUP($A:$A,CS!$A:$AK,35,FALSE),"")</f>
      </c>
      <c r="W411" s="79">
        <f>IFERROR(VLOOKUP($A:$A,CS!$A:$AK,36,FALSE),"")</f>
      </c>
    </row>
    <row r="412" ht="16.5" customHeight="1" spans="1:23" x14ac:dyDescent="0.25">
      <c r="A412" s="93"/>
      <c r="B412" s="79">
        <f>IFERROR(VLOOKUP($A:$A,CS!$A:$AK,3,FALSE),"")</f>
      </c>
      <c r="C412" s="79">
        <f>IFERROR(VLOOKUP($A:$A,CS!$A:$AK,4,FALSE),"")</f>
      </c>
      <c r="D412" s="79">
        <f>IFERROR(VLOOKUP($A:$A,CS!$A:$AK,5,FALSE),"")</f>
      </c>
      <c r="E412" s="79">
        <f>IFERROR(VLOOKUP($A:$A,CS!$A:$AK,7,FALSE),"")</f>
      </c>
      <c r="F412" s="79">
        <f>IFERROR(VLOOKUP($A:$A,CS!$A:$AK,8,FALSE),"")</f>
      </c>
      <c r="G412" s="79">
        <f>IFERROR(VLOOKUP($A:$A,CS!$A:$AK,10,FALSE),"")</f>
      </c>
      <c r="H412" s="79">
        <f>IFERROR(VLOOKUP($A:$A,CS!$A:$AK,14,FALSE),"")</f>
      </c>
      <c r="I412" s="79">
        <f>IFERROR(VLOOKUP($A:$A,CS!$A:$AK,15,FALSE),"")</f>
      </c>
      <c r="J412" s="79">
        <f>IFERROR(VLOOKUP($A:$A,CS!$A:$AK,18,FALSE),"")</f>
      </c>
      <c r="K412" s="79">
        <f>IFERROR(VLOOKUP($A:$A,CS!$A:$AK,19,FALSE),"")</f>
      </c>
      <c r="L412" s="79">
        <f>IFERROR(VLOOKUP($A:$A,CS!$A:$AK,20,FALSE),"")</f>
      </c>
      <c r="M412" s="79">
        <f>IFERROR(VLOOKUP($A:$A,CS!$A:$AK,22,FALSE),"")</f>
      </c>
      <c r="N412" s="79">
        <f>IFERROR(VLOOKUP($A:$A,CS!$A:$AK,19,FALSE),"")</f>
      </c>
      <c r="O412" s="79">
        <f>IFERROR(VLOOKUP($A:$A,CS!$A:$AK,23,FALSE),"")</f>
      </c>
      <c r="P412" s="79">
        <f>IFERROR(VLOOKUP($A:$A,CS!$A:$AK,24,FALSE),"")</f>
      </c>
      <c r="Q412" s="79">
        <f>IFERROR(VLOOKUP($A:$A,CS!$A:$AK,25,FALSE),"")</f>
      </c>
      <c r="R412" s="79">
        <f>IFERROR(VLOOKUP($A:$A,CS!$A:$AK,26,FALSE),"")</f>
      </c>
      <c r="S412" s="79">
        <f>IFERROR(VLOOKUP($A:$A,CS!$A:$AK,29,FALSE),"")</f>
      </c>
      <c r="T412" s="79">
        <f>IFERROR(VLOOKUP($A:$A,CS!$A:$AK,33,FALSE),"")</f>
      </c>
      <c r="U412" s="79">
        <f>IFERROR(VLOOKUP($A:$A,CS!$A:$AK,34,FALSE),"")</f>
      </c>
      <c r="V412" s="79">
        <f>IFERROR(VLOOKUP($A:$A,CS!$A:$AK,35,FALSE),"")</f>
      </c>
      <c r="W412" s="79">
        <f>IFERROR(VLOOKUP($A:$A,CS!$A:$AK,36,FALSE),"")</f>
      </c>
    </row>
    <row r="413" ht="16.5" customHeight="1" spans="1:23" x14ac:dyDescent="0.25">
      <c r="A413" s="93"/>
      <c r="B413" s="79">
        <f>IFERROR(VLOOKUP($A:$A,CS!$A:$AK,3,FALSE),"")</f>
      </c>
      <c r="C413" s="79">
        <f>IFERROR(VLOOKUP($A:$A,CS!$A:$AK,4,FALSE),"")</f>
      </c>
      <c r="D413" s="79">
        <f>IFERROR(VLOOKUP($A:$A,CS!$A:$AK,5,FALSE),"")</f>
      </c>
      <c r="E413" s="79">
        <f>IFERROR(VLOOKUP($A:$A,CS!$A:$AK,7,FALSE),"")</f>
      </c>
      <c r="F413" s="79">
        <f>IFERROR(VLOOKUP($A:$A,CS!$A:$AK,8,FALSE),"")</f>
      </c>
      <c r="G413" s="79">
        <f>IFERROR(VLOOKUP($A:$A,CS!$A:$AK,10,FALSE),"")</f>
      </c>
      <c r="H413" s="79">
        <f>IFERROR(VLOOKUP($A:$A,CS!$A:$AK,14,FALSE),"")</f>
      </c>
      <c r="I413" s="79">
        <f>IFERROR(VLOOKUP($A:$A,CS!$A:$AK,15,FALSE),"")</f>
      </c>
      <c r="J413" s="79">
        <f>IFERROR(VLOOKUP($A:$A,CS!$A:$AK,18,FALSE),"")</f>
      </c>
      <c r="K413" s="79">
        <f>IFERROR(VLOOKUP($A:$A,CS!$A:$AK,19,FALSE),"")</f>
      </c>
      <c r="L413" s="79">
        <f>IFERROR(VLOOKUP($A:$A,CS!$A:$AK,20,FALSE),"")</f>
      </c>
      <c r="M413" s="79">
        <f>IFERROR(VLOOKUP($A:$A,CS!$A:$AK,22,FALSE),"")</f>
      </c>
      <c r="N413" s="79">
        <f>IFERROR(VLOOKUP($A:$A,CS!$A:$AK,19,FALSE),"")</f>
      </c>
      <c r="O413" s="79">
        <f>IFERROR(VLOOKUP($A:$A,CS!$A:$AK,23,FALSE),"")</f>
      </c>
      <c r="P413" s="79">
        <f>IFERROR(VLOOKUP($A:$A,CS!$A:$AK,24,FALSE),"")</f>
      </c>
      <c r="Q413" s="79">
        <f>IFERROR(VLOOKUP($A:$A,CS!$A:$AK,25,FALSE),"")</f>
      </c>
      <c r="R413" s="79">
        <f>IFERROR(VLOOKUP($A:$A,CS!$A:$AK,26,FALSE),"")</f>
      </c>
      <c r="S413" s="79">
        <f>IFERROR(VLOOKUP($A:$A,CS!$A:$AK,29,FALSE),"")</f>
      </c>
      <c r="T413" s="79">
        <f>IFERROR(VLOOKUP($A:$A,CS!$A:$AK,33,FALSE),"")</f>
      </c>
      <c r="U413" s="79">
        <f>IFERROR(VLOOKUP($A:$A,CS!$A:$AK,34,FALSE),"")</f>
      </c>
      <c r="V413" s="79">
        <f>IFERROR(VLOOKUP($A:$A,CS!$A:$AK,35,FALSE),"")</f>
      </c>
      <c r="W413" s="79">
        <f>IFERROR(VLOOKUP($A:$A,CS!$A:$AK,36,FALSE),"")</f>
      </c>
    </row>
    <row r="414" ht="16.5" customHeight="1" spans="1:23" x14ac:dyDescent="0.25">
      <c r="A414" s="93"/>
      <c r="B414" s="79">
        <f>IFERROR(VLOOKUP($A:$A,CS!$A:$AK,3,FALSE),"")</f>
      </c>
      <c r="C414" s="79">
        <f>IFERROR(VLOOKUP($A:$A,CS!$A:$AK,4,FALSE),"")</f>
      </c>
      <c r="D414" s="79">
        <f>IFERROR(VLOOKUP($A:$A,CS!$A:$AK,5,FALSE),"")</f>
      </c>
      <c r="E414" s="79">
        <f>IFERROR(VLOOKUP($A:$A,CS!$A:$AK,7,FALSE),"")</f>
      </c>
      <c r="F414" s="79">
        <f>IFERROR(VLOOKUP($A:$A,CS!$A:$AK,8,FALSE),"")</f>
      </c>
      <c r="G414" s="79">
        <f>IFERROR(VLOOKUP($A:$A,CS!$A:$AK,10,FALSE),"")</f>
      </c>
      <c r="H414" s="79">
        <f>IFERROR(VLOOKUP($A:$A,CS!$A:$AK,14,FALSE),"")</f>
      </c>
      <c r="I414" s="79">
        <f>IFERROR(VLOOKUP($A:$A,CS!$A:$AK,15,FALSE),"")</f>
      </c>
      <c r="J414" s="79">
        <f>IFERROR(VLOOKUP($A:$A,CS!$A:$AK,18,FALSE),"")</f>
      </c>
      <c r="K414" s="79">
        <f>IFERROR(VLOOKUP($A:$A,CS!$A:$AK,19,FALSE),"")</f>
      </c>
      <c r="L414" s="79">
        <f>IFERROR(VLOOKUP($A:$A,CS!$A:$AK,20,FALSE),"")</f>
      </c>
      <c r="M414" s="79">
        <f>IFERROR(VLOOKUP($A:$A,CS!$A:$AK,22,FALSE),"")</f>
      </c>
      <c r="N414" s="79">
        <f>IFERROR(VLOOKUP($A:$A,CS!$A:$AK,19,FALSE),"")</f>
      </c>
      <c r="O414" s="79">
        <f>IFERROR(VLOOKUP($A:$A,CS!$A:$AK,23,FALSE),"")</f>
      </c>
      <c r="P414" s="79">
        <f>IFERROR(VLOOKUP($A:$A,CS!$A:$AK,24,FALSE),"")</f>
      </c>
      <c r="Q414" s="79">
        <f>IFERROR(VLOOKUP($A:$A,CS!$A:$AK,25,FALSE),"")</f>
      </c>
      <c r="R414" s="79">
        <f>IFERROR(VLOOKUP($A:$A,CS!$A:$AK,26,FALSE),"")</f>
      </c>
      <c r="S414" s="79">
        <f>IFERROR(VLOOKUP($A:$A,CS!$A:$AK,29,FALSE),"")</f>
      </c>
      <c r="T414" s="79">
        <f>IFERROR(VLOOKUP($A:$A,CS!$A:$AK,33,FALSE),"")</f>
      </c>
      <c r="U414" s="79">
        <f>IFERROR(VLOOKUP($A:$A,CS!$A:$AK,34,FALSE),"")</f>
      </c>
      <c r="V414" s="79">
        <f>IFERROR(VLOOKUP($A:$A,CS!$A:$AK,35,FALSE),"")</f>
      </c>
      <c r="W414" s="79">
        <f>IFERROR(VLOOKUP($A:$A,CS!$A:$AK,36,FALSE),"")</f>
      </c>
    </row>
    <row r="415" ht="16.5" customHeight="1" spans="1:23" x14ac:dyDescent="0.25">
      <c r="A415" s="93"/>
      <c r="B415" s="79">
        <f>IFERROR(VLOOKUP($A:$A,CS!$A:$AK,3,FALSE),"")</f>
      </c>
      <c r="C415" s="79">
        <f>IFERROR(VLOOKUP($A:$A,CS!$A:$AK,4,FALSE),"")</f>
      </c>
      <c r="D415" s="79">
        <f>IFERROR(VLOOKUP($A:$A,CS!$A:$AK,5,FALSE),"")</f>
      </c>
      <c r="E415" s="79">
        <f>IFERROR(VLOOKUP($A:$A,CS!$A:$AK,7,FALSE),"")</f>
      </c>
      <c r="F415" s="79">
        <f>IFERROR(VLOOKUP($A:$A,CS!$A:$AK,8,FALSE),"")</f>
      </c>
      <c r="G415" s="79">
        <f>IFERROR(VLOOKUP($A:$A,CS!$A:$AK,10,FALSE),"")</f>
      </c>
      <c r="H415" s="79">
        <f>IFERROR(VLOOKUP($A:$A,CS!$A:$AK,14,FALSE),"")</f>
      </c>
      <c r="I415" s="79">
        <f>IFERROR(VLOOKUP($A:$A,CS!$A:$AK,15,FALSE),"")</f>
      </c>
      <c r="J415" s="79">
        <f>IFERROR(VLOOKUP($A:$A,CS!$A:$AK,18,FALSE),"")</f>
      </c>
      <c r="K415" s="79">
        <f>IFERROR(VLOOKUP($A:$A,CS!$A:$AK,19,FALSE),"")</f>
      </c>
      <c r="L415" s="79">
        <f>IFERROR(VLOOKUP($A:$A,CS!$A:$AK,20,FALSE),"")</f>
      </c>
      <c r="M415" s="79">
        <f>IFERROR(VLOOKUP($A:$A,CS!$A:$AK,22,FALSE),"")</f>
      </c>
      <c r="N415" s="79">
        <f>IFERROR(VLOOKUP($A:$A,CS!$A:$AK,19,FALSE),"")</f>
      </c>
      <c r="O415" s="79">
        <f>IFERROR(VLOOKUP($A:$A,CS!$A:$AK,23,FALSE),"")</f>
      </c>
      <c r="P415" s="79">
        <f>IFERROR(VLOOKUP($A:$A,CS!$A:$AK,24,FALSE),"")</f>
      </c>
      <c r="Q415" s="79">
        <f>IFERROR(VLOOKUP($A:$A,CS!$A:$AK,25,FALSE),"")</f>
      </c>
      <c r="R415" s="79">
        <f>IFERROR(VLOOKUP($A:$A,CS!$A:$AK,26,FALSE),"")</f>
      </c>
      <c r="S415" s="79">
        <f>IFERROR(VLOOKUP($A:$A,CS!$A:$AK,29,FALSE),"")</f>
      </c>
      <c r="T415" s="79">
        <f>IFERROR(VLOOKUP($A:$A,CS!$A:$AK,33,FALSE),"")</f>
      </c>
      <c r="U415" s="79">
        <f>IFERROR(VLOOKUP($A:$A,CS!$A:$AK,34,FALSE),"")</f>
      </c>
      <c r="V415" s="79">
        <f>IFERROR(VLOOKUP($A:$A,CS!$A:$AK,35,FALSE),"")</f>
      </c>
      <c r="W415" s="79">
        <f>IFERROR(VLOOKUP($A:$A,CS!$A:$AK,36,FALSE),"")</f>
      </c>
    </row>
    <row r="416" ht="16.5" customHeight="1" spans="1:23" x14ac:dyDescent="0.25">
      <c r="A416" s="93"/>
      <c r="B416" s="79">
        <f>IFERROR(VLOOKUP($A:$A,CS!$A:$AK,3,FALSE),"")</f>
      </c>
      <c r="C416" s="79">
        <f>IFERROR(VLOOKUP($A:$A,CS!$A:$AK,4,FALSE),"")</f>
      </c>
      <c r="D416" s="79">
        <f>IFERROR(VLOOKUP($A:$A,CS!$A:$AK,5,FALSE),"")</f>
      </c>
      <c r="E416" s="79">
        <f>IFERROR(VLOOKUP($A:$A,CS!$A:$AK,7,FALSE),"")</f>
      </c>
      <c r="F416" s="79">
        <f>IFERROR(VLOOKUP($A:$A,CS!$A:$AK,8,FALSE),"")</f>
      </c>
      <c r="G416" s="79">
        <f>IFERROR(VLOOKUP($A:$A,CS!$A:$AK,10,FALSE),"")</f>
      </c>
      <c r="H416" s="79">
        <f>IFERROR(VLOOKUP($A:$A,CS!$A:$AK,14,FALSE),"")</f>
      </c>
      <c r="I416" s="79">
        <f>IFERROR(VLOOKUP($A:$A,CS!$A:$AK,15,FALSE),"")</f>
      </c>
      <c r="J416" s="79">
        <f>IFERROR(VLOOKUP($A:$A,CS!$A:$AK,18,FALSE),"")</f>
      </c>
      <c r="K416" s="79">
        <f>IFERROR(VLOOKUP($A:$A,CS!$A:$AK,19,FALSE),"")</f>
      </c>
      <c r="L416" s="79">
        <f>IFERROR(VLOOKUP($A:$A,CS!$A:$AK,20,FALSE),"")</f>
      </c>
      <c r="M416" s="79">
        <f>IFERROR(VLOOKUP($A:$A,CS!$A:$AK,22,FALSE),"")</f>
      </c>
      <c r="N416" s="79">
        <f>IFERROR(VLOOKUP($A:$A,CS!$A:$AK,19,FALSE),"")</f>
      </c>
      <c r="O416" s="79">
        <f>IFERROR(VLOOKUP($A:$A,CS!$A:$AK,23,FALSE),"")</f>
      </c>
      <c r="P416" s="79">
        <f>IFERROR(VLOOKUP($A:$A,CS!$A:$AK,24,FALSE),"")</f>
      </c>
      <c r="Q416" s="79">
        <f>IFERROR(VLOOKUP($A:$A,CS!$A:$AK,25,FALSE),"")</f>
      </c>
      <c r="R416" s="79">
        <f>IFERROR(VLOOKUP($A:$A,CS!$A:$AK,26,FALSE),"")</f>
      </c>
      <c r="S416" s="79">
        <f>IFERROR(VLOOKUP($A:$A,CS!$A:$AK,29,FALSE),"")</f>
      </c>
      <c r="T416" s="79">
        <f>IFERROR(VLOOKUP($A:$A,CS!$A:$AK,33,FALSE),"")</f>
      </c>
      <c r="U416" s="79">
        <f>IFERROR(VLOOKUP($A:$A,CS!$A:$AK,34,FALSE),"")</f>
      </c>
      <c r="V416" s="79">
        <f>IFERROR(VLOOKUP($A:$A,CS!$A:$AK,35,FALSE),"")</f>
      </c>
      <c r="W416" s="79">
        <f>IFERROR(VLOOKUP($A:$A,CS!$A:$AK,36,FALSE),"")</f>
      </c>
    </row>
    <row r="417" ht="16.5" customHeight="1" spans="1:23" x14ac:dyDescent="0.25">
      <c r="A417" s="93"/>
      <c r="B417" s="79">
        <f>IFERROR(VLOOKUP($A:$A,CS!$A:$AK,3,FALSE),"")</f>
      </c>
      <c r="C417" s="79">
        <f>IFERROR(VLOOKUP($A:$A,CS!$A:$AK,4,FALSE),"")</f>
      </c>
      <c r="D417" s="79">
        <f>IFERROR(VLOOKUP($A:$A,CS!$A:$AK,5,FALSE),"")</f>
      </c>
      <c r="E417" s="79">
        <f>IFERROR(VLOOKUP($A:$A,CS!$A:$AK,7,FALSE),"")</f>
      </c>
      <c r="F417" s="79">
        <f>IFERROR(VLOOKUP($A:$A,CS!$A:$AK,8,FALSE),"")</f>
      </c>
      <c r="G417" s="79">
        <f>IFERROR(VLOOKUP($A:$A,CS!$A:$AK,10,FALSE),"")</f>
      </c>
      <c r="H417" s="79">
        <f>IFERROR(VLOOKUP($A:$A,CS!$A:$AK,14,FALSE),"")</f>
      </c>
      <c r="I417" s="79">
        <f>IFERROR(VLOOKUP($A:$A,CS!$A:$AK,15,FALSE),"")</f>
      </c>
      <c r="J417" s="79">
        <f>IFERROR(VLOOKUP($A:$A,CS!$A:$AK,18,FALSE),"")</f>
      </c>
      <c r="K417" s="79">
        <f>IFERROR(VLOOKUP($A:$A,CS!$A:$AK,19,FALSE),"")</f>
      </c>
      <c r="L417" s="79">
        <f>IFERROR(VLOOKUP($A:$A,CS!$A:$AK,20,FALSE),"")</f>
      </c>
      <c r="M417" s="79">
        <f>IFERROR(VLOOKUP($A:$A,CS!$A:$AK,22,FALSE),"")</f>
      </c>
      <c r="N417" s="79">
        <f>IFERROR(VLOOKUP($A:$A,CS!$A:$AK,19,FALSE),"")</f>
      </c>
      <c r="O417" s="79">
        <f>IFERROR(VLOOKUP($A:$A,CS!$A:$AK,23,FALSE),"")</f>
      </c>
      <c r="P417" s="79">
        <f>IFERROR(VLOOKUP($A:$A,CS!$A:$AK,24,FALSE),"")</f>
      </c>
      <c r="Q417" s="79">
        <f>IFERROR(VLOOKUP($A:$A,CS!$A:$AK,25,FALSE),"")</f>
      </c>
      <c r="R417" s="79">
        <f>IFERROR(VLOOKUP($A:$A,CS!$A:$AK,26,FALSE),"")</f>
      </c>
      <c r="S417" s="79">
        <f>IFERROR(VLOOKUP($A:$A,CS!$A:$AK,29,FALSE),"")</f>
      </c>
      <c r="T417" s="79">
        <f>IFERROR(VLOOKUP($A:$A,CS!$A:$AK,33,FALSE),"")</f>
      </c>
      <c r="U417" s="79">
        <f>IFERROR(VLOOKUP($A:$A,CS!$A:$AK,34,FALSE),"")</f>
      </c>
      <c r="V417" s="79">
        <f>IFERROR(VLOOKUP($A:$A,CS!$A:$AK,35,FALSE),"")</f>
      </c>
      <c r="W417" s="79">
        <f>IFERROR(VLOOKUP($A:$A,CS!$A:$AK,36,FALSE),"")</f>
      </c>
    </row>
    <row r="418" ht="16.5" customHeight="1" spans="1:23" x14ac:dyDescent="0.25">
      <c r="A418" s="93"/>
      <c r="B418" s="79">
        <f>IFERROR(VLOOKUP($A:$A,CS!$A:$AK,3,FALSE),"")</f>
      </c>
      <c r="C418" s="79">
        <f>IFERROR(VLOOKUP($A:$A,CS!$A:$AK,4,FALSE),"")</f>
      </c>
      <c r="D418" s="79">
        <f>IFERROR(VLOOKUP($A:$A,CS!$A:$AK,5,FALSE),"")</f>
      </c>
      <c r="E418" s="79">
        <f>IFERROR(VLOOKUP($A:$A,CS!$A:$AK,7,FALSE),"")</f>
      </c>
      <c r="F418" s="79">
        <f>IFERROR(VLOOKUP($A:$A,CS!$A:$AK,8,FALSE),"")</f>
      </c>
      <c r="G418" s="79">
        <f>IFERROR(VLOOKUP($A:$A,CS!$A:$AK,10,FALSE),"")</f>
      </c>
      <c r="H418" s="79">
        <f>IFERROR(VLOOKUP($A:$A,CS!$A:$AK,14,FALSE),"")</f>
      </c>
      <c r="I418" s="79">
        <f>IFERROR(VLOOKUP($A:$A,CS!$A:$AK,15,FALSE),"")</f>
      </c>
      <c r="J418" s="79">
        <f>IFERROR(VLOOKUP($A:$A,CS!$A:$AK,18,FALSE),"")</f>
      </c>
      <c r="K418" s="79">
        <f>IFERROR(VLOOKUP($A:$A,CS!$A:$AK,19,FALSE),"")</f>
      </c>
      <c r="L418" s="79">
        <f>IFERROR(VLOOKUP($A:$A,CS!$A:$AK,20,FALSE),"")</f>
      </c>
      <c r="M418" s="79">
        <f>IFERROR(VLOOKUP($A:$A,CS!$A:$AK,22,FALSE),"")</f>
      </c>
      <c r="N418" s="79">
        <f>IFERROR(VLOOKUP($A:$A,CS!$A:$AK,19,FALSE),"")</f>
      </c>
      <c r="O418" s="79">
        <f>IFERROR(VLOOKUP($A:$A,CS!$A:$AK,23,FALSE),"")</f>
      </c>
      <c r="P418" s="79">
        <f>IFERROR(VLOOKUP($A:$A,CS!$A:$AK,24,FALSE),"")</f>
      </c>
      <c r="Q418" s="79">
        <f>IFERROR(VLOOKUP($A:$A,CS!$A:$AK,25,FALSE),"")</f>
      </c>
      <c r="R418" s="79">
        <f>IFERROR(VLOOKUP($A:$A,CS!$A:$AK,26,FALSE),"")</f>
      </c>
      <c r="S418" s="79">
        <f>IFERROR(VLOOKUP($A:$A,CS!$A:$AK,29,FALSE),"")</f>
      </c>
      <c r="T418" s="79">
        <f>IFERROR(VLOOKUP($A:$A,CS!$A:$AK,33,FALSE),"")</f>
      </c>
      <c r="U418" s="79">
        <f>IFERROR(VLOOKUP($A:$A,CS!$A:$AK,34,FALSE),"")</f>
      </c>
      <c r="V418" s="79">
        <f>IFERROR(VLOOKUP($A:$A,CS!$A:$AK,35,FALSE),"")</f>
      </c>
      <c r="W418" s="79">
        <f>IFERROR(VLOOKUP($A:$A,CS!$A:$AK,36,FALSE),"")</f>
      </c>
    </row>
    <row r="419" ht="16.5" customHeight="1" spans="1:23" x14ac:dyDescent="0.25">
      <c r="A419" s="93"/>
      <c r="B419" s="79">
        <f>IFERROR(VLOOKUP($A:$A,CS!$A:$AK,3,FALSE),"")</f>
      </c>
      <c r="C419" s="79">
        <f>IFERROR(VLOOKUP($A:$A,CS!$A:$AK,4,FALSE),"")</f>
      </c>
      <c r="D419" s="79">
        <f>IFERROR(VLOOKUP($A:$A,CS!$A:$AK,5,FALSE),"")</f>
      </c>
      <c r="E419" s="79">
        <f>IFERROR(VLOOKUP($A:$A,CS!$A:$AK,7,FALSE),"")</f>
      </c>
      <c r="F419" s="79">
        <f>IFERROR(VLOOKUP($A:$A,CS!$A:$AK,8,FALSE),"")</f>
      </c>
      <c r="G419" s="79">
        <f>IFERROR(VLOOKUP($A:$A,CS!$A:$AK,10,FALSE),"")</f>
      </c>
      <c r="H419" s="79">
        <f>IFERROR(VLOOKUP($A:$A,CS!$A:$AK,14,FALSE),"")</f>
      </c>
      <c r="I419" s="79">
        <f>IFERROR(VLOOKUP($A:$A,CS!$A:$AK,15,FALSE),"")</f>
      </c>
      <c r="J419" s="79">
        <f>IFERROR(VLOOKUP($A:$A,CS!$A:$AK,18,FALSE),"")</f>
      </c>
      <c r="K419" s="79">
        <f>IFERROR(VLOOKUP($A:$A,CS!$A:$AK,19,FALSE),"")</f>
      </c>
      <c r="L419" s="79">
        <f>IFERROR(VLOOKUP($A:$A,CS!$A:$AK,20,FALSE),"")</f>
      </c>
      <c r="M419" s="79">
        <f>IFERROR(VLOOKUP($A:$A,CS!$A:$AK,22,FALSE),"")</f>
      </c>
      <c r="N419" s="79">
        <f>IFERROR(VLOOKUP($A:$A,CS!$A:$AK,19,FALSE),"")</f>
      </c>
      <c r="O419" s="79">
        <f>IFERROR(VLOOKUP($A:$A,CS!$A:$AK,23,FALSE),"")</f>
      </c>
      <c r="P419" s="79">
        <f>IFERROR(VLOOKUP($A:$A,CS!$A:$AK,24,FALSE),"")</f>
      </c>
      <c r="Q419" s="79">
        <f>IFERROR(VLOOKUP($A:$A,CS!$A:$AK,25,FALSE),"")</f>
      </c>
      <c r="R419" s="79">
        <f>IFERROR(VLOOKUP($A:$A,CS!$A:$AK,26,FALSE),"")</f>
      </c>
      <c r="S419" s="79">
        <f>IFERROR(VLOOKUP($A:$A,CS!$A:$AK,29,FALSE),"")</f>
      </c>
      <c r="T419" s="79">
        <f>IFERROR(VLOOKUP($A:$A,CS!$A:$AK,33,FALSE),"")</f>
      </c>
      <c r="U419" s="79">
        <f>IFERROR(VLOOKUP($A:$A,CS!$A:$AK,34,FALSE),"")</f>
      </c>
      <c r="V419" s="79">
        <f>IFERROR(VLOOKUP($A:$A,CS!$A:$AK,35,FALSE),"")</f>
      </c>
      <c r="W419" s="79">
        <f>IFERROR(VLOOKUP($A:$A,CS!$A:$AK,36,FALSE),"")</f>
      </c>
    </row>
    <row r="420" ht="16.5" customHeight="1" spans="1:23" x14ac:dyDescent="0.25">
      <c r="A420" s="93"/>
      <c r="B420" s="79">
        <f>IFERROR(VLOOKUP($A:$A,CS!$A:$AK,3,FALSE),"")</f>
      </c>
      <c r="C420" s="79">
        <f>IFERROR(VLOOKUP($A:$A,CS!$A:$AK,4,FALSE),"")</f>
      </c>
      <c r="D420" s="79">
        <f>IFERROR(VLOOKUP($A:$A,CS!$A:$AK,5,FALSE),"")</f>
      </c>
      <c r="E420" s="79">
        <f>IFERROR(VLOOKUP($A:$A,CS!$A:$AK,7,FALSE),"")</f>
      </c>
      <c r="F420" s="79">
        <f>IFERROR(VLOOKUP($A:$A,CS!$A:$AK,8,FALSE),"")</f>
      </c>
      <c r="G420" s="79">
        <f>IFERROR(VLOOKUP($A:$A,CS!$A:$AK,10,FALSE),"")</f>
      </c>
      <c r="H420" s="79">
        <f>IFERROR(VLOOKUP($A:$A,CS!$A:$AK,14,FALSE),"")</f>
      </c>
      <c r="I420" s="79">
        <f>IFERROR(VLOOKUP($A:$A,CS!$A:$AK,15,FALSE),"")</f>
      </c>
      <c r="J420" s="79">
        <f>IFERROR(VLOOKUP($A:$A,CS!$A:$AK,18,FALSE),"")</f>
      </c>
      <c r="K420" s="79">
        <f>IFERROR(VLOOKUP($A:$A,CS!$A:$AK,19,FALSE),"")</f>
      </c>
      <c r="L420" s="79">
        <f>IFERROR(VLOOKUP($A:$A,CS!$A:$AK,20,FALSE),"")</f>
      </c>
      <c r="M420" s="79">
        <f>IFERROR(VLOOKUP($A:$A,CS!$A:$AK,22,FALSE),"")</f>
      </c>
      <c r="N420" s="79">
        <f>IFERROR(VLOOKUP($A:$A,CS!$A:$AK,19,FALSE),"")</f>
      </c>
      <c r="O420" s="79">
        <f>IFERROR(VLOOKUP($A:$A,CS!$A:$AK,23,FALSE),"")</f>
      </c>
      <c r="P420" s="79">
        <f>IFERROR(VLOOKUP($A:$A,CS!$A:$AK,24,FALSE),"")</f>
      </c>
      <c r="Q420" s="79">
        <f>IFERROR(VLOOKUP($A:$A,CS!$A:$AK,25,FALSE),"")</f>
      </c>
      <c r="R420" s="79">
        <f>IFERROR(VLOOKUP($A:$A,CS!$A:$AK,26,FALSE),"")</f>
      </c>
      <c r="S420" s="79">
        <f>IFERROR(VLOOKUP($A:$A,CS!$A:$AK,29,FALSE),"")</f>
      </c>
      <c r="T420" s="79">
        <f>IFERROR(VLOOKUP($A:$A,CS!$A:$AK,33,FALSE),"")</f>
      </c>
      <c r="U420" s="79">
        <f>IFERROR(VLOOKUP($A:$A,CS!$A:$AK,34,FALSE),"")</f>
      </c>
      <c r="V420" s="79">
        <f>IFERROR(VLOOKUP($A:$A,CS!$A:$AK,35,FALSE),"")</f>
      </c>
      <c r="W420" s="79">
        <f>IFERROR(VLOOKUP($A:$A,CS!$A:$AK,36,FALSE),"")</f>
      </c>
    </row>
    <row r="421" ht="16.5" customHeight="1" spans="1:23" x14ac:dyDescent="0.25">
      <c r="A421" s="93"/>
      <c r="B421" s="79">
        <f>IFERROR(VLOOKUP($A:$A,CS!$A:$AK,3,FALSE),"")</f>
      </c>
      <c r="C421" s="79">
        <f>IFERROR(VLOOKUP($A:$A,CS!$A:$AK,4,FALSE),"")</f>
      </c>
      <c r="D421" s="79">
        <f>IFERROR(VLOOKUP($A:$A,CS!$A:$AK,5,FALSE),"")</f>
      </c>
      <c r="E421" s="79">
        <f>IFERROR(VLOOKUP($A:$A,CS!$A:$AK,7,FALSE),"")</f>
      </c>
      <c r="F421" s="79">
        <f>IFERROR(VLOOKUP($A:$A,CS!$A:$AK,8,FALSE),"")</f>
      </c>
      <c r="G421" s="79">
        <f>IFERROR(VLOOKUP($A:$A,CS!$A:$AK,10,FALSE),"")</f>
      </c>
      <c r="H421" s="79">
        <f>IFERROR(VLOOKUP($A:$A,CS!$A:$AK,14,FALSE),"")</f>
      </c>
      <c r="I421" s="79">
        <f>IFERROR(VLOOKUP($A:$A,CS!$A:$AK,15,FALSE),"")</f>
      </c>
      <c r="J421" s="79">
        <f>IFERROR(VLOOKUP($A:$A,CS!$A:$AK,18,FALSE),"")</f>
      </c>
      <c r="K421" s="79">
        <f>IFERROR(VLOOKUP($A:$A,CS!$A:$AK,19,FALSE),"")</f>
      </c>
      <c r="L421" s="79">
        <f>IFERROR(VLOOKUP($A:$A,CS!$A:$AK,20,FALSE),"")</f>
      </c>
      <c r="M421" s="79">
        <f>IFERROR(VLOOKUP($A:$A,CS!$A:$AK,22,FALSE),"")</f>
      </c>
      <c r="N421" s="79">
        <f>IFERROR(VLOOKUP($A:$A,CS!$A:$AK,19,FALSE),"")</f>
      </c>
      <c r="O421" s="79">
        <f>IFERROR(VLOOKUP($A:$A,CS!$A:$AK,23,FALSE),"")</f>
      </c>
      <c r="P421" s="79">
        <f>IFERROR(VLOOKUP($A:$A,CS!$A:$AK,24,FALSE),"")</f>
      </c>
      <c r="Q421" s="79">
        <f>IFERROR(VLOOKUP($A:$A,CS!$A:$AK,25,FALSE),"")</f>
      </c>
      <c r="R421" s="79">
        <f>IFERROR(VLOOKUP($A:$A,CS!$A:$AK,26,FALSE),"")</f>
      </c>
      <c r="S421" s="79">
        <f>IFERROR(VLOOKUP($A:$A,CS!$A:$AK,29,FALSE),"")</f>
      </c>
      <c r="T421" s="79">
        <f>IFERROR(VLOOKUP($A:$A,CS!$A:$AK,33,FALSE),"")</f>
      </c>
      <c r="U421" s="79">
        <f>IFERROR(VLOOKUP($A:$A,CS!$A:$AK,34,FALSE),"")</f>
      </c>
      <c r="V421" s="79">
        <f>IFERROR(VLOOKUP($A:$A,CS!$A:$AK,35,FALSE),"")</f>
      </c>
      <c r="W421" s="79">
        <f>IFERROR(VLOOKUP($A:$A,CS!$A:$AK,36,FALSE),"")</f>
      </c>
    </row>
    <row r="422" ht="16.5" customHeight="1" spans="1:23" x14ac:dyDescent="0.25">
      <c r="A422" s="93"/>
      <c r="B422" s="79">
        <f>IFERROR(VLOOKUP($A:$A,CS!$A:$AK,3,FALSE),"")</f>
      </c>
      <c r="C422" s="79">
        <f>IFERROR(VLOOKUP($A:$A,CS!$A:$AK,4,FALSE),"")</f>
      </c>
      <c r="D422" s="79">
        <f>IFERROR(VLOOKUP($A:$A,CS!$A:$AK,5,FALSE),"")</f>
      </c>
      <c r="E422" s="79">
        <f>IFERROR(VLOOKUP($A:$A,CS!$A:$AK,7,FALSE),"")</f>
      </c>
      <c r="F422" s="79">
        <f>IFERROR(VLOOKUP($A:$A,CS!$A:$AK,8,FALSE),"")</f>
      </c>
      <c r="G422" s="79">
        <f>IFERROR(VLOOKUP($A:$A,CS!$A:$AK,10,FALSE),"")</f>
      </c>
      <c r="H422" s="79">
        <f>IFERROR(VLOOKUP($A:$A,CS!$A:$AK,14,FALSE),"")</f>
      </c>
      <c r="I422" s="79">
        <f>IFERROR(VLOOKUP($A:$A,CS!$A:$AK,15,FALSE),"")</f>
      </c>
      <c r="J422" s="79">
        <f>IFERROR(VLOOKUP($A:$A,CS!$A:$AK,18,FALSE),"")</f>
      </c>
      <c r="K422" s="79">
        <f>IFERROR(VLOOKUP($A:$A,CS!$A:$AK,19,FALSE),"")</f>
      </c>
      <c r="L422" s="79">
        <f>IFERROR(VLOOKUP($A:$A,CS!$A:$AK,20,FALSE),"")</f>
      </c>
      <c r="M422" s="79">
        <f>IFERROR(VLOOKUP($A:$A,CS!$A:$AK,22,FALSE),"")</f>
      </c>
      <c r="N422" s="79">
        <f>IFERROR(VLOOKUP($A:$A,CS!$A:$AK,19,FALSE),"")</f>
      </c>
      <c r="O422" s="79">
        <f>IFERROR(VLOOKUP($A:$A,CS!$A:$AK,23,FALSE),"")</f>
      </c>
      <c r="P422" s="79">
        <f>IFERROR(VLOOKUP($A:$A,CS!$A:$AK,24,FALSE),"")</f>
      </c>
      <c r="Q422" s="79">
        <f>IFERROR(VLOOKUP($A:$A,CS!$A:$AK,25,FALSE),"")</f>
      </c>
      <c r="R422" s="79">
        <f>IFERROR(VLOOKUP($A:$A,CS!$A:$AK,26,FALSE),"")</f>
      </c>
      <c r="S422" s="79">
        <f>IFERROR(VLOOKUP($A:$A,CS!$A:$AK,29,FALSE),"")</f>
      </c>
      <c r="T422" s="79">
        <f>IFERROR(VLOOKUP($A:$A,CS!$A:$AK,33,FALSE),"")</f>
      </c>
      <c r="U422" s="79">
        <f>IFERROR(VLOOKUP($A:$A,CS!$A:$AK,34,FALSE),"")</f>
      </c>
      <c r="V422" s="79">
        <f>IFERROR(VLOOKUP($A:$A,CS!$A:$AK,35,FALSE),"")</f>
      </c>
      <c r="W422" s="79">
        <f>IFERROR(VLOOKUP($A:$A,CS!$A:$AK,36,FALSE),"")</f>
      </c>
    </row>
    <row r="423" ht="16.5" customHeight="1" spans="1:23" x14ac:dyDescent="0.25">
      <c r="A423" s="93"/>
      <c r="B423" s="79">
        <f>IFERROR(VLOOKUP($A:$A,CS!$A:$AK,3,FALSE),"")</f>
      </c>
      <c r="C423" s="79">
        <f>IFERROR(VLOOKUP($A:$A,CS!$A:$AK,4,FALSE),"")</f>
      </c>
      <c r="D423" s="79">
        <f>IFERROR(VLOOKUP($A:$A,CS!$A:$AK,5,FALSE),"")</f>
      </c>
      <c r="E423" s="79">
        <f>IFERROR(VLOOKUP($A:$A,CS!$A:$AK,7,FALSE),"")</f>
      </c>
      <c r="F423" s="79">
        <f>IFERROR(VLOOKUP($A:$A,CS!$A:$AK,8,FALSE),"")</f>
      </c>
      <c r="G423" s="79">
        <f>IFERROR(VLOOKUP($A:$A,CS!$A:$AK,10,FALSE),"")</f>
      </c>
      <c r="H423" s="79">
        <f>IFERROR(VLOOKUP($A:$A,CS!$A:$AK,14,FALSE),"")</f>
      </c>
      <c r="I423" s="79">
        <f>IFERROR(VLOOKUP($A:$A,CS!$A:$AK,15,FALSE),"")</f>
      </c>
      <c r="J423" s="79">
        <f>IFERROR(VLOOKUP($A:$A,CS!$A:$AK,18,FALSE),"")</f>
      </c>
      <c r="K423" s="79">
        <f>IFERROR(VLOOKUP($A:$A,CS!$A:$AK,19,FALSE),"")</f>
      </c>
      <c r="L423" s="79">
        <f>IFERROR(VLOOKUP($A:$A,CS!$A:$AK,20,FALSE),"")</f>
      </c>
      <c r="M423" s="79">
        <f>IFERROR(VLOOKUP($A:$A,CS!$A:$AK,22,FALSE),"")</f>
      </c>
      <c r="N423" s="79">
        <f>IFERROR(VLOOKUP($A:$A,CS!$A:$AK,19,FALSE),"")</f>
      </c>
      <c r="O423" s="79">
        <f>IFERROR(VLOOKUP($A:$A,CS!$A:$AK,23,FALSE),"")</f>
      </c>
      <c r="P423" s="79">
        <f>IFERROR(VLOOKUP($A:$A,CS!$A:$AK,24,FALSE),"")</f>
      </c>
      <c r="Q423" s="79">
        <f>IFERROR(VLOOKUP($A:$A,CS!$A:$AK,25,FALSE),"")</f>
      </c>
      <c r="R423" s="79">
        <f>IFERROR(VLOOKUP($A:$A,CS!$A:$AK,26,FALSE),"")</f>
      </c>
      <c r="S423" s="79">
        <f>IFERROR(VLOOKUP($A:$A,CS!$A:$AK,29,FALSE),"")</f>
      </c>
      <c r="T423" s="79">
        <f>IFERROR(VLOOKUP($A:$A,CS!$A:$AK,33,FALSE),"")</f>
      </c>
      <c r="U423" s="79">
        <f>IFERROR(VLOOKUP($A:$A,CS!$A:$AK,34,FALSE),"")</f>
      </c>
      <c r="V423" s="79">
        <f>IFERROR(VLOOKUP($A:$A,CS!$A:$AK,35,FALSE),"")</f>
      </c>
      <c r="W423" s="79">
        <f>IFERROR(VLOOKUP($A:$A,CS!$A:$AK,36,FALSE),"")</f>
      </c>
    </row>
    <row r="424" ht="16.5" customHeight="1" spans="1:23" x14ac:dyDescent="0.25">
      <c r="A424" s="93"/>
      <c r="B424" s="79">
        <f>IFERROR(VLOOKUP($A:$A,CS!$A:$AK,3,FALSE),"")</f>
      </c>
      <c r="C424" s="79">
        <f>IFERROR(VLOOKUP($A:$A,CS!$A:$AK,4,FALSE),"")</f>
      </c>
      <c r="D424" s="79">
        <f>IFERROR(VLOOKUP($A:$A,CS!$A:$AK,5,FALSE),"")</f>
      </c>
      <c r="E424" s="79">
        <f>IFERROR(VLOOKUP($A:$A,CS!$A:$AK,7,FALSE),"")</f>
      </c>
      <c r="F424" s="79">
        <f>IFERROR(VLOOKUP($A:$A,CS!$A:$AK,8,FALSE),"")</f>
      </c>
      <c r="G424" s="79">
        <f>IFERROR(VLOOKUP($A:$A,CS!$A:$AK,10,FALSE),"")</f>
      </c>
      <c r="H424" s="79">
        <f>IFERROR(VLOOKUP($A:$A,CS!$A:$AK,14,FALSE),"")</f>
      </c>
      <c r="I424" s="79">
        <f>IFERROR(VLOOKUP($A:$A,CS!$A:$AK,15,FALSE),"")</f>
      </c>
      <c r="J424" s="79">
        <f>IFERROR(VLOOKUP($A:$A,CS!$A:$AK,18,FALSE),"")</f>
      </c>
      <c r="K424" s="79">
        <f>IFERROR(VLOOKUP($A:$A,CS!$A:$AK,19,FALSE),"")</f>
      </c>
      <c r="L424" s="79">
        <f>IFERROR(VLOOKUP($A:$A,CS!$A:$AK,20,FALSE),"")</f>
      </c>
      <c r="M424" s="79">
        <f>IFERROR(VLOOKUP($A:$A,CS!$A:$AK,22,FALSE),"")</f>
      </c>
      <c r="N424" s="79">
        <f>IFERROR(VLOOKUP($A:$A,CS!$A:$AK,19,FALSE),"")</f>
      </c>
      <c r="O424" s="79">
        <f>IFERROR(VLOOKUP($A:$A,CS!$A:$AK,23,FALSE),"")</f>
      </c>
      <c r="P424" s="79">
        <f>IFERROR(VLOOKUP($A:$A,CS!$A:$AK,24,FALSE),"")</f>
      </c>
      <c r="Q424" s="79">
        <f>IFERROR(VLOOKUP($A:$A,CS!$A:$AK,25,FALSE),"")</f>
      </c>
      <c r="R424" s="79">
        <f>IFERROR(VLOOKUP($A:$A,CS!$A:$AK,26,FALSE),"")</f>
      </c>
      <c r="S424" s="79">
        <f>IFERROR(VLOOKUP($A:$A,CS!$A:$AK,29,FALSE),"")</f>
      </c>
      <c r="T424" s="79">
        <f>IFERROR(VLOOKUP($A:$A,CS!$A:$AK,33,FALSE),"")</f>
      </c>
      <c r="U424" s="79">
        <f>IFERROR(VLOOKUP($A:$A,CS!$A:$AK,34,FALSE),"")</f>
      </c>
      <c r="V424" s="79">
        <f>IFERROR(VLOOKUP($A:$A,CS!$A:$AK,35,FALSE),"")</f>
      </c>
      <c r="W424" s="79">
        <f>IFERROR(VLOOKUP($A:$A,CS!$A:$AK,36,FALSE),"")</f>
      </c>
    </row>
    <row r="425" ht="16.5" customHeight="1" spans="1:23" x14ac:dyDescent="0.25">
      <c r="A425" s="93"/>
      <c r="B425" s="79">
        <f>IFERROR(VLOOKUP($A:$A,CS!$A:$AK,3,FALSE),"")</f>
      </c>
      <c r="C425" s="79">
        <f>IFERROR(VLOOKUP($A:$A,CS!$A:$AK,4,FALSE),"")</f>
      </c>
      <c r="D425" s="79">
        <f>IFERROR(VLOOKUP($A:$A,CS!$A:$AK,5,FALSE),"")</f>
      </c>
      <c r="E425" s="79">
        <f>IFERROR(VLOOKUP($A:$A,CS!$A:$AK,7,FALSE),"")</f>
      </c>
      <c r="F425" s="79">
        <f>IFERROR(VLOOKUP($A:$A,CS!$A:$AK,8,FALSE),"")</f>
      </c>
      <c r="G425" s="79">
        <f>IFERROR(VLOOKUP($A:$A,CS!$A:$AK,10,FALSE),"")</f>
      </c>
      <c r="H425" s="79">
        <f>IFERROR(VLOOKUP($A:$A,CS!$A:$AK,14,FALSE),"")</f>
      </c>
      <c r="I425" s="79">
        <f>IFERROR(VLOOKUP($A:$A,CS!$A:$AK,15,FALSE),"")</f>
      </c>
      <c r="J425" s="79">
        <f>IFERROR(VLOOKUP($A:$A,CS!$A:$AK,18,FALSE),"")</f>
      </c>
      <c r="K425" s="79">
        <f>IFERROR(VLOOKUP($A:$A,CS!$A:$AK,19,FALSE),"")</f>
      </c>
      <c r="L425" s="79">
        <f>IFERROR(VLOOKUP($A:$A,CS!$A:$AK,20,FALSE),"")</f>
      </c>
      <c r="M425" s="79">
        <f>IFERROR(VLOOKUP($A:$A,CS!$A:$AK,22,FALSE),"")</f>
      </c>
      <c r="N425" s="79">
        <f>IFERROR(VLOOKUP($A:$A,CS!$A:$AK,19,FALSE),"")</f>
      </c>
      <c r="O425" s="79">
        <f>IFERROR(VLOOKUP($A:$A,CS!$A:$AK,23,FALSE),"")</f>
      </c>
      <c r="P425" s="79">
        <f>IFERROR(VLOOKUP($A:$A,CS!$A:$AK,24,FALSE),"")</f>
      </c>
      <c r="Q425" s="79">
        <f>IFERROR(VLOOKUP($A:$A,CS!$A:$AK,25,FALSE),"")</f>
      </c>
      <c r="R425" s="79">
        <f>IFERROR(VLOOKUP($A:$A,CS!$A:$AK,26,FALSE),"")</f>
      </c>
      <c r="S425" s="79">
        <f>IFERROR(VLOOKUP($A:$A,CS!$A:$AK,29,FALSE),"")</f>
      </c>
      <c r="T425" s="79">
        <f>IFERROR(VLOOKUP($A:$A,CS!$A:$AK,33,FALSE),"")</f>
      </c>
      <c r="U425" s="79">
        <f>IFERROR(VLOOKUP($A:$A,CS!$A:$AK,34,FALSE),"")</f>
      </c>
      <c r="V425" s="79">
        <f>IFERROR(VLOOKUP($A:$A,CS!$A:$AK,35,FALSE),"")</f>
      </c>
      <c r="W425" s="79">
        <f>IFERROR(VLOOKUP($A:$A,CS!$A:$AK,36,FALSE),"")</f>
      </c>
    </row>
    <row r="426" ht="16.5" customHeight="1" spans="1:23" x14ac:dyDescent="0.25">
      <c r="A426" s="93"/>
      <c r="B426" s="79">
        <f>IFERROR(VLOOKUP($A:$A,CS!$A:$AK,3,FALSE),"")</f>
      </c>
      <c r="C426" s="79">
        <f>IFERROR(VLOOKUP($A:$A,CS!$A:$AK,4,FALSE),"")</f>
      </c>
      <c r="D426" s="79">
        <f>IFERROR(VLOOKUP($A:$A,CS!$A:$AK,5,FALSE),"")</f>
      </c>
      <c r="E426" s="79">
        <f>IFERROR(VLOOKUP($A:$A,CS!$A:$AK,7,FALSE),"")</f>
      </c>
      <c r="F426" s="79">
        <f>IFERROR(VLOOKUP($A:$A,CS!$A:$AK,8,FALSE),"")</f>
      </c>
      <c r="G426" s="79">
        <f>IFERROR(VLOOKUP($A:$A,CS!$A:$AK,10,FALSE),"")</f>
      </c>
      <c r="H426" s="79">
        <f>IFERROR(VLOOKUP($A:$A,CS!$A:$AK,14,FALSE),"")</f>
      </c>
      <c r="I426" s="79">
        <f>IFERROR(VLOOKUP($A:$A,CS!$A:$AK,15,FALSE),"")</f>
      </c>
      <c r="J426" s="79">
        <f>IFERROR(VLOOKUP($A:$A,CS!$A:$AK,18,FALSE),"")</f>
      </c>
      <c r="K426" s="79">
        <f>IFERROR(VLOOKUP($A:$A,CS!$A:$AK,19,FALSE),"")</f>
      </c>
      <c r="L426" s="79">
        <f>IFERROR(VLOOKUP($A:$A,CS!$A:$AK,20,FALSE),"")</f>
      </c>
      <c r="M426" s="79">
        <f>IFERROR(VLOOKUP($A:$A,CS!$A:$AK,22,FALSE),"")</f>
      </c>
      <c r="N426" s="79">
        <f>IFERROR(VLOOKUP($A:$A,CS!$A:$AK,19,FALSE),"")</f>
      </c>
      <c r="O426" s="79">
        <f>IFERROR(VLOOKUP($A:$A,CS!$A:$AK,23,FALSE),"")</f>
      </c>
      <c r="P426" s="79">
        <f>IFERROR(VLOOKUP($A:$A,CS!$A:$AK,24,FALSE),"")</f>
      </c>
      <c r="Q426" s="79">
        <f>IFERROR(VLOOKUP($A:$A,CS!$A:$AK,25,FALSE),"")</f>
      </c>
      <c r="R426" s="79">
        <f>IFERROR(VLOOKUP($A:$A,CS!$A:$AK,26,FALSE),"")</f>
      </c>
      <c r="S426" s="79">
        <f>IFERROR(VLOOKUP($A:$A,CS!$A:$AK,29,FALSE),"")</f>
      </c>
      <c r="T426" s="79">
        <f>IFERROR(VLOOKUP($A:$A,CS!$A:$AK,33,FALSE),"")</f>
      </c>
      <c r="U426" s="79">
        <f>IFERROR(VLOOKUP($A:$A,CS!$A:$AK,34,FALSE),"")</f>
      </c>
      <c r="V426" s="79">
        <f>IFERROR(VLOOKUP($A:$A,CS!$A:$AK,35,FALSE),"")</f>
      </c>
      <c r="W426" s="79">
        <f>IFERROR(VLOOKUP($A:$A,CS!$A:$AK,36,FALSE),"")</f>
      </c>
    </row>
    <row r="427" ht="16.5" customHeight="1" spans="1:23" x14ac:dyDescent="0.25">
      <c r="A427" s="93"/>
      <c r="B427" s="79">
        <f>IFERROR(VLOOKUP($A:$A,CS!$A:$AK,3,FALSE),"")</f>
      </c>
      <c r="C427" s="79">
        <f>IFERROR(VLOOKUP($A:$A,CS!$A:$AK,4,FALSE),"")</f>
      </c>
      <c r="D427" s="79">
        <f>IFERROR(VLOOKUP($A:$A,CS!$A:$AK,5,FALSE),"")</f>
      </c>
      <c r="E427" s="79">
        <f>IFERROR(VLOOKUP($A:$A,CS!$A:$AK,7,FALSE),"")</f>
      </c>
      <c r="F427" s="79">
        <f>IFERROR(VLOOKUP($A:$A,CS!$A:$AK,8,FALSE),"")</f>
      </c>
      <c r="G427" s="79">
        <f>IFERROR(VLOOKUP($A:$A,CS!$A:$AK,10,FALSE),"")</f>
      </c>
      <c r="H427" s="79">
        <f>IFERROR(VLOOKUP($A:$A,CS!$A:$AK,14,FALSE),"")</f>
      </c>
      <c r="I427" s="79">
        <f>IFERROR(VLOOKUP($A:$A,CS!$A:$AK,15,FALSE),"")</f>
      </c>
      <c r="J427" s="79">
        <f>IFERROR(VLOOKUP($A:$A,CS!$A:$AK,18,FALSE),"")</f>
      </c>
      <c r="K427" s="79">
        <f>IFERROR(VLOOKUP($A:$A,CS!$A:$AK,19,FALSE),"")</f>
      </c>
      <c r="L427" s="79">
        <f>IFERROR(VLOOKUP($A:$A,CS!$A:$AK,20,FALSE),"")</f>
      </c>
      <c r="M427" s="79">
        <f>IFERROR(VLOOKUP($A:$A,CS!$A:$AK,22,FALSE),"")</f>
      </c>
      <c r="N427" s="79">
        <f>IFERROR(VLOOKUP($A:$A,CS!$A:$AK,19,FALSE),"")</f>
      </c>
      <c r="O427" s="79">
        <f>IFERROR(VLOOKUP($A:$A,CS!$A:$AK,23,FALSE),"")</f>
      </c>
      <c r="P427" s="79">
        <f>IFERROR(VLOOKUP($A:$A,CS!$A:$AK,24,FALSE),"")</f>
      </c>
      <c r="Q427" s="79">
        <f>IFERROR(VLOOKUP($A:$A,CS!$A:$AK,25,FALSE),"")</f>
      </c>
      <c r="R427" s="79">
        <f>IFERROR(VLOOKUP($A:$A,CS!$A:$AK,26,FALSE),"")</f>
      </c>
      <c r="S427" s="79">
        <f>IFERROR(VLOOKUP($A:$A,CS!$A:$AK,29,FALSE),"")</f>
      </c>
      <c r="T427" s="79">
        <f>IFERROR(VLOOKUP($A:$A,CS!$A:$AK,33,FALSE),"")</f>
      </c>
      <c r="U427" s="79">
        <f>IFERROR(VLOOKUP($A:$A,CS!$A:$AK,34,FALSE),"")</f>
      </c>
      <c r="V427" s="79">
        <f>IFERROR(VLOOKUP($A:$A,CS!$A:$AK,35,FALSE),"")</f>
      </c>
      <c r="W427" s="79">
        <f>IFERROR(VLOOKUP($A:$A,CS!$A:$AK,36,FALSE),"")</f>
      </c>
    </row>
    <row r="428" ht="16.5" customHeight="1" spans="1:23" x14ac:dyDescent="0.25">
      <c r="A428" s="93"/>
      <c r="B428" s="79">
        <f>IFERROR(VLOOKUP($A:$A,CS!$A:$AK,3,FALSE),"")</f>
      </c>
      <c r="C428" s="79">
        <f>IFERROR(VLOOKUP($A:$A,CS!$A:$AK,4,FALSE),"")</f>
      </c>
      <c r="D428" s="79">
        <f>IFERROR(VLOOKUP($A:$A,CS!$A:$AK,5,FALSE),"")</f>
      </c>
      <c r="E428" s="79">
        <f>IFERROR(VLOOKUP($A:$A,CS!$A:$AK,7,FALSE),"")</f>
      </c>
      <c r="F428" s="79">
        <f>IFERROR(VLOOKUP($A:$A,CS!$A:$AK,8,FALSE),"")</f>
      </c>
      <c r="G428" s="79">
        <f>IFERROR(VLOOKUP($A:$A,CS!$A:$AK,10,FALSE),"")</f>
      </c>
      <c r="H428" s="79">
        <f>IFERROR(VLOOKUP($A:$A,CS!$A:$AK,14,FALSE),"")</f>
      </c>
      <c r="I428" s="79">
        <f>IFERROR(VLOOKUP($A:$A,CS!$A:$AK,15,FALSE),"")</f>
      </c>
      <c r="J428" s="79">
        <f>IFERROR(VLOOKUP($A:$A,CS!$A:$AK,18,FALSE),"")</f>
      </c>
      <c r="K428" s="79">
        <f>IFERROR(VLOOKUP($A:$A,CS!$A:$AK,19,FALSE),"")</f>
      </c>
      <c r="L428" s="79">
        <f>IFERROR(VLOOKUP($A:$A,CS!$A:$AK,20,FALSE),"")</f>
      </c>
      <c r="M428" s="79">
        <f>IFERROR(VLOOKUP($A:$A,CS!$A:$AK,22,FALSE),"")</f>
      </c>
      <c r="N428" s="79">
        <f>IFERROR(VLOOKUP($A:$A,CS!$A:$AK,19,FALSE),"")</f>
      </c>
      <c r="O428" s="79">
        <f>IFERROR(VLOOKUP($A:$A,CS!$A:$AK,23,FALSE),"")</f>
      </c>
      <c r="P428" s="79">
        <f>IFERROR(VLOOKUP($A:$A,CS!$A:$AK,24,FALSE),"")</f>
      </c>
      <c r="Q428" s="79">
        <f>IFERROR(VLOOKUP($A:$A,CS!$A:$AK,25,FALSE),"")</f>
      </c>
      <c r="R428" s="79">
        <f>IFERROR(VLOOKUP($A:$A,CS!$A:$AK,26,FALSE),"")</f>
      </c>
      <c r="S428" s="79">
        <f>IFERROR(VLOOKUP($A:$A,CS!$A:$AK,29,FALSE),"")</f>
      </c>
      <c r="T428" s="79">
        <f>IFERROR(VLOOKUP($A:$A,CS!$A:$AK,33,FALSE),"")</f>
      </c>
      <c r="U428" s="79">
        <f>IFERROR(VLOOKUP($A:$A,CS!$A:$AK,34,FALSE),"")</f>
      </c>
      <c r="V428" s="79">
        <f>IFERROR(VLOOKUP($A:$A,CS!$A:$AK,35,FALSE),"")</f>
      </c>
      <c r="W428" s="79">
        <f>IFERROR(VLOOKUP($A:$A,CS!$A:$AK,36,FALSE),"")</f>
      </c>
    </row>
    <row r="429" ht="16.5" customHeight="1" spans="1:23" x14ac:dyDescent="0.25">
      <c r="A429" s="93"/>
      <c r="B429" s="79">
        <f>IFERROR(VLOOKUP($A:$A,CS!$A:$AK,3,FALSE),"")</f>
      </c>
      <c r="C429" s="79">
        <f>IFERROR(VLOOKUP($A:$A,CS!$A:$AK,4,FALSE),"")</f>
      </c>
      <c r="D429" s="79">
        <f>IFERROR(VLOOKUP($A:$A,CS!$A:$AK,5,FALSE),"")</f>
      </c>
      <c r="E429" s="79">
        <f>IFERROR(VLOOKUP($A:$A,CS!$A:$AK,7,FALSE),"")</f>
      </c>
      <c r="F429" s="79">
        <f>IFERROR(VLOOKUP($A:$A,CS!$A:$AK,8,FALSE),"")</f>
      </c>
      <c r="G429" s="79">
        <f>IFERROR(VLOOKUP($A:$A,CS!$A:$AK,10,FALSE),"")</f>
      </c>
      <c r="H429" s="79">
        <f>IFERROR(VLOOKUP($A:$A,CS!$A:$AK,14,FALSE),"")</f>
      </c>
      <c r="I429" s="79">
        <f>IFERROR(VLOOKUP($A:$A,CS!$A:$AK,15,FALSE),"")</f>
      </c>
      <c r="J429" s="79">
        <f>IFERROR(VLOOKUP($A:$A,CS!$A:$AK,18,FALSE),"")</f>
      </c>
      <c r="K429" s="79">
        <f>IFERROR(VLOOKUP($A:$A,CS!$A:$AK,19,FALSE),"")</f>
      </c>
      <c r="L429" s="79">
        <f>IFERROR(VLOOKUP($A:$A,CS!$A:$AK,20,FALSE),"")</f>
      </c>
      <c r="M429" s="79">
        <f>IFERROR(VLOOKUP($A:$A,CS!$A:$AK,22,FALSE),"")</f>
      </c>
      <c r="N429" s="79">
        <f>IFERROR(VLOOKUP($A:$A,CS!$A:$AK,19,FALSE),"")</f>
      </c>
      <c r="O429" s="79">
        <f>IFERROR(VLOOKUP($A:$A,CS!$A:$AK,23,FALSE),"")</f>
      </c>
      <c r="P429" s="79">
        <f>IFERROR(VLOOKUP($A:$A,CS!$A:$AK,24,FALSE),"")</f>
      </c>
      <c r="Q429" s="79">
        <f>IFERROR(VLOOKUP($A:$A,CS!$A:$AK,25,FALSE),"")</f>
      </c>
      <c r="R429" s="79">
        <f>IFERROR(VLOOKUP($A:$A,CS!$A:$AK,26,FALSE),"")</f>
      </c>
      <c r="S429" s="79">
        <f>IFERROR(VLOOKUP($A:$A,CS!$A:$AK,29,FALSE),"")</f>
      </c>
      <c r="T429" s="79">
        <f>IFERROR(VLOOKUP($A:$A,CS!$A:$AK,33,FALSE),"")</f>
      </c>
      <c r="U429" s="79">
        <f>IFERROR(VLOOKUP($A:$A,CS!$A:$AK,34,FALSE),"")</f>
      </c>
      <c r="V429" s="79">
        <f>IFERROR(VLOOKUP($A:$A,CS!$A:$AK,35,FALSE),"")</f>
      </c>
      <c r="W429" s="79">
        <f>IFERROR(VLOOKUP($A:$A,CS!$A:$AK,36,FALSE),"")</f>
      </c>
    </row>
    <row r="430" ht="16.5" customHeight="1" spans="1:23" x14ac:dyDescent="0.25">
      <c r="A430" s="93"/>
      <c r="B430" s="79">
        <f>IFERROR(VLOOKUP($A:$A,CS!$A:$AK,3,FALSE),"")</f>
      </c>
      <c r="C430" s="79">
        <f>IFERROR(VLOOKUP($A:$A,CS!$A:$AK,4,FALSE),"")</f>
      </c>
      <c r="D430" s="79">
        <f>IFERROR(VLOOKUP($A:$A,CS!$A:$AK,5,FALSE),"")</f>
      </c>
      <c r="E430" s="79">
        <f>IFERROR(VLOOKUP($A:$A,CS!$A:$AK,7,FALSE),"")</f>
      </c>
      <c r="F430" s="79">
        <f>IFERROR(VLOOKUP($A:$A,CS!$A:$AK,8,FALSE),"")</f>
      </c>
      <c r="G430" s="79">
        <f>IFERROR(VLOOKUP($A:$A,CS!$A:$AK,10,FALSE),"")</f>
      </c>
      <c r="H430" s="79">
        <f>IFERROR(VLOOKUP($A:$A,CS!$A:$AK,14,FALSE),"")</f>
      </c>
      <c r="I430" s="79">
        <f>IFERROR(VLOOKUP($A:$A,CS!$A:$AK,15,FALSE),"")</f>
      </c>
      <c r="J430" s="79">
        <f>IFERROR(VLOOKUP($A:$A,CS!$A:$AK,18,FALSE),"")</f>
      </c>
      <c r="K430" s="79">
        <f>IFERROR(VLOOKUP($A:$A,CS!$A:$AK,19,FALSE),"")</f>
      </c>
      <c r="L430" s="79">
        <f>IFERROR(VLOOKUP($A:$A,CS!$A:$AK,20,FALSE),"")</f>
      </c>
      <c r="M430" s="79">
        <f>IFERROR(VLOOKUP($A:$A,CS!$A:$AK,22,FALSE),"")</f>
      </c>
      <c r="N430" s="79">
        <f>IFERROR(VLOOKUP($A:$A,CS!$A:$AK,19,FALSE),"")</f>
      </c>
      <c r="O430" s="79">
        <f>IFERROR(VLOOKUP($A:$A,CS!$A:$AK,23,FALSE),"")</f>
      </c>
      <c r="P430" s="79">
        <f>IFERROR(VLOOKUP($A:$A,CS!$A:$AK,24,FALSE),"")</f>
      </c>
      <c r="Q430" s="79">
        <f>IFERROR(VLOOKUP($A:$A,CS!$A:$AK,25,FALSE),"")</f>
      </c>
      <c r="R430" s="79">
        <f>IFERROR(VLOOKUP($A:$A,CS!$A:$AK,26,FALSE),"")</f>
      </c>
      <c r="S430" s="79">
        <f>IFERROR(VLOOKUP($A:$A,CS!$A:$AK,29,FALSE),"")</f>
      </c>
      <c r="T430" s="79">
        <f>IFERROR(VLOOKUP($A:$A,CS!$A:$AK,33,FALSE),"")</f>
      </c>
      <c r="U430" s="79">
        <f>IFERROR(VLOOKUP($A:$A,CS!$A:$AK,34,FALSE),"")</f>
      </c>
      <c r="V430" s="79">
        <f>IFERROR(VLOOKUP($A:$A,CS!$A:$AK,35,FALSE),"")</f>
      </c>
      <c r="W430" s="79">
        <f>IFERROR(VLOOKUP($A:$A,CS!$A:$AK,36,FALSE),"")</f>
      </c>
    </row>
    <row r="431" ht="16.5" customHeight="1" spans="1:23" x14ac:dyDescent="0.25">
      <c r="A431" s="93"/>
      <c r="B431" s="79">
        <f>IFERROR(VLOOKUP($A:$A,CS!$A:$AK,3,FALSE),"")</f>
      </c>
      <c r="C431" s="79">
        <f>IFERROR(VLOOKUP($A:$A,CS!$A:$AK,4,FALSE),"")</f>
      </c>
      <c r="D431" s="79">
        <f>IFERROR(VLOOKUP($A:$A,CS!$A:$AK,5,FALSE),"")</f>
      </c>
      <c r="E431" s="79">
        <f>IFERROR(VLOOKUP($A:$A,CS!$A:$AK,7,FALSE),"")</f>
      </c>
      <c r="F431" s="79">
        <f>IFERROR(VLOOKUP($A:$A,CS!$A:$AK,8,FALSE),"")</f>
      </c>
      <c r="G431" s="79">
        <f>IFERROR(VLOOKUP($A:$A,CS!$A:$AK,10,FALSE),"")</f>
      </c>
      <c r="H431" s="79">
        <f>IFERROR(VLOOKUP($A:$A,CS!$A:$AK,14,FALSE),"")</f>
      </c>
      <c r="I431" s="79">
        <f>IFERROR(VLOOKUP($A:$A,CS!$A:$AK,15,FALSE),"")</f>
      </c>
      <c r="J431" s="79">
        <f>IFERROR(VLOOKUP($A:$A,CS!$A:$AK,18,FALSE),"")</f>
      </c>
      <c r="K431" s="79">
        <f>IFERROR(VLOOKUP($A:$A,CS!$A:$AK,19,FALSE),"")</f>
      </c>
      <c r="L431" s="79">
        <f>IFERROR(VLOOKUP($A:$A,CS!$A:$AK,20,FALSE),"")</f>
      </c>
      <c r="M431" s="79">
        <f>IFERROR(VLOOKUP($A:$A,CS!$A:$AK,22,FALSE),"")</f>
      </c>
      <c r="N431" s="79">
        <f>IFERROR(VLOOKUP($A:$A,CS!$A:$AK,19,FALSE),"")</f>
      </c>
      <c r="O431" s="79">
        <f>IFERROR(VLOOKUP($A:$A,CS!$A:$AK,23,FALSE),"")</f>
      </c>
      <c r="P431" s="79">
        <f>IFERROR(VLOOKUP($A:$A,CS!$A:$AK,24,FALSE),"")</f>
      </c>
      <c r="Q431" s="79">
        <f>IFERROR(VLOOKUP($A:$A,CS!$A:$AK,25,FALSE),"")</f>
      </c>
      <c r="R431" s="79">
        <f>IFERROR(VLOOKUP($A:$A,CS!$A:$AK,26,FALSE),"")</f>
      </c>
      <c r="S431" s="79">
        <f>IFERROR(VLOOKUP($A:$A,CS!$A:$AK,29,FALSE),"")</f>
      </c>
      <c r="T431" s="79">
        <f>IFERROR(VLOOKUP($A:$A,CS!$A:$AK,33,FALSE),"")</f>
      </c>
      <c r="U431" s="79">
        <f>IFERROR(VLOOKUP($A:$A,CS!$A:$AK,34,FALSE),"")</f>
      </c>
      <c r="V431" s="79">
        <f>IFERROR(VLOOKUP($A:$A,CS!$A:$AK,35,FALSE),"")</f>
      </c>
      <c r="W431" s="79">
        <f>IFERROR(VLOOKUP($A:$A,CS!$A:$AK,36,FALSE),"")</f>
      </c>
    </row>
    <row r="432" ht="16.5" customHeight="1" spans="1:23" x14ac:dyDescent="0.25">
      <c r="A432" s="93"/>
      <c r="B432" s="79">
        <f>IFERROR(VLOOKUP($A:$A,CS!$A:$AK,3,FALSE),"")</f>
      </c>
      <c r="C432" s="79">
        <f>IFERROR(VLOOKUP($A:$A,CS!$A:$AK,4,FALSE),"")</f>
      </c>
      <c r="D432" s="79">
        <f>IFERROR(VLOOKUP($A:$A,CS!$A:$AK,5,FALSE),"")</f>
      </c>
      <c r="E432" s="79">
        <f>IFERROR(VLOOKUP($A:$A,CS!$A:$AK,7,FALSE),"")</f>
      </c>
      <c r="F432" s="79">
        <f>IFERROR(VLOOKUP($A:$A,CS!$A:$AK,8,FALSE),"")</f>
      </c>
      <c r="G432" s="79">
        <f>IFERROR(VLOOKUP($A:$A,CS!$A:$AK,10,FALSE),"")</f>
      </c>
      <c r="H432" s="79">
        <f>IFERROR(VLOOKUP($A:$A,CS!$A:$AK,14,FALSE),"")</f>
      </c>
      <c r="I432" s="79">
        <f>IFERROR(VLOOKUP($A:$A,CS!$A:$AK,15,FALSE),"")</f>
      </c>
      <c r="J432" s="79">
        <f>IFERROR(VLOOKUP($A:$A,CS!$A:$AK,18,FALSE),"")</f>
      </c>
      <c r="K432" s="79">
        <f>IFERROR(VLOOKUP($A:$A,CS!$A:$AK,19,FALSE),"")</f>
      </c>
      <c r="L432" s="79">
        <f>IFERROR(VLOOKUP($A:$A,CS!$A:$AK,20,FALSE),"")</f>
      </c>
      <c r="M432" s="79">
        <f>IFERROR(VLOOKUP($A:$A,CS!$A:$AK,22,FALSE),"")</f>
      </c>
      <c r="N432" s="79">
        <f>IFERROR(VLOOKUP($A:$A,CS!$A:$AK,19,FALSE),"")</f>
      </c>
      <c r="O432" s="79">
        <f>IFERROR(VLOOKUP($A:$A,CS!$A:$AK,23,FALSE),"")</f>
      </c>
      <c r="P432" s="79">
        <f>IFERROR(VLOOKUP($A:$A,CS!$A:$AK,24,FALSE),"")</f>
      </c>
      <c r="Q432" s="79">
        <f>IFERROR(VLOOKUP($A:$A,CS!$A:$AK,25,FALSE),"")</f>
      </c>
      <c r="R432" s="79">
        <f>IFERROR(VLOOKUP($A:$A,CS!$A:$AK,26,FALSE),"")</f>
      </c>
      <c r="S432" s="79">
        <f>IFERROR(VLOOKUP($A:$A,CS!$A:$AK,29,FALSE),"")</f>
      </c>
      <c r="T432" s="79">
        <f>IFERROR(VLOOKUP($A:$A,CS!$A:$AK,33,FALSE),"")</f>
      </c>
      <c r="U432" s="79">
        <f>IFERROR(VLOOKUP($A:$A,CS!$A:$AK,34,FALSE),"")</f>
      </c>
      <c r="V432" s="79">
        <f>IFERROR(VLOOKUP($A:$A,CS!$A:$AK,35,FALSE),"")</f>
      </c>
      <c r="W432" s="79">
        <f>IFERROR(VLOOKUP($A:$A,CS!$A:$AK,36,FALSE),"")</f>
      </c>
    </row>
    <row r="433" ht="16.5" customHeight="1" spans="1:23" x14ac:dyDescent="0.25">
      <c r="A433" s="93"/>
      <c r="B433" s="79">
        <f>IFERROR(VLOOKUP($A:$A,CS!$A:$AK,3,FALSE),"")</f>
      </c>
      <c r="C433" s="79">
        <f>IFERROR(VLOOKUP($A:$A,CS!$A:$AK,4,FALSE),"")</f>
      </c>
      <c r="D433" s="79">
        <f>IFERROR(VLOOKUP($A:$A,CS!$A:$AK,5,FALSE),"")</f>
      </c>
      <c r="E433" s="79">
        <f>IFERROR(VLOOKUP($A:$A,CS!$A:$AK,7,FALSE),"")</f>
      </c>
      <c r="F433" s="79">
        <f>IFERROR(VLOOKUP($A:$A,CS!$A:$AK,8,FALSE),"")</f>
      </c>
      <c r="G433" s="79">
        <f>IFERROR(VLOOKUP($A:$A,CS!$A:$AK,10,FALSE),"")</f>
      </c>
      <c r="H433" s="79">
        <f>IFERROR(VLOOKUP($A:$A,CS!$A:$AK,14,FALSE),"")</f>
      </c>
      <c r="I433" s="79">
        <f>IFERROR(VLOOKUP($A:$A,CS!$A:$AK,15,FALSE),"")</f>
      </c>
      <c r="J433" s="79">
        <f>IFERROR(VLOOKUP($A:$A,CS!$A:$AK,18,FALSE),"")</f>
      </c>
      <c r="K433" s="79">
        <f>IFERROR(VLOOKUP($A:$A,CS!$A:$AK,19,FALSE),"")</f>
      </c>
      <c r="L433" s="79">
        <f>IFERROR(VLOOKUP($A:$A,CS!$A:$AK,20,FALSE),"")</f>
      </c>
      <c r="M433" s="79">
        <f>IFERROR(VLOOKUP($A:$A,CS!$A:$AK,22,FALSE),"")</f>
      </c>
      <c r="N433" s="79">
        <f>IFERROR(VLOOKUP($A:$A,CS!$A:$AK,19,FALSE),"")</f>
      </c>
      <c r="O433" s="79">
        <f>IFERROR(VLOOKUP($A:$A,CS!$A:$AK,23,FALSE),"")</f>
      </c>
      <c r="P433" s="79">
        <f>IFERROR(VLOOKUP($A:$A,CS!$A:$AK,24,FALSE),"")</f>
      </c>
      <c r="Q433" s="79">
        <f>IFERROR(VLOOKUP($A:$A,CS!$A:$AK,25,FALSE),"")</f>
      </c>
      <c r="R433" s="79">
        <f>IFERROR(VLOOKUP($A:$A,CS!$A:$AK,26,FALSE),"")</f>
      </c>
      <c r="S433" s="79">
        <f>IFERROR(VLOOKUP($A:$A,CS!$A:$AK,29,FALSE),"")</f>
      </c>
      <c r="T433" s="79">
        <f>IFERROR(VLOOKUP($A:$A,CS!$A:$AK,33,FALSE),"")</f>
      </c>
      <c r="U433" s="79">
        <f>IFERROR(VLOOKUP($A:$A,CS!$A:$AK,34,FALSE),"")</f>
      </c>
      <c r="V433" s="79">
        <f>IFERROR(VLOOKUP($A:$A,CS!$A:$AK,35,FALSE),"")</f>
      </c>
      <c r="W433" s="79">
        <f>IFERROR(VLOOKUP($A:$A,CS!$A:$AK,36,FALSE),"")</f>
      </c>
    </row>
    <row r="434" ht="16.5" customHeight="1" spans="1:23" x14ac:dyDescent="0.25">
      <c r="A434" s="93"/>
      <c r="B434" s="79">
        <f>IFERROR(VLOOKUP($A:$A,CS!$A:$AK,3,FALSE),"")</f>
      </c>
      <c r="C434" s="79">
        <f>IFERROR(VLOOKUP($A:$A,CS!$A:$AK,4,FALSE),"")</f>
      </c>
      <c r="D434" s="79">
        <f>IFERROR(VLOOKUP($A:$A,CS!$A:$AK,5,FALSE),"")</f>
      </c>
      <c r="E434" s="79">
        <f>IFERROR(VLOOKUP($A:$A,CS!$A:$AK,7,FALSE),"")</f>
      </c>
      <c r="F434" s="79">
        <f>IFERROR(VLOOKUP($A:$A,CS!$A:$AK,8,FALSE),"")</f>
      </c>
      <c r="G434" s="79">
        <f>IFERROR(VLOOKUP($A:$A,CS!$A:$AK,10,FALSE),"")</f>
      </c>
      <c r="H434" s="79">
        <f>IFERROR(VLOOKUP($A:$A,CS!$A:$AK,14,FALSE),"")</f>
      </c>
      <c r="I434" s="79">
        <f>IFERROR(VLOOKUP($A:$A,CS!$A:$AK,15,FALSE),"")</f>
      </c>
      <c r="J434" s="79">
        <f>IFERROR(VLOOKUP($A:$A,CS!$A:$AK,18,FALSE),"")</f>
      </c>
      <c r="K434" s="79">
        <f>IFERROR(VLOOKUP($A:$A,CS!$A:$AK,19,FALSE),"")</f>
      </c>
      <c r="L434" s="79">
        <f>IFERROR(VLOOKUP($A:$A,CS!$A:$AK,20,FALSE),"")</f>
      </c>
      <c r="M434" s="79">
        <f>IFERROR(VLOOKUP($A:$A,CS!$A:$AK,22,FALSE),"")</f>
      </c>
      <c r="N434" s="79">
        <f>IFERROR(VLOOKUP($A:$A,CS!$A:$AK,19,FALSE),"")</f>
      </c>
      <c r="O434" s="79">
        <f>IFERROR(VLOOKUP($A:$A,CS!$A:$AK,23,FALSE),"")</f>
      </c>
      <c r="P434" s="79">
        <f>IFERROR(VLOOKUP($A:$A,CS!$A:$AK,24,FALSE),"")</f>
      </c>
      <c r="Q434" s="79">
        <f>IFERROR(VLOOKUP($A:$A,CS!$A:$AK,25,FALSE),"")</f>
      </c>
      <c r="R434" s="79">
        <f>IFERROR(VLOOKUP($A:$A,CS!$A:$AK,26,FALSE),"")</f>
      </c>
      <c r="S434" s="79">
        <f>IFERROR(VLOOKUP($A:$A,CS!$A:$AK,29,FALSE),"")</f>
      </c>
      <c r="T434" s="79">
        <f>IFERROR(VLOOKUP($A:$A,CS!$A:$AK,33,FALSE),"")</f>
      </c>
      <c r="U434" s="79">
        <f>IFERROR(VLOOKUP($A:$A,CS!$A:$AK,34,FALSE),"")</f>
      </c>
      <c r="V434" s="79">
        <f>IFERROR(VLOOKUP($A:$A,CS!$A:$AK,35,FALSE),"")</f>
      </c>
      <c r="W434" s="79">
        <f>IFERROR(VLOOKUP($A:$A,CS!$A:$AK,36,FALSE),"")</f>
      </c>
    </row>
    <row r="435" ht="16.5" customHeight="1" spans="1:23" x14ac:dyDescent="0.25">
      <c r="A435" s="93"/>
      <c r="B435" s="79">
        <f>IFERROR(VLOOKUP($A:$A,CS!$A:$AK,3,FALSE),"")</f>
      </c>
      <c r="C435" s="79">
        <f>IFERROR(VLOOKUP($A:$A,CS!$A:$AK,4,FALSE),"")</f>
      </c>
      <c r="D435" s="79">
        <f>IFERROR(VLOOKUP($A:$A,CS!$A:$AK,5,FALSE),"")</f>
      </c>
      <c r="E435" s="79">
        <f>IFERROR(VLOOKUP($A:$A,CS!$A:$AK,7,FALSE),"")</f>
      </c>
      <c r="F435" s="79">
        <f>IFERROR(VLOOKUP($A:$A,CS!$A:$AK,8,FALSE),"")</f>
      </c>
      <c r="G435" s="79">
        <f>IFERROR(VLOOKUP($A:$A,CS!$A:$AK,10,FALSE),"")</f>
      </c>
      <c r="H435" s="79">
        <f>IFERROR(VLOOKUP($A:$A,CS!$A:$AK,14,FALSE),"")</f>
      </c>
      <c r="I435" s="79">
        <f>IFERROR(VLOOKUP($A:$A,CS!$A:$AK,15,FALSE),"")</f>
      </c>
      <c r="J435" s="79">
        <f>IFERROR(VLOOKUP($A:$A,CS!$A:$AK,18,FALSE),"")</f>
      </c>
      <c r="K435" s="79">
        <f>IFERROR(VLOOKUP($A:$A,CS!$A:$AK,19,FALSE),"")</f>
      </c>
      <c r="L435" s="79">
        <f>IFERROR(VLOOKUP($A:$A,CS!$A:$AK,20,FALSE),"")</f>
      </c>
      <c r="M435" s="79">
        <f>IFERROR(VLOOKUP($A:$A,CS!$A:$AK,22,FALSE),"")</f>
      </c>
      <c r="N435" s="79">
        <f>IFERROR(VLOOKUP($A:$A,CS!$A:$AK,19,FALSE),"")</f>
      </c>
      <c r="O435" s="79">
        <f>IFERROR(VLOOKUP($A:$A,CS!$A:$AK,23,FALSE),"")</f>
      </c>
      <c r="P435" s="79">
        <f>IFERROR(VLOOKUP($A:$A,CS!$A:$AK,24,FALSE),"")</f>
      </c>
      <c r="Q435" s="79">
        <f>IFERROR(VLOOKUP($A:$A,CS!$A:$AK,25,FALSE),"")</f>
      </c>
      <c r="R435" s="79">
        <f>IFERROR(VLOOKUP($A:$A,CS!$A:$AK,26,FALSE),"")</f>
      </c>
      <c r="S435" s="79">
        <f>IFERROR(VLOOKUP($A:$A,CS!$A:$AK,29,FALSE),"")</f>
      </c>
      <c r="T435" s="79">
        <f>IFERROR(VLOOKUP($A:$A,CS!$A:$AK,33,FALSE),"")</f>
      </c>
      <c r="U435" s="79">
        <f>IFERROR(VLOOKUP($A:$A,CS!$A:$AK,34,FALSE),"")</f>
      </c>
      <c r="V435" s="79">
        <f>IFERROR(VLOOKUP($A:$A,CS!$A:$AK,35,FALSE),"")</f>
      </c>
      <c r="W435" s="79">
        <f>IFERROR(VLOOKUP($A:$A,CS!$A:$AK,36,FALSE),"")</f>
      </c>
    </row>
    <row r="436" ht="16.5" customHeight="1" spans="1:23" x14ac:dyDescent="0.25">
      <c r="A436" s="93"/>
      <c r="B436" s="79">
        <f>IFERROR(VLOOKUP($A:$A,CS!$A:$AK,3,FALSE),"")</f>
      </c>
      <c r="C436" s="79">
        <f>IFERROR(VLOOKUP($A:$A,CS!$A:$AK,4,FALSE),"")</f>
      </c>
      <c r="D436" s="79">
        <f>IFERROR(VLOOKUP($A:$A,CS!$A:$AK,5,FALSE),"")</f>
      </c>
      <c r="E436" s="79">
        <f>IFERROR(VLOOKUP($A:$A,CS!$A:$AK,7,FALSE),"")</f>
      </c>
      <c r="F436" s="79">
        <f>IFERROR(VLOOKUP($A:$A,CS!$A:$AK,8,FALSE),"")</f>
      </c>
      <c r="G436" s="79">
        <f>IFERROR(VLOOKUP($A:$A,CS!$A:$AK,10,FALSE),"")</f>
      </c>
      <c r="H436" s="79">
        <f>IFERROR(VLOOKUP($A:$A,CS!$A:$AK,14,FALSE),"")</f>
      </c>
      <c r="I436" s="79">
        <f>IFERROR(VLOOKUP($A:$A,CS!$A:$AK,15,FALSE),"")</f>
      </c>
      <c r="J436" s="79">
        <f>IFERROR(VLOOKUP($A:$A,CS!$A:$AK,18,FALSE),"")</f>
      </c>
      <c r="K436" s="79">
        <f>IFERROR(VLOOKUP($A:$A,CS!$A:$AK,19,FALSE),"")</f>
      </c>
      <c r="L436" s="79">
        <f>IFERROR(VLOOKUP($A:$A,CS!$A:$AK,20,FALSE),"")</f>
      </c>
      <c r="M436" s="79">
        <f>IFERROR(VLOOKUP($A:$A,CS!$A:$AK,22,FALSE),"")</f>
      </c>
      <c r="N436" s="79">
        <f>IFERROR(VLOOKUP($A:$A,CS!$A:$AK,19,FALSE),"")</f>
      </c>
      <c r="O436" s="79">
        <f>IFERROR(VLOOKUP($A:$A,CS!$A:$AK,23,FALSE),"")</f>
      </c>
      <c r="P436" s="79">
        <f>IFERROR(VLOOKUP($A:$A,CS!$A:$AK,24,FALSE),"")</f>
      </c>
      <c r="Q436" s="79">
        <f>IFERROR(VLOOKUP($A:$A,CS!$A:$AK,25,FALSE),"")</f>
      </c>
      <c r="R436" s="79">
        <f>IFERROR(VLOOKUP($A:$A,CS!$A:$AK,26,FALSE),"")</f>
      </c>
      <c r="S436" s="79">
        <f>IFERROR(VLOOKUP($A:$A,CS!$A:$AK,29,FALSE),"")</f>
      </c>
      <c r="T436" s="79">
        <f>IFERROR(VLOOKUP($A:$A,CS!$A:$AK,33,FALSE),"")</f>
      </c>
      <c r="U436" s="79">
        <f>IFERROR(VLOOKUP($A:$A,CS!$A:$AK,34,FALSE),"")</f>
      </c>
      <c r="V436" s="79">
        <f>IFERROR(VLOOKUP($A:$A,CS!$A:$AK,35,FALSE),"")</f>
      </c>
      <c r="W436" s="79">
        <f>IFERROR(VLOOKUP($A:$A,CS!$A:$AK,36,FALSE),"")</f>
      </c>
    </row>
    <row r="437" ht="16.5" customHeight="1" spans="1:23" x14ac:dyDescent="0.25">
      <c r="A437" s="93"/>
      <c r="B437" s="79">
        <f>IFERROR(VLOOKUP($A:$A,CS!$A:$AK,3,FALSE),"")</f>
      </c>
      <c r="C437" s="79">
        <f>IFERROR(VLOOKUP($A:$A,CS!$A:$AK,4,FALSE),"")</f>
      </c>
      <c r="D437" s="79">
        <f>IFERROR(VLOOKUP($A:$A,CS!$A:$AK,5,FALSE),"")</f>
      </c>
      <c r="E437" s="79">
        <f>IFERROR(VLOOKUP($A:$A,CS!$A:$AK,7,FALSE),"")</f>
      </c>
      <c r="F437" s="79">
        <f>IFERROR(VLOOKUP($A:$A,CS!$A:$AK,8,FALSE),"")</f>
      </c>
      <c r="G437" s="79">
        <f>IFERROR(VLOOKUP($A:$A,CS!$A:$AK,10,FALSE),"")</f>
      </c>
      <c r="H437" s="79">
        <f>IFERROR(VLOOKUP($A:$A,CS!$A:$AK,14,FALSE),"")</f>
      </c>
      <c r="I437" s="79">
        <f>IFERROR(VLOOKUP($A:$A,CS!$A:$AK,15,FALSE),"")</f>
      </c>
      <c r="J437" s="79">
        <f>IFERROR(VLOOKUP($A:$A,CS!$A:$AK,18,FALSE),"")</f>
      </c>
      <c r="K437" s="79">
        <f>IFERROR(VLOOKUP($A:$A,CS!$A:$AK,19,FALSE),"")</f>
      </c>
      <c r="L437" s="79">
        <f>IFERROR(VLOOKUP($A:$A,CS!$A:$AK,20,FALSE),"")</f>
      </c>
      <c r="M437" s="79">
        <f>IFERROR(VLOOKUP($A:$A,CS!$A:$AK,22,FALSE),"")</f>
      </c>
      <c r="N437" s="79">
        <f>IFERROR(VLOOKUP($A:$A,CS!$A:$AK,19,FALSE),"")</f>
      </c>
      <c r="O437" s="79">
        <f>IFERROR(VLOOKUP($A:$A,CS!$A:$AK,23,FALSE),"")</f>
      </c>
      <c r="P437" s="79">
        <f>IFERROR(VLOOKUP($A:$A,CS!$A:$AK,24,FALSE),"")</f>
      </c>
      <c r="Q437" s="79">
        <f>IFERROR(VLOOKUP($A:$A,CS!$A:$AK,25,FALSE),"")</f>
      </c>
      <c r="R437" s="79">
        <f>IFERROR(VLOOKUP($A:$A,CS!$A:$AK,26,FALSE),"")</f>
      </c>
      <c r="S437" s="79">
        <f>IFERROR(VLOOKUP($A:$A,CS!$A:$AK,29,FALSE),"")</f>
      </c>
      <c r="T437" s="79">
        <f>IFERROR(VLOOKUP($A:$A,CS!$A:$AK,33,FALSE),"")</f>
      </c>
      <c r="U437" s="79">
        <f>IFERROR(VLOOKUP($A:$A,CS!$A:$AK,34,FALSE),"")</f>
      </c>
      <c r="V437" s="79">
        <f>IFERROR(VLOOKUP($A:$A,CS!$A:$AK,35,FALSE),"")</f>
      </c>
      <c r="W437" s="79">
        <f>IFERROR(VLOOKUP($A:$A,CS!$A:$AK,36,FALSE),"")</f>
      </c>
    </row>
    <row r="438" ht="16.5" customHeight="1" spans="1:23" x14ac:dyDescent="0.25">
      <c r="A438" s="93"/>
      <c r="B438" s="79">
        <f>IFERROR(VLOOKUP($A:$A,CS!$A:$AK,3,FALSE),"")</f>
      </c>
      <c r="C438" s="79">
        <f>IFERROR(VLOOKUP($A:$A,CS!$A:$AK,4,FALSE),"")</f>
      </c>
      <c r="D438" s="79">
        <f>IFERROR(VLOOKUP($A:$A,CS!$A:$AK,5,FALSE),"")</f>
      </c>
      <c r="E438" s="79">
        <f>IFERROR(VLOOKUP($A:$A,CS!$A:$AK,7,FALSE),"")</f>
      </c>
      <c r="F438" s="79">
        <f>IFERROR(VLOOKUP($A:$A,CS!$A:$AK,8,FALSE),"")</f>
      </c>
      <c r="G438" s="79">
        <f>IFERROR(VLOOKUP($A:$A,CS!$A:$AK,10,FALSE),"")</f>
      </c>
      <c r="H438" s="79">
        <f>IFERROR(VLOOKUP($A:$A,CS!$A:$AK,14,FALSE),"")</f>
      </c>
      <c r="I438" s="79">
        <f>IFERROR(VLOOKUP($A:$A,CS!$A:$AK,15,FALSE),"")</f>
      </c>
      <c r="J438" s="79">
        <f>IFERROR(VLOOKUP($A:$A,CS!$A:$AK,18,FALSE),"")</f>
      </c>
      <c r="K438" s="79">
        <f>IFERROR(VLOOKUP($A:$A,CS!$A:$AK,19,FALSE),"")</f>
      </c>
      <c r="L438" s="79">
        <f>IFERROR(VLOOKUP($A:$A,CS!$A:$AK,20,FALSE),"")</f>
      </c>
      <c r="M438" s="79">
        <f>IFERROR(VLOOKUP($A:$A,CS!$A:$AK,22,FALSE),"")</f>
      </c>
      <c r="N438" s="79">
        <f>IFERROR(VLOOKUP($A:$A,CS!$A:$AK,19,FALSE),"")</f>
      </c>
      <c r="O438" s="79">
        <f>IFERROR(VLOOKUP($A:$A,CS!$A:$AK,23,FALSE),"")</f>
      </c>
      <c r="P438" s="79">
        <f>IFERROR(VLOOKUP($A:$A,CS!$A:$AK,24,FALSE),"")</f>
      </c>
      <c r="Q438" s="79">
        <f>IFERROR(VLOOKUP($A:$A,CS!$A:$AK,25,FALSE),"")</f>
      </c>
      <c r="R438" s="79">
        <f>IFERROR(VLOOKUP($A:$A,CS!$A:$AK,26,FALSE),"")</f>
      </c>
      <c r="S438" s="79">
        <f>IFERROR(VLOOKUP($A:$A,CS!$A:$AK,29,FALSE),"")</f>
      </c>
      <c r="T438" s="79">
        <f>IFERROR(VLOOKUP($A:$A,CS!$A:$AK,33,FALSE),"")</f>
      </c>
      <c r="U438" s="79">
        <f>IFERROR(VLOOKUP($A:$A,CS!$A:$AK,34,FALSE),"")</f>
      </c>
      <c r="V438" s="79">
        <f>IFERROR(VLOOKUP($A:$A,CS!$A:$AK,35,FALSE),"")</f>
      </c>
      <c r="W438" s="79">
        <f>IFERROR(VLOOKUP($A:$A,CS!$A:$AK,36,FALSE),"")</f>
      </c>
    </row>
    <row r="439" ht="16.5" customHeight="1" spans="1:23" x14ac:dyDescent="0.25">
      <c r="A439" s="93"/>
      <c r="B439" s="79">
        <f>IFERROR(VLOOKUP($A:$A,CS!$A:$AK,3,FALSE),"")</f>
      </c>
      <c r="C439" s="79">
        <f>IFERROR(VLOOKUP($A:$A,CS!$A:$AK,4,FALSE),"")</f>
      </c>
      <c r="D439" s="79">
        <f>IFERROR(VLOOKUP($A:$A,CS!$A:$AK,5,FALSE),"")</f>
      </c>
      <c r="E439" s="79">
        <f>IFERROR(VLOOKUP($A:$A,CS!$A:$AK,7,FALSE),"")</f>
      </c>
      <c r="F439" s="79">
        <f>IFERROR(VLOOKUP($A:$A,CS!$A:$AK,8,FALSE),"")</f>
      </c>
      <c r="G439" s="79">
        <f>IFERROR(VLOOKUP($A:$A,CS!$A:$AK,10,FALSE),"")</f>
      </c>
      <c r="H439" s="79">
        <f>IFERROR(VLOOKUP($A:$A,CS!$A:$AK,14,FALSE),"")</f>
      </c>
      <c r="I439" s="79">
        <f>IFERROR(VLOOKUP($A:$A,CS!$A:$AK,15,FALSE),"")</f>
      </c>
      <c r="J439" s="79">
        <f>IFERROR(VLOOKUP($A:$A,CS!$A:$AK,18,FALSE),"")</f>
      </c>
      <c r="K439" s="79">
        <f>IFERROR(VLOOKUP($A:$A,CS!$A:$AK,19,FALSE),"")</f>
      </c>
      <c r="L439" s="79">
        <f>IFERROR(VLOOKUP($A:$A,CS!$A:$AK,20,FALSE),"")</f>
      </c>
      <c r="M439" s="79">
        <f>IFERROR(VLOOKUP($A:$A,CS!$A:$AK,22,FALSE),"")</f>
      </c>
      <c r="N439" s="79">
        <f>IFERROR(VLOOKUP($A:$A,CS!$A:$AK,19,FALSE),"")</f>
      </c>
      <c r="O439" s="79">
        <f>IFERROR(VLOOKUP($A:$A,CS!$A:$AK,23,FALSE),"")</f>
      </c>
      <c r="P439" s="79">
        <f>IFERROR(VLOOKUP($A:$A,CS!$A:$AK,24,FALSE),"")</f>
      </c>
      <c r="Q439" s="79">
        <f>IFERROR(VLOOKUP($A:$A,CS!$A:$AK,25,FALSE),"")</f>
      </c>
      <c r="R439" s="79">
        <f>IFERROR(VLOOKUP($A:$A,CS!$A:$AK,26,FALSE),"")</f>
      </c>
      <c r="S439" s="79">
        <f>IFERROR(VLOOKUP($A:$A,CS!$A:$AK,29,FALSE),"")</f>
      </c>
      <c r="T439" s="79">
        <f>IFERROR(VLOOKUP($A:$A,CS!$A:$AK,33,FALSE),"")</f>
      </c>
      <c r="U439" s="79">
        <f>IFERROR(VLOOKUP($A:$A,CS!$A:$AK,34,FALSE),"")</f>
      </c>
      <c r="V439" s="79">
        <f>IFERROR(VLOOKUP($A:$A,CS!$A:$AK,35,FALSE),"")</f>
      </c>
      <c r="W439" s="79">
        <f>IFERROR(VLOOKUP($A:$A,CS!$A:$AK,36,FALSE),"")</f>
      </c>
    </row>
    <row r="440" ht="16.5" customHeight="1" spans="1:23" x14ac:dyDescent="0.25">
      <c r="A440" s="93"/>
      <c r="B440" s="79">
        <f>IFERROR(VLOOKUP($A:$A,CS!$A:$AK,3,FALSE),"")</f>
      </c>
      <c r="C440" s="79">
        <f>IFERROR(VLOOKUP($A:$A,CS!$A:$AK,4,FALSE),"")</f>
      </c>
      <c r="D440" s="79">
        <f>IFERROR(VLOOKUP($A:$A,CS!$A:$AK,5,FALSE),"")</f>
      </c>
      <c r="E440" s="79">
        <f>IFERROR(VLOOKUP($A:$A,CS!$A:$AK,7,FALSE),"")</f>
      </c>
      <c r="F440" s="79">
        <f>IFERROR(VLOOKUP($A:$A,CS!$A:$AK,8,FALSE),"")</f>
      </c>
      <c r="G440" s="79">
        <f>IFERROR(VLOOKUP($A:$A,CS!$A:$AK,10,FALSE),"")</f>
      </c>
      <c r="H440" s="79">
        <f>IFERROR(VLOOKUP($A:$A,CS!$A:$AK,14,FALSE),"")</f>
      </c>
      <c r="I440" s="79">
        <f>IFERROR(VLOOKUP($A:$A,CS!$A:$AK,15,FALSE),"")</f>
      </c>
      <c r="J440" s="79">
        <f>IFERROR(VLOOKUP($A:$A,CS!$A:$AK,18,FALSE),"")</f>
      </c>
      <c r="K440" s="79">
        <f>IFERROR(VLOOKUP($A:$A,CS!$A:$AK,19,FALSE),"")</f>
      </c>
      <c r="L440" s="79">
        <f>IFERROR(VLOOKUP($A:$A,CS!$A:$AK,20,FALSE),"")</f>
      </c>
      <c r="M440" s="79">
        <f>IFERROR(VLOOKUP($A:$A,CS!$A:$AK,22,FALSE),"")</f>
      </c>
      <c r="N440" s="79">
        <f>IFERROR(VLOOKUP($A:$A,CS!$A:$AK,19,FALSE),"")</f>
      </c>
      <c r="O440" s="79">
        <f>IFERROR(VLOOKUP($A:$A,CS!$A:$AK,23,FALSE),"")</f>
      </c>
      <c r="P440" s="79">
        <f>IFERROR(VLOOKUP($A:$A,CS!$A:$AK,24,FALSE),"")</f>
      </c>
      <c r="Q440" s="79">
        <f>IFERROR(VLOOKUP($A:$A,CS!$A:$AK,25,FALSE),"")</f>
      </c>
      <c r="R440" s="79">
        <f>IFERROR(VLOOKUP($A:$A,CS!$A:$AK,26,FALSE),"")</f>
      </c>
      <c r="S440" s="79">
        <f>IFERROR(VLOOKUP($A:$A,CS!$A:$AK,29,FALSE),"")</f>
      </c>
      <c r="T440" s="79">
        <f>IFERROR(VLOOKUP($A:$A,CS!$A:$AK,33,FALSE),"")</f>
      </c>
      <c r="U440" s="79">
        <f>IFERROR(VLOOKUP($A:$A,CS!$A:$AK,34,FALSE),"")</f>
      </c>
      <c r="V440" s="79">
        <f>IFERROR(VLOOKUP($A:$A,CS!$A:$AK,35,FALSE),"")</f>
      </c>
      <c r="W440" s="79">
        <f>IFERROR(VLOOKUP($A:$A,CS!$A:$AK,36,FALSE),"")</f>
      </c>
    </row>
    <row r="441" ht="16.5" customHeight="1" spans="1:23" x14ac:dyDescent="0.25">
      <c r="A441" s="93"/>
      <c r="B441" s="79">
        <f>IFERROR(VLOOKUP($A:$A,CS!$A:$AK,3,FALSE),"")</f>
      </c>
      <c r="C441" s="79">
        <f>IFERROR(VLOOKUP($A:$A,CS!$A:$AK,4,FALSE),"")</f>
      </c>
      <c r="D441" s="79">
        <f>IFERROR(VLOOKUP($A:$A,CS!$A:$AK,5,FALSE),"")</f>
      </c>
      <c r="E441" s="79">
        <f>IFERROR(VLOOKUP($A:$A,CS!$A:$AK,7,FALSE),"")</f>
      </c>
      <c r="F441" s="79">
        <f>IFERROR(VLOOKUP($A:$A,CS!$A:$AK,8,FALSE),"")</f>
      </c>
      <c r="G441" s="79">
        <f>IFERROR(VLOOKUP($A:$A,CS!$A:$AK,10,FALSE),"")</f>
      </c>
      <c r="H441" s="79">
        <f>IFERROR(VLOOKUP($A:$A,CS!$A:$AK,14,FALSE),"")</f>
      </c>
      <c r="I441" s="79">
        <f>IFERROR(VLOOKUP($A:$A,CS!$A:$AK,15,FALSE),"")</f>
      </c>
      <c r="J441" s="79">
        <f>IFERROR(VLOOKUP($A:$A,CS!$A:$AK,18,FALSE),"")</f>
      </c>
      <c r="K441" s="79">
        <f>IFERROR(VLOOKUP($A:$A,CS!$A:$AK,19,FALSE),"")</f>
      </c>
      <c r="L441" s="79">
        <f>IFERROR(VLOOKUP($A:$A,CS!$A:$AK,20,FALSE),"")</f>
      </c>
      <c r="M441" s="79">
        <f>IFERROR(VLOOKUP($A:$A,CS!$A:$AK,22,FALSE),"")</f>
      </c>
      <c r="N441" s="79">
        <f>IFERROR(VLOOKUP($A:$A,CS!$A:$AK,19,FALSE),"")</f>
      </c>
      <c r="O441" s="79">
        <f>IFERROR(VLOOKUP($A:$A,CS!$A:$AK,23,FALSE),"")</f>
      </c>
      <c r="P441" s="79">
        <f>IFERROR(VLOOKUP($A:$A,CS!$A:$AK,24,FALSE),"")</f>
      </c>
      <c r="Q441" s="79">
        <f>IFERROR(VLOOKUP($A:$A,CS!$A:$AK,25,FALSE),"")</f>
      </c>
      <c r="R441" s="79">
        <f>IFERROR(VLOOKUP($A:$A,CS!$A:$AK,26,FALSE),"")</f>
      </c>
      <c r="S441" s="79">
        <f>IFERROR(VLOOKUP($A:$A,CS!$A:$AK,29,FALSE),"")</f>
      </c>
      <c r="T441" s="79">
        <f>IFERROR(VLOOKUP($A:$A,CS!$A:$AK,33,FALSE),"")</f>
      </c>
      <c r="U441" s="79">
        <f>IFERROR(VLOOKUP($A:$A,CS!$A:$AK,34,FALSE),"")</f>
      </c>
      <c r="V441" s="79">
        <f>IFERROR(VLOOKUP($A:$A,CS!$A:$AK,35,FALSE),"")</f>
      </c>
      <c r="W441" s="79">
        <f>IFERROR(VLOOKUP($A:$A,CS!$A:$AK,36,FALSE),"")</f>
      </c>
    </row>
    <row r="442" ht="16.5" customHeight="1" spans="1:23" x14ac:dyDescent="0.25">
      <c r="A442" s="93"/>
      <c r="B442" s="79">
        <f>IFERROR(VLOOKUP($A:$A,CS!$A:$AK,3,FALSE),"")</f>
      </c>
      <c r="C442" s="79">
        <f>IFERROR(VLOOKUP($A:$A,CS!$A:$AK,4,FALSE),"")</f>
      </c>
      <c r="D442" s="79">
        <f>IFERROR(VLOOKUP($A:$A,CS!$A:$AK,5,FALSE),"")</f>
      </c>
      <c r="E442" s="79">
        <f>IFERROR(VLOOKUP($A:$A,CS!$A:$AK,7,FALSE),"")</f>
      </c>
      <c r="F442" s="79">
        <f>IFERROR(VLOOKUP($A:$A,CS!$A:$AK,8,FALSE),"")</f>
      </c>
      <c r="G442" s="79">
        <f>IFERROR(VLOOKUP($A:$A,CS!$A:$AK,10,FALSE),"")</f>
      </c>
      <c r="H442" s="79">
        <f>IFERROR(VLOOKUP($A:$A,CS!$A:$AK,14,FALSE),"")</f>
      </c>
      <c r="I442" s="79">
        <f>IFERROR(VLOOKUP($A:$A,CS!$A:$AK,15,FALSE),"")</f>
      </c>
      <c r="J442" s="79">
        <f>IFERROR(VLOOKUP($A:$A,CS!$A:$AK,18,FALSE),"")</f>
      </c>
      <c r="K442" s="79">
        <f>IFERROR(VLOOKUP($A:$A,CS!$A:$AK,19,FALSE),"")</f>
      </c>
      <c r="L442" s="79">
        <f>IFERROR(VLOOKUP($A:$A,CS!$A:$AK,20,FALSE),"")</f>
      </c>
      <c r="M442" s="79">
        <f>IFERROR(VLOOKUP($A:$A,CS!$A:$AK,22,FALSE),"")</f>
      </c>
      <c r="N442" s="79">
        <f>IFERROR(VLOOKUP($A:$A,CS!$A:$AK,19,FALSE),"")</f>
      </c>
      <c r="O442" s="79">
        <f>IFERROR(VLOOKUP($A:$A,CS!$A:$AK,23,FALSE),"")</f>
      </c>
      <c r="P442" s="79">
        <f>IFERROR(VLOOKUP($A:$A,CS!$A:$AK,24,FALSE),"")</f>
      </c>
      <c r="Q442" s="79">
        <f>IFERROR(VLOOKUP($A:$A,CS!$A:$AK,25,FALSE),"")</f>
      </c>
      <c r="R442" s="79">
        <f>IFERROR(VLOOKUP($A:$A,CS!$A:$AK,26,FALSE),"")</f>
      </c>
      <c r="S442" s="79">
        <f>IFERROR(VLOOKUP($A:$A,CS!$A:$AK,29,FALSE),"")</f>
      </c>
      <c r="T442" s="79">
        <f>IFERROR(VLOOKUP($A:$A,CS!$A:$AK,33,FALSE),"")</f>
      </c>
      <c r="U442" s="79">
        <f>IFERROR(VLOOKUP($A:$A,CS!$A:$AK,34,FALSE),"")</f>
      </c>
      <c r="V442" s="79">
        <f>IFERROR(VLOOKUP($A:$A,CS!$A:$AK,35,FALSE),"")</f>
      </c>
      <c r="W442" s="79">
        <f>IFERROR(VLOOKUP($A:$A,CS!$A:$AK,36,FALSE),"")</f>
      </c>
    </row>
    <row r="443" ht="16.5" customHeight="1" spans="1:23" x14ac:dyDescent="0.25">
      <c r="A443" s="93"/>
      <c r="B443" s="79">
        <f>IFERROR(VLOOKUP($A:$A,CS!$A:$AK,3,FALSE),"")</f>
      </c>
      <c r="C443" s="79">
        <f>IFERROR(VLOOKUP($A:$A,CS!$A:$AK,4,FALSE),"")</f>
      </c>
      <c r="D443" s="79">
        <f>IFERROR(VLOOKUP($A:$A,CS!$A:$AK,5,FALSE),"")</f>
      </c>
      <c r="E443" s="79">
        <f>IFERROR(VLOOKUP($A:$A,CS!$A:$AK,7,FALSE),"")</f>
      </c>
      <c r="F443" s="79">
        <f>IFERROR(VLOOKUP($A:$A,CS!$A:$AK,8,FALSE),"")</f>
      </c>
      <c r="G443" s="79">
        <f>IFERROR(VLOOKUP($A:$A,CS!$A:$AK,10,FALSE),"")</f>
      </c>
      <c r="H443" s="79">
        <f>IFERROR(VLOOKUP($A:$A,CS!$A:$AK,14,FALSE),"")</f>
      </c>
      <c r="I443" s="79">
        <f>IFERROR(VLOOKUP($A:$A,CS!$A:$AK,15,FALSE),"")</f>
      </c>
      <c r="J443" s="79">
        <f>IFERROR(VLOOKUP($A:$A,CS!$A:$AK,18,FALSE),"")</f>
      </c>
      <c r="K443" s="79">
        <f>IFERROR(VLOOKUP($A:$A,CS!$A:$AK,19,FALSE),"")</f>
      </c>
      <c r="L443" s="79">
        <f>IFERROR(VLOOKUP($A:$A,CS!$A:$AK,20,FALSE),"")</f>
      </c>
      <c r="M443" s="79">
        <f>IFERROR(VLOOKUP($A:$A,CS!$A:$AK,22,FALSE),"")</f>
      </c>
      <c r="N443" s="79">
        <f>IFERROR(VLOOKUP($A:$A,CS!$A:$AK,19,FALSE),"")</f>
      </c>
      <c r="O443" s="79">
        <f>IFERROR(VLOOKUP($A:$A,CS!$A:$AK,23,FALSE),"")</f>
      </c>
      <c r="P443" s="79">
        <f>IFERROR(VLOOKUP($A:$A,CS!$A:$AK,24,FALSE),"")</f>
      </c>
      <c r="Q443" s="79">
        <f>IFERROR(VLOOKUP($A:$A,CS!$A:$AK,25,FALSE),"")</f>
      </c>
      <c r="R443" s="79">
        <f>IFERROR(VLOOKUP($A:$A,CS!$A:$AK,26,FALSE),"")</f>
      </c>
      <c r="S443" s="79">
        <f>IFERROR(VLOOKUP($A:$A,CS!$A:$AK,29,FALSE),"")</f>
      </c>
      <c r="T443" s="79">
        <f>IFERROR(VLOOKUP($A:$A,CS!$A:$AK,33,FALSE),"")</f>
      </c>
      <c r="U443" s="79">
        <f>IFERROR(VLOOKUP($A:$A,CS!$A:$AK,34,FALSE),"")</f>
      </c>
      <c r="V443" s="79">
        <f>IFERROR(VLOOKUP($A:$A,CS!$A:$AK,35,FALSE),"")</f>
      </c>
      <c r="W443" s="79">
        <f>IFERROR(VLOOKUP($A:$A,CS!$A:$AK,36,FALSE),"")</f>
      </c>
    </row>
    <row r="444" ht="16.5" customHeight="1" spans="1:23" x14ac:dyDescent="0.25">
      <c r="A444" s="93"/>
      <c r="B444" s="79">
        <f>IFERROR(VLOOKUP($A:$A,CS!$A:$AK,3,FALSE),"")</f>
      </c>
      <c r="C444" s="79">
        <f>IFERROR(VLOOKUP($A:$A,CS!$A:$AK,4,FALSE),"")</f>
      </c>
      <c r="D444" s="79">
        <f>IFERROR(VLOOKUP($A:$A,CS!$A:$AK,5,FALSE),"")</f>
      </c>
      <c r="E444" s="79">
        <f>IFERROR(VLOOKUP($A:$A,CS!$A:$AK,7,FALSE),"")</f>
      </c>
      <c r="F444" s="79">
        <f>IFERROR(VLOOKUP($A:$A,CS!$A:$AK,8,FALSE),"")</f>
      </c>
      <c r="G444" s="79">
        <f>IFERROR(VLOOKUP($A:$A,CS!$A:$AK,10,FALSE),"")</f>
      </c>
      <c r="H444" s="79">
        <f>IFERROR(VLOOKUP($A:$A,CS!$A:$AK,14,FALSE),"")</f>
      </c>
      <c r="I444" s="79">
        <f>IFERROR(VLOOKUP($A:$A,CS!$A:$AK,15,FALSE),"")</f>
      </c>
      <c r="J444" s="79">
        <f>IFERROR(VLOOKUP($A:$A,CS!$A:$AK,18,FALSE),"")</f>
      </c>
      <c r="K444" s="79">
        <f>IFERROR(VLOOKUP($A:$A,CS!$A:$AK,19,FALSE),"")</f>
      </c>
      <c r="L444" s="79">
        <f>IFERROR(VLOOKUP($A:$A,CS!$A:$AK,20,FALSE),"")</f>
      </c>
      <c r="M444" s="79">
        <f>IFERROR(VLOOKUP($A:$A,CS!$A:$AK,22,FALSE),"")</f>
      </c>
      <c r="N444" s="79">
        <f>IFERROR(VLOOKUP($A:$A,CS!$A:$AK,19,FALSE),"")</f>
      </c>
      <c r="O444" s="79">
        <f>IFERROR(VLOOKUP($A:$A,CS!$A:$AK,23,FALSE),"")</f>
      </c>
      <c r="P444" s="79">
        <f>IFERROR(VLOOKUP($A:$A,CS!$A:$AK,24,FALSE),"")</f>
      </c>
      <c r="Q444" s="79">
        <f>IFERROR(VLOOKUP($A:$A,CS!$A:$AK,25,FALSE),"")</f>
      </c>
      <c r="R444" s="79">
        <f>IFERROR(VLOOKUP($A:$A,CS!$A:$AK,26,FALSE),"")</f>
      </c>
      <c r="S444" s="79">
        <f>IFERROR(VLOOKUP($A:$A,CS!$A:$AK,29,FALSE),"")</f>
      </c>
      <c r="T444" s="79">
        <f>IFERROR(VLOOKUP($A:$A,CS!$A:$AK,33,FALSE),"")</f>
      </c>
      <c r="U444" s="79">
        <f>IFERROR(VLOOKUP($A:$A,CS!$A:$AK,34,FALSE),"")</f>
      </c>
      <c r="V444" s="79">
        <f>IFERROR(VLOOKUP($A:$A,CS!$A:$AK,35,FALSE),"")</f>
      </c>
      <c r="W444" s="79">
        <f>IFERROR(VLOOKUP($A:$A,CS!$A:$AK,36,FALSE),"")</f>
      </c>
    </row>
    <row r="445" ht="16.5" customHeight="1" spans="1:23" x14ac:dyDescent="0.25">
      <c r="A445" s="93"/>
      <c r="B445" s="79">
        <f>IFERROR(VLOOKUP($A:$A,CS!$A:$AK,3,FALSE),"")</f>
      </c>
      <c r="C445" s="79">
        <f>IFERROR(VLOOKUP($A:$A,CS!$A:$AK,4,FALSE),"")</f>
      </c>
      <c r="D445" s="79">
        <f>IFERROR(VLOOKUP($A:$A,CS!$A:$AK,5,FALSE),"")</f>
      </c>
      <c r="E445" s="79">
        <f>IFERROR(VLOOKUP($A:$A,CS!$A:$AK,7,FALSE),"")</f>
      </c>
      <c r="F445" s="79">
        <f>IFERROR(VLOOKUP($A:$A,CS!$A:$AK,8,FALSE),"")</f>
      </c>
      <c r="G445" s="79">
        <f>IFERROR(VLOOKUP($A:$A,CS!$A:$AK,10,FALSE),"")</f>
      </c>
      <c r="H445" s="79">
        <f>IFERROR(VLOOKUP($A:$A,CS!$A:$AK,14,FALSE),"")</f>
      </c>
      <c r="I445" s="79">
        <f>IFERROR(VLOOKUP($A:$A,CS!$A:$AK,15,FALSE),"")</f>
      </c>
      <c r="J445" s="79">
        <f>IFERROR(VLOOKUP($A:$A,CS!$A:$AK,18,FALSE),"")</f>
      </c>
      <c r="K445" s="79">
        <f>IFERROR(VLOOKUP($A:$A,CS!$A:$AK,19,FALSE),"")</f>
      </c>
      <c r="L445" s="79">
        <f>IFERROR(VLOOKUP($A:$A,CS!$A:$AK,20,FALSE),"")</f>
      </c>
      <c r="M445" s="79">
        <f>IFERROR(VLOOKUP($A:$A,CS!$A:$AK,22,FALSE),"")</f>
      </c>
      <c r="N445" s="79">
        <f>IFERROR(VLOOKUP($A:$A,CS!$A:$AK,19,FALSE),"")</f>
      </c>
      <c r="O445" s="79">
        <f>IFERROR(VLOOKUP($A:$A,CS!$A:$AK,23,FALSE),"")</f>
      </c>
      <c r="P445" s="79">
        <f>IFERROR(VLOOKUP($A:$A,CS!$A:$AK,24,FALSE),"")</f>
      </c>
      <c r="Q445" s="79">
        <f>IFERROR(VLOOKUP($A:$A,CS!$A:$AK,25,FALSE),"")</f>
      </c>
      <c r="R445" s="79">
        <f>IFERROR(VLOOKUP($A:$A,CS!$A:$AK,26,FALSE),"")</f>
      </c>
      <c r="S445" s="79">
        <f>IFERROR(VLOOKUP($A:$A,CS!$A:$AK,29,FALSE),"")</f>
      </c>
      <c r="T445" s="79">
        <f>IFERROR(VLOOKUP($A:$A,CS!$A:$AK,33,FALSE),"")</f>
      </c>
      <c r="U445" s="79">
        <f>IFERROR(VLOOKUP($A:$A,CS!$A:$AK,34,FALSE),"")</f>
      </c>
      <c r="V445" s="79">
        <f>IFERROR(VLOOKUP($A:$A,CS!$A:$AK,35,FALSE),"")</f>
      </c>
      <c r="W445" s="79">
        <f>IFERROR(VLOOKUP($A:$A,CS!$A:$AK,36,FALSE),"")</f>
      </c>
    </row>
    <row r="446" ht="16.5" customHeight="1" spans="1:23" x14ac:dyDescent="0.25">
      <c r="A446" s="93"/>
      <c r="B446" s="79">
        <f>IFERROR(VLOOKUP($A:$A,CS!$A:$AK,3,FALSE),"")</f>
      </c>
      <c r="C446" s="79">
        <f>IFERROR(VLOOKUP($A:$A,CS!$A:$AK,4,FALSE),"")</f>
      </c>
      <c r="D446" s="79">
        <f>IFERROR(VLOOKUP($A:$A,CS!$A:$AK,5,FALSE),"")</f>
      </c>
      <c r="E446" s="79">
        <f>IFERROR(VLOOKUP($A:$A,CS!$A:$AK,7,FALSE),"")</f>
      </c>
      <c r="F446" s="79">
        <f>IFERROR(VLOOKUP($A:$A,CS!$A:$AK,8,FALSE),"")</f>
      </c>
      <c r="G446" s="79">
        <f>IFERROR(VLOOKUP($A:$A,CS!$A:$AK,10,FALSE),"")</f>
      </c>
      <c r="H446" s="79">
        <f>IFERROR(VLOOKUP($A:$A,CS!$A:$AK,14,FALSE),"")</f>
      </c>
      <c r="I446" s="79">
        <f>IFERROR(VLOOKUP($A:$A,CS!$A:$AK,15,FALSE),"")</f>
      </c>
      <c r="J446" s="79">
        <f>IFERROR(VLOOKUP($A:$A,CS!$A:$AK,18,FALSE),"")</f>
      </c>
      <c r="K446" s="79">
        <f>IFERROR(VLOOKUP($A:$A,CS!$A:$AK,19,FALSE),"")</f>
      </c>
      <c r="L446" s="79">
        <f>IFERROR(VLOOKUP($A:$A,CS!$A:$AK,20,FALSE),"")</f>
      </c>
      <c r="M446" s="79">
        <f>IFERROR(VLOOKUP($A:$A,CS!$A:$AK,22,FALSE),"")</f>
      </c>
      <c r="N446" s="79">
        <f>IFERROR(VLOOKUP($A:$A,CS!$A:$AK,19,FALSE),"")</f>
      </c>
      <c r="O446" s="79">
        <f>IFERROR(VLOOKUP($A:$A,CS!$A:$AK,23,FALSE),"")</f>
      </c>
      <c r="P446" s="79">
        <f>IFERROR(VLOOKUP($A:$A,CS!$A:$AK,24,FALSE),"")</f>
      </c>
      <c r="Q446" s="79">
        <f>IFERROR(VLOOKUP($A:$A,CS!$A:$AK,25,FALSE),"")</f>
      </c>
      <c r="R446" s="79">
        <f>IFERROR(VLOOKUP($A:$A,CS!$A:$AK,26,FALSE),"")</f>
      </c>
      <c r="S446" s="79">
        <f>IFERROR(VLOOKUP($A:$A,CS!$A:$AK,29,FALSE),"")</f>
      </c>
      <c r="T446" s="79">
        <f>IFERROR(VLOOKUP($A:$A,CS!$A:$AK,33,FALSE),"")</f>
      </c>
      <c r="U446" s="79">
        <f>IFERROR(VLOOKUP($A:$A,CS!$A:$AK,34,FALSE),"")</f>
      </c>
      <c r="V446" s="79">
        <f>IFERROR(VLOOKUP($A:$A,CS!$A:$AK,35,FALSE),"")</f>
      </c>
      <c r="W446" s="79">
        <f>IFERROR(VLOOKUP($A:$A,CS!$A:$AK,36,FALSE),"")</f>
      </c>
    </row>
    <row r="447" ht="16.5" customHeight="1" spans="1:23" x14ac:dyDescent="0.25">
      <c r="A447" s="93"/>
      <c r="B447" s="79">
        <f>IFERROR(VLOOKUP($A:$A,CS!$A:$AK,3,FALSE),"")</f>
      </c>
      <c r="C447" s="79">
        <f>IFERROR(VLOOKUP($A:$A,CS!$A:$AK,4,FALSE),"")</f>
      </c>
      <c r="D447" s="79">
        <f>IFERROR(VLOOKUP($A:$A,CS!$A:$AK,5,FALSE),"")</f>
      </c>
      <c r="E447" s="79">
        <f>IFERROR(VLOOKUP($A:$A,CS!$A:$AK,7,FALSE),"")</f>
      </c>
      <c r="F447" s="79">
        <f>IFERROR(VLOOKUP($A:$A,CS!$A:$AK,8,FALSE),"")</f>
      </c>
      <c r="G447" s="79">
        <f>IFERROR(VLOOKUP($A:$A,CS!$A:$AK,10,FALSE),"")</f>
      </c>
      <c r="H447" s="79">
        <f>IFERROR(VLOOKUP($A:$A,CS!$A:$AK,14,FALSE),"")</f>
      </c>
      <c r="I447" s="79">
        <f>IFERROR(VLOOKUP($A:$A,CS!$A:$AK,15,FALSE),"")</f>
      </c>
      <c r="J447" s="79">
        <f>IFERROR(VLOOKUP($A:$A,CS!$A:$AK,18,FALSE),"")</f>
      </c>
      <c r="K447" s="79">
        <f>IFERROR(VLOOKUP($A:$A,CS!$A:$AK,19,FALSE),"")</f>
      </c>
      <c r="L447" s="79">
        <f>IFERROR(VLOOKUP($A:$A,CS!$A:$AK,20,FALSE),"")</f>
      </c>
      <c r="M447" s="79">
        <f>IFERROR(VLOOKUP($A:$A,CS!$A:$AK,22,FALSE),"")</f>
      </c>
      <c r="N447" s="79">
        <f>IFERROR(VLOOKUP($A:$A,CS!$A:$AK,19,FALSE),"")</f>
      </c>
      <c r="O447" s="79">
        <f>IFERROR(VLOOKUP($A:$A,CS!$A:$AK,23,FALSE),"")</f>
      </c>
      <c r="P447" s="79">
        <f>IFERROR(VLOOKUP($A:$A,CS!$A:$AK,24,FALSE),"")</f>
      </c>
      <c r="Q447" s="79">
        <f>IFERROR(VLOOKUP($A:$A,CS!$A:$AK,25,FALSE),"")</f>
      </c>
      <c r="R447" s="79">
        <f>IFERROR(VLOOKUP($A:$A,CS!$A:$AK,26,FALSE),"")</f>
      </c>
      <c r="S447" s="79">
        <f>IFERROR(VLOOKUP($A:$A,CS!$A:$AK,29,FALSE),"")</f>
      </c>
      <c r="T447" s="79">
        <f>IFERROR(VLOOKUP($A:$A,CS!$A:$AK,33,FALSE),"")</f>
      </c>
      <c r="U447" s="79">
        <f>IFERROR(VLOOKUP($A:$A,CS!$A:$AK,34,FALSE),"")</f>
      </c>
      <c r="V447" s="79">
        <f>IFERROR(VLOOKUP($A:$A,CS!$A:$AK,35,FALSE),"")</f>
      </c>
      <c r="W447" s="79">
        <f>IFERROR(VLOOKUP($A:$A,CS!$A:$AK,36,FALSE),"")</f>
      </c>
    </row>
    <row r="448" ht="16.5" customHeight="1" spans="1:23" x14ac:dyDescent="0.25">
      <c r="A448" s="93"/>
      <c r="B448" s="79">
        <f>IFERROR(VLOOKUP($A:$A,CS!$A:$AK,3,FALSE),"")</f>
      </c>
      <c r="C448" s="79">
        <f>IFERROR(VLOOKUP($A:$A,CS!$A:$AK,4,FALSE),"")</f>
      </c>
      <c r="D448" s="79">
        <f>IFERROR(VLOOKUP($A:$A,CS!$A:$AK,5,FALSE),"")</f>
      </c>
      <c r="E448" s="79">
        <f>IFERROR(VLOOKUP($A:$A,CS!$A:$AK,7,FALSE),"")</f>
      </c>
      <c r="F448" s="79">
        <f>IFERROR(VLOOKUP($A:$A,CS!$A:$AK,8,FALSE),"")</f>
      </c>
      <c r="G448" s="79">
        <f>IFERROR(VLOOKUP($A:$A,CS!$A:$AK,10,FALSE),"")</f>
      </c>
      <c r="H448" s="79">
        <f>IFERROR(VLOOKUP($A:$A,CS!$A:$AK,14,FALSE),"")</f>
      </c>
      <c r="I448" s="79">
        <f>IFERROR(VLOOKUP($A:$A,CS!$A:$AK,15,FALSE),"")</f>
      </c>
      <c r="J448" s="79">
        <f>IFERROR(VLOOKUP($A:$A,CS!$A:$AK,18,FALSE),"")</f>
      </c>
      <c r="K448" s="79">
        <f>IFERROR(VLOOKUP($A:$A,CS!$A:$AK,19,FALSE),"")</f>
      </c>
      <c r="L448" s="79">
        <f>IFERROR(VLOOKUP($A:$A,CS!$A:$AK,20,FALSE),"")</f>
      </c>
      <c r="M448" s="79">
        <f>IFERROR(VLOOKUP($A:$A,CS!$A:$AK,22,FALSE),"")</f>
      </c>
      <c r="N448" s="79">
        <f>IFERROR(VLOOKUP($A:$A,CS!$A:$AK,19,FALSE),"")</f>
      </c>
      <c r="O448" s="79">
        <f>IFERROR(VLOOKUP($A:$A,CS!$A:$AK,23,FALSE),"")</f>
      </c>
      <c r="P448" s="79">
        <f>IFERROR(VLOOKUP($A:$A,CS!$A:$AK,24,FALSE),"")</f>
      </c>
      <c r="Q448" s="79">
        <f>IFERROR(VLOOKUP($A:$A,CS!$A:$AK,25,FALSE),"")</f>
      </c>
      <c r="R448" s="79">
        <f>IFERROR(VLOOKUP($A:$A,CS!$A:$AK,26,FALSE),"")</f>
      </c>
      <c r="S448" s="79">
        <f>IFERROR(VLOOKUP($A:$A,CS!$A:$AK,29,FALSE),"")</f>
      </c>
      <c r="T448" s="79">
        <f>IFERROR(VLOOKUP($A:$A,CS!$A:$AK,33,FALSE),"")</f>
      </c>
      <c r="U448" s="79">
        <f>IFERROR(VLOOKUP($A:$A,CS!$A:$AK,34,FALSE),"")</f>
      </c>
      <c r="V448" s="79">
        <f>IFERROR(VLOOKUP($A:$A,CS!$A:$AK,35,FALSE),"")</f>
      </c>
      <c r="W448" s="79">
        <f>IFERROR(VLOOKUP($A:$A,CS!$A:$AK,36,FALSE),"")</f>
      </c>
    </row>
    <row r="449" ht="16.5" customHeight="1" spans="1:23" x14ac:dyDescent="0.25">
      <c r="A449" s="93"/>
      <c r="B449" s="79">
        <f>IFERROR(VLOOKUP($A:$A,CS!$A:$AK,3,FALSE),"")</f>
      </c>
      <c r="C449" s="79">
        <f>IFERROR(VLOOKUP($A:$A,CS!$A:$AK,4,FALSE),"")</f>
      </c>
      <c r="D449" s="79">
        <f>IFERROR(VLOOKUP($A:$A,CS!$A:$AK,5,FALSE),"")</f>
      </c>
      <c r="E449" s="79">
        <f>IFERROR(VLOOKUP($A:$A,CS!$A:$AK,7,FALSE),"")</f>
      </c>
      <c r="F449" s="79">
        <f>IFERROR(VLOOKUP($A:$A,CS!$A:$AK,8,FALSE),"")</f>
      </c>
      <c r="G449" s="79">
        <f>IFERROR(VLOOKUP($A:$A,CS!$A:$AK,10,FALSE),"")</f>
      </c>
      <c r="H449" s="79">
        <f>IFERROR(VLOOKUP($A:$A,CS!$A:$AK,14,FALSE),"")</f>
      </c>
      <c r="I449" s="79">
        <f>IFERROR(VLOOKUP($A:$A,CS!$A:$AK,15,FALSE),"")</f>
      </c>
      <c r="J449" s="79">
        <f>IFERROR(VLOOKUP($A:$A,CS!$A:$AK,18,FALSE),"")</f>
      </c>
      <c r="K449" s="79">
        <f>IFERROR(VLOOKUP($A:$A,CS!$A:$AK,19,FALSE),"")</f>
      </c>
      <c r="L449" s="79">
        <f>IFERROR(VLOOKUP($A:$A,CS!$A:$AK,20,FALSE),"")</f>
      </c>
      <c r="M449" s="79">
        <f>IFERROR(VLOOKUP($A:$A,CS!$A:$AK,22,FALSE),"")</f>
      </c>
      <c r="N449" s="79">
        <f>IFERROR(VLOOKUP($A:$A,CS!$A:$AK,19,FALSE),"")</f>
      </c>
      <c r="O449" s="79">
        <f>IFERROR(VLOOKUP($A:$A,CS!$A:$AK,23,FALSE),"")</f>
      </c>
      <c r="P449" s="79">
        <f>IFERROR(VLOOKUP($A:$A,CS!$A:$AK,24,FALSE),"")</f>
      </c>
      <c r="Q449" s="79">
        <f>IFERROR(VLOOKUP($A:$A,CS!$A:$AK,25,FALSE),"")</f>
      </c>
      <c r="R449" s="79">
        <f>IFERROR(VLOOKUP($A:$A,CS!$A:$AK,26,FALSE),"")</f>
      </c>
      <c r="S449" s="79">
        <f>IFERROR(VLOOKUP($A:$A,CS!$A:$AK,29,FALSE),"")</f>
      </c>
      <c r="T449" s="79">
        <f>IFERROR(VLOOKUP($A:$A,CS!$A:$AK,33,FALSE),"")</f>
      </c>
      <c r="U449" s="79">
        <f>IFERROR(VLOOKUP($A:$A,CS!$A:$AK,34,FALSE),"")</f>
      </c>
      <c r="V449" s="79">
        <f>IFERROR(VLOOKUP($A:$A,CS!$A:$AK,35,FALSE),"")</f>
      </c>
      <c r="W449" s="79">
        <f>IFERROR(VLOOKUP($A:$A,CS!$A:$AK,36,FALSE),"")</f>
      </c>
    </row>
    <row r="450" ht="16.5" customHeight="1" spans="1:23" x14ac:dyDescent="0.25">
      <c r="A450" s="93"/>
      <c r="B450" s="79">
        <f>IFERROR(VLOOKUP($A:$A,CS!$A:$AK,3,FALSE),"")</f>
      </c>
      <c r="C450" s="79">
        <f>IFERROR(VLOOKUP($A:$A,CS!$A:$AK,4,FALSE),"")</f>
      </c>
      <c r="D450" s="79">
        <f>IFERROR(VLOOKUP($A:$A,CS!$A:$AK,5,FALSE),"")</f>
      </c>
      <c r="E450" s="79">
        <f>IFERROR(VLOOKUP($A:$A,CS!$A:$AK,7,FALSE),"")</f>
      </c>
      <c r="F450" s="79">
        <f>IFERROR(VLOOKUP($A:$A,CS!$A:$AK,8,FALSE),"")</f>
      </c>
      <c r="G450" s="79">
        <f>IFERROR(VLOOKUP($A:$A,CS!$A:$AK,10,FALSE),"")</f>
      </c>
      <c r="H450" s="79">
        <f>IFERROR(VLOOKUP($A:$A,CS!$A:$AK,14,FALSE),"")</f>
      </c>
      <c r="I450" s="79">
        <f>IFERROR(VLOOKUP($A:$A,CS!$A:$AK,15,FALSE),"")</f>
      </c>
      <c r="J450" s="79">
        <f>IFERROR(VLOOKUP($A:$A,CS!$A:$AK,18,FALSE),"")</f>
      </c>
      <c r="K450" s="79">
        <f>IFERROR(VLOOKUP($A:$A,CS!$A:$AK,19,FALSE),"")</f>
      </c>
      <c r="L450" s="79">
        <f>IFERROR(VLOOKUP($A:$A,CS!$A:$AK,20,FALSE),"")</f>
      </c>
      <c r="M450" s="79">
        <f>IFERROR(VLOOKUP($A:$A,CS!$A:$AK,22,FALSE),"")</f>
      </c>
      <c r="N450" s="79">
        <f>IFERROR(VLOOKUP($A:$A,CS!$A:$AK,19,FALSE),"")</f>
      </c>
      <c r="O450" s="79">
        <f>IFERROR(VLOOKUP($A:$A,CS!$A:$AK,23,FALSE),"")</f>
      </c>
      <c r="P450" s="79">
        <f>IFERROR(VLOOKUP($A:$A,CS!$A:$AK,24,FALSE),"")</f>
      </c>
      <c r="Q450" s="79">
        <f>IFERROR(VLOOKUP($A:$A,CS!$A:$AK,25,FALSE),"")</f>
      </c>
      <c r="R450" s="79">
        <f>IFERROR(VLOOKUP($A:$A,CS!$A:$AK,26,FALSE),"")</f>
      </c>
      <c r="S450" s="79">
        <f>IFERROR(VLOOKUP($A:$A,CS!$A:$AK,29,FALSE),"")</f>
      </c>
      <c r="T450" s="79">
        <f>IFERROR(VLOOKUP($A:$A,CS!$A:$AK,33,FALSE),"")</f>
      </c>
      <c r="U450" s="79">
        <f>IFERROR(VLOOKUP($A:$A,CS!$A:$AK,34,FALSE),"")</f>
      </c>
      <c r="V450" s="79">
        <f>IFERROR(VLOOKUP($A:$A,CS!$A:$AK,35,FALSE),"")</f>
      </c>
      <c r="W450" s="79">
        <f>IFERROR(VLOOKUP($A:$A,CS!$A:$AK,36,FALSE),"")</f>
      </c>
    </row>
    <row r="451" ht="16.5" customHeight="1" spans="1:23" x14ac:dyDescent="0.25">
      <c r="A451" s="93"/>
      <c r="B451" s="79">
        <f>IFERROR(VLOOKUP($A:$A,CS!$A:$AK,3,FALSE),"")</f>
      </c>
      <c r="C451" s="79">
        <f>IFERROR(VLOOKUP($A:$A,CS!$A:$AK,4,FALSE),"")</f>
      </c>
      <c r="D451" s="79">
        <f>IFERROR(VLOOKUP($A:$A,CS!$A:$AK,5,FALSE),"")</f>
      </c>
      <c r="E451" s="79">
        <f>IFERROR(VLOOKUP($A:$A,CS!$A:$AK,7,FALSE),"")</f>
      </c>
      <c r="F451" s="79">
        <f>IFERROR(VLOOKUP($A:$A,CS!$A:$AK,8,FALSE),"")</f>
      </c>
      <c r="G451" s="79">
        <f>IFERROR(VLOOKUP($A:$A,CS!$A:$AK,10,FALSE),"")</f>
      </c>
      <c r="H451" s="79">
        <f>IFERROR(VLOOKUP($A:$A,CS!$A:$AK,14,FALSE),"")</f>
      </c>
      <c r="I451" s="79">
        <f>IFERROR(VLOOKUP($A:$A,CS!$A:$AK,15,FALSE),"")</f>
      </c>
      <c r="J451" s="79">
        <f>IFERROR(VLOOKUP($A:$A,CS!$A:$AK,18,FALSE),"")</f>
      </c>
      <c r="K451" s="79">
        <f>IFERROR(VLOOKUP($A:$A,CS!$A:$AK,19,FALSE),"")</f>
      </c>
      <c r="L451" s="79">
        <f>IFERROR(VLOOKUP($A:$A,CS!$A:$AK,20,FALSE),"")</f>
      </c>
      <c r="M451" s="79">
        <f>IFERROR(VLOOKUP($A:$A,CS!$A:$AK,22,FALSE),"")</f>
      </c>
      <c r="N451" s="79">
        <f>IFERROR(VLOOKUP($A:$A,CS!$A:$AK,19,FALSE),"")</f>
      </c>
      <c r="O451" s="79">
        <f>IFERROR(VLOOKUP($A:$A,CS!$A:$AK,23,FALSE),"")</f>
      </c>
      <c r="P451" s="79">
        <f>IFERROR(VLOOKUP($A:$A,CS!$A:$AK,24,FALSE),"")</f>
      </c>
      <c r="Q451" s="79">
        <f>IFERROR(VLOOKUP($A:$A,CS!$A:$AK,25,FALSE),"")</f>
      </c>
      <c r="R451" s="79">
        <f>IFERROR(VLOOKUP($A:$A,CS!$A:$AK,26,FALSE),"")</f>
      </c>
      <c r="S451" s="79">
        <f>IFERROR(VLOOKUP($A:$A,CS!$A:$AK,29,FALSE),"")</f>
      </c>
      <c r="T451" s="79">
        <f>IFERROR(VLOOKUP($A:$A,CS!$A:$AK,33,FALSE),"")</f>
      </c>
      <c r="U451" s="79">
        <f>IFERROR(VLOOKUP($A:$A,CS!$A:$AK,34,FALSE),"")</f>
      </c>
      <c r="V451" s="79">
        <f>IFERROR(VLOOKUP($A:$A,CS!$A:$AK,35,FALSE),"")</f>
      </c>
      <c r="W451" s="79">
        <f>IFERROR(VLOOKUP($A:$A,CS!$A:$AK,36,FALSE),"")</f>
      </c>
    </row>
    <row r="452" ht="16.5" customHeight="1" spans="1:23" x14ac:dyDescent="0.25">
      <c r="A452" s="93"/>
      <c r="B452" s="79">
        <f>IFERROR(VLOOKUP($A:$A,CS!$A:$AK,3,FALSE),"")</f>
      </c>
      <c r="C452" s="79">
        <f>IFERROR(VLOOKUP($A:$A,CS!$A:$AK,4,FALSE),"")</f>
      </c>
      <c r="D452" s="79">
        <f>IFERROR(VLOOKUP($A:$A,CS!$A:$AK,5,FALSE),"")</f>
      </c>
      <c r="E452" s="79">
        <f>IFERROR(VLOOKUP($A:$A,CS!$A:$AK,7,FALSE),"")</f>
      </c>
      <c r="F452" s="79">
        <f>IFERROR(VLOOKUP($A:$A,CS!$A:$AK,8,FALSE),"")</f>
      </c>
      <c r="G452" s="79">
        <f>IFERROR(VLOOKUP($A:$A,CS!$A:$AK,10,FALSE),"")</f>
      </c>
      <c r="H452" s="79">
        <f>IFERROR(VLOOKUP($A:$A,CS!$A:$AK,14,FALSE),"")</f>
      </c>
      <c r="I452" s="79">
        <f>IFERROR(VLOOKUP($A:$A,CS!$A:$AK,15,FALSE),"")</f>
      </c>
      <c r="J452" s="79">
        <f>IFERROR(VLOOKUP($A:$A,CS!$A:$AK,18,FALSE),"")</f>
      </c>
      <c r="K452" s="79">
        <f>IFERROR(VLOOKUP($A:$A,CS!$A:$AK,19,FALSE),"")</f>
      </c>
      <c r="L452" s="79">
        <f>IFERROR(VLOOKUP($A:$A,CS!$A:$AK,20,FALSE),"")</f>
      </c>
      <c r="M452" s="79">
        <f>IFERROR(VLOOKUP($A:$A,CS!$A:$AK,22,FALSE),"")</f>
      </c>
      <c r="N452" s="79">
        <f>IFERROR(VLOOKUP($A:$A,CS!$A:$AK,19,FALSE),"")</f>
      </c>
      <c r="O452" s="79">
        <f>IFERROR(VLOOKUP($A:$A,CS!$A:$AK,23,FALSE),"")</f>
      </c>
      <c r="P452" s="79">
        <f>IFERROR(VLOOKUP($A:$A,CS!$A:$AK,24,FALSE),"")</f>
      </c>
      <c r="Q452" s="79">
        <f>IFERROR(VLOOKUP($A:$A,CS!$A:$AK,25,FALSE),"")</f>
      </c>
      <c r="R452" s="79">
        <f>IFERROR(VLOOKUP($A:$A,CS!$A:$AK,26,FALSE),"")</f>
      </c>
      <c r="S452" s="79">
        <f>IFERROR(VLOOKUP($A:$A,CS!$A:$AK,29,FALSE),"")</f>
      </c>
      <c r="T452" s="79">
        <f>IFERROR(VLOOKUP($A:$A,CS!$A:$AK,33,FALSE),"")</f>
      </c>
      <c r="U452" s="79">
        <f>IFERROR(VLOOKUP($A:$A,CS!$A:$AK,34,FALSE),"")</f>
      </c>
      <c r="V452" s="79">
        <f>IFERROR(VLOOKUP($A:$A,CS!$A:$AK,35,FALSE),"")</f>
      </c>
      <c r="W452" s="79">
        <f>IFERROR(VLOOKUP($A:$A,CS!$A:$AK,36,FALSE),"")</f>
      </c>
    </row>
    <row r="453" ht="16.5" customHeight="1" spans="1:23" x14ac:dyDescent="0.25">
      <c r="A453" s="93"/>
      <c r="B453" s="79">
        <f>IFERROR(VLOOKUP($A:$A,CS!$A:$AK,3,FALSE),"")</f>
      </c>
      <c r="C453" s="79">
        <f>IFERROR(VLOOKUP($A:$A,CS!$A:$AK,4,FALSE),"")</f>
      </c>
      <c r="D453" s="79">
        <f>IFERROR(VLOOKUP($A:$A,CS!$A:$AK,5,FALSE),"")</f>
      </c>
      <c r="E453" s="79">
        <f>IFERROR(VLOOKUP($A:$A,CS!$A:$AK,7,FALSE),"")</f>
      </c>
      <c r="F453" s="79">
        <f>IFERROR(VLOOKUP($A:$A,CS!$A:$AK,8,FALSE),"")</f>
      </c>
      <c r="G453" s="79">
        <f>IFERROR(VLOOKUP($A:$A,CS!$A:$AK,10,FALSE),"")</f>
      </c>
      <c r="H453" s="79">
        <f>IFERROR(VLOOKUP($A:$A,CS!$A:$AK,14,FALSE),"")</f>
      </c>
      <c r="I453" s="79">
        <f>IFERROR(VLOOKUP($A:$A,CS!$A:$AK,15,FALSE),"")</f>
      </c>
      <c r="J453" s="79">
        <f>IFERROR(VLOOKUP($A:$A,CS!$A:$AK,18,FALSE),"")</f>
      </c>
      <c r="K453" s="79">
        <f>IFERROR(VLOOKUP($A:$A,CS!$A:$AK,19,FALSE),"")</f>
      </c>
      <c r="L453" s="79">
        <f>IFERROR(VLOOKUP($A:$A,CS!$A:$AK,20,FALSE),"")</f>
      </c>
      <c r="M453" s="79">
        <f>IFERROR(VLOOKUP($A:$A,CS!$A:$AK,22,FALSE),"")</f>
      </c>
      <c r="N453" s="79">
        <f>IFERROR(VLOOKUP($A:$A,CS!$A:$AK,19,FALSE),"")</f>
      </c>
      <c r="O453" s="79">
        <f>IFERROR(VLOOKUP($A:$A,CS!$A:$AK,23,FALSE),"")</f>
      </c>
      <c r="P453" s="79">
        <f>IFERROR(VLOOKUP($A:$A,CS!$A:$AK,24,FALSE),"")</f>
      </c>
      <c r="Q453" s="79">
        <f>IFERROR(VLOOKUP($A:$A,CS!$A:$AK,25,FALSE),"")</f>
      </c>
      <c r="R453" s="79">
        <f>IFERROR(VLOOKUP($A:$A,CS!$A:$AK,26,FALSE),"")</f>
      </c>
      <c r="S453" s="79">
        <f>IFERROR(VLOOKUP($A:$A,CS!$A:$AK,29,FALSE),"")</f>
      </c>
      <c r="T453" s="79">
        <f>IFERROR(VLOOKUP($A:$A,CS!$A:$AK,33,FALSE),"")</f>
      </c>
      <c r="U453" s="79">
        <f>IFERROR(VLOOKUP($A:$A,CS!$A:$AK,34,FALSE),"")</f>
      </c>
      <c r="V453" s="79">
        <f>IFERROR(VLOOKUP($A:$A,CS!$A:$AK,35,FALSE),"")</f>
      </c>
      <c r="W453" s="79">
        <f>IFERROR(VLOOKUP($A:$A,CS!$A:$AK,36,FALSE),"")</f>
      </c>
    </row>
    <row r="454" ht="16.5" customHeight="1" spans="1:23" x14ac:dyDescent="0.25">
      <c r="A454" s="93"/>
      <c r="B454" s="79">
        <f>IFERROR(VLOOKUP($A:$A,CS!$A:$AK,3,FALSE),"")</f>
      </c>
      <c r="C454" s="79">
        <f>IFERROR(VLOOKUP($A:$A,CS!$A:$AK,4,FALSE),"")</f>
      </c>
      <c r="D454" s="79">
        <f>IFERROR(VLOOKUP($A:$A,CS!$A:$AK,5,FALSE),"")</f>
      </c>
      <c r="E454" s="79">
        <f>IFERROR(VLOOKUP($A:$A,CS!$A:$AK,7,FALSE),"")</f>
      </c>
      <c r="F454" s="79">
        <f>IFERROR(VLOOKUP($A:$A,CS!$A:$AK,8,FALSE),"")</f>
      </c>
      <c r="G454" s="79">
        <f>IFERROR(VLOOKUP($A:$A,CS!$A:$AK,10,FALSE),"")</f>
      </c>
      <c r="H454" s="79">
        <f>IFERROR(VLOOKUP($A:$A,CS!$A:$AK,14,FALSE),"")</f>
      </c>
      <c r="I454" s="79">
        <f>IFERROR(VLOOKUP($A:$A,CS!$A:$AK,15,FALSE),"")</f>
      </c>
      <c r="J454" s="79">
        <f>IFERROR(VLOOKUP($A:$A,CS!$A:$AK,18,FALSE),"")</f>
      </c>
      <c r="K454" s="79">
        <f>IFERROR(VLOOKUP($A:$A,CS!$A:$AK,19,FALSE),"")</f>
      </c>
      <c r="L454" s="79">
        <f>IFERROR(VLOOKUP($A:$A,CS!$A:$AK,20,FALSE),"")</f>
      </c>
      <c r="M454" s="79">
        <f>IFERROR(VLOOKUP($A:$A,CS!$A:$AK,22,FALSE),"")</f>
      </c>
      <c r="N454" s="79">
        <f>IFERROR(VLOOKUP($A:$A,CS!$A:$AK,19,FALSE),"")</f>
      </c>
      <c r="O454" s="79">
        <f>IFERROR(VLOOKUP($A:$A,CS!$A:$AK,23,FALSE),"")</f>
      </c>
      <c r="P454" s="79">
        <f>IFERROR(VLOOKUP($A:$A,CS!$A:$AK,24,FALSE),"")</f>
      </c>
      <c r="Q454" s="79">
        <f>IFERROR(VLOOKUP($A:$A,CS!$A:$AK,25,FALSE),"")</f>
      </c>
      <c r="R454" s="79">
        <f>IFERROR(VLOOKUP($A:$A,CS!$A:$AK,26,FALSE),"")</f>
      </c>
      <c r="S454" s="79">
        <f>IFERROR(VLOOKUP($A:$A,CS!$A:$AK,29,FALSE),"")</f>
      </c>
      <c r="T454" s="79">
        <f>IFERROR(VLOOKUP($A:$A,CS!$A:$AK,33,FALSE),"")</f>
      </c>
      <c r="U454" s="79">
        <f>IFERROR(VLOOKUP($A:$A,CS!$A:$AK,34,FALSE),"")</f>
      </c>
      <c r="V454" s="79">
        <f>IFERROR(VLOOKUP($A:$A,CS!$A:$AK,35,FALSE),"")</f>
      </c>
      <c r="W454" s="79">
        <f>IFERROR(VLOOKUP($A:$A,CS!$A:$AK,36,FALSE),"")</f>
      </c>
    </row>
    <row r="455" ht="16.5" customHeight="1" spans="1:23" x14ac:dyDescent="0.25">
      <c r="A455" s="93"/>
      <c r="B455" s="79">
        <f>IFERROR(VLOOKUP($A:$A,CS!$A:$AK,3,FALSE),"")</f>
      </c>
      <c r="C455" s="79">
        <f>IFERROR(VLOOKUP($A:$A,CS!$A:$AK,4,FALSE),"")</f>
      </c>
      <c r="D455" s="79">
        <f>IFERROR(VLOOKUP($A:$A,CS!$A:$AK,5,FALSE),"")</f>
      </c>
      <c r="E455" s="79">
        <f>IFERROR(VLOOKUP($A:$A,CS!$A:$AK,7,FALSE),"")</f>
      </c>
      <c r="F455" s="79">
        <f>IFERROR(VLOOKUP($A:$A,CS!$A:$AK,8,FALSE),"")</f>
      </c>
      <c r="G455" s="79">
        <f>IFERROR(VLOOKUP($A:$A,CS!$A:$AK,10,FALSE),"")</f>
      </c>
      <c r="H455" s="79">
        <f>IFERROR(VLOOKUP($A:$A,CS!$A:$AK,14,FALSE),"")</f>
      </c>
      <c r="I455" s="79">
        <f>IFERROR(VLOOKUP($A:$A,CS!$A:$AK,15,FALSE),"")</f>
      </c>
      <c r="J455" s="79">
        <f>IFERROR(VLOOKUP($A:$A,CS!$A:$AK,18,FALSE),"")</f>
      </c>
      <c r="K455" s="79">
        <f>IFERROR(VLOOKUP($A:$A,CS!$A:$AK,19,FALSE),"")</f>
      </c>
      <c r="L455" s="79">
        <f>IFERROR(VLOOKUP($A:$A,CS!$A:$AK,20,FALSE),"")</f>
      </c>
      <c r="M455" s="79">
        <f>IFERROR(VLOOKUP($A:$A,CS!$A:$AK,22,FALSE),"")</f>
      </c>
      <c r="N455" s="79">
        <f>IFERROR(VLOOKUP($A:$A,CS!$A:$AK,19,FALSE),"")</f>
      </c>
      <c r="O455" s="79">
        <f>IFERROR(VLOOKUP($A:$A,CS!$A:$AK,23,FALSE),"")</f>
      </c>
      <c r="P455" s="79">
        <f>IFERROR(VLOOKUP($A:$A,CS!$A:$AK,24,FALSE),"")</f>
      </c>
      <c r="Q455" s="79">
        <f>IFERROR(VLOOKUP($A:$A,CS!$A:$AK,25,FALSE),"")</f>
      </c>
      <c r="R455" s="79">
        <f>IFERROR(VLOOKUP($A:$A,CS!$A:$AK,26,FALSE),"")</f>
      </c>
      <c r="S455" s="79">
        <f>IFERROR(VLOOKUP($A:$A,CS!$A:$AK,29,FALSE),"")</f>
      </c>
      <c r="T455" s="79">
        <f>IFERROR(VLOOKUP($A:$A,CS!$A:$AK,33,FALSE),"")</f>
      </c>
      <c r="U455" s="79">
        <f>IFERROR(VLOOKUP($A:$A,CS!$A:$AK,34,FALSE),"")</f>
      </c>
      <c r="V455" s="79">
        <f>IFERROR(VLOOKUP($A:$A,CS!$A:$AK,35,FALSE),"")</f>
      </c>
      <c r="W455" s="79">
        <f>IFERROR(VLOOKUP($A:$A,CS!$A:$AK,36,FALSE),"")</f>
      </c>
    </row>
    <row r="456" ht="16.5" customHeight="1" spans="1:23" x14ac:dyDescent="0.25">
      <c r="A456" s="93"/>
      <c r="B456" s="79">
        <f>IFERROR(VLOOKUP($A:$A,CS!$A:$AK,3,FALSE),"")</f>
      </c>
      <c r="C456" s="79">
        <f>IFERROR(VLOOKUP($A:$A,CS!$A:$AK,4,FALSE),"")</f>
      </c>
      <c r="D456" s="79">
        <f>IFERROR(VLOOKUP($A:$A,CS!$A:$AK,5,FALSE),"")</f>
      </c>
      <c r="E456" s="79">
        <f>IFERROR(VLOOKUP($A:$A,CS!$A:$AK,7,FALSE),"")</f>
      </c>
      <c r="F456" s="79">
        <f>IFERROR(VLOOKUP($A:$A,CS!$A:$AK,8,FALSE),"")</f>
      </c>
      <c r="G456" s="79">
        <f>IFERROR(VLOOKUP($A:$A,CS!$A:$AK,10,FALSE),"")</f>
      </c>
      <c r="H456" s="79">
        <f>IFERROR(VLOOKUP($A:$A,CS!$A:$AK,14,FALSE),"")</f>
      </c>
      <c r="I456" s="79">
        <f>IFERROR(VLOOKUP($A:$A,CS!$A:$AK,15,FALSE),"")</f>
      </c>
      <c r="J456" s="79">
        <f>IFERROR(VLOOKUP($A:$A,CS!$A:$AK,18,FALSE),"")</f>
      </c>
      <c r="K456" s="79">
        <f>IFERROR(VLOOKUP($A:$A,CS!$A:$AK,19,FALSE),"")</f>
      </c>
      <c r="L456" s="79">
        <f>IFERROR(VLOOKUP($A:$A,CS!$A:$AK,20,FALSE),"")</f>
      </c>
      <c r="M456" s="79">
        <f>IFERROR(VLOOKUP($A:$A,CS!$A:$AK,22,FALSE),"")</f>
      </c>
      <c r="N456" s="79">
        <f>IFERROR(VLOOKUP($A:$A,CS!$A:$AK,19,FALSE),"")</f>
      </c>
      <c r="O456" s="79">
        <f>IFERROR(VLOOKUP($A:$A,CS!$A:$AK,23,FALSE),"")</f>
      </c>
      <c r="P456" s="79">
        <f>IFERROR(VLOOKUP($A:$A,CS!$A:$AK,24,FALSE),"")</f>
      </c>
      <c r="Q456" s="79">
        <f>IFERROR(VLOOKUP($A:$A,CS!$A:$AK,25,FALSE),"")</f>
      </c>
      <c r="R456" s="79">
        <f>IFERROR(VLOOKUP($A:$A,CS!$A:$AK,26,FALSE),"")</f>
      </c>
      <c r="S456" s="79">
        <f>IFERROR(VLOOKUP($A:$A,CS!$A:$AK,29,FALSE),"")</f>
      </c>
      <c r="T456" s="79">
        <f>IFERROR(VLOOKUP($A:$A,CS!$A:$AK,33,FALSE),"")</f>
      </c>
      <c r="U456" s="79">
        <f>IFERROR(VLOOKUP($A:$A,CS!$A:$AK,34,FALSE),"")</f>
      </c>
      <c r="V456" s="79">
        <f>IFERROR(VLOOKUP($A:$A,CS!$A:$AK,35,FALSE),"")</f>
      </c>
      <c r="W456" s="79">
        <f>IFERROR(VLOOKUP($A:$A,CS!$A:$AK,36,FALSE),"")</f>
      </c>
    </row>
    <row r="457" ht="16.5" customHeight="1" spans="1:23" x14ac:dyDescent="0.25">
      <c r="A457" s="93"/>
      <c r="B457" s="79">
        <f>IFERROR(VLOOKUP($A:$A,CS!$A:$AK,3,FALSE),"")</f>
      </c>
      <c r="C457" s="79">
        <f>IFERROR(VLOOKUP($A:$A,CS!$A:$AK,4,FALSE),"")</f>
      </c>
      <c r="D457" s="79">
        <f>IFERROR(VLOOKUP($A:$A,CS!$A:$AK,5,FALSE),"")</f>
      </c>
      <c r="E457" s="79">
        <f>IFERROR(VLOOKUP($A:$A,CS!$A:$AK,7,FALSE),"")</f>
      </c>
      <c r="F457" s="79">
        <f>IFERROR(VLOOKUP($A:$A,CS!$A:$AK,8,FALSE),"")</f>
      </c>
      <c r="G457" s="79">
        <f>IFERROR(VLOOKUP($A:$A,CS!$A:$AK,10,FALSE),"")</f>
      </c>
      <c r="H457" s="79">
        <f>IFERROR(VLOOKUP($A:$A,CS!$A:$AK,14,FALSE),"")</f>
      </c>
      <c r="I457" s="79">
        <f>IFERROR(VLOOKUP($A:$A,CS!$A:$AK,15,FALSE),"")</f>
      </c>
      <c r="J457" s="79">
        <f>IFERROR(VLOOKUP($A:$A,CS!$A:$AK,18,FALSE),"")</f>
      </c>
      <c r="K457" s="79">
        <f>IFERROR(VLOOKUP($A:$A,CS!$A:$AK,19,FALSE),"")</f>
      </c>
      <c r="L457" s="79">
        <f>IFERROR(VLOOKUP($A:$A,CS!$A:$AK,20,FALSE),"")</f>
      </c>
      <c r="M457" s="79">
        <f>IFERROR(VLOOKUP($A:$A,CS!$A:$AK,22,FALSE),"")</f>
      </c>
      <c r="N457" s="79">
        <f>IFERROR(VLOOKUP($A:$A,CS!$A:$AK,19,FALSE),"")</f>
      </c>
      <c r="O457" s="79">
        <f>IFERROR(VLOOKUP($A:$A,CS!$A:$AK,23,FALSE),"")</f>
      </c>
      <c r="P457" s="79">
        <f>IFERROR(VLOOKUP($A:$A,CS!$A:$AK,24,FALSE),"")</f>
      </c>
      <c r="Q457" s="79">
        <f>IFERROR(VLOOKUP($A:$A,CS!$A:$AK,25,FALSE),"")</f>
      </c>
      <c r="R457" s="79">
        <f>IFERROR(VLOOKUP($A:$A,CS!$A:$AK,26,FALSE),"")</f>
      </c>
      <c r="S457" s="79">
        <f>IFERROR(VLOOKUP($A:$A,CS!$A:$AK,29,FALSE),"")</f>
      </c>
      <c r="T457" s="79">
        <f>IFERROR(VLOOKUP($A:$A,CS!$A:$AK,33,FALSE),"")</f>
      </c>
      <c r="U457" s="79">
        <f>IFERROR(VLOOKUP($A:$A,CS!$A:$AK,34,FALSE),"")</f>
      </c>
      <c r="V457" s="79">
        <f>IFERROR(VLOOKUP($A:$A,CS!$A:$AK,35,FALSE),"")</f>
      </c>
      <c r="W457" s="79">
        <f>IFERROR(VLOOKUP($A:$A,CS!$A:$AK,36,FALSE),"")</f>
      </c>
    </row>
    <row r="458" ht="16.5" customHeight="1" spans="1:23" x14ac:dyDescent="0.25">
      <c r="A458" s="93"/>
      <c r="B458" s="79">
        <f>IFERROR(VLOOKUP($A:$A,CS!$A:$AK,3,FALSE),"")</f>
      </c>
      <c r="C458" s="79">
        <f>IFERROR(VLOOKUP($A:$A,CS!$A:$AK,4,FALSE),"")</f>
      </c>
      <c r="D458" s="79">
        <f>IFERROR(VLOOKUP($A:$A,CS!$A:$AK,5,FALSE),"")</f>
      </c>
      <c r="E458" s="79">
        <f>IFERROR(VLOOKUP($A:$A,CS!$A:$AK,7,FALSE),"")</f>
      </c>
      <c r="F458" s="79">
        <f>IFERROR(VLOOKUP($A:$A,CS!$A:$AK,8,FALSE),"")</f>
      </c>
      <c r="G458" s="79">
        <f>IFERROR(VLOOKUP($A:$A,CS!$A:$AK,10,FALSE),"")</f>
      </c>
      <c r="H458" s="79">
        <f>IFERROR(VLOOKUP($A:$A,CS!$A:$AK,14,FALSE),"")</f>
      </c>
      <c r="I458" s="79">
        <f>IFERROR(VLOOKUP($A:$A,CS!$A:$AK,15,FALSE),"")</f>
      </c>
      <c r="J458" s="79">
        <f>IFERROR(VLOOKUP($A:$A,CS!$A:$AK,18,FALSE),"")</f>
      </c>
      <c r="K458" s="79">
        <f>IFERROR(VLOOKUP($A:$A,CS!$A:$AK,19,FALSE),"")</f>
      </c>
      <c r="L458" s="79">
        <f>IFERROR(VLOOKUP($A:$A,CS!$A:$AK,20,FALSE),"")</f>
      </c>
      <c r="M458" s="79">
        <f>IFERROR(VLOOKUP($A:$A,CS!$A:$AK,22,FALSE),"")</f>
      </c>
      <c r="N458" s="79">
        <f>IFERROR(VLOOKUP($A:$A,CS!$A:$AK,19,FALSE),"")</f>
      </c>
      <c r="O458" s="79">
        <f>IFERROR(VLOOKUP($A:$A,CS!$A:$AK,23,FALSE),"")</f>
      </c>
      <c r="P458" s="79">
        <f>IFERROR(VLOOKUP($A:$A,CS!$A:$AK,24,FALSE),"")</f>
      </c>
      <c r="Q458" s="79">
        <f>IFERROR(VLOOKUP($A:$A,CS!$A:$AK,25,FALSE),"")</f>
      </c>
      <c r="R458" s="79">
        <f>IFERROR(VLOOKUP($A:$A,CS!$A:$AK,26,FALSE),"")</f>
      </c>
      <c r="S458" s="79">
        <f>IFERROR(VLOOKUP($A:$A,CS!$A:$AK,29,FALSE),"")</f>
      </c>
      <c r="T458" s="79">
        <f>IFERROR(VLOOKUP($A:$A,CS!$A:$AK,33,FALSE),"")</f>
      </c>
      <c r="U458" s="79">
        <f>IFERROR(VLOOKUP($A:$A,CS!$A:$AK,34,FALSE),"")</f>
      </c>
      <c r="V458" s="79">
        <f>IFERROR(VLOOKUP($A:$A,CS!$A:$AK,35,FALSE),"")</f>
      </c>
      <c r="W458" s="79">
        <f>IFERROR(VLOOKUP($A:$A,CS!$A:$AK,36,FALSE),"")</f>
      </c>
    </row>
    <row r="459" ht="16.5" customHeight="1" spans="1:23" x14ac:dyDescent="0.25">
      <c r="A459" s="93"/>
      <c r="B459" s="79">
        <f>IFERROR(VLOOKUP($A:$A,CS!$A:$AK,3,FALSE),"")</f>
      </c>
      <c r="C459" s="79">
        <f>IFERROR(VLOOKUP($A:$A,CS!$A:$AK,4,FALSE),"")</f>
      </c>
      <c r="D459" s="79">
        <f>IFERROR(VLOOKUP($A:$A,CS!$A:$AK,5,FALSE),"")</f>
      </c>
      <c r="E459" s="79">
        <f>IFERROR(VLOOKUP($A:$A,CS!$A:$AK,7,FALSE),"")</f>
      </c>
      <c r="F459" s="79">
        <f>IFERROR(VLOOKUP($A:$A,CS!$A:$AK,8,FALSE),"")</f>
      </c>
      <c r="G459" s="79">
        <f>IFERROR(VLOOKUP($A:$A,CS!$A:$AK,10,FALSE),"")</f>
      </c>
      <c r="H459" s="79">
        <f>IFERROR(VLOOKUP($A:$A,CS!$A:$AK,14,FALSE),"")</f>
      </c>
      <c r="I459" s="79">
        <f>IFERROR(VLOOKUP($A:$A,CS!$A:$AK,15,FALSE),"")</f>
      </c>
      <c r="J459" s="79">
        <f>IFERROR(VLOOKUP($A:$A,CS!$A:$AK,18,FALSE),"")</f>
      </c>
      <c r="K459" s="79">
        <f>IFERROR(VLOOKUP($A:$A,CS!$A:$AK,19,FALSE),"")</f>
      </c>
      <c r="L459" s="79">
        <f>IFERROR(VLOOKUP($A:$A,CS!$A:$AK,20,FALSE),"")</f>
      </c>
      <c r="M459" s="79">
        <f>IFERROR(VLOOKUP($A:$A,CS!$A:$AK,22,FALSE),"")</f>
      </c>
      <c r="N459" s="79">
        <f>IFERROR(VLOOKUP($A:$A,CS!$A:$AK,19,FALSE),"")</f>
      </c>
      <c r="O459" s="79">
        <f>IFERROR(VLOOKUP($A:$A,CS!$A:$AK,23,FALSE),"")</f>
      </c>
      <c r="P459" s="79">
        <f>IFERROR(VLOOKUP($A:$A,CS!$A:$AK,24,FALSE),"")</f>
      </c>
      <c r="Q459" s="79">
        <f>IFERROR(VLOOKUP($A:$A,CS!$A:$AK,25,FALSE),"")</f>
      </c>
      <c r="R459" s="79">
        <f>IFERROR(VLOOKUP($A:$A,CS!$A:$AK,26,FALSE),"")</f>
      </c>
      <c r="S459" s="79">
        <f>IFERROR(VLOOKUP($A:$A,CS!$A:$AK,29,FALSE),"")</f>
      </c>
      <c r="T459" s="79">
        <f>IFERROR(VLOOKUP($A:$A,CS!$A:$AK,33,FALSE),"")</f>
      </c>
      <c r="U459" s="79">
        <f>IFERROR(VLOOKUP($A:$A,CS!$A:$AK,34,FALSE),"")</f>
      </c>
      <c r="V459" s="79">
        <f>IFERROR(VLOOKUP($A:$A,CS!$A:$AK,35,FALSE),"")</f>
      </c>
      <c r="W459" s="79">
        <f>IFERROR(VLOOKUP($A:$A,CS!$A:$AK,36,FALSE),"")</f>
      </c>
    </row>
    <row r="460" ht="16.5" customHeight="1" spans="1:23" x14ac:dyDescent="0.25">
      <c r="A460" s="93"/>
      <c r="B460" s="79">
        <f>IFERROR(VLOOKUP($A:$A,CS!$A:$AK,3,FALSE),"")</f>
      </c>
      <c r="C460" s="79">
        <f>IFERROR(VLOOKUP($A:$A,CS!$A:$AK,4,FALSE),"")</f>
      </c>
      <c r="D460" s="79">
        <f>IFERROR(VLOOKUP($A:$A,CS!$A:$AK,5,FALSE),"")</f>
      </c>
      <c r="E460" s="79">
        <f>IFERROR(VLOOKUP($A:$A,CS!$A:$AK,7,FALSE),"")</f>
      </c>
      <c r="F460" s="79">
        <f>IFERROR(VLOOKUP($A:$A,CS!$A:$AK,8,FALSE),"")</f>
      </c>
      <c r="G460" s="79">
        <f>IFERROR(VLOOKUP($A:$A,CS!$A:$AK,10,FALSE),"")</f>
      </c>
      <c r="H460" s="79">
        <f>IFERROR(VLOOKUP($A:$A,CS!$A:$AK,14,FALSE),"")</f>
      </c>
      <c r="I460" s="79">
        <f>IFERROR(VLOOKUP($A:$A,CS!$A:$AK,15,FALSE),"")</f>
      </c>
      <c r="J460" s="79">
        <f>IFERROR(VLOOKUP($A:$A,CS!$A:$AK,18,FALSE),"")</f>
      </c>
      <c r="K460" s="79">
        <f>IFERROR(VLOOKUP($A:$A,CS!$A:$AK,19,FALSE),"")</f>
      </c>
      <c r="L460" s="79">
        <f>IFERROR(VLOOKUP($A:$A,CS!$A:$AK,20,FALSE),"")</f>
      </c>
      <c r="M460" s="79">
        <f>IFERROR(VLOOKUP($A:$A,CS!$A:$AK,22,FALSE),"")</f>
      </c>
      <c r="N460" s="79">
        <f>IFERROR(VLOOKUP($A:$A,CS!$A:$AK,19,FALSE),"")</f>
      </c>
      <c r="O460" s="79">
        <f>IFERROR(VLOOKUP($A:$A,CS!$A:$AK,23,FALSE),"")</f>
      </c>
      <c r="P460" s="79">
        <f>IFERROR(VLOOKUP($A:$A,CS!$A:$AK,24,FALSE),"")</f>
      </c>
      <c r="Q460" s="79">
        <f>IFERROR(VLOOKUP($A:$A,CS!$A:$AK,25,FALSE),"")</f>
      </c>
      <c r="R460" s="79">
        <f>IFERROR(VLOOKUP($A:$A,CS!$A:$AK,26,FALSE),"")</f>
      </c>
      <c r="S460" s="79">
        <f>IFERROR(VLOOKUP($A:$A,CS!$A:$AK,29,FALSE),"")</f>
      </c>
      <c r="T460" s="79">
        <f>IFERROR(VLOOKUP($A:$A,CS!$A:$AK,33,FALSE),"")</f>
      </c>
      <c r="U460" s="79">
        <f>IFERROR(VLOOKUP($A:$A,CS!$A:$AK,34,FALSE),"")</f>
      </c>
      <c r="V460" s="79">
        <f>IFERROR(VLOOKUP($A:$A,CS!$A:$AK,35,FALSE),"")</f>
      </c>
      <c r="W460" s="79">
        <f>IFERROR(VLOOKUP($A:$A,CS!$A:$AK,36,FALSE),"")</f>
      </c>
    </row>
    <row r="461" ht="16.5" customHeight="1" spans="1:23" x14ac:dyDescent="0.25">
      <c r="A461" s="93"/>
      <c r="B461" s="79">
        <f>IFERROR(VLOOKUP($A:$A,CS!$A:$AK,3,FALSE),"")</f>
      </c>
      <c r="C461" s="79">
        <f>IFERROR(VLOOKUP($A:$A,CS!$A:$AK,4,FALSE),"")</f>
      </c>
      <c r="D461" s="79">
        <f>IFERROR(VLOOKUP($A:$A,CS!$A:$AK,5,FALSE),"")</f>
      </c>
      <c r="E461" s="79">
        <f>IFERROR(VLOOKUP($A:$A,CS!$A:$AK,7,FALSE),"")</f>
      </c>
      <c r="F461" s="79">
        <f>IFERROR(VLOOKUP($A:$A,CS!$A:$AK,8,FALSE),"")</f>
      </c>
      <c r="G461" s="79">
        <f>IFERROR(VLOOKUP($A:$A,CS!$A:$AK,10,FALSE),"")</f>
      </c>
      <c r="H461" s="79">
        <f>IFERROR(VLOOKUP($A:$A,CS!$A:$AK,14,FALSE),"")</f>
      </c>
      <c r="I461" s="79">
        <f>IFERROR(VLOOKUP($A:$A,CS!$A:$AK,15,FALSE),"")</f>
      </c>
      <c r="J461" s="79">
        <f>IFERROR(VLOOKUP($A:$A,CS!$A:$AK,18,FALSE),"")</f>
      </c>
      <c r="K461" s="79">
        <f>IFERROR(VLOOKUP($A:$A,CS!$A:$AK,19,FALSE),"")</f>
      </c>
      <c r="L461" s="79">
        <f>IFERROR(VLOOKUP($A:$A,CS!$A:$AK,20,FALSE),"")</f>
      </c>
      <c r="M461" s="79">
        <f>IFERROR(VLOOKUP($A:$A,CS!$A:$AK,22,FALSE),"")</f>
      </c>
      <c r="N461" s="79">
        <f>IFERROR(VLOOKUP($A:$A,CS!$A:$AK,19,FALSE),"")</f>
      </c>
      <c r="O461" s="79">
        <f>IFERROR(VLOOKUP($A:$A,CS!$A:$AK,23,FALSE),"")</f>
      </c>
      <c r="P461" s="79">
        <f>IFERROR(VLOOKUP($A:$A,CS!$A:$AK,24,FALSE),"")</f>
      </c>
      <c r="Q461" s="79">
        <f>IFERROR(VLOOKUP($A:$A,CS!$A:$AK,25,FALSE),"")</f>
      </c>
      <c r="R461" s="79">
        <f>IFERROR(VLOOKUP($A:$A,CS!$A:$AK,26,FALSE),"")</f>
      </c>
      <c r="S461" s="79">
        <f>IFERROR(VLOOKUP($A:$A,CS!$A:$AK,29,FALSE),"")</f>
      </c>
      <c r="T461" s="79">
        <f>IFERROR(VLOOKUP($A:$A,CS!$A:$AK,33,FALSE),"")</f>
      </c>
      <c r="U461" s="79">
        <f>IFERROR(VLOOKUP($A:$A,CS!$A:$AK,34,FALSE),"")</f>
      </c>
      <c r="V461" s="79">
        <f>IFERROR(VLOOKUP($A:$A,CS!$A:$AK,35,FALSE),"")</f>
      </c>
      <c r="W461" s="79">
        <f>IFERROR(VLOOKUP($A:$A,CS!$A:$AK,36,FALSE),"")</f>
      </c>
    </row>
    <row r="462" ht="16.5" customHeight="1" spans="1:23" x14ac:dyDescent="0.25">
      <c r="A462" s="93"/>
      <c r="B462" s="79">
        <f>IFERROR(VLOOKUP($A:$A,CS!$A:$AK,3,FALSE),"")</f>
      </c>
      <c r="C462" s="79">
        <f>IFERROR(VLOOKUP($A:$A,CS!$A:$AK,4,FALSE),"")</f>
      </c>
      <c r="D462" s="79">
        <f>IFERROR(VLOOKUP($A:$A,CS!$A:$AK,5,FALSE),"")</f>
      </c>
      <c r="E462" s="79">
        <f>IFERROR(VLOOKUP($A:$A,CS!$A:$AK,7,FALSE),"")</f>
      </c>
      <c r="F462" s="79">
        <f>IFERROR(VLOOKUP($A:$A,CS!$A:$AK,8,FALSE),"")</f>
      </c>
      <c r="G462" s="79">
        <f>IFERROR(VLOOKUP($A:$A,CS!$A:$AK,10,FALSE),"")</f>
      </c>
      <c r="H462" s="79">
        <f>IFERROR(VLOOKUP($A:$A,CS!$A:$AK,14,FALSE),"")</f>
      </c>
      <c r="I462" s="79">
        <f>IFERROR(VLOOKUP($A:$A,CS!$A:$AK,15,FALSE),"")</f>
      </c>
      <c r="J462" s="79">
        <f>IFERROR(VLOOKUP($A:$A,CS!$A:$AK,18,FALSE),"")</f>
      </c>
      <c r="K462" s="79">
        <f>IFERROR(VLOOKUP($A:$A,CS!$A:$AK,19,FALSE),"")</f>
      </c>
      <c r="L462" s="79">
        <f>IFERROR(VLOOKUP($A:$A,CS!$A:$AK,20,FALSE),"")</f>
      </c>
      <c r="M462" s="79">
        <f>IFERROR(VLOOKUP($A:$A,CS!$A:$AK,22,FALSE),"")</f>
      </c>
      <c r="N462" s="79">
        <f>IFERROR(VLOOKUP($A:$A,CS!$A:$AK,19,FALSE),"")</f>
      </c>
      <c r="O462" s="79">
        <f>IFERROR(VLOOKUP($A:$A,CS!$A:$AK,23,FALSE),"")</f>
      </c>
      <c r="P462" s="79">
        <f>IFERROR(VLOOKUP($A:$A,CS!$A:$AK,24,FALSE),"")</f>
      </c>
      <c r="Q462" s="79">
        <f>IFERROR(VLOOKUP($A:$A,CS!$A:$AK,25,FALSE),"")</f>
      </c>
      <c r="R462" s="79">
        <f>IFERROR(VLOOKUP($A:$A,CS!$A:$AK,26,FALSE),"")</f>
      </c>
      <c r="S462" s="79">
        <f>IFERROR(VLOOKUP($A:$A,CS!$A:$AK,29,FALSE),"")</f>
      </c>
      <c r="T462" s="79">
        <f>IFERROR(VLOOKUP($A:$A,CS!$A:$AK,33,FALSE),"")</f>
      </c>
      <c r="U462" s="79">
        <f>IFERROR(VLOOKUP($A:$A,CS!$A:$AK,34,FALSE),"")</f>
      </c>
      <c r="V462" s="79">
        <f>IFERROR(VLOOKUP($A:$A,CS!$A:$AK,35,FALSE),"")</f>
      </c>
      <c r="W462" s="79">
        <f>IFERROR(VLOOKUP($A:$A,CS!$A:$AK,36,FALSE),"")</f>
      </c>
    </row>
    <row r="463" ht="16.5" customHeight="1" spans="1:23" x14ac:dyDescent="0.25">
      <c r="A463" s="93"/>
      <c r="B463" s="79">
        <f>IFERROR(VLOOKUP($A:$A,CS!$A:$AK,3,FALSE),"")</f>
      </c>
      <c r="C463" s="79">
        <f>IFERROR(VLOOKUP($A:$A,CS!$A:$AK,4,FALSE),"")</f>
      </c>
      <c r="D463" s="79">
        <f>IFERROR(VLOOKUP($A:$A,CS!$A:$AK,5,FALSE),"")</f>
      </c>
      <c r="E463" s="79">
        <f>IFERROR(VLOOKUP($A:$A,CS!$A:$AK,7,FALSE),"")</f>
      </c>
      <c r="F463" s="79">
        <f>IFERROR(VLOOKUP($A:$A,CS!$A:$AK,8,FALSE),"")</f>
      </c>
      <c r="G463" s="79">
        <f>IFERROR(VLOOKUP($A:$A,CS!$A:$AK,10,FALSE),"")</f>
      </c>
      <c r="H463" s="79">
        <f>IFERROR(VLOOKUP($A:$A,CS!$A:$AK,14,FALSE),"")</f>
      </c>
      <c r="I463" s="79">
        <f>IFERROR(VLOOKUP($A:$A,CS!$A:$AK,15,FALSE),"")</f>
      </c>
      <c r="J463" s="79">
        <f>IFERROR(VLOOKUP($A:$A,CS!$A:$AK,18,FALSE),"")</f>
      </c>
      <c r="K463" s="79">
        <f>IFERROR(VLOOKUP($A:$A,CS!$A:$AK,19,FALSE),"")</f>
      </c>
      <c r="L463" s="79">
        <f>IFERROR(VLOOKUP($A:$A,CS!$A:$AK,20,FALSE),"")</f>
      </c>
      <c r="M463" s="79">
        <f>IFERROR(VLOOKUP($A:$A,CS!$A:$AK,22,FALSE),"")</f>
      </c>
      <c r="N463" s="79">
        <f>IFERROR(VLOOKUP($A:$A,CS!$A:$AK,19,FALSE),"")</f>
      </c>
      <c r="O463" s="79">
        <f>IFERROR(VLOOKUP($A:$A,CS!$A:$AK,23,FALSE),"")</f>
      </c>
      <c r="P463" s="79">
        <f>IFERROR(VLOOKUP($A:$A,CS!$A:$AK,24,FALSE),"")</f>
      </c>
      <c r="Q463" s="79">
        <f>IFERROR(VLOOKUP($A:$A,CS!$A:$AK,25,FALSE),"")</f>
      </c>
      <c r="R463" s="79">
        <f>IFERROR(VLOOKUP($A:$A,CS!$A:$AK,26,FALSE),"")</f>
      </c>
      <c r="S463" s="79">
        <f>IFERROR(VLOOKUP($A:$A,CS!$A:$AK,29,FALSE),"")</f>
      </c>
      <c r="T463" s="79">
        <f>IFERROR(VLOOKUP($A:$A,CS!$A:$AK,33,FALSE),"")</f>
      </c>
      <c r="U463" s="79">
        <f>IFERROR(VLOOKUP($A:$A,CS!$A:$AK,34,FALSE),"")</f>
      </c>
      <c r="V463" s="79">
        <f>IFERROR(VLOOKUP($A:$A,CS!$A:$AK,35,FALSE),"")</f>
      </c>
      <c r="W463" s="79">
        <f>IFERROR(VLOOKUP($A:$A,CS!$A:$AK,36,FALSE),"")</f>
      </c>
    </row>
    <row r="464" ht="16.5" customHeight="1" spans="1:23" x14ac:dyDescent="0.25">
      <c r="A464" s="93"/>
      <c r="B464" s="79">
        <f>IFERROR(VLOOKUP($A:$A,CS!$A:$AK,3,FALSE),"")</f>
      </c>
      <c r="C464" s="79">
        <f>IFERROR(VLOOKUP($A:$A,CS!$A:$AK,4,FALSE),"")</f>
      </c>
      <c r="D464" s="79">
        <f>IFERROR(VLOOKUP($A:$A,CS!$A:$AK,5,FALSE),"")</f>
      </c>
      <c r="E464" s="79">
        <f>IFERROR(VLOOKUP($A:$A,CS!$A:$AK,7,FALSE),"")</f>
      </c>
      <c r="F464" s="79">
        <f>IFERROR(VLOOKUP($A:$A,CS!$A:$AK,8,FALSE),"")</f>
      </c>
      <c r="G464" s="79">
        <f>IFERROR(VLOOKUP($A:$A,CS!$A:$AK,10,FALSE),"")</f>
      </c>
      <c r="H464" s="79">
        <f>IFERROR(VLOOKUP($A:$A,CS!$A:$AK,14,FALSE),"")</f>
      </c>
      <c r="I464" s="79">
        <f>IFERROR(VLOOKUP($A:$A,CS!$A:$AK,15,FALSE),"")</f>
      </c>
      <c r="J464" s="79">
        <f>IFERROR(VLOOKUP($A:$A,CS!$A:$AK,18,FALSE),"")</f>
      </c>
      <c r="K464" s="79">
        <f>IFERROR(VLOOKUP($A:$A,CS!$A:$AK,19,FALSE),"")</f>
      </c>
      <c r="L464" s="79">
        <f>IFERROR(VLOOKUP($A:$A,CS!$A:$AK,20,FALSE),"")</f>
      </c>
      <c r="M464" s="79">
        <f>IFERROR(VLOOKUP($A:$A,CS!$A:$AK,22,FALSE),"")</f>
      </c>
      <c r="N464" s="79">
        <f>IFERROR(VLOOKUP($A:$A,CS!$A:$AK,19,FALSE),"")</f>
      </c>
      <c r="O464" s="79">
        <f>IFERROR(VLOOKUP($A:$A,CS!$A:$AK,23,FALSE),"")</f>
      </c>
      <c r="P464" s="79">
        <f>IFERROR(VLOOKUP($A:$A,CS!$A:$AK,24,FALSE),"")</f>
      </c>
      <c r="Q464" s="79">
        <f>IFERROR(VLOOKUP($A:$A,CS!$A:$AK,25,FALSE),"")</f>
      </c>
      <c r="R464" s="79">
        <f>IFERROR(VLOOKUP($A:$A,CS!$A:$AK,26,FALSE),"")</f>
      </c>
      <c r="S464" s="79">
        <f>IFERROR(VLOOKUP($A:$A,CS!$A:$AK,29,FALSE),"")</f>
      </c>
      <c r="T464" s="79">
        <f>IFERROR(VLOOKUP($A:$A,CS!$A:$AK,33,FALSE),"")</f>
      </c>
      <c r="U464" s="79">
        <f>IFERROR(VLOOKUP($A:$A,CS!$A:$AK,34,FALSE),"")</f>
      </c>
      <c r="V464" s="79">
        <f>IFERROR(VLOOKUP($A:$A,CS!$A:$AK,35,FALSE),"")</f>
      </c>
      <c r="W464" s="79">
        <f>IFERROR(VLOOKUP($A:$A,CS!$A:$AK,36,FALSE),"")</f>
      </c>
    </row>
    <row r="465" ht="16.5" customHeight="1" spans="1:23" x14ac:dyDescent="0.25">
      <c r="A465" s="93"/>
      <c r="B465" s="79">
        <f>IFERROR(VLOOKUP($A:$A,CS!$A:$AK,3,FALSE),"")</f>
      </c>
      <c r="C465" s="79">
        <f>IFERROR(VLOOKUP($A:$A,CS!$A:$AK,4,FALSE),"")</f>
      </c>
      <c r="D465" s="79">
        <f>IFERROR(VLOOKUP($A:$A,CS!$A:$AK,5,FALSE),"")</f>
      </c>
      <c r="E465" s="79">
        <f>IFERROR(VLOOKUP($A:$A,CS!$A:$AK,7,FALSE),"")</f>
      </c>
      <c r="F465" s="79">
        <f>IFERROR(VLOOKUP($A:$A,CS!$A:$AK,8,FALSE),"")</f>
      </c>
      <c r="G465" s="79">
        <f>IFERROR(VLOOKUP($A:$A,CS!$A:$AK,10,FALSE),"")</f>
      </c>
      <c r="H465" s="79">
        <f>IFERROR(VLOOKUP($A:$A,CS!$A:$AK,14,FALSE),"")</f>
      </c>
      <c r="I465" s="79">
        <f>IFERROR(VLOOKUP($A:$A,CS!$A:$AK,15,FALSE),"")</f>
      </c>
      <c r="J465" s="79">
        <f>IFERROR(VLOOKUP($A:$A,CS!$A:$AK,18,FALSE),"")</f>
      </c>
      <c r="K465" s="79">
        <f>IFERROR(VLOOKUP($A:$A,CS!$A:$AK,19,FALSE),"")</f>
      </c>
      <c r="L465" s="79">
        <f>IFERROR(VLOOKUP($A:$A,CS!$A:$AK,20,FALSE),"")</f>
      </c>
      <c r="M465" s="79">
        <f>IFERROR(VLOOKUP($A:$A,CS!$A:$AK,22,FALSE),"")</f>
      </c>
      <c r="N465" s="79">
        <f>IFERROR(VLOOKUP($A:$A,CS!$A:$AK,19,FALSE),"")</f>
      </c>
      <c r="O465" s="79">
        <f>IFERROR(VLOOKUP($A:$A,CS!$A:$AK,23,FALSE),"")</f>
      </c>
      <c r="P465" s="79">
        <f>IFERROR(VLOOKUP($A:$A,CS!$A:$AK,24,FALSE),"")</f>
      </c>
      <c r="Q465" s="79">
        <f>IFERROR(VLOOKUP($A:$A,CS!$A:$AK,25,FALSE),"")</f>
      </c>
      <c r="R465" s="79">
        <f>IFERROR(VLOOKUP($A:$A,CS!$A:$AK,26,FALSE),"")</f>
      </c>
      <c r="S465" s="79">
        <f>IFERROR(VLOOKUP($A:$A,CS!$A:$AK,29,FALSE),"")</f>
      </c>
      <c r="T465" s="79">
        <f>IFERROR(VLOOKUP($A:$A,CS!$A:$AK,33,FALSE),"")</f>
      </c>
      <c r="U465" s="79">
        <f>IFERROR(VLOOKUP($A:$A,CS!$A:$AK,34,FALSE),"")</f>
      </c>
      <c r="V465" s="79">
        <f>IFERROR(VLOOKUP($A:$A,CS!$A:$AK,35,FALSE),"")</f>
      </c>
      <c r="W465" s="79">
        <f>IFERROR(VLOOKUP($A:$A,CS!$A:$AK,36,FALSE),"")</f>
      </c>
    </row>
    <row r="466" ht="16.5" customHeight="1" spans="1:23" x14ac:dyDescent="0.25">
      <c r="A466" s="93"/>
      <c r="B466" s="79">
        <f>IFERROR(VLOOKUP($A:$A,CS!$A:$AK,3,FALSE),"")</f>
      </c>
      <c r="C466" s="79">
        <f>IFERROR(VLOOKUP($A:$A,CS!$A:$AK,4,FALSE),"")</f>
      </c>
      <c r="D466" s="79">
        <f>IFERROR(VLOOKUP($A:$A,CS!$A:$AK,5,FALSE),"")</f>
      </c>
      <c r="E466" s="79">
        <f>IFERROR(VLOOKUP($A:$A,CS!$A:$AK,7,FALSE),"")</f>
      </c>
      <c r="F466" s="79">
        <f>IFERROR(VLOOKUP($A:$A,CS!$A:$AK,8,FALSE),"")</f>
      </c>
      <c r="G466" s="79">
        <f>IFERROR(VLOOKUP($A:$A,CS!$A:$AK,10,FALSE),"")</f>
      </c>
      <c r="H466" s="79">
        <f>IFERROR(VLOOKUP($A:$A,CS!$A:$AK,14,FALSE),"")</f>
      </c>
      <c r="I466" s="79">
        <f>IFERROR(VLOOKUP($A:$A,CS!$A:$AK,15,FALSE),"")</f>
      </c>
      <c r="J466" s="79">
        <f>IFERROR(VLOOKUP($A:$A,CS!$A:$AK,18,FALSE),"")</f>
      </c>
      <c r="K466" s="79">
        <f>IFERROR(VLOOKUP($A:$A,CS!$A:$AK,19,FALSE),"")</f>
      </c>
      <c r="L466" s="79">
        <f>IFERROR(VLOOKUP($A:$A,CS!$A:$AK,20,FALSE),"")</f>
      </c>
      <c r="M466" s="79">
        <f>IFERROR(VLOOKUP($A:$A,CS!$A:$AK,22,FALSE),"")</f>
      </c>
      <c r="N466" s="79">
        <f>IFERROR(VLOOKUP($A:$A,CS!$A:$AK,19,FALSE),"")</f>
      </c>
      <c r="O466" s="79">
        <f>IFERROR(VLOOKUP($A:$A,CS!$A:$AK,23,FALSE),"")</f>
      </c>
      <c r="P466" s="79">
        <f>IFERROR(VLOOKUP($A:$A,CS!$A:$AK,24,FALSE),"")</f>
      </c>
      <c r="Q466" s="79">
        <f>IFERROR(VLOOKUP($A:$A,CS!$A:$AK,25,FALSE),"")</f>
      </c>
      <c r="R466" s="79">
        <f>IFERROR(VLOOKUP($A:$A,CS!$A:$AK,26,FALSE),"")</f>
      </c>
      <c r="S466" s="79">
        <f>IFERROR(VLOOKUP($A:$A,CS!$A:$AK,29,FALSE),"")</f>
      </c>
      <c r="T466" s="79">
        <f>IFERROR(VLOOKUP($A:$A,CS!$A:$AK,33,FALSE),"")</f>
      </c>
      <c r="U466" s="79">
        <f>IFERROR(VLOOKUP($A:$A,CS!$A:$AK,34,FALSE),"")</f>
      </c>
      <c r="V466" s="79">
        <f>IFERROR(VLOOKUP($A:$A,CS!$A:$AK,35,FALSE),"")</f>
      </c>
      <c r="W466" s="79">
        <f>IFERROR(VLOOKUP($A:$A,CS!$A:$AK,36,FALSE),"")</f>
      </c>
    </row>
    <row r="467" ht="16.5" customHeight="1" spans="1:23" x14ac:dyDescent="0.25">
      <c r="A467" s="93"/>
      <c r="B467" s="79">
        <f>IFERROR(VLOOKUP($A:$A,CS!$A:$AK,3,FALSE),"")</f>
      </c>
      <c r="C467" s="79">
        <f>IFERROR(VLOOKUP($A:$A,CS!$A:$AK,4,FALSE),"")</f>
      </c>
      <c r="D467" s="79">
        <f>IFERROR(VLOOKUP($A:$A,CS!$A:$AK,5,FALSE),"")</f>
      </c>
      <c r="E467" s="79">
        <f>IFERROR(VLOOKUP($A:$A,CS!$A:$AK,7,FALSE),"")</f>
      </c>
      <c r="F467" s="79">
        <f>IFERROR(VLOOKUP($A:$A,CS!$A:$AK,8,FALSE),"")</f>
      </c>
      <c r="G467" s="79">
        <f>IFERROR(VLOOKUP($A:$A,CS!$A:$AK,10,FALSE),"")</f>
      </c>
      <c r="H467" s="79">
        <f>IFERROR(VLOOKUP($A:$A,CS!$A:$AK,14,FALSE),"")</f>
      </c>
      <c r="I467" s="79">
        <f>IFERROR(VLOOKUP($A:$A,CS!$A:$AK,15,FALSE),"")</f>
      </c>
      <c r="J467" s="79">
        <f>IFERROR(VLOOKUP($A:$A,CS!$A:$AK,18,FALSE),"")</f>
      </c>
      <c r="K467" s="79">
        <f>IFERROR(VLOOKUP($A:$A,CS!$A:$AK,19,FALSE),"")</f>
      </c>
      <c r="L467" s="79">
        <f>IFERROR(VLOOKUP($A:$A,CS!$A:$AK,20,FALSE),"")</f>
      </c>
      <c r="M467" s="79">
        <f>IFERROR(VLOOKUP($A:$A,CS!$A:$AK,22,FALSE),"")</f>
      </c>
      <c r="N467" s="79">
        <f>IFERROR(VLOOKUP($A:$A,CS!$A:$AK,19,FALSE),"")</f>
      </c>
      <c r="O467" s="79">
        <f>IFERROR(VLOOKUP($A:$A,CS!$A:$AK,23,FALSE),"")</f>
      </c>
      <c r="P467" s="79">
        <f>IFERROR(VLOOKUP($A:$A,CS!$A:$AK,24,FALSE),"")</f>
      </c>
      <c r="Q467" s="79">
        <f>IFERROR(VLOOKUP($A:$A,CS!$A:$AK,25,FALSE),"")</f>
      </c>
      <c r="R467" s="79">
        <f>IFERROR(VLOOKUP($A:$A,CS!$A:$AK,26,FALSE),"")</f>
      </c>
      <c r="S467" s="79">
        <f>IFERROR(VLOOKUP($A:$A,CS!$A:$AK,29,FALSE),"")</f>
      </c>
      <c r="T467" s="79">
        <f>IFERROR(VLOOKUP($A:$A,CS!$A:$AK,33,FALSE),"")</f>
      </c>
      <c r="U467" s="79">
        <f>IFERROR(VLOOKUP($A:$A,CS!$A:$AK,34,FALSE),"")</f>
      </c>
      <c r="V467" s="79">
        <f>IFERROR(VLOOKUP($A:$A,CS!$A:$AK,35,FALSE),"")</f>
      </c>
      <c r="W467" s="79">
        <f>IFERROR(VLOOKUP($A:$A,CS!$A:$AK,36,FALSE),"")</f>
      </c>
    </row>
    <row r="468" ht="16.5" customHeight="1" spans="1:23" x14ac:dyDescent="0.25">
      <c r="A468" s="93"/>
      <c r="B468" s="79">
        <f>IFERROR(VLOOKUP($A:$A,CS!$A:$AK,3,FALSE),"")</f>
      </c>
      <c r="C468" s="79">
        <f>IFERROR(VLOOKUP($A:$A,CS!$A:$AK,4,FALSE),"")</f>
      </c>
      <c r="D468" s="79">
        <f>IFERROR(VLOOKUP($A:$A,CS!$A:$AK,5,FALSE),"")</f>
      </c>
      <c r="E468" s="79">
        <f>IFERROR(VLOOKUP($A:$A,CS!$A:$AK,7,FALSE),"")</f>
      </c>
      <c r="F468" s="79">
        <f>IFERROR(VLOOKUP($A:$A,CS!$A:$AK,8,FALSE),"")</f>
      </c>
      <c r="G468" s="79">
        <f>IFERROR(VLOOKUP($A:$A,CS!$A:$AK,10,FALSE),"")</f>
      </c>
      <c r="H468" s="79">
        <f>IFERROR(VLOOKUP($A:$A,CS!$A:$AK,14,FALSE),"")</f>
      </c>
      <c r="I468" s="79">
        <f>IFERROR(VLOOKUP($A:$A,CS!$A:$AK,15,FALSE),"")</f>
      </c>
      <c r="J468" s="79">
        <f>IFERROR(VLOOKUP($A:$A,CS!$A:$AK,18,FALSE),"")</f>
      </c>
      <c r="K468" s="79">
        <f>IFERROR(VLOOKUP($A:$A,CS!$A:$AK,19,FALSE),"")</f>
      </c>
      <c r="L468" s="79">
        <f>IFERROR(VLOOKUP($A:$A,CS!$A:$AK,20,FALSE),"")</f>
      </c>
      <c r="M468" s="79">
        <f>IFERROR(VLOOKUP($A:$A,CS!$A:$AK,22,FALSE),"")</f>
      </c>
      <c r="N468" s="79">
        <f>IFERROR(VLOOKUP($A:$A,CS!$A:$AK,19,FALSE),"")</f>
      </c>
      <c r="O468" s="79">
        <f>IFERROR(VLOOKUP($A:$A,CS!$A:$AK,23,FALSE),"")</f>
      </c>
      <c r="P468" s="79">
        <f>IFERROR(VLOOKUP($A:$A,CS!$A:$AK,24,FALSE),"")</f>
      </c>
      <c r="Q468" s="79">
        <f>IFERROR(VLOOKUP($A:$A,CS!$A:$AK,25,FALSE),"")</f>
      </c>
      <c r="R468" s="79">
        <f>IFERROR(VLOOKUP($A:$A,CS!$A:$AK,26,FALSE),"")</f>
      </c>
      <c r="S468" s="79">
        <f>IFERROR(VLOOKUP($A:$A,CS!$A:$AK,29,FALSE),"")</f>
      </c>
      <c r="T468" s="79">
        <f>IFERROR(VLOOKUP($A:$A,CS!$A:$AK,33,FALSE),"")</f>
      </c>
      <c r="U468" s="79">
        <f>IFERROR(VLOOKUP($A:$A,CS!$A:$AK,34,FALSE),"")</f>
      </c>
      <c r="V468" s="79">
        <f>IFERROR(VLOOKUP($A:$A,CS!$A:$AK,35,FALSE),"")</f>
      </c>
      <c r="W468" s="79">
        <f>IFERROR(VLOOKUP($A:$A,CS!$A:$AK,36,FALSE),"")</f>
      </c>
    </row>
    <row r="469" ht="16.5" customHeight="1" spans="1:23" x14ac:dyDescent="0.25">
      <c r="A469" s="93"/>
      <c r="B469" s="79">
        <f>IFERROR(VLOOKUP($A:$A,CS!$A:$AK,3,FALSE),"")</f>
      </c>
      <c r="C469" s="79">
        <f>IFERROR(VLOOKUP($A:$A,CS!$A:$AK,4,FALSE),"")</f>
      </c>
      <c r="D469" s="79">
        <f>IFERROR(VLOOKUP($A:$A,CS!$A:$AK,5,FALSE),"")</f>
      </c>
      <c r="E469" s="79">
        <f>IFERROR(VLOOKUP($A:$A,CS!$A:$AK,7,FALSE),"")</f>
      </c>
      <c r="F469" s="79">
        <f>IFERROR(VLOOKUP($A:$A,CS!$A:$AK,8,FALSE),"")</f>
      </c>
      <c r="G469" s="79">
        <f>IFERROR(VLOOKUP($A:$A,CS!$A:$AK,10,FALSE),"")</f>
      </c>
      <c r="H469" s="79">
        <f>IFERROR(VLOOKUP($A:$A,CS!$A:$AK,14,FALSE),"")</f>
      </c>
      <c r="I469" s="79">
        <f>IFERROR(VLOOKUP($A:$A,CS!$A:$AK,15,FALSE),"")</f>
      </c>
      <c r="J469" s="79">
        <f>IFERROR(VLOOKUP($A:$A,CS!$A:$AK,18,FALSE),"")</f>
      </c>
      <c r="K469" s="79">
        <f>IFERROR(VLOOKUP($A:$A,CS!$A:$AK,19,FALSE),"")</f>
      </c>
      <c r="L469" s="79">
        <f>IFERROR(VLOOKUP($A:$A,CS!$A:$AK,20,FALSE),"")</f>
      </c>
      <c r="M469" s="79">
        <f>IFERROR(VLOOKUP($A:$A,CS!$A:$AK,22,FALSE),"")</f>
      </c>
      <c r="N469" s="79">
        <f>IFERROR(VLOOKUP($A:$A,CS!$A:$AK,19,FALSE),"")</f>
      </c>
      <c r="O469" s="79">
        <f>IFERROR(VLOOKUP($A:$A,CS!$A:$AK,23,FALSE),"")</f>
      </c>
      <c r="P469" s="79">
        <f>IFERROR(VLOOKUP($A:$A,CS!$A:$AK,24,FALSE),"")</f>
      </c>
      <c r="Q469" s="79">
        <f>IFERROR(VLOOKUP($A:$A,CS!$A:$AK,25,FALSE),"")</f>
      </c>
      <c r="R469" s="79">
        <f>IFERROR(VLOOKUP($A:$A,CS!$A:$AK,26,FALSE),"")</f>
      </c>
      <c r="S469" s="79">
        <f>IFERROR(VLOOKUP($A:$A,CS!$A:$AK,29,FALSE),"")</f>
      </c>
      <c r="T469" s="79">
        <f>IFERROR(VLOOKUP($A:$A,CS!$A:$AK,33,FALSE),"")</f>
      </c>
      <c r="U469" s="79">
        <f>IFERROR(VLOOKUP($A:$A,CS!$A:$AK,34,FALSE),"")</f>
      </c>
      <c r="V469" s="79">
        <f>IFERROR(VLOOKUP($A:$A,CS!$A:$AK,35,FALSE),"")</f>
      </c>
      <c r="W469" s="79">
        <f>IFERROR(VLOOKUP($A:$A,CS!$A:$AK,36,FALSE),"")</f>
      </c>
    </row>
    <row r="470" ht="16.5" customHeight="1" spans="1:23" x14ac:dyDescent="0.25">
      <c r="A470" s="93"/>
      <c r="B470" s="79">
        <f>IFERROR(VLOOKUP($A:$A,CS!$A:$AK,3,FALSE),"")</f>
      </c>
      <c r="C470" s="79">
        <f>IFERROR(VLOOKUP($A:$A,CS!$A:$AK,4,FALSE),"")</f>
      </c>
      <c r="D470" s="79">
        <f>IFERROR(VLOOKUP($A:$A,CS!$A:$AK,5,FALSE),"")</f>
      </c>
      <c r="E470" s="79">
        <f>IFERROR(VLOOKUP($A:$A,CS!$A:$AK,7,FALSE),"")</f>
      </c>
      <c r="F470" s="79">
        <f>IFERROR(VLOOKUP($A:$A,CS!$A:$AK,8,FALSE),"")</f>
      </c>
      <c r="G470" s="79">
        <f>IFERROR(VLOOKUP($A:$A,CS!$A:$AK,10,FALSE),"")</f>
      </c>
      <c r="H470" s="79">
        <f>IFERROR(VLOOKUP($A:$A,CS!$A:$AK,14,FALSE),"")</f>
      </c>
      <c r="I470" s="79">
        <f>IFERROR(VLOOKUP($A:$A,CS!$A:$AK,15,FALSE),"")</f>
      </c>
      <c r="J470" s="79">
        <f>IFERROR(VLOOKUP($A:$A,CS!$A:$AK,18,FALSE),"")</f>
      </c>
      <c r="K470" s="79">
        <f>IFERROR(VLOOKUP($A:$A,CS!$A:$AK,19,FALSE),"")</f>
      </c>
      <c r="L470" s="79">
        <f>IFERROR(VLOOKUP($A:$A,CS!$A:$AK,20,FALSE),"")</f>
      </c>
      <c r="M470" s="79">
        <f>IFERROR(VLOOKUP($A:$A,CS!$A:$AK,22,FALSE),"")</f>
      </c>
      <c r="N470" s="79">
        <f>IFERROR(VLOOKUP($A:$A,CS!$A:$AK,19,FALSE),"")</f>
      </c>
      <c r="O470" s="79">
        <f>IFERROR(VLOOKUP($A:$A,CS!$A:$AK,23,FALSE),"")</f>
      </c>
      <c r="P470" s="79">
        <f>IFERROR(VLOOKUP($A:$A,CS!$A:$AK,24,FALSE),"")</f>
      </c>
      <c r="Q470" s="79">
        <f>IFERROR(VLOOKUP($A:$A,CS!$A:$AK,25,FALSE),"")</f>
      </c>
      <c r="R470" s="79">
        <f>IFERROR(VLOOKUP($A:$A,CS!$A:$AK,26,FALSE),"")</f>
      </c>
      <c r="S470" s="79">
        <f>IFERROR(VLOOKUP($A:$A,CS!$A:$AK,29,FALSE),"")</f>
      </c>
      <c r="T470" s="79">
        <f>IFERROR(VLOOKUP($A:$A,CS!$A:$AK,33,FALSE),"")</f>
      </c>
      <c r="U470" s="79">
        <f>IFERROR(VLOOKUP($A:$A,CS!$A:$AK,34,FALSE),"")</f>
      </c>
      <c r="V470" s="79">
        <f>IFERROR(VLOOKUP($A:$A,CS!$A:$AK,35,FALSE),"")</f>
      </c>
      <c r="W470" s="79">
        <f>IFERROR(VLOOKUP($A:$A,CS!$A:$AK,36,FALSE),"")</f>
      </c>
    </row>
    <row r="471" ht="16.5" customHeight="1" spans="1:23" x14ac:dyDescent="0.25">
      <c r="A471" s="93"/>
      <c r="B471" s="79">
        <f>IFERROR(VLOOKUP($A:$A,CS!$A:$AK,3,FALSE),"")</f>
      </c>
      <c r="C471" s="79">
        <f>IFERROR(VLOOKUP($A:$A,CS!$A:$AK,4,FALSE),"")</f>
      </c>
      <c r="D471" s="79">
        <f>IFERROR(VLOOKUP($A:$A,CS!$A:$AK,5,FALSE),"")</f>
      </c>
      <c r="E471" s="79">
        <f>IFERROR(VLOOKUP($A:$A,CS!$A:$AK,7,FALSE),"")</f>
      </c>
      <c r="F471" s="79">
        <f>IFERROR(VLOOKUP($A:$A,CS!$A:$AK,8,FALSE),"")</f>
      </c>
      <c r="G471" s="79">
        <f>IFERROR(VLOOKUP($A:$A,CS!$A:$AK,10,FALSE),"")</f>
      </c>
      <c r="H471" s="79">
        <f>IFERROR(VLOOKUP($A:$A,CS!$A:$AK,14,FALSE),"")</f>
      </c>
      <c r="I471" s="79">
        <f>IFERROR(VLOOKUP($A:$A,CS!$A:$AK,15,FALSE),"")</f>
      </c>
      <c r="J471" s="79">
        <f>IFERROR(VLOOKUP($A:$A,CS!$A:$AK,18,FALSE),"")</f>
      </c>
      <c r="K471" s="79">
        <f>IFERROR(VLOOKUP($A:$A,CS!$A:$AK,19,FALSE),"")</f>
      </c>
      <c r="L471" s="79">
        <f>IFERROR(VLOOKUP($A:$A,CS!$A:$AK,20,FALSE),"")</f>
      </c>
      <c r="M471" s="79">
        <f>IFERROR(VLOOKUP($A:$A,CS!$A:$AK,22,FALSE),"")</f>
      </c>
      <c r="N471" s="79">
        <f>IFERROR(VLOOKUP($A:$A,CS!$A:$AK,19,FALSE),"")</f>
      </c>
      <c r="O471" s="79">
        <f>IFERROR(VLOOKUP($A:$A,CS!$A:$AK,23,FALSE),"")</f>
      </c>
      <c r="P471" s="79">
        <f>IFERROR(VLOOKUP($A:$A,CS!$A:$AK,24,FALSE),"")</f>
      </c>
      <c r="Q471" s="79">
        <f>IFERROR(VLOOKUP($A:$A,CS!$A:$AK,25,FALSE),"")</f>
      </c>
      <c r="R471" s="79">
        <f>IFERROR(VLOOKUP($A:$A,CS!$A:$AK,26,FALSE),"")</f>
      </c>
      <c r="S471" s="79">
        <f>IFERROR(VLOOKUP($A:$A,CS!$A:$AK,29,FALSE),"")</f>
      </c>
      <c r="T471" s="79">
        <f>IFERROR(VLOOKUP($A:$A,CS!$A:$AK,33,FALSE),"")</f>
      </c>
      <c r="U471" s="79">
        <f>IFERROR(VLOOKUP($A:$A,CS!$A:$AK,34,FALSE),"")</f>
      </c>
      <c r="V471" s="79">
        <f>IFERROR(VLOOKUP($A:$A,CS!$A:$AK,35,FALSE),"")</f>
      </c>
      <c r="W471" s="79">
        <f>IFERROR(VLOOKUP($A:$A,CS!$A:$AK,36,FALSE),"")</f>
      </c>
    </row>
    <row r="472" ht="16.5" customHeight="1" spans="1:23" x14ac:dyDescent="0.25">
      <c r="A472" s="93"/>
      <c r="B472" s="79">
        <f>IFERROR(VLOOKUP($A:$A,CS!$A:$AK,3,FALSE),"")</f>
      </c>
      <c r="C472" s="79">
        <f>IFERROR(VLOOKUP($A:$A,CS!$A:$AK,4,FALSE),"")</f>
      </c>
      <c r="D472" s="79">
        <f>IFERROR(VLOOKUP($A:$A,CS!$A:$AK,5,FALSE),"")</f>
      </c>
      <c r="E472" s="79">
        <f>IFERROR(VLOOKUP($A:$A,CS!$A:$AK,7,FALSE),"")</f>
      </c>
      <c r="F472" s="79">
        <f>IFERROR(VLOOKUP($A:$A,CS!$A:$AK,8,FALSE),"")</f>
      </c>
      <c r="G472" s="79">
        <f>IFERROR(VLOOKUP($A:$A,CS!$A:$AK,10,FALSE),"")</f>
      </c>
      <c r="H472" s="79">
        <f>IFERROR(VLOOKUP($A:$A,CS!$A:$AK,14,FALSE),"")</f>
      </c>
      <c r="I472" s="79">
        <f>IFERROR(VLOOKUP($A:$A,CS!$A:$AK,15,FALSE),"")</f>
      </c>
      <c r="J472" s="79">
        <f>IFERROR(VLOOKUP($A:$A,CS!$A:$AK,18,FALSE),"")</f>
      </c>
      <c r="K472" s="79">
        <f>IFERROR(VLOOKUP($A:$A,CS!$A:$AK,19,FALSE),"")</f>
      </c>
      <c r="L472" s="79">
        <f>IFERROR(VLOOKUP($A:$A,CS!$A:$AK,20,FALSE),"")</f>
      </c>
      <c r="M472" s="79">
        <f>IFERROR(VLOOKUP($A:$A,CS!$A:$AK,22,FALSE),"")</f>
      </c>
      <c r="N472" s="79">
        <f>IFERROR(VLOOKUP($A:$A,CS!$A:$AK,19,FALSE),"")</f>
      </c>
      <c r="O472" s="79">
        <f>IFERROR(VLOOKUP($A:$A,CS!$A:$AK,23,FALSE),"")</f>
      </c>
      <c r="P472" s="79">
        <f>IFERROR(VLOOKUP($A:$A,CS!$A:$AK,24,FALSE),"")</f>
      </c>
      <c r="Q472" s="79">
        <f>IFERROR(VLOOKUP($A:$A,CS!$A:$AK,25,FALSE),"")</f>
      </c>
      <c r="R472" s="79">
        <f>IFERROR(VLOOKUP($A:$A,CS!$A:$AK,26,FALSE),"")</f>
      </c>
      <c r="S472" s="79">
        <f>IFERROR(VLOOKUP($A:$A,CS!$A:$AK,29,FALSE),"")</f>
      </c>
      <c r="T472" s="79">
        <f>IFERROR(VLOOKUP($A:$A,CS!$A:$AK,33,FALSE),"")</f>
      </c>
      <c r="U472" s="79">
        <f>IFERROR(VLOOKUP($A:$A,CS!$A:$AK,34,FALSE),"")</f>
      </c>
      <c r="V472" s="79">
        <f>IFERROR(VLOOKUP($A:$A,CS!$A:$AK,35,FALSE),"")</f>
      </c>
      <c r="W472" s="79">
        <f>IFERROR(VLOOKUP($A:$A,CS!$A:$AK,36,FALSE),"")</f>
      </c>
    </row>
    <row r="473" ht="16.5" customHeight="1" spans="1:23" x14ac:dyDescent="0.25">
      <c r="A473" s="93"/>
      <c r="B473" s="79">
        <f>IFERROR(VLOOKUP($A:$A,CS!$A:$AK,3,FALSE),"")</f>
      </c>
      <c r="C473" s="79">
        <f>IFERROR(VLOOKUP($A:$A,CS!$A:$AK,4,FALSE),"")</f>
      </c>
      <c r="D473" s="79">
        <f>IFERROR(VLOOKUP($A:$A,CS!$A:$AK,5,FALSE),"")</f>
      </c>
      <c r="E473" s="79">
        <f>IFERROR(VLOOKUP($A:$A,CS!$A:$AK,7,FALSE),"")</f>
      </c>
      <c r="F473" s="79">
        <f>IFERROR(VLOOKUP($A:$A,CS!$A:$AK,8,FALSE),"")</f>
      </c>
      <c r="G473" s="79">
        <f>IFERROR(VLOOKUP($A:$A,CS!$A:$AK,10,FALSE),"")</f>
      </c>
      <c r="H473" s="79">
        <f>IFERROR(VLOOKUP($A:$A,CS!$A:$AK,14,FALSE),"")</f>
      </c>
      <c r="I473" s="79">
        <f>IFERROR(VLOOKUP($A:$A,CS!$A:$AK,15,FALSE),"")</f>
      </c>
      <c r="J473" s="79">
        <f>IFERROR(VLOOKUP($A:$A,CS!$A:$AK,18,FALSE),"")</f>
      </c>
      <c r="K473" s="79">
        <f>IFERROR(VLOOKUP($A:$A,CS!$A:$AK,19,FALSE),"")</f>
      </c>
      <c r="L473" s="79">
        <f>IFERROR(VLOOKUP($A:$A,CS!$A:$AK,20,FALSE),"")</f>
      </c>
      <c r="M473" s="79">
        <f>IFERROR(VLOOKUP($A:$A,CS!$A:$AK,22,FALSE),"")</f>
      </c>
      <c r="N473" s="79">
        <f>IFERROR(VLOOKUP($A:$A,CS!$A:$AK,19,FALSE),"")</f>
      </c>
      <c r="O473" s="79">
        <f>IFERROR(VLOOKUP($A:$A,CS!$A:$AK,23,FALSE),"")</f>
      </c>
      <c r="P473" s="79">
        <f>IFERROR(VLOOKUP($A:$A,CS!$A:$AK,24,FALSE),"")</f>
      </c>
      <c r="Q473" s="79">
        <f>IFERROR(VLOOKUP($A:$A,CS!$A:$AK,25,FALSE),"")</f>
      </c>
      <c r="R473" s="79">
        <f>IFERROR(VLOOKUP($A:$A,CS!$A:$AK,26,FALSE),"")</f>
      </c>
      <c r="S473" s="79">
        <f>IFERROR(VLOOKUP($A:$A,CS!$A:$AK,29,FALSE),"")</f>
      </c>
      <c r="T473" s="79">
        <f>IFERROR(VLOOKUP($A:$A,CS!$A:$AK,33,FALSE),"")</f>
      </c>
      <c r="U473" s="79">
        <f>IFERROR(VLOOKUP($A:$A,CS!$A:$AK,34,FALSE),"")</f>
      </c>
      <c r="V473" s="79">
        <f>IFERROR(VLOOKUP($A:$A,CS!$A:$AK,35,FALSE),"")</f>
      </c>
      <c r="W473" s="79">
        <f>IFERROR(VLOOKUP($A:$A,CS!$A:$AK,36,FALSE),"")</f>
      </c>
    </row>
    <row r="474" ht="16.5" customHeight="1" spans="1:23" x14ac:dyDescent="0.25">
      <c r="A474" s="93"/>
      <c r="B474" s="79">
        <f>IFERROR(VLOOKUP($A:$A,CS!$A:$AK,3,FALSE),"")</f>
      </c>
      <c r="C474" s="79">
        <f>IFERROR(VLOOKUP($A:$A,CS!$A:$AK,4,FALSE),"")</f>
      </c>
      <c r="D474" s="79">
        <f>IFERROR(VLOOKUP($A:$A,CS!$A:$AK,5,FALSE),"")</f>
      </c>
      <c r="E474" s="79">
        <f>IFERROR(VLOOKUP($A:$A,CS!$A:$AK,7,FALSE),"")</f>
      </c>
      <c r="F474" s="79">
        <f>IFERROR(VLOOKUP($A:$A,CS!$A:$AK,8,FALSE),"")</f>
      </c>
      <c r="G474" s="79">
        <f>IFERROR(VLOOKUP($A:$A,CS!$A:$AK,10,FALSE),"")</f>
      </c>
      <c r="H474" s="79">
        <f>IFERROR(VLOOKUP($A:$A,CS!$A:$AK,14,FALSE),"")</f>
      </c>
      <c r="I474" s="79">
        <f>IFERROR(VLOOKUP($A:$A,CS!$A:$AK,15,FALSE),"")</f>
      </c>
      <c r="J474" s="79">
        <f>IFERROR(VLOOKUP($A:$A,CS!$A:$AK,18,FALSE),"")</f>
      </c>
      <c r="K474" s="79">
        <f>IFERROR(VLOOKUP($A:$A,CS!$A:$AK,19,FALSE),"")</f>
      </c>
      <c r="L474" s="79">
        <f>IFERROR(VLOOKUP($A:$A,CS!$A:$AK,20,FALSE),"")</f>
      </c>
      <c r="M474" s="79">
        <f>IFERROR(VLOOKUP($A:$A,CS!$A:$AK,22,FALSE),"")</f>
      </c>
      <c r="N474" s="79">
        <f>IFERROR(VLOOKUP($A:$A,CS!$A:$AK,19,FALSE),"")</f>
      </c>
      <c r="O474" s="79">
        <f>IFERROR(VLOOKUP($A:$A,CS!$A:$AK,23,FALSE),"")</f>
      </c>
      <c r="P474" s="79">
        <f>IFERROR(VLOOKUP($A:$A,CS!$A:$AK,24,FALSE),"")</f>
      </c>
      <c r="Q474" s="79">
        <f>IFERROR(VLOOKUP($A:$A,CS!$A:$AK,25,FALSE),"")</f>
      </c>
      <c r="R474" s="79">
        <f>IFERROR(VLOOKUP($A:$A,CS!$A:$AK,26,FALSE),"")</f>
      </c>
      <c r="S474" s="79">
        <f>IFERROR(VLOOKUP($A:$A,CS!$A:$AK,29,FALSE),"")</f>
      </c>
      <c r="T474" s="79">
        <f>IFERROR(VLOOKUP($A:$A,CS!$A:$AK,33,FALSE),"")</f>
      </c>
      <c r="U474" s="79">
        <f>IFERROR(VLOOKUP($A:$A,CS!$A:$AK,34,FALSE),"")</f>
      </c>
      <c r="V474" s="79">
        <f>IFERROR(VLOOKUP($A:$A,CS!$A:$AK,35,FALSE),"")</f>
      </c>
      <c r="W474" s="79">
        <f>IFERROR(VLOOKUP($A:$A,CS!$A:$AK,36,FALSE),"")</f>
      </c>
    </row>
    <row r="475" ht="16.5" customHeight="1" spans="1:23" x14ac:dyDescent="0.25">
      <c r="A475" s="93"/>
      <c r="B475" s="79">
        <f>IFERROR(VLOOKUP($A:$A,CS!$A:$AK,3,FALSE),"")</f>
      </c>
      <c r="C475" s="79">
        <f>IFERROR(VLOOKUP($A:$A,CS!$A:$AK,4,FALSE),"")</f>
      </c>
      <c r="D475" s="79">
        <f>IFERROR(VLOOKUP($A:$A,CS!$A:$AK,5,FALSE),"")</f>
      </c>
      <c r="E475" s="79">
        <f>IFERROR(VLOOKUP($A:$A,CS!$A:$AK,7,FALSE),"")</f>
      </c>
      <c r="F475" s="79">
        <f>IFERROR(VLOOKUP($A:$A,CS!$A:$AK,8,FALSE),"")</f>
      </c>
      <c r="G475" s="79">
        <f>IFERROR(VLOOKUP($A:$A,CS!$A:$AK,10,FALSE),"")</f>
      </c>
      <c r="H475" s="79">
        <f>IFERROR(VLOOKUP($A:$A,CS!$A:$AK,14,FALSE),"")</f>
      </c>
      <c r="I475" s="79">
        <f>IFERROR(VLOOKUP($A:$A,CS!$A:$AK,15,FALSE),"")</f>
      </c>
      <c r="J475" s="79">
        <f>IFERROR(VLOOKUP($A:$A,CS!$A:$AK,18,FALSE),"")</f>
      </c>
      <c r="K475" s="79">
        <f>IFERROR(VLOOKUP($A:$A,CS!$A:$AK,19,FALSE),"")</f>
      </c>
      <c r="L475" s="79">
        <f>IFERROR(VLOOKUP($A:$A,CS!$A:$AK,20,FALSE),"")</f>
      </c>
      <c r="M475" s="79">
        <f>IFERROR(VLOOKUP($A:$A,CS!$A:$AK,22,FALSE),"")</f>
      </c>
      <c r="N475" s="79">
        <f>IFERROR(VLOOKUP($A:$A,CS!$A:$AK,19,FALSE),"")</f>
      </c>
      <c r="O475" s="79">
        <f>IFERROR(VLOOKUP($A:$A,CS!$A:$AK,23,FALSE),"")</f>
      </c>
      <c r="P475" s="79">
        <f>IFERROR(VLOOKUP($A:$A,CS!$A:$AK,24,FALSE),"")</f>
      </c>
      <c r="Q475" s="79">
        <f>IFERROR(VLOOKUP($A:$A,CS!$A:$AK,25,FALSE),"")</f>
      </c>
      <c r="R475" s="79">
        <f>IFERROR(VLOOKUP($A:$A,CS!$A:$AK,26,FALSE),"")</f>
      </c>
      <c r="S475" s="79">
        <f>IFERROR(VLOOKUP($A:$A,CS!$A:$AK,29,FALSE),"")</f>
      </c>
      <c r="T475" s="79">
        <f>IFERROR(VLOOKUP($A:$A,CS!$A:$AK,33,FALSE),"")</f>
      </c>
      <c r="U475" s="79">
        <f>IFERROR(VLOOKUP($A:$A,CS!$A:$AK,34,FALSE),"")</f>
      </c>
      <c r="V475" s="79">
        <f>IFERROR(VLOOKUP($A:$A,CS!$A:$AK,35,FALSE),"")</f>
      </c>
      <c r="W475" s="79">
        <f>IFERROR(VLOOKUP($A:$A,CS!$A:$AK,36,FALSE),"")</f>
      </c>
    </row>
    <row r="476" ht="16.5" customHeight="1" spans="1:23" x14ac:dyDescent="0.25">
      <c r="A476" s="94"/>
      <c r="B476" s="79"/>
      <c r="C476" s="79"/>
      <c r="D476" s="80"/>
      <c r="E476" s="79"/>
      <c r="F476" s="79"/>
      <c r="G476" s="79"/>
      <c r="H476" s="79"/>
      <c r="I476" s="79"/>
      <c r="J476" s="90"/>
      <c r="K476" s="79"/>
      <c r="L476" s="82"/>
      <c r="M476" s="79"/>
      <c r="N476" s="79"/>
      <c r="O476" s="82"/>
      <c r="P476" s="81"/>
      <c r="Q476" s="82"/>
      <c r="R476" s="82"/>
      <c r="S476" s="81"/>
      <c r="T476" s="85"/>
      <c r="U476" s="82"/>
      <c r="V476" s="95"/>
      <c r="W476" s="81"/>
    </row>
    <row r="477" ht="16.5" customHeight="1" spans="1:23" x14ac:dyDescent="0.25">
      <c r="A477" s="94"/>
      <c r="B477" s="79"/>
      <c r="C477" s="79"/>
      <c r="D477" s="80"/>
      <c r="E477" s="79"/>
      <c r="F477" s="79"/>
      <c r="G477" s="79"/>
      <c r="H477" s="79"/>
      <c r="I477" s="79"/>
      <c r="J477" s="90"/>
      <c r="K477" s="79"/>
      <c r="L477" s="82"/>
      <c r="M477" s="79"/>
      <c r="N477" s="79"/>
      <c r="O477" s="82"/>
      <c r="P477" s="81"/>
      <c r="Q477" s="82"/>
      <c r="R477" s="82"/>
      <c r="S477" s="81"/>
      <c r="T477" s="85"/>
      <c r="U477" s="82"/>
      <c r="V477" s="96"/>
      <c r="W477" s="81"/>
    </row>
    <row r="478" ht="16.5" customHeight="1" spans="1:23" x14ac:dyDescent="0.25">
      <c r="A478" s="94"/>
      <c r="B478" s="79"/>
      <c r="C478" s="79"/>
      <c r="D478" s="80"/>
      <c r="E478" s="79"/>
      <c r="F478" s="79"/>
      <c r="G478" s="79"/>
      <c r="H478" s="79"/>
      <c r="I478" s="79"/>
      <c r="J478" s="90"/>
      <c r="K478" s="79"/>
      <c r="L478" s="82"/>
      <c r="M478" s="79"/>
      <c r="N478" s="79"/>
      <c r="O478" s="82"/>
      <c r="P478" s="81"/>
      <c r="Q478" s="82"/>
      <c r="R478" s="82"/>
      <c r="S478" s="81"/>
      <c r="T478" s="85"/>
      <c r="U478" s="82"/>
      <c r="V478" s="96"/>
      <c r="W478" s="81"/>
    </row>
    <row r="479" ht="16.5" customHeight="1" spans="1:23" x14ac:dyDescent="0.25">
      <c r="A479" s="94"/>
      <c r="B479" s="79"/>
      <c r="C479" s="79"/>
      <c r="D479" s="80"/>
      <c r="E479" s="79"/>
      <c r="F479" s="79"/>
      <c r="G479" s="79"/>
      <c r="H479" s="79"/>
      <c r="I479" s="79"/>
      <c r="J479" s="90"/>
      <c r="K479" s="79"/>
      <c r="L479" s="82"/>
      <c r="M479" s="79"/>
      <c r="N479" s="79"/>
      <c r="O479" s="82"/>
      <c r="P479" s="81"/>
      <c r="Q479" s="82"/>
      <c r="R479" s="82"/>
      <c r="S479" s="81"/>
      <c r="T479" s="85"/>
      <c r="U479" s="82"/>
      <c r="V479" s="96"/>
      <c r="W479" s="81"/>
    </row>
    <row r="480" ht="16.5" customHeight="1" spans="1:23" x14ac:dyDescent="0.25">
      <c r="A480" s="94"/>
      <c r="B480" s="79"/>
      <c r="C480" s="79"/>
      <c r="D480" s="80"/>
      <c r="E480" s="79"/>
      <c r="F480" s="79"/>
      <c r="G480" s="79"/>
      <c r="H480" s="79"/>
      <c r="I480" s="79"/>
      <c r="J480" s="90"/>
      <c r="K480" s="79"/>
      <c r="L480" s="82"/>
      <c r="M480" s="79"/>
      <c r="N480" s="79"/>
      <c r="O480" s="82"/>
      <c r="P480" s="81"/>
      <c r="Q480" s="82"/>
      <c r="R480" s="82"/>
      <c r="S480" s="81"/>
      <c r="T480" s="85"/>
      <c r="U480" s="82"/>
      <c r="V480" s="96"/>
      <c r="W480" s="81"/>
    </row>
    <row r="481" ht="16.5" customHeight="1" spans="1:23" x14ac:dyDescent="0.25">
      <c r="A481" s="94"/>
      <c r="B481" s="79"/>
      <c r="C481" s="79"/>
      <c r="D481" s="80"/>
      <c r="E481" s="79"/>
      <c r="F481" s="79"/>
      <c r="G481" s="79"/>
      <c r="H481" s="79"/>
      <c r="I481" s="79"/>
      <c r="J481" s="90"/>
      <c r="K481" s="79"/>
      <c r="L481" s="82"/>
      <c r="M481" s="79"/>
      <c r="N481" s="79"/>
      <c r="O481" s="82"/>
      <c r="P481" s="81"/>
      <c r="Q481" s="82"/>
      <c r="R481" s="82"/>
      <c r="S481" s="81"/>
      <c r="T481" s="85"/>
      <c r="U481" s="82"/>
      <c r="V481" s="96"/>
      <c r="W481" s="81"/>
    </row>
    <row r="482" ht="16.5" customHeight="1" spans="1:23" x14ac:dyDescent="0.25">
      <c r="A482" s="94"/>
      <c r="B482" s="79"/>
      <c r="C482" s="79"/>
      <c r="D482" s="80"/>
      <c r="E482" s="79"/>
      <c r="F482" s="79"/>
      <c r="G482" s="79"/>
      <c r="H482" s="79"/>
      <c r="I482" s="79"/>
      <c r="J482" s="90"/>
      <c r="K482" s="79"/>
      <c r="L482" s="82"/>
      <c r="M482" s="79"/>
      <c r="N482" s="79"/>
      <c r="O482" s="82"/>
      <c r="P482" s="81"/>
      <c r="Q482" s="82"/>
      <c r="R482" s="82"/>
      <c r="S482" s="81"/>
      <c r="T482" s="85"/>
      <c r="U482" s="82"/>
      <c r="V482" s="96"/>
      <c r="W482" s="81"/>
    </row>
    <row r="483" ht="16.5" customHeight="1" spans="1:23" x14ac:dyDescent="0.25">
      <c r="A483" s="94"/>
      <c r="B483" s="79"/>
      <c r="C483" s="79"/>
      <c r="D483" s="80"/>
      <c r="E483" s="79"/>
      <c r="F483" s="79"/>
      <c r="G483" s="79"/>
      <c r="H483" s="79"/>
      <c r="I483" s="79"/>
      <c r="J483" s="90"/>
      <c r="K483" s="79"/>
      <c r="L483" s="82"/>
      <c r="M483" s="79"/>
      <c r="N483" s="79"/>
      <c r="O483" s="82"/>
      <c r="P483" s="81"/>
      <c r="Q483" s="82"/>
      <c r="R483" s="82"/>
      <c r="S483" s="81"/>
      <c r="T483" s="85"/>
      <c r="U483" s="82"/>
      <c r="V483" s="96"/>
      <c r="W483" s="81"/>
    </row>
    <row r="484" ht="16.5" customHeight="1" spans="1:23" x14ac:dyDescent="0.25">
      <c r="A484" s="94"/>
      <c r="B484" s="79"/>
      <c r="C484" s="79"/>
      <c r="D484" s="80"/>
      <c r="E484" s="79"/>
      <c r="F484" s="79"/>
      <c r="G484" s="79"/>
      <c r="H484" s="79"/>
      <c r="I484" s="79"/>
      <c r="J484" s="90"/>
      <c r="K484" s="79"/>
      <c r="L484" s="82"/>
      <c r="M484" s="79"/>
      <c r="N484" s="79"/>
      <c r="O484" s="82"/>
      <c r="P484" s="81"/>
      <c r="Q484" s="82"/>
      <c r="R484" s="82"/>
      <c r="S484" s="81"/>
      <c r="T484" s="85"/>
      <c r="U484" s="82"/>
      <c r="V484" s="96"/>
      <c r="W484" s="81"/>
    </row>
    <row r="485" ht="16.5" customHeight="1" spans="1:23" x14ac:dyDescent="0.25">
      <c r="A485" s="94"/>
      <c r="B485" s="79"/>
      <c r="C485" s="79"/>
      <c r="D485" s="80"/>
      <c r="E485" s="79"/>
      <c r="F485" s="79"/>
      <c r="G485" s="79"/>
      <c r="H485" s="79"/>
      <c r="I485" s="79"/>
      <c r="J485" s="90"/>
      <c r="K485" s="79"/>
      <c r="L485" s="82"/>
      <c r="M485" s="79"/>
      <c r="N485" s="79"/>
      <c r="O485" s="82"/>
      <c r="P485" s="81"/>
      <c r="Q485" s="82"/>
      <c r="R485" s="82"/>
      <c r="S485" s="81"/>
      <c r="T485" s="85"/>
      <c r="U485" s="82"/>
      <c r="V485" s="96"/>
      <c r="W485" s="81"/>
    </row>
    <row r="486" ht="16.5" customHeight="1" spans="1:23" x14ac:dyDescent="0.25">
      <c r="A486" s="94"/>
      <c r="B486" s="79"/>
      <c r="C486" s="79"/>
      <c r="D486" s="80"/>
      <c r="E486" s="79"/>
      <c r="F486" s="79"/>
      <c r="G486" s="79"/>
      <c r="H486" s="79"/>
      <c r="I486" s="79"/>
      <c r="J486" s="90"/>
      <c r="K486" s="79"/>
      <c r="L486" s="82"/>
      <c r="M486" s="79"/>
      <c r="N486" s="79"/>
      <c r="O486" s="82"/>
      <c r="P486" s="81"/>
      <c r="Q486" s="82"/>
      <c r="R486" s="82"/>
      <c r="S486" s="81"/>
      <c r="T486" s="85"/>
      <c r="U486" s="82"/>
      <c r="V486" s="96"/>
      <c r="W486" s="81"/>
    </row>
    <row r="487" ht="16.5" customHeight="1" spans="1:23" x14ac:dyDescent="0.25">
      <c r="A487" s="94"/>
      <c r="B487" s="79"/>
      <c r="C487" s="79"/>
      <c r="D487" s="80"/>
      <c r="E487" s="79"/>
      <c r="F487" s="79"/>
      <c r="G487" s="79"/>
      <c r="H487" s="79"/>
      <c r="I487" s="79"/>
      <c r="J487" s="90"/>
      <c r="K487" s="79"/>
      <c r="L487" s="82"/>
      <c r="M487" s="79"/>
      <c r="N487" s="79"/>
      <c r="O487" s="82"/>
      <c r="P487" s="81"/>
      <c r="Q487" s="82"/>
      <c r="R487" s="82"/>
      <c r="S487" s="81"/>
      <c r="T487" s="85"/>
      <c r="U487" s="82"/>
      <c r="V487" s="96"/>
      <c r="W487" s="81"/>
    </row>
    <row r="488" ht="16.5" customHeight="1" spans="1:23" x14ac:dyDescent="0.25">
      <c r="A488" s="94"/>
      <c r="B488" s="79"/>
      <c r="C488" s="79"/>
      <c r="D488" s="80"/>
      <c r="E488" s="79"/>
      <c r="F488" s="79"/>
      <c r="G488" s="79"/>
      <c r="H488" s="79"/>
      <c r="I488" s="79"/>
      <c r="J488" s="90"/>
      <c r="K488" s="79"/>
      <c r="L488" s="82"/>
      <c r="M488" s="79"/>
      <c r="N488" s="79"/>
      <c r="O488" s="82"/>
      <c r="P488" s="81"/>
      <c r="Q488" s="82"/>
      <c r="R488" s="82"/>
      <c r="S488" s="81"/>
      <c r="T488" s="85"/>
      <c r="U488" s="82"/>
      <c r="V488" s="96"/>
      <c r="W488" s="81"/>
    </row>
    <row r="489" ht="16.5" customHeight="1" spans="1:23" x14ac:dyDescent="0.25">
      <c r="A489" s="94"/>
      <c r="B489" s="79"/>
      <c r="C489" s="79"/>
      <c r="D489" s="80"/>
      <c r="E489" s="79"/>
      <c r="F489" s="79"/>
      <c r="G489" s="79"/>
      <c r="H489" s="79"/>
      <c r="I489" s="79"/>
      <c r="J489" s="90"/>
      <c r="K489" s="79"/>
      <c r="L489" s="82"/>
      <c r="M489" s="79"/>
      <c r="N489" s="79"/>
      <c r="O489" s="82"/>
      <c r="P489" s="81"/>
      <c r="Q489" s="82"/>
      <c r="R489" s="82"/>
      <c r="S489" s="81"/>
      <c r="T489" s="85"/>
      <c r="U489" s="82"/>
      <c r="V489" s="96"/>
      <c r="W489" s="81"/>
    </row>
    <row r="490" ht="16.5" customHeight="1" spans="1:23" x14ac:dyDescent="0.25">
      <c r="A490" s="94"/>
      <c r="B490" s="79"/>
      <c r="C490" s="79"/>
      <c r="D490" s="80"/>
      <c r="E490" s="79"/>
      <c r="F490" s="79"/>
      <c r="G490" s="79"/>
      <c r="H490" s="79"/>
      <c r="I490" s="79"/>
      <c r="J490" s="90"/>
      <c r="K490" s="79"/>
      <c r="L490" s="82"/>
      <c r="M490" s="79"/>
      <c r="N490" s="79"/>
      <c r="O490" s="82"/>
      <c r="P490" s="81"/>
      <c r="Q490" s="82"/>
      <c r="R490" s="82"/>
      <c r="S490" s="81"/>
      <c r="T490" s="85"/>
      <c r="U490" s="82"/>
      <c r="V490" s="96"/>
      <c r="W490" s="81"/>
    </row>
    <row r="491" ht="16.5" customHeight="1" spans="1:23" x14ac:dyDescent="0.25">
      <c r="A491" s="94"/>
      <c r="B491" s="79"/>
      <c r="C491" s="79"/>
      <c r="D491" s="80"/>
      <c r="E491" s="79"/>
      <c r="F491" s="79"/>
      <c r="G491" s="79"/>
      <c r="H491" s="79"/>
      <c r="I491" s="79"/>
      <c r="J491" s="90"/>
      <c r="K491" s="79"/>
      <c r="L491" s="82"/>
      <c r="M491" s="79"/>
      <c r="N491" s="79"/>
      <c r="O491" s="82"/>
      <c r="P491" s="81"/>
      <c r="Q491" s="82"/>
      <c r="R491" s="82"/>
      <c r="S491" s="81"/>
      <c r="T491" s="85"/>
      <c r="U491" s="82"/>
      <c r="V491" s="96"/>
      <c r="W491" s="81"/>
    </row>
    <row r="492" ht="16.5" customHeight="1" spans="1:23" x14ac:dyDescent="0.25">
      <c r="A492" s="94"/>
      <c r="B492" s="79"/>
      <c r="C492" s="79"/>
      <c r="D492" s="80"/>
      <c r="E492" s="79"/>
      <c r="F492" s="79"/>
      <c r="G492" s="79"/>
      <c r="H492" s="79"/>
      <c r="I492" s="79"/>
      <c r="J492" s="90"/>
      <c r="K492" s="79"/>
      <c r="L492" s="82"/>
      <c r="M492" s="79"/>
      <c r="N492" s="79"/>
      <c r="O492" s="82"/>
      <c r="P492" s="81"/>
      <c r="Q492" s="82"/>
      <c r="R492" s="82"/>
      <c r="S492" s="81"/>
      <c r="T492" s="85"/>
      <c r="U492" s="82"/>
      <c r="V492" s="96"/>
      <c r="W492" s="81"/>
    </row>
    <row r="493" ht="16.5" customHeight="1" spans="1:23" x14ac:dyDescent="0.25">
      <c r="A493" s="94"/>
      <c r="B493" s="79"/>
      <c r="C493" s="79"/>
      <c r="D493" s="80"/>
      <c r="E493" s="79"/>
      <c r="F493" s="79"/>
      <c r="G493" s="79"/>
      <c r="H493" s="79"/>
      <c r="I493" s="79"/>
      <c r="J493" s="90"/>
      <c r="K493" s="79"/>
      <c r="L493" s="82"/>
      <c r="M493" s="79"/>
      <c r="N493" s="79"/>
      <c r="O493" s="82"/>
      <c r="P493" s="81"/>
      <c r="Q493" s="82"/>
      <c r="R493" s="82"/>
      <c r="S493" s="81"/>
      <c r="T493" s="85"/>
      <c r="U493" s="82"/>
      <c r="V493" s="96"/>
      <c r="W493" s="81"/>
    </row>
    <row r="494" ht="16.5" customHeight="1" spans="1:23" x14ac:dyDescent="0.25">
      <c r="A494" s="94"/>
      <c r="B494" s="79"/>
      <c r="C494" s="79"/>
      <c r="D494" s="80"/>
      <c r="E494" s="79"/>
      <c r="F494" s="79"/>
      <c r="G494" s="79"/>
      <c r="H494" s="79"/>
      <c r="I494" s="79"/>
      <c r="J494" s="90"/>
      <c r="K494" s="79"/>
      <c r="L494" s="82"/>
      <c r="M494" s="79"/>
      <c r="N494" s="79"/>
      <c r="O494" s="82"/>
      <c r="P494" s="81"/>
      <c r="Q494" s="82"/>
      <c r="R494" s="82"/>
      <c r="S494" s="81"/>
      <c r="T494" s="85"/>
      <c r="U494" s="82"/>
      <c r="V494" s="96"/>
      <c r="W494" s="81"/>
    </row>
    <row r="495" ht="16.5" customHeight="1" spans="1:23" x14ac:dyDescent="0.25">
      <c r="A495" s="94"/>
      <c r="B495" s="79"/>
      <c r="C495" s="79"/>
      <c r="D495" s="80"/>
      <c r="E495" s="79"/>
      <c r="F495" s="79"/>
      <c r="G495" s="79"/>
      <c r="H495" s="79"/>
      <c r="I495" s="79"/>
      <c r="J495" s="90"/>
      <c r="K495" s="79"/>
      <c r="L495" s="82"/>
      <c r="M495" s="79"/>
      <c r="N495" s="79"/>
      <c r="O495" s="82"/>
      <c r="P495" s="81"/>
      <c r="Q495" s="82"/>
      <c r="R495" s="82"/>
      <c r="S495" s="81"/>
      <c r="T495" s="85"/>
      <c r="U495" s="82"/>
      <c r="V495" s="96"/>
      <c r="W495" s="81"/>
    </row>
    <row r="496" ht="16.5" customHeight="1" spans="1:23" x14ac:dyDescent="0.25">
      <c r="A496" s="94"/>
      <c r="B496" s="79"/>
      <c r="C496" s="79"/>
      <c r="D496" s="80"/>
      <c r="E496" s="79"/>
      <c r="F496" s="79"/>
      <c r="G496" s="79"/>
      <c r="H496" s="79"/>
      <c r="I496" s="79"/>
      <c r="J496" s="90"/>
      <c r="K496" s="79"/>
      <c r="L496" s="82"/>
      <c r="M496" s="79"/>
      <c r="N496" s="79"/>
      <c r="O496" s="82"/>
      <c r="P496" s="81"/>
      <c r="Q496" s="82"/>
      <c r="R496" s="82"/>
      <c r="S496" s="81"/>
      <c r="T496" s="85"/>
      <c r="U496" s="82"/>
      <c r="V496" s="96"/>
      <c r="W496" s="81"/>
    </row>
    <row r="497" ht="16.5" customHeight="1" spans="1:23" x14ac:dyDescent="0.25">
      <c r="A497" s="94"/>
      <c r="B497" s="79"/>
      <c r="C497" s="79"/>
      <c r="D497" s="80"/>
      <c r="E497" s="79"/>
      <c r="F497" s="79"/>
      <c r="G497" s="79"/>
      <c r="H497" s="79"/>
      <c r="I497" s="79"/>
      <c r="J497" s="90"/>
      <c r="K497" s="79"/>
      <c r="L497" s="82"/>
      <c r="M497" s="79"/>
      <c r="N497" s="79"/>
      <c r="O497" s="82"/>
      <c r="P497" s="81"/>
      <c r="Q497" s="82"/>
      <c r="R497" s="82"/>
      <c r="S497" s="81"/>
      <c r="T497" s="85"/>
      <c r="U497" s="82"/>
      <c r="V497" s="96"/>
      <c r="W497" s="81"/>
    </row>
    <row r="498" ht="16.5" customHeight="1" spans="1:23" x14ac:dyDescent="0.25">
      <c r="A498" s="94"/>
      <c r="B498" s="79"/>
      <c r="C498" s="79"/>
      <c r="D498" s="80"/>
      <c r="E498" s="79"/>
      <c r="F498" s="79"/>
      <c r="G498" s="79"/>
      <c r="H498" s="79"/>
      <c r="I498" s="79"/>
      <c r="J498" s="90"/>
      <c r="K498" s="79"/>
      <c r="L498" s="82"/>
      <c r="M498" s="79"/>
      <c r="N498" s="79"/>
      <c r="O498" s="82"/>
      <c r="P498" s="81"/>
      <c r="Q498" s="82"/>
      <c r="R498" s="82"/>
      <c r="S498" s="81"/>
      <c r="T498" s="85"/>
      <c r="U498" s="82"/>
      <c r="V498" s="96"/>
      <c r="W498" s="81"/>
    </row>
    <row r="499" ht="16.5" customHeight="1" spans="1:23" x14ac:dyDescent="0.25">
      <c r="A499" s="94"/>
      <c r="B499" s="79"/>
      <c r="C499" s="79"/>
      <c r="D499" s="80"/>
      <c r="E499" s="79"/>
      <c r="F499" s="79"/>
      <c r="G499" s="79"/>
      <c r="H499" s="79"/>
      <c r="I499" s="79"/>
      <c r="J499" s="90"/>
      <c r="K499" s="79"/>
      <c r="L499" s="82"/>
      <c r="M499" s="79"/>
      <c r="N499" s="79"/>
      <c r="O499" s="82"/>
      <c r="P499" s="81"/>
      <c r="Q499" s="82"/>
      <c r="R499" s="82"/>
      <c r="S499" s="81"/>
      <c r="T499" s="85"/>
      <c r="U499" s="82"/>
      <c r="V499" s="96"/>
      <c r="W499" s="81"/>
    </row>
    <row r="500" ht="16.5" customHeight="1" spans="1:23" x14ac:dyDescent="0.25">
      <c r="A500" s="94"/>
      <c r="B500" s="79"/>
      <c r="C500" s="79"/>
      <c r="D500" s="80"/>
      <c r="E500" s="79"/>
      <c r="F500" s="79"/>
      <c r="G500" s="79"/>
      <c r="H500" s="79"/>
      <c r="I500" s="79"/>
      <c r="J500" s="90"/>
      <c r="K500" s="79"/>
      <c r="L500" s="82"/>
      <c r="M500" s="79"/>
      <c r="N500" s="79"/>
      <c r="O500" s="82"/>
      <c r="P500" s="81"/>
      <c r="Q500" s="82"/>
      <c r="R500" s="82"/>
      <c r="S500" s="81"/>
      <c r="T500" s="85"/>
      <c r="U500" s="82"/>
      <c r="V500" s="96"/>
      <c r="W500" s="81"/>
    </row>
    <row r="501" ht="16.5" customHeight="1" spans="1:23" x14ac:dyDescent="0.25">
      <c r="A501" s="94"/>
      <c r="B501" s="79"/>
      <c r="C501" s="79"/>
      <c r="D501" s="80"/>
      <c r="E501" s="79"/>
      <c r="F501" s="79"/>
      <c r="G501" s="79"/>
      <c r="H501" s="79"/>
      <c r="I501" s="79"/>
      <c r="J501" s="90"/>
      <c r="K501" s="79"/>
      <c r="L501" s="82"/>
      <c r="M501" s="79"/>
      <c r="N501" s="79"/>
      <c r="O501" s="82"/>
      <c r="P501" s="81"/>
      <c r="Q501" s="82"/>
      <c r="R501" s="82"/>
      <c r="S501" s="81"/>
      <c r="T501" s="85"/>
      <c r="U501" s="82"/>
      <c r="V501" s="96"/>
      <c r="W501" s="81"/>
    </row>
    <row r="502" ht="16.5" customHeight="1" spans="1:23" x14ac:dyDescent="0.25">
      <c r="A502" s="94"/>
      <c r="B502" s="79"/>
      <c r="C502" s="79"/>
      <c r="D502" s="80"/>
      <c r="E502" s="79"/>
      <c r="F502" s="79"/>
      <c r="G502" s="79"/>
      <c r="H502" s="79"/>
      <c r="I502" s="79"/>
      <c r="J502" s="90"/>
      <c r="K502" s="79"/>
      <c r="L502" s="82"/>
      <c r="M502" s="79"/>
      <c r="N502" s="79"/>
      <c r="O502" s="82"/>
      <c r="P502" s="81"/>
      <c r="Q502" s="82"/>
      <c r="R502" s="82"/>
      <c r="S502" s="81"/>
      <c r="T502" s="85"/>
      <c r="U502" s="82"/>
      <c r="V502" s="96"/>
      <c r="W502" s="81"/>
    </row>
    <row r="503" ht="16.5" customHeight="1" spans="1:23" x14ac:dyDescent="0.25">
      <c r="A503" s="94"/>
      <c r="B503" s="79"/>
      <c r="C503" s="79"/>
      <c r="D503" s="80"/>
      <c r="E503" s="79"/>
      <c r="F503" s="79"/>
      <c r="G503" s="79"/>
      <c r="H503" s="79"/>
      <c r="I503" s="79"/>
      <c r="J503" s="90"/>
      <c r="K503" s="79"/>
      <c r="L503" s="82"/>
      <c r="M503" s="79"/>
      <c r="N503" s="79"/>
      <c r="O503" s="82"/>
      <c r="P503" s="81"/>
      <c r="Q503" s="82"/>
      <c r="R503" s="82"/>
      <c r="S503" s="81"/>
      <c r="T503" s="85"/>
      <c r="U503" s="82"/>
      <c r="V503" s="96"/>
      <c r="W503" s="81"/>
    </row>
    <row r="504" ht="16.5" customHeight="1" spans="1:23" x14ac:dyDescent="0.25">
      <c r="A504" s="94"/>
      <c r="B504" s="79"/>
      <c r="C504" s="79"/>
      <c r="D504" s="80"/>
      <c r="E504" s="79"/>
      <c r="F504" s="79"/>
      <c r="G504" s="79"/>
      <c r="H504" s="79"/>
      <c r="I504" s="79"/>
      <c r="J504" s="90"/>
      <c r="K504" s="79"/>
      <c r="L504" s="82"/>
      <c r="M504" s="79"/>
      <c r="N504" s="79"/>
      <c r="O504" s="82"/>
      <c r="P504" s="81"/>
      <c r="Q504" s="82"/>
      <c r="R504" s="82"/>
      <c r="S504" s="81"/>
      <c r="T504" s="85"/>
      <c r="U504" s="82"/>
      <c r="V504" s="96"/>
      <c r="W504" s="81"/>
    </row>
    <row r="505" ht="16.5" customHeight="1" spans="1:23" x14ac:dyDescent="0.25">
      <c r="A505" s="94"/>
      <c r="B505" s="79"/>
      <c r="C505" s="79"/>
      <c r="D505" s="80"/>
      <c r="E505" s="79"/>
      <c r="F505" s="79"/>
      <c r="G505" s="79"/>
      <c r="H505" s="79"/>
      <c r="I505" s="79"/>
      <c r="J505" s="90"/>
      <c r="K505" s="79"/>
      <c r="L505" s="82"/>
      <c r="M505" s="79"/>
      <c r="N505" s="79"/>
      <c r="O505" s="82"/>
      <c r="P505" s="81"/>
      <c r="Q505" s="82"/>
      <c r="R505" s="82"/>
      <c r="S505" s="81"/>
      <c r="T505" s="85"/>
      <c r="U505" s="82"/>
      <c r="V505" s="96"/>
      <c r="W505" s="81"/>
    </row>
    <row r="506" ht="16.5" customHeight="1" spans="1:23" x14ac:dyDescent="0.25">
      <c r="A506" s="94"/>
      <c r="B506" s="79"/>
      <c r="C506" s="79"/>
      <c r="D506" s="80"/>
      <c r="E506" s="79"/>
      <c r="F506" s="79"/>
      <c r="G506" s="79"/>
      <c r="H506" s="79"/>
      <c r="I506" s="79"/>
      <c r="J506" s="90"/>
      <c r="K506" s="79"/>
      <c r="L506" s="82"/>
      <c r="M506" s="79"/>
      <c r="N506" s="79"/>
      <c r="O506" s="82"/>
      <c r="P506" s="81"/>
      <c r="Q506" s="82"/>
      <c r="R506" s="82"/>
      <c r="S506" s="81"/>
      <c r="T506" s="85"/>
      <c r="U506" s="82"/>
      <c r="V506" s="96"/>
      <c r="W506" s="81"/>
    </row>
    <row r="507" ht="16.5" customHeight="1" spans="1:23" x14ac:dyDescent="0.25">
      <c r="A507" s="94"/>
      <c r="B507" s="79"/>
      <c r="C507" s="79"/>
      <c r="D507" s="80"/>
      <c r="E507" s="79"/>
      <c r="F507" s="79"/>
      <c r="G507" s="79"/>
      <c r="H507" s="79"/>
      <c r="I507" s="79"/>
      <c r="J507" s="90"/>
      <c r="K507" s="79"/>
      <c r="L507" s="82"/>
      <c r="M507" s="79"/>
      <c r="N507" s="79"/>
      <c r="O507" s="82"/>
      <c r="P507" s="81"/>
      <c r="Q507" s="82"/>
      <c r="R507" s="82"/>
      <c r="S507" s="81"/>
      <c r="T507" s="85"/>
      <c r="U507" s="82"/>
      <c r="V507" s="96"/>
      <c r="W507" s="81"/>
    </row>
    <row r="508" ht="16.5" customHeight="1" spans="1:23" x14ac:dyDescent="0.25">
      <c r="A508" s="94"/>
      <c r="B508" s="79"/>
      <c r="C508" s="79"/>
      <c r="D508" s="80"/>
      <c r="E508" s="79"/>
      <c r="F508" s="79"/>
      <c r="G508" s="79"/>
      <c r="H508" s="79"/>
      <c r="I508" s="79"/>
      <c r="J508" s="90"/>
      <c r="K508" s="79"/>
      <c r="L508" s="82"/>
      <c r="M508" s="79"/>
      <c r="N508" s="79"/>
      <c r="O508" s="82"/>
      <c r="P508" s="81"/>
      <c r="Q508" s="82"/>
      <c r="R508" s="82"/>
      <c r="S508" s="81"/>
      <c r="T508" s="85"/>
      <c r="U508" s="82"/>
      <c r="V508" s="96"/>
      <c r="W508" s="81"/>
    </row>
    <row r="509" ht="16.5" customHeight="1" spans="1:23" x14ac:dyDescent="0.25">
      <c r="A509" s="94"/>
      <c r="B509" s="79"/>
      <c r="C509" s="79"/>
      <c r="D509" s="80"/>
      <c r="E509" s="79"/>
      <c r="F509" s="79"/>
      <c r="G509" s="79"/>
      <c r="H509" s="79"/>
      <c r="I509" s="79"/>
      <c r="J509" s="90"/>
      <c r="K509" s="79"/>
      <c r="L509" s="82"/>
      <c r="M509" s="79"/>
      <c r="N509" s="79"/>
      <c r="O509" s="82"/>
      <c r="P509" s="81"/>
      <c r="Q509" s="82"/>
      <c r="R509" s="82"/>
      <c r="S509" s="81"/>
      <c r="T509" s="85"/>
      <c r="U509" s="82"/>
      <c r="V509" s="96"/>
      <c r="W509" s="81"/>
    </row>
    <row r="510" ht="16.5" customHeight="1" spans="1:23" x14ac:dyDescent="0.25">
      <c r="A510" s="94"/>
      <c r="B510" s="79"/>
      <c r="C510" s="79"/>
      <c r="D510" s="80"/>
      <c r="E510" s="79"/>
      <c r="F510" s="79"/>
      <c r="G510" s="79"/>
      <c r="H510" s="79"/>
      <c r="I510" s="79"/>
      <c r="J510" s="90"/>
      <c r="K510" s="79"/>
      <c r="L510" s="82"/>
      <c r="M510" s="79"/>
      <c r="N510" s="79"/>
      <c r="O510" s="82"/>
      <c r="P510" s="81"/>
      <c r="Q510" s="82"/>
      <c r="R510" s="82"/>
      <c r="S510" s="81"/>
      <c r="T510" s="85"/>
      <c r="U510" s="82"/>
      <c r="V510" s="96"/>
      <c r="W510" s="81"/>
    </row>
    <row r="511" ht="16.5" customHeight="1" spans="1:23" x14ac:dyDescent="0.25">
      <c r="A511" s="94"/>
      <c r="B511" s="79"/>
      <c r="C511" s="79"/>
      <c r="D511" s="80"/>
      <c r="E511" s="79"/>
      <c r="F511" s="79"/>
      <c r="G511" s="79"/>
      <c r="H511" s="79"/>
      <c r="I511" s="79"/>
      <c r="J511" s="90"/>
      <c r="K511" s="79"/>
      <c r="L511" s="82"/>
      <c r="M511" s="79"/>
      <c r="N511" s="79"/>
      <c r="O511" s="82"/>
      <c r="P511" s="81"/>
      <c r="Q511" s="82"/>
      <c r="R511" s="82"/>
      <c r="S511" s="81"/>
      <c r="T511" s="85"/>
      <c r="U511" s="82"/>
      <c r="V511" s="96"/>
      <c r="W511" s="81"/>
    </row>
    <row r="512" ht="16.5" customHeight="1" spans="1:23" x14ac:dyDescent="0.25">
      <c r="A512" s="94"/>
      <c r="B512" s="79"/>
      <c r="C512" s="79"/>
      <c r="D512" s="80"/>
      <c r="E512" s="79"/>
      <c r="F512" s="79"/>
      <c r="G512" s="79"/>
      <c r="H512" s="79"/>
      <c r="I512" s="79"/>
      <c r="J512" s="90"/>
      <c r="K512" s="79"/>
      <c r="L512" s="82"/>
      <c r="M512" s="79"/>
      <c r="N512" s="79"/>
      <c r="O512" s="82"/>
      <c r="P512" s="81"/>
      <c r="Q512" s="82"/>
      <c r="R512" s="82"/>
      <c r="S512" s="81"/>
      <c r="T512" s="85"/>
      <c r="U512" s="82"/>
      <c r="V512" s="96"/>
      <c r="W512" s="81"/>
    </row>
    <row r="513" ht="16.5" customHeight="1" spans="1:23" x14ac:dyDescent="0.25">
      <c r="A513" s="94"/>
      <c r="B513" s="79"/>
      <c r="C513" s="79"/>
      <c r="D513" s="80"/>
      <c r="E513" s="79"/>
      <c r="F513" s="79"/>
      <c r="G513" s="79"/>
      <c r="H513" s="79"/>
      <c r="I513" s="79"/>
      <c r="J513" s="90"/>
      <c r="K513" s="79"/>
      <c r="L513" s="82"/>
      <c r="M513" s="79"/>
      <c r="N513" s="79"/>
      <c r="O513" s="82"/>
      <c r="P513" s="81"/>
      <c r="Q513" s="82"/>
      <c r="R513" s="82"/>
      <c r="S513" s="81"/>
      <c r="T513" s="85"/>
      <c r="U513" s="82"/>
      <c r="V513" s="96"/>
      <c r="W513" s="81"/>
    </row>
    <row r="514" ht="16.5" customHeight="1" spans="1:23" x14ac:dyDescent="0.25">
      <c r="A514" s="94"/>
      <c r="B514" s="79"/>
      <c r="C514" s="79"/>
      <c r="D514" s="80"/>
      <c r="E514" s="79"/>
      <c r="F514" s="79"/>
      <c r="G514" s="79"/>
      <c r="H514" s="79"/>
      <c r="I514" s="79"/>
      <c r="J514" s="90"/>
      <c r="K514" s="79"/>
      <c r="L514" s="82"/>
      <c r="M514" s="79"/>
      <c r="N514" s="79"/>
      <c r="O514" s="82"/>
      <c r="P514" s="81"/>
      <c r="Q514" s="82"/>
      <c r="R514" s="82"/>
      <c r="S514" s="81"/>
      <c r="T514" s="85"/>
      <c r="U514" s="82"/>
      <c r="V514" s="96"/>
      <c r="W514" s="81"/>
    </row>
    <row r="515" ht="16.5" customHeight="1" spans="1:23" x14ac:dyDescent="0.25">
      <c r="A515" s="94"/>
      <c r="B515" s="79"/>
      <c r="C515" s="79"/>
      <c r="D515" s="80"/>
      <c r="E515" s="79"/>
      <c r="F515" s="79"/>
      <c r="G515" s="79"/>
      <c r="H515" s="79"/>
      <c r="I515" s="79"/>
      <c r="J515" s="90"/>
      <c r="K515" s="79"/>
      <c r="L515" s="82"/>
      <c r="M515" s="79"/>
      <c r="N515" s="79"/>
      <c r="O515" s="82"/>
      <c r="P515" s="81"/>
      <c r="Q515" s="82"/>
      <c r="R515" s="82"/>
      <c r="S515" s="81"/>
      <c r="T515" s="85"/>
      <c r="U515" s="82"/>
      <c r="V515" s="96"/>
      <c r="W515" s="81"/>
    </row>
    <row r="516" ht="16.5" customHeight="1" spans="1:23" x14ac:dyDescent="0.25">
      <c r="A516" s="94"/>
      <c r="B516" s="79"/>
      <c r="C516" s="79"/>
      <c r="D516" s="80"/>
      <c r="E516" s="79"/>
      <c r="F516" s="79"/>
      <c r="G516" s="79"/>
      <c r="H516" s="79"/>
      <c r="I516" s="79"/>
      <c r="J516" s="90"/>
      <c r="K516" s="79"/>
      <c r="L516" s="82"/>
      <c r="M516" s="79"/>
      <c r="N516" s="79"/>
      <c r="O516" s="82"/>
      <c r="P516" s="81"/>
      <c r="Q516" s="82"/>
      <c r="R516" s="82"/>
      <c r="S516" s="81"/>
      <c r="T516" s="85"/>
      <c r="U516" s="82"/>
      <c r="V516" s="96"/>
      <c r="W516" s="81"/>
    </row>
    <row r="517" ht="16.5" customHeight="1" spans="1:23" x14ac:dyDescent="0.25">
      <c r="A517" s="94"/>
      <c r="B517" s="79"/>
      <c r="C517" s="79"/>
      <c r="D517" s="80"/>
      <c r="E517" s="79"/>
      <c r="F517" s="79"/>
      <c r="G517" s="79"/>
      <c r="H517" s="79"/>
      <c r="I517" s="79"/>
      <c r="J517" s="90"/>
      <c r="K517" s="79"/>
      <c r="L517" s="82"/>
      <c r="M517" s="79"/>
      <c r="N517" s="79"/>
      <c r="O517" s="82"/>
      <c r="P517" s="81"/>
      <c r="Q517" s="82"/>
      <c r="R517" s="82"/>
      <c r="S517" s="81"/>
      <c r="T517" s="85"/>
      <c r="U517" s="82"/>
      <c r="V517" s="96"/>
      <c r="W517" s="81"/>
    </row>
    <row r="518" ht="16.5" customHeight="1" spans="1:23" x14ac:dyDescent="0.25">
      <c r="A518" s="94"/>
      <c r="B518" s="79"/>
      <c r="C518" s="79"/>
      <c r="D518" s="80"/>
      <c r="E518" s="79"/>
      <c r="F518" s="79"/>
      <c r="G518" s="79"/>
      <c r="H518" s="79"/>
      <c r="I518" s="79"/>
      <c r="J518" s="90"/>
      <c r="K518" s="79"/>
      <c r="L518" s="82"/>
      <c r="M518" s="79"/>
      <c r="N518" s="79"/>
      <c r="O518" s="82"/>
      <c r="P518" s="81"/>
      <c r="Q518" s="82"/>
      <c r="R518" s="82"/>
      <c r="S518" s="81"/>
      <c r="T518" s="85"/>
      <c r="U518" s="82"/>
      <c r="V518" s="96"/>
      <c r="W518" s="81"/>
    </row>
    <row r="519" ht="16.5" customHeight="1" spans="1:23" x14ac:dyDescent="0.25">
      <c r="A519" s="94"/>
      <c r="B519" s="79"/>
      <c r="C519" s="79"/>
      <c r="D519" s="80"/>
      <c r="E519" s="79"/>
      <c r="F519" s="79"/>
      <c r="G519" s="79"/>
      <c r="H519" s="79"/>
      <c r="I519" s="79"/>
      <c r="J519" s="90"/>
      <c r="K519" s="79"/>
      <c r="L519" s="82"/>
      <c r="M519" s="79"/>
      <c r="N519" s="79"/>
      <c r="O519" s="82"/>
      <c r="P519" s="81"/>
      <c r="Q519" s="82"/>
      <c r="R519" s="82"/>
      <c r="S519" s="81"/>
      <c r="T519" s="85"/>
      <c r="U519" s="82"/>
      <c r="V519" s="96"/>
      <c r="W519" s="81"/>
    </row>
    <row r="520" ht="16.5" customHeight="1" spans="1:23" x14ac:dyDescent="0.25">
      <c r="A520" s="94"/>
      <c r="B520" s="79"/>
      <c r="C520" s="79"/>
      <c r="D520" s="80"/>
      <c r="E520" s="79"/>
      <c r="F520" s="79"/>
      <c r="G520" s="79"/>
      <c r="H520" s="79"/>
      <c r="I520" s="79"/>
      <c r="J520" s="90"/>
      <c r="K520" s="79"/>
      <c r="L520" s="82"/>
      <c r="M520" s="79"/>
      <c r="N520" s="79"/>
      <c r="O520" s="82"/>
      <c r="P520" s="81"/>
      <c r="Q520" s="82"/>
      <c r="R520" s="82"/>
      <c r="S520" s="81"/>
      <c r="T520" s="85"/>
      <c r="U520" s="82"/>
      <c r="V520" s="96"/>
      <c r="W520" s="81"/>
    </row>
    <row r="521" ht="16.5" customHeight="1" spans="1:23" x14ac:dyDescent="0.25">
      <c r="A521" s="94"/>
      <c r="B521" s="79"/>
      <c r="C521" s="79"/>
      <c r="D521" s="80"/>
      <c r="E521" s="79"/>
      <c r="F521" s="79"/>
      <c r="G521" s="79"/>
      <c r="H521" s="79"/>
      <c r="I521" s="79"/>
      <c r="J521" s="90"/>
      <c r="K521" s="79"/>
      <c r="L521" s="82"/>
      <c r="M521" s="79"/>
      <c r="N521" s="79"/>
      <c r="O521" s="82"/>
      <c r="P521" s="81"/>
      <c r="Q521" s="82"/>
      <c r="R521" s="82"/>
      <c r="S521" s="81"/>
      <c r="T521" s="85"/>
      <c r="U521" s="82"/>
      <c r="V521" s="96"/>
      <c r="W521" s="81"/>
    </row>
    <row r="522" ht="16.5" customHeight="1" spans="1:23" x14ac:dyDescent="0.25">
      <c r="A522" s="94"/>
      <c r="B522" s="79"/>
      <c r="C522" s="79"/>
      <c r="D522" s="80"/>
      <c r="E522" s="79"/>
      <c r="F522" s="79"/>
      <c r="G522" s="79"/>
      <c r="H522" s="79"/>
      <c r="I522" s="79"/>
      <c r="J522" s="90"/>
      <c r="K522" s="79"/>
      <c r="L522" s="82"/>
      <c r="M522" s="79"/>
      <c r="N522" s="79"/>
      <c r="O522" s="82"/>
      <c r="P522" s="81"/>
      <c r="Q522" s="82"/>
      <c r="R522" s="82"/>
      <c r="S522" s="81"/>
      <c r="T522" s="85"/>
      <c r="U522" s="82"/>
      <c r="V522" s="96"/>
      <c r="W522" s="81"/>
    </row>
    <row r="523" ht="16.5" customHeight="1" spans="1:23" x14ac:dyDescent="0.25">
      <c r="A523" s="94"/>
      <c r="B523" s="79"/>
      <c r="C523" s="79"/>
      <c r="D523" s="80"/>
      <c r="E523" s="79"/>
      <c r="F523" s="79"/>
      <c r="G523" s="79"/>
      <c r="H523" s="79"/>
      <c r="I523" s="79"/>
      <c r="J523" s="90"/>
      <c r="K523" s="79"/>
      <c r="L523" s="82"/>
      <c r="M523" s="79"/>
      <c r="N523" s="79"/>
      <c r="O523" s="82"/>
      <c r="P523" s="81"/>
      <c r="Q523" s="82"/>
      <c r="R523" s="82"/>
      <c r="S523" s="81"/>
      <c r="T523" s="85"/>
      <c r="U523" s="82"/>
      <c r="V523" s="96"/>
      <c r="W523" s="81"/>
    </row>
    <row r="524" ht="16.5" customHeight="1" spans="1:23" x14ac:dyDescent="0.25">
      <c r="A524" s="94"/>
      <c r="B524" s="79"/>
      <c r="C524" s="79"/>
      <c r="D524" s="80"/>
      <c r="E524" s="79"/>
      <c r="F524" s="79"/>
      <c r="G524" s="79"/>
      <c r="H524" s="79"/>
      <c r="I524" s="79"/>
      <c r="J524" s="90"/>
      <c r="K524" s="79"/>
      <c r="L524" s="82"/>
      <c r="M524" s="79"/>
      <c r="N524" s="79"/>
      <c r="O524" s="82"/>
      <c r="P524" s="81"/>
      <c r="Q524" s="82"/>
      <c r="R524" s="82"/>
      <c r="S524" s="81"/>
      <c r="T524" s="85"/>
      <c r="U524" s="82"/>
      <c r="V524" s="96"/>
      <c r="W524" s="81"/>
    </row>
    <row r="525" ht="16.5" customHeight="1" spans="1:23" x14ac:dyDescent="0.25">
      <c r="A525" s="94"/>
      <c r="B525" s="79"/>
      <c r="C525" s="79"/>
      <c r="D525" s="80"/>
      <c r="E525" s="79"/>
      <c r="F525" s="79"/>
      <c r="G525" s="79"/>
      <c r="H525" s="79"/>
      <c r="I525" s="79"/>
      <c r="J525" s="90"/>
      <c r="K525" s="79"/>
      <c r="L525" s="82"/>
      <c r="M525" s="79"/>
      <c r="N525" s="79"/>
      <c r="O525" s="82"/>
      <c r="P525" s="81"/>
      <c r="Q525" s="82"/>
      <c r="R525" s="82"/>
      <c r="S525" s="81"/>
      <c r="T525" s="85"/>
      <c r="U525" s="82"/>
      <c r="V525" s="96"/>
      <c r="W525" s="81"/>
    </row>
    <row r="526" ht="16.5" customHeight="1" spans="1:23" x14ac:dyDescent="0.25">
      <c r="A526" s="94"/>
      <c r="B526" s="79"/>
      <c r="C526" s="79"/>
      <c r="D526" s="80"/>
      <c r="E526" s="79"/>
      <c r="F526" s="79"/>
      <c r="G526" s="79"/>
      <c r="H526" s="79"/>
      <c r="I526" s="79"/>
      <c r="J526" s="90"/>
      <c r="K526" s="79"/>
      <c r="L526" s="82"/>
      <c r="M526" s="79"/>
      <c r="N526" s="79"/>
      <c r="O526" s="82"/>
      <c r="P526" s="81"/>
      <c r="Q526" s="82"/>
      <c r="R526" s="82"/>
      <c r="S526" s="81"/>
      <c r="T526" s="85"/>
      <c r="U526" s="82"/>
      <c r="V526" s="96"/>
      <c r="W526" s="81"/>
    </row>
    <row r="527" ht="16.5" customHeight="1" spans="1:23" x14ac:dyDescent="0.25">
      <c r="A527" s="94"/>
      <c r="B527" s="79"/>
      <c r="C527" s="79"/>
      <c r="D527" s="80"/>
      <c r="E527" s="79"/>
      <c r="F527" s="79"/>
      <c r="G527" s="79"/>
      <c r="H527" s="79"/>
      <c r="I527" s="79"/>
      <c r="J527" s="90"/>
      <c r="K527" s="79"/>
      <c r="L527" s="82"/>
      <c r="M527" s="79"/>
      <c r="N527" s="79"/>
      <c r="O527" s="82"/>
      <c r="P527" s="81"/>
      <c r="Q527" s="82"/>
      <c r="R527" s="82"/>
      <c r="S527" s="81"/>
      <c r="T527" s="85"/>
      <c r="U527" s="82"/>
      <c r="V527" s="96"/>
      <c r="W527" s="81"/>
    </row>
    <row r="528" ht="16.5" customHeight="1" spans="1:23" x14ac:dyDescent="0.25">
      <c r="A528" s="94"/>
      <c r="B528" s="79"/>
      <c r="C528" s="79"/>
      <c r="D528" s="80"/>
      <c r="E528" s="79"/>
      <c r="F528" s="79"/>
      <c r="G528" s="79"/>
      <c r="H528" s="79"/>
      <c r="I528" s="79"/>
      <c r="J528" s="90"/>
      <c r="K528" s="79"/>
      <c r="L528" s="82"/>
      <c r="M528" s="79"/>
      <c r="N528" s="79"/>
      <c r="O528" s="82"/>
      <c r="P528" s="81"/>
      <c r="Q528" s="82"/>
      <c r="R528" s="82"/>
      <c r="S528" s="81"/>
      <c r="T528" s="85"/>
      <c r="U528" s="82"/>
      <c r="V528" s="96"/>
      <c r="W528" s="81"/>
    </row>
    <row r="529" ht="16.5" customHeight="1" spans="1:23" x14ac:dyDescent="0.25">
      <c r="A529" s="94"/>
      <c r="B529" s="79"/>
      <c r="C529" s="79"/>
      <c r="D529" s="80"/>
      <c r="E529" s="79"/>
      <c r="F529" s="79"/>
      <c r="G529" s="79"/>
      <c r="H529" s="79"/>
      <c r="I529" s="79"/>
      <c r="J529" s="90"/>
      <c r="K529" s="79"/>
      <c r="L529" s="82"/>
      <c r="M529" s="79"/>
      <c r="N529" s="79"/>
      <c r="O529" s="82"/>
      <c r="P529" s="81"/>
      <c r="Q529" s="82"/>
      <c r="R529" s="82"/>
      <c r="S529" s="81"/>
      <c r="T529" s="85"/>
      <c r="U529" s="82"/>
      <c r="V529" s="96"/>
      <c r="W529" s="81"/>
    </row>
    <row r="530" ht="16.5" customHeight="1" spans="1:23" x14ac:dyDescent="0.25">
      <c r="A530" s="94"/>
      <c r="B530" s="79"/>
      <c r="C530" s="79"/>
      <c r="D530" s="80"/>
      <c r="E530" s="79"/>
      <c r="F530" s="79"/>
      <c r="G530" s="79"/>
      <c r="H530" s="79"/>
      <c r="I530" s="79"/>
      <c r="J530" s="90"/>
      <c r="K530" s="79"/>
      <c r="L530" s="82"/>
      <c r="M530" s="79"/>
      <c r="N530" s="79"/>
      <c r="O530" s="82"/>
      <c r="P530" s="81"/>
      <c r="Q530" s="82"/>
      <c r="R530" s="82"/>
      <c r="S530" s="81"/>
      <c r="T530" s="85"/>
      <c r="U530" s="82"/>
      <c r="V530" s="96"/>
      <c r="W530" s="81"/>
    </row>
    <row r="531" ht="16.5" customHeight="1" spans="1:23" x14ac:dyDescent="0.25">
      <c r="A531" s="94"/>
      <c r="B531" s="79"/>
      <c r="C531" s="79"/>
      <c r="D531" s="80"/>
      <c r="E531" s="79"/>
      <c r="F531" s="79"/>
      <c r="G531" s="79"/>
      <c r="H531" s="79"/>
      <c r="I531" s="79"/>
      <c r="J531" s="90"/>
      <c r="K531" s="79"/>
      <c r="L531" s="82"/>
      <c r="M531" s="79"/>
      <c r="N531" s="79"/>
      <c r="O531" s="82"/>
      <c r="P531" s="81"/>
      <c r="Q531" s="82"/>
      <c r="R531" s="82"/>
      <c r="S531" s="81"/>
      <c r="T531" s="85"/>
      <c r="U531" s="82"/>
      <c r="V531" s="96"/>
      <c r="W531" s="81"/>
    </row>
    <row r="532" ht="16.5" customHeight="1" spans="1:23" x14ac:dyDescent="0.25">
      <c r="A532" s="94"/>
      <c r="B532" s="79"/>
      <c r="C532" s="79"/>
      <c r="D532" s="80"/>
      <c r="E532" s="79"/>
      <c r="F532" s="79"/>
      <c r="G532" s="79"/>
      <c r="H532" s="79"/>
      <c r="I532" s="79"/>
      <c r="J532" s="90"/>
      <c r="K532" s="79"/>
      <c r="L532" s="82"/>
      <c r="M532" s="79"/>
      <c r="N532" s="79"/>
      <c r="O532" s="82"/>
      <c r="P532" s="81"/>
      <c r="Q532" s="82"/>
      <c r="R532" s="82"/>
      <c r="S532" s="81"/>
      <c r="T532" s="85"/>
      <c r="U532" s="82"/>
      <c r="V532" s="96"/>
      <c r="W532" s="81"/>
    </row>
    <row r="533" ht="16.5" customHeight="1" spans="1:23" x14ac:dyDescent="0.25">
      <c r="A533" s="94"/>
      <c r="B533" s="79"/>
      <c r="C533" s="79"/>
      <c r="D533" s="80"/>
      <c r="E533" s="79"/>
      <c r="F533" s="79"/>
      <c r="G533" s="79"/>
      <c r="H533" s="79"/>
      <c r="I533" s="79"/>
      <c r="J533" s="90"/>
      <c r="K533" s="79"/>
      <c r="L533" s="82"/>
      <c r="M533" s="79"/>
      <c r="N533" s="79"/>
      <c r="O533" s="82"/>
      <c r="P533" s="81"/>
      <c r="Q533" s="82"/>
      <c r="R533" s="82"/>
      <c r="S533" s="81"/>
      <c r="T533" s="85"/>
      <c r="U533" s="82"/>
      <c r="V533" s="96"/>
      <c r="W533" s="81"/>
    </row>
    <row r="534" ht="16.5" customHeight="1" spans="1:23" x14ac:dyDescent="0.25">
      <c r="A534" s="94"/>
      <c r="B534" s="79"/>
      <c r="C534" s="79"/>
      <c r="D534" s="80"/>
      <c r="E534" s="79"/>
      <c r="F534" s="79"/>
      <c r="G534" s="79"/>
      <c r="H534" s="79"/>
      <c r="I534" s="79"/>
      <c r="J534" s="90"/>
      <c r="K534" s="79"/>
      <c r="L534" s="82"/>
      <c r="M534" s="79"/>
      <c r="N534" s="79"/>
      <c r="O534" s="82"/>
      <c r="P534" s="81"/>
      <c r="Q534" s="82"/>
      <c r="R534" s="82"/>
      <c r="S534" s="81"/>
      <c r="T534" s="85"/>
      <c r="U534" s="82"/>
      <c r="V534" s="96"/>
      <c r="W534" s="81"/>
    </row>
    <row r="535" ht="16.5" customHeight="1" spans="1:23" x14ac:dyDescent="0.25">
      <c r="A535" s="94"/>
      <c r="B535" s="79"/>
      <c r="C535" s="79"/>
      <c r="D535" s="80"/>
      <c r="E535" s="79"/>
      <c r="F535" s="79"/>
      <c r="G535" s="79"/>
      <c r="H535" s="79"/>
      <c r="I535" s="79"/>
      <c r="J535" s="90"/>
      <c r="K535" s="79"/>
      <c r="L535" s="82"/>
      <c r="M535" s="79"/>
      <c r="N535" s="79"/>
      <c r="O535" s="82"/>
      <c r="P535" s="81"/>
      <c r="Q535" s="82"/>
      <c r="R535" s="82"/>
      <c r="S535" s="81"/>
      <c r="T535" s="85"/>
      <c r="U535" s="82"/>
      <c r="V535" s="96"/>
      <c r="W535" s="81"/>
    </row>
    <row r="536" ht="16.5" customHeight="1" spans="1:23" x14ac:dyDescent="0.25">
      <c r="A536" s="94"/>
      <c r="B536" s="79"/>
      <c r="C536" s="79"/>
      <c r="D536" s="80"/>
      <c r="E536" s="79"/>
      <c r="F536" s="79"/>
      <c r="G536" s="79"/>
      <c r="H536" s="79"/>
      <c r="I536" s="79"/>
      <c r="J536" s="90"/>
      <c r="K536" s="79"/>
      <c r="L536" s="82"/>
      <c r="M536" s="79"/>
      <c r="N536" s="79"/>
      <c r="O536" s="82"/>
      <c r="P536" s="81"/>
      <c r="Q536" s="82"/>
      <c r="R536" s="82"/>
      <c r="S536" s="81"/>
      <c r="T536" s="85"/>
      <c r="U536" s="82"/>
      <c r="V536" s="96"/>
      <c r="W536" s="81"/>
    </row>
    <row r="537" ht="16.5" customHeight="1" spans="1:23" x14ac:dyDescent="0.25">
      <c r="A537" s="94"/>
      <c r="B537" s="79"/>
      <c r="C537" s="79"/>
      <c r="D537" s="80"/>
      <c r="E537" s="79"/>
      <c r="F537" s="79"/>
      <c r="G537" s="79"/>
      <c r="H537" s="79"/>
      <c r="I537" s="79"/>
      <c r="J537" s="90"/>
      <c r="K537" s="79"/>
      <c r="L537" s="82"/>
      <c r="M537" s="79"/>
      <c r="N537" s="79"/>
      <c r="O537" s="82"/>
      <c r="P537" s="81"/>
      <c r="Q537" s="82"/>
      <c r="R537" s="82"/>
      <c r="S537" s="81"/>
      <c r="T537" s="85"/>
      <c r="U537" s="82"/>
      <c r="V537" s="96"/>
      <c r="W537" s="81"/>
    </row>
    <row r="538" ht="16.5" customHeight="1" spans="1:23" x14ac:dyDescent="0.25">
      <c r="A538" s="94"/>
      <c r="B538" s="79"/>
      <c r="C538" s="79"/>
      <c r="D538" s="80"/>
      <c r="E538" s="79"/>
      <c r="F538" s="79"/>
      <c r="G538" s="79"/>
      <c r="H538" s="79"/>
      <c r="I538" s="79"/>
      <c r="J538" s="90"/>
      <c r="K538" s="79"/>
      <c r="L538" s="82"/>
      <c r="M538" s="79"/>
      <c r="N538" s="79"/>
      <c r="O538" s="82"/>
      <c r="P538" s="81"/>
      <c r="Q538" s="82"/>
      <c r="R538" s="82"/>
      <c r="S538" s="81"/>
      <c r="T538" s="85"/>
      <c r="U538" s="82"/>
      <c r="V538" s="96"/>
      <c r="W538" s="81"/>
    </row>
    <row r="539" ht="16.5" customHeight="1" spans="1:23" x14ac:dyDescent="0.25">
      <c r="A539" s="94"/>
      <c r="B539" s="79"/>
      <c r="C539" s="79"/>
      <c r="D539" s="80"/>
      <c r="E539" s="79"/>
      <c r="F539" s="79"/>
      <c r="G539" s="79"/>
      <c r="H539" s="79"/>
      <c r="I539" s="79"/>
      <c r="J539" s="90"/>
      <c r="K539" s="79"/>
      <c r="L539" s="82"/>
      <c r="M539" s="79"/>
      <c r="N539" s="79"/>
      <c r="O539" s="82"/>
      <c r="P539" s="81"/>
      <c r="Q539" s="82"/>
      <c r="R539" s="82"/>
      <c r="S539" s="81"/>
      <c r="T539" s="85"/>
      <c r="U539" s="82"/>
      <c r="V539" s="96"/>
      <c r="W539" s="81"/>
    </row>
    <row r="540" ht="16.5" customHeight="1" spans="1:23" x14ac:dyDescent="0.25">
      <c r="A540" s="94"/>
      <c r="B540" s="79"/>
      <c r="C540" s="79"/>
      <c r="D540" s="80"/>
      <c r="E540" s="79"/>
      <c r="F540" s="79"/>
      <c r="G540" s="79"/>
      <c r="H540" s="79"/>
      <c r="I540" s="79"/>
      <c r="J540" s="90"/>
      <c r="K540" s="79"/>
      <c r="L540" s="82"/>
      <c r="M540" s="79"/>
      <c r="N540" s="79"/>
      <c r="O540" s="82"/>
      <c r="P540" s="81"/>
      <c r="Q540" s="82"/>
      <c r="R540" s="82"/>
      <c r="S540" s="81"/>
      <c r="T540" s="85"/>
      <c r="U540" s="82"/>
      <c r="V540" s="96"/>
      <c r="W540" s="81"/>
    </row>
    <row r="541" ht="16.5" customHeight="1" spans="1:23" x14ac:dyDescent="0.25">
      <c r="A541" s="94"/>
      <c r="B541" s="79"/>
      <c r="C541" s="79"/>
      <c r="D541" s="80"/>
      <c r="E541" s="79"/>
      <c r="F541" s="79"/>
      <c r="G541" s="79"/>
      <c r="H541" s="79"/>
      <c r="I541" s="79"/>
      <c r="J541" s="90"/>
      <c r="K541" s="79"/>
      <c r="L541" s="82"/>
      <c r="M541" s="79"/>
      <c r="N541" s="79"/>
      <c r="O541" s="82"/>
      <c r="P541" s="81"/>
      <c r="Q541" s="82"/>
      <c r="R541" s="82"/>
      <c r="S541" s="81"/>
      <c r="T541" s="85"/>
      <c r="U541" s="82"/>
      <c r="V541" s="96"/>
      <c r="W541" s="81"/>
    </row>
    <row r="542" ht="16.5" customHeight="1" spans="1:23" x14ac:dyDescent="0.25">
      <c r="A542" s="94"/>
      <c r="B542" s="79"/>
      <c r="C542" s="79"/>
      <c r="D542" s="80"/>
      <c r="E542" s="79"/>
      <c r="F542" s="79"/>
      <c r="G542" s="79"/>
      <c r="H542" s="79"/>
      <c r="I542" s="79"/>
      <c r="J542" s="90"/>
      <c r="K542" s="79"/>
      <c r="L542" s="82"/>
      <c r="M542" s="79"/>
      <c r="N542" s="79"/>
      <c r="O542" s="82"/>
      <c r="P542" s="81"/>
      <c r="Q542" s="82"/>
      <c r="R542" s="82"/>
      <c r="S542" s="81"/>
      <c r="T542" s="85"/>
      <c r="U542" s="82"/>
      <c r="V542" s="96"/>
      <c r="W542" s="81"/>
    </row>
    <row r="543" ht="16.5" customHeight="1" spans="1:23" x14ac:dyDescent="0.25">
      <c r="A543" s="94"/>
      <c r="B543" s="79"/>
      <c r="C543" s="79"/>
      <c r="D543" s="80"/>
      <c r="E543" s="79"/>
      <c r="F543" s="79"/>
      <c r="G543" s="79"/>
      <c r="H543" s="79"/>
      <c r="I543" s="79"/>
      <c r="J543" s="90"/>
      <c r="K543" s="79"/>
      <c r="L543" s="82"/>
      <c r="M543" s="79"/>
      <c r="N543" s="79"/>
      <c r="O543" s="82"/>
      <c r="P543" s="81"/>
      <c r="Q543" s="82"/>
      <c r="R543" s="82"/>
      <c r="S543" s="81"/>
      <c r="T543" s="85"/>
      <c r="U543" s="82"/>
      <c r="V543" s="96"/>
      <c r="W543" s="81"/>
    </row>
    <row r="544" ht="16.5" customHeight="1" spans="1:23" x14ac:dyDescent="0.25">
      <c r="A544" s="94"/>
      <c r="B544" s="79"/>
      <c r="C544" s="79"/>
      <c r="D544" s="80"/>
      <c r="E544" s="79"/>
      <c r="F544" s="79"/>
      <c r="G544" s="79"/>
      <c r="H544" s="79"/>
      <c r="I544" s="79"/>
      <c r="J544" s="90"/>
      <c r="K544" s="79"/>
      <c r="L544" s="82"/>
      <c r="M544" s="79"/>
      <c r="N544" s="79"/>
      <c r="O544" s="82"/>
      <c r="P544" s="81"/>
      <c r="Q544" s="82"/>
      <c r="R544" s="82"/>
      <c r="S544" s="81"/>
      <c r="T544" s="85"/>
      <c r="U544" s="82"/>
      <c r="V544" s="96"/>
      <c r="W544" s="81"/>
    </row>
    <row r="545" ht="16.5" customHeight="1" spans="1:23" x14ac:dyDescent="0.25">
      <c r="A545" s="94"/>
      <c r="B545" s="79"/>
      <c r="C545" s="79"/>
      <c r="D545" s="80"/>
      <c r="E545" s="79"/>
      <c r="F545" s="79"/>
      <c r="G545" s="79"/>
      <c r="H545" s="79"/>
      <c r="I545" s="79"/>
      <c r="J545" s="90"/>
      <c r="K545" s="79"/>
      <c r="L545" s="82"/>
      <c r="M545" s="79"/>
      <c r="N545" s="79"/>
      <c r="O545" s="82"/>
      <c r="P545" s="81"/>
      <c r="Q545" s="82"/>
      <c r="R545" s="82"/>
      <c r="S545" s="81"/>
      <c r="T545" s="85"/>
      <c r="U545" s="82"/>
      <c r="V545" s="96"/>
      <c r="W545" s="81"/>
    </row>
    <row r="546" ht="16.5" customHeight="1" spans="1:23" x14ac:dyDescent="0.25">
      <c r="A546" s="94"/>
      <c r="B546" s="79"/>
      <c r="C546" s="79"/>
      <c r="D546" s="80"/>
      <c r="E546" s="79"/>
      <c r="F546" s="79"/>
      <c r="G546" s="79"/>
      <c r="H546" s="79"/>
      <c r="I546" s="79"/>
      <c r="J546" s="90"/>
      <c r="K546" s="79"/>
      <c r="L546" s="82"/>
      <c r="M546" s="79"/>
      <c r="N546" s="79"/>
      <c r="O546" s="82"/>
      <c r="P546" s="81"/>
      <c r="Q546" s="82"/>
      <c r="R546" s="82"/>
      <c r="S546" s="81"/>
      <c r="T546" s="85"/>
      <c r="U546" s="82"/>
      <c r="V546" s="96"/>
      <c r="W546" s="81"/>
    </row>
    <row r="547" ht="16.5" customHeight="1" spans="1:23" x14ac:dyDescent="0.25">
      <c r="A547" s="94"/>
      <c r="B547" s="79"/>
      <c r="C547" s="79"/>
      <c r="D547" s="80"/>
      <c r="E547" s="79"/>
      <c r="F547" s="79"/>
      <c r="G547" s="79"/>
      <c r="H547" s="79"/>
      <c r="I547" s="79"/>
      <c r="J547" s="90"/>
      <c r="K547" s="79"/>
      <c r="L547" s="82"/>
      <c r="M547" s="79"/>
      <c r="N547" s="79"/>
      <c r="O547" s="82"/>
      <c r="P547" s="81"/>
      <c r="Q547" s="82"/>
      <c r="R547" s="82"/>
      <c r="S547" s="81"/>
      <c r="T547" s="85"/>
      <c r="U547" s="82"/>
      <c r="V547" s="96"/>
      <c r="W547" s="81"/>
    </row>
    <row r="548" ht="16.5" customHeight="1" spans="1:23" x14ac:dyDescent="0.25">
      <c r="A548" s="94"/>
      <c r="B548" s="79"/>
      <c r="C548" s="79"/>
      <c r="D548" s="80"/>
      <c r="E548" s="79"/>
      <c r="F548" s="79"/>
      <c r="G548" s="79"/>
      <c r="H548" s="79"/>
      <c r="I548" s="79"/>
      <c r="J548" s="90"/>
      <c r="K548" s="79"/>
      <c r="L548" s="82"/>
      <c r="M548" s="79"/>
      <c r="N548" s="79"/>
      <c r="O548" s="82"/>
      <c r="P548" s="81"/>
      <c r="Q548" s="82"/>
      <c r="R548" s="82"/>
      <c r="S548" s="81"/>
      <c r="T548" s="85"/>
      <c r="U548" s="82"/>
      <c r="V548" s="96"/>
      <c r="W548" s="81"/>
    </row>
    <row r="549" ht="16.5" customHeight="1" spans="1:23" x14ac:dyDescent="0.25">
      <c r="A549" s="94"/>
      <c r="B549" s="79"/>
      <c r="C549" s="79"/>
      <c r="D549" s="80"/>
      <c r="E549" s="79"/>
      <c r="F549" s="79"/>
      <c r="G549" s="79"/>
      <c r="H549" s="79"/>
      <c r="I549" s="79"/>
      <c r="J549" s="90"/>
      <c r="K549" s="79"/>
      <c r="L549" s="82"/>
      <c r="M549" s="79"/>
      <c r="N549" s="79"/>
      <c r="O549" s="82"/>
      <c r="P549" s="81"/>
      <c r="Q549" s="82"/>
      <c r="R549" s="82"/>
      <c r="S549" s="81"/>
      <c r="T549" s="85"/>
      <c r="U549" s="82"/>
      <c r="V549" s="96"/>
      <c r="W549" s="81"/>
    </row>
    <row r="550" ht="16.5" customHeight="1" spans="1:23" x14ac:dyDescent="0.25">
      <c r="A550" s="94"/>
      <c r="B550" s="79"/>
      <c r="C550" s="79"/>
      <c r="D550" s="80"/>
      <c r="E550" s="79"/>
      <c r="F550" s="79"/>
      <c r="G550" s="79"/>
      <c r="H550" s="79"/>
      <c r="I550" s="79"/>
      <c r="J550" s="90"/>
      <c r="K550" s="79"/>
      <c r="L550" s="82"/>
      <c r="M550" s="79"/>
      <c r="N550" s="79"/>
      <c r="O550" s="82"/>
      <c r="P550" s="81"/>
      <c r="Q550" s="82"/>
      <c r="R550" s="82"/>
      <c r="S550" s="81"/>
      <c r="T550" s="85"/>
      <c r="U550" s="82"/>
      <c r="V550" s="96"/>
      <c r="W550" s="81"/>
    </row>
    <row r="551" ht="16.5" customHeight="1" spans="1:23" x14ac:dyDescent="0.25">
      <c r="A551" s="94"/>
      <c r="B551" s="79"/>
      <c r="C551" s="79"/>
      <c r="D551" s="80"/>
      <c r="E551" s="79"/>
      <c r="F551" s="79"/>
      <c r="G551" s="79"/>
      <c r="H551" s="79"/>
      <c r="I551" s="79"/>
      <c r="J551" s="90"/>
      <c r="K551" s="79"/>
      <c r="L551" s="82"/>
      <c r="M551" s="79"/>
      <c r="N551" s="79"/>
      <c r="O551" s="82"/>
      <c r="P551" s="81"/>
      <c r="Q551" s="82"/>
      <c r="R551" s="82"/>
      <c r="S551" s="81"/>
      <c r="T551" s="85"/>
      <c r="U551" s="82"/>
      <c r="V551" s="96"/>
      <c r="W551" s="81"/>
    </row>
    <row r="552" ht="16.5" customHeight="1" spans="1:23" x14ac:dyDescent="0.25">
      <c r="A552" s="94"/>
      <c r="B552" s="79"/>
      <c r="C552" s="79"/>
      <c r="D552" s="80"/>
      <c r="E552" s="79"/>
      <c r="F552" s="79"/>
      <c r="G552" s="79"/>
      <c r="H552" s="79"/>
      <c r="I552" s="79"/>
      <c r="J552" s="90"/>
      <c r="K552" s="79"/>
      <c r="L552" s="82"/>
      <c r="M552" s="79"/>
      <c r="N552" s="79"/>
      <c r="O552" s="82"/>
      <c r="P552" s="81"/>
      <c r="Q552" s="82"/>
      <c r="R552" s="82"/>
      <c r="S552" s="81"/>
      <c r="T552" s="85"/>
      <c r="U552" s="82"/>
      <c r="V552" s="96"/>
      <c r="W552" s="81"/>
    </row>
    <row r="553" ht="16.5" customHeight="1" spans="1:23" x14ac:dyDescent="0.25">
      <c r="A553" s="94"/>
      <c r="B553" s="79"/>
      <c r="C553" s="79"/>
      <c r="D553" s="80"/>
      <c r="E553" s="79"/>
      <c r="F553" s="79"/>
      <c r="G553" s="79"/>
      <c r="H553" s="79"/>
      <c r="I553" s="79"/>
      <c r="J553" s="90"/>
      <c r="K553" s="79"/>
      <c r="L553" s="82"/>
      <c r="M553" s="79"/>
      <c r="N553" s="79"/>
      <c r="O553" s="82"/>
      <c r="P553" s="81"/>
      <c r="Q553" s="82"/>
      <c r="R553" s="82"/>
      <c r="S553" s="81"/>
      <c r="T553" s="85"/>
      <c r="U553" s="82"/>
      <c r="V553" s="96"/>
      <c r="W553" s="81"/>
    </row>
    <row r="554" ht="16.5" customHeight="1" spans="1:23" x14ac:dyDescent="0.25">
      <c r="A554" s="94"/>
      <c r="B554" s="79"/>
      <c r="C554" s="79"/>
      <c r="D554" s="80"/>
      <c r="E554" s="79"/>
      <c r="F554" s="79"/>
      <c r="G554" s="79"/>
      <c r="H554" s="79"/>
      <c r="I554" s="79"/>
      <c r="J554" s="90"/>
      <c r="K554" s="79"/>
      <c r="L554" s="82"/>
      <c r="M554" s="79"/>
      <c r="N554" s="79"/>
      <c r="O554" s="82"/>
      <c r="P554" s="81"/>
      <c r="Q554" s="82"/>
      <c r="R554" s="82"/>
      <c r="S554" s="81"/>
      <c r="T554" s="85"/>
      <c r="U554" s="82"/>
      <c r="V554" s="96"/>
      <c r="W554" s="81"/>
    </row>
    <row r="555" ht="16.5" customHeight="1" spans="1:23" x14ac:dyDescent="0.25">
      <c r="A555" s="94"/>
      <c r="B555" s="79"/>
      <c r="C555" s="79"/>
      <c r="D555" s="80"/>
      <c r="E555" s="79"/>
      <c r="F555" s="79"/>
      <c r="G555" s="79"/>
      <c r="H555" s="79"/>
      <c r="I555" s="79"/>
      <c r="J555" s="90"/>
      <c r="K555" s="79"/>
      <c r="L555" s="82"/>
      <c r="M555" s="79"/>
      <c r="N555" s="79"/>
      <c r="O555" s="82"/>
      <c r="P555" s="81"/>
      <c r="Q555" s="82"/>
      <c r="R555" s="82"/>
      <c r="S555" s="81"/>
      <c r="T555" s="85"/>
      <c r="U555" s="82"/>
      <c r="V555" s="96"/>
      <c r="W555" s="81"/>
    </row>
    <row r="556" ht="16.5" customHeight="1" spans="1:23" x14ac:dyDescent="0.25">
      <c r="A556" s="94"/>
      <c r="B556" s="79"/>
      <c r="C556" s="79"/>
      <c r="D556" s="80"/>
      <c r="E556" s="79"/>
      <c r="F556" s="79"/>
      <c r="G556" s="79"/>
      <c r="H556" s="79"/>
      <c r="I556" s="79"/>
      <c r="J556" s="90"/>
      <c r="K556" s="79"/>
      <c r="L556" s="82"/>
      <c r="M556" s="79"/>
      <c r="N556" s="79"/>
      <c r="O556" s="82"/>
      <c r="P556" s="81"/>
      <c r="Q556" s="82"/>
      <c r="R556" s="82"/>
      <c r="S556" s="81"/>
      <c r="T556" s="85"/>
      <c r="U556" s="82"/>
      <c r="V556" s="96"/>
      <c r="W556" s="81"/>
    </row>
    <row r="557" ht="16.5" customHeight="1" spans="1:23" x14ac:dyDescent="0.25">
      <c r="A557" s="94"/>
      <c r="B557" s="79"/>
      <c r="C557" s="79"/>
      <c r="D557" s="80"/>
      <c r="E557" s="79"/>
      <c r="F557" s="79"/>
      <c r="G557" s="79"/>
      <c r="H557" s="79"/>
      <c r="I557" s="79"/>
      <c r="J557" s="90"/>
      <c r="K557" s="79"/>
      <c r="L557" s="82"/>
      <c r="M557" s="79"/>
      <c r="N557" s="79"/>
      <c r="O557" s="82"/>
      <c r="P557" s="81"/>
      <c r="Q557" s="82"/>
      <c r="R557" s="82"/>
      <c r="S557" s="81"/>
      <c r="T557" s="85"/>
      <c r="U557" s="82"/>
      <c r="V557" s="96"/>
      <c r="W557" s="81"/>
    </row>
    <row r="558" ht="16.5" customHeight="1" spans="1:23" x14ac:dyDescent="0.25">
      <c r="A558" s="94"/>
      <c r="B558" s="79"/>
      <c r="C558" s="79"/>
      <c r="D558" s="80"/>
      <c r="E558" s="79"/>
      <c r="F558" s="79"/>
      <c r="G558" s="79"/>
      <c r="H558" s="79"/>
      <c r="I558" s="79"/>
      <c r="J558" s="90"/>
      <c r="K558" s="79"/>
      <c r="L558" s="82"/>
      <c r="M558" s="79"/>
      <c r="N558" s="79"/>
      <c r="O558" s="82"/>
      <c r="P558" s="81"/>
      <c r="Q558" s="82"/>
      <c r="R558" s="82"/>
      <c r="S558" s="81"/>
      <c r="T558" s="85"/>
      <c r="U558" s="82"/>
      <c r="V558" s="96"/>
      <c r="W558" s="81"/>
    </row>
    <row r="559" ht="16.5" customHeight="1" spans="1:23" x14ac:dyDescent="0.25">
      <c r="A559" s="94"/>
      <c r="B559" s="79"/>
      <c r="C559" s="79"/>
      <c r="D559" s="80"/>
      <c r="E559" s="79"/>
      <c r="F559" s="79"/>
      <c r="G559" s="79"/>
      <c r="H559" s="79"/>
      <c r="I559" s="79"/>
      <c r="J559" s="90"/>
      <c r="K559" s="79"/>
      <c r="L559" s="82"/>
      <c r="M559" s="79"/>
      <c r="N559" s="79"/>
      <c r="O559" s="82"/>
      <c r="P559" s="81"/>
      <c r="Q559" s="82"/>
      <c r="R559" s="82"/>
      <c r="S559" s="81"/>
      <c r="T559" s="85"/>
      <c r="U559" s="82"/>
      <c r="V559" s="96"/>
      <c r="W559" s="81"/>
    </row>
    <row r="560" ht="16.5" customHeight="1" spans="1:23" x14ac:dyDescent="0.25">
      <c r="A560" s="94"/>
      <c r="B560" s="79"/>
      <c r="C560" s="79"/>
      <c r="D560" s="80"/>
      <c r="E560" s="79"/>
      <c r="F560" s="79"/>
      <c r="G560" s="79"/>
      <c r="H560" s="79"/>
      <c r="I560" s="79"/>
      <c r="J560" s="90"/>
      <c r="K560" s="79"/>
      <c r="L560" s="82"/>
      <c r="M560" s="79"/>
      <c r="N560" s="79"/>
      <c r="O560" s="82"/>
      <c r="P560" s="81"/>
      <c r="Q560" s="82"/>
      <c r="R560" s="82"/>
      <c r="S560" s="81"/>
      <c r="T560" s="85"/>
      <c r="U560" s="82"/>
      <c r="V560" s="96"/>
      <c r="W560" s="81"/>
    </row>
    <row r="561" ht="16.5" customHeight="1" spans="1:23" x14ac:dyDescent="0.25">
      <c r="A561" s="94"/>
      <c r="B561" s="79"/>
      <c r="C561" s="79"/>
      <c r="D561" s="80"/>
      <c r="E561" s="79"/>
      <c r="F561" s="79"/>
      <c r="G561" s="79"/>
      <c r="H561" s="79"/>
      <c r="I561" s="79"/>
      <c r="J561" s="90"/>
      <c r="K561" s="79"/>
      <c r="L561" s="82"/>
      <c r="M561" s="79"/>
      <c r="N561" s="79"/>
      <c r="O561" s="82"/>
      <c r="P561" s="81"/>
      <c r="Q561" s="82"/>
      <c r="R561" s="82"/>
      <c r="S561" s="81"/>
      <c r="T561" s="85"/>
      <c r="U561" s="82"/>
      <c r="V561" s="96"/>
      <c r="W561" s="81"/>
    </row>
    <row r="562" ht="16.5" customHeight="1" spans="1:23" x14ac:dyDescent="0.25">
      <c r="A562" s="94"/>
      <c r="B562" s="79"/>
      <c r="C562" s="79"/>
      <c r="D562" s="80"/>
      <c r="E562" s="79"/>
      <c r="F562" s="79"/>
      <c r="G562" s="79"/>
      <c r="H562" s="79"/>
      <c r="I562" s="79"/>
      <c r="J562" s="90"/>
      <c r="K562" s="79"/>
      <c r="L562" s="82"/>
      <c r="M562" s="79"/>
      <c r="N562" s="79"/>
      <c r="O562" s="82"/>
      <c r="P562" s="81"/>
      <c r="Q562" s="82"/>
      <c r="R562" s="82"/>
      <c r="S562" s="81"/>
      <c r="T562" s="85"/>
      <c r="U562" s="82"/>
      <c r="V562" s="96"/>
      <c r="W562" s="81"/>
    </row>
    <row r="563" ht="16.5" customHeight="1" spans="1:23" x14ac:dyDescent="0.25">
      <c r="A563" s="94"/>
      <c r="B563" s="79"/>
      <c r="C563" s="79"/>
      <c r="D563" s="80"/>
      <c r="E563" s="79"/>
      <c r="F563" s="79"/>
      <c r="G563" s="79"/>
      <c r="H563" s="79"/>
      <c r="I563" s="79"/>
      <c r="J563" s="90"/>
      <c r="K563" s="79"/>
      <c r="L563" s="82"/>
      <c r="M563" s="79"/>
      <c r="N563" s="79"/>
      <c r="O563" s="82"/>
      <c r="P563" s="81"/>
      <c r="Q563" s="82"/>
      <c r="R563" s="82"/>
      <c r="S563" s="81"/>
      <c r="T563" s="85"/>
      <c r="U563" s="82"/>
      <c r="V563" s="96"/>
      <c r="W563" s="81"/>
    </row>
    <row r="564" ht="16.5" customHeight="1" spans="1:23" x14ac:dyDescent="0.25">
      <c r="A564" s="94"/>
      <c r="B564" s="79"/>
      <c r="C564" s="79"/>
      <c r="D564" s="80"/>
      <c r="E564" s="79"/>
      <c r="F564" s="79"/>
      <c r="G564" s="79"/>
      <c r="H564" s="79"/>
      <c r="I564" s="79"/>
      <c r="J564" s="90"/>
      <c r="K564" s="79"/>
      <c r="L564" s="82"/>
      <c r="M564" s="79"/>
      <c r="N564" s="79"/>
      <c r="O564" s="82"/>
      <c r="P564" s="81"/>
      <c r="Q564" s="82"/>
      <c r="R564" s="82"/>
      <c r="S564" s="81"/>
      <c r="T564" s="85"/>
      <c r="U564" s="82"/>
      <c r="V564" s="96"/>
      <c r="W564" s="81"/>
    </row>
    <row r="565" ht="16.5" customHeight="1" spans="1:23" x14ac:dyDescent="0.25">
      <c r="A565" s="94"/>
      <c r="B565" s="79"/>
      <c r="C565" s="79"/>
      <c r="D565" s="80"/>
      <c r="E565" s="79"/>
      <c r="F565" s="79"/>
      <c r="G565" s="79"/>
      <c r="H565" s="79"/>
      <c r="I565" s="79"/>
      <c r="J565" s="90"/>
      <c r="K565" s="79"/>
      <c r="L565" s="82"/>
      <c r="M565" s="79"/>
      <c r="N565" s="79"/>
      <c r="O565" s="82"/>
      <c r="P565" s="81"/>
      <c r="Q565" s="82"/>
      <c r="R565" s="82"/>
      <c r="S565" s="81"/>
      <c r="T565" s="85"/>
      <c r="U565" s="82"/>
      <c r="V565" s="96"/>
      <c r="W565" s="81"/>
    </row>
    <row r="566" ht="16.5" customHeight="1" spans="1:23" x14ac:dyDescent="0.25">
      <c r="A566" s="94"/>
      <c r="B566" s="79"/>
      <c r="C566" s="79"/>
      <c r="D566" s="80"/>
      <c r="E566" s="79"/>
      <c r="F566" s="79"/>
      <c r="G566" s="79"/>
      <c r="H566" s="79"/>
      <c r="I566" s="79"/>
      <c r="J566" s="90"/>
      <c r="K566" s="79"/>
      <c r="L566" s="82"/>
      <c r="M566" s="79"/>
      <c r="N566" s="79"/>
      <c r="O566" s="82"/>
      <c r="P566" s="81"/>
      <c r="Q566" s="82"/>
      <c r="R566" s="82"/>
      <c r="S566" s="81"/>
      <c r="T566" s="85"/>
      <c r="U566" s="82"/>
      <c r="V566" s="96"/>
      <c r="W566" s="81"/>
    </row>
    <row r="567" ht="16.5" customHeight="1" spans="1:23" x14ac:dyDescent="0.25">
      <c r="A567" s="94"/>
      <c r="B567" s="79"/>
      <c r="C567" s="79"/>
      <c r="D567" s="80"/>
      <c r="E567" s="79"/>
      <c r="F567" s="79"/>
      <c r="G567" s="79"/>
      <c r="H567" s="79"/>
      <c r="I567" s="79"/>
      <c r="J567" s="90"/>
      <c r="K567" s="79"/>
      <c r="L567" s="82"/>
      <c r="M567" s="79"/>
      <c r="N567" s="79"/>
      <c r="O567" s="82"/>
      <c r="P567" s="81"/>
      <c r="Q567" s="82"/>
      <c r="R567" s="82"/>
      <c r="S567" s="81"/>
      <c r="T567" s="85"/>
      <c r="U567" s="82"/>
      <c r="V567" s="96"/>
      <c r="W567" s="81"/>
    </row>
    <row r="568" ht="16.5" customHeight="1" spans="1:23" x14ac:dyDescent="0.25">
      <c r="A568" s="94"/>
      <c r="B568" s="79"/>
      <c r="C568" s="79"/>
      <c r="D568" s="80"/>
      <c r="E568" s="79"/>
      <c r="F568" s="79"/>
      <c r="G568" s="79"/>
      <c r="H568" s="79"/>
      <c r="I568" s="79"/>
      <c r="J568" s="90"/>
      <c r="K568" s="79"/>
      <c r="L568" s="82"/>
      <c r="M568" s="79"/>
      <c r="N568" s="79"/>
      <c r="O568" s="82"/>
      <c r="P568" s="81"/>
      <c r="Q568" s="82"/>
      <c r="R568" s="82"/>
      <c r="S568" s="81"/>
      <c r="T568" s="85"/>
      <c r="U568" s="82"/>
      <c r="V568" s="96"/>
      <c r="W568" s="81"/>
    </row>
    <row r="569" ht="16.5" customHeight="1" spans="1:23" x14ac:dyDescent="0.25">
      <c r="A569" s="94"/>
      <c r="B569" s="79"/>
      <c r="C569" s="79"/>
      <c r="D569" s="80"/>
      <c r="E569" s="79"/>
      <c r="F569" s="79"/>
      <c r="G569" s="79"/>
      <c r="H569" s="79"/>
      <c r="I569" s="79"/>
      <c r="J569" s="90"/>
      <c r="K569" s="79"/>
      <c r="L569" s="82"/>
      <c r="M569" s="79"/>
      <c r="N569" s="79"/>
      <c r="O569" s="82"/>
      <c r="P569" s="81"/>
      <c r="Q569" s="82"/>
      <c r="R569" s="82"/>
      <c r="S569" s="81"/>
      <c r="T569" s="85"/>
      <c r="U569" s="82"/>
      <c r="V569" s="81"/>
      <c r="W569" s="81"/>
    </row>
    <row r="570" ht="16.5" customHeight="1" spans="1:23" x14ac:dyDescent="0.25">
      <c r="A570" s="94"/>
      <c r="B570" s="79"/>
      <c r="C570" s="79"/>
      <c r="D570" s="80"/>
      <c r="E570" s="79"/>
      <c r="F570" s="79"/>
      <c r="G570" s="79"/>
      <c r="H570" s="79"/>
      <c r="I570" s="79"/>
      <c r="J570" s="90"/>
      <c r="K570" s="79"/>
      <c r="L570" s="82"/>
      <c r="M570" s="79"/>
      <c r="N570" s="79"/>
      <c r="O570" s="82"/>
      <c r="P570" s="81"/>
      <c r="Q570" s="82"/>
      <c r="R570" s="82"/>
      <c r="S570" s="81"/>
      <c r="T570" s="85"/>
      <c r="U570" s="82"/>
      <c r="V570" s="81"/>
      <c r="W570" s="81"/>
    </row>
    <row r="571" ht="16.5" customHeight="1" spans="1:23" x14ac:dyDescent="0.25">
      <c r="A571" s="94"/>
      <c r="B571" s="79"/>
      <c r="C571" s="79"/>
      <c r="D571" s="80"/>
      <c r="E571" s="79"/>
      <c r="F571" s="79"/>
      <c r="G571" s="79"/>
      <c r="H571" s="79"/>
      <c r="I571" s="79"/>
      <c r="J571" s="90"/>
      <c r="K571" s="79"/>
      <c r="L571" s="82"/>
      <c r="M571" s="79"/>
      <c r="N571" s="79"/>
      <c r="O571" s="82"/>
      <c r="P571" s="81"/>
      <c r="Q571" s="82"/>
      <c r="R571" s="82"/>
      <c r="S571" s="81"/>
      <c r="T571" s="85"/>
      <c r="U571" s="82"/>
      <c r="V571" s="81"/>
      <c r="W571" s="81"/>
    </row>
    <row r="572" ht="16.5" customHeight="1" spans="1:23" x14ac:dyDescent="0.25">
      <c r="A572" s="94"/>
      <c r="B572" s="79"/>
      <c r="C572" s="79"/>
      <c r="D572" s="80"/>
      <c r="E572" s="79"/>
      <c r="F572" s="79"/>
      <c r="G572" s="79"/>
      <c r="H572" s="79"/>
      <c r="I572" s="79"/>
      <c r="J572" s="90"/>
      <c r="K572" s="79"/>
      <c r="L572" s="82"/>
      <c r="M572" s="79"/>
      <c r="N572" s="79"/>
      <c r="O572" s="82"/>
      <c r="P572" s="81"/>
      <c r="Q572" s="82"/>
      <c r="R572" s="82"/>
      <c r="S572" s="81"/>
      <c r="T572" s="85"/>
      <c r="U572" s="82"/>
      <c r="V572" s="81"/>
      <c r="W572" s="81"/>
    </row>
    <row r="573" ht="16.5" customHeight="1" spans="1:23" x14ac:dyDescent="0.25">
      <c r="A573" s="94"/>
      <c r="B573" s="79"/>
      <c r="C573" s="79"/>
      <c r="D573" s="80"/>
      <c r="E573" s="79"/>
      <c r="F573" s="79"/>
      <c r="G573" s="79"/>
      <c r="H573" s="79"/>
      <c r="I573" s="79"/>
      <c r="J573" s="90"/>
      <c r="K573" s="79"/>
      <c r="L573" s="82"/>
      <c r="M573" s="79"/>
      <c r="N573" s="79"/>
      <c r="O573" s="82"/>
      <c r="P573" s="81"/>
      <c r="Q573" s="82"/>
      <c r="R573" s="82"/>
      <c r="S573" s="81"/>
      <c r="T573" s="85"/>
      <c r="U573" s="82"/>
      <c r="V573" s="81"/>
      <c r="W573" s="81"/>
    </row>
    <row r="574" ht="16.5" customHeight="1" spans="1:23" x14ac:dyDescent="0.25">
      <c r="A574" s="94"/>
      <c r="B574" s="79"/>
      <c r="C574" s="79"/>
      <c r="D574" s="80"/>
      <c r="E574" s="79"/>
      <c r="F574" s="79"/>
      <c r="G574" s="79"/>
      <c r="H574" s="79"/>
      <c r="I574" s="79"/>
      <c r="J574" s="90"/>
      <c r="K574" s="79"/>
      <c r="L574" s="82"/>
      <c r="M574" s="79"/>
      <c r="N574" s="79"/>
      <c r="O574" s="82"/>
      <c r="P574" s="81"/>
      <c r="Q574" s="82"/>
      <c r="R574" s="82"/>
      <c r="S574" s="81"/>
      <c r="T574" s="85"/>
      <c r="U574" s="82"/>
      <c r="V574" s="81"/>
      <c r="W574" s="81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W77"/>
  <sheetViews>
    <sheetView workbookViewId="0" zoomScale="100" zoomScaleNormal="100">
      <selection activeCell="C14" sqref="C14"/>
    </sheetView>
  </sheetViews>
  <sheetFormatPr defaultRowHeight="12.75" outlineLevelRow="0" outlineLevelCol="0" x14ac:dyDescent="0" defaultColWidth="11.75" customHeight="1"/>
  <cols>
    <col min="1" max="1" width="9.875" style="97" customWidth="1"/>
    <col min="2" max="2" width="10.875" style="98" customWidth="1"/>
    <col min="3" max="3" width="10.875" style="97" customWidth="1"/>
    <col min="4" max="4" width="9.125" style="97" customWidth="1"/>
    <col min="5" max="5" width="8.875" style="97" customWidth="1"/>
    <col min="6" max="9" width="5.75" style="97" customWidth="1"/>
    <col min="10" max="10" width="8.375" style="97" customWidth="1"/>
    <col min="11" max="11" width="6.625" style="98" customWidth="1"/>
    <col min="12" max="12" width="7.125" style="98" customWidth="1"/>
    <col min="13" max="16" width="6.625" style="98" customWidth="1"/>
    <col min="17" max="17" width="3.125" style="98" customWidth="1"/>
    <col min="18" max="18" width="6.625" style="98" customWidth="1"/>
    <col min="19" max="19" width="7.375" style="98" customWidth="1"/>
    <col min="20" max="23" width="6.625" style="98" customWidth="1"/>
    <col min="24" max="24" width="9" style="97" customWidth="1"/>
    <col min="25" max="25" width="5.875" style="97" hidden="1" customWidth="1"/>
    <col min="26" max="29" width="4.75" style="97" hidden="1" customWidth="1"/>
    <col min="30" max="31" width="5.25" style="97" hidden="1" customWidth="1"/>
    <col min="32" max="35" width="4.75" style="98" hidden="1" customWidth="1"/>
    <col min="36" max="36" width="5.25" style="98" hidden="1" customWidth="1"/>
    <col min="37" max="37" width="2.875" style="97" hidden="1" customWidth="1"/>
    <col min="38" max="41" width="4.75" style="98" hidden="1" customWidth="1"/>
    <col min="42" max="42" width="5.25" style="98" hidden="1" customWidth="1"/>
    <col min="43" max="43" width="6.125" style="97" hidden="1" customWidth="1"/>
    <col min="44" max="47" width="4.75" style="98" hidden="1" customWidth="1"/>
    <col min="48" max="48" width="5.25" style="98" hidden="1" customWidth="1"/>
    <col min="49" max="49" width="7.125" style="98" hidden="1" customWidth="1"/>
    <col min="50" max="16384" width="11.75" style="98" customWidth="1"/>
  </cols>
  <sheetData>
    <row r="1" ht="17.1" customHeight="1" spans="1:49" x14ac:dyDescent="0.25">
      <c r="A1" s="99" t="s">
        <v>553</v>
      </c>
      <c r="B1" s="100"/>
      <c r="C1" s="100"/>
      <c r="D1" s="100"/>
      <c r="E1" s="100"/>
      <c r="F1" s="99" t="s">
        <v>554</v>
      </c>
      <c r="G1" s="100"/>
      <c r="H1" s="99" t="s">
        <v>193</v>
      </c>
      <c r="I1" s="100"/>
      <c r="J1" s="101" t="s">
        <v>555</v>
      </c>
      <c r="K1" s="102" t="s">
        <v>554</v>
      </c>
      <c r="L1" s="103" t="s">
        <v>556</v>
      </c>
      <c r="M1" s="104" t="s">
        <v>557</v>
      </c>
      <c r="N1" s="105"/>
      <c r="O1" s="105"/>
      <c r="P1" s="106"/>
      <c r="R1" s="102" t="s">
        <v>193</v>
      </c>
      <c r="S1" s="103" t="s">
        <v>556</v>
      </c>
      <c r="T1" s="104" t="s">
        <v>557</v>
      </c>
      <c r="U1" s="105"/>
      <c r="V1" s="105"/>
      <c r="W1" s="106"/>
      <c r="X1" s="107"/>
      <c r="Y1" s="107" t="s">
        <v>554</v>
      </c>
      <c r="Z1" s="107" t="s">
        <v>558</v>
      </c>
      <c r="AA1" s="107"/>
      <c r="AB1" s="107"/>
      <c r="AC1" s="107"/>
      <c r="AD1" s="107"/>
      <c r="AE1" s="107" t="s">
        <v>554</v>
      </c>
      <c r="AF1" s="107" t="s">
        <v>559</v>
      </c>
      <c r="AG1" s="107"/>
      <c r="AH1" s="107"/>
      <c r="AI1" s="107"/>
      <c r="AJ1" s="107"/>
      <c r="AL1" s="108" t="s">
        <v>193</v>
      </c>
      <c r="AM1" s="108" t="s">
        <v>558</v>
      </c>
      <c r="AN1" s="109"/>
      <c r="AO1" s="109"/>
      <c r="AP1" s="109"/>
      <c r="AQ1" s="109"/>
      <c r="AR1" s="108" t="s">
        <v>193</v>
      </c>
      <c r="AS1" s="108" t="s">
        <v>559</v>
      </c>
      <c r="AT1" s="110"/>
      <c r="AU1" s="111"/>
      <c r="AV1" s="110"/>
      <c r="AW1" s="110"/>
    </row>
    <row r="2" ht="17.1" customHeight="1" spans="1:49" x14ac:dyDescent="0.25">
      <c r="A2" s="97" t="s">
        <v>560</v>
      </c>
      <c r="B2" s="97" t="s">
        <v>561</v>
      </c>
      <c r="C2" s="97" t="s">
        <v>562</v>
      </c>
      <c r="D2" s="97" t="s">
        <v>563</v>
      </c>
      <c r="E2" s="97" t="s">
        <v>564</v>
      </c>
      <c r="F2" s="97" t="s">
        <v>558</v>
      </c>
      <c r="G2" s="97" t="s">
        <v>559</v>
      </c>
      <c r="H2" s="97" t="s">
        <v>558</v>
      </c>
      <c r="I2" s="97" t="s">
        <v>559</v>
      </c>
      <c r="K2" s="97" t="s">
        <v>565</v>
      </c>
      <c r="L2" s="97" t="s">
        <v>566</v>
      </c>
      <c r="M2" s="97" t="s">
        <v>558</v>
      </c>
      <c r="N2" s="97" t="s">
        <v>565</v>
      </c>
      <c r="O2" s="97" t="s">
        <v>567</v>
      </c>
      <c r="P2" s="97" t="s">
        <v>559</v>
      </c>
      <c r="Q2" s="97"/>
      <c r="R2" s="97" t="s">
        <v>565</v>
      </c>
      <c r="S2" s="97" t="s">
        <v>566</v>
      </c>
      <c r="T2" s="97" t="s">
        <v>558</v>
      </c>
      <c r="U2" s="97" t="s">
        <v>565</v>
      </c>
      <c r="V2" s="97" t="s">
        <v>567</v>
      </c>
      <c r="W2" s="97" t="s">
        <v>559</v>
      </c>
      <c r="X2" s="107"/>
      <c r="Y2" s="112">
        <v>0</v>
      </c>
      <c r="Z2" s="111">
        <v>0</v>
      </c>
      <c r="AA2" s="111">
        <f>Z2</f>
      </c>
      <c r="AB2" s="111">
        <v>4</v>
      </c>
      <c r="AC2" s="110">
        <v>250</v>
      </c>
      <c r="AD2" s="110">
        <f>AA5+AC2</f>
      </c>
      <c r="AE2" s="112">
        <v>0</v>
      </c>
      <c r="AF2" s="111">
        <v>0</v>
      </c>
      <c r="AG2" s="111">
        <f>AF2</f>
      </c>
      <c r="AH2" s="111">
        <v>4</v>
      </c>
      <c r="AI2" s="110">
        <v>500</v>
      </c>
      <c r="AJ2" s="110">
        <f>AG5+AI2</f>
      </c>
      <c r="AL2" s="112">
        <v>0</v>
      </c>
      <c r="AM2" s="111">
        <v>0</v>
      </c>
      <c r="AN2" s="111">
        <f>AM2</f>
      </c>
      <c r="AO2" s="111">
        <v>4</v>
      </c>
      <c r="AP2" s="110">
        <v>750</v>
      </c>
      <c r="AQ2" s="110">
        <f>AN5+AP2</f>
      </c>
      <c r="AR2" s="112">
        <v>0</v>
      </c>
      <c r="AS2" s="111">
        <v>0</v>
      </c>
      <c r="AT2" s="111">
        <f>AS2</f>
      </c>
      <c r="AU2" s="111">
        <v>4</v>
      </c>
      <c r="AV2" s="110">
        <v>1500</v>
      </c>
      <c r="AW2" s="110">
        <f>AT5+AV2</f>
      </c>
    </row>
    <row r="3" ht="17.1" customHeight="1" spans="1:49" x14ac:dyDescent="0.25">
      <c r="A3" s="97" t="s">
        <v>568</v>
      </c>
      <c r="B3" s="98" t="s">
        <v>569</v>
      </c>
      <c r="C3" s="97" t="s">
        <v>557</v>
      </c>
      <c r="D3" s="97">
        <v>7</v>
      </c>
      <c r="E3" s="113" t="s">
        <v>570</v>
      </c>
      <c r="F3" s="107">
        <v>125</v>
      </c>
      <c r="G3" s="107">
        <v>250</v>
      </c>
      <c r="H3" s="114">
        <v>375</v>
      </c>
      <c r="I3" s="114">
        <v>750</v>
      </c>
      <c r="J3" s="114"/>
      <c r="K3" s="97">
        <v>0</v>
      </c>
      <c r="L3" s="97">
        <v>0</v>
      </c>
      <c r="M3" s="115">
        <v>125</v>
      </c>
      <c r="N3" s="97">
        <v>0</v>
      </c>
      <c r="O3" s="97">
        <v>0</v>
      </c>
      <c r="P3" s="116">
        <v>250</v>
      </c>
      <c r="Q3" s="97"/>
      <c r="R3" s="97">
        <v>0</v>
      </c>
      <c r="S3" s="97">
        <v>0</v>
      </c>
      <c r="T3" s="114">
        <v>375</v>
      </c>
      <c r="U3" s="97">
        <v>0</v>
      </c>
      <c r="V3" s="97">
        <v>0</v>
      </c>
      <c r="W3" s="114">
        <v>750</v>
      </c>
      <c r="Y3" s="112">
        <v>1</v>
      </c>
      <c r="Z3" s="110">
        <v>125</v>
      </c>
      <c r="AA3" s="110">
        <f>Z2+Z3</f>
      </c>
      <c r="AB3" s="111">
        <v>5</v>
      </c>
      <c r="AC3" s="110">
        <v>250</v>
      </c>
      <c r="AD3" s="110">
        <f>AD2+AC3</f>
      </c>
      <c r="AE3" s="112">
        <v>1</v>
      </c>
      <c r="AF3" s="110">
        <v>250</v>
      </c>
      <c r="AG3" s="110">
        <f>AF2+AF3</f>
      </c>
      <c r="AH3" s="111">
        <v>5</v>
      </c>
      <c r="AI3" s="110">
        <v>500</v>
      </c>
      <c r="AJ3" s="110">
        <f>AJ2+AI3</f>
      </c>
      <c r="AL3" s="112">
        <v>1</v>
      </c>
      <c r="AM3" s="110">
        <v>375</v>
      </c>
      <c r="AN3" s="110">
        <f>AM2+AM3</f>
      </c>
      <c r="AO3" s="111">
        <v>5</v>
      </c>
      <c r="AP3" s="110">
        <v>750</v>
      </c>
      <c r="AQ3" s="110">
        <f>AQ2+AP3</f>
      </c>
      <c r="AR3" s="112">
        <v>1</v>
      </c>
      <c r="AS3" s="110">
        <v>750</v>
      </c>
      <c r="AT3" s="110">
        <f>AS2+AS3</f>
      </c>
      <c r="AU3" s="111">
        <v>5</v>
      </c>
      <c r="AV3" s="110">
        <v>1500</v>
      </c>
      <c r="AW3" s="110">
        <f>AW2+AV3</f>
      </c>
    </row>
    <row r="4" ht="17.1" customHeight="1" spans="5:49" x14ac:dyDescent="0.25">
      <c r="E4" s="113" t="s">
        <v>571</v>
      </c>
      <c r="F4" s="107">
        <v>250</v>
      </c>
      <c r="G4" s="107">
        <v>500</v>
      </c>
      <c r="H4" s="114">
        <v>750</v>
      </c>
      <c r="I4" s="114">
        <v>1500</v>
      </c>
      <c r="J4" s="114"/>
      <c r="K4" s="97">
        <v>3</v>
      </c>
      <c r="L4" s="117">
        <v>375</v>
      </c>
      <c r="M4" s="115">
        <v>250</v>
      </c>
      <c r="N4" s="97">
        <v>3</v>
      </c>
      <c r="O4" s="117">
        <v>750</v>
      </c>
      <c r="P4" s="116">
        <v>500</v>
      </c>
      <c r="Q4" s="97"/>
      <c r="R4" s="97">
        <v>3</v>
      </c>
      <c r="S4" s="118">
        <v>1125</v>
      </c>
      <c r="T4" s="114">
        <v>750</v>
      </c>
      <c r="U4" s="97">
        <v>3</v>
      </c>
      <c r="V4" s="118">
        <v>2250</v>
      </c>
      <c r="W4" s="114">
        <v>1500</v>
      </c>
      <c r="Y4" s="112">
        <v>2</v>
      </c>
      <c r="Z4" s="110">
        <v>125</v>
      </c>
      <c r="AA4" s="110">
        <f>AA3+Z4</f>
      </c>
      <c r="AB4" s="111">
        <v>6</v>
      </c>
      <c r="AC4" s="110">
        <v>250</v>
      </c>
      <c r="AD4" s="110">
        <f>AD3+AC4</f>
      </c>
      <c r="AE4" s="112">
        <v>2</v>
      </c>
      <c r="AF4" s="110">
        <v>250</v>
      </c>
      <c r="AG4" s="110">
        <f>AG3+AF4</f>
      </c>
      <c r="AH4" s="111">
        <v>6</v>
      </c>
      <c r="AI4" s="110">
        <v>500</v>
      </c>
      <c r="AJ4" s="110">
        <f>AJ3+AI4</f>
      </c>
      <c r="AL4" s="112">
        <v>2</v>
      </c>
      <c r="AM4" s="110">
        <v>375</v>
      </c>
      <c r="AN4" s="110">
        <f>AN3+AM4</f>
      </c>
      <c r="AO4" s="111">
        <v>6</v>
      </c>
      <c r="AP4" s="110">
        <v>750</v>
      </c>
      <c r="AQ4" s="110">
        <f>AQ3+AP4</f>
      </c>
      <c r="AR4" s="112">
        <v>2</v>
      </c>
      <c r="AS4" s="110">
        <v>750</v>
      </c>
      <c r="AT4" s="110">
        <f>AT3+AS4</f>
      </c>
      <c r="AU4" s="111">
        <v>6</v>
      </c>
      <c r="AV4" s="110">
        <v>1500</v>
      </c>
      <c r="AW4" s="110">
        <f>AW3+AV4</f>
      </c>
    </row>
    <row r="5" ht="17.1" customHeight="1" spans="1:49" x14ac:dyDescent="0.25">
      <c r="A5" s="119"/>
      <c r="B5" s="120"/>
      <c r="C5" s="119"/>
      <c r="D5" s="119"/>
      <c r="E5" s="121" t="s">
        <v>572</v>
      </c>
      <c r="F5" s="122">
        <v>400</v>
      </c>
      <c r="G5" s="122">
        <v>800</v>
      </c>
      <c r="H5" s="123">
        <v>1200</v>
      </c>
      <c r="I5" s="123">
        <v>2400</v>
      </c>
      <c r="J5" s="114"/>
      <c r="K5" s="119">
        <v>10</v>
      </c>
      <c r="L5" s="124">
        <v>2275</v>
      </c>
      <c r="M5" s="125">
        <v>400</v>
      </c>
      <c r="N5" s="119">
        <v>10</v>
      </c>
      <c r="O5" s="124">
        <v>4550</v>
      </c>
      <c r="P5" s="126">
        <v>800</v>
      </c>
      <c r="Q5" s="97"/>
      <c r="R5" s="119">
        <v>10</v>
      </c>
      <c r="S5" s="127">
        <v>6825</v>
      </c>
      <c r="T5" s="123">
        <v>1200</v>
      </c>
      <c r="U5" s="119">
        <v>10</v>
      </c>
      <c r="V5" s="127">
        <v>13650</v>
      </c>
      <c r="W5" s="123">
        <v>2400</v>
      </c>
      <c r="Y5" s="112">
        <v>3</v>
      </c>
      <c r="Z5" s="110">
        <v>125</v>
      </c>
      <c r="AA5" s="128">
        <f>AA4+Z5</f>
      </c>
      <c r="AB5" s="111">
        <v>7</v>
      </c>
      <c r="AC5" s="110">
        <v>250</v>
      </c>
      <c r="AD5" s="110">
        <f>AD4+AC5</f>
      </c>
      <c r="AE5" s="112">
        <v>3</v>
      </c>
      <c r="AF5" s="110">
        <v>250</v>
      </c>
      <c r="AG5" s="128">
        <f>AG4+AF5</f>
      </c>
      <c r="AH5" s="111">
        <v>7</v>
      </c>
      <c r="AI5" s="110">
        <v>500</v>
      </c>
      <c r="AJ5" s="110">
        <f>AJ4+AI5</f>
      </c>
      <c r="AL5" s="112">
        <v>3</v>
      </c>
      <c r="AM5" s="110">
        <v>375</v>
      </c>
      <c r="AN5" s="129">
        <f>AN4+AM5</f>
      </c>
      <c r="AO5" s="111">
        <v>7</v>
      </c>
      <c r="AP5" s="110">
        <v>750</v>
      </c>
      <c r="AQ5" s="110">
        <f>AQ4+AP5</f>
      </c>
      <c r="AR5" s="112">
        <v>3</v>
      </c>
      <c r="AS5" s="110">
        <v>750</v>
      </c>
      <c r="AT5" s="129">
        <f>AT4+AS5</f>
      </c>
      <c r="AU5" s="111">
        <v>7</v>
      </c>
      <c r="AV5" s="110">
        <v>1500</v>
      </c>
      <c r="AW5" s="110">
        <f>AW4+AV5</f>
      </c>
    </row>
    <row r="6" ht="17.1" customHeight="1" spans="5:49" x14ac:dyDescent="0.25">
      <c r="E6" s="113"/>
      <c r="K6" s="97"/>
      <c r="L6" s="97"/>
      <c r="M6" s="130"/>
      <c r="N6" s="97"/>
      <c r="O6" s="97"/>
      <c r="P6" s="97"/>
      <c r="Q6" s="97"/>
      <c r="R6" s="97"/>
      <c r="S6" s="97"/>
      <c r="T6" s="130"/>
      <c r="U6" s="97"/>
      <c r="V6" s="97"/>
      <c r="W6" s="97"/>
      <c r="Y6" s="112"/>
      <c r="Z6" s="111"/>
      <c r="AA6" s="111"/>
      <c r="AB6" s="111">
        <v>8</v>
      </c>
      <c r="AC6" s="110">
        <v>250</v>
      </c>
      <c r="AD6" s="110">
        <f>AD5+AC6</f>
      </c>
      <c r="AE6" s="112"/>
      <c r="AF6" s="111"/>
      <c r="AG6" s="111"/>
      <c r="AH6" s="111">
        <v>8</v>
      </c>
      <c r="AI6" s="110">
        <v>500</v>
      </c>
      <c r="AJ6" s="110">
        <f>AJ5+AI6</f>
      </c>
      <c r="AL6" s="112"/>
      <c r="AM6" s="111"/>
      <c r="AN6" s="111"/>
      <c r="AO6" s="111">
        <v>8</v>
      </c>
      <c r="AP6" s="110">
        <v>750</v>
      </c>
      <c r="AQ6" s="110">
        <f>AQ5+AP6</f>
      </c>
      <c r="AR6" s="112"/>
      <c r="AS6" s="111"/>
      <c r="AT6" s="111"/>
      <c r="AU6" s="111">
        <v>8</v>
      </c>
      <c r="AV6" s="110">
        <v>1500</v>
      </c>
      <c r="AW6" s="110">
        <f>AW5+AV6</f>
      </c>
    </row>
    <row r="7" ht="17.1" customHeight="1" spans="1:49" x14ac:dyDescent="0.25">
      <c r="A7" s="99" t="s">
        <v>553</v>
      </c>
      <c r="B7" s="100"/>
      <c r="C7" s="100"/>
      <c r="D7" s="100"/>
      <c r="E7" s="100"/>
      <c r="F7" s="99" t="s">
        <v>554</v>
      </c>
      <c r="G7" s="100"/>
      <c r="H7" s="99" t="s">
        <v>193</v>
      </c>
      <c r="I7" s="100"/>
      <c r="J7" s="101" t="s">
        <v>573</v>
      </c>
      <c r="K7" s="102" t="s">
        <v>554</v>
      </c>
      <c r="L7" s="103" t="s">
        <v>556</v>
      </c>
      <c r="M7" s="104" t="s">
        <v>574</v>
      </c>
      <c r="N7" s="103" t="s">
        <v>575</v>
      </c>
      <c r="O7" s="104" t="s">
        <v>576</v>
      </c>
      <c r="P7" s="103" t="s">
        <v>577</v>
      </c>
      <c r="Q7" s="131"/>
      <c r="R7" s="102" t="s">
        <v>193</v>
      </c>
      <c r="S7" s="103" t="s">
        <v>556</v>
      </c>
      <c r="T7" s="104" t="s">
        <v>574</v>
      </c>
      <c r="U7" s="103" t="s">
        <v>575</v>
      </c>
      <c r="V7" s="104" t="s">
        <v>576</v>
      </c>
      <c r="W7" s="103" t="s">
        <v>577</v>
      </c>
      <c r="Y7" s="112"/>
      <c r="Z7" s="111"/>
      <c r="AA7" s="111"/>
      <c r="AB7" s="111">
        <v>9</v>
      </c>
      <c r="AC7" s="110">
        <v>250</v>
      </c>
      <c r="AD7" s="110">
        <f>AD6+AC7</f>
      </c>
      <c r="AE7" s="112"/>
      <c r="AF7" s="111"/>
      <c r="AG7" s="111"/>
      <c r="AH7" s="111">
        <v>9</v>
      </c>
      <c r="AI7" s="110">
        <v>500</v>
      </c>
      <c r="AJ7" s="110">
        <f>AJ6+AI7</f>
      </c>
      <c r="AL7" s="112"/>
      <c r="AM7" s="111"/>
      <c r="AN7" s="111"/>
      <c r="AO7" s="111">
        <v>9</v>
      </c>
      <c r="AP7" s="110">
        <v>750</v>
      </c>
      <c r="AQ7" s="110">
        <f>AQ6+AP7</f>
      </c>
      <c r="AR7" s="112"/>
      <c r="AS7" s="111"/>
      <c r="AT7" s="111"/>
      <c r="AU7" s="111">
        <v>9</v>
      </c>
      <c r="AV7" s="110">
        <v>1500</v>
      </c>
      <c r="AW7" s="110">
        <f>AW6+AV7</f>
      </c>
    </row>
    <row r="8" ht="17.1" customHeight="1" spans="1:49" x14ac:dyDescent="0.25">
      <c r="A8" s="97" t="s">
        <v>560</v>
      </c>
      <c r="B8" s="97" t="s">
        <v>561</v>
      </c>
      <c r="C8" s="97" t="s">
        <v>562</v>
      </c>
      <c r="D8" s="97" t="s">
        <v>563</v>
      </c>
      <c r="E8" s="97" t="s">
        <v>564</v>
      </c>
      <c r="F8" s="97" t="s">
        <v>558</v>
      </c>
      <c r="G8" s="97" t="s">
        <v>559</v>
      </c>
      <c r="H8" s="97" t="s">
        <v>558</v>
      </c>
      <c r="I8" s="97" t="s">
        <v>559</v>
      </c>
      <c r="M8" s="132" t="s">
        <v>578</v>
      </c>
      <c r="N8" s="132" t="s">
        <v>579</v>
      </c>
      <c r="T8" s="132" t="s">
        <v>578</v>
      </c>
      <c r="U8" s="132" t="s">
        <v>579</v>
      </c>
      <c r="Y8" s="112"/>
      <c r="Z8" s="111"/>
      <c r="AA8" s="111"/>
      <c r="AB8" s="111">
        <v>10</v>
      </c>
      <c r="AC8" s="110">
        <v>400</v>
      </c>
      <c r="AD8" s="128">
        <f>AD7+AC8</f>
      </c>
      <c r="AE8" s="112"/>
      <c r="AF8" s="111"/>
      <c r="AG8" s="111"/>
      <c r="AH8" s="111">
        <v>10</v>
      </c>
      <c r="AI8" s="110">
        <v>800</v>
      </c>
      <c r="AJ8" s="128">
        <f>AJ7+AI8</f>
      </c>
      <c r="AL8" s="112"/>
      <c r="AM8" s="111"/>
      <c r="AN8" s="111"/>
      <c r="AO8" s="111">
        <v>10</v>
      </c>
      <c r="AP8" s="110">
        <v>1200</v>
      </c>
      <c r="AQ8" s="129">
        <f>AQ7+AP8</f>
      </c>
      <c r="AR8" s="112"/>
      <c r="AS8" s="111"/>
      <c r="AT8" s="111"/>
      <c r="AU8" s="111">
        <v>10</v>
      </c>
      <c r="AV8" s="110">
        <v>2400</v>
      </c>
      <c r="AW8" s="129">
        <f>AW7+AV8</f>
      </c>
    </row>
    <row r="9" ht="17.1" customHeight="1" spans="1:44" x14ac:dyDescent="0.25">
      <c r="A9" s="97" t="s">
        <v>580</v>
      </c>
      <c r="B9" s="98" t="s">
        <v>581</v>
      </c>
      <c r="C9" s="97" t="s">
        <v>574</v>
      </c>
      <c r="D9" s="97">
        <v>7</v>
      </c>
      <c r="E9" s="113" t="s">
        <v>582</v>
      </c>
      <c r="F9" s="116">
        <v>125</v>
      </c>
      <c r="G9" s="116">
        <v>250</v>
      </c>
      <c r="H9" s="114">
        <v>375</v>
      </c>
      <c r="I9" s="114">
        <v>750</v>
      </c>
      <c r="J9" s="114"/>
      <c r="K9" s="97" t="s">
        <v>565</v>
      </c>
      <c r="L9" s="97" t="s">
        <v>566</v>
      </c>
      <c r="M9" s="97" t="s">
        <v>558</v>
      </c>
      <c r="N9" s="97" t="s">
        <v>565</v>
      </c>
      <c r="O9" s="97" t="s">
        <v>567</v>
      </c>
      <c r="P9" s="97" t="s">
        <v>559</v>
      </c>
      <c r="Q9" s="97"/>
      <c r="R9" s="97" t="s">
        <v>565</v>
      </c>
      <c r="S9" s="97" t="s">
        <v>566</v>
      </c>
      <c r="T9" s="97" t="s">
        <v>558</v>
      </c>
      <c r="U9" s="97" t="s">
        <v>565</v>
      </c>
      <c r="V9" s="97" t="s">
        <v>567</v>
      </c>
      <c r="W9" s="97" t="s">
        <v>559</v>
      </c>
      <c r="Y9" s="133"/>
      <c r="Z9" s="134"/>
      <c r="AA9" s="134"/>
      <c r="AB9" s="134"/>
      <c r="AC9" s="135"/>
      <c r="AD9" s="135"/>
      <c r="AE9" s="133"/>
      <c r="AF9" s="134"/>
      <c r="AG9" s="134"/>
      <c r="AH9" s="134"/>
      <c r="AI9" s="135"/>
      <c r="AJ9" s="135"/>
      <c r="AL9" s="97"/>
      <c r="AQ9" s="98"/>
      <c r="AR9" s="97"/>
    </row>
    <row r="10" ht="17.1" customHeight="1" spans="1:49" x14ac:dyDescent="0.25">
      <c r="A10" s="97" t="s">
        <v>583</v>
      </c>
      <c r="B10" s="98" t="s">
        <v>584</v>
      </c>
      <c r="C10" s="97" t="s">
        <v>575</v>
      </c>
      <c r="D10" s="97">
        <v>7</v>
      </c>
      <c r="E10" s="113" t="s">
        <v>585</v>
      </c>
      <c r="F10" s="116">
        <v>250</v>
      </c>
      <c r="G10" s="116">
        <v>500</v>
      </c>
      <c r="H10" s="114">
        <v>750</v>
      </c>
      <c r="I10" s="114">
        <v>1500</v>
      </c>
      <c r="J10" s="114"/>
      <c r="K10" s="97">
        <v>0</v>
      </c>
      <c r="L10" s="97">
        <v>0</v>
      </c>
      <c r="M10" s="115">
        <v>125</v>
      </c>
      <c r="N10" s="97">
        <v>0</v>
      </c>
      <c r="O10" s="97">
        <v>0</v>
      </c>
      <c r="P10" s="116">
        <v>250</v>
      </c>
      <c r="Q10" s="97"/>
      <c r="R10" s="97">
        <v>0</v>
      </c>
      <c r="S10" s="97">
        <v>0</v>
      </c>
      <c r="T10" s="114">
        <v>375</v>
      </c>
      <c r="U10" s="97">
        <v>0</v>
      </c>
      <c r="V10" s="97">
        <v>0</v>
      </c>
      <c r="W10" s="114">
        <v>750</v>
      </c>
      <c r="Y10" s="107" t="s">
        <v>554</v>
      </c>
      <c r="Z10" s="107" t="s">
        <v>558</v>
      </c>
      <c r="AA10" s="107"/>
      <c r="AB10" s="107"/>
      <c r="AC10" s="107"/>
      <c r="AD10" s="107"/>
      <c r="AE10" s="107" t="s">
        <v>554</v>
      </c>
      <c r="AF10" s="107" t="s">
        <v>559</v>
      </c>
      <c r="AG10" s="107"/>
      <c r="AH10" s="107"/>
      <c r="AI10" s="107"/>
      <c r="AJ10" s="107"/>
      <c r="AL10" s="108" t="s">
        <v>193</v>
      </c>
      <c r="AM10" s="108" t="s">
        <v>558</v>
      </c>
      <c r="AN10" s="109"/>
      <c r="AO10" s="109"/>
      <c r="AP10" s="109"/>
      <c r="AQ10" s="109"/>
      <c r="AR10" s="108" t="s">
        <v>193</v>
      </c>
      <c r="AS10" s="108" t="s">
        <v>559</v>
      </c>
      <c r="AT10" s="110"/>
      <c r="AU10" s="111"/>
      <c r="AV10" s="110"/>
      <c r="AW10" s="110"/>
    </row>
    <row r="11" ht="17.1" customHeight="1" spans="5:49" x14ac:dyDescent="0.25">
      <c r="E11" s="113" t="s">
        <v>586</v>
      </c>
      <c r="F11" s="116">
        <v>400</v>
      </c>
      <c r="G11" s="116">
        <v>800</v>
      </c>
      <c r="H11" s="114">
        <v>1200</v>
      </c>
      <c r="I11" s="114">
        <v>2400</v>
      </c>
      <c r="J11" s="114"/>
      <c r="K11" s="97">
        <v>7</v>
      </c>
      <c r="L11" s="117">
        <v>875</v>
      </c>
      <c r="M11" s="115">
        <v>250</v>
      </c>
      <c r="N11" s="97">
        <v>7</v>
      </c>
      <c r="O11" s="117">
        <v>1750</v>
      </c>
      <c r="P11" s="116">
        <v>500</v>
      </c>
      <c r="Q11" s="97"/>
      <c r="R11" s="97">
        <v>7</v>
      </c>
      <c r="S11" s="118">
        <v>2625</v>
      </c>
      <c r="T11" s="114">
        <v>750</v>
      </c>
      <c r="U11" s="97">
        <v>7</v>
      </c>
      <c r="V11" s="118">
        <v>5250</v>
      </c>
      <c r="W11" s="114">
        <v>1500</v>
      </c>
      <c r="Y11" s="133">
        <v>0</v>
      </c>
      <c r="Z11" s="134">
        <v>0</v>
      </c>
      <c r="AA11" s="134">
        <f>Z11</f>
      </c>
      <c r="AB11" s="134"/>
      <c r="AC11" s="134"/>
      <c r="AD11" s="134"/>
      <c r="AE11" s="133">
        <v>0</v>
      </c>
      <c r="AF11" s="134">
        <v>0</v>
      </c>
      <c r="AG11" s="134">
        <f>AF11</f>
      </c>
      <c r="AH11" s="134"/>
      <c r="AI11" s="134"/>
      <c r="AJ11" s="134"/>
      <c r="AL11" s="134">
        <v>0</v>
      </c>
      <c r="AM11" s="134">
        <v>0</v>
      </c>
      <c r="AN11" s="134">
        <f>AM11</f>
      </c>
      <c r="AO11" s="134"/>
      <c r="AP11" s="134"/>
      <c r="AQ11" s="134"/>
      <c r="AR11" s="134">
        <v>0</v>
      </c>
      <c r="AS11" s="134">
        <v>0</v>
      </c>
      <c r="AT11" s="134">
        <f>AS11</f>
      </c>
      <c r="AU11" s="134"/>
      <c r="AV11" s="134"/>
      <c r="AW11" s="134"/>
    </row>
    <row r="12" ht="17.1" customHeight="1" spans="1:49" x14ac:dyDescent="0.25">
      <c r="A12" s="97" t="s">
        <v>587</v>
      </c>
      <c r="B12" s="98" t="s">
        <v>588</v>
      </c>
      <c r="C12" s="97" t="s">
        <v>576</v>
      </c>
      <c r="D12" s="97">
        <v>7</v>
      </c>
      <c r="E12" s="113"/>
      <c r="K12" s="97">
        <v>14</v>
      </c>
      <c r="L12" s="117">
        <v>2625</v>
      </c>
      <c r="M12" s="115">
        <v>400</v>
      </c>
      <c r="N12" s="97">
        <v>14</v>
      </c>
      <c r="O12" s="117">
        <v>5250</v>
      </c>
      <c r="P12" s="116">
        <v>800</v>
      </c>
      <c r="Q12" s="97"/>
      <c r="R12" s="97">
        <v>14</v>
      </c>
      <c r="S12" s="118">
        <v>7875</v>
      </c>
      <c r="T12" s="114">
        <v>1200</v>
      </c>
      <c r="U12" s="97">
        <v>14</v>
      </c>
      <c r="V12" s="118">
        <v>15750</v>
      </c>
      <c r="W12" s="114">
        <v>2400</v>
      </c>
      <c r="Y12" s="133">
        <v>1</v>
      </c>
      <c r="Z12" s="135">
        <v>125</v>
      </c>
      <c r="AA12" s="135">
        <f>Z11+Z12</f>
      </c>
      <c r="AB12" s="134">
        <v>8</v>
      </c>
      <c r="AC12" s="134">
        <v>250</v>
      </c>
      <c r="AD12" s="135">
        <f>AA18+AC12</f>
      </c>
      <c r="AE12" s="133">
        <v>1</v>
      </c>
      <c r="AF12" s="135">
        <v>250</v>
      </c>
      <c r="AG12" s="135">
        <f>AF11+AF12</f>
      </c>
      <c r="AH12" s="134">
        <v>8</v>
      </c>
      <c r="AI12" s="134">
        <v>500</v>
      </c>
      <c r="AJ12" s="135">
        <f>AG18+AI12</f>
      </c>
      <c r="AL12" s="134">
        <v>1</v>
      </c>
      <c r="AM12" s="135">
        <v>375</v>
      </c>
      <c r="AN12" s="135">
        <f>AM11+AM12</f>
      </c>
      <c r="AO12" s="134">
        <v>8</v>
      </c>
      <c r="AP12" s="134">
        <v>750</v>
      </c>
      <c r="AQ12" s="135">
        <f>AN18+AP12</f>
      </c>
      <c r="AR12" s="134">
        <v>1</v>
      </c>
      <c r="AS12" s="135">
        <v>750</v>
      </c>
      <c r="AT12" s="135">
        <f>AS11+AS12</f>
      </c>
      <c r="AU12" s="134">
        <v>8</v>
      </c>
      <c r="AV12" s="134">
        <v>1500</v>
      </c>
      <c r="AW12" s="135">
        <f>AT18+AV12</f>
      </c>
    </row>
    <row r="13" ht="17.1" customHeight="1" spans="3:49" x14ac:dyDescent="0.25">
      <c r="C13" s="97" t="s">
        <v>577</v>
      </c>
      <c r="D13" s="97">
        <v>7</v>
      </c>
      <c r="E13" s="113"/>
      <c r="Y13" s="133">
        <v>2</v>
      </c>
      <c r="Z13" s="135">
        <v>125</v>
      </c>
      <c r="AA13" s="135">
        <f>AA12+Z13</f>
      </c>
      <c r="AB13" s="134">
        <v>9</v>
      </c>
      <c r="AC13" s="134">
        <v>250</v>
      </c>
      <c r="AD13" s="135">
        <f>AD12+AC13</f>
      </c>
      <c r="AE13" s="133">
        <v>2</v>
      </c>
      <c r="AF13" s="135">
        <v>250</v>
      </c>
      <c r="AG13" s="135">
        <f>AG12+AF13</f>
      </c>
      <c r="AH13" s="134">
        <v>9</v>
      </c>
      <c r="AI13" s="134">
        <v>500</v>
      </c>
      <c r="AJ13" s="135">
        <f>AJ12+AI13</f>
      </c>
      <c r="AL13" s="134">
        <v>2</v>
      </c>
      <c r="AM13" s="135">
        <v>375</v>
      </c>
      <c r="AN13" s="135">
        <f>AN12+AM13</f>
      </c>
      <c r="AO13" s="134">
        <v>9</v>
      </c>
      <c r="AP13" s="134">
        <v>750</v>
      </c>
      <c r="AQ13" s="135">
        <f>AQ12+AP13</f>
      </c>
      <c r="AR13" s="134">
        <v>2</v>
      </c>
      <c r="AS13" s="135">
        <v>750</v>
      </c>
      <c r="AT13" s="135">
        <f>AT12+AS13</f>
      </c>
      <c r="AU13" s="134">
        <v>9</v>
      </c>
      <c r="AV13" s="134">
        <v>1500</v>
      </c>
      <c r="AW13" s="135">
        <f>AW12+AV13</f>
      </c>
    </row>
    <row r="14" ht="17.1" customHeight="1" spans="1:49" x14ac:dyDescent="0.25">
      <c r="A14" s="97" t="s">
        <v>589</v>
      </c>
      <c r="B14" s="98" t="s">
        <v>590</v>
      </c>
      <c r="C14" s="101" t="s">
        <v>575</v>
      </c>
      <c r="D14" s="97">
        <v>7</v>
      </c>
      <c r="E14" s="113"/>
      <c r="X14" s="98"/>
      <c r="Y14" s="133">
        <v>3</v>
      </c>
      <c r="Z14" s="135">
        <v>125</v>
      </c>
      <c r="AA14" s="135">
        <f>AA13+Z14</f>
      </c>
      <c r="AB14" s="134">
        <v>10</v>
      </c>
      <c r="AC14" s="134">
        <v>250</v>
      </c>
      <c r="AD14" s="135">
        <f>AD13+AC14</f>
      </c>
      <c r="AE14" s="133">
        <v>3</v>
      </c>
      <c r="AF14" s="135">
        <v>250</v>
      </c>
      <c r="AG14" s="135">
        <f>AG13+AF14</f>
      </c>
      <c r="AH14" s="134">
        <v>10</v>
      </c>
      <c r="AI14" s="134">
        <v>500</v>
      </c>
      <c r="AJ14" s="135">
        <f>AJ13+AI14</f>
      </c>
      <c r="AL14" s="134">
        <v>3</v>
      </c>
      <c r="AM14" s="135">
        <v>375</v>
      </c>
      <c r="AN14" s="135">
        <f>AN13+AM14</f>
      </c>
      <c r="AO14" s="134">
        <v>10</v>
      </c>
      <c r="AP14" s="134">
        <v>750</v>
      </c>
      <c r="AQ14" s="135">
        <f>AQ13+AP14</f>
      </c>
      <c r="AR14" s="134">
        <v>3</v>
      </c>
      <c r="AS14" s="135">
        <v>750</v>
      </c>
      <c r="AT14" s="135">
        <f>AT13+AS14</f>
      </c>
      <c r="AU14" s="134">
        <v>10</v>
      </c>
      <c r="AV14" s="134">
        <v>1500</v>
      </c>
      <c r="AW14" s="135">
        <f>AW13+AV14</f>
      </c>
    </row>
    <row r="15" ht="17.1" customHeight="1" spans="1:49" x14ac:dyDescent="0.25">
      <c r="A15" s="119"/>
      <c r="B15" s="120" t="s">
        <v>591</v>
      </c>
      <c r="C15" s="136" t="s">
        <v>592</v>
      </c>
      <c r="D15" s="122">
        <v>7</v>
      </c>
      <c r="E15" s="121"/>
      <c r="F15" s="119"/>
      <c r="G15" s="119"/>
      <c r="H15" s="119"/>
      <c r="I15" s="119"/>
      <c r="K15" s="120"/>
      <c r="L15" s="120"/>
      <c r="M15" s="120"/>
      <c r="N15" s="120"/>
      <c r="O15" s="120"/>
      <c r="P15" s="120"/>
      <c r="R15" s="120"/>
      <c r="S15" s="120"/>
      <c r="T15" s="120"/>
      <c r="U15" s="120"/>
      <c r="V15" s="120"/>
      <c r="W15" s="120"/>
      <c r="X15" s="98"/>
      <c r="Y15" s="133">
        <v>4</v>
      </c>
      <c r="Z15" s="135">
        <v>125</v>
      </c>
      <c r="AA15" s="135">
        <f>AA14+Z15</f>
      </c>
      <c r="AB15" s="134">
        <v>11</v>
      </c>
      <c r="AC15" s="134">
        <v>250</v>
      </c>
      <c r="AD15" s="135">
        <f>AD14+AC15</f>
      </c>
      <c r="AE15" s="133">
        <v>4</v>
      </c>
      <c r="AF15" s="135">
        <v>250</v>
      </c>
      <c r="AG15" s="135">
        <f>AG14+AF15</f>
      </c>
      <c r="AH15" s="134">
        <v>11</v>
      </c>
      <c r="AI15" s="134">
        <v>500</v>
      </c>
      <c r="AJ15" s="135">
        <f>AJ14+AI15</f>
      </c>
      <c r="AL15" s="134">
        <v>4</v>
      </c>
      <c r="AM15" s="135">
        <v>375</v>
      </c>
      <c r="AN15" s="135">
        <f>AN14+AM15</f>
      </c>
      <c r="AO15" s="134">
        <v>11</v>
      </c>
      <c r="AP15" s="134">
        <v>750</v>
      </c>
      <c r="AQ15" s="135">
        <f>AQ14+AP15</f>
      </c>
      <c r="AR15" s="134">
        <v>4</v>
      </c>
      <c r="AS15" s="135">
        <v>750</v>
      </c>
      <c r="AT15" s="135">
        <f>AT14+AS15</f>
      </c>
      <c r="AU15" s="134">
        <v>11</v>
      </c>
      <c r="AV15" s="134">
        <v>1500</v>
      </c>
      <c r="AW15" s="135">
        <f>AW14+AV15</f>
      </c>
    </row>
    <row r="16" ht="17.1" customHeight="1" spans="5:49" x14ac:dyDescent="0.25">
      <c r="E16" s="113"/>
      <c r="X16" s="98"/>
      <c r="Y16" s="133">
        <v>5</v>
      </c>
      <c r="Z16" s="135">
        <v>125</v>
      </c>
      <c r="AA16" s="135">
        <f>AA15+Z16</f>
      </c>
      <c r="AB16" s="134">
        <v>12</v>
      </c>
      <c r="AC16" s="134">
        <v>250</v>
      </c>
      <c r="AD16" s="135">
        <f>AD15+AC16</f>
      </c>
      <c r="AE16" s="133">
        <v>5</v>
      </c>
      <c r="AF16" s="135">
        <v>250</v>
      </c>
      <c r="AG16" s="135">
        <f>AG15+AF16</f>
      </c>
      <c r="AH16" s="134">
        <v>12</v>
      </c>
      <c r="AI16" s="134">
        <v>500</v>
      </c>
      <c r="AJ16" s="135">
        <f>AJ15+AI16</f>
      </c>
      <c r="AL16" s="134">
        <v>5</v>
      </c>
      <c r="AM16" s="135">
        <v>375</v>
      </c>
      <c r="AN16" s="135">
        <f>AN15+AM16</f>
      </c>
      <c r="AO16" s="134">
        <v>12</v>
      </c>
      <c r="AP16" s="134">
        <v>750</v>
      </c>
      <c r="AQ16" s="135">
        <f>AQ15+AP16</f>
      </c>
      <c r="AR16" s="134">
        <v>5</v>
      </c>
      <c r="AS16" s="135">
        <v>750</v>
      </c>
      <c r="AT16" s="135">
        <f>AT15+AS16</f>
      </c>
      <c r="AU16" s="134">
        <v>12</v>
      </c>
      <c r="AV16" s="134">
        <v>1500</v>
      </c>
      <c r="AW16" s="135">
        <f>AW15+AV16</f>
      </c>
    </row>
    <row r="17" ht="17.1" customHeight="1" spans="1:49" x14ac:dyDescent="0.25">
      <c r="A17" s="99" t="s">
        <v>553</v>
      </c>
      <c r="B17" s="100"/>
      <c r="C17" s="100"/>
      <c r="D17" s="100"/>
      <c r="E17" s="100"/>
      <c r="F17" s="99" t="s">
        <v>554</v>
      </c>
      <c r="G17" s="100"/>
      <c r="H17" s="99" t="s">
        <v>193</v>
      </c>
      <c r="I17" s="100"/>
      <c r="J17" s="101" t="s">
        <v>593</v>
      </c>
      <c r="K17" s="102" t="s">
        <v>554</v>
      </c>
      <c r="L17" s="103" t="s">
        <v>560</v>
      </c>
      <c r="M17" s="103" t="s">
        <v>594</v>
      </c>
      <c r="N17" s="103" t="s">
        <v>595</v>
      </c>
      <c r="O17" s="137"/>
      <c r="P17" s="137"/>
      <c r="Q17" s="138"/>
      <c r="R17" s="102" t="s">
        <v>193</v>
      </c>
      <c r="S17" s="103" t="s">
        <v>560</v>
      </c>
      <c r="T17" s="103" t="s">
        <v>594</v>
      </c>
      <c r="U17" s="103" t="s">
        <v>595</v>
      </c>
      <c r="V17" s="137"/>
      <c r="W17" s="137"/>
      <c r="X17" s="98"/>
      <c r="Y17" s="133">
        <v>6</v>
      </c>
      <c r="Z17" s="135">
        <v>125</v>
      </c>
      <c r="AA17" s="135">
        <f>AA16+Z17</f>
      </c>
      <c r="AB17" s="134">
        <v>13</v>
      </c>
      <c r="AC17" s="134">
        <v>250</v>
      </c>
      <c r="AD17" s="135">
        <f>AD16+AC17</f>
      </c>
      <c r="AE17" s="133">
        <v>6</v>
      </c>
      <c r="AF17" s="135">
        <v>250</v>
      </c>
      <c r="AG17" s="135">
        <f>AG16+AF17</f>
      </c>
      <c r="AH17" s="134">
        <v>13</v>
      </c>
      <c r="AI17" s="134">
        <v>500</v>
      </c>
      <c r="AJ17" s="135">
        <f>AJ16+AI17</f>
      </c>
      <c r="AL17" s="134">
        <v>6</v>
      </c>
      <c r="AM17" s="135">
        <v>375</v>
      </c>
      <c r="AN17" s="135">
        <f>AN16+AM17</f>
      </c>
      <c r="AO17" s="134">
        <v>13</v>
      </c>
      <c r="AP17" s="134">
        <v>750</v>
      </c>
      <c r="AQ17" s="135">
        <f>AQ16+AP17</f>
      </c>
      <c r="AR17" s="134">
        <v>6</v>
      </c>
      <c r="AS17" s="135">
        <v>750</v>
      </c>
      <c r="AT17" s="135">
        <f>AT16+AS17</f>
      </c>
      <c r="AU17" s="134">
        <v>13</v>
      </c>
      <c r="AV17" s="134">
        <v>1500</v>
      </c>
      <c r="AW17" s="135">
        <f>AW16+AV17</f>
      </c>
    </row>
    <row r="18" ht="17.1" customHeight="1" spans="1:49" x14ac:dyDescent="0.25">
      <c r="A18" s="97" t="s">
        <v>560</v>
      </c>
      <c r="B18" s="97" t="s">
        <v>561</v>
      </c>
      <c r="C18" s="97" t="s">
        <v>562</v>
      </c>
      <c r="D18" s="97" t="s">
        <v>563</v>
      </c>
      <c r="E18" s="97" t="s">
        <v>564</v>
      </c>
      <c r="F18" s="97" t="s">
        <v>558</v>
      </c>
      <c r="G18" s="97" t="s">
        <v>559</v>
      </c>
      <c r="H18" s="97" t="s">
        <v>558</v>
      </c>
      <c r="I18" s="97" t="s">
        <v>559</v>
      </c>
      <c r="K18" s="97" t="s">
        <v>565</v>
      </c>
      <c r="L18" s="97" t="s">
        <v>566</v>
      </c>
      <c r="M18" s="97" t="s">
        <v>558</v>
      </c>
      <c r="N18" s="97" t="s">
        <v>565</v>
      </c>
      <c r="O18" s="97" t="s">
        <v>567</v>
      </c>
      <c r="P18" s="97" t="s">
        <v>559</v>
      </c>
      <c r="Q18" s="97"/>
      <c r="R18" s="97" t="s">
        <v>565</v>
      </c>
      <c r="S18" s="97" t="s">
        <v>566</v>
      </c>
      <c r="T18" s="97" t="s">
        <v>558</v>
      </c>
      <c r="U18" s="97" t="s">
        <v>565</v>
      </c>
      <c r="V18" s="97" t="s">
        <v>567</v>
      </c>
      <c r="W18" s="97" t="s">
        <v>559</v>
      </c>
      <c r="X18" s="98"/>
      <c r="Y18" s="133">
        <v>7</v>
      </c>
      <c r="Z18" s="135">
        <v>125</v>
      </c>
      <c r="AA18" s="128">
        <f>AA17+Z18</f>
      </c>
      <c r="AB18" s="134">
        <v>14</v>
      </c>
      <c r="AC18" s="134">
        <v>400</v>
      </c>
      <c r="AD18" s="128">
        <f>AD17+AC18</f>
      </c>
      <c r="AE18" s="133">
        <v>7</v>
      </c>
      <c r="AF18" s="135">
        <v>250</v>
      </c>
      <c r="AG18" s="128">
        <f>AG17+AF18</f>
      </c>
      <c r="AH18" s="134">
        <v>14</v>
      </c>
      <c r="AI18" s="134">
        <v>800</v>
      </c>
      <c r="AJ18" s="128">
        <f>AJ17+AI18</f>
      </c>
      <c r="AL18" s="134">
        <v>7</v>
      </c>
      <c r="AM18" s="135">
        <v>375</v>
      </c>
      <c r="AN18" s="129">
        <f>AN17+AM18</f>
      </c>
      <c r="AO18" s="134">
        <v>14</v>
      </c>
      <c r="AP18" s="134">
        <v>1200</v>
      </c>
      <c r="AQ18" s="129">
        <f>AQ17+AP18</f>
      </c>
      <c r="AR18" s="134">
        <v>7</v>
      </c>
      <c r="AS18" s="135">
        <v>750</v>
      </c>
      <c r="AT18" s="129">
        <f>AT17+AS18</f>
      </c>
      <c r="AU18" s="134">
        <v>14</v>
      </c>
      <c r="AV18" s="134">
        <v>2400</v>
      </c>
      <c r="AW18" s="129">
        <f>AW17+AV18</f>
      </c>
    </row>
    <row r="19" ht="17.1" customHeight="1" spans="1:43" x14ac:dyDescent="0.25">
      <c r="A19" s="97" t="s">
        <v>596</v>
      </c>
      <c r="C19" s="97" t="s">
        <v>594</v>
      </c>
      <c r="D19" s="97">
        <v>3</v>
      </c>
      <c r="E19" s="113" t="s">
        <v>582</v>
      </c>
      <c r="F19" s="116">
        <v>160</v>
      </c>
      <c r="G19" s="116">
        <v>320</v>
      </c>
      <c r="H19" s="114">
        <v>480</v>
      </c>
      <c r="I19" s="114">
        <v>960</v>
      </c>
      <c r="J19" s="114"/>
      <c r="K19" s="97">
        <v>0</v>
      </c>
      <c r="L19" s="97">
        <v>0</v>
      </c>
      <c r="M19" s="115">
        <v>160</v>
      </c>
      <c r="N19" s="97">
        <v>0</v>
      </c>
      <c r="O19" s="97">
        <v>0</v>
      </c>
      <c r="P19" s="116">
        <v>320</v>
      </c>
      <c r="Q19" s="97"/>
      <c r="R19" s="97">
        <v>0</v>
      </c>
      <c r="S19" s="97">
        <v>0</v>
      </c>
      <c r="T19" s="114">
        <v>480</v>
      </c>
      <c r="U19" s="97">
        <v>0</v>
      </c>
      <c r="V19" s="97">
        <v>0</v>
      </c>
      <c r="W19" s="114">
        <v>960</v>
      </c>
      <c r="X19" s="98"/>
      <c r="AL19" s="134"/>
      <c r="AM19" s="135"/>
      <c r="AN19" s="135"/>
      <c r="AO19" s="134"/>
      <c r="AP19" s="134"/>
      <c r="AQ19" s="135"/>
    </row>
    <row r="20" ht="17.1" customHeight="1" spans="3:49" x14ac:dyDescent="0.25">
      <c r="C20" s="97" t="s">
        <v>595</v>
      </c>
      <c r="D20" s="97">
        <v>3</v>
      </c>
      <c r="E20" s="113" t="s">
        <v>585</v>
      </c>
      <c r="F20" s="116">
        <v>275</v>
      </c>
      <c r="G20" s="116">
        <v>550</v>
      </c>
      <c r="H20" s="114">
        <v>825</v>
      </c>
      <c r="I20" s="114">
        <v>1650</v>
      </c>
      <c r="J20" s="114"/>
      <c r="K20" s="97">
        <v>7</v>
      </c>
      <c r="L20" s="117">
        <v>1120</v>
      </c>
      <c r="M20" s="115">
        <v>275</v>
      </c>
      <c r="N20" s="97">
        <v>7</v>
      </c>
      <c r="O20" s="117">
        <v>2240</v>
      </c>
      <c r="P20" s="116">
        <v>550</v>
      </c>
      <c r="Q20" s="97"/>
      <c r="R20" s="97">
        <v>7</v>
      </c>
      <c r="S20" s="118">
        <v>3360</v>
      </c>
      <c r="T20" s="114">
        <v>825</v>
      </c>
      <c r="U20" s="97">
        <v>7</v>
      </c>
      <c r="V20" s="118">
        <v>6720</v>
      </c>
      <c r="W20" s="114">
        <v>1650</v>
      </c>
      <c r="X20" s="98"/>
      <c r="Y20" s="107" t="s">
        <v>554</v>
      </c>
      <c r="Z20" s="107" t="s">
        <v>558</v>
      </c>
      <c r="AA20" s="107"/>
      <c r="AB20" s="107"/>
      <c r="AC20" s="107"/>
      <c r="AD20" s="107"/>
      <c r="AE20" s="107" t="s">
        <v>554</v>
      </c>
      <c r="AF20" s="107" t="s">
        <v>559</v>
      </c>
      <c r="AG20" s="107"/>
      <c r="AH20" s="107"/>
      <c r="AI20" s="107"/>
      <c r="AJ20" s="107"/>
      <c r="AL20" s="108" t="s">
        <v>193</v>
      </c>
      <c r="AM20" s="108" t="s">
        <v>558</v>
      </c>
      <c r="AN20" s="109"/>
      <c r="AO20" s="109"/>
      <c r="AP20" s="109"/>
      <c r="AQ20" s="109"/>
      <c r="AR20" s="108" t="s">
        <v>193</v>
      </c>
      <c r="AS20" s="108" t="s">
        <v>559</v>
      </c>
      <c r="AT20" s="110"/>
      <c r="AU20" s="111"/>
      <c r="AV20" s="110"/>
      <c r="AW20" s="110"/>
    </row>
    <row r="21" ht="17.1" customHeight="1" spans="1:49" x14ac:dyDescent="0.25">
      <c r="A21" s="119"/>
      <c r="B21" s="120"/>
      <c r="C21" s="119"/>
      <c r="D21" s="119"/>
      <c r="E21" s="121" t="s">
        <v>586</v>
      </c>
      <c r="F21" s="126">
        <v>390</v>
      </c>
      <c r="G21" s="126">
        <v>780</v>
      </c>
      <c r="H21" s="123">
        <v>1170</v>
      </c>
      <c r="I21" s="123">
        <v>2340</v>
      </c>
      <c r="J21" s="114"/>
      <c r="K21" s="119">
        <v>14</v>
      </c>
      <c r="L21" s="124">
        <v>3045</v>
      </c>
      <c r="M21" s="125">
        <v>390</v>
      </c>
      <c r="N21" s="119">
        <v>14</v>
      </c>
      <c r="O21" s="124">
        <v>6090</v>
      </c>
      <c r="P21" s="126">
        <v>780</v>
      </c>
      <c r="Q21" s="97"/>
      <c r="R21" s="119">
        <v>14</v>
      </c>
      <c r="S21" s="127">
        <v>9135</v>
      </c>
      <c r="T21" s="123">
        <v>1170</v>
      </c>
      <c r="U21" s="119">
        <v>14</v>
      </c>
      <c r="V21" s="127">
        <v>18270</v>
      </c>
      <c r="W21" s="123">
        <v>2340</v>
      </c>
      <c r="X21" s="98"/>
      <c r="Y21" s="134">
        <v>0</v>
      </c>
      <c r="Z21" s="134">
        <v>0</v>
      </c>
      <c r="AA21" s="134">
        <f>Z21</f>
      </c>
      <c r="AB21" s="134"/>
      <c r="AC21" s="134"/>
      <c r="AD21" s="134"/>
      <c r="AE21" s="134">
        <v>0</v>
      </c>
      <c r="AF21" s="134">
        <v>0</v>
      </c>
      <c r="AG21" s="134">
        <f>AF21</f>
      </c>
      <c r="AH21" s="134"/>
      <c r="AI21" s="134"/>
      <c r="AJ21" s="134"/>
      <c r="AL21" s="134">
        <v>0</v>
      </c>
      <c r="AM21" s="134">
        <v>0</v>
      </c>
      <c r="AN21" s="134">
        <f>AM21</f>
      </c>
      <c r="AO21" s="134"/>
      <c r="AP21" s="134"/>
      <c r="AQ21" s="134"/>
      <c r="AR21" s="134">
        <v>0</v>
      </c>
      <c r="AS21" s="134">
        <v>0</v>
      </c>
      <c r="AT21" s="134">
        <f>AS21</f>
      </c>
      <c r="AU21" s="134"/>
      <c r="AV21" s="134"/>
      <c r="AW21" s="134"/>
    </row>
    <row r="22" ht="17.1" customHeight="1" spans="5:49" x14ac:dyDescent="0.25">
      <c r="E22" s="113"/>
      <c r="K22" s="97"/>
      <c r="L22" s="97"/>
      <c r="M22" s="130"/>
      <c r="N22" s="97"/>
      <c r="O22" s="97"/>
      <c r="P22" s="97"/>
      <c r="Q22" s="97"/>
      <c r="R22" s="97"/>
      <c r="S22" s="97"/>
      <c r="T22" s="130"/>
      <c r="U22" s="97"/>
      <c r="V22" s="97"/>
      <c r="W22" s="97"/>
      <c r="X22" s="98"/>
      <c r="Y22" s="134">
        <v>1</v>
      </c>
      <c r="Z22" s="135">
        <v>160</v>
      </c>
      <c r="AA22" s="135">
        <f>Z21+Z22</f>
      </c>
      <c r="AB22" s="134">
        <v>8</v>
      </c>
      <c r="AC22" s="134">
        <v>275</v>
      </c>
      <c r="AD22" s="135">
        <f>AA28+AC22</f>
      </c>
      <c r="AE22" s="134">
        <v>1</v>
      </c>
      <c r="AF22" s="135">
        <v>320</v>
      </c>
      <c r="AG22" s="135">
        <f>AF21+AF22</f>
      </c>
      <c r="AH22" s="134">
        <v>8</v>
      </c>
      <c r="AI22" s="134">
        <v>550</v>
      </c>
      <c r="AJ22" s="135">
        <f>AG28+AI22</f>
      </c>
      <c r="AL22" s="134">
        <v>1</v>
      </c>
      <c r="AM22" s="135">
        <v>480</v>
      </c>
      <c r="AN22" s="135">
        <f>AM21+AM22</f>
      </c>
      <c r="AO22" s="134">
        <v>8</v>
      </c>
      <c r="AP22" s="134">
        <v>825</v>
      </c>
      <c r="AQ22" s="135">
        <f>AN28+AP22</f>
      </c>
      <c r="AR22" s="134">
        <v>1</v>
      </c>
      <c r="AS22" s="135">
        <v>960</v>
      </c>
      <c r="AT22" s="135">
        <f>AS21+AS22</f>
      </c>
      <c r="AU22" s="134">
        <v>8</v>
      </c>
      <c r="AV22" s="134">
        <v>1650</v>
      </c>
      <c r="AW22" s="135">
        <f>AT28+AV22</f>
      </c>
    </row>
    <row r="23" ht="17.1" customHeight="1" spans="1:49" x14ac:dyDescent="0.25">
      <c r="A23" s="99" t="s">
        <v>553</v>
      </c>
      <c r="B23" s="100"/>
      <c r="C23" s="100"/>
      <c r="D23" s="100"/>
      <c r="E23" s="100"/>
      <c r="F23" s="99" t="s">
        <v>554</v>
      </c>
      <c r="G23" s="100"/>
      <c r="H23" s="99" t="s">
        <v>193</v>
      </c>
      <c r="I23" s="100"/>
      <c r="J23" s="101" t="s">
        <v>597</v>
      </c>
      <c r="K23" s="102" t="s">
        <v>554</v>
      </c>
      <c r="L23" s="103" t="s">
        <v>560</v>
      </c>
      <c r="M23" s="103" t="s">
        <v>40</v>
      </c>
      <c r="N23" s="137"/>
      <c r="O23" s="137"/>
      <c r="P23" s="137"/>
      <c r="Q23" s="138"/>
      <c r="R23" s="102" t="s">
        <v>193</v>
      </c>
      <c r="S23" s="103" t="s">
        <v>560</v>
      </c>
      <c r="T23" s="103" t="s">
        <v>40</v>
      </c>
      <c r="U23" s="137"/>
      <c r="V23" s="137"/>
      <c r="W23" s="137"/>
      <c r="Y23" s="134">
        <v>2</v>
      </c>
      <c r="Z23" s="135">
        <v>160</v>
      </c>
      <c r="AA23" s="135">
        <f>AA22+Z23</f>
      </c>
      <c r="AB23" s="134">
        <v>9</v>
      </c>
      <c r="AC23" s="134">
        <v>275</v>
      </c>
      <c r="AD23" s="135">
        <f>AD22+AC23</f>
      </c>
      <c r="AE23" s="134">
        <v>2</v>
      </c>
      <c r="AF23" s="135">
        <v>320</v>
      </c>
      <c r="AG23" s="135">
        <f>AG22+AF23</f>
      </c>
      <c r="AH23" s="134">
        <v>9</v>
      </c>
      <c r="AI23" s="134">
        <v>550</v>
      </c>
      <c r="AJ23" s="135">
        <f>AJ22+AI23</f>
      </c>
      <c r="AL23" s="134">
        <v>2</v>
      </c>
      <c r="AM23" s="135">
        <v>480</v>
      </c>
      <c r="AN23" s="135">
        <f>AN22+AM23</f>
      </c>
      <c r="AO23" s="134">
        <v>9</v>
      </c>
      <c r="AP23" s="134">
        <v>825</v>
      </c>
      <c r="AQ23" s="135">
        <f>AQ22+AP23</f>
      </c>
      <c r="AR23" s="134">
        <v>2</v>
      </c>
      <c r="AS23" s="135">
        <v>960</v>
      </c>
      <c r="AT23" s="135">
        <f>AT22+AS23</f>
      </c>
      <c r="AU23" s="134">
        <v>9</v>
      </c>
      <c r="AV23" s="134">
        <v>1650</v>
      </c>
      <c r="AW23" s="135">
        <f>AW22+AV23</f>
      </c>
    </row>
    <row r="24" ht="17.1" customHeight="1" spans="1:49" x14ac:dyDescent="0.25">
      <c r="A24" s="97" t="s">
        <v>560</v>
      </c>
      <c r="B24" s="97" t="s">
        <v>561</v>
      </c>
      <c r="C24" s="97" t="s">
        <v>562</v>
      </c>
      <c r="D24" s="97" t="s">
        <v>563</v>
      </c>
      <c r="E24" s="97" t="s">
        <v>564</v>
      </c>
      <c r="F24" s="97" t="s">
        <v>558</v>
      </c>
      <c r="G24" s="97" t="s">
        <v>559</v>
      </c>
      <c r="H24" s="97" t="s">
        <v>558</v>
      </c>
      <c r="I24" s="97" t="s">
        <v>559</v>
      </c>
      <c r="K24" s="97" t="s">
        <v>565</v>
      </c>
      <c r="L24" s="97" t="s">
        <v>566</v>
      </c>
      <c r="M24" s="97" t="s">
        <v>558</v>
      </c>
      <c r="N24" s="97" t="s">
        <v>565</v>
      </c>
      <c r="O24" s="97" t="s">
        <v>567</v>
      </c>
      <c r="P24" s="97" t="s">
        <v>559</v>
      </c>
      <c r="Q24" s="97"/>
      <c r="R24" s="97" t="s">
        <v>565</v>
      </c>
      <c r="S24" s="97" t="s">
        <v>566</v>
      </c>
      <c r="T24" s="97" t="s">
        <v>558</v>
      </c>
      <c r="U24" s="97" t="s">
        <v>565</v>
      </c>
      <c r="V24" s="97" t="s">
        <v>567</v>
      </c>
      <c r="W24" s="97" t="s">
        <v>559</v>
      </c>
      <c r="Y24" s="134">
        <v>3</v>
      </c>
      <c r="Z24" s="135">
        <v>160</v>
      </c>
      <c r="AA24" s="135">
        <f>AA23+Z24</f>
      </c>
      <c r="AB24" s="134">
        <v>10</v>
      </c>
      <c r="AC24" s="134">
        <v>275</v>
      </c>
      <c r="AD24" s="135">
        <f>AD23+AC24</f>
      </c>
      <c r="AE24" s="134">
        <v>3</v>
      </c>
      <c r="AF24" s="135">
        <v>320</v>
      </c>
      <c r="AG24" s="135">
        <f>AG23+AF24</f>
      </c>
      <c r="AH24" s="134">
        <v>10</v>
      </c>
      <c r="AI24" s="134">
        <v>550</v>
      </c>
      <c r="AJ24" s="135">
        <f>AJ23+AI24</f>
      </c>
      <c r="AL24" s="134">
        <v>3</v>
      </c>
      <c r="AM24" s="135">
        <v>480</v>
      </c>
      <c r="AN24" s="135">
        <f>AN23+AM24</f>
      </c>
      <c r="AO24" s="134">
        <v>10</v>
      </c>
      <c r="AP24" s="134">
        <v>825</v>
      </c>
      <c r="AQ24" s="135">
        <f>AQ23+AP24</f>
      </c>
      <c r="AR24" s="134">
        <v>3</v>
      </c>
      <c r="AS24" s="135">
        <v>960</v>
      </c>
      <c r="AT24" s="135">
        <f>AT23+AS24</f>
      </c>
      <c r="AU24" s="134">
        <v>10</v>
      </c>
      <c r="AV24" s="134">
        <v>1650</v>
      </c>
      <c r="AW24" s="135">
        <f>AW23+AV24</f>
      </c>
    </row>
    <row r="25" ht="17.1" customHeight="1" spans="1:49" x14ac:dyDescent="0.25">
      <c r="A25" s="119" t="s">
        <v>598</v>
      </c>
      <c r="B25" s="120"/>
      <c r="C25" s="119" t="s">
        <v>40</v>
      </c>
      <c r="D25" s="136">
        <v>5</v>
      </c>
      <c r="E25" s="121" t="s">
        <v>599</v>
      </c>
      <c r="F25" s="126">
        <v>50</v>
      </c>
      <c r="G25" s="126">
        <v>100</v>
      </c>
      <c r="H25" s="123">
        <v>150</v>
      </c>
      <c r="I25" s="123">
        <v>300</v>
      </c>
      <c r="J25" s="114"/>
      <c r="K25" s="119"/>
      <c r="L25" s="119"/>
      <c r="M25" s="125">
        <v>50</v>
      </c>
      <c r="N25" s="119"/>
      <c r="O25" s="119"/>
      <c r="P25" s="126">
        <v>100</v>
      </c>
      <c r="Q25" s="97"/>
      <c r="R25" s="119"/>
      <c r="S25" s="119"/>
      <c r="T25" s="123">
        <v>150</v>
      </c>
      <c r="U25" s="119"/>
      <c r="V25" s="119"/>
      <c r="W25" s="123">
        <v>300</v>
      </c>
      <c r="Y25" s="134">
        <v>4</v>
      </c>
      <c r="Z25" s="135">
        <v>160</v>
      </c>
      <c r="AA25" s="135">
        <f>AA24+Z25</f>
      </c>
      <c r="AB25" s="134">
        <v>11</v>
      </c>
      <c r="AC25" s="134">
        <v>275</v>
      </c>
      <c r="AD25" s="135">
        <f>AD24+AC25</f>
      </c>
      <c r="AE25" s="134">
        <v>4</v>
      </c>
      <c r="AF25" s="135">
        <v>320</v>
      </c>
      <c r="AG25" s="135">
        <f>AG24+AF25</f>
      </c>
      <c r="AH25" s="134">
        <v>11</v>
      </c>
      <c r="AI25" s="134">
        <v>550</v>
      </c>
      <c r="AJ25" s="135">
        <f>AJ24+AI25</f>
      </c>
      <c r="AL25" s="134">
        <v>4</v>
      </c>
      <c r="AM25" s="135">
        <v>480</v>
      </c>
      <c r="AN25" s="135">
        <f>AN24+AM25</f>
      </c>
      <c r="AO25" s="134">
        <v>11</v>
      </c>
      <c r="AP25" s="134">
        <v>825</v>
      </c>
      <c r="AQ25" s="135">
        <f>AQ24+AP25</f>
      </c>
      <c r="AR25" s="134">
        <v>4</v>
      </c>
      <c r="AS25" s="135">
        <v>960</v>
      </c>
      <c r="AT25" s="135">
        <f>AT24+AS25</f>
      </c>
      <c r="AU25" s="134">
        <v>11</v>
      </c>
      <c r="AV25" s="134">
        <v>1650</v>
      </c>
      <c r="AW25" s="135">
        <f>AW24+AV25</f>
      </c>
    </row>
    <row r="26" ht="17.1" customHeight="1" spans="25:49" x14ac:dyDescent="0.25">
      <c r="Y26" s="134">
        <v>5</v>
      </c>
      <c r="Z26" s="135">
        <v>160</v>
      </c>
      <c r="AA26" s="135">
        <f>AA25+Z26</f>
      </c>
      <c r="AB26" s="134">
        <v>12</v>
      </c>
      <c r="AC26" s="134">
        <v>275</v>
      </c>
      <c r="AD26" s="135">
        <f>AD25+AC26</f>
      </c>
      <c r="AE26" s="134">
        <v>5</v>
      </c>
      <c r="AF26" s="135">
        <v>320</v>
      </c>
      <c r="AG26" s="135">
        <f>AG25+AF26</f>
      </c>
      <c r="AH26" s="134">
        <v>12</v>
      </c>
      <c r="AI26" s="134">
        <v>550</v>
      </c>
      <c r="AJ26" s="135">
        <f>AJ25+AI26</f>
      </c>
      <c r="AL26" s="134">
        <v>5</v>
      </c>
      <c r="AM26" s="135">
        <v>480</v>
      </c>
      <c r="AN26" s="135">
        <f>AN25+AM26</f>
      </c>
      <c r="AO26" s="134">
        <v>12</v>
      </c>
      <c r="AP26" s="134">
        <v>825</v>
      </c>
      <c r="AQ26" s="135">
        <f>AQ25+AP26</f>
      </c>
      <c r="AR26" s="134">
        <v>5</v>
      </c>
      <c r="AS26" s="135">
        <v>960</v>
      </c>
      <c r="AT26" s="135">
        <f>AT25+AS26</f>
      </c>
      <c r="AU26" s="134">
        <v>12</v>
      </c>
      <c r="AV26" s="134">
        <v>1650</v>
      </c>
      <c r="AW26" s="135">
        <f>AW25+AV26</f>
      </c>
    </row>
    <row r="27" ht="17.1" customHeight="1" spans="25:49" x14ac:dyDescent="0.25">
      <c r="Y27" s="134">
        <v>6</v>
      </c>
      <c r="Z27" s="135">
        <v>160</v>
      </c>
      <c r="AA27" s="135">
        <f>AA26+Z27</f>
      </c>
      <c r="AB27" s="134">
        <v>13</v>
      </c>
      <c r="AC27" s="134">
        <v>275</v>
      </c>
      <c r="AD27" s="135">
        <f>AD26+AC27</f>
      </c>
      <c r="AE27" s="134">
        <v>6</v>
      </c>
      <c r="AF27" s="135">
        <v>320</v>
      </c>
      <c r="AG27" s="135">
        <f>AG26+AF27</f>
      </c>
      <c r="AH27" s="134">
        <v>13</v>
      </c>
      <c r="AI27" s="134">
        <v>550</v>
      </c>
      <c r="AJ27" s="135">
        <f>AJ26+AI27</f>
      </c>
      <c r="AL27" s="134">
        <v>6</v>
      </c>
      <c r="AM27" s="135">
        <v>480</v>
      </c>
      <c r="AN27" s="135">
        <f>AN26+AM27</f>
      </c>
      <c r="AO27" s="134">
        <v>13</v>
      </c>
      <c r="AP27" s="134">
        <v>825</v>
      </c>
      <c r="AQ27" s="135">
        <f>AQ26+AP27</f>
      </c>
      <c r="AR27" s="134">
        <v>6</v>
      </c>
      <c r="AS27" s="135">
        <v>960</v>
      </c>
      <c r="AT27" s="135">
        <f>AT26+AS27</f>
      </c>
      <c r="AU27" s="134">
        <v>13</v>
      </c>
      <c r="AV27" s="134">
        <v>1650</v>
      </c>
      <c r="AW27" s="135">
        <f>AW26+AV27</f>
      </c>
    </row>
    <row r="28" ht="17.1" customHeight="1" spans="25:49" x14ac:dyDescent="0.25">
      <c r="Y28" s="134">
        <v>7</v>
      </c>
      <c r="Z28" s="135">
        <v>160</v>
      </c>
      <c r="AA28" s="128">
        <f>AA27+Z28</f>
      </c>
      <c r="AB28" s="134">
        <v>14</v>
      </c>
      <c r="AC28" s="134">
        <v>390</v>
      </c>
      <c r="AD28" s="128">
        <f>AD27+AC28</f>
      </c>
      <c r="AE28" s="133">
        <v>7</v>
      </c>
      <c r="AF28" s="135">
        <v>320</v>
      </c>
      <c r="AG28" s="128">
        <f>AG27+AF28</f>
      </c>
      <c r="AH28" s="134">
        <v>14</v>
      </c>
      <c r="AI28" s="134">
        <v>780</v>
      </c>
      <c r="AJ28" s="128">
        <f>AJ27+AI28</f>
      </c>
      <c r="AL28" s="134">
        <v>7</v>
      </c>
      <c r="AM28" s="135">
        <v>480</v>
      </c>
      <c r="AN28" s="129">
        <f>AN27+AM28</f>
      </c>
      <c r="AO28" s="134">
        <v>14</v>
      </c>
      <c r="AP28" s="134">
        <v>1170</v>
      </c>
      <c r="AQ28" s="129">
        <f>AQ27+AP28</f>
      </c>
      <c r="AR28" s="134">
        <v>7</v>
      </c>
      <c r="AS28" s="135">
        <v>960</v>
      </c>
      <c r="AT28" s="129">
        <f>AT27+AS28</f>
      </c>
      <c r="AU28" s="134">
        <v>14</v>
      </c>
      <c r="AV28" s="134">
        <v>2340</v>
      </c>
      <c r="AW28" s="129">
        <f>AW27+AV28</f>
      </c>
    </row>
    <row r="29" ht="17.1" customHeight="1" spans="25:49" x14ac:dyDescent="0.25">
      <c r="Y29" s="134"/>
      <c r="Z29" s="135"/>
      <c r="AA29" s="110"/>
      <c r="AB29" s="134"/>
      <c r="AC29" s="134"/>
      <c r="AD29" s="110"/>
      <c r="AE29" s="133"/>
      <c r="AF29" s="135"/>
      <c r="AG29" s="110"/>
      <c r="AH29" s="134"/>
      <c r="AI29" s="134"/>
      <c r="AJ29" s="110"/>
      <c r="AL29" s="134"/>
      <c r="AM29" s="135"/>
      <c r="AN29" s="110"/>
      <c r="AO29" s="134"/>
      <c r="AP29" s="134"/>
      <c r="AQ29" s="110"/>
      <c r="AR29" s="134"/>
      <c r="AS29" s="135"/>
      <c r="AT29" s="110"/>
      <c r="AU29" s="134"/>
      <c r="AV29" s="134"/>
      <c r="AW29" s="110"/>
    </row>
    <row r="30" ht="17.1" customHeight="1" spans="1:49" x14ac:dyDescent="0.25">
      <c r="A30" s="107" t="s">
        <v>600</v>
      </c>
      <c r="B30" s="138" t="s">
        <v>601</v>
      </c>
      <c r="J30" s="101" t="s">
        <v>602</v>
      </c>
      <c r="K30" s="102" t="s">
        <v>554</v>
      </c>
      <c r="L30" s="103"/>
      <c r="M30" s="103"/>
      <c r="N30" s="103"/>
      <c r="O30" s="137"/>
      <c r="P30" s="137"/>
      <c r="Q30" s="138"/>
      <c r="R30" s="102" t="s">
        <v>193</v>
      </c>
      <c r="S30" s="103"/>
      <c r="T30" s="103"/>
      <c r="U30" s="103"/>
      <c r="V30" s="137"/>
      <c r="W30" s="137"/>
      <c r="Y30" s="107" t="s">
        <v>554</v>
      </c>
      <c r="Z30" s="107" t="s">
        <v>558</v>
      </c>
      <c r="AA30" s="107"/>
      <c r="AB30" s="107"/>
      <c r="AC30" s="107"/>
      <c r="AD30" s="107"/>
      <c r="AE30" s="107" t="s">
        <v>554</v>
      </c>
      <c r="AF30" s="107" t="s">
        <v>559</v>
      </c>
      <c r="AG30" s="107"/>
      <c r="AH30" s="107"/>
      <c r="AI30" s="107"/>
      <c r="AJ30" s="107"/>
      <c r="AL30" s="108" t="s">
        <v>193</v>
      </c>
      <c r="AM30" s="108" t="s">
        <v>558</v>
      </c>
      <c r="AN30" s="109"/>
      <c r="AO30" s="109"/>
      <c r="AP30" s="109"/>
      <c r="AQ30" s="109"/>
      <c r="AR30" s="108" t="s">
        <v>193</v>
      </c>
      <c r="AS30" s="108" t="s">
        <v>559</v>
      </c>
      <c r="AT30" s="110"/>
      <c r="AU30" s="111"/>
      <c r="AV30" s="110"/>
      <c r="AW30" s="110"/>
    </row>
    <row r="31" ht="17.1" customHeight="1" spans="2:49" x14ac:dyDescent="0.25">
      <c r="B31" s="138" t="s">
        <v>603</v>
      </c>
      <c r="K31" s="97" t="s">
        <v>565</v>
      </c>
      <c r="L31" s="97" t="s">
        <v>566</v>
      </c>
      <c r="M31" s="97" t="s">
        <v>558</v>
      </c>
      <c r="N31" s="97" t="s">
        <v>565</v>
      </c>
      <c r="O31" s="97" t="s">
        <v>567</v>
      </c>
      <c r="P31" s="97" t="s">
        <v>559</v>
      </c>
      <c r="Q31" s="97"/>
      <c r="R31" s="97" t="s">
        <v>565</v>
      </c>
      <c r="S31" s="97" t="s">
        <v>566</v>
      </c>
      <c r="T31" s="97" t="s">
        <v>558</v>
      </c>
      <c r="U31" s="97" t="s">
        <v>565</v>
      </c>
      <c r="V31" s="97" t="s">
        <v>567</v>
      </c>
      <c r="W31" s="97" t="s">
        <v>559</v>
      </c>
      <c r="Y31" s="112">
        <v>0</v>
      </c>
      <c r="Z31" s="111">
        <v>0</v>
      </c>
      <c r="AA31" s="111">
        <f>Z31</f>
      </c>
      <c r="AB31" s="111">
        <v>5</v>
      </c>
      <c r="AC31" s="110">
        <v>600</v>
      </c>
      <c r="AD31" s="110">
        <f>AA35+AC31</f>
      </c>
      <c r="AE31" s="112">
        <v>0</v>
      </c>
      <c r="AF31" s="111">
        <v>0</v>
      </c>
      <c r="AG31" s="111">
        <f>AF31</f>
      </c>
      <c r="AH31" s="111">
        <v>5</v>
      </c>
      <c r="AI31" s="110">
        <v>1200</v>
      </c>
      <c r="AJ31" s="110">
        <f>AG35+AI31</f>
      </c>
      <c r="AL31" s="112">
        <v>0</v>
      </c>
      <c r="AM31" s="111">
        <v>0</v>
      </c>
      <c r="AN31" s="111">
        <f>AM31</f>
      </c>
      <c r="AO31" s="111">
        <v>5</v>
      </c>
      <c r="AP31" s="110">
        <v>1800</v>
      </c>
      <c r="AQ31" s="110">
        <f>AN35+AP31</f>
      </c>
      <c r="AR31" s="112">
        <v>0</v>
      </c>
      <c r="AS31" s="111">
        <v>0</v>
      </c>
      <c r="AT31" s="111">
        <f>AS31</f>
      </c>
      <c r="AU31" s="111">
        <v>5</v>
      </c>
      <c r="AV31" s="110">
        <v>3600</v>
      </c>
      <c r="AW31" s="110">
        <f>AT35+AV31</f>
      </c>
    </row>
    <row r="32" ht="17.1" customHeight="1" spans="1:49" s="48" customFormat="1" x14ac:dyDescent="0.25">
      <c r="A32" s="98"/>
      <c r="C32" s="46"/>
      <c r="D32" s="46"/>
      <c r="E32" s="46"/>
      <c r="F32" s="46"/>
      <c r="G32" s="46"/>
      <c r="H32" s="46"/>
      <c r="I32" s="46"/>
      <c r="J32" s="46"/>
      <c r="K32" s="97">
        <v>0</v>
      </c>
      <c r="L32" s="97">
        <v>0</v>
      </c>
      <c r="M32" s="139">
        <v>375</v>
      </c>
      <c r="N32" s="97">
        <v>0</v>
      </c>
      <c r="O32" s="97">
        <v>0</v>
      </c>
      <c r="P32" s="140">
        <v>750</v>
      </c>
      <c r="Q32" s="97"/>
      <c r="R32" s="97">
        <v>0</v>
      </c>
      <c r="S32" s="97">
        <v>0</v>
      </c>
      <c r="T32" s="114">
        <v>900</v>
      </c>
      <c r="U32" s="97">
        <v>0</v>
      </c>
      <c r="V32" s="97">
        <v>0</v>
      </c>
      <c r="W32" s="114">
        <v>1800</v>
      </c>
      <c r="X32" s="46"/>
      <c r="Y32" s="112">
        <v>1</v>
      </c>
      <c r="Z32" s="110">
        <v>300</v>
      </c>
      <c r="AA32" s="110">
        <f>Z31+Z32</f>
      </c>
      <c r="AB32" s="111">
        <v>6</v>
      </c>
      <c r="AC32" s="110">
        <v>600</v>
      </c>
      <c r="AD32" s="110">
        <f>AD31+AC32</f>
      </c>
      <c r="AE32" s="112">
        <v>1</v>
      </c>
      <c r="AF32" s="110">
        <v>600</v>
      </c>
      <c r="AG32" s="110">
        <f>AF31+AF32</f>
      </c>
      <c r="AH32" s="111">
        <v>6</v>
      </c>
      <c r="AI32" s="110">
        <v>1200</v>
      </c>
      <c r="AJ32" s="110">
        <f>AJ31+AI32</f>
      </c>
      <c r="AK32" s="97"/>
      <c r="AL32" s="112">
        <v>1</v>
      </c>
      <c r="AM32" s="110">
        <v>900</v>
      </c>
      <c r="AN32" s="110">
        <f>AM31+AM32</f>
      </c>
      <c r="AO32" s="111">
        <v>6</v>
      </c>
      <c r="AP32" s="110">
        <v>1800</v>
      </c>
      <c r="AQ32" s="110">
        <f>AQ31+AP32</f>
      </c>
      <c r="AR32" s="112">
        <v>1</v>
      </c>
      <c r="AS32" s="110">
        <v>1800</v>
      </c>
      <c r="AT32" s="110">
        <f>AS31+AS32</f>
      </c>
      <c r="AU32" s="111">
        <v>6</v>
      </c>
      <c r="AV32" s="110">
        <v>3600</v>
      </c>
      <c r="AW32" s="110">
        <f>AW31+AV32</f>
      </c>
    </row>
    <row r="33" ht="17.1" customHeight="1" spans="1:49" s="48" customFormat="1" x14ac:dyDescent="0.25">
      <c r="A33" s="98"/>
      <c r="C33" s="46"/>
      <c r="D33" s="46"/>
      <c r="E33" s="46"/>
      <c r="F33" s="46"/>
      <c r="G33" s="46"/>
      <c r="H33" s="46"/>
      <c r="I33" s="46"/>
      <c r="J33" s="46"/>
      <c r="K33" s="97">
        <v>5</v>
      </c>
      <c r="L33" s="117">
        <v>1200</v>
      </c>
      <c r="M33" s="139">
        <v>750</v>
      </c>
      <c r="N33" s="97">
        <v>7</v>
      </c>
      <c r="O33" s="117">
        <v>2400</v>
      </c>
      <c r="P33" s="140">
        <v>1500</v>
      </c>
      <c r="Q33" s="97"/>
      <c r="R33" s="97">
        <v>5</v>
      </c>
      <c r="S33" s="118">
        <v>3360</v>
      </c>
      <c r="T33" s="114">
        <v>1800</v>
      </c>
      <c r="U33" s="97">
        <v>9</v>
      </c>
      <c r="V33" s="118">
        <v>6720</v>
      </c>
      <c r="W33" s="114">
        <v>3600</v>
      </c>
      <c r="X33" s="46"/>
      <c r="Y33" s="112">
        <v>2</v>
      </c>
      <c r="Z33" s="110">
        <v>300</v>
      </c>
      <c r="AA33" s="110">
        <f>AA32+Z33</f>
      </c>
      <c r="AB33" s="111">
        <v>7</v>
      </c>
      <c r="AC33" s="110">
        <v>600</v>
      </c>
      <c r="AD33" s="110">
        <f>AD32+AC33</f>
      </c>
      <c r="AE33" s="112">
        <v>2</v>
      </c>
      <c r="AF33" s="110">
        <v>600</v>
      </c>
      <c r="AG33" s="110">
        <f>AG32+AF33</f>
      </c>
      <c r="AH33" s="111">
        <v>7</v>
      </c>
      <c r="AI33" s="110">
        <v>1200</v>
      </c>
      <c r="AJ33" s="110">
        <f>AJ32+AI33</f>
      </c>
      <c r="AK33" s="97"/>
      <c r="AL33" s="112">
        <v>2</v>
      </c>
      <c r="AM33" s="110">
        <v>900</v>
      </c>
      <c r="AN33" s="110">
        <f>AN32+AM33</f>
      </c>
      <c r="AO33" s="111">
        <v>7</v>
      </c>
      <c r="AP33" s="110">
        <v>1800</v>
      </c>
      <c r="AQ33" s="110">
        <f>AQ32+AP33</f>
      </c>
      <c r="AR33" s="112">
        <v>2</v>
      </c>
      <c r="AS33" s="110">
        <v>1800</v>
      </c>
      <c r="AT33" s="110">
        <f>AT32+AS33</f>
      </c>
      <c r="AU33" s="111">
        <v>7</v>
      </c>
      <c r="AV33" s="110">
        <v>3600</v>
      </c>
      <c r="AW33" s="110">
        <f>AW32+AV33</f>
      </c>
    </row>
    <row r="34" ht="17.1" customHeight="1" spans="1:49" s="48" customFormat="1" x14ac:dyDescent="0.25">
      <c r="A34" s="98"/>
      <c r="C34" s="46"/>
      <c r="D34" s="46"/>
      <c r="E34" s="46"/>
      <c r="F34" s="46"/>
      <c r="G34" s="46"/>
      <c r="H34" s="46"/>
      <c r="I34" s="46"/>
      <c r="J34" s="46"/>
      <c r="K34" s="119">
        <v>9</v>
      </c>
      <c r="L34" s="124">
        <v>4800</v>
      </c>
      <c r="M34" s="141">
        <v>1500</v>
      </c>
      <c r="N34" s="119">
        <v>14</v>
      </c>
      <c r="O34" s="124">
        <v>9600</v>
      </c>
      <c r="P34" s="142">
        <v>3000</v>
      </c>
      <c r="Q34" s="97"/>
      <c r="R34" s="119">
        <v>9</v>
      </c>
      <c r="S34" s="127">
        <v>9135</v>
      </c>
      <c r="T34" s="123">
        <v>3600</v>
      </c>
      <c r="U34" s="119">
        <v>9</v>
      </c>
      <c r="V34" s="127">
        <v>18270</v>
      </c>
      <c r="W34" s="123">
        <v>7200</v>
      </c>
      <c r="X34" s="46"/>
      <c r="Y34" s="112">
        <v>3</v>
      </c>
      <c r="Z34" s="110">
        <v>300</v>
      </c>
      <c r="AA34" s="110">
        <f>AA33+Z34</f>
      </c>
      <c r="AB34" s="111">
        <v>8</v>
      </c>
      <c r="AC34" s="110">
        <v>600</v>
      </c>
      <c r="AD34" s="110">
        <f>AD33+AC34</f>
      </c>
      <c r="AE34" s="112">
        <v>3</v>
      </c>
      <c r="AF34" s="110">
        <v>600</v>
      </c>
      <c r="AG34" s="110">
        <f>AG33+AF34</f>
      </c>
      <c r="AH34" s="111">
        <v>8</v>
      </c>
      <c r="AI34" s="110">
        <v>1200</v>
      </c>
      <c r="AJ34" s="110">
        <f>AJ33+AI34</f>
      </c>
      <c r="AK34" s="97"/>
      <c r="AL34" s="112">
        <v>3</v>
      </c>
      <c r="AM34" s="110">
        <v>900</v>
      </c>
      <c r="AN34" s="110">
        <f>AN33+AM34</f>
      </c>
      <c r="AO34" s="111">
        <v>8</v>
      </c>
      <c r="AP34" s="110">
        <v>1800</v>
      </c>
      <c r="AQ34" s="110">
        <f>AQ33+AP34</f>
      </c>
      <c r="AR34" s="112">
        <v>3</v>
      </c>
      <c r="AS34" s="110">
        <v>1800</v>
      </c>
      <c r="AT34" s="110">
        <f>AT33+AS34</f>
      </c>
      <c r="AU34" s="111">
        <v>8</v>
      </c>
      <c r="AV34" s="110">
        <v>3600</v>
      </c>
      <c r="AW34" s="110">
        <f>AW33+AV34</f>
      </c>
    </row>
    <row r="35" ht="17.1" customHeight="1" spans="1:49" s="48" customFormat="1" x14ac:dyDescent="0.25">
      <c r="A35" s="98"/>
      <c r="C35" s="46"/>
      <c r="D35" s="46"/>
      <c r="E35" s="46"/>
      <c r="F35" s="46"/>
      <c r="G35" s="46"/>
      <c r="H35" s="46"/>
      <c r="I35" s="46"/>
      <c r="J35" s="46"/>
      <c r="X35" s="46"/>
      <c r="Y35" s="112">
        <v>4</v>
      </c>
      <c r="Z35" s="111">
        <v>300</v>
      </c>
      <c r="AA35" s="128">
        <f>AA34+Z35</f>
      </c>
      <c r="AB35" s="111">
        <v>9</v>
      </c>
      <c r="AC35" s="110">
        <v>1200</v>
      </c>
      <c r="AD35" s="128">
        <f>AD34+AC35</f>
      </c>
      <c r="AE35" s="112">
        <v>4</v>
      </c>
      <c r="AF35" s="111">
        <v>600</v>
      </c>
      <c r="AG35" s="128">
        <f>AG34+AF35</f>
      </c>
      <c r="AH35" s="111">
        <v>9</v>
      </c>
      <c r="AI35" s="110">
        <v>2400</v>
      </c>
      <c r="AJ35" s="128">
        <f>AJ34+AI35</f>
      </c>
      <c r="AK35" s="97"/>
      <c r="AL35" s="112">
        <v>4</v>
      </c>
      <c r="AM35" s="111">
        <v>900</v>
      </c>
      <c r="AN35" s="128">
        <f>AN34+AM35</f>
      </c>
      <c r="AO35" s="111">
        <v>9</v>
      </c>
      <c r="AP35" s="110">
        <v>3600</v>
      </c>
      <c r="AQ35" s="128">
        <f>AQ34+AP35</f>
      </c>
      <c r="AR35" s="112">
        <v>4</v>
      </c>
      <c r="AS35" s="111">
        <v>1800</v>
      </c>
      <c r="AT35" s="128">
        <f>AT34+AS35</f>
      </c>
      <c r="AU35" s="111">
        <v>9</v>
      </c>
      <c r="AV35" s="110">
        <v>7200</v>
      </c>
      <c r="AW35" s="128">
        <f>AW34+AV35</f>
      </c>
    </row>
    <row r="36" ht="17.1" customHeight="1" hidden="1" spans="1:49" s="48" customFormat="1" x14ac:dyDescent="0.25">
      <c r="A36" s="48" t="s">
        <v>557</v>
      </c>
      <c r="B36" s="48" t="s">
        <v>554</v>
      </c>
      <c r="C36" s="48" t="s">
        <v>604</v>
      </c>
      <c r="D36" s="46"/>
      <c r="E36" s="46"/>
      <c r="F36" s="46"/>
      <c r="G36" s="46"/>
      <c r="H36" s="46"/>
      <c r="I36" s="46"/>
      <c r="J36" s="46"/>
      <c r="X36" s="46"/>
      <c r="Y36" s="112"/>
      <c r="Z36" s="111"/>
      <c r="AA36" s="111"/>
      <c r="AB36" s="111"/>
      <c r="AC36" s="110"/>
      <c r="AD36" s="110"/>
      <c r="AE36" s="112"/>
      <c r="AF36" s="111"/>
      <c r="AG36" s="111"/>
      <c r="AH36" s="111"/>
      <c r="AI36" s="110"/>
      <c r="AJ36" s="110"/>
      <c r="AK36" s="97"/>
      <c r="AL36" s="112"/>
      <c r="AM36" s="111"/>
      <c r="AN36" s="111"/>
      <c r="AO36" s="111"/>
      <c r="AP36" s="110"/>
      <c r="AQ36" s="110"/>
      <c r="AR36" s="112"/>
      <c r="AS36" s="111"/>
      <c r="AT36" s="111"/>
      <c r="AU36" s="111"/>
      <c r="AV36" s="110"/>
      <c r="AW36" s="110"/>
    </row>
    <row r="37" ht="17.1" customHeight="1" hidden="1" spans="2:49" s="48" customFormat="1" x14ac:dyDescent="0.25">
      <c r="B37" s="48" t="s">
        <v>193</v>
      </c>
      <c r="C37" s="48" t="s">
        <v>605</v>
      </c>
      <c r="D37" s="46"/>
      <c r="E37" s="46"/>
      <c r="F37" s="46"/>
      <c r="G37" s="46"/>
      <c r="H37" s="46"/>
      <c r="I37" s="46"/>
      <c r="J37" s="46"/>
      <c r="X37" s="46"/>
      <c r="Y37" s="112"/>
      <c r="Z37" s="111"/>
      <c r="AA37" s="111"/>
      <c r="AB37" s="111"/>
      <c r="AC37" s="110"/>
      <c r="AD37" s="110"/>
      <c r="AE37" s="112"/>
      <c r="AF37" s="111"/>
      <c r="AG37" s="111"/>
      <c r="AH37" s="111"/>
      <c r="AI37" s="110"/>
      <c r="AJ37" s="110"/>
      <c r="AK37" s="97"/>
      <c r="AL37" s="112"/>
      <c r="AM37" s="111"/>
      <c r="AN37" s="111"/>
      <c r="AO37" s="111"/>
      <c r="AP37" s="110"/>
      <c r="AQ37" s="110"/>
      <c r="AR37" s="112"/>
      <c r="AS37" s="111"/>
      <c r="AT37" s="111"/>
      <c r="AU37" s="111"/>
      <c r="AV37" s="110"/>
      <c r="AW37" s="110"/>
    </row>
    <row r="38" ht="17.1" customHeight="1" hidden="1" spans="1:24" s="48" customFormat="1" x14ac:dyDescent="0.25">
      <c r="A38" s="48" t="s">
        <v>606</v>
      </c>
      <c r="B38" s="48" t="s">
        <v>554</v>
      </c>
      <c r="C38" s="48" t="s">
        <v>607</v>
      </c>
      <c r="D38" s="46"/>
      <c r="E38" s="46"/>
      <c r="F38" s="46"/>
      <c r="G38" s="46"/>
      <c r="H38" s="46"/>
      <c r="I38" s="46"/>
      <c r="J38" s="46"/>
      <c r="X38" s="46"/>
    </row>
    <row r="39" ht="17.1" customHeight="1" hidden="1" spans="2:43" s="48" customFormat="1" x14ac:dyDescent="0.25">
      <c r="B39" s="48" t="s">
        <v>193</v>
      </c>
      <c r="C39" s="48" t="s">
        <v>608</v>
      </c>
      <c r="D39" s="46"/>
      <c r="E39" s="46"/>
      <c r="F39" s="46"/>
      <c r="G39" s="46"/>
      <c r="H39" s="46"/>
      <c r="I39" s="46"/>
      <c r="J39" s="46"/>
      <c r="X39" s="46"/>
      <c r="Y39" s="46"/>
      <c r="Z39" s="46"/>
      <c r="AA39" s="46"/>
      <c r="AB39" s="46"/>
      <c r="AC39" s="46"/>
      <c r="AD39" s="46"/>
      <c r="AE39" s="46"/>
      <c r="AK39" s="46"/>
      <c r="AQ39" s="46"/>
    </row>
    <row r="40" ht="17.1" customHeight="1" hidden="1" spans="1:43" s="48" customFormat="1" x14ac:dyDescent="0.25">
      <c r="A40" s="48" t="s">
        <v>40</v>
      </c>
      <c r="B40" s="48" t="s">
        <v>554</v>
      </c>
      <c r="C40" s="48" t="s">
        <v>609</v>
      </c>
      <c r="D40" s="46"/>
      <c r="E40" s="46"/>
      <c r="F40" s="46"/>
      <c r="G40" s="46"/>
      <c r="H40" s="46"/>
      <c r="I40" s="46"/>
      <c r="J40" s="46"/>
      <c r="X40" s="46"/>
      <c r="Y40" s="46"/>
      <c r="Z40" s="46"/>
      <c r="AA40" s="46"/>
      <c r="AB40" s="46"/>
      <c r="AC40" s="46"/>
      <c r="AD40" s="46"/>
      <c r="AE40" s="46"/>
      <c r="AK40" s="46"/>
      <c r="AQ40" s="46"/>
    </row>
    <row r="41" ht="17.1" customHeight="1" hidden="1" spans="1:43" s="48" customFormat="1" x14ac:dyDescent="0.25">
      <c r="A41" s="46"/>
      <c r="B41" s="48" t="s">
        <v>193</v>
      </c>
      <c r="C41" s="48" t="s">
        <v>610</v>
      </c>
      <c r="D41" s="46"/>
      <c r="E41" s="46"/>
      <c r="F41" s="46"/>
      <c r="G41" s="46"/>
      <c r="H41" s="46"/>
      <c r="I41" s="46"/>
      <c r="J41" s="46"/>
      <c r="X41" s="46"/>
      <c r="Y41" s="46"/>
      <c r="Z41" s="46"/>
      <c r="AA41" s="46"/>
      <c r="AB41" s="46"/>
      <c r="AC41" s="46"/>
      <c r="AD41" s="46"/>
      <c r="AE41" s="46"/>
      <c r="AK41" s="46"/>
      <c r="AQ41" s="46"/>
    </row>
    <row r="42" ht="17.1" customHeight="1" hidden="1" spans="1:43" s="48" customFormat="1" x14ac:dyDescent="0.25">
      <c r="A42" s="48" t="s">
        <v>611</v>
      </c>
      <c r="B42" s="48" t="s">
        <v>554</v>
      </c>
      <c r="C42" s="48" t="s">
        <v>612</v>
      </c>
      <c r="D42" s="46"/>
      <c r="E42" s="46"/>
      <c r="F42" s="46"/>
      <c r="G42" s="46"/>
      <c r="H42" s="46"/>
      <c r="I42" s="46"/>
      <c r="J42" s="46"/>
      <c r="X42" s="46"/>
      <c r="Y42" s="46"/>
      <c r="Z42" s="46"/>
      <c r="AA42" s="46"/>
      <c r="AB42" s="46"/>
      <c r="AC42" s="46"/>
      <c r="AD42" s="46"/>
      <c r="AE42" s="46"/>
      <c r="AK42" s="46"/>
      <c r="AQ42" s="46"/>
    </row>
    <row r="43" ht="17.1" customHeight="1" hidden="1" spans="2:3" x14ac:dyDescent="0.25">
      <c r="B43" s="48" t="s">
        <v>193</v>
      </c>
      <c r="C43" s="48" t="s">
        <v>613</v>
      </c>
    </row>
    <row r="44" ht="17.1" customHeight="1" hidden="1" x14ac:dyDescent="0.25"/>
    <row r="45" ht="17.1" customHeight="1" hidden="1" spans="1:3" x14ac:dyDescent="0.25">
      <c r="A45" s="133" t="s">
        <v>614</v>
      </c>
      <c r="B45" s="133" t="s">
        <v>565</v>
      </c>
      <c r="C45" s="133" t="s">
        <v>615</v>
      </c>
    </row>
    <row r="46" ht="17.1" customHeight="1" hidden="1" spans="1:3" x14ac:dyDescent="0.25">
      <c r="A46" s="133" t="s">
        <v>558</v>
      </c>
      <c r="B46" s="133">
        <v>0</v>
      </c>
      <c r="C46" s="46">
        <f>IF(A46="20'",VLOOKUP(B46,$R$9:$T$12,2,TRUE)+(B46-VLOOKUP(B46,$R$9:$T$12,1,TRUE))*VLOOKUP(B46,$R$9:$T$12,3,TRUE),VLOOKUP(B46,$U$9:$W$12,2,TRUE)+(B46-VLOOKUP(B46,$U$9:$W$12,1,TRUE))*VLOOKUP(B46,$U$9:$W$12,3,TRUE))</f>
      </c>
    </row>
    <row r="47" ht="17.1" customHeight="1" hidden="1" spans="1:3" x14ac:dyDescent="0.25">
      <c r="A47" s="133" t="s">
        <v>558</v>
      </c>
      <c r="B47" s="133">
        <v>1</v>
      </c>
      <c r="C47" s="46">
        <f>IF(A47="20'",VLOOKUP(B47,$R$9:$T$12,2,TRUE)+(B47-VLOOKUP(B47,$R$9:$T$12,1,TRUE))*VLOOKUP(B47,$R$9:$T$12,3,TRUE),VLOOKUP(B47,$U$9:$W$12,2,TRUE)+(B47-VLOOKUP(B47,$U$9:$W$12,1,TRUE))*VLOOKUP(B47,$U$9:$W$12,3,TRUE))</f>
      </c>
    </row>
    <row r="48" ht="17.1" customHeight="1" hidden="1" spans="1:7" x14ac:dyDescent="0.25">
      <c r="A48" s="133" t="s">
        <v>558</v>
      </c>
      <c r="B48" s="133">
        <v>2</v>
      </c>
      <c r="C48" s="46">
        <f>IF(A48="20'",VLOOKUP(B48,$R$9:$T$12,2,TRUE)+(B48-VLOOKUP(B48,$R$9:$T$12,1,TRUE))*VLOOKUP(B48,$R$9:$T$12,3,TRUE),VLOOKUP(B48,$U$9:$W$12,2,TRUE)+(B48-VLOOKUP(B48,$U$9:$W$12,1,TRUE))*VLOOKUP(B48,$U$9:$W$12,3,TRUE))</f>
      </c>
      <c r="G48" s="98"/>
    </row>
    <row r="49" ht="17.1" customHeight="1" hidden="1" spans="1:3" x14ac:dyDescent="0.25">
      <c r="A49" s="133" t="s">
        <v>558</v>
      </c>
      <c r="B49" s="133">
        <v>3</v>
      </c>
      <c r="C49" s="46">
        <f>IF(A49="20'",VLOOKUP(B49,$R$9:$T$12,2,TRUE)+(B49-VLOOKUP(B49,$R$9:$T$12,1,TRUE))*VLOOKUP(B49,$R$9:$T$12,3,TRUE),VLOOKUP(B49,$U$9:$W$12,2,TRUE)+(B49-VLOOKUP(B49,$U$9:$W$12,1,TRUE))*VLOOKUP(B49,$U$9:$W$12,3,TRUE))</f>
      </c>
    </row>
    <row r="50" ht="17.1" customHeight="1" hidden="1" spans="1:3" x14ac:dyDescent="0.25">
      <c r="A50" s="133" t="s">
        <v>558</v>
      </c>
      <c r="B50" s="133">
        <v>4</v>
      </c>
      <c r="C50" s="46">
        <f>IF(A50="20'",VLOOKUP(B50,$R$9:$T$12,2,TRUE)+(B50-VLOOKUP(B50,$R$9:$T$12,1,TRUE))*VLOOKUP(B50,$R$9:$T$12,3,TRUE),VLOOKUP(B50,$U$9:$W$12,2,TRUE)+(B50-VLOOKUP(B50,$U$9:$W$12,1,TRUE))*VLOOKUP(B50,$U$9:$W$12,3,TRUE))</f>
      </c>
    </row>
    <row r="51" ht="17.1" customHeight="1" hidden="1" spans="1:3" x14ac:dyDescent="0.25">
      <c r="A51" s="133" t="s">
        <v>558</v>
      </c>
      <c r="B51" s="133">
        <v>5</v>
      </c>
      <c r="C51" s="46">
        <f>IF(A51="20'",VLOOKUP(B51,$R$9:$T$12,2,TRUE)+(B51-VLOOKUP(B51,$R$9:$T$12,1,TRUE))*VLOOKUP(B51,$R$9:$T$12,3,TRUE),VLOOKUP(B51,$U$9:$W$12,2,TRUE)+(B51-VLOOKUP(B51,$U$9:$W$12,1,TRUE))*VLOOKUP(B51,$U$9:$W$12,3,TRUE))</f>
      </c>
    </row>
    <row r="52" ht="17.1" customHeight="1" hidden="1" spans="1:3" x14ac:dyDescent="0.25">
      <c r="A52" s="133" t="s">
        <v>558</v>
      </c>
      <c r="B52" s="133">
        <v>6</v>
      </c>
      <c r="C52" s="46">
        <f>IF(A52="20'",VLOOKUP(B52,$R$9:$T$12,2,TRUE)+(B52-VLOOKUP(B52,$R$9:$T$12,1,TRUE))*VLOOKUP(B52,$R$9:$T$12,3,TRUE),VLOOKUP(B52,$U$9:$W$12,2,TRUE)+(B52-VLOOKUP(B52,$U$9:$W$12,1,TRUE))*VLOOKUP(B52,$U$9:$W$12,3,TRUE))</f>
      </c>
    </row>
    <row r="53" ht="17.1" customHeight="1" hidden="1" spans="1:3" x14ac:dyDescent="0.25">
      <c r="A53" s="133" t="s">
        <v>558</v>
      </c>
      <c r="B53" s="133">
        <v>7</v>
      </c>
      <c r="C53" s="46">
        <f>IF(A53="20'",VLOOKUP(B53,$R$9:$T$12,2,TRUE)+(B53-VLOOKUP(B53,$R$9:$T$12,1,TRUE))*VLOOKUP(B53,$R$9:$T$12,3,TRUE),VLOOKUP(B53,$U$9:$W$12,2,TRUE)+(B53-VLOOKUP(B53,$U$9:$W$12,1,TRUE))*VLOOKUP(B53,$U$9:$W$12,3,TRUE))</f>
      </c>
    </row>
    <row r="54" ht="17.1" customHeight="1" hidden="1" spans="1:3" x14ac:dyDescent="0.25">
      <c r="A54" s="133" t="s">
        <v>558</v>
      </c>
      <c r="B54" s="133">
        <v>8</v>
      </c>
      <c r="C54" s="46">
        <f>IF(A54="20'",VLOOKUP(B54,$R$9:$T$12,2,TRUE)+(B54-VLOOKUP(B54,$R$9:$T$12,1,TRUE))*VLOOKUP(B54,$R$9:$T$12,3,TRUE),VLOOKUP(B54,$U$9:$W$12,2,TRUE)+(B54-VLOOKUP(B54,$U$9:$W$12,1,TRUE))*VLOOKUP(B54,$U$9:$W$12,3,TRUE))</f>
      </c>
    </row>
    <row r="55" ht="17.1" customHeight="1" hidden="1" spans="1:3" x14ac:dyDescent="0.25">
      <c r="A55" s="133" t="s">
        <v>558</v>
      </c>
      <c r="B55" s="133">
        <v>9</v>
      </c>
      <c r="C55" s="46">
        <f>IF(A55="20'",VLOOKUP(B55,$R$9:$T$12,2,TRUE)+(B55-VLOOKUP(B55,$R$9:$T$12,1,TRUE))*VLOOKUP(B55,$R$9:$T$12,3,TRUE),VLOOKUP(B55,$U$9:$W$12,2,TRUE)+(B55-VLOOKUP(B55,$U$9:$W$12,1,TRUE))*VLOOKUP(B55,$U$9:$W$12,3,TRUE))</f>
      </c>
    </row>
    <row r="56" ht="17.1" customHeight="1" hidden="1" spans="1:3" x14ac:dyDescent="0.25">
      <c r="A56" s="133" t="s">
        <v>558</v>
      </c>
      <c r="B56" s="133">
        <v>10</v>
      </c>
      <c r="C56" s="46">
        <f>IF(A56="20'",VLOOKUP(B56,$R$9:$T$12,2,TRUE)+(B56-VLOOKUP(B56,$R$9:$T$12,1,TRUE))*VLOOKUP(B56,$R$9:$T$12,3,TRUE),VLOOKUP(B56,$U$9:$W$12,2,TRUE)+(B56-VLOOKUP(B56,$U$9:$W$12,1,TRUE))*VLOOKUP(B56,$U$9:$W$12,3,TRUE))</f>
      </c>
    </row>
    <row r="57" ht="17.1" customHeight="1" hidden="1" spans="1:3" x14ac:dyDescent="0.25">
      <c r="A57" s="133" t="s">
        <v>558</v>
      </c>
      <c r="B57" s="133">
        <v>11</v>
      </c>
      <c r="C57" s="46">
        <f>IF(A57="20'",VLOOKUP(B57,$R$9:$T$12,2,TRUE)+(B57-VLOOKUP(B57,$R$9:$T$12,1,TRUE))*VLOOKUP(B57,$R$9:$T$12,3,TRUE),VLOOKUP(B57,$U$9:$W$12,2,TRUE)+(B57-VLOOKUP(B57,$U$9:$W$12,1,TRUE))*VLOOKUP(B57,$U$9:$W$12,3,TRUE))</f>
      </c>
    </row>
    <row r="58" ht="17.1" customHeight="1" hidden="1" spans="1:3" x14ac:dyDescent="0.25">
      <c r="A58" s="133" t="s">
        <v>558</v>
      </c>
      <c r="B58" s="133">
        <v>12</v>
      </c>
      <c r="C58" s="46">
        <f>IF(A58="20'",VLOOKUP(B58,$R$9:$T$12,2,TRUE)+(B58-VLOOKUP(B58,$R$9:$T$12,1,TRUE))*VLOOKUP(B58,$R$9:$T$12,3,TRUE),VLOOKUP(B58,$U$9:$W$12,2,TRUE)+(B58-VLOOKUP(B58,$U$9:$W$12,1,TRUE))*VLOOKUP(B58,$U$9:$W$12,3,TRUE))</f>
      </c>
    </row>
    <row r="59" ht="17.1" customHeight="1" hidden="1" spans="1:3" x14ac:dyDescent="0.25">
      <c r="A59" s="133" t="s">
        <v>558</v>
      </c>
      <c r="B59" s="133">
        <v>13</v>
      </c>
      <c r="C59" s="46">
        <f>IF(A59="20'",VLOOKUP(B59,$R$9:$T$12,2,TRUE)+(B59-VLOOKUP(B59,$R$9:$T$12,1,TRUE))*VLOOKUP(B59,$R$9:$T$12,3,TRUE),VLOOKUP(B59,$U$9:$W$12,2,TRUE)+(B59-VLOOKUP(B59,$U$9:$W$12,1,TRUE))*VLOOKUP(B59,$U$9:$W$12,3,TRUE))</f>
      </c>
    </row>
    <row r="60" ht="17.1" customHeight="1" hidden="1" spans="1:3" x14ac:dyDescent="0.25">
      <c r="A60" s="133" t="s">
        <v>558</v>
      </c>
      <c r="B60" s="133">
        <v>14</v>
      </c>
      <c r="C60" s="46">
        <f>IF(A60="20'",VLOOKUP(B60,$R$9:$T$12,2,TRUE)+(B60-VLOOKUP(B60,$R$9:$T$12,1,TRUE))*VLOOKUP(B60,$R$9:$T$12,3,TRUE),VLOOKUP(B60,$U$9:$W$12,2,TRUE)+(B60-VLOOKUP(B60,$U$9:$W$12,1,TRUE))*VLOOKUP(B60,$U$9:$W$12,3,TRUE))</f>
      </c>
    </row>
    <row r="61" ht="17.1" customHeight="1" hidden="1" spans="1:3" x14ac:dyDescent="0.25">
      <c r="A61" s="133" t="s">
        <v>558</v>
      </c>
      <c r="B61" s="133">
        <v>15</v>
      </c>
      <c r="C61" s="46">
        <f>IF(A61="20'",VLOOKUP(B61,$R$9:$T$12,2,TRUE)+(B61-VLOOKUP(B61,$R$9:$T$12,1,TRUE))*VLOOKUP(B61,$R$9:$T$12,3,TRUE),VLOOKUP(B61,$U$9:$W$12,2,TRUE)+(B61-VLOOKUP(B61,$U$9:$W$12,1,TRUE))*VLOOKUP(B61,$U$9:$W$12,3,TRUE))</f>
      </c>
    </row>
    <row r="62" ht="17.1" customHeight="1" hidden="1" spans="1:3" x14ac:dyDescent="0.25">
      <c r="A62" s="133" t="s">
        <v>559</v>
      </c>
      <c r="B62" s="133">
        <v>0</v>
      </c>
      <c r="C62" s="46">
        <f>IF(A62="20'",VLOOKUP(B62,$R$9:$T$12,2,TRUE)+(B62-VLOOKUP(B62,$R$9:$T$12,1,TRUE))*VLOOKUP(B62,$R$9:$T$12,3,TRUE),VLOOKUP(B62,$U$9:$W$12,2,TRUE)+(B62-VLOOKUP(B62,$U$9:$W$12,1,TRUE))*VLOOKUP(B62,$U$9:$W$12,3,TRUE))</f>
      </c>
    </row>
    <row r="63" ht="17.1" customHeight="1" hidden="1" spans="1:3" x14ac:dyDescent="0.25">
      <c r="A63" s="133" t="s">
        <v>559</v>
      </c>
      <c r="B63" s="133">
        <v>1</v>
      </c>
      <c r="C63" s="46">
        <f>IF(A63="20'",VLOOKUP(B63,$R$9:$T$12,2,TRUE)+(B63-VLOOKUP(B63,$R$9:$T$12,1,TRUE))*VLOOKUP(B63,$R$9:$T$12,3,TRUE),VLOOKUP(B63,$U$9:$W$12,2,TRUE)+(B63-VLOOKUP(B63,$U$9:$W$12,1,TRUE))*VLOOKUP(B63,$U$9:$W$12,3,TRUE))</f>
      </c>
    </row>
    <row r="64" ht="17.1" customHeight="1" hidden="1" spans="1:3" x14ac:dyDescent="0.25">
      <c r="A64" s="133" t="s">
        <v>559</v>
      </c>
      <c r="B64" s="133">
        <v>2</v>
      </c>
      <c r="C64" s="46">
        <f>IF(A64="20'",VLOOKUP(B64,$R$9:$T$12,2,TRUE)+(B64-VLOOKUP(B64,$R$9:$T$12,1,TRUE))*VLOOKUP(B64,$R$9:$T$12,3,TRUE),VLOOKUP(B64,$U$9:$W$12,2,TRUE)+(B64-VLOOKUP(B64,$U$9:$W$12,1,TRUE))*VLOOKUP(B64,$U$9:$W$12,3,TRUE))</f>
      </c>
    </row>
    <row r="65" ht="17.1" customHeight="1" hidden="1" spans="1:3" x14ac:dyDescent="0.25">
      <c r="A65" s="133" t="s">
        <v>559</v>
      </c>
      <c r="B65" s="133">
        <v>3</v>
      </c>
      <c r="C65" s="46">
        <f>IF(A65="20'",VLOOKUP(B65,$R$9:$T$12,2,TRUE)+(B65-VLOOKUP(B65,$R$9:$T$12,1,TRUE))*VLOOKUP(B65,$R$9:$T$12,3,TRUE),VLOOKUP(B65,$U$9:$W$12,2,TRUE)+(B65-VLOOKUP(B65,$U$9:$W$12,1,TRUE))*VLOOKUP(B65,$U$9:$W$12,3,TRUE))</f>
      </c>
    </row>
    <row r="66" ht="17.1" customHeight="1" hidden="1" spans="1:3" x14ac:dyDescent="0.25">
      <c r="A66" s="133" t="s">
        <v>559</v>
      </c>
      <c r="B66" s="133">
        <v>4</v>
      </c>
      <c r="C66" s="46">
        <f>IF(A66="20'",VLOOKUP(B66,$R$9:$T$12,2,TRUE)+(B66-VLOOKUP(B66,$R$9:$T$12,1,TRUE))*VLOOKUP(B66,$R$9:$T$12,3,TRUE),VLOOKUP(B66,$U$9:$W$12,2,TRUE)+(B66-VLOOKUP(B66,$U$9:$W$12,1,TRUE))*VLOOKUP(B66,$U$9:$W$12,3,TRUE))</f>
      </c>
    </row>
    <row r="67" ht="17.1" customHeight="1" hidden="1" spans="1:3" x14ac:dyDescent="0.25">
      <c r="A67" s="133" t="s">
        <v>559</v>
      </c>
      <c r="B67" s="133">
        <v>5</v>
      </c>
      <c r="C67" s="46">
        <f>IF(A67="20'",VLOOKUP(B67,$R$9:$T$12,2,TRUE)+(B67-VLOOKUP(B67,$R$9:$T$12,1,TRUE))*VLOOKUP(B67,$R$9:$T$12,3,TRUE),VLOOKUP(B67,$U$9:$W$12,2,TRUE)+(B67-VLOOKUP(B67,$U$9:$W$12,1,TRUE))*VLOOKUP(B67,$U$9:$W$12,3,TRUE))</f>
      </c>
    </row>
    <row r="68" ht="17.1" customHeight="1" hidden="1" spans="1:3" x14ac:dyDescent="0.25">
      <c r="A68" s="133" t="s">
        <v>559</v>
      </c>
      <c r="B68" s="133">
        <v>6</v>
      </c>
      <c r="C68" s="46">
        <f>IF(A68="20'",VLOOKUP(B68,$R$9:$T$12,2,TRUE)+(B68-VLOOKUP(B68,$R$9:$T$12,1,TRUE))*VLOOKUP(B68,$R$9:$T$12,3,TRUE),VLOOKUP(B68,$U$9:$W$12,2,TRUE)+(B68-VLOOKUP(B68,$U$9:$W$12,1,TRUE))*VLOOKUP(B68,$U$9:$W$12,3,TRUE))</f>
      </c>
    </row>
    <row r="69" ht="17.1" customHeight="1" hidden="1" spans="1:3" x14ac:dyDescent="0.25">
      <c r="A69" s="133" t="s">
        <v>559</v>
      </c>
      <c r="B69" s="133">
        <v>7</v>
      </c>
      <c r="C69" s="46">
        <f>IF(A69="20'",VLOOKUP(B69,$R$9:$T$12,2,TRUE)+(B69-VLOOKUP(B69,$R$9:$T$12,1,TRUE))*VLOOKUP(B69,$R$9:$T$12,3,TRUE),VLOOKUP(B69,$U$9:$W$12,2,TRUE)+(B69-VLOOKUP(B69,$U$9:$W$12,1,TRUE))*VLOOKUP(B69,$U$9:$W$12,3,TRUE))</f>
      </c>
    </row>
    <row r="70" ht="17.1" customHeight="1" hidden="1" spans="1:3" x14ac:dyDescent="0.25">
      <c r="A70" s="133" t="s">
        <v>559</v>
      </c>
      <c r="B70" s="133">
        <v>8</v>
      </c>
      <c r="C70" s="46">
        <f>IF(A70="20'",VLOOKUP(B70,$R$9:$T$12,2,TRUE)+(B70-VLOOKUP(B70,$R$9:$T$12,1,TRUE))*VLOOKUP(B70,$R$9:$T$12,3,TRUE),VLOOKUP(B70,$U$9:$W$12,2,TRUE)+(B70-VLOOKUP(B70,$U$9:$W$12,1,TRUE))*VLOOKUP(B70,$U$9:$W$12,3,TRUE))</f>
      </c>
    </row>
    <row r="71" ht="17.1" customHeight="1" hidden="1" spans="1:3" x14ac:dyDescent="0.25">
      <c r="A71" s="133" t="s">
        <v>559</v>
      </c>
      <c r="B71" s="133">
        <v>9</v>
      </c>
      <c r="C71" s="46">
        <f>IF(A71="20'",VLOOKUP(B71,$R$9:$T$12,2,TRUE)+(B71-VLOOKUP(B71,$R$9:$T$12,1,TRUE))*VLOOKUP(B71,$R$9:$T$12,3,TRUE),VLOOKUP(B71,$U$9:$W$12,2,TRUE)+(B71-VLOOKUP(B71,$U$9:$W$12,1,TRUE))*VLOOKUP(B71,$U$9:$W$12,3,TRUE))</f>
      </c>
    </row>
    <row r="72" ht="17.1" customHeight="1" hidden="1" spans="1:3" x14ac:dyDescent="0.25">
      <c r="A72" s="133" t="s">
        <v>559</v>
      </c>
      <c r="B72" s="133">
        <v>10</v>
      </c>
      <c r="C72" s="46">
        <f>IF(A72="20'",VLOOKUP(B72,$R$9:$T$12,2,TRUE)+(B72-VLOOKUP(B72,$R$9:$T$12,1,TRUE))*VLOOKUP(B72,$R$9:$T$12,3,TRUE),VLOOKUP(B72,$U$9:$W$12,2,TRUE)+(B72-VLOOKUP(B72,$U$9:$W$12,1,TRUE))*VLOOKUP(B72,$U$9:$W$12,3,TRUE))</f>
      </c>
    </row>
    <row r="73" ht="17.1" customHeight="1" hidden="1" spans="1:3" x14ac:dyDescent="0.25">
      <c r="A73" s="133" t="s">
        <v>559</v>
      </c>
      <c r="B73" s="133">
        <v>11</v>
      </c>
      <c r="C73" s="46">
        <f>IF(A73="20'",VLOOKUP(B73,$R$9:$T$12,2,TRUE)+(B73-VLOOKUP(B73,$R$9:$T$12,1,TRUE))*VLOOKUP(B73,$R$9:$T$12,3,TRUE),VLOOKUP(B73,$U$9:$W$12,2,TRUE)+(B73-VLOOKUP(B73,$U$9:$W$12,1,TRUE))*VLOOKUP(B73,$U$9:$W$12,3,TRUE))</f>
      </c>
    </row>
    <row r="74" ht="17.1" customHeight="1" hidden="1" spans="1:3" x14ac:dyDescent="0.25">
      <c r="A74" s="133" t="s">
        <v>559</v>
      </c>
      <c r="B74" s="133">
        <v>12</v>
      </c>
      <c r="C74" s="46">
        <f>IF(A74="20'",VLOOKUP(B74,$R$9:$T$12,2,TRUE)+(B74-VLOOKUP(B74,$R$9:$T$12,1,TRUE))*VLOOKUP(B74,$R$9:$T$12,3,TRUE),VLOOKUP(B74,$U$9:$W$12,2,TRUE)+(B74-VLOOKUP(B74,$U$9:$W$12,1,TRUE))*VLOOKUP(B74,$U$9:$W$12,3,TRUE))</f>
      </c>
    </row>
    <row r="75" ht="17.1" customHeight="1" hidden="1" spans="1:3" x14ac:dyDescent="0.25">
      <c r="A75" s="133" t="s">
        <v>559</v>
      </c>
      <c r="B75" s="133">
        <v>13</v>
      </c>
      <c r="C75" s="46">
        <f>IF(A75="20'",VLOOKUP(B75,$R$9:$T$12,2,TRUE)+(B75-VLOOKUP(B75,$R$9:$T$12,1,TRUE))*VLOOKUP(B75,$R$9:$T$12,3,TRUE),VLOOKUP(B75,$U$9:$W$12,2,TRUE)+(B75-VLOOKUP(B75,$U$9:$W$12,1,TRUE))*VLOOKUP(B75,$U$9:$W$12,3,TRUE))</f>
      </c>
    </row>
    <row r="76" ht="17.1" customHeight="1" hidden="1" spans="1:3" x14ac:dyDescent="0.25">
      <c r="A76" s="133" t="s">
        <v>559</v>
      </c>
      <c r="B76" s="133">
        <v>14</v>
      </c>
      <c r="C76" s="46">
        <f>IF(A76="20'",VLOOKUP(B76,$R$9:$T$12,2,TRUE)+(B76-VLOOKUP(B76,$R$9:$T$12,1,TRUE))*VLOOKUP(B76,$R$9:$T$12,3,TRUE),VLOOKUP(B76,$U$9:$W$12,2,TRUE)+(B76-VLOOKUP(B76,$U$9:$W$12,1,TRUE))*VLOOKUP(B76,$U$9:$W$12,3,TRUE))</f>
      </c>
    </row>
    <row r="77" ht="17.1" customHeight="1" hidden="1" spans="1:3" x14ac:dyDescent="0.25">
      <c r="A77" s="133" t="s">
        <v>559</v>
      </c>
      <c r="B77" s="133">
        <v>15</v>
      </c>
      <c r="C77" s="46">
        <f>IF(A77="20'",VLOOKUP(B77,$R$9:$T$12,2,TRUE)+(B77-VLOOKUP(B77,$R$9:$T$12,1,TRUE))*VLOOKUP(B77,$R$9:$T$12,3,TRUE),VLOOKUP(B77,$U$9:$W$12,2,TRUE)+(B77-VLOOKUP(B77,$U$9:$W$12,1,TRUE))*VLOOKUP(B77,$U$9:$W$12,3,TRUE))</f>
      </c>
    </row>
  </sheetData>
  <mergeCells count="12">
    <mergeCell ref="A1:E1"/>
    <mergeCell ref="F1:G1"/>
    <mergeCell ref="H1:I1"/>
    <mergeCell ref="A7:E7"/>
    <mergeCell ref="F7:G7"/>
    <mergeCell ref="H7:I7"/>
    <mergeCell ref="A17:E17"/>
    <mergeCell ref="F17:G17"/>
    <mergeCell ref="H17:I17"/>
    <mergeCell ref="A23:E23"/>
    <mergeCell ref="F23:G23"/>
    <mergeCell ref="H23:I23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1.Loading</vt:lpstr>
      <vt:lpstr>2.Bookinglist</vt:lpstr>
      <vt:lpstr>3.GateMove</vt:lpstr>
      <vt:lpstr>CS</vt:lpstr>
      <vt:lpstr>BKK</vt:lpstr>
      <vt:lpstr>LCH</vt:lpstr>
      <vt:lpstr>Charge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</dc:creator>
  <cp:lastModifiedBy>office4</cp:lastModifiedBy>
  <cp:lastPrinted>2019-11-19T03:03:39Z</cp:lastPrinted>
  <dcterms:created xsi:type="dcterms:W3CDTF">2017-05-05T08:05:46Z</dcterms:created>
  <dcterms:modified xsi:type="dcterms:W3CDTF">2026-10-14T07:12:46Z</dcterms:modified>
</cp:coreProperties>
</file>