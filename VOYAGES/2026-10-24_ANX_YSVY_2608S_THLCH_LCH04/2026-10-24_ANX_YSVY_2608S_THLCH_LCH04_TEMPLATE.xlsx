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63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BEAU2350094</t>
        </is>
      </c>
      <c r="B2" s="161" t="inlineStr">
        <is>
          <t>2026-10-24</t>
        </is>
      </c>
      <c r="C2" s="96" t="inlineStr">
        <is>
          <t>YSVY</t>
        </is>
      </c>
      <c r="D2" s="96" t="inlineStr">
        <is>
          <t>2608S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IDJKT</t>
        </is>
      </c>
      <c r="J2" s="96" t="inlineStr">
        <is>
          <t>IDJKT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LCH04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HASLS22260902656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ANX</t>
        </is>
      </c>
      <c r="U2" s="97" t="n"/>
      <c r="V2" s="96" t="inlineStr">
        <is>
          <t>TSN16L05</t>
        </is>
      </c>
      <c r="W2" s="96" t="inlineStr">
        <is>
          <t>TROY SIAM COMPANY LIMITED</t>
        </is>
      </c>
      <c r="X2" s="96" t="inlineStr">
        <is>
          <t>VED</t>
        </is>
      </c>
      <c r="Y2" s="96" t="inlineStr">
        <is>
          <t>PT.WWRC INDONESIA</t>
        </is>
      </c>
      <c r="Z2" s="96" t="inlineStr">
        <is>
          <t>PT.WWRC INDONESIA</t>
        </is>
      </c>
      <c r="AA2" s="97" t="n">
        <v>14920.5</v>
      </c>
      <c r="AB2" s="96" t="inlineStr">
        <is>
          <t>LCH04</t>
        </is>
      </c>
      <c r="AC2" s="96" t="inlineStr">
        <is>
          <t>JKT02</t>
        </is>
      </c>
    </row>
    <row r="3" ht="12" customHeight="1">
      <c r="A3" s="96" t="inlineStr">
        <is>
          <t>BEAU2357714</t>
        </is>
      </c>
      <c r="B3" s="161" t="inlineStr">
        <is>
          <t>2026-10-24</t>
        </is>
      </c>
      <c r="C3" s="96" t="inlineStr">
        <is>
          <t>YSVY</t>
        </is>
      </c>
      <c r="D3" s="96" t="inlineStr">
        <is>
          <t>2608S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IDJKT</t>
        </is>
      </c>
      <c r="J3" s="96" t="inlineStr">
        <is>
          <t>IDJKT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LCH04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HASLS22261000098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ANX</t>
        </is>
      </c>
      <c r="U3" s="97" t="n"/>
      <c r="V3" s="96" t="inlineStr">
        <is>
          <t>TSN15L03</t>
        </is>
      </c>
      <c r="W3" s="96" t="inlineStr">
        <is>
          <t>LOGMAN INTERNATIONAL CO.,LTD.</t>
        </is>
      </c>
      <c r="X3" s="96" t="inlineStr">
        <is>
          <t>VFD</t>
        </is>
      </c>
      <c r="Y3" s="96" t="inlineStr">
        <is>
          <t>PT NIMCO LOGISTICS INDONESIA</t>
        </is>
      </c>
      <c r="Z3" s="96" t="inlineStr">
        <is>
          <t>PT NIMCO LOGISTICS INDONESIA</t>
        </is>
      </c>
      <c r="AA3" s="97" t="n">
        <v>5472.5</v>
      </c>
      <c r="AB3" s="96" t="inlineStr">
        <is>
          <t>LCH04</t>
        </is>
      </c>
      <c r="AC3" s="96" t="inlineStr">
        <is>
          <t>JKT02</t>
        </is>
      </c>
    </row>
    <row r="4" ht="12" customHeight="1">
      <c r="A4" s="96" t="inlineStr">
        <is>
          <t>BEAU2406212</t>
        </is>
      </c>
      <c r="B4" s="161" t="inlineStr">
        <is>
          <t>2026-10-24</t>
        </is>
      </c>
      <c r="C4" s="96" t="inlineStr">
        <is>
          <t>YSVY</t>
        </is>
      </c>
      <c r="D4" s="96" t="inlineStr">
        <is>
          <t>2608S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IDJKT</t>
        </is>
      </c>
      <c r="J4" s="96" t="inlineStr">
        <is>
          <t>IDJKT</t>
        </is>
      </c>
      <c r="K4" s="96" t="inlineStr">
        <is>
          <t>F</t>
        </is>
      </c>
      <c r="L4" s="96" t="inlineStr">
        <is>
          <t>L/T</t>
        </is>
      </c>
      <c r="M4" s="96" t="inlineStr">
        <is>
          <t>VFL</t>
        </is>
      </c>
      <c r="N4" s="96" t="inlineStr">
        <is>
          <t>LCH04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HASLS22261000254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ANX</t>
        </is>
      </c>
      <c r="U4" s="97" t="n"/>
      <c r="V4" s="96" t="inlineStr">
        <is>
          <t>TSN16L01</t>
        </is>
      </c>
      <c r="W4" s="96" t="inlineStr">
        <is>
          <t>ZIKER CO., LTD.</t>
        </is>
      </c>
      <c r="X4" s="96" t="inlineStr">
        <is>
          <t>VED</t>
        </is>
      </c>
      <c r="Y4" s="96" t="inlineStr">
        <is>
          <t>PT. CASTINDO MULTI CAHAYA</t>
        </is>
      </c>
      <c r="Z4" s="96" t="inlineStr">
        <is>
          <t>PT. CASTINDO MULTI CAHAYA</t>
        </is>
      </c>
      <c r="AA4" s="97" t="n">
        <v>26520</v>
      </c>
      <c r="AB4" s="96" t="inlineStr">
        <is>
          <t>LCH04</t>
        </is>
      </c>
      <c r="AC4" s="96" t="inlineStr">
        <is>
          <t>JKT02</t>
        </is>
      </c>
    </row>
    <row r="5" ht="12" customHeight="1">
      <c r="A5" s="96" t="inlineStr">
        <is>
          <t>BEAU2477617</t>
        </is>
      </c>
      <c r="B5" s="161" t="inlineStr">
        <is>
          <t>2026-10-24</t>
        </is>
      </c>
      <c r="C5" s="96" t="inlineStr">
        <is>
          <t>YSVY</t>
        </is>
      </c>
      <c r="D5" s="96" t="inlineStr">
        <is>
          <t>2608S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IDJKT</t>
        </is>
      </c>
      <c r="J5" s="96" t="inlineStr">
        <is>
          <t>IDJKT</t>
        </is>
      </c>
      <c r="K5" s="96" t="inlineStr">
        <is>
          <t>F</t>
        </is>
      </c>
      <c r="L5" s="96" t="inlineStr">
        <is>
          <t>L/T</t>
        </is>
      </c>
      <c r="M5" s="96" t="inlineStr">
        <is>
          <t>VFL</t>
        </is>
      </c>
      <c r="N5" s="96" t="inlineStr">
        <is>
          <t>LCH04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HASLS22261000184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ANX</t>
        </is>
      </c>
      <c r="U5" s="97" t="n"/>
      <c r="V5" s="96" t="inlineStr">
        <is>
          <t>SHA16L07</t>
        </is>
      </c>
      <c r="W5" s="96" t="inlineStr">
        <is>
          <t>KWE-KINTETSU WORLD EXPRESS</t>
        </is>
      </c>
      <c r="X5" s="96" t="inlineStr">
        <is>
          <t>VED</t>
        </is>
      </c>
      <c r="Y5" s="96" t="inlineStr">
        <is>
          <t>PT. HONDA POWER PRODUCTS</t>
        </is>
      </c>
      <c r="Z5" s="96" t="inlineStr">
        <is>
          <t>PT KINTESU WORLD EXPRESS INDONESIA</t>
        </is>
      </c>
      <c r="AA5" s="97" t="n">
        <v>4713.11</v>
      </c>
      <c r="AB5" s="96" t="inlineStr">
        <is>
          <t>LCH04</t>
        </is>
      </c>
      <c r="AC5" s="96" t="inlineStr">
        <is>
          <t>JKT02</t>
        </is>
      </c>
    </row>
    <row r="6" ht="12" customHeight="1">
      <c r="A6" s="96" t="inlineStr">
        <is>
          <t>GESU3364530</t>
        </is>
      </c>
      <c r="B6" s="161" t="inlineStr">
        <is>
          <t>2026-10-24</t>
        </is>
      </c>
      <c r="C6" s="96" t="inlineStr">
        <is>
          <t>YSVY</t>
        </is>
      </c>
      <c r="D6" s="96" t="inlineStr">
        <is>
          <t>2608S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THLKR</t>
        </is>
      </c>
      <c r="H6" s="96" t="inlineStr">
        <is>
          <t>THLCH</t>
        </is>
      </c>
      <c r="I6" s="96" t="inlineStr">
        <is>
          <t>IDJKT</t>
        </is>
      </c>
      <c r="J6" s="96" t="inlineStr">
        <is>
          <t>IDJKT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LCH04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HASLS22261000633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ANX</t>
        </is>
      </c>
      <c r="U6" s="97" t="n"/>
      <c r="V6" s="96" t="inlineStr">
        <is>
          <t>K0120021</t>
        </is>
      </c>
      <c r="W6" s="96" t="inlineStr">
        <is>
          <t>WINOA (THAILAND) LTD.</t>
        </is>
      </c>
      <c r="X6" s="96" t="inlineStr">
        <is>
          <t>VFD</t>
        </is>
      </c>
      <c r="Y6" s="96" t="inlineStr">
        <is>
          <t>PT. MAKMUR META GRAHA DINAMIKA</t>
        </is>
      </c>
      <c r="Z6" s="96" t="inlineStr">
        <is>
          <t>PT. MAKMUR META GRAHA DINAMIKA</t>
        </is>
      </c>
      <c r="AA6" s="97" t="n">
        <v>24456</v>
      </c>
      <c r="AB6" s="96" t="inlineStr">
        <is>
          <t>LCH04</t>
        </is>
      </c>
      <c r="AC6" s="96" t="inlineStr">
        <is>
          <t>JKT02</t>
        </is>
      </c>
    </row>
    <row r="7" ht="12" customHeight="1">
      <c r="A7" s="96" t="inlineStr">
        <is>
          <t>HALU2094885</t>
        </is>
      </c>
      <c r="B7" s="161" t="inlineStr">
        <is>
          <t>2026-10-24</t>
        </is>
      </c>
      <c r="C7" s="96" t="inlineStr">
        <is>
          <t>YSVY</t>
        </is>
      </c>
      <c r="D7" s="96" t="inlineStr">
        <is>
          <t>2608S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THLKR</t>
        </is>
      </c>
      <c r="H7" s="96" t="inlineStr">
        <is>
          <t>THLCH</t>
        </is>
      </c>
      <c r="I7" s="96" t="inlineStr">
        <is>
          <t>IDJKT</t>
        </is>
      </c>
      <c r="J7" s="96" t="inlineStr">
        <is>
          <t>IDJKT</t>
        </is>
      </c>
      <c r="K7" s="96" t="inlineStr">
        <is>
          <t>F</t>
        </is>
      </c>
      <c r="L7" s="96" t="inlineStr">
        <is>
          <t>OWN</t>
        </is>
      </c>
      <c r="M7" s="96" t="inlineStr">
        <is>
          <t>VFL</t>
        </is>
      </c>
      <c r="N7" s="96" t="inlineStr">
        <is>
          <t>LCH04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HASLS22261000155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ANX</t>
        </is>
      </c>
      <c r="U7" s="97" t="n"/>
      <c r="V7" s="96" t="inlineStr">
        <is>
          <t>TXG15008</t>
        </is>
      </c>
      <c r="W7" s="96" t="inlineStr">
        <is>
          <t>UNIQUE POLYMER CO., LTD.</t>
        </is>
      </c>
      <c r="X7" s="96" t="inlineStr">
        <is>
          <t>VFD</t>
        </is>
      </c>
      <c r="Y7" s="96" t="inlineStr">
        <is>
          <t>PT. YAMATOGAWA INDONESIA</t>
        </is>
      </c>
      <c r="Z7" s="96" t="inlineStr">
        <is>
          <t>PT. YAMATOGAWA INDONESIA</t>
        </is>
      </c>
      <c r="AA7" s="97" t="n">
        <v>17400</v>
      </c>
      <c r="AB7" s="96" t="inlineStr">
        <is>
          <t>LCH04</t>
        </is>
      </c>
      <c r="AC7" s="96" t="inlineStr">
        <is>
          <t>JKT02</t>
        </is>
      </c>
    </row>
    <row r="8" ht="12" customHeight="1">
      <c r="A8" s="96" t="inlineStr">
        <is>
          <t>HALU2336968</t>
        </is>
      </c>
      <c r="B8" s="161" t="inlineStr">
        <is>
          <t>2026-10-24</t>
        </is>
      </c>
      <c r="C8" s="96" t="inlineStr">
        <is>
          <t>YSVY</t>
        </is>
      </c>
      <c r="D8" s="96" t="inlineStr">
        <is>
          <t>2608S</t>
        </is>
      </c>
      <c r="E8" s="96" t="inlineStr">
        <is>
          <t>22GP</t>
        </is>
      </c>
      <c r="F8" s="96" t="inlineStr">
        <is>
          <t>SD</t>
        </is>
      </c>
      <c r="G8" s="96" t="inlineStr">
        <is>
          <t>THLKR</t>
        </is>
      </c>
      <c r="H8" s="96" t="inlineStr">
        <is>
          <t>THLCH</t>
        </is>
      </c>
      <c r="I8" s="96" t="inlineStr">
        <is>
          <t>IDJKT</t>
        </is>
      </c>
      <c r="J8" s="96" t="inlineStr">
        <is>
          <t>IDJKT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LCH04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HASLS22261000752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ANX</t>
        </is>
      </c>
      <c r="U8" s="97" t="n"/>
      <c r="V8" s="96" t="inlineStr">
        <is>
          <t>C0423001</t>
        </is>
      </c>
      <c r="W8" s="96" t="inlineStr">
        <is>
          <t>A.BEST INTER PRODUCTS CO., LTD.</t>
        </is>
      </c>
      <c r="X8" s="96" t="inlineStr">
        <is>
          <t>VFD</t>
        </is>
      </c>
      <c r="Y8" s="96" t="inlineStr">
        <is>
          <t>PT. PARAGON TECHNOLOGY AND</t>
        </is>
      </c>
      <c r="Z8" s="96" t="inlineStr">
        <is>
          <t>PT. KARTIKA EKA YUDHA MARITIM WISMA</t>
        </is>
      </c>
      <c r="AA8" s="97" t="n">
        <v>785.9299999999999</v>
      </c>
      <c r="AB8" s="96" t="inlineStr">
        <is>
          <t>LCH04</t>
        </is>
      </c>
      <c r="AC8" s="96" t="inlineStr">
        <is>
          <t>JKT02</t>
        </is>
      </c>
    </row>
    <row r="9" ht="12" customHeight="1">
      <c r="A9" s="96" t="inlineStr">
        <is>
          <t>HALU2344304</t>
        </is>
      </c>
      <c r="B9" s="161" t="inlineStr">
        <is>
          <t>2026-10-24</t>
        </is>
      </c>
      <c r="C9" s="96" t="inlineStr">
        <is>
          <t>YSVY</t>
        </is>
      </c>
      <c r="D9" s="96" t="inlineStr">
        <is>
          <t>2608S</t>
        </is>
      </c>
      <c r="E9" s="96" t="inlineStr">
        <is>
          <t>22GP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IDJKT</t>
        </is>
      </c>
      <c r="J9" s="96" t="inlineStr">
        <is>
          <t>IDJKT</t>
        </is>
      </c>
      <c r="K9" s="96" t="inlineStr">
        <is>
          <t>F</t>
        </is>
      </c>
      <c r="L9" s="96" t="inlineStr">
        <is>
          <t>OWN</t>
        </is>
      </c>
      <c r="M9" s="96" t="inlineStr">
        <is>
          <t>VFL</t>
        </is>
      </c>
      <c r="N9" s="96" t="inlineStr">
        <is>
          <t>LCH04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HASLS22260902451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ANX</t>
        </is>
      </c>
      <c r="U9" s="97" t="n"/>
      <c r="V9" s="96" t="inlineStr">
        <is>
          <t>C0123011</t>
        </is>
      </c>
      <c r="W9" s="96" t="inlineStr">
        <is>
          <t>UBE CHEMICALS (ASIA) PUBLIC</t>
        </is>
      </c>
      <c r="X9" s="96" t="inlineStr">
        <is>
          <t>VFD</t>
        </is>
      </c>
      <c r="Y9" s="96" t="inlineStr">
        <is>
          <t>PT.INABATA INDONESIA</t>
        </is>
      </c>
      <c r="Z9" s="96" t="inlineStr">
        <is>
          <t>PT.INABATA INDONESIA</t>
        </is>
      </c>
      <c r="AA9" s="97" t="n">
        <v>16293.2</v>
      </c>
      <c r="AB9" s="96" t="inlineStr">
        <is>
          <t>LCH04</t>
        </is>
      </c>
      <c r="AC9" s="96" t="inlineStr">
        <is>
          <t>JKT02</t>
        </is>
      </c>
    </row>
    <row r="10" ht="12" customHeight="1">
      <c r="A10" s="96" t="inlineStr">
        <is>
          <t>HALU2417761</t>
        </is>
      </c>
      <c r="B10" s="161" t="inlineStr">
        <is>
          <t>2026-10-24</t>
        </is>
      </c>
      <c r="C10" s="96" t="inlineStr">
        <is>
          <t>YSVY</t>
        </is>
      </c>
      <c r="D10" s="96" t="inlineStr">
        <is>
          <t>2608S</t>
        </is>
      </c>
      <c r="E10" s="96" t="inlineStr">
        <is>
          <t>22GP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IDJKT</t>
        </is>
      </c>
      <c r="J10" s="96" t="inlineStr">
        <is>
          <t>IDJKT</t>
        </is>
      </c>
      <c r="K10" s="96" t="inlineStr">
        <is>
          <t>F</t>
        </is>
      </c>
      <c r="L10" s="96" t="inlineStr">
        <is>
          <t>OWN</t>
        </is>
      </c>
      <c r="M10" s="96" t="inlineStr">
        <is>
          <t>VFL</t>
        </is>
      </c>
      <c r="N10" s="96" t="inlineStr">
        <is>
          <t>LCH04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HASLS22260902435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ANX</t>
        </is>
      </c>
      <c r="U10" s="97" t="n"/>
      <c r="V10" s="96" t="inlineStr">
        <is>
          <t>C0124002</t>
        </is>
      </c>
      <c r="W10" s="96" t="inlineStr">
        <is>
          <t>UBE CHEMICALS (ASIA) PUBLIC</t>
        </is>
      </c>
      <c r="X10" s="96" t="inlineStr">
        <is>
          <t>VFD</t>
        </is>
      </c>
      <c r="Y10" s="96" t="inlineStr">
        <is>
          <t>PT. ITOCHU INDONESIA</t>
        </is>
      </c>
      <c r="Z10" s="96" t="inlineStr">
        <is>
          <t>PT. ITOCHU INDONESIA</t>
        </is>
      </c>
      <c r="AA10" s="97" t="n">
        <v>16370</v>
      </c>
      <c r="AB10" s="96" t="inlineStr">
        <is>
          <t>LCH04</t>
        </is>
      </c>
      <c r="AC10" s="96" t="inlineStr">
        <is>
          <t>JKT02</t>
        </is>
      </c>
    </row>
    <row r="11" ht="12" customHeight="1">
      <c r="A11" s="96" t="inlineStr">
        <is>
          <t>HALU2433192</t>
        </is>
      </c>
      <c r="B11" s="161" t="inlineStr">
        <is>
          <t>2026-10-24</t>
        </is>
      </c>
      <c r="C11" s="96" t="inlineStr">
        <is>
          <t>YSVY</t>
        </is>
      </c>
      <c r="D11" s="96" t="inlineStr">
        <is>
          <t>2608S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THLKR</t>
        </is>
      </c>
      <c r="H11" s="96" t="inlineStr">
        <is>
          <t>THLCH</t>
        </is>
      </c>
      <c r="I11" s="96" t="inlineStr">
        <is>
          <t>IDJKT</t>
        </is>
      </c>
      <c r="J11" s="96" t="inlineStr">
        <is>
          <t>IDJKT</t>
        </is>
      </c>
      <c r="K11" s="96" t="inlineStr">
        <is>
          <t>F</t>
        </is>
      </c>
      <c r="L11" s="96" t="inlineStr">
        <is>
          <t>OWN</t>
        </is>
      </c>
      <c r="M11" s="96" t="inlineStr">
        <is>
          <t>VFL</t>
        </is>
      </c>
      <c r="N11" s="96" t="inlineStr">
        <is>
          <t>LCH04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HASLS22261001126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ANX</t>
        </is>
      </c>
      <c r="U11" s="97" t="n"/>
      <c r="V11" s="96" t="inlineStr">
        <is>
          <t>C0124002</t>
        </is>
      </c>
      <c r="W11" s="96" t="inlineStr">
        <is>
          <t>WARATHEP INTERNATIONAL FREIGHT</t>
        </is>
      </c>
      <c r="X11" s="96" t="inlineStr">
        <is>
          <t>VFD</t>
        </is>
      </c>
      <c r="Y11" s="96" t="inlineStr">
        <is>
          <t>PT.SIAM-INDO GYPSUM INDUSTRY</t>
        </is>
      </c>
      <c r="Z11" s="96" t="inlineStr">
        <is>
          <t>PT. TRIUNFARA ABADI NUSANTARA</t>
        </is>
      </c>
      <c r="AA11" s="97" t="n">
        <v>9689.299999999999</v>
      </c>
      <c r="AB11" s="96" t="inlineStr">
        <is>
          <t>LCH04</t>
        </is>
      </c>
      <c r="AC11" s="96" t="inlineStr">
        <is>
          <t>JKT02</t>
        </is>
      </c>
    </row>
    <row r="12" ht="12" customHeight="1">
      <c r="A12" s="96" t="inlineStr">
        <is>
          <t>HALU2446137</t>
        </is>
      </c>
      <c r="B12" s="161" t="inlineStr">
        <is>
          <t>2026-10-24</t>
        </is>
      </c>
      <c r="C12" s="96" t="inlineStr">
        <is>
          <t>YSVY</t>
        </is>
      </c>
      <c r="D12" s="96" t="inlineStr">
        <is>
          <t>2608S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IDJKT</t>
        </is>
      </c>
      <c r="J12" s="96" t="inlineStr">
        <is>
          <t>IDJKT</t>
        </is>
      </c>
      <c r="K12" s="96" t="inlineStr">
        <is>
          <t>F</t>
        </is>
      </c>
      <c r="L12" s="96" t="inlineStr">
        <is>
          <t>OWN</t>
        </is>
      </c>
      <c r="M12" s="96" t="inlineStr">
        <is>
          <t>VFL</t>
        </is>
      </c>
      <c r="N12" s="96" t="inlineStr">
        <is>
          <t>LCH04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HASLS22260902114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ANX</t>
        </is>
      </c>
      <c r="U12" s="97" t="n"/>
      <c r="V12" s="96" t="inlineStr">
        <is>
          <t>C0324009</t>
        </is>
      </c>
      <c r="W12" s="96" t="inlineStr">
        <is>
          <t>THAI PLASPAC PUBLIC COMPANY</t>
        </is>
      </c>
      <c r="X12" s="96" t="inlineStr">
        <is>
          <t>VFD</t>
        </is>
      </c>
      <c r="Y12" s="96" t="inlineStr">
        <is>
          <t>PT. RECKITT BENCKISER INDONESIA</t>
        </is>
      </c>
      <c r="Z12" s="96" t="inlineStr">
        <is>
          <t>PT. RECKITT BENCKISER INDONESIA</t>
        </is>
      </c>
      <c r="AA12" s="97" t="n">
        <v>1338</v>
      </c>
      <c r="AB12" s="96" t="inlineStr">
        <is>
          <t>LCH04</t>
        </is>
      </c>
      <c r="AC12" s="96" t="inlineStr">
        <is>
          <t>JKT02</t>
        </is>
      </c>
    </row>
    <row r="13" ht="12" customHeight="1">
      <c r="A13" s="96" t="inlineStr">
        <is>
          <t>HALU2453856</t>
        </is>
      </c>
      <c r="B13" s="161" t="inlineStr">
        <is>
          <t>2026-10-24</t>
        </is>
      </c>
      <c r="C13" s="96" t="inlineStr">
        <is>
          <t>YSVY</t>
        </is>
      </c>
      <c r="D13" s="96" t="inlineStr">
        <is>
          <t>2608S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THLKR</t>
        </is>
      </c>
      <c r="H13" s="96" t="inlineStr">
        <is>
          <t>THLCH</t>
        </is>
      </c>
      <c r="I13" s="96" t="inlineStr">
        <is>
          <t>IDJKT</t>
        </is>
      </c>
      <c r="J13" s="96" t="inlineStr">
        <is>
          <t>IDJKT</t>
        </is>
      </c>
      <c r="K13" s="96" t="inlineStr">
        <is>
          <t>F</t>
        </is>
      </c>
      <c r="L13" s="96" t="inlineStr">
        <is>
          <t>OWN</t>
        </is>
      </c>
      <c r="M13" s="96" t="inlineStr">
        <is>
          <t>VFL</t>
        </is>
      </c>
      <c r="N13" s="96" t="inlineStr">
        <is>
          <t>LCH04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HASLS22260801426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ANX</t>
        </is>
      </c>
      <c r="U13" s="97" t="n"/>
      <c r="V13" s="96" t="inlineStr">
        <is>
          <t>C0324009</t>
        </is>
      </c>
      <c r="W13" s="96" t="inlineStr">
        <is>
          <t>NORITAKE SCG PLASTER CO.,LTD</t>
        </is>
      </c>
      <c r="X13" s="96" t="inlineStr">
        <is>
          <t>VFD</t>
        </is>
      </c>
      <c r="Y13" s="96" t="inlineStr">
        <is>
          <t>PT. INDO PORCELAIN</t>
        </is>
      </c>
      <c r="Z13" s="96" t="inlineStr">
        <is>
          <t>PT. INDO PORCELAIN</t>
        </is>
      </c>
      <c r="AA13" s="97" t="n">
        <v>24462.8</v>
      </c>
      <c r="AB13" s="96" t="inlineStr">
        <is>
          <t>LCH04</t>
        </is>
      </c>
      <c r="AC13" s="96" t="inlineStr">
        <is>
          <t>JKT02</t>
        </is>
      </c>
    </row>
    <row r="14" ht="12" customHeight="1">
      <c r="A14" s="96" t="inlineStr">
        <is>
          <t>HALU2519059</t>
        </is>
      </c>
      <c r="B14" s="161" t="inlineStr">
        <is>
          <t>2026-10-24</t>
        </is>
      </c>
      <c r="C14" s="96" t="inlineStr">
        <is>
          <t>YSVY</t>
        </is>
      </c>
      <c r="D14" s="96" t="inlineStr">
        <is>
          <t>2608S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IDJKT</t>
        </is>
      </c>
      <c r="J14" s="96" t="inlineStr">
        <is>
          <t>IDJKT</t>
        </is>
      </c>
      <c r="K14" s="96" t="inlineStr">
        <is>
          <t>F</t>
        </is>
      </c>
      <c r="L14" s="96" t="inlineStr">
        <is>
          <t>OWN</t>
        </is>
      </c>
      <c r="M14" s="96" t="inlineStr">
        <is>
          <t>VFL</t>
        </is>
      </c>
      <c r="N14" s="96" t="inlineStr">
        <is>
          <t>LCH04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HASLS22261000364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ANX</t>
        </is>
      </c>
      <c r="U14" s="97" t="n"/>
      <c r="V14" s="96" t="inlineStr">
        <is>
          <t>C0125002</t>
        </is>
      </c>
      <c r="W14" s="96" t="inlineStr">
        <is>
          <t>FLS 1993 (THAILAND) CO., LTD.</t>
        </is>
      </c>
      <c r="X14" s="96" t="inlineStr">
        <is>
          <t>VFD</t>
        </is>
      </c>
      <c r="Y14" s="96" t="inlineStr">
        <is>
          <t>PT. HANKOOK TIRE INDONESIA</t>
        </is>
      </c>
      <c r="Z14" s="96" t="inlineStr">
        <is>
          <t>PT FEDERAL LOGISTIK SISTEM</t>
        </is>
      </c>
      <c r="AA14" s="97" t="n">
        <v>10240</v>
      </c>
      <c r="AB14" s="96" t="inlineStr">
        <is>
          <t>LCH04</t>
        </is>
      </c>
      <c r="AC14" s="96" t="inlineStr">
        <is>
          <t>JKT02</t>
        </is>
      </c>
    </row>
    <row r="15" ht="12" customHeight="1">
      <c r="A15" s="96" t="inlineStr">
        <is>
          <t>HALU2519090</t>
        </is>
      </c>
      <c r="B15" s="161" t="inlineStr">
        <is>
          <t>2026-10-24</t>
        </is>
      </c>
      <c r="C15" s="96" t="inlineStr">
        <is>
          <t>YSVY</t>
        </is>
      </c>
      <c r="D15" s="96" t="inlineStr">
        <is>
          <t>2608S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IDJKT</t>
        </is>
      </c>
      <c r="J15" s="96" t="inlineStr">
        <is>
          <t>IDJKT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LCH04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HASLS22261001333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ANX</t>
        </is>
      </c>
      <c r="U15" s="97" t="n"/>
      <c r="V15" s="96" t="inlineStr">
        <is>
          <t>C0125002</t>
        </is>
      </c>
      <c r="W15" s="96" t="inlineStr">
        <is>
          <t>YUSEN LOGISTICS (THAILAND) CO., LTD</t>
        </is>
      </c>
      <c r="X15" s="96" t="inlineStr">
        <is>
          <t>VFD</t>
        </is>
      </c>
      <c r="Y15" s="96" t="inlineStr">
        <is>
          <t>PT. AKEBONO BRAKE ASTRA INDONESIA</t>
        </is>
      </c>
      <c r="Z15" s="96" t="inlineStr">
        <is>
          <t>PT. YUSEN LOGISTICS INDONESIA</t>
        </is>
      </c>
      <c r="AA15" s="97" t="n">
        <v>4308.768</v>
      </c>
      <c r="AB15" s="96" t="inlineStr">
        <is>
          <t>LCH04</t>
        </is>
      </c>
      <c r="AC15" s="96" t="inlineStr">
        <is>
          <t>JKT02</t>
        </is>
      </c>
    </row>
    <row r="16" ht="12" customHeight="1">
      <c r="A16" s="96" t="inlineStr">
        <is>
          <t>HALU2531687</t>
        </is>
      </c>
      <c r="B16" s="161" t="inlineStr">
        <is>
          <t>2026-10-24</t>
        </is>
      </c>
      <c r="C16" s="96" t="inlineStr">
        <is>
          <t>YSVY</t>
        </is>
      </c>
      <c r="D16" s="96" t="inlineStr">
        <is>
          <t>2608S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IDJKT</t>
        </is>
      </c>
      <c r="J16" s="96" t="inlineStr">
        <is>
          <t>IDJKT</t>
        </is>
      </c>
      <c r="K16" s="96" t="inlineStr">
        <is>
          <t>F</t>
        </is>
      </c>
      <c r="L16" s="96" t="inlineStr">
        <is>
          <t>OWN</t>
        </is>
      </c>
      <c r="M16" s="96" t="inlineStr">
        <is>
          <t>VFL</t>
        </is>
      </c>
      <c r="N16" s="96" t="inlineStr">
        <is>
          <t>LCH04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HASLS22261001023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ANX</t>
        </is>
      </c>
      <c r="U16" s="97" t="n"/>
      <c r="V16" s="96" t="inlineStr">
        <is>
          <t>C0125002</t>
        </is>
      </c>
      <c r="W16" s="96" t="inlineStr">
        <is>
          <t>MODERN DYESTUFFS &amp; PIGMENTS</t>
        </is>
      </c>
      <c r="X16" s="96" t="inlineStr">
        <is>
          <t>VFD</t>
        </is>
      </c>
      <c r="Y16" s="96" t="inlineStr">
        <is>
          <t>PT.LIANHUA LEATHER INDUSTRY</t>
        </is>
      </c>
      <c r="Z16" s="96" t="inlineStr">
        <is>
          <t>PT.LIANHUA LEATHER INDUSTRY</t>
        </is>
      </c>
      <c r="AA16" s="97" t="n">
        <v>11537.4</v>
      </c>
      <c r="AB16" s="96" t="inlineStr">
        <is>
          <t>LCH04</t>
        </is>
      </c>
      <c r="AC16" s="96" t="inlineStr">
        <is>
          <t>JKT02</t>
        </is>
      </c>
    </row>
    <row r="17" ht="12" customHeight="1">
      <c r="A17" s="96" t="inlineStr">
        <is>
          <t>HALU2541598</t>
        </is>
      </c>
      <c r="B17" s="161" t="inlineStr">
        <is>
          <t>2026-10-24</t>
        </is>
      </c>
      <c r="C17" s="96" t="inlineStr">
        <is>
          <t>YSVY</t>
        </is>
      </c>
      <c r="D17" s="96" t="inlineStr">
        <is>
          <t>2608S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IDJKT</t>
        </is>
      </c>
      <c r="J17" s="96" t="inlineStr">
        <is>
          <t>IDJKT</t>
        </is>
      </c>
      <c r="K17" s="96" t="inlineStr">
        <is>
          <t>F</t>
        </is>
      </c>
      <c r="L17" s="96" t="inlineStr">
        <is>
          <t>OWN</t>
        </is>
      </c>
      <c r="M17" s="96" t="inlineStr">
        <is>
          <t>VFL</t>
        </is>
      </c>
      <c r="N17" s="96" t="inlineStr">
        <is>
          <t>LCH04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HASLS22261000590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ANX</t>
        </is>
      </c>
      <c r="U17" s="97" t="n"/>
      <c r="V17" s="96" t="inlineStr">
        <is>
          <t>C0125002</t>
        </is>
      </c>
      <c r="W17" s="96" t="inlineStr">
        <is>
          <t>THAI WAH PUBLIC COMPANY LIMITED.</t>
        </is>
      </c>
      <c r="X17" s="96" t="inlineStr">
        <is>
          <t>VED</t>
        </is>
      </c>
      <c r="Y17" s="96" t="inlineStr">
        <is>
          <t>PT PRIMAPLAST INDONESIA</t>
        </is>
      </c>
      <c r="Z17" s="96" t="inlineStr">
        <is>
          <t>PT PRIMAPLAST INDONESIA</t>
        </is>
      </c>
      <c r="AA17" s="97" t="n">
        <v>6090</v>
      </c>
      <c r="AB17" s="96" t="inlineStr">
        <is>
          <t>LCH04</t>
        </is>
      </c>
      <c r="AC17" s="96" t="inlineStr">
        <is>
          <t>JKT02</t>
        </is>
      </c>
    </row>
    <row r="18" ht="12" customHeight="1">
      <c r="A18" s="96" t="inlineStr">
        <is>
          <t>HALU2552416</t>
        </is>
      </c>
      <c r="B18" s="161" t="inlineStr">
        <is>
          <t>2026-10-24</t>
        </is>
      </c>
      <c r="C18" s="96" t="inlineStr">
        <is>
          <t>YSVY</t>
        </is>
      </c>
      <c r="D18" s="96" t="inlineStr">
        <is>
          <t>2608S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THLKR</t>
        </is>
      </c>
      <c r="H18" s="96" t="inlineStr">
        <is>
          <t>THLCH</t>
        </is>
      </c>
      <c r="I18" s="96" t="inlineStr">
        <is>
          <t>IDJKT</t>
        </is>
      </c>
      <c r="J18" s="96" t="inlineStr">
        <is>
          <t>IDJKT</t>
        </is>
      </c>
      <c r="K18" s="96" t="inlineStr">
        <is>
          <t>F</t>
        </is>
      </c>
      <c r="L18" s="96" t="inlineStr">
        <is>
          <t>OWN</t>
        </is>
      </c>
      <c r="M18" s="96" t="inlineStr">
        <is>
          <t>VFL</t>
        </is>
      </c>
      <c r="N18" s="96" t="inlineStr">
        <is>
          <t>LCH04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HASLS22261000625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ANX</t>
        </is>
      </c>
      <c r="U18" s="97" t="n"/>
      <c r="V18" s="96" t="inlineStr">
        <is>
          <t>C0125002</t>
        </is>
      </c>
      <c r="W18" s="96" t="inlineStr">
        <is>
          <t>ORIENTAL LOGISTICS GROUP</t>
        </is>
      </c>
      <c r="X18" s="96" t="inlineStr">
        <is>
          <t>VFD</t>
        </is>
      </c>
      <c r="Y18" s="96" t="inlineStr">
        <is>
          <t>PT. ECLAT TEXTILE INTERNATIONAL</t>
        </is>
      </c>
      <c r="Z18" s="96" t="inlineStr">
        <is>
          <t>PT. ORIENTAL LOGISTICS INDONESIA</t>
        </is>
      </c>
      <c r="AA18" s="97" t="n">
        <v>3840.9</v>
      </c>
      <c r="AB18" s="96" t="inlineStr">
        <is>
          <t>LCH04</t>
        </is>
      </c>
      <c r="AC18" s="96" t="inlineStr">
        <is>
          <t>JKT02</t>
        </is>
      </c>
    </row>
    <row r="19" ht="12" customHeight="1">
      <c r="A19" s="96" t="inlineStr">
        <is>
          <t>HALU5664235</t>
        </is>
      </c>
      <c r="B19" s="161" t="inlineStr">
        <is>
          <t>2026-10-24</t>
        </is>
      </c>
      <c r="C19" s="96" t="inlineStr">
        <is>
          <t>YSVY</t>
        </is>
      </c>
      <c r="D19" s="96" t="inlineStr">
        <is>
          <t>2608S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IDJKT</t>
        </is>
      </c>
      <c r="J19" s="96" t="inlineStr">
        <is>
          <t>IDJKT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LCH04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HASLS22261000696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ANX</t>
        </is>
      </c>
      <c r="U19" s="97" t="n"/>
      <c r="V19" s="96" t="inlineStr">
        <is>
          <t>K0120023</t>
        </is>
      </c>
      <c r="W19" s="96" t="inlineStr">
        <is>
          <t>YAMATO UNYU (THAILAND) CO., LTD.</t>
        </is>
      </c>
      <c r="X19" s="96" t="inlineStr">
        <is>
          <t>VFD</t>
        </is>
      </c>
      <c r="Y19" s="96" t="inlineStr">
        <is>
          <t>PT. ARGAPURA</t>
        </is>
      </c>
      <c r="Z19" s="96" t="inlineStr">
        <is>
          <t>PT. YAMATO INDONESIA FORWARDING</t>
        </is>
      </c>
      <c r="AA19" s="97" t="n">
        <v>9795.299999999999</v>
      </c>
      <c r="AB19" s="96" t="inlineStr">
        <is>
          <t>LCH04</t>
        </is>
      </c>
      <c r="AC19" s="96" t="inlineStr">
        <is>
          <t>JKT02</t>
        </is>
      </c>
    </row>
    <row r="20" ht="12" customHeight="1">
      <c r="A20" s="96" t="inlineStr">
        <is>
          <t>HALU9000297</t>
        </is>
      </c>
      <c r="B20" s="161" t="inlineStr">
        <is>
          <t>2026-10-24</t>
        </is>
      </c>
      <c r="C20" s="96" t="inlineStr">
        <is>
          <t>YSVY</t>
        </is>
      </c>
      <c r="D20" s="96" t="inlineStr">
        <is>
          <t>2608S</t>
        </is>
      </c>
      <c r="E20" s="96" t="inlineStr">
        <is>
          <t>45RE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IDJKT</t>
        </is>
      </c>
      <c r="J20" s="96" t="inlineStr">
        <is>
          <t>IDJKT</t>
        </is>
      </c>
      <c r="K20" s="96" t="inlineStr">
        <is>
          <t>F</t>
        </is>
      </c>
      <c r="L20" s="96" t="inlineStr">
        <is>
          <t>OWN</t>
        </is>
      </c>
      <c r="M20" s="96" t="inlineStr">
        <is>
          <t>VFL</t>
        </is>
      </c>
      <c r="N20" s="96" t="inlineStr">
        <is>
          <t>LCH04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HASLS22261000067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ANX</t>
        </is>
      </c>
      <c r="U20" s="97" t="n"/>
      <c r="V20" s="96" t="inlineStr">
        <is>
          <t>TAO13014</t>
        </is>
      </c>
      <c r="W20" s="96" t="inlineStr">
        <is>
          <t>FRUIT PARADISE INTERNATIONAL</t>
        </is>
      </c>
      <c r="X20" s="96" t="inlineStr">
        <is>
          <t>VFD</t>
        </is>
      </c>
      <c r="Y20" s="96" t="inlineStr">
        <is>
          <t>PT. USAHA BERKAH INOVASI</t>
        </is>
      </c>
      <c r="Z20" s="96" t="inlineStr">
        <is>
          <t>PT. USAHA BERKAH INOVASI</t>
        </is>
      </c>
      <c r="AA20" s="97" t="n">
        <v>27162.5</v>
      </c>
      <c r="AB20" s="96" t="inlineStr">
        <is>
          <t>LCH04</t>
        </is>
      </c>
      <c r="AC20" s="96" t="inlineStr">
        <is>
          <t>JKT02</t>
        </is>
      </c>
    </row>
    <row r="21" ht="12" customHeight="1">
      <c r="A21" s="96" t="inlineStr">
        <is>
          <t>HLHU8103594</t>
        </is>
      </c>
      <c r="B21" s="161" t="inlineStr">
        <is>
          <t>2026-10-24</t>
        </is>
      </c>
      <c r="C21" s="96" t="inlineStr">
        <is>
          <t>YSVY</t>
        </is>
      </c>
      <c r="D21" s="96" t="inlineStr">
        <is>
          <t>2608S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IDJKT</t>
        </is>
      </c>
      <c r="J21" s="96" t="inlineStr">
        <is>
          <t>IDJKT</t>
        </is>
      </c>
      <c r="K21" s="96" t="inlineStr">
        <is>
          <t>F</t>
        </is>
      </c>
      <c r="L21" s="96" t="inlineStr">
        <is>
          <t>OWN</t>
        </is>
      </c>
      <c r="M21" s="96" t="inlineStr">
        <is>
          <t>VFL</t>
        </is>
      </c>
      <c r="N21" s="96" t="inlineStr">
        <is>
          <t>LCH04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HASLS22261000610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ANX</t>
        </is>
      </c>
      <c r="U21" s="97" t="n"/>
      <c r="V21" s="96" t="inlineStr">
        <is>
          <t>C0121003</t>
        </is>
      </c>
      <c r="W21" s="96" t="inlineStr">
        <is>
          <t>NALCO INDUSTRIAL SERVICES</t>
        </is>
      </c>
      <c r="X21" s="96" t="inlineStr">
        <is>
          <t>VFD</t>
        </is>
      </c>
      <c r="Y21" s="96" t="inlineStr">
        <is>
          <t>PT.ECOLAB INTERNATIONAL INDONESIA</t>
        </is>
      </c>
      <c r="Z21" s="96" t="inlineStr">
        <is>
          <t>PT.ECOLAB INTERNATIONAL INDONESIA</t>
        </is>
      </c>
      <c r="AA21" s="97" t="n">
        <v>22665</v>
      </c>
      <c r="AB21" s="96" t="inlineStr">
        <is>
          <t>LCH04</t>
        </is>
      </c>
      <c r="AC21" s="96" t="inlineStr">
        <is>
          <t>JKT02</t>
        </is>
      </c>
    </row>
    <row r="22" ht="12" customHeight="1">
      <c r="A22" s="96" t="inlineStr">
        <is>
          <t>HLHU8364221</t>
        </is>
      </c>
      <c r="B22" s="161" t="inlineStr">
        <is>
          <t>2026-10-24</t>
        </is>
      </c>
      <c r="C22" s="96" t="inlineStr">
        <is>
          <t>YSVY</t>
        </is>
      </c>
      <c r="D22" s="96" t="inlineStr">
        <is>
          <t>2608S</t>
        </is>
      </c>
      <c r="E22" s="96" t="inlineStr">
        <is>
          <t>45GP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IDJKT</t>
        </is>
      </c>
      <c r="J22" s="96" t="inlineStr">
        <is>
          <t>IDJKT</t>
        </is>
      </c>
      <c r="K22" s="96" t="inlineStr">
        <is>
          <t>F</t>
        </is>
      </c>
      <c r="L22" s="96" t="inlineStr">
        <is>
          <t>OWN</t>
        </is>
      </c>
      <c r="M22" s="96" t="inlineStr">
        <is>
          <t>VFL</t>
        </is>
      </c>
      <c r="N22" s="96" t="inlineStr">
        <is>
          <t>LCH04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HASLS22260902784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ANX</t>
        </is>
      </c>
      <c r="U22" s="97" t="n"/>
      <c r="V22" s="96" t="inlineStr">
        <is>
          <t>C5623002</t>
        </is>
      </c>
      <c r="W22" s="96" t="inlineStr">
        <is>
          <t>YUSEN LOGISTICS (THAILAND) CO., LTD</t>
        </is>
      </c>
      <c r="X22" s="96" t="inlineStr">
        <is>
          <t>VFD</t>
        </is>
      </c>
      <c r="Y22" s="96" t="inlineStr">
        <is>
          <t>PT. ADVICS MANUFACTURING INDONESIA</t>
        </is>
      </c>
      <c r="Z22" s="96" t="inlineStr">
        <is>
          <t>PT. YUSEN LOGISTICS INDONESIA</t>
        </is>
      </c>
      <c r="AA22" s="97" t="n">
        <v>7483.75</v>
      </c>
      <c r="AB22" s="96" t="inlineStr">
        <is>
          <t>LCH04</t>
        </is>
      </c>
      <c r="AC22" s="96" t="inlineStr">
        <is>
          <t>JKT02</t>
        </is>
      </c>
    </row>
    <row r="23" ht="12" customHeight="1">
      <c r="A23" s="96" t="inlineStr">
        <is>
          <t>HLHU8422164</t>
        </is>
      </c>
      <c r="B23" s="161" t="inlineStr">
        <is>
          <t>2026-10-24</t>
        </is>
      </c>
      <c r="C23" s="96" t="inlineStr">
        <is>
          <t>YSVY</t>
        </is>
      </c>
      <c r="D23" s="96" t="inlineStr">
        <is>
          <t>2608S</t>
        </is>
      </c>
      <c r="E23" s="96" t="inlineStr">
        <is>
          <t>45GP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IDJKT</t>
        </is>
      </c>
      <c r="J23" s="96" t="inlineStr">
        <is>
          <t>IDJKT</t>
        </is>
      </c>
      <c r="K23" s="96" t="inlineStr">
        <is>
          <t>F</t>
        </is>
      </c>
      <c r="L23" s="96" t="inlineStr">
        <is>
          <t>OWN</t>
        </is>
      </c>
      <c r="M23" s="96" t="inlineStr">
        <is>
          <t>VFL</t>
        </is>
      </c>
      <c r="N23" s="96" t="inlineStr">
        <is>
          <t>LCH04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HASLS22260901805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ANX</t>
        </is>
      </c>
      <c r="U23" s="97" t="n"/>
      <c r="V23" s="96" t="inlineStr">
        <is>
          <t>C0124001</t>
        </is>
      </c>
      <c r="W23" s="96" t="inlineStr">
        <is>
          <t>CMS LOGISTICS GROUP (THAILAND)</t>
        </is>
      </c>
      <c r="X23" s="96" t="inlineStr">
        <is>
          <t>VFD</t>
        </is>
      </c>
      <c r="Y23" s="96" t="inlineStr">
        <is>
          <t>PT. JALAK KARGO LOGISTIK</t>
        </is>
      </c>
      <c r="Z23" s="96" t="inlineStr">
        <is>
          <t>PT. JALAK KARGO LOGISTIK</t>
        </is>
      </c>
      <c r="AA23" s="97" t="n">
        <v>910.01</v>
      </c>
      <c r="AB23" s="96" t="inlineStr">
        <is>
          <t>LCH04</t>
        </is>
      </c>
      <c r="AC23" s="96" t="inlineStr">
        <is>
          <t>JKT02</t>
        </is>
      </c>
    </row>
    <row r="24" ht="12" customHeight="1">
      <c r="A24" s="96" t="inlineStr">
        <is>
          <t>HLHU8479405</t>
        </is>
      </c>
      <c r="B24" s="161" t="inlineStr">
        <is>
          <t>2026-10-24</t>
        </is>
      </c>
      <c r="C24" s="96" t="inlineStr">
        <is>
          <t>YSVY</t>
        </is>
      </c>
      <c r="D24" s="96" t="inlineStr">
        <is>
          <t>2608S</t>
        </is>
      </c>
      <c r="E24" s="96" t="inlineStr">
        <is>
          <t>45GP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IDJKT</t>
        </is>
      </c>
      <c r="J24" s="96" t="inlineStr">
        <is>
          <t>IDJKT</t>
        </is>
      </c>
      <c r="K24" s="96" t="inlineStr">
        <is>
          <t>F</t>
        </is>
      </c>
      <c r="L24" s="96" t="inlineStr">
        <is>
          <t>OWN</t>
        </is>
      </c>
      <c r="M24" s="96" t="inlineStr">
        <is>
          <t>VFL</t>
        </is>
      </c>
      <c r="N24" s="96" t="inlineStr">
        <is>
          <t>LCH04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HASLS22260902114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ANX</t>
        </is>
      </c>
      <c r="U24" s="97" t="n"/>
      <c r="V24" s="96" t="inlineStr">
        <is>
          <t>C0624001</t>
        </is>
      </c>
      <c r="W24" s="96" t="inlineStr">
        <is>
          <t>THAI PLASPAC PUBLIC COMPANY</t>
        </is>
      </c>
      <c r="X24" s="96" t="inlineStr">
        <is>
          <t>VFD</t>
        </is>
      </c>
      <c r="Y24" s="96" t="inlineStr">
        <is>
          <t>PT. RECKITT BENCKISER INDONESIA</t>
        </is>
      </c>
      <c r="Z24" s="96" t="inlineStr">
        <is>
          <t>PT. RECKITT BENCKISER INDONESIA</t>
        </is>
      </c>
      <c r="AA24" s="97" t="n">
        <v>2676</v>
      </c>
      <c r="AB24" s="96" t="inlineStr">
        <is>
          <t>LCH04</t>
        </is>
      </c>
      <c r="AC24" s="96" t="inlineStr">
        <is>
          <t>JKT02</t>
        </is>
      </c>
    </row>
    <row r="25" ht="12" customHeight="1">
      <c r="A25" s="96" t="inlineStr">
        <is>
          <t>HLHU8569730</t>
        </is>
      </c>
      <c r="B25" s="161" t="inlineStr">
        <is>
          <t>2026-10-24</t>
        </is>
      </c>
      <c r="C25" s="96" t="inlineStr">
        <is>
          <t>YSVY</t>
        </is>
      </c>
      <c r="D25" s="96" t="inlineStr">
        <is>
          <t>2608S</t>
        </is>
      </c>
      <c r="E25" s="96" t="inlineStr">
        <is>
          <t>45GP</t>
        </is>
      </c>
      <c r="F25" s="96" t="inlineStr">
        <is>
          <t>SD</t>
        </is>
      </c>
      <c r="G25" s="96" t="n"/>
      <c r="H25" s="96" t="inlineStr">
        <is>
          <t>THLCH</t>
        </is>
      </c>
      <c r="I25" s="96" t="inlineStr">
        <is>
          <t>IDJKT</t>
        </is>
      </c>
      <c r="J25" s="96" t="inlineStr">
        <is>
          <t>IDJKT</t>
        </is>
      </c>
      <c r="K25" s="96" t="inlineStr">
        <is>
          <t>F</t>
        </is>
      </c>
      <c r="L25" s="96" t="inlineStr">
        <is>
          <t>OWN</t>
        </is>
      </c>
      <c r="M25" s="96" t="inlineStr">
        <is>
          <t>VFL</t>
        </is>
      </c>
      <c r="N25" s="96" t="inlineStr">
        <is>
          <t>LCH04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HASLS22260900972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ANX</t>
        </is>
      </c>
      <c r="U25" s="97" t="n"/>
      <c r="V25" s="96" t="inlineStr">
        <is>
          <t>C0725001</t>
        </is>
      </c>
      <c r="W25" s="96" t="inlineStr">
        <is>
          <t>L.A.1 CO.,LTD.</t>
        </is>
      </c>
      <c r="X25" s="96" t="inlineStr">
        <is>
          <t>VFD</t>
        </is>
      </c>
      <c r="Y25" s="96" t="inlineStr">
        <is>
          <t>PT. CHEMSTAR INDONESIA TBK</t>
        </is>
      </c>
      <c r="Z25" s="96" t="inlineStr">
        <is>
          <t>PT. 3S PRIME CONTINENTAL</t>
        </is>
      </c>
      <c r="AA25" s="97" t="n">
        <v>25348</v>
      </c>
      <c r="AB25" s="96" t="inlineStr">
        <is>
          <t>LCH04</t>
        </is>
      </c>
      <c r="AC25" s="96" t="inlineStr">
        <is>
          <t>JKT02</t>
        </is>
      </c>
    </row>
    <row r="26" ht="12" customHeight="1">
      <c r="A26" s="96" t="inlineStr">
        <is>
          <t>SKHU6382814</t>
        </is>
      </c>
      <c r="B26" s="161" t="inlineStr">
        <is>
          <t>2026-10-24</t>
        </is>
      </c>
      <c r="C26" s="96" t="inlineStr">
        <is>
          <t>YSVY</t>
        </is>
      </c>
      <c r="D26" s="96" t="inlineStr">
        <is>
          <t>2608S</t>
        </is>
      </c>
      <c r="E26" s="96" t="inlineStr">
        <is>
          <t>45GP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IDJKT</t>
        </is>
      </c>
      <c r="J26" s="96" t="inlineStr">
        <is>
          <t>IDJKT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LCH04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HASLS22260901128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ANX</t>
        </is>
      </c>
      <c r="U26" s="97" t="n"/>
      <c r="V26" s="96" t="inlineStr">
        <is>
          <t>K0120023</t>
        </is>
      </c>
      <c r="W26" s="96" t="inlineStr">
        <is>
          <t>THAI PLASPAC PUBLIC COMPANY</t>
        </is>
      </c>
      <c r="X26" s="96" t="inlineStr">
        <is>
          <t>VFD</t>
        </is>
      </c>
      <c r="Y26" s="96" t="inlineStr">
        <is>
          <t>P.T. DIAMOND COLD STORAGE</t>
        </is>
      </c>
      <c r="Z26" s="96" t="inlineStr">
        <is>
          <t>P.T. DIAMOND COLD STORAGE</t>
        </is>
      </c>
      <c r="AA26" s="97" t="n">
        <v>11448</v>
      </c>
      <c r="AB26" s="96" t="inlineStr">
        <is>
          <t>LCH04</t>
        </is>
      </c>
      <c r="AC26" s="96" t="inlineStr">
        <is>
          <t>JKT02</t>
        </is>
      </c>
    </row>
    <row r="27" ht="12" customHeight="1">
      <c r="A27" s="96" t="inlineStr">
        <is>
          <t>SKHU9611344</t>
        </is>
      </c>
      <c r="B27" s="161" t="inlineStr">
        <is>
          <t>2026-10-24</t>
        </is>
      </c>
      <c r="C27" s="96" t="inlineStr">
        <is>
          <t>YSVY</t>
        </is>
      </c>
      <c r="D27" s="96" t="inlineStr">
        <is>
          <t>2608S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IDJKT</t>
        </is>
      </c>
      <c r="J27" s="96" t="inlineStr">
        <is>
          <t>IDJKT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LCH04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HASLS22260900413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ANX</t>
        </is>
      </c>
      <c r="U27" s="97" t="n"/>
      <c r="V27" s="96" t="inlineStr">
        <is>
          <t>K0120023</t>
        </is>
      </c>
      <c r="W27" s="96" t="inlineStr">
        <is>
          <t>MAJESTY HOLDINGS (ASIA) COMPANY</t>
        </is>
      </c>
      <c r="X27" s="96" t="inlineStr">
        <is>
          <t>VFD</t>
        </is>
      </c>
      <c r="Y27" s="96" t="inlineStr">
        <is>
          <t>PT GODREJ CONSUMER PRODUCTS</t>
        </is>
      </c>
      <c r="Z27" s="96" t="inlineStr">
        <is>
          <t>PT. OPTIMUS PRIMA LOGISTIK</t>
        </is>
      </c>
      <c r="AA27" s="97" t="n">
        <v>9213</v>
      </c>
      <c r="AB27" s="96" t="inlineStr">
        <is>
          <t>LCH04</t>
        </is>
      </c>
      <c r="AC27" s="96" t="inlineStr">
        <is>
          <t>JKT02</t>
        </is>
      </c>
    </row>
    <row r="28" ht="12" customHeight="1">
      <c r="A28" s="96" t="inlineStr">
        <is>
          <t>SKLU0405124</t>
        </is>
      </c>
      <c r="B28" s="161" t="inlineStr">
        <is>
          <t>2026-10-24</t>
        </is>
      </c>
      <c r="C28" s="96" t="inlineStr">
        <is>
          <t>YSVY</t>
        </is>
      </c>
      <c r="D28" s="96" t="inlineStr">
        <is>
          <t>2608S</t>
        </is>
      </c>
      <c r="E28" s="96" t="inlineStr">
        <is>
          <t>22GP</t>
        </is>
      </c>
      <c r="F28" s="96" t="inlineStr">
        <is>
          <t>SD</t>
        </is>
      </c>
      <c r="G28" s="96" t="inlineStr">
        <is>
          <t>THLKR</t>
        </is>
      </c>
      <c r="H28" s="96" t="inlineStr">
        <is>
          <t>THLCH</t>
        </is>
      </c>
      <c r="I28" s="96" t="inlineStr">
        <is>
          <t>IDJKT</t>
        </is>
      </c>
      <c r="J28" s="96" t="inlineStr">
        <is>
          <t>IDJKT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LCH04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HASLS22261000633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ANX</t>
        </is>
      </c>
      <c r="U28" s="97" t="n"/>
      <c r="V28" s="96" t="inlineStr">
        <is>
          <t>K0120021</t>
        </is>
      </c>
      <c r="W28" s="96" t="inlineStr">
        <is>
          <t>WINOA (THAILAND) LTD.</t>
        </is>
      </c>
      <c r="X28" s="96" t="inlineStr">
        <is>
          <t>VFD</t>
        </is>
      </c>
      <c r="Y28" s="96" t="inlineStr">
        <is>
          <t>PT. MAKMUR META GRAHA DINAMIKA</t>
        </is>
      </c>
      <c r="Z28" s="96" t="inlineStr">
        <is>
          <t>PT. MAKMUR META GRAHA DINAMIKA</t>
        </is>
      </c>
      <c r="AA28" s="97" t="n">
        <v>24456</v>
      </c>
      <c r="AB28" s="96" t="inlineStr">
        <is>
          <t>LCH04</t>
        </is>
      </c>
      <c r="AC28" s="96" t="inlineStr">
        <is>
          <t>JKT02</t>
        </is>
      </c>
    </row>
    <row r="29" ht="12" customHeight="1">
      <c r="A29" s="96" t="inlineStr">
        <is>
          <t>SKLU0714524</t>
        </is>
      </c>
      <c r="B29" s="161" t="inlineStr">
        <is>
          <t>2026-10-24</t>
        </is>
      </c>
      <c r="C29" s="96" t="inlineStr">
        <is>
          <t>YSVY</t>
        </is>
      </c>
      <c r="D29" s="96" t="inlineStr">
        <is>
          <t>2608S</t>
        </is>
      </c>
      <c r="E29" s="96" t="inlineStr">
        <is>
          <t>22GP</t>
        </is>
      </c>
      <c r="F29" s="96" t="inlineStr">
        <is>
          <t>SD</t>
        </is>
      </c>
      <c r="G29" s="96" t="inlineStr">
        <is>
          <t>THLKR</t>
        </is>
      </c>
      <c r="H29" s="96" t="inlineStr">
        <is>
          <t>THLCH</t>
        </is>
      </c>
      <c r="I29" s="96" t="inlineStr">
        <is>
          <t>IDJKT</t>
        </is>
      </c>
      <c r="J29" s="96" t="inlineStr">
        <is>
          <t>IDJKT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LCH04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HASLS22261000633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ANX</t>
        </is>
      </c>
      <c r="U29" s="97" t="n"/>
      <c r="V29" s="96" t="inlineStr">
        <is>
          <t>K0120021</t>
        </is>
      </c>
      <c r="W29" s="96" t="inlineStr">
        <is>
          <t>WINOA (THAILAND) LTD.</t>
        </is>
      </c>
      <c r="X29" s="96" t="inlineStr">
        <is>
          <t>VFD</t>
        </is>
      </c>
      <c r="Y29" s="96" t="inlineStr">
        <is>
          <t>PT. MAKMUR META GRAHA DINAMIKA</t>
        </is>
      </c>
      <c r="Z29" s="96" t="inlineStr">
        <is>
          <t>PT. MAKMUR META GRAHA DINAMIKA</t>
        </is>
      </c>
      <c r="AA29" s="97" t="n">
        <v>24456</v>
      </c>
      <c r="AB29" s="96" t="inlineStr">
        <is>
          <t>LCH04</t>
        </is>
      </c>
      <c r="AC29" s="96" t="inlineStr">
        <is>
          <t>JKT02</t>
        </is>
      </c>
    </row>
    <row r="30" ht="12" customHeight="1">
      <c r="A30" s="96" t="inlineStr">
        <is>
          <t>SKLU0726886</t>
        </is>
      </c>
      <c r="B30" s="161" t="inlineStr">
        <is>
          <t>2026-10-24</t>
        </is>
      </c>
      <c r="C30" s="96" t="inlineStr">
        <is>
          <t>YSVY</t>
        </is>
      </c>
      <c r="D30" s="96" t="inlineStr">
        <is>
          <t>2608S</t>
        </is>
      </c>
      <c r="E30" s="96" t="inlineStr">
        <is>
          <t>22GP</t>
        </is>
      </c>
      <c r="F30" s="96" t="inlineStr">
        <is>
          <t>SD</t>
        </is>
      </c>
      <c r="G30" s="96" t="inlineStr">
        <is>
          <t>THLKR</t>
        </is>
      </c>
      <c r="H30" s="96" t="inlineStr">
        <is>
          <t>THLCH</t>
        </is>
      </c>
      <c r="I30" s="96" t="inlineStr">
        <is>
          <t>IDJKT</t>
        </is>
      </c>
      <c r="J30" s="96" t="inlineStr">
        <is>
          <t>IDJKT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LCH04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HASLS22260900299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ANX</t>
        </is>
      </c>
      <c r="U30" s="97" t="n"/>
      <c r="V30" s="96" t="inlineStr">
        <is>
          <t>K0120021</t>
        </is>
      </c>
      <c r="W30" s="96" t="inlineStr">
        <is>
          <t>NORITAKE SCG PLASTER CO.,LTD</t>
        </is>
      </c>
      <c r="X30" s="96" t="inlineStr">
        <is>
          <t>VFD</t>
        </is>
      </c>
      <c r="Y30" s="96" t="inlineStr">
        <is>
          <t>PT. INDO PORCELAIN</t>
        </is>
      </c>
      <c r="Z30" s="96" t="inlineStr">
        <is>
          <t>PT. INDO PORCELAIN</t>
        </is>
      </c>
      <c r="AA30" s="97" t="n">
        <v>24462.8</v>
      </c>
      <c r="AB30" s="96" t="inlineStr">
        <is>
          <t>LCH04</t>
        </is>
      </c>
      <c r="AC30" s="96" t="inlineStr">
        <is>
          <t>JKT02</t>
        </is>
      </c>
    </row>
    <row r="31" ht="12" customHeight="1">
      <c r="A31" s="96" t="inlineStr">
        <is>
          <t>SKLU1102483</t>
        </is>
      </c>
      <c r="B31" s="161" t="inlineStr">
        <is>
          <t>2026-10-24</t>
        </is>
      </c>
      <c r="C31" s="96" t="inlineStr">
        <is>
          <t>YSVY</t>
        </is>
      </c>
      <c r="D31" s="96" t="inlineStr">
        <is>
          <t>2608S</t>
        </is>
      </c>
      <c r="E31" s="96" t="inlineStr">
        <is>
          <t>22GP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IDJKT</t>
        </is>
      </c>
      <c r="J31" s="96" t="inlineStr">
        <is>
          <t>IDJKT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LCH04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HASLS22260902789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ANX</t>
        </is>
      </c>
      <c r="U31" s="97" t="n"/>
      <c r="V31" s="96" t="inlineStr">
        <is>
          <t>K0120021</t>
        </is>
      </c>
      <c r="W31" s="96" t="inlineStr">
        <is>
          <t>L.A.1 CO.,LTD.</t>
        </is>
      </c>
      <c r="X31" s="96" t="inlineStr">
        <is>
          <t>VFD</t>
        </is>
      </c>
      <c r="Y31" s="96" t="inlineStr">
        <is>
          <t>PT. CHEMSTAR INDONESIA TBK</t>
        </is>
      </c>
      <c r="Z31" s="96" t="inlineStr">
        <is>
          <t>PT. 3S PRIME CONTINENTAL</t>
        </is>
      </c>
      <c r="AA31" s="97" t="n">
        <v>13120</v>
      </c>
      <c r="AB31" s="96" t="inlineStr">
        <is>
          <t>LCH04</t>
        </is>
      </c>
      <c r="AC31" s="96" t="inlineStr">
        <is>
          <t>JKT02</t>
        </is>
      </c>
    </row>
    <row r="32" ht="12" customHeight="1">
      <c r="A32" s="96" t="inlineStr">
        <is>
          <t>SKLU1310620</t>
        </is>
      </c>
      <c r="B32" s="161" t="inlineStr">
        <is>
          <t>2026-10-24</t>
        </is>
      </c>
      <c r="C32" s="96" t="inlineStr">
        <is>
          <t>YSVY</t>
        </is>
      </c>
      <c r="D32" s="96" t="inlineStr">
        <is>
          <t>2608S</t>
        </is>
      </c>
      <c r="E32" s="96" t="inlineStr">
        <is>
          <t>22GP</t>
        </is>
      </c>
      <c r="F32" s="96" t="inlineStr">
        <is>
          <t>SD</t>
        </is>
      </c>
      <c r="G32" s="96" t="inlineStr">
        <is>
          <t>THLKR</t>
        </is>
      </c>
      <c r="H32" s="96" t="inlineStr">
        <is>
          <t>THLCH</t>
        </is>
      </c>
      <c r="I32" s="96" t="inlineStr">
        <is>
          <t>IDJKT</t>
        </is>
      </c>
      <c r="J32" s="96" t="inlineStr">
        <is>
          <t>IDJKT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LCH04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HASLS22261000155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ANX</t>
        </is>
      </c>
      <c r="U32" s="97" t="n"/>
      <c r="V32" s="96" t="inlineStr">
        <is>
          <t>K0120021</t>
        </is>
      </c>
      <c r="W32" s="96" t="inlineStr">
        <is>
          <t>UNIQUE POLYMER CO., LTD.</t>
        </is>
      </c>
      <c r="X32" s="96" t="inlineStr">
        <is>
          <t>VFD</t>
        </is>
      </c>
      <c r="Y32" s="96" t="inlineStr">
        <is>
          <t>PT. YAMATOGAWA INDONESIA</t>
        </is>
      </c>
      <c r="Z32" s="96" t="inlineStr">
        <is>
          <t>PT. YAMATOGAWA INDONESIA</t>
        </is>
      </c>
      <c r="AA32" s="97" t="n">
        <v>15660</v>
      </c>
      <c r="AB32" s="96" t="inlineStr">
        <is>
          <t>LCH04</t>
        </is>
      </c>
      <c r="AC32" s="96" t="inlineStr">
        <is>
          <t>JKT02</t>
        </is>
      </c>
    </row>
    <row r="33" ht="12" customHeight="1">
      <c r="A33" s="96" t="inlineStr">
        <is>
          <t>SKLU1420252</t>
        </is>
      </c>
      <c r="B33" s="161" t="inlineStr">
        <is>
          <t>2026-10-24</t>
        </is>
      </c>
      <c r="C33" s="96" t="inlineStr">
        <is>
          <t>YSVY</t>
        </is>
      </c>
      <c r="D33" s="96" t="inlineStr">
        <is>
          <t>2608S</t>
        </is>
      </c>
      <c r="E33" s="96" t="inlineStr">
        <is>
          <t>22GP</t>
        </is>
      </c>
      <c r="F33" s="96" t="inlineStr">
        <is>
          <t>SD</t>
        </is>
      </c>
      <c r="G33" s="96" t="inlineStr">
        <is>
          <t>THLKR</t>
        </is>
      </c>
      <c r="H33" s="96" t="inlineStr">
        <is>
          <t>THLCH</t>
        </is>
      </c>
      <c r="I33" s="96" t="inlineStr">
        <is>
          <t>IDJKT</t>
        </is>
      </c>
      <c r="J33" s="96" t="inlineStr">
        <is>
          <t>IDJKT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LCH04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HASLS22260900516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ANX</t>
        </is>
      </c>
      <c r="U33" s="97" t="n"/>
      <c r="V33" s="96" t="inlineStr">
        <is>
          <t>K0120021</t>
        </is>
      </c>
      <c r="W33" s="96" t="inlineStr">
        <is>
          <t>HYMOLD (THAILAND) LIMITED</t>
        </is>
      </c>
      <c r="X33" s="96" t="inlineStr">
        <is>
          <t>VFD</t>
        </is>
      </c>
      <c r="Y33" s="96" t="inlineStr">
        <is>
          <t>PT. AT INDONESIA</t>
        </is>
      </c>
      <c r="Z33" s="96" t="inlineStr">
        <is>
          <t>PT. AT INDONESIA</t>
        </is>
      </c>
      <c r="AA33" s="97" t="n">
        <v>20080</v>
      </c>
      <c r="AB33" s="96" t="inlineStr">
        <is>
          <t>LCH04</t>
        </is>
      </c>
      <c r="AC33" s="96" t="inlineStr">
        <is>
          <t>JKT02</t>
        </is>
      </c>
    </row>
    <row r="34" ht="12" customHeight="1">
      <c r="A34" s="96" t="inlineStr">
        <is>
          <t>SKLU1510361</t>
        </is>
      </c>
      <c r="B34" s="161" t="inlineStr">
        <is>
          <t>2026-10-24</t>
        </is>
      </c>
      <c r="C34" s="96" t="inlineStr">
        <is>
          <t>YSVY</t>
        </is>
      </c>
      <c r="D34" s="96" t="inlineStr">
        <is>
          <t>2608S</t>
        </is>
      </c>
      <c r="E34" s="96" t="inlineStr">
        <is>
          <t>22GP</t>
        </is>
      </c>
      <c r="F34" s="96" t="inlineStr">
        <is>
          <t>SD</t>
        </is>
      </c>
      <c r="G34" s="96" t="inlineStr">
        <is>
          <t>THLCH</t>
        </is>
      </c>
      <c r="H34" s="96" t="inlineStr">
        <is>
          <t>THLCH</t>
        </is>
      </c>
      <c r="I34" s="96" t="inlineStr">
        <is>
          <t>IDJKT</t>
        </is>
      </c>
      <c r="J34" s="96" t="inlineStr">
        <is>
          <t>IDJKT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LCH04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HASLS22261000251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ANX</t>
        </is>
      </c>
      <c r="U34" s="97" t="n"/>
      <c r="V34" s="96" t="inlineStr">
        <is>
          <t>K0120021</t>
        </is>
      </c>
      <c r="W34" s="96" t="inlineStr">
        <is>
          <t>PENANSHIN SHIPPING (THAILAND) LTD.</t>
        </is>
      </c>
      <c r="X34" s="96" t="inlineStr">
        <is>
          <t>VFD</t>
        </is>
      </c>
      <c r="Y34" s="96" t="inlineStr">
        <is>
          <t>PT. AKASHI WAHANA INDONESIA</t>
        </is>
      </c>
      <c r="Z34" s="96" t="inlineStr">
        <is>
          <t>PT. BINA GLOBAL TRANSPORT</t>
        </is>
      </c>
      <c r="AA34" s="97" t="n">
        <v>4127.67</v>
      </c>
      <c r="AB34" s="96" t="inlineStr">
        <is>
          <t>LCH04</t>
        </is>
      </c>
      <c r="AC34" s="96" t="inlineStr">
        <is>
          <t>JKT02</t>
        </is>
      </c>
    </row>
    <row r="35" ht="12" customHeight="1">
      <c r="A35" s="96" t="inlineStr">
        <is>
          <t>SKLU1536582</t>
        </is>
      </c>
      <c r="B35" s="161" t="inlineStr">
        <is>
          <t>2026-10-24</t>
        </is>
      </c>
      <c r="C35" s="96" t="inlineStr">
        <is>
          <t>YSVY</t>
        </is>
      </c>
      <c r="D35" s="96" t="inlineStr">
        <is>
          <t>2608S</t>
        </is>
      </c>
      <c r="E35" s="96" t="inlineStr">
        <is>
          <t>22GP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IDJKT</t>
        </is>
      </c>
      <c r="J35" s="96" t="inlineStr">
        <is>
          <t>IDJKT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LCH04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HASLS22261000470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ANX</t>
        </is>
      </c>
      <c r="U35" s="97" t="n"/>
      <c r="V35" s="96" t="inlineStr">
        <is>
          <t>K0120021</t>
        </is>
      </c>
      <c r="W35" s="96" t="inlineStr">
        <is>
          <t>TOTALENERGIES MARKETING (THAILAND)</t>
        </is>
      </c>
      <c r="X35" s="96" t="inlineStr">
        <is>
          <t>VFD</t>
        </is>
      </c>
      <c r="Y35" s="96" t="inlineStr">
        <is>
          <t>PT INDO-RAMA SYNTHETICS TBK.</t>
        </is>
      </c>
      <c r="Z35" s="96" t="inlineStr">
        <is>
          <t>JALAN RAYA UBRUG, DESA KEMBANG</t>
        </is>
      </c>
      <c r="AA35" s="97" t="n">
        <v>16290</v>
      </c>
      <c r="AB35" s="96" t="inlineStr">
        <is>
          <t>LCH04</t>
        </is>
      </c>
      <c r="AC35" s="96" t="inlineStr">
        <is>
          <t>JKT02</t>
        </is>
      </c>
    </row>
    <row r="36" ht="12" customHeight="1">
      <c r="A36" s="96" t="inlineStr">
        <is>
          <t>SKLU1569879</t>
        </is>
      </c>
      <c r="B36" s="161" t="inlineStr">
        <is>
          <t>2026-10-24</t>
        </is>
      </c>
      <c r="C36" s="96" t="inlineStr">
        <is>
          <t>YSVY</t>
        </is>
      </c>
      <c r="D36" s="96" t="inlineStr">
        <is>
          <t>2608S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IDJKT</t>
        </is>
      </c>
      <c r="J36" s="96" t="inlineStr">
        <is>
          <t>IDJKT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LCH04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HASLS22261000144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ANX</t>
        </is>
      </c>
      <c r="U36" s="97" t="n"/>
      <c r="V36" s="96" t="inlineStr">
        <is>
          <t>K0120021</t>
        </is>
      </c>
      <c r="W36" s="96" t="inlineStr">
        <is>
          <t>THAI MFC CO.,LTD.</t>
        </is>
      </c>
      <c r="X36" s="96" t="inlineStr">
        <is>
          <t>VED</t>
        </is>
      </c>
      <c r="Y36" s="96" t="inlineStr">
        <is>
          <t>PT ANDESEN JAYA PLASTIK</t>
        </is>
      </c>
      <c r="Z36" s="96" t="inlineStr">
        <is>
          <t>PT ANDESEN JAYA PLASTIK</t>
        </is>
      </c>
      <c r="AA36" s="97" t="n">
        <v>19200.04</v>
      </c>
      <c r="AB36" s="96" t="inlineStr">
        <is>
          <t>LCH04</t>
        </is>
      </c>
      <c r="AC36" s="96" t="inlineStr">
        <is>
          <t>JKT02</t>
        </is>
      </c>
    </row>
    <row r="37" ht="12" customHeight="1">
      <c r="A37" s="96" t="inlineStr">
        <is>
          <t>SKLU1585859</t>
        </is>
      </c>
      <c r="B37" s="161" t="inlineStr">
        <is>
          <t>2026-10-24</t>
        </is>
      </c>
      <c r="C37" s="96" t="inlineStr">
        <is>
          <t>YSVY</t>
        </is>
      </c>
      <c r="D37" s="96" t="inlineStr">
        <is>
          <t>2608S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IDJKT</t>
        </is>
      </c>
      <c r="J37" s="96" t="inlineStr">
        <is>
          <t>IDJKT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LCH04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HASLS22261000848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ANX</t>
        </is>
      </c>
      <c r="U37" s="97" t="n"/>
      <c r="V37" s="96" t="inlineStr">
        <is>
          <t>K0120021</t>
        </is>
      </c>
      <c r="W37" s="96" t="inlineStr">
        <is>
          <t>YAMATO UNYU (THAILAND) CO.,LTD.</t>
        </is>
      </c>
      <c r="X37" s="96" t="inlineStr">
        <is>
          <t>VED</t>
        </is>
      </c>
      <c r="Y37" s="96" t="inlineStr">
        <is>
          <t>PT. T.RAD INDONESIA</t>
        </is>
      </c>
      <c r="Z37" s="96" t="inlineStr">
        <is>
          <t>PT. YAMATO INDONESIA FORWARDING</t>
        </is>
      </c>
      <c r="AA37" s="97" t="n">
        <v>1145.15</v>
      </c>
      <c r="AB37" s="96" t="inlineStr">
        <is>
          <t>LCH04</t>
        </is>
      </c>
      <c r="AC37" s="96" t="inlineStr">
        <is>
          <t>JKT02</t>
        </is>
      </c>
    </row>
    <row r="38" ht="12" customHeight="1">
      <c r="A38" s="96" t="inlineStr">
        <is>
          <t>SKLU1621350</t>
        </is>
      </c>
      <c r="B38" s="161" t="inlineStr">
        <is>
          <t>2026-10-24</t>
        </is>
      </c>
      <c r="C38" s="96" t="inlineStr">
        <is>
          <t>YSVY</t>
        </is>
      </c>
      <c r="D38" s="96" t="inlineStr">
        <is>
          <t>2608S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THLKR</t>
        </is>
      </c>
      <c r="H38" s="96" t="inlineStr">
        <is>
          <t>THLCH</t>
        </is>
      </c>
      <c r="I38" s="96" t="inlineStr">
        <is>
          <t>IDJKT</t>
        </is>
      </c>
      <c r="J38" s="96" t="inlineStr">
        <is>
          <t>IDJKT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LCH04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HASLS22260900299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ANX</t>
        </is>
      </c>
      <c r="U38" s="97" t="n"/>
      <c r="V38" s="96" t="inlineStr">
        <is>
          <t>K0120021</t>
        </is>
      </c>
      <c r="W38" s="96" t="inlineStr">
        <is>
          <t>NORITAKE SCG PLASTER CO.,LTD</t>
        </is>
      </c>
      <c r="X38" s="96" t="inlineStr">
        <is>
          <t>VFD</t>
        </is>
      </c>
      <c r="Y38" s="96" t="inlineStr">
        <is>
          <t>PT. INDO PORCELAIN</t>
        </is>
      </c>
      <c r="Z38" s="96" t="inlineStr">
        <is>
          <t>PT. INDO PORCELAIN</t>
        </is>
      </c>
      <c r="AA38" s="97" t="n">
        <v>24462.8</v>
      </c>
      <c r="AB38" s="96" t="inlineStr">
        <is>
          <t>LCH04</t>
        </is>
      </c>
      <c r="AC38" s="96" t="inlineStr">
        <is>
          <t>JKT02</t>
        </is>
      </c>
    </row>
    <row r="39" ht="12" customHeight="1">
      <c r="A39" s="96" t="inlineStr">
        <is>
          <t>SKLU1622356</t>
        </is>
      </c>
      <c r="B39" s="161" t="inlineStr">
        <is>
          <t>2026-10-24</t>
        </is>
      </c>
      <c r="C39" s="96" t="inlineStr">
        <is>
          <t>YSVY</t>
        </is>
      </c>
      <c r="D39" s="96" t="inlineStr">
        <is>
          <t>2608S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THLKR</t>
        </is>
      </c>
      <c r="H39" s="96" t="inlineStr">
        <is>
          <t>THLCH</t>
        </is>
      </c>
      <c r="I39" s="96" t="inlineStr">
        <is>
          <t>IDJKT</t>
        </is>
      </c>
      <c r="J39" s="96" t="inlineStr">
        <is>
          <t>IDJKT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LCH04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HASLS22261000731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ANX</t>
        </is>
      </c>
      <c r="U39" s="97" t="n"/>
      <c r="V39" s="96" t="inlineStr">
        <is>
          <t>K0120021</t>
        </is>
      </c>
      <c r="W39" s="96" t="inlineStr">
        <is>
          <t>MITANI TRADING (THAILAND) CO.,LTD.</t>
        </is>
      </c>
      <c r="X39" s="96" t="inlineStr">
        <is>
          <t>VFD</t>
        </is>
      </c>
      <c r="Y39" s="96" t="inlineStr">
        <is>
          <t>PT. DIFAN PRIMA PAINT</t>
        </is>
      </c>
      <c r="Z39" s="96" t="inlineStr">
        <is>
          <t>PT. DIFAN PRIMA PAINT</t>
        </is>
      </c>
      <c r="AA39" s="97" t="n">
        <v>3490</v>
      </c>
      <c r="AB39" s="96" t="inlineStr">
        <is>
          <t>LCH04</t>
        </is>
      </c>
      <c r="AC39" s="96" t="inlineStr">
        <is>
          <t>JKT02</t>
        </is>
      </c>
    </row>
    <row r="40" ht="12" customHeight="1">
      <c r="A40" s="96" t="inlineStr">
        <is>
          <t>SKLU1628061</t>
        </is>
      </c>
      <c r="B40" s="161" t="inlineStr">
        <is>
          <t>2026-10-24</t>
        </is>
      </c>
      <c r="C40" s="96" t="inlineStr">
        <is>
          <t>YSVY</t>
        </is>
      </c>
      <c r="D40" s="96" t="inlineStr">
        <is>
          <t>2608S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IDJKT</t>
        </is>
      </c>
      <c r="J40" s="96" t="inlineStr">
        <is>
          <t>IDJKT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LCH04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HASLS22261000144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ANX</t>
        </is>
      </c>
      <c r="U40" s="97" t="n"/>
      <c r="V40" s="96" t="inlineStr">
        <is>
          <t>K0120021</t>
        </is>
      </c>
      <c r="W40" s="96" t="inlineStr">
        <is>
          <t>THAI MFC CO.,LTD.</t>
        </is>
      </c>
      <c r="X40" s="96" t="inlineStr">
        <is>
          <t>VFD</t>
        </is>
      </c>
      <c r="Y40" s="96" t="inlineStr">
        <is>
          <t>PT ANDESEN JAYA PLASTIK</t>
        </is>
      </c>
      <c r="Z40" s="96" t="inlineStr">
        <is>
          <t>PT ANDESEN JAYA PLASTIK</t>
        </is>
      </c>
      <c r="AA40" s="97" t="n">
        <v>19110.94</v>
      </c>
      <c r="AB40" s="96" t="inlineStr">
        <is>
          <t>LCH04</t>
        </is>
      </c>
      <c r="AC40" s="96" t="inlineStr">
        <is>
          <t>JKT02</t>
        </is>
      </c>
    </row>
    <row r="41" ht="12" customHeight="1">
      <c r="A41" s="96" t="inlineStr">
        <is>
          <t>SKLU1657769</t>
        </is>
      </c>
      <c r="B41" s="161" t="inlineStr">
        <is>
          <t>2026-10-24</t>
        </is>
      </c>
      <c r="C41" s="96" t="inlineStr">
        <is>
          <t>YSVY</t>
        </is>
      </c>
      <c r="D41" s="96" t="inlineStr">
        <is>
          <t>2608S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IDJKT</t>
        </is>
      </c>
      <c r="J41" s="96" t="inlineStr">
        <is>
          <t>IDJKT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LCH04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HASLS22261000144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ANX</t>
        </is>
      </c>
      <c r="U41" s="97" t="n"/>
      <c r="V41" s="96" t="inlineStr">
        <is>
          <t>K0120021</t>
        </is>
      </c>
      <c r="W41" s="96" t="inlineStr">
        <is>
          <t>THAI MFC CO.,LTD.</t>
        </is>
      </c>
      <c r="X41" s="96" t="inlineStr">
        <is>
          <t>VED</t>
        </is>
      </c>
      <c r="Y41" s="96" t="inlineStr">
        <is>
          <t>PT ANDESEN JAYA PLASTIK</t>
        </is>
      </c>
      <c r="Z41" s="96" t="inlineStr">
        <is>
          <t>PT ANDESEN JAYA PLASTIK</t>
        </is>
      </c>
      <c r="AA41" s="97" t="n">
        <v>19272.94</v>
      </c>
      <c r="AB41" s="96" t="inlineStr">
        <is>
          <t>LCH04</t>
        </is>
      </c>
      <c r="AC41" s="96" t="inlineStr">
        <is>
          <t>JKT02</t>
        </is>
      </c>
    </row>
    <row r="42" ht="12" customHeight="1">
      <c r="A42" s="96" t="inlineStr">
        <is>
          <t>SKLU1922754</t>
        </is>
      </c>
      <c r="B42" s="161" t="inlineStr">
        <is>
          <t>2026-10-24</t>
        </is>
      </c>
      <c r="C42" s="96" t="inlineStr">
        <is>
          <t>YSVY</t>
        </is>
      </c>
      <c r="D42" s="96" t="inlineStr">
        <is>
          <t>2608S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THLKR</t>
        </is>
      </c>
      <c r="H42" s="96" t="inlineStr">
        <is>
          <t>THLCH</t>
        </is>
      </c>
      <c r="I42" s="96" t="inlineStr">
        <is>
          <t>IDJKT</t>
        </is>
      </c>
      <c r="J42" s="96" t="inlineStr">
        <is>
          <t>IDJKT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LCH04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HASLS22261000155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ANX</t>
        </is>
      </c>
      <c r="U42" s="97" t="n"/>
      <c r="V42" s="96" t="inlineStr">
        <is>
          <t>K0120021</t>
        </is>
      </c>
      <c r="W42" s="96" t="inlineStr">
        <is>
          <t>UNIQUE POLYMER CO., LTD.</t>
        </is>
      </c>
      <c r="X42" s="96" t="inlineStr">
        <is>
          <t>VFD</t>
        </is>
      </c>
      <c r="Y42" s="96" t="inlineStr">
        <is>
          <t>PT. YAMATOGAWA INDONESIA</t>
        </is>
      </c>
      <c r="Z42" s="96" t="inlineStr">
        <is>
          <t>PT. YAMATOGAWA INDONESIA</t>
        </is>
      </c>
      <c r="AA42" s="97" t="n">
        <v>17400</v>
      </c>
      <c r="AB42" s="96" t="inlineStr">
        <is>
          <t>LCH04</t>
        </is>
      </c>
      <c r="AC42" s="96" t="inlineStr">
        <is>
          <t>JKT02</t>
        </is>
      </c>
    </row>
    <row r="43" ht="12" customHeight="1">
      <c r="A43" s="96" t="inlineStr">
        <is>
          <t>SKLU1927102</t>
        </is>
      </c>
      <c r="B43" s="161" t="inlineStr">
        <is>
          <t>2026-10-24</t>
        </is>
      </c>
      <c r="C43" s="96" t="inlineStr">
        <is>
          <t>YSVY</t>
        </is>
      </c>
      <c r="D43" s="96" t="inlineStr">
        <is>
          <t>2608S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THLKR</t>
        </is>
      </c>
      <c r="H43" s="96" t="inlineStr">
        <is>
          <t>THLCH</t>
        </is>
      </c>
      <c r="I43" s="96" t="inlineStr">
        <is>
          <t>IDJKT</t>
        </is>
      </c>
      <c r="J43" s="96" t="inlineStr">
        <is>
          <t>IDJKT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LCH04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HASLS22260902692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ANX</t>
        </is>
      </c>
      <c r="U43" s="97" t="n"/>
      <c r="V43" s="96" t="inlineStr">
        <is>
          <t>K0120021</t>
        </is>
      </c>
      <c r="W43" s="96" t="inlineStr">
        <is>
          <t>FREIGHT EXPRESS INTERNATIONAL CO.,</t>
        </is>
      </c>
      <c r="X43" s="96" t="inlineStr">
        <is>
          <t>VFD</t>
        </is>
      </c>
      <c r="Y43" s="96" t="inlineStr">
        <is>
          <t>PT CITRA GOURMAND PRIMA</t>
        </is>
      </c>
      <c r="Z43" s="96" t="inlineStr">
        <is>
          <t>PT. MAZTRANS GLOBAL INDO</t>
        </is>
      </c>
      <c r="AA43" s="97" t="n">
        <v>3200</v>
      </c>
      <c r="AB43" s="96" t="inlineStr">
        <is>
          <t>LCH04</t>
        </is>
      </c>
      <c r="AC43" s="96" t="inlineStr">
        <is>
          <t>JKT02</t>
        </is>
      </c>
    </row>
    <row r="44" ht="12" customHeight="1">
      <c r="A44" s="96" t="inlineStr">
        <is>
          <t>SKLU1960311</t>
        </is>
      </c>
      <c r="B44" s="161" t="inlineStr">
        <is>
          <t>2026-10-24</t>
        </is>
      </c>
      <c r="C44" s="96" t="inlineStr">
        <is>
          <t>YSVY</t>
        </is>
      </c>
      <c r="D44" s="96" t="inlineStr">
        <is>
          <t>2608S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THLCH</t>
        </is>
      </c>
      <c r="H44" s="96" t="inlineStr">
        <is>
          <t>THLCH</t>
        </is>
      </c>
      <c r="I44" s="96" t="inlineStr">
        <is>
          <t>IDJKT</t>
        </is>
      </c>
      <c r="J44" s="96" t="inlineStr">
        <is>
          <t>IDJKT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LCH04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HASLS22261000687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ANX</t>
        </is>
      </c>
      <c r="U44" s="97" t="n"/>
      <c r="V44" s="96" t="inlineStr">
        <is>
          <t>K0120021</t>
        </is>
      </c>
      <c r="W44" s="96" t="inlineStr">
        <is>
          <t>YUSEN LOGISTICS (THAILAND) CO., LTD</t>
        </is>
      </c>
      <c r="X44" s="96" t="inlineStr">
        <is>
          <t>VFD</t>
        </is>
      </c>
      <c r="Y44" s="96" t="inlineStr">
        <is>
          <t>PT. SUZUKI INDOMOBIL MOTOR</t>
        </is>
      </c>
      <c r="Z44" s="96" t="inlineStr">
        <is>
          <t>PT. YUSEN LOGISTICS INDONESIA</t>
        </is>
      </c>
      <c r="AA44" s="97" t="n">
        <v>2988.8</v>
      </c>
      <c r="AB44" s="96" t="inlineStr">
        <is>
          <t>LCH04</t>
        </is>
      </c>
      <c r="AC44" s="96" t="inlineStr">
        <is>
          <t>JKT02</t>
        </is>
      </c>
    </row>
    <row r="45" ht="12" customHeight="1">
      <c r="A45" s="96" t="inlineStr">
        <is>
          <t>SKLU1984139</t>
        </is>
      </c>
      <c r="B45" s="161" t="inlineStr">
        <is>
          <t>2026-10-24</t>
        </is>
      </c>
      <c r="C45" s="96" t="inlineStr">
        <is>
          <t>YSVY</t>
        </is>
      </c>
      <c r="D45" s="96" t="inlineStr">
        <is>
          <t>2608S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THLKR</t>
        </is>
      </c>
      <c r="H45" s="96" t="inlineStr">
        <is>
          <t>THLCH</t>
        </is>
      </c>
      <c r="I45" s="96" t="inlineStr">
        <is>
          <t>IDJKT</t>
        </is>
      </c>
      <c r="J45" s="96" t="inlineStr">
        <is>
          <t>IDJKT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LCH04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HASLS22261001027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ANX</t>
        </is>
      </c>
      <c r="U45" s="97" t="n"/>
      <c r="V45" s="96" t="inlineStr">
        <is>
          <t>K0120021</t>
        </is>
      </c>
      <c r="W45" s="96" t="inlineStr">
        <is>
          <t>CARGO-PARTNER LOGISTICS LTD.</t>
        </is>
      </c>
      <c r="X45" s="96" t="inlineStr">
        <is>
          <t>VFD</t>
        </is>
      </c>
      <c r="Y45" s="96" t="inlineStr">
        <is>
          <t>PT TRANSMARCO</t>
        </is>
      </c>
      <c r="Z45" s="96" t="inlineStr">
        <is>
          <t>PT. 7 STAR LOGISTICS</t>
        </is>
      </c>
      <c r="AA45" s="97" t="n">
        <v>445.1</v>
      </c>
      <c r="AB45" s="96" t="inlineStr">
        <is>
          <t>LCH04</t>
        </is>
      </c>
      <c r="AC45" s="96" t="inlineStr">
        <is>
          <t>JKT02</t>
        </is>
      </c>
    </row>
    <row r="46" ht="12" customHeight="1">
      <c r="A46" s="96" t="inlineStr">
        <is>
          <t>SKLU2307750</t>
        </is>
      </c>
      <c r="B46" s="161" t="inlineStr">
        <is>
          <t>2026-10-24</t>
        </is>
      </c>
      <c r="C46" s="96" t="inlineStr">
        <is>
          <t>YSVY</t>
        </is>
      </c>
      <c r="D46" s="96" t="inlineStr">
        <is>
          <t>2608S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THLKR</t>
        </is>
      </c>
      <c r="H46" s="96" t="inlineStr">
        <is>
          <t>THLCH</t>
        </is>
      </c>
      <c r="I46" s="96" t="inlineStr">
        <is>
          <t>IDJKT</t>
        </is>
      </c>
      <c r="J46" s="96" t="inlineStr">
        <is>
          <t>IDJKT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LCH04</t>
        </is>
      </c>
      <c r="O46" s="96" t="inlineStr">
        <is>
          <t>LCH</t>
        </is>
      </c>
      <c r="P46" s="96" t="inlineStr">
        <is>
          <t>TH</t>
        </is>
      </c>
      <c r="Q46" s="96" t="inlineStr">
        <is>
          <t>HASLS22260801426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ANX</t>
        </is>
      </c>
      <c r="U46" s="97" t="n"/>
      <c r="V46" s="96" t="inlineStr">
        <is>
          <t>K0120021</t>
        </is>
      </c>
      <c r="W46" s="96" t="inlineStr">
        <is>
          <t>NORITAKE SCG PLASTER CO.,LTD</t>
        </is>
      </c>
      <c r="X46" s="96" t="inlineStr">
        <is>
          <t>VFD</t>
        </is>
      </c>
      <c r="Y46" s="96" t="inlineStr">
        <is>
          <t>PT. INDO PORCELAIN</t>
        </is>
      </c>
      <c r="Z46" s="96" t="inlineStr">
        <is>
          <t>PT. INDO PORCELAIN</t>
        </is>
      </c>
      <c r="AA46" s="97" t="n">
        <v>24462.8</v>
      </c>
      <c r="AB46" s="96" t="inlineStr">
        <is>
          <t>LCH04</t>
        </is>
      </c>
      <c r="AC46" s="96" t="inlineStr">
        <is>
          <t>JKT02</t>
        </is>
      </c>
    </row>
    <row r="47" ht="12" customHeight="1">
      <c r="A47" s="96" t="inlineStr">
        <is>
          <t>SKLU2331592</t>
        </is>
      </c>
      <c r="B47" s="161" t="inlineStr">
        <is>
          <t>2026-10-24</t>
        </is>
      </c>
      <c r="C47" s="96" t="inlineStr">
        <is>
          <t>YSVY</t>
        </is>
      </c>
      <c r="D47" s="96" t="inlineStr">
        <is>
          <t>2608S</t>
        </is>
      </c>
      <c r="E47" s="96" t="inlineStr">
        <is>
          <t>22GP</t>
        </is>
      </c>
      <c r="F47" s="96" t="inlineStr">
        <is>
          <t>SD</t>
        </is>
      </c>
      <c r="G47" s="96" t="inlineStr">
        <is>
          <t>THLCH</t>
        </is>
      </c>
      <c r="H47" s="96" t="inlineStr">
        <is>
          <t>THLCH</t>
        </is>
      </c>
      <c r="I47" s="96" t="inlineStr">
        <is>
          <t>IDJKT</t>
        </is>
      </c>
      <c r="J47" s="96" t="inlineStr">
        <is>
          <t>IDJKT</t>
        </is>
      </c>
      <c r="K47" s="96" t="inlineStr">
        <is>
          <t>F</t>
        </is>
      </c>
      <c r="L47" s="96" t="inlineStr">
        <is>
          <t>ONE</t>
        </is>
      </c>
      <c r="M47" s="96" t="inlineStr">
        <is>
          <t>VFL</t>
        </is>
      </c>
      <c r="N47" s="96" t="inlineStr">
        <is>
          <t>LCH04</t>
        </is>
      </c>
      <c r="O47" s="96" t="inlineStr">
        <is>
          <t>LCH</t>
        </is>
      </c>
      <c r="P47" s="96" t="inlineStr">
        <is>
          <t>TH</t>
        </is>
      </c>
      <c r="Q47" s="96" t="inlineStr">
        <is>
          <t>HASLS22261000810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ANX</t>
        </is>
      </c>
      <c r="U47" s="97" t="n"/>
      <c r="V47" s="96" t="inlineStr">
        <is>
          <t>K0120021</t>
        </is>
      </c>
      <c r="W47" s="96" t="inlineStr">
        <is>
          <t>EASTERN AIR LOGISTICS CO., LTD.</t>
        </is>
      </c>
      <c r="X47" s="96" t="inlineStr">
        <is>
          <t>VFD</t>
        </is>
      </c>
      <c r="Y47" s="96" t="inlineStr">
        <is>
          <t>PT. LG INNOTEK INDONESIA</t>
        </is>
      </c>
      <c r="Z47" s="96" t="inlineStr">
        <is>
          <t>PT. WIDE LOGISTICS</t>
        </is>
      </c>
      <c r="AA47" s="97" t="n">
        <v>1582.21</v>
      </c>
      <c r="AB47" s="96" t="inlineStr">
        <is>
          <t>LCH04</t>
        </is>
      </c>
      <c r="AC47" s="96" t="inlineStr">
        <is>
          <t>JKT02</t>
        </is>
      </c>
    </row>
    <row r="48" ht="12" customHeight="1">
      <c r="A48" s="96" t="inlineStr">
        <is>
          <t>SKLU2332480</t>
        </is>
      </c>
      <c r="B48" s="161" t="inlineStr">
        <is>
          <t>2026-10-24</t>
        </is>
      </c>
      <c r="C48" s="96" t="inlineStr">
        <is>
          <t>YSVY</t>
        </is>
      </c>
      <c r="D48" s="96" t="inlineStr">
        <is>
          <t>2608S</t>
        </is>
      </c>
      <c r="E48" s="96" t="inlineStr">
        <is>
          <t>22GP</t>
        </is>
      </c>
      <c r="F48" s="96" t="inlineStr">
        <is>
          <t>SD</t>
        </is>
      </c>
      <c r="G48" s="96" t="inlineStr">
        <is>
          <t>THLCH</t>
        </is>
      </c>
      <c r="H48" s="96" t="inlineStr">
        <is>
          <t>THLCH</t>
        </is>
      </c>
      <c r="I48" s="96" t="inlineStr">
        <is>
          <t>IDJKT</t>
        </is>
      </c>
      <c r="J48" s="96" t="inlineStr">
        <is>
          <t>IDJKT</t>
        </is>
      </c>
      <c r="K48" s="96" t="inlineStr">
        <is>
          <t>F</t>
        </is>
      </c>
      <c r="L48" s="96" t="inlineStr">
        <is>
          <t>ONE</t>
        </is>
      </c>
      <c r="M48" s="96" t="inlineStr">
        <is>
          <t>VFL</t>
        </is>
      </c>
      <c r="N48" s="96" t="inlineStr">
        <is>
          <t>LCH04</t>
        </is>
      </c>
      <c r="O48" s="96" t="inlineStr">
        <is>
          <t>LCH</t>
        </is>
      </c>
      <c r="P48" s="96" t="inlineStr">
        <is>
          <t>TH</t>
        </is>
      </c>
      <c r="Q48" s="96" t="inlineStr">
        <is>
          <t>HASLS22260900631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ANX</t>
        </is>
      </c>
      <c r="U48" s="97" t="n"/>
      <c r="V48" s="96" t="inlineStr">
        <is>
          <t>K0120021</t>
        </is>
      </c>
      <c r="W48" s="96" t="inlineStr">
        <is>
          <t>V.THAI FOOD PRODUCT CO.,LTD.</t>
        </is>
      </c>
      <c r="X48" s="96" t="inlineStr">
        <is>
          <t>VFD</t>
        </is>
      </c>
      <c r="Y48" s="96" t="inlineStr">
        <is>
          <t>PT EAKINDO MITRA SASTARI</t>
        </is>
      </c>
      <c r="Z48" s="96" t="inlineStr">
        <is>
          <t>PT EAKINDO MITRA SASTARI</t>
        </is>
      </c>
      <c r="AA48" s="97" t="n">
        <v>12344.6</v>
      </c>
      <c r="AB48" s="96" t="inlineStr">
        <is>
          <t>LCH04</t>
        </is>
      </c>
      <c r="AC48" s="96" t="inlineStr">
        <is>
          <t>JKT02</t>
        </is>
      </c>
    </row>
    <row r="49" ht="12" customHeight="1">
      <c r="A49" s="96" t="inlineStr">
        <is>
          <t>SKLU2471001</t>
        </is>
      </c>
      <c r="B49" s="161" t="inlineStr">
        <is>
          <t>2026-10-24</t>
        </is>
      </c>
      <c r="C49" s="96" t="inlineStr">
        <is>
          <t>YSVY</t>
        </is>
      </c>
      <c r="D49" s="96" t="inlineStr">
        <is>
          <t>2608S</t>
        </is>
      </c>
      <c r="E49" s="96" t="inlineStr">
        <is>
          <t>22GP</t>
        </is>
      </c>
      <c r="F49" s="96" t="inlineStr">
        <is>
          <t>SD</t>
        </is>
      </c>
      <c r="G49" s="96" t="inlineStr">
        <is>
          <t>THLCH</t>
        </is>
      </c>
      <c r="H49" s="96" t="inlineStr">
        <is>
          <t>THLCH</t>
        </is>
      </c>
      <c r="I49" s="96" t="inlineStr">
        <is>
          <t>IDJKT</t>
        </is>
      </c>
      <c r="J49" s="96" t="inlineStr">
        <is>
          <t>IDJKT</t>
        </is>
      </c>
      <c r="K49" s="96" t="inlineStr">
        <is>
          <t>F</t>
        </is>
      </c>
      <c r="L49" s="96" t="inlineStr">
        <is>
          <t>ONE</t>
        </is>
      </c>
      <c r="M49" s="96" t="inlineStr">
        <is>
          <t>VFL</t>
        </is>
      </c>
      <c r="N49" s="96" t="inlineStr">
        <is>
          <t>LCH04</t>
        </is>
      </c>
      <c r="O49" s="96" t="inlineStr">
        <is>
          <t>LCH</t>
        </is>
      </c>
      <c r="P49" s="96" t="inlineStr">
        <is>
          <t>TH</t>
        </is>
      </c>
      <c r="Q49" s="96" t="inlineStr">
        <is>
          <t>HASLS22261000578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ANX</t>
        </is>
      </c>
      <c r="U49" s="97" t="n"/>
      <c r="V49" s="96" t="inlineStr">
        <is>
          <t>K0120021</t>
        </is>
      </c>
      <c r="W49" s="96" t="inlineStr">
        <is>
          <t>ECOLAB LIMITED</t>
        </is>
      </c>
      <c r="X49" s="96" t="inlineStr">
        <is>
          <t>VFD</t>
        </is>
      </c>
      <c r="Y49" s="96" t="inlineStr">
        <is>
          <t>PT. ECOLAB SYNERGY INDONESIA</t>
        </is>
      </c>
      <c r="Z49" s="96" t="inlineStr">
        <is>
          <t>PT. ECOLAB SYNERGY INDONESIA</t>
        </is>
      </c>
      <c r="AA49" s="97" t="n">
        <v>134.282</v>
      </c>
      <c r="AB49" s="96" t="inlineStr">
        <is>
          <t>LCH04</t>
        </is>
      </c>
      <c r="AC49" s="96" t="inlineStr">
        <is>
          <t>JKT02</t>
        </is>
      </c>
    </row>
    <row r="50" ht="12" customHeight="1">
      <c r="A50" s="96" t="inlineStr">
        <is>
          <t>SKLU3509992</t>
        </is>
      </c>
      <c r="B50" s="161" t="inlineStr">
        <is>
          <t>2026-10-24</t>
        </is>
      </c>
      <c r="C50" s="96" t="inlineStr">
        <is>
          <t>YSVY</t>
        </is>
      </c>
      <c r="D50" s="96" t="inlineStr">
        <is>
          <t>2608S</t>
        </is>
      </c>
      <c r="E50" s="96" t="inlineStr">
        <is>
          <t>22GP</t>
        </is>
      </c>
      <c r="F50" s="96" t="inlineStr">
        <is>
          <t>SD</t>
        </is>
      </c>
      <c r="G50" s="96" t="inlineStr">
        <is>
          <t>THLCH</t>
        </is>
      </c>
      <c r="H50" s="96" t="inlineStr">
        <is>
          <t>THLCH</t>
        </is>
      </c>
      <c r="I50" s="96" t="inlineStr">
        <is>
          <t>IDJKT</t>
        </is>
      </c>
      <c r="J50" s="96" t="inlineStr">
        <is>
          <t>IDJKT</t>
        </is>
      </c>
      <c r="K50" s="96" t="inlineStr">
        <is>
          <t>F</t>
        </is>
      </c>
      <c r="L50" s="96" t="inlineStr">
        <is>
          <t>ONE</t>
        </is>
      </c>
      <c r="M50" s="96" t="inlineStr">
        <is>
          <t>VFL</t>
        </is>
      </c>
      <c r="N50" s="96" t="inlineStr">
        <is>
          <t>LCH04</t>
        </is>
      </c>
      <c r="O50" s="96" t="inlineStr">
        <is>
          <t>LCH</t>
        </is>
      </c>
      <c r="P50" s="96" t="inlineStr">
        <is>
          <t>TH</t>
        </is>
      </c>
      <c r="Q50" s="96" t="inlineStr">
        <is>
          <t>HASLS22261000132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ANX</t>
        </is>
      </c>
      <c r="U50" s="97" t="n"/>
      <c r="V50" s="96" t="inlineStr">
        <is>
          <t>K0120021</t>
        </is>
      </c>
      <c r="W50" s="96" t="inlineStr">
        <is>
          <t>PENANSHIN SHIPPING (THAILAND) LTD.</t>
        </is>
      </c>
      <c r="X50" s="96" t="inlineStr">
        <is>
          <t>VFD</t>
        </is>
      </c>
      <c r="Y50" s="96" t="inlineStr">
        <is>
          <t>PT PENZ STAR PANCA PERSADA</t>
        </is>
      </c>
      <c r="Z50" s="96" t="inlineStr">
        <is>
          <t>PT. WORLD STAR SHIPPING</t>
        </is>
      </c>
      <c r="AA50" s="97" t="n">
        <v>19124</v>
      </c>
      <c r="AB50" s="96" t="inlineStr">
        <is>
          <t>LCH04</t>
        </is>
      </c>
      <c r="AC50" s="96" t="inlineStr">
        <is>
          <t>JKT02</t>
        </is>
      </c>
    </row>
    <row r="51" ht="12" customHeight="1">
      <c r="A51" s="96" t="inlineStr">
        <is>
          <t>SKLU3512656</t>
        </is>
      </c>
      <c r="B51" s="161" t="inlineStr">
        <is>
          <t>2026-10-24</t>
        </is>
      </c>
      <c r="C51" s="96" t="inlineStr">
        <is>
          <t>YSVY</t>
        </is>
      </c>
      <c r="D51" s="96" t="inlineStr">
        <is>
          <t>2608S</t>
        </is>
      </c>
      <c r="E51" s="96" t="inlineStr">
        <is>
          <t>22GP</t>
        </is>
      </c>
      <c r="F51" s="96" t="inlineStr">
        <is>
          <t>SD</t>
        </is>
      </c>
      <c r="G51" s="96" t="inlineStr">
        <is>
          <t>THLCH</t>
        </is>
      </c>
      <c r="H51" s="96" t="inlineStr">
        <is>
          <t>THLCH</t>
        </is>
      </c>
      <c r="I51" s="96" t="inlineStr">
        <is>
          <t>IDJKT</t>
        </is>
      </c>
      <c r="J51" s="96" t="inlineStr">
        <is>
          <t>IDJKT</t>
        </is>
      </c>
      <c r="K51" s="96" t="inlineStr">
        <is>
          <t>F</t>
        </is>
      </c>
      <c r="L51" s="96" t="inlineStr">
        <is>
          <t>ONE</t>
        </is>
      </c>
      <c r="M51" s="96" t="inlineStr">
        <is>
          <t>VFL</t>
        </is>
      </c>
      <c r="N51" s="96" t="inlineStr">
        <is>
          <t>LCH04</t>
        </is>
      </c>
      <c r="O51" s="96" t="inlineStr">
        <is>
          <t>LCH</t>
        </is>
      </c>
      <c r="P51" s="96" t="inlineStr">
        <is>
          <t>TH</t>
        </is>
      </c>
      <c r="Q51" s="96" t="inlineStr">
        <is>
          <t>HASLS22260902768</t>
        </is>
      </c>
      <c r="R51" s="96" t="inlineStr">
        <is>
          <t>N</t>
        </is>
      </c>
      <c r="S51" s="96" t="inlineStr">
        <is>
          <t>N</t>
        </is>
      </c>
      <c r="T51" s="96" t="inlineStr">
        <is>
          <t>ANX</t>
        </is>
      </c>
      <c r="U51" s="97" t="n"/>
      <c r="V51" s="96" t="inlineStr">
        <is>
          <t>K0120021</t>
        </is>
      </c>
      <c r="W51" s="96" t="inlineStr">
        <is>
          <t>K LINE LOGISTICS (THAILAND) LTD.</t>
        </is>
      </c>
      <c r="X51" s="96" t="inlineStr">
        <is>
          <t>VFD</t>
        </is>
      </c>
      <c r="Y51" s="96" t="inlineStr">
        <is>
          <t>PT. TOYO INK INDONESIA</t>
        </is>
      </c>
      <c r="Z51" s="96" t="inlineStr">
        <is>
          <t>PT KLINE LOGISTICS INDONESIA</t>
        </is>
      </c>
      <c r="AA51" s="97" t="n">
        <v>10000</v>
      </c>
      <c r="AB51" s="96" t="inlineStr">
        <is>
          <t>LCH04</t>
        </is>
      </c>
      <c r="AC51" s="96" t="inlineStr">
        <is>
          <t>JKT02</t>
        </is>
      </c>
    </row>
    <row r="52" ht="12" customHeight="1">
      <c r="A52" s="96" t="inlineStr">
        <is>
          <t>SKLU4208946</t>
        </is>
      </c>
      <c r="B52" s="161" t="inlineStr">
        <is>
          <t>2026-10-24</t>
        </is>
      </c>
      <c r="C52" s="96" t="inlineStr">
        <is>
          <t>YSVY</t>
        </is>
      </c>
      <c r="D52" s="96" t="inlineStr">
        <is>
          <t>2608S</t>
        </is>
      </c>
      <c r="E52" s="96" t="inlineStr">
        <is>
          <t>42GP</t>
        </is>
      </c>
      <c r="F52" s="96" t="inlineStr">
        <is>
          <t>SD</t>
        </is>
      </c>
      <c r="G52" s="96" t="inlineStr">
        <is>
          <t>THLCH</t>
        </is>
      </c>
      <c r="H52" s="96" t="inlineStr">
        <is>
          <t>THLCH</t>
        </is>
      </c>
      <c r="I52" s="96" t="inlineStr">
        <is>
          <t>IDJKT</t>
        </is>
      </c>
      <c r="J52" s="96" t="inlineStr">
        <is>
          <t>IDJKT</t>
        </is>
      </c>
      <c r="K52" s="96" t="inlineStr">
        <is>
          <t>F</t>
        </is>
      </c>
      <c r="L52" s="96" t="inlineStr">
        <is>
          <t>ONE</t>
        </is>
      </c>
      <c r="M52" s="96" t="inlineStr">
        <is>
          <t>VFL</t>
        </is>
      </c>
      <c r="N52" s="96" t="inlineStr">
        <is>
          <t>LCH04</t>
        </is>
      </c>
      <c r="O52" s="96" t="inlineStr">
        <is>
          <t>LCH</t>
        </is>
      </c>
      <c r="P52" s="96" t="inlineStr">
        <is>
          <t>TH</t>
        </is>
      </c>
      <c r="Q52" s="96" t="inlineStr">
        <is>
          <t>HASLS22261000777</t>
        </is>
      </c>
      <c r="R52" s="96" t="inlineStr">
        <is>
          <t>N</t>
        </is>
      </c>
      <c r="S52" s="96" t="inlineStr">
        <is>
          <t>N</t>
        </is>
      </c>
      <c r="T52" s="96" t="inlineStr">
        <is>
          <t>ANX</t>
        </is>
      </c>
      <c r="U52" s="97" t="n"/>
      <c r="V52" s="96" t="inlineStr">
        <is>
          <t>K0120022</t>
        </is>
      </c>
      <c r="W52" s="96" t="inlineStr">
        <is>
          <t>JUPITER LOGISTICS (THAILAND)</t>
        </is>
      </c>
      <c r="X52" s="96" t="inlineStr">
        <is>
          <t>VFD</t>
        </is>
      </c>
      <c r="Y52" s="96" t="inlineStr">
        <is>
          <t>PT DENSO INDONESIA-BEKASI PLANT</t>
        </is>
      </c>
      <c r="Z52" s="96" t="inlineStr">
        <is>
          <t>FAJAR INSAN NUSANTARA</t>
        </is>
      </c>
      <c r="AA52" s="97" t="n">
        <v>16295</v>
      </c>
      <c r="AB52" s="96" t="inlineStr">
        <is>
          <t>LCH04</t>
        </is>
      </c>
      <c r="AC52" s="96" t="inlineStr">
        <is>
          <t>JKT02</t>
        </is>
      </c>
    </row>
    <row r="53" ht="12" customHeight="1">
      <c r="A53" s="96" t="inlineStr">
        <is>
          <t>SKRU8900039</t>
        </is>
      </c>
      <c r="B53" s="161" t="inlineStr">
        <is>
          <t>2026-10-24</t>
        </is>
      </c>
      <c r="C53" s="96" t="inlineStr">
        <is>
          <t>YSVY</t>
        </is>
      </c>
      <c r="D53" s="96" t="inlineStr">
        <is>
          <t>2608S</t>
        </is>
      </c>
      <c r="E53" s="96" t="inlineStr">
        <is>
          <t>45RE</t>
        </is>
      </c>
      <c r="F53" s="96" t="inlineStr">
        <is>
          <t>SD</t>
        </is>
      </c>
      <c r="G53" s="96" t="inlineStr">
        <is>
          <t>THLCH</t>
        </is>
      </c>
      <c r="H53" s="96" t="inlineStr">
        <is>
          <t>THLCH</t>
        </is>
      </c>
      <c r="I53" s="96" t="inlineStr">
        <is>
          <t>IDJKT</t>
        </is>
      </c>
      <c r="J53" s="96" t="inlineStr">
        <is>
          <t>IDJKT</t>
        </is>
      </c>
      <c r="K53" s="96" t="inlineStr">
        <is>
          <t>F</t>
        </is>
      </c>
      <c r="L53" s="96" t="inlineStr">
        <is>
          <t>ONE</t>
        </is>
      </c>
      <c r="M53" s="96" t="inlineStr">
        <is>
          <t>VFL</t>
        </is>
      </c>
      <c r="N53" s="96" t="inlineStr">
        <is>
          <t>LCH04</t>
        </is>
      </c>
      <c r="O53" s="96" t="inlineStr">
        <is>
          <t>LCH</t>
        </is>
      </c>
      <c r="P53" s="96" t="inlineStr">
        <is>
          <t>TH</t>
        </is>
      </c>
      <c r="Q53" s="96" t="inlineStr">
        <is>
          <t>HASLS22261000093</t>
        </is>
      </c>
      <c r="R53" s="96" t="inlineStr">
        <is>
          <t>N</t>
        </is>
      </c>
      <c r="S53" s="96" t="inlineStr">
        <is>
          <t>N</t>
        </is>
      </c>
      <c r="T53" s="96" t="inlineStr">
        <is>
          <t>ANX</t>
        </is>
      </c>
      <c r="U53" s="97" t="n"/>
      <c r="V53" s="96" t="inlineStr">
        <is>
          <t>K0120025</t>
        </is>
      </c>
      <c r="W53" s="96" t="inlineStr">
        <is>
          <t>FRUIT PARADISE INTERNATIONAL</t>
        </is>
      </c>
      <c r="X53" s="96" t="inlineStr">
        <is>
          <t>VFD</t>
        </is>
      </c>
      <c r="Y53" s="96" t="inlineStr">
        <is>
          <t>CV. BELIMBING SEJAHTERA</t>
        </is>
      </c>
      <c r="Z53" s="96" t="inlineStr">
        <is>
          <t>CV. BELIMBING SEJAHTERA</t>
        </is>
      </c>
      <c r="AA53" s="97" t="n">
        <v>27162.5</v>
      </c>
      <c r="AB53" s="96" t="inlineStr">
        <is>
          <t>LCH04</t>
        </is>
      </c>
      <c r="AC53" s="96" t="inlineStr">
        <is>
          <t>JKT02</t>
        </is>
      </c>
    </row>
    <row r="54" ht="12" customHeight="1">
      <c r="A54" s="96" t="inlineStr">
        <is>
          <t>SKRU9100410</t>
        </is>
      </c>
      <c r="B54" s="161" t="inlineStr">
        <is>
          <t>2026-10-24</t>
        </is>
      </c>
      <c r="C54" s="96" t="inlineStr">
        <is>
          <t>YSVY</t>
        </is>
      </c>
      <c r="D54" s="96" t="inlineStr">
        <is>
          <t>2608S</t>
        </is>
      </c>
      <c r="E54" s="96" t="inlineStr">
        <is>
          <t>45RE</t>
        </is>
      </c>
      <c r="F54" s="96" t="inlineStr">
        <is>
          <t>SD</t>
        </is>
      </c>
      <c r="G54" s="96" t="inlineStr">
        <is>
          <t>THLCH</t>
        </is>
      </c>
      <c r="H54" s="96" t="inlineStr">
        <is>
          <t>THLCH</t>
        </is>
      </c>
      <c r="I54" s="96" t="inlineStr">
        <is>
          <t>IDJKT</t>
        </is>
      </c>
      <c r="J54" s="96" t="inlineStr">
        <is>
          <t>IDJKT</t>
        </is>
      </c>
      <c r="K54" s="96" t="inlineStr">
        <is>
          <t>F</t>
        </is>
      </c>
      <c r="L54" s="96" t="inlineStr">
        <is>
          <t>ONE</t>
        </is>
      </c>
      <c r="M54" s="96" t="inlineStr">
        <is>
          <t>VFL</t>
        </is>
      </c>
      <c r="N54" s="96" t="inlineStr">
        <is>
          <t>LCH04</t>
        </is>
      </c>
      <c r="O54" s="96" t="inlineStr">
        <is>
          <t>LCH</t>
        </is>
      </c>
      <c r="P54" s="96" t="inlineStr">
        <is>
          <t>TH</t>
        </is>
      </c>
      <c r="Q54" s="96" t="inlineStr">
        <is>
          <t>HASLS22261000094</t>
        </is>
      </c>
      <c r="R54" s="96" t="inlineStr">
        <is>
          <t>N</t>
        </is>
      </c>
      <c r="S54" s="96" t="inlineStr">
        <is>
          <t>N</t>
        </is>
      </c>
      <c r="T54" s="96" t="inlineStr">
        <is>
          <t>ANX</t>
        </is>
      </c>
      <c r="U54" s="97" t="n"/>
      <c r="V54" s="96" t="inlineStr">
        <is>
          <t>K0120025</t>
        </is>
      </c>
      <c r="W54" s="96" t="inlineStr">
        <is>
          <t>FRUIT PARADISE INTERNATIONAL</t>
        </is>
      </c>
      <c r="X54" s="96" t="inlineStr">
        <is>
          <t>VFD</t>
        </is>
      </c>
      <c r="Y54" s="96" t="inlineStr">
        <is>
          <t>PT. JAGRA WAHANA SUKSES</t>
        </is>
      </c>
      <c r="Z54" s="96" t="inlineStr">
        <is>
          <t>PT. JAGRA WAHANA SUKSES</t>
        </is>
      </c>
      <c r="AA54" s="97" t="n">
        <v>27725</v>
      </c>
      <c r="AB54" s="96" t="inlineStr">
        <is>
          <t>LCH04</t>
        </is>
      </c>
      <c r="AC54" s="96" t="inlineStr">
        <is>
          <t>JKT02</t>
        </is>
      </c>
    </row>
    <row r="55" ht="12" customHeight="1">
      <c r="A55" s="96" t="inlineStr">
        <is>
          <t>SKRU9100914</t>
        </is>
      </c>
      <c r="B55" s="161" t="inlineStr">
        <is>
          <t>2026-10-24</t>
        </is>
      </c>
      <c r="C55" s="96" t="inlineStr">
        <is>
          <t>YSVY</t>
        </is>
      </c>
      <c r="D55" s="96" t="inlineStr">
        <is>
          <t>2608S</t>
        </is>
      </c>
      <c r="E55" s="96" t="inlineStr">
        <is>
          <t>45RE</t>
        </is>
      </c>
      <c r="F55" s="96" t="inlineStr">
        <is>
          <t>SD</t>
        </is>
      </c>
      <c r="G55" s="96" t="inlineStr">
        <is>
          <t>THLCH</t>
        </is>
      </c>
      <c r="H55" s="96" t="inlineStr">
        <is>
          <t>THLCH</t>
        </is>
      </c>
      <c r="I55" s="96" t="inlineStr">
        <is>
          <t>IDJKT</t>
        </is>
      </c>
      <c r="J55" s="96" t="inlineStr">
        <is>
          <t>IDJKT</t>
        </is>
      </c>
      <c r="K55" s="96" t="inlineStr">
        <is>
          <t>F</t>
        </is>
      </c>
      <c r="L55" s="96" t="inlineStr">
        <is>
          <t>ONE</t>
        </is>
      </c>
      <c r="M55" s="96" t="inlineStr">
        <is>
          <t>VFL</t>
        </is>
      </c>
      <c r="N55" s="96" t="inlineStr">
        <is>
          <t>LCH04</t>
        </is>
      </c>
      <c r="O55" s="96" t="inlineStr">
        <is>
          <t>LCH</t>
        </is>
      </c>
      <c r="P55" s="96" t="inlineStr">
        <is>
          <t>TH</t>
        </is>
      </c>
      <c r="Q55" s="96" t="inlineStr">
        <is>
          <t>HASLS22260902289</t>
        </is>
      </c>
      <c r="R55" s="96" t="inlineStr">
        <is>
          <t>N</t>
        </is>
      </c>
      <c r="S55" s="96" t="inlineStr">
        <is>
          <t>N</t>
        </is>
      </c>
      <c r="T55" s="96" t="inlineStr">
        <is>
          <t>ANX</t>
        </is>
      </c>
      <c r="U55" s="97" t="n"/>
      <c r="V55" s="96" t="inlineStr">
        <is>
          <t>K0120025</t>
        </is>
      </c>
      <c r="W55" s="96" t="inlineStr">
        <is>
          <t>INTER FRESH CO.,LTD</t>
        </is>
      </c>
      <c r="X55" s="96" t="inlineStr">
        <is>
          <t>VFD</t>
        </is>
      </c>
      <c r="Y55" s="96" t="inlineStr">
        <is>
          <t>PT. BUAH UTAMA MANDIRI</t>
        </is>
      </c>
      <c r="Z55" s="96" t="inlineStr">
        <is>
          <t>PT. BUAH UTAMA MANDIRI</t>
        </is>
      </c>
      <c r="AA55" s="97" t="n">
        <v>27162.5</v>
      </c>
      <c r="AB55" s="96" t="inlineStr">
        <is>
          <t>LCH04</t>
        </is>
      </c>
      <c r="AC55" s="96" t="inlineStr">
        <is>
          <t>JKT02</t>
        </is>
      </c>
    </row>
    <row r="56" ht="12" customHeight="1">
      <c r="A56" s="96" t="inlineStr">
        <is>
          <t>SKRU9101525</t>
        </is>
      </c>
      <c r="B56" s="161" t="inlineStr">
        <is>
          <t>2026-10-24</t>
        </is>
      </c>
      <c r="C56" s="96" t="inlineStr">
        <is>
          <t>YSVY</t>
        </is>
      </c>
      <c r="D56" s="96" t="inlineStr">
        <is>
          <t>2608S</t>
        </is>
      </c>
      <c r="E56" s="96" t="inlineStr">
        <is>
          <t>45RE</t>
        </is>
      </c>
      <c r="F56" s="96" t="inlineStr">
        <is>
          <t>SD</t>
        </is>
      </c>
      <c r="G56" s="96" t="inlineStr">
        <is>
          <t>THLCH</t>
        </is>
      </c>
      <c r="H56" s="96" t="inlineStr">
        <is>
          <t>THLCH</t>
        </is>
      </c>
      <c r="I56" s="96" t="inlineStr">
        <is>
          <t>IDJKT</t>
        </is>
      </c>
      <c r="J56" s="96" t="inlineStr">
        <is>
          <t>IDJKT</t>
        </is>
      </c>
      <c r="K56" s="96" t="inlineStr">
        <is>
          <t>F</t>
        </is>
      </c>
      <c r="L56" s="96" t="inlineStr">
        <is>
          <t>ONE</t>
        </is>
      </c>
      <c r="M56" s="96" t="inlineStr">
        <is>
          <t>VFL</t>
        </is>
      </c>
      <c r="N56" s="96" t="inlineStr">
        <is>
          <t>LCH04</t>
        </is>
      </c>
      <c r="O56" s="96" t="inlineStr">
        <is>
          <t>LCH</t>
        </is>
      </c>
      <c r="P56" s="96" t="inlineStr">
        <is>
          <t>TH</t>
        </is>
      </c>
      <c r="Q56" s="96" t="inlineStr">
        <is>
          <t>HASLS22261000236</t>
        </is>
      </c>
      <c r="R56" s="96" t="inlineStr">
        <is>
          <t>N</t>
        </is>
      </c>
      <c r="S56" s="96" t="inlineStr">
        <is>
          <t>N</t>
        </is>
      </c>
      <c r="T56" s="96" t="inlineStr">
        <is>
          <t>ANX</t>
        </is>
      </c>
      <c r="U56" s="97" t="n"/>
      <c r="V56" s="96" t="inlineStr">
        <is>
          <t>K0120025</t>
        </is>
      </c>
      <c r="W56" s="96" t="inlineStr">
        <is>
          <t>ACE STAR INTERNATIONAL TRADING</t>
        </is>
      </c>
      <c r="X56" s="96" t="inlineStr">
        <is>
          <t>VFD</t>
        </is>
      </c>
      <c r="Y56" s="96" t="inlineStr">
        <is>
          <t>PT. INDOPAR PRIMA</t>
        </is>
      </c>
      <c r="Z56" s="96" t="inlineStr">
        <is>
          <t>PT. INDOPAR PRIMA</t>
        </is>
      </c>
      <c r="AA56" s="97" t="n">
        <v>28125</v>
      </c>
      <c r="AB56" s="96" t="inlineStr">
        <is>
          <t>LCH04</t>
        </is>
      </c>
      <c r="AC56" s="96" t="inlineStr">
        <is>
          <t>JKT02</t>
        </is>
      </c>
    </row>
    <row r="57" ht="12" customHeight="1">
      <c r="A57" s="96" t="inlineStr">
        <is>
          <t>SKRU9200240</t>
        </is>
      </c>
      <c r="B57" s="161" t="inlineStr">
        <is>
          <t>2026-10-24</t>
        </is>
      </c>
      <c r="C57" s="96" t="inlineStr">
        <is>
          <t>YSVY</t>
        </is>
      </c>
      <c r="D57" s="96" t="inlineStr">
        <is>
          <t>2608S</t>
        </is>
      </c>
      <c r="E57" s="96" t="inlineStr">
        <is>
          <t>45RE</t>
        </is>
      </c>
      <c r="F57" s="96" t="inlineStr">
        <is>
          <t>SD</t>
        </is>
      </c>
      <c r="G57" s="96" t="inlineStr">
        <is>
          <t>THLCH</t>
        </is>
      </c>
      <c r="H57" s="96" t="inlineStr">
        <is>
          <t>THLCH</t>
        </is>
      </c>
      <c r="I57" s="96" t="inlineStr">
        <is>
          <t>IDJKT</t>
        </is>
      </c>
      <c r="J57" s="96" t="inlineStr">
        <is>
          <t>IDJKT</t>
        </is>
      </c>
      <c r="K57" s="96" t="inlineStr">
        <is>
          <t>F</t>
        </is>
      </c>
      <c r="L57" s="96" t="inlineStr">
        <is>
          <t>ONE</t>
        </is>
      </c>
      <c r="M57" s="96" t="inlineStr">
        <is>
          <t>VFL</t>
        </is>
      </c>
      <c r="N57" s="96" t="inlineStr">
        <is>
          <t>LCH04</t>
        </is>
      </c>
      <c r="O57" s="96" t="inlineStr">
        <is>
          <t>LCH</t>
        </is>
      </c>
      <c r="P57" s="96" t="inlineStr">
        <is>
          <t>TH</t>
        </is>
      </c>
      <c r="Q57" s="96" t="inlineStr">
        <is>
          <t>HASLS22261000233</t>
        </is>
      </c>
      <c r="R57" s="96" t="inlineStr">
        <is>
          <t>N</t>
        </is>
      </c>
      <c r="S57" s="96" t="inlineStr">
        <is>
          <t>N</t>
        </is>
      </c>
      <c r="T57" s="96" t="inlineStr">
        <is>
          <t>ANX</t>
        </is>
      </c>
      <c r="U57" s="97" t="n"/>
      <c r="V57" s="96" t="inlineStr">
        <is>
          <t>K0120025</t>
        </is>
      </c>
      <c r="W57" s="96" t="inlineStr">
        <is>
          <t>SUCCESS IMPORT &amp; EXPORT CO.,LTD.</t>
        </is>
      </c>
      <c r="X57" s="96" t="inlineStr">
        <is>
          <t>VFD</t>
        </is>
      </c>
      <c r="Y57" s="96" t="inlineStr">
        <is>
          <t>PT. MANGGIS ELOK UTAMA</t>
        </is>
      </c>
      <c r="Z57" s="96" t="inlineStr">
        <is>
          <t>PT. MANGGIS ELOK UTAMA</t>
        </is>
      </c>
      <c r="AA57" s="97" t="n">
        <v>27162.5</v>
      </c>
      <c r="AB57" s="96" t="inlineStr">
        <is>
          <t>LCH04</t>
        </is>
      </c>
      <c r="AC57" s="96" t="inlineStr">
        <is>
          <t>JKT02</t>
        </is>
      </c>
    </row>
    <row r="58" ht="12" customHeight="1">
      <c r="A58" s="96" t="inlineStr">
        <is>
          <t>SKRU9201294</t>
        </is>
      </c>
      <c r="B58" s="161" t="inlineStr">
        <is>
          <t>2026-10-24</t>
        </is>
      </c>
      <c r="C58" s="96" t="inlineStr">
        <is>
          <t>YSVY</t>
        </is>
      </c>
      <c r="D58" s="96" t="inlineStr">
        <is>
          <t>2608S</t>
        </is>
      </c>
      <c r="E58" s="96" t="inlineStr">
        <is>
          <t>45RE</t>
        </is>
      </c>
      <c r="F58" s="96" t="inlineStr">
        <is>
          <t>SD</t>
        </is>
      </c>
      <c r="G58" s="96" t="inlineStr">
        <is>
          <t>THLCH</t>
        </is>
      </c>
      <c r="H58" s="96" t="inlineStr">
        <is>
          <t>THLCH</t>
        </is>
      </c>
      <c r="I58" s="96" t="inlineStr">
        <is>
          <t>IDJKT</t>
        </is>
      </c>
      <c r="J58" s="96" t="inlineStr">
        <is>
          <t>IDJKT</t>
        </is>
      </c>
      <c r="K58" s="96" t="inlineStr">
        <is>
          <t>F</t>
        </is>
      </c>
      <c r="L58" s="96" t="inlineStr">
        <is>
          <t>ONE</t>
        </is>
      </c>
      <c r="M58" s="96" t="inlineStr">
        <is>
          <t>VFL</t>
        </is>
      </c>
      <c r="N58" s="96" t="inlineStr">
        <is>
          <t>LCH04</t>
        </is>
      </c>
      <c r="O58" s="96" t="inlineStr">
        <is>
          <t>LCH</t>
        </is>
      </c>
      <c r="P58" s="96" t="inlineStr">
        <is>
          <t>TH</t>
        </is>
      </c>
      <c r="Q58" s="96" t="inlineStr">
        <is>
          <t>HASLS22261000095</t>
        </is>
      </c>
      <c r="R58" s="96" t="inlineStr">
        <is>
          <t>N</t>
        </is>
      </c>
      <c r="S58" s="96" t="inlineStr">
        <is>
          <t>N</t>
        </is>
      </c>
      <c r="T58" s="96" t="inlineStr">
        <is>
          <t>ANX</t>
        </is>
      </c>
      <c r="U58" s="97" t="n"/>
      <c r="V58" s="96" t="inlineStr">
        <is>
          <t>K0120025</t>
        </is>
      </c>
      <c r="W58" s="96" t="inlineStr">
        <is>
          <t>FRUIT PARADISE INTERNATIONAL</t>
        </is>
      </c>
      <c r="X58" s="96" t="inlineStr">
        <is>
          <t>VFD</t>
        </is>
      </c>
      <c r="Y58" s="96" t="inlineStr">
        <is>
          <t>PT. USAHA BERKAH INOVASI</t>
        </is>
      </c>
      <c r="Z58" s="96" t="inlineStr">
        <is>
          <t>PT. USAHA BERKAH INOVASI</t>
        </is>
      </c>
      <c r="AA58" s="97" t="n">
        <v>27162.5</v>
      </c>
      <c r="AB58" s="96" t="inlineStr">
        <is>
          <t>LCH04</t>
        </is>
      </c>
      <c r="AC58" s="96" t="inlineStr">
        <is>
          <t>JKT02</t>
        </is>
      </c>
    </row>
    <row r="59" ht="12" customHeight="1">
      <c r="A59" s="96" t="inlineStr">
        <is>
          <t>SKRU9600910</t>
        </is>
      </c>
      <c r="B59" s="161" t="inlineStr">
        <is>
          <t>2026-10-24</t>
        </is>
      </c>
      <c r="C59" s="96" t="inlineStr">
        <is>
          <t>YSVY</t>
        </is>
      </c>
      <c r="D59" s="96" t="inlineStr">
        <is>
          <t>2608S</t>
        </is>
      </c>
      <c r="E59" s="96" t="inlineStr">
        <is>
          <t>45RE</t>
        </is>
      </c>
      <c r="F59" s="96" t="inlineStr">
        <is>
          <t>SD</t>
        </is>
      </c>
      <c r="G59" s="96" t="inlineStr">
        <is>
          <t>THLCH</t>
        </is>
      </c>
      <c r="H59" s="96" t="inlineStr">
        <is>
          <t>THLCH</t>
        </is>
      </c>
      <c r="I59" s="96" t="inlineStr">
        <is>
          <t>IDJKT</t>
        </is>
      </c>
      <c r="J59" s="96" t="inlineStr">
        <is>
          <t>IDJKT</t>
        </is>
      </c>
      <c r="K59" s="96" t="inlineStr">
        <is>
          <t>F</t>
        </is>
      </c>
      <c r="L59" s="96" t="inlineStr">
        <is>
          <t>ONE</t>
        </is>
      </c>
      <c r="M59" s="96" t="inlineStr">
        <is>
          <t>VFL</t>
        </is>
      </c>
      <c r="N59" s="96" t="inlineStr">
        <is>
          <t>LCH04</t>
        </is>
      </c>
      <c r="O59" s="96" t="inlineStr">
        <is>
          <t>LCH</t>
        </is>
      </c>
      <c r="P59" s="96" t="inlineStr">
        <is>
          <t>TH</t>
        </is>
      </c>
      <c r="Q59" s="96" t="inlineStr">
        <is>
          <t>HASLS22260902288</t>
        </is>
      </c>
      <c r="R59" s="96" t="inlineStr">
        <is>
          <t>N</t>
        </is>
      </c>
      <c r="S59" s="96" t="inlineStr">
        <is>
          <t>N</t>
        </is>
      </c>
      <c r="T59" s="96" t="inlineStr">
        <is>
          <t>ANX</t>
        </is>
      </c>
      <c r="U59" s="97" t="n"/>
      <c r="V59" s="96" t="inlineStr">
        <is>
          <t>K0120025</t>
        </is>
      </c>
      <c r="W59" s="96" t="inlineStr">
        <is>
          <t>INTER FRESH CO.,LTD</t>
        </is>
      </c>
      <c r="X59" s="96" t="inlineStr">
        <is>
          <t>VFD</t>
        </is>
      </c>
      <c r="Y59" s="96" t="inlineStr">
        <is>
          <t>PT. PUSAKA MAKMUR SEJATI</t>
        </is>
      </c>
      <c r="Z59" s="96" t="inlineStr">
        <is>
          <t>PT. PUSAKA MAKMUR SEJATI</t>
        </is>
      </c>
      <c r="AA59" s="97" t="n">
        <v>27162.5</v>
      </c>
      <c r="AB59" s="96" t="inlineStr">
        <is>
          <t>LCH04</t>
        </is>
      </c>
      <c r="AC59" s="96" t="inlineStr">
        <is>
          <t>JKT02</t>
        </is>
      </c>
    </row>
    <row r="60" ht="12" customHeight="1">
      <c r="A60" s="96" t="inlineStr">
        <is>
          <t>SZLU9228144</t>
        </is>
      </c>
      <c r="B60" s="161" t="inlineStr">
        <is>
          <t>2026-10-24</t>
        </is>
      </c>
      <c r="C60" s="96" t="inlineStr">
        <is>
          <t>YSVY</t>
        </is>
      </c>
      <c r="D60" s="96" t="inlineStr">
        <is>
          <t>2608S</t>
        </is>
      </c>
      <c r="E60" s="96" t="inlineStr">
        <is>
          <t>45RE</t>
        </is>
      </c>
      <c r="F60" s="96" t="inlineStr">
        <is>
          <t>SD</t>
        </is>
      </c>
      <c r="G60" s="96" t="inlineStr">
        <is>
          <t>THLCH</t>
        </is>
      </c>
      <c r="H60" s="96" t="inlineStr">
        <is>
          <t>THLCH</t>
        </is>
      </c>
      <c r="I60" s="96" t="inlineStr">
        <is>
          <t>IDJKT</t>
        </is>
      </c>
      <c r="J60" s="96" t="inlineStr">
        <is>
          <t>IDJKT</t>
        </is>
      </c>
      <c r="K60" s="96" t="inlineStr">
        <is>
          <t>F</t>
        </is>
      </c>
      <c r="L60" s="96" t="inlineStr">
        <is>
          <t>L/T</t>
        </is>
      </c>
      <c r="M60" s="96" t="inlineStr">
        <is>
          <t>VFL</t>
        </is>
      </c>
      <c r="N60" s="96" t="inlineStr">
        <is>
          <t>LCH04</t>
        </is>
      </c>
      <c r="O60" s="96" t="inlineStr">
        <is>
          <t>LCH</t>
        </is>
      </c>
      <c r="P60" s="96" t="inlineStr">
        <is>
          <t>TH</t>
        </is>
      </c>
      <c r="Q60" s="96" t="inlineStr">
        <is>
          <t>HASLS22261000235</t>
        </is>
      </c>
      <c r="R60" s="96" t="inlineStr">
        <is>
          <t>N</t>
        </is>
      </c>
      <c r="S60" s="96" t="inlineStr">
        <is>
          <t>N</t>
        </is>
      </c>
      <c r="T60" s="96" t="inlineStr">
        <is>
          <t>ANX</t>
        </is>
      </c>
      <c r="U60" s="97" t="n"/>
      <c r="V60" s="96" t="inlineStr">
        <is>
          <t>TAO17L02</t>
        </is>
      </c>
      <c r="W60" s="96" t="inlineStr">
        <is>
          <t>SUCCESS IMPORT &amp; EXPORT CO.,LTD.</t>
        </is>
      </c>
      <c r="X60" s="96" t="inlineStr">
        <is>
          <t>VFD</t>
        </is>
      </c>
      <c r="Y60" s="96" t="inlineStr">
        <is>
          <t>PT. MANGGIS ELOK UTAMA</t>
        </is>
      </c>
      <c r="Z60" s="96" t="inlineStr">
        <is>
          <t>PT. MANGGIS ELOK UTAMA</t>
        </is>
      </c>
      <c r="AA60" s="97" t="n">
        <v>27079</v>
      </c>
      <c r="AB60" s="96" t="inlineStr">
        <is>
          <t>LCH04</t>
        </is>
      </c>
      <c r="AC60" s="96" t="inlineStr">
        <is>
          <t>JKT02</t>
        </is>
      </c>
    </row>
    <row r="61" ht="12" customHeight="1">
      <c r="A61" s="96" t="inlineStr">
        <is>
          <t>SZLU9371730</t>
        </is>
      </c>
      <c r="B61" s="161" t="inlineStr">
        <is>
          <t>2026-10-24</t>
        </is>
      </c>
      <c r="C61" s="96" t="inlineStr">
        <is>
          <t>YSVY</t>
        </is>
      </c>
      <c r="D61" s="96" t="inlineStr">
        <is>
          <t>2608S</t>
        </is>
      </c>
      <c r="E61" s="96" t="inlineStr">
        <is>
          <t>45RE</t>
        </is>
      </c>
      <c r="F61" s="96" t="inlineStr">
        <is>
          <t>SD</t>
        </is>
      </c>
      <c r="G61" s="96" t="inlineStr">
        <is>
          <t>THLCH</t>
        </is>
      </c>
      <c r="H61" s="96" t="inlineStr">
        <is>
          <t>THLCH</t>
        </is>
      </c>
      <c r="I61" s="96" t="inlineStr">
        <is>
          <t>IDJKT</t>
        </is>
      </c>
      <c r="J61" s="96" t="inlineStr">
        <is>
          <t>IDJKT</t>
        </is>
      </c>
      <c r="K61" s="96" t="inlineStr">
        <is>
          <t>F</t>
        </is>
      </c>
      <c r="L61" s="96" t="inlineStr">
        <is>
          <t>L/T</t>
        </is>
      </c>
      <c r="M61" s="96" t="inlineStr">
        <is>
          <t>VFL</t>
        </is>
      </c>
      <c r="N61" s="96" t="inlineStr">
        <is>
          <t>LCH04</t>
        </is>
      </c>
      <c r="O61" s="96" t="inlineStr">
        <is>
          <t>LCH</t>
        </is>
      </c>
      <c r="P61" s="96" t="inlineStr">
        <is>
          <t>TH</t>
        </is>
      </c>
      <c r="Q61" s="96" t="inlineStr">
        <is>
          <t>HASLS22261000096</t>
        </is>
      </c>
      <c r="R61" s="96" t="inlineStr">
        <is>
          <t>N</t>
        </is>
      </c>
      <c r="S61" s="96" t="inlineStr">
        <is>
          <t>N</t>
        </is>
      </c>
      <c r="T61" s="96" t="inlineStr">
        <is>
          <t>ANX</t>
        </is>
      </c>
      <c r="U61" s="97" t="n"/>
      <c r="V61" s="96" t="inlineStr">
        <is>
          <t>TAO17L06</t>
        </is>
      </c>
      <c r="W61" s="96" t="inlineStr">
        <is>
          <t>FRUIT PARADISE INTERNATIONAL</t>
        </is>
      </c>
      <c r="X61" s="96" t="inlineStr">
        <is>
          <t>VFD</t>
        </is>
      </c>
      <c r="Y61" s="96" t="inlineStr">
        <is>
          <t>PT. USAHA BERKAH INOVASI</t>
        </is>
      </c>
      <c r="Z61" s="96" t="inlineStr">
        <is>
          <t>PT. USAHA BERKAH INOVASI</t>
        </is>
      </c>
      <c r="AA61" s="97" t="n">
        <v>27162.5</v>
      </c>
      <c r="AB61" s="96" t="inlineStr">
        <is>
          <t>LCH04</t>
        </is>
      </c>
      <c r="AC61" s="96" t="inlineStr">
        <is>
          <t>JKT02</t>
        </is>
      </c>
    </row>
    <row r="62" ht="12" customHeight="1">
      <c r="A62" s="96" t="inlineStr">
        <is>
          <t>TCNU6296852</t>
        </is>
      </c>
      <c r="B62" s="161" t="inlineStr">
        <is>
          <t>2026-10-24</t>
        </is>
      </c>
      <c r="C62" s="96" t="inlineStr">
        <is>
          <t>YSVY</t>
        </is>
      </c>
      <c r="D62" s="96" t="inlineStr">
        <is>
          <t>2608S</t>
        </is>
      </c>
      <c r="E62" s="96" t="inlineStr">
        <is>
          <t>45GP</t>
        </is>
      </c>
      <c r="F62" s="96" t="inlineStr">
        <is>
          <t>SD</t>
        </is>
      </c>
      <c r="G62" s="96" t="inlineStr">
        <is>
          <t>THLCH</t>
        </is>
      </c>
      <c r="H62" s="96" t="inlineStr">
        <is>
          <t>THLCH</t>
        </is>
      </c>
      <c r="I62" s="96" t="inlineStr">
        <is>
          <t>IDJKT</t>
        </is>
      </c>
      <c r="J62" s="96" t="inlineStr">
        <is>
          <t>IDJKT</t>
        </is>
      </c>
      <c r="K62" s="96" t="inlineStr">
        <is>
          <t>F</t>
        </is>
      </c>
      <c r="L62" s="96" t="inlineStr">
        <is>
          <t>ONE</t>
        </is>
      </c>
      <c r="M62" s="96" t="inlineStr">
        <is>
          <t>VFL</t>
        </is>
      </c>
      <c r="N62" s="96" t="inlineStr">
        <is>
          <t>LCH04</t>
        </is>
      </c>
      <c r="O62" s="96" t="inlineStr">
        <is>
          <t>LCH</t>
        </is>
      </c>
      <c r="P62" s="96" t="inlineStr">
        <is>
          <t>TH</t>
        </is>
      </c>
      <c r="Q62" s="96" t="inlineStr">
        <is>
          <t>HASLS22260901417</t>
        </is>
      </c>
      <c r="R62" s="96" t="inlineStr">
        <is>
          <t>N</t>
        </is>
      </c>
      <c r="S62" s="96" t="inlineStr">
        <is>
          <t>N</t>
        </is>
      </c>
      <c r="T62" s="96" t="inlineStr">
        <is>
          <t>ANX</t>
        </is>
      </c>
      <c r="U62" s="97" t="n"/>
      <c r="V62" s="96" t="inlineStr">
        <is>
          <t>K0120023</t>
        </is>
      </c>
      <c r="W62" s="96" t="inlineStr">
        <is>
          <t>FM GLOBAL LOGISTICS CO LTD</t>
        </is>
      </c>
      <c r="X62" s="96" t="inlineStr">
        <is>
          <t>VFD</t>
        </is>
      </c>
      <c r="Y62" s="96" t="inlineStr">
        <is>
          <t>PT. FM GLOBAL LOGISTICS</t>
        </is>
      </c>
      <c r="Z62" s="96" t="inlineStr">
        <is>
          <t>PT. FM GLOBAL LOGISTICS</t>
        </is>
      </c>
      <c r="AA62" s="97" t="n">
        <v>9892</v>
      </c>
      <c r="AB62" s="96" t="inlineStr">
        <is>
          <t>LCH04</t>
        </is>
      </c>
      <c r="AC62" s="96" t="inlineStr">
        <is>
          <t>JKT02</t>
        </is>
      </c>
    </row>
    <row r="63" ht="12" customHeight="1">
      <c r="A63" s="96" t="inlineStr">
        <is>
          <t>TCNU7777364</t>
        </is>
      </c>
      <c r="B63" s="161" t="inlineStr">
        <is>
          <t>2026-10-24</t>
        </is>
      </c>
      <c r="C63" s="96" t="inlineStr">
        <is>
          <t>YSVY</t>
        </is>
      </c>
      <c r="D63" s="96" t="inlineStr">
        <is>
          <t>2608S</t>
        </is>
      </c>
      <c r="E63" s="96" t="inlineStr">
        <is>
          <t>45GP</t>
        </is>
      </c>
      <c r="F63" s="96" t="inlineStr">
        <is>
          <t>SD</t>
        </is>
      </c>
      <c r="G63" s="96" t="inlineStr">
        <is>
          <t>THLCH</t>
        </is>
      </c>
      <c r="H63" s="96" t="inlineStr">
        <is>
          <t>THLCH</t>
        </is>
      </c>
      <c r="I63" s="96" t="inlineStr">
        <is>
          <t>IDJKT</t>
        </is>
      </c>
      <c r="J63" s="96" t="inlineStr">
        <is>
          <t>IDJKT</t>
        </is>
      </c>
      <c r="K63" s="96" t="inlineStr">
        <is>
          <t>F</t>
        </is>
      </c>
      <c r="L63" s="96" t="inlineStr">
        <is>
          <t>ONE</t>
        </is>
      </c>
      <c r="M63" s="96" t="inlineStr">
        <is>
          <t>VFL</t>
        </is>
      </c>
      <c r="N63" s="96" t="inlineStr">
        <is>
          <t>LCH04</t>
        </is>
      </c>
      <c r="O63" s="96" t="inlineStr">
        <is>
          <t>LCH</t>
        </is>
      </c>
      <c r="P63" s="96" t="inlineStr">
        <is>
          <t>TH</t>
        </is>
      </c>
      <c r="Q63" s="96" t="inlineStr">
        <is>
          <t>HASLS22261000696</t>
        </is>
      </c>
      <c r="R63" s="96" t="inlineStr">
        <is>
          <t>N</t>
        </is>
      </c>
      <c r="S63" s="96" t="inlineStr">
        <is>
          <t>N</t>
        </is>
      </c>
      <c r="T63" s="96" t="inlineStr">
        <is>
          <t>ANX</t>
        </is>
      </c>
      <c r="U63" s="97" t="n"/>
      <c r="V63" s="96" t="inlineStr">
        <is>
          <t>K0120023</t>
        </is>
      </c>
      <c r="W63" s="96" t="inlineStr">
        <is>
          <t>YAMATO UNYU (THAILAND) CO., LTD.</t>
        </is>
      </c>
      <c r="X63" s="96" t="inlineStr">
        <is>
          <t>VFD</t>
        </is>
      </c>
      <c r="Y63" s="96" t="inlineStr">
        <is>
          <t>PT. ARGAPURA</t>
        </is>
      </c>
      <c r="Z63" s="96" t="inlineStr">
        <is>
          <t>PT. YAMATO INDONESIA FORWARDING</t>
        </is>
      </c>
      <c r="AA63" s="97" t="n">
        <v>10401.6</v>
      </c>
      <c r="AB63" s="96" t="inlineStr">
        <is>
          <t>LCH04</t>
        </is>
      </c>
      <c r="AC63" s="96" t="inlineStr">
        <is>
          <t>JKT02</t>
        </is>
      </c>
    </row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53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HASLS22260801426</t>
        </is>
      </c>
      <c r="B2" s="96" t="inlineStr">
        <is>
          <t>20'x2</t>
        </is>
      </c>
      <c r="C2" s="97" t="n">
        <v>2</v>
      </c>
      <c r="D2" s="97" t="n">
        <v>2</v>
      </c>
      <c r="E2" s="97" t="inlineStr">
        <is>
          <t>THLKR</t>
        </is>
      </c>
      <c r="F2" s="97" t="n">
        <v>0</v>
      </c>
      <c r="G2" s="97" t="n">
        <v>2</v>
      </c>
      <c r="H2" s="97" t="n">
        <v>0</v>
      </c>
      <c r="I2" s="97" t="n">
        <v>0</v>
      </c>
      <c r="J2" s="97" t="n">
        <v>2</v>
      </c>
      <c r="K2" s="96" t="inlineStr">
        <is>
          <t>N</t>
        </is>
      </c>
      <c r="L2" s="96" t="inlineStr">
        <is>
          <t>ANX</t>
        </is>
      </c>
      <c r="M2" s="96" t="inlineStr">
        <is>
          <t>YSVY</t>
        </is>
      </c>
      <c r="N2" s="96" t="inlineStr">
        <is>
          <t>2608S</t>
        </is>
      </c>
      <c r="O2" s="96" t="inlineStr">
        <is>
          <t>THLCH</t>
        </is>
      </c>
      <c r="P2" s="96" t="inlineStr">
        <is>
          <t>LCH04</t>
        </is>
      </c>
      <c r="Q2" s="96" t="inlineStr">
        <is>
          <t>IA</t>
        </is>
      </c>
      <c r="R2" s="161" t="inlineStr">
        <is>
          <t>2026-10-24</t>
        </is>
      </c>
      <c r="S2" s="96" t="inlineStr">
        <is>
          <t>IDJKT</t>
        </is>
      </c>
      <c r="T2" s="96" t="inlineStr">
        <is>
          <t>JKT02</t>
        </is>
      </c>
      <c r="U2" s="96" t="inlineStr">
        <is>
          <t>IDJKT</t>
        </is>
      </c>
      <c r="V2" s="161" t="inlineStr">
        <is>
          <t>2026-10-26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SCGJWD LOGISTICS PUBLIC COMPANY LIMITED</t>
        </is>
      </c>
      <c r="AB2" s="96" t="inlineStr">
        <is>
          <t>NORITAKE SCG PLASTER CO., LTD.</t>
        </is>
      </c>
      <c r="AC2" s="163" t="n">
        <v>48925.6</v>
      </c>
      <c r="AD2" s="163" t="n">
        <v>53325.6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TBKK19</t>
        </is>
      </c>
      <c r="AN2" s="96" t="inlineStr">
        <is>
          <t>Kanokporn</t>
        </is>
      </c>
      <c r="AO2" s="96" t="inlineStr">
        <is>
          <t>MOULDING PLASTER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>CY-RTN : 15-16/10/2026 Paperless Code 2835
Closing Time LKB 17/10/2026 @ 23.59  // REF : ** PT Indoporcelain **</t>
        </is>
      </c>
      <c r="BA2" s="97" t="inlineStr">
        <is>
          <t>SI DD.19/10/26
FM KMX 2608S BY K'SOJINUN DD.08/09/2026
FM KXM 2608S BYSALE DD.01/10</t>
        </is>
      </c>
      <c r="BB2" s="96" t="inlineStr">
        <is>
          <t>P</t>
        </is>
      </c>
      <c r="BC2" s="161" t="inlineStr">
        <is>
          <t>2026-08-18</t>
        </is>
      </c>
      <c r="BD2" s="161" t="inlineStr">
        <is>
          <t>2026-10-19</t>
        </is>
      </c>
      <c r="BE2" s="96" t="inlineStr">
        <is>
          <t>Y</t>
        </is>
      </c>
      <c r="BF2" s="96" t="inlineStr">
        <is>
          <t>MOULDING PLASTER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BKK27</t>
        </is>
      </c>
      <c r="BL2" s="161" t="inlineStr">
        <is>
          <t>2026-10-15</t>
        </is>
      </c>
      <c r="BM2" s="127" t="n"/>
      <c r="BN2" s="127" t="n">
        <v>2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n"/>
      <c r="CB2" s="97" t="n"/>
      <c r="CC2" s="96" t="inlineStr">
        <is>
          <t>LCH55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sojinuns@scgjwd.com</t>
        </is>
      </c>
      <c r="CJ2" s="96" t="inlineStr">
        <is>
          <t>NORITAKE SCG PLASTER CO.,LTD</t>
        </is>
      </c>
      <c r="CK2" s="96" t="inlineStr">
        <is>
          <t>PT. INDO PORCELAIN</t>
        </is>
      </c>
      <c r="CL2" s="96" t="inlineStr">
        <is>
          <t>PT. INDO PORCELAIN</t>
        </is>
      </c>
      <c r="CM2" s="97" t="inlineStr">
        <is>
          <t>CLOSED</t>
        </is>
      </c>
      <c r="CN2" s="96" t="inlineStr">
        <is>
          <t>202610201700</t>
        </is>
      </c>
      <c r="CO2" s="96" t="inlineStr">
        <is>
          <t>202610211700</t>
        </is>
      </c>
      <c r="CP2" s="97" t="n"/>
      <c r="CQ2" s="96" t="inlineStr">
        <is>
          <t>S19-2308041</t>
        </is>
      </c>
      <c r="CR2" s="96" t="inlineStr">
        <is>
          <t>TH0235</t>
        </is>
      </c>
      <c r="CS2" s="96" t="inlineStr">
        <is>
          <t>SCGJWD LOGISTICS PUBLIC COMPANY LIMITED</t>
        </is>
      </c>
      <c r="CT2" s="96" t="inlineStr">
        <is>
          <t>N</t>
        </is>
      </c>
      <c r="CU2" s="97" t="n"/>
      <c r="CV2" s="97" t="n"/>
      <c r="CW2" s="161" t="inlineStr">
        <is>
          <t>2026-10-19</t>
        </is>
      </c>
      <c r="CX2" s="97" t="inlineStr">
        <is>
          <t>252020</t>
        </is>
      </c>
      <c r="CY2" s="156" t="n"/>
    </row>
    <row r="3" ht="12" customHeight="1">
      <c r="A3" s="116" t="inlineStr">
        <is>
          <t>HASLS22260900299</t>
        </is>
      </c>
      <c r="B3" s="96" t="inlineStr">
        <is>
          <t>20'x2</t>
        </is>
      </c>
      <c r="C3" s="97" t="n">
        <v>2</v>
      </c>
      <c r="D3" s="97" t="n">
        <v>2</v>
      </c>
      <c r="E3" s="97" t="inlineStr">
        <is>
          <t>THLKR</t>
        </is>
      </c>
      <c r="F3" s="97" t="n">
        <v>0</v>
      </c>
      <c r="G3" s="97" t="n">
        <v>2</v>
      </c>
      <c r="H3" s="97" t="n">
        <v>0</v>
      </c>
      <c r="I3" s="97" t="n">
        <v>0</v>
      </c>
      <c r="J3" s="97" t="n">
        <v>2</v>
      </c>
      <c r="K3" s="96" t="inlineStr">
        <is>
          <t>N</t>
        </is>
      </c>
      <c r="L3" s="96" t="inlineStr">
        <is>
          <t>ANX</t>
        </is>
      </c>
      <c r="M3" s="96" t="inlineStr">
        <is>
          <t>YSVY</t>
        </is>
      </c>
      <c r="N3" s="96" t="inlineStr">
        <is>
          <t>2608S</t>
        </is>
      </c>
      <c r="O3" s="96" t="inlineStr">
        <is>
          <t>THLCH</t>
        </is>
      </c>
      <c r="P3" s="96" t="inlineStr">
        <is>
          <t>LCH04</t>
        </is>
      </c>
      <c r="Q3" s="96" t="inlineStr">
        <is>
          <t>IA</t>
        </is>
      </c>
      <c r="R3" s="161" t="inlineStr">
        <is>
          <t>2026-10-24</t>
        </is>
      </c>
      <c r="S3" s="96" t="inlineStr">
        <is>
          <t>IDJKT</t>
        </is>
      </c>
      <c r="T3" s="96" t="inlineStr">
        <is>
          <t>JKT02</t>
        </is>
      </c>
      <c r="U3" s="96" t="inlineStr">
        <is>
          <t>IDJKT</t>
        </is>
      </c>
      <c r="V3" s="161" t="inlineStr">
        <is>
          <t>2026-10-26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SCGJWD LOGISTICS PUBLIC COMPANY LIMITED</t>
        </is>
      </c>
      <c r="AB3" s="96" t="inlineStr">
        <is>
          <t>NORITAKE SCG PLASTER CO., LTD.</t>
        </is>
      </c>
      <c r="AC3" s="163" t="n">
        <v>48925.6</v>
      </c>
      <c r="AD3" s="163" t="n">
        <v>53325.6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TBKK19</t>
        </is>
      </c>
      <c r="AN3" s="96" t="inlineStr">
        <is>
          <t>Kanokporn</t>
        </is>
      </c>
      <c r="AO3" s="96" t="inlineStr">
        <is>
          <t>MOULDING PLASTER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>CY-RTN : 14-15/10/2026  Paperless Code 2835
Closing Time LKB 2026-10-17 @ 23.59 ** PT Indoporcelain **</t>
        </is>
      </c>
      <c r="BA3" s="97" t="inlineStr">
        <is>
          <t>SI DD.19/10/26
ROLL OVER FROM PREVIOUS VSL NSSJ 2608S BY ALLOCATION TEAM MS.TARN APPROVED COST IS UNDER HAL DD.20/10/2026</t>
        </is>
      </c>
      <c r="BB3" s="96" t="inlineStr">
        <is>
          <t>P</t>
        </is>
      </c>
      <c r="BC3" s="161" t="inlineStr">
        <is>
          <t>2026-09-03</t>
        </is>
      </c>
      <c r="BD3" s="161" t="inlineStr">
        <is>
          <t>2026-10-21</t>
        </is>
      </c>
      <c r="BE3" s="96" t="inlineStr">
        <is>
          <t>Y</t>
        </is>
      </c>
      <c r="BF3" s="96" t="inlineStr">
        <is>
          <t>MOULDING PLASTER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BKK27</t>
        </is>
      </c>
      <c r="BL3" s="161" t="inlineStr">
        <is>
          <t>2026-10-14</t>
        </is>
      </c>
      <c r="BM3" s="127" t="n"/>
      <c r="BN3" s="127" t="n">
        <v>2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n"/>
      <c r="CB3" s="97" t="n"/>
      <c r="CC3" s="96" t="inlineStr">
        <is>
          <t>LCH55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sojinuns@scgjwd.com</t>
        </is>
      </c>
      <c r="CJ3" s="96" t="inlineStr">
        <is>
          <t>NORITAKE SCG PLASTER CO.,LTD</t>
        </is>
      </c>
      <c r="CK3" s="96" t="inlineStr">
        <is>
          <t>PT. INDO PORCELAIN</t>
        </is>
      </c>
      <c r="CL3" s="96" t="inlineStr">
        <is>
          <t>PT. INDO PORCELAIN</t>
        </is>
      </c>
      <c r="CM3" s="97" t="inlineStr">
        <is>
          <t>CLOSED</t>
        </is>
      </c>
      <c r="CN3" s="96" t="inlineStr">
        <is>
          <t>202610201700</t>
        </is>
      </c>
      <c r="CO3" s="96" t="inlineStr">
        <is>
          <t>202610211700</t>
        </is>
      </c>
      <c r="CP3" s="97" t="n"/>
      <c r="CQ3" s="96" t="inlineStr">
        <is>
          <t>S19-2308041</t>
        </is>
      </c>
      <c r="CR3" s="96" t="inlineStr">
        <is>
          <t>TH0235</t>
        </is>
      </c>
      <c r="CS3" s="96" t="inlineStr">
        <is>
          <t>SCGJWD LOGISTICS PUBLIC COMPANY LIMITED</t>
        </is>
      </c>
      <c r="CT3" s="96" t="inlineStr">
        <is>
          <t>N</t>
        </is>
      </c>
      <c r="CU3" s="97" t="n"/>
      <c r="CV3" s="97" t="n"/>
      <c r="CW3" s="161" t="inlineStr">
        <is>
          <t>2026-10-23</t>
        </is>
      </c>
      <c r="CX3" s="97" t="inlineStr">
        <is>
          <t>252020</t>
        </is>
      </c>
      <c r="CY3" s="183" t="n"/>
    </row>
    <row r="4" ht="12" customHeight="1">
      <c r="A4" s="116" t="inlineStr">
        <is>
          <t>HASLS22260900413</t>
        </is>
      </c>
      <c r="B4" s="96" t="inlineStr">
        <is>
          <t>40Hx1</t>
        </is>
      </c>
      <c r="C4" s="97" t="n">
        <v>1</v>
      </c>
      <c r="D4" s="97" t="n">
        <v>1</v>
      </c>
      <c r="E4" s="97" t="n"/>
      <c r="F4" s="97" t="n">
        <v>0</v>
      </c>
      <c r="G4" s="97" t="n">
        <v>0</v>
      </c>
      <c r="H4" s="97" t="n">
        <v>0</v>
      </c>
      <c r="I4" s="97" t="n">
        <v>1</v>
      </c>
      <c r="J4" s="97" t="n">
        <v>2</v>
      </c>
      <c r="K4" s="96" t="inlineStr">
        <is>
          <t>N</t>
        </is>
      </c>
      <c r="L4" s="96" t="inlineStr">
        <is>
          <t>ANX</t>
        </is>
      </c>
      <c r="M4" s="96" t="inlineStr">
        <is>
          <t>YSVY</t>
        </is>
      </c>
      <c r="N4" s="96" t="inlineStr">
        <is>
          <t>2608S</t>
        </is>
      </c>
      <c r="O4" s="96" t="inlineStr">
        <is>
          <t>THLCH</t>
        </is>
      </c>
      <c r="P4" s="96" t="inlineStr">
        <is>
          <t>LCH04</t>
        </is>
      </c>
      <c r="Q4" s="96" t="inlineStr">
        <is>
          <t>IA</t>
        </is>
      </c>
      <c r="R4" s="161" t="inlineStr">
        <is>
          <t>2026-10-24</t>
        </is>
      </c>
      <c r="S4" s="96" t="inlineStr">
        <is>
          <t>IDJKT</t>
        </is>
      </c>
      <c r="T4" s="96" t="inlineStr">
        <is>
          <t>JKT02</t>
        </is>
      </c>
      <c r="U4" s="96" t="inlineStr">
        <is>
          <t>IDJKT</t>
        </is>
      </c>
      <c r="V4" s="161" t="inlineStr">
        <is>
          <t>2026-10-26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ILOGS GLOBAL CO.,LTD.</t>
        </is>
      </c>
      <c r="AB4" s="96" t="inlineStr">
        <is>
          <t>MAJESTY HOLDINGS (ASIA) CO.,LTD.</t>
        </is>
      </c>
      <c r="AC4" s="163" t="n">
        <v>9213</v>
      </c>
      <c r="AD4" s="163" t="n">
        <v>13213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TBKK97</t>
        </is>
      </c>
      <c r="AN4" s="96" t="inlineStr">
        <is>
          <t>Arunphat W. (Aiw)</t>
        </is>
      </c>
      <c r="AO4" s="96" t="inlineStr">
        <is>
          <t>VALVE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>Pickup : 2026-10-19, Return : 2026-10-19</t>
        </is>
      </c>
      <c r="BA4" s="97" t="inlineStr">
        <is>
          <t>FM KXM 2608S DD.06/10
FM KMSU 2608S DD.12/10
ROLL OVER FROM PREVIOUS VSL NSSJ 2608S BY ALLOCATION TEAM MS.TARN APPROVED COST IS UNDER HAL DD.20/10/2026</t>
        </is>
      </c>
      <c r="BB4" s="96" t="inlineStr">
        <is>
          <t>P</t>
        </is>
      </c>
      <c r="BC4" s="161" t="inlineStr">
        <is>
          <t>2026-09-04</t>
        </is>
      </c>
      <c r="BD4" s="161" t="inlineStr">
        <is>
          <t>2026-10-21</t>
        </is>
      </c>
      <c r="BE4" s="96" t="inlineStr">
        <is>
          <t>Y</t>
        </is>
      </c>
      <c r="BF4" s="96" t="inlineStr">
        <is>
          <t>PIPE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LCH27</t>
        </is>
      </c>
      <c r="BL4" s="161" t="inlineStr">
        <is>
          <t>2026-10-19</t>
        </is>
      </c>
      <c r="BM4" s="127" t="n"/>
      <c r="BN4" s="127" t="n"/>
      <c r="BO4" s="127" t="n"/>
      <c r="BP4" s="127" t="n">
        <v>1</v>
      </c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LCH04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cs@ilogsglobal.com</t>
        </is>
      </c>
      <c r="CJ4" s="96" t="inlineStr">
        <is>
          <t>MAJESTY HOLDINGS (ASIA) COMPANY</t>
        </is>
      </c>
      <c r="CK4" s="96" t="inlineStr">
        <is>
          <t>PT GODREJ CONSUMER PRODUCTS</t>
        </is>
      </c>
      <c r="CL4" s="96" t="inlineStr">
        <is>
          <t>PT. OPTIMUS PRIMA LOGISTIK</t>
        </is>
      </c>
      <c r="CM4" s="97" t="n"/>
      <c r="CN4" s="96" t="inlineStr">
        <is>
          <t>202610201700</t>
        </is>
      </c>
      <c r="CO4" s="96" t="inlineStr">
        <is>
          <t>202610211700</t>
        </is>
      </c>
      <c r="CP4" s="97" t="n"/>
      <c r="CQ4" s="96" t="inlineStr">
        <is>
          <t>S22-2406024</t>
        </is>
      </c>
      <c r="CR4" s="96" t="inlineStr">
        <is>
          <t>THTRN6</t>
        </is>
      </c>
      <c r="CS4" s="96" t="inlineStr">
        <is>
          <t>ILOGS GLOBAL CO.,LTD.</t>
        </is>
      </c>
      <c r="CT4" s="96" t="inlineStr">
        <is>
          <t>N</t>
        </is>
      </c>
      <c r="CU4" s="97" t="n"/>
      <c r="CV4" s="97" t="n"/>
      <c r="CW4" s="161" t="inlineStr">
        <is>
          <t>2026-10-23</t>
        </is>
      </c>
      <c r="CX4" s="97" t="inlineStr">
        <is>
          <t>842489</t>
        </is>
      </c>
      <c r="CY4" s="183" t="n"/>
    </row>
    <row r="5" ht="12" customHeight="1">
      <c r="A5" s="116" t="inlineStr">
        <is>
          <t>HASLS22260900516</t>
        </is>
      </c>
      <c r="B5" s="96" t="inlineStr">
        <is>
          <t>20'x1</t>
        </is>
      </c>
      <c r="C5" s="97" t="n">
        <v>1</v>
      </c>
      <c r="D5" s="97" t="n">
        <v>1</v>
      </c>
      <c r="E5" s="97" t="inlineStr">
        <is>
          <t>THLKR</t>
        </is>
      </c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ANX</t>
        </is>
      </c>
      <c r="M5" s="96" t="inlineStr">
        <is>
          <t>YSVY</t>
        </is>
      </c>
      <c r="N5" s="96" t="inlineStr">
        <is>
          <t>2608S</t>
        </is>
      </c>
      <c r="O5" s="96" t="inlineStr">
        <is>
          <t>THLCH</t>
        </is>
      </c>
      <c r="P5" s="96" t="inlineStr">
        <is>
          <t>LCH04</t>
        </is>
      </c>
      <c r="Q5" s="96" t="inlineStr">
        <is>
          <t>IA</t>
        </is>
      </c>
      <c r="R5" s="161" t="inlineStr">
        <is>
          <t>2026-10-24</t>
        </is>
      </c>
      <c r="S5" s="96" t="inlineStr">
        <is>
          <t>IDJKT</t>
        </is>
      </c>
      <c r="T5" s="96" t="inlineStr">
        <is>
          <t>JKT02</t>
        </is>
      </c>
      <c r="U5" s="96" t="inlineStr">
        <is>
          <t>IDJKT</t>
        </is>
      </c>
      <c r="V5" s="161" t="inlineStr">
        <is>
          <t>2026-10-26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ACE LOGISTICS (THAILAND) CO., LTD.</t>
        </is>
      </c>
      <c r="AB5" s="96" t="inlineStr">
        <is>
          <t>HYMOLD (THAILAND) LIMITED</t>
        </is>
      </c>
      <c r="AC5" s="163" t="n">
        <v>20080</v>
      </c>
      <c r="AD5" s="163" t="n">
        <v>22280</v>
      </c>
      <c r="AE5" s="96" t="inlineStr">
        <is>
          <t>OK</t>
        </is>
      </c>
      <c r="AF5" s="96" t="inlineStr">
        <is>
          <t>SR</t>
        </is>
      </c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TH0042</t>
        </is>
      </c>
      <c r="AN5" s="96" t="inlineStr">
        <is>
          <t>Sukunpoj Damrongying</t>
        </is>
      </c>
      <c r="AO5" s="96" t="inlineStr">
        <is>
          <t>FERRO SILICON MAGNESIUM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>Pickup : 2026-10-14, Return : 2026-10-15 Paperless Code 2835
Closing Time LKB  2026-10-19 @ NOON.</t>
        </is>
      </c>
      <c r="BA5" s="97" t="inlineStr">
        <is>
          <t>FM KXM 2608S DD.02/10CY:14-10-2026 @RETURN LKB:15-10-2026</t>
        </is>
      </c>
      <c r="BB5" s="96" t="inlineStr">
        <is>
          <t>P</t>
        </is>
      </c>
      <c r="BC5" s="161" t="inlineStr">
        <is>
          <t>2026-09-07</t>
        </is>
      </c>
      <c r="BD5" s="161" t="inlineStr">
        <is>
          <t>2026-10-19</t>
        </is>
      </c>
      <c r="BE5" s="96" t="inlineStr">
        <is>
          <t>Y</t>
        </is>
      </c>
      <c r="BF5" s="96" t="inlineStr">
        <is>
          <t>FERRO SILICON MAGNESIUM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BKK27</t>
        </is>
      </c>
      <c r="BL5" s="161" t="inlineStr">
        <is>
          <t>2026-10-14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LCH55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export@acelogth.com</t>
        </is>
      </c>
      <c r="CJ5" s="96" t="inlineStr">
        <is>
          <t>HYMOLD (THAILAND) LIMITED</t>
        </is>
      </c>
      <c r="CK5" s="96" t="inlineStr">
        <is>
          <t>PT. AT INDONESIA</t>
        </is>
      </c>
      <c r="CL5" s="96" t="inlineStr">
        <is>
          <t>PT. AT INDONESIA</t>
        </is>
      </c>
      <c r="CM5" s="97" t="n"/>
      <c r="CN5" s="96" t="inlineStr">
        <is>
          <t>202610201700</t>
        </is>
      </c>
      <c r="CO5" s="96" t="inlineStr">
        <is>
          <t>202610211700</t>
        </is>
      </c>
      <c r="CP5" s="97" t="n"/>
      <c r="CQ5" s="96" t="inlineStr">
        <is>
          <t>S22-2309057</t>
        </is>
      </c>
      <c r="CR5" s="96" t="inlineStr">
        <is>
          <t>THTTBU</t>
        </is>
      </c>
      <c r="CS5" s="96" t="inlineStr">
        <is>
          <t>ACE LOGISTICS (THAILAND) CO., LTD.</t>
        </is>
      </c>
      <c r="CT5" s="96" t="inlineStr">
        <is>
          <t>N</t>
        </is>
      </c>
      <c r="CU5" s="97" t="n"/>
      <c r="CV5" s="97" t="n"/>
      <c r="CW5" s="161" t="inlineStr">
        <is>
          <t>2026-10-18</t>
        </is>
      </c>
      <c r="CX5" s="97" t="inlineStr">
        <is>
          <t>720229</t>
        </is>
      </c>
      <c r="CY5" s="183" t="n"/>
    </row>
    <row r="6" ht="12" customHeight="1">
      <c r="A6" s="116" t="inlineStr">
        <is>
          <t>HASLS22260900631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ANX</t>
        </is>
      </c>
      <c r="M6" s="96" t="inlineStr">
        <is>
          <t>YSVY</t>
        </is>
      </c>
      <c r="N6" s="96" t="inlineStr">
        <is>
          <t>2608S</t>
        </is>
      </c>
      <c r="O6" s="96" t="inlineStr">
        <is>
          <t>THLCH</t>
        </is>
      </c>
      <c r="P6" s="96" t="inlineStr">
        <is>
          <t>LCH04</t>
        </is>
      </c>
      <c r="Q6" s="96" t="inlineStr">
        <is>
          <t>IA</t>
        </is>
      </c>
      <c r="R6" s="161" t="inlineStr">
        <is>
          <t>2026-10-24</t>
        </is>
      </c>
      <c r="S6" s="96" t="inlineStr">
        <is>
          <t>IDJKT</t>
        </is>
      </c>
      <c r="T6" s="96" t="inlineStr">
        <is>
          <t>JKT02</t>
        </is>
      </c>
      <c r="U6" s="96" t="inlineStr">
        <is>
          <t>IDJKT</t>
        </is>
      </c>
      <c r="V6" s="161" t="inlineStr">
        <is>
          <t>2026-10-26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G THRU INTERBUSINESS CO., LTD.</t>
        </is>
      </c>
      <c r="AB6" s="96" t="inlineStr">
        <is>
          <t>V.THAI FOOD PRODUCT CO.,LTD.</t>
        </is>
      </c>
      <c r="AC6" s="163" t="n">
        <v>12344.6</v>
      </c>
      <c r="AD6" s="163" t="n">
        <v>14544.6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TBKK55</t>
        </is>
      </c>
      <c r="AN6" s="96" t="inlineStr">
        <is>
          <t>Vilaiporn</t>
        </is>
      </c>
      <c r="AO6" s="96" t="inlineStr">
        <is>
          <t>FOODSTUFFS (NANG FAH CHILLI SAUCE,MADAM PUM SAUCE, LADY ANNA INSTANT SOUP)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 xml:space="preserve">Pickup : 2026-10-16, Return : 2026-10-16
Please check open gate before return container </t>
        </is>
      </c>
      <c r="BA6" s="97" t="inlineStr">
        <is>
          <t>SI DD.1/10/26</t>
        </is>
      </c>
      <c r="BB6" s="96" t="inlineStr">
        <is>
          <t>P</t>
        </is>
      </c>
      <c r="BC6" s="161" t="inlineStr">
        <is>
          <t>2026-09-08</t>
        </is>
      </c>
      <c r="BD6" s="161" t="inlineStr">
        <is>
          <t>2026-10-19</t>
        </is>
      </c>
      <c r="BE6" s="96" t="inlineStr">
        <is>
          <t>Y</t>
        </is>
      </c>
      <c r="BF6" s="96" t="inlineStr">
        <is>
          <t>SAUCE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BKK25</t>
        </is>
      </c>
      <c r="BL6" s="161" t="inlineStr">
        <is>
          <t>2026-10-16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LCH04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anurak.j@g-thru.com;janjira.p@g-thru.com</t>
        </is>
      </c>
      <c r="CJ6" s="96" t="inlineStr">
        <is>
          <t>V.THAI FOOD PRODUCT CO.,LTD.</t>
        </is>
      </c>
      <c r="CK6" s="96" t="inlineStr">
        <is>
          <t>PT EAKINDO MITRA SASTARI</t>
        </is>
      </c>
      <c r="CL6" s="96" t="inlineStr">
        <is>
          <t>PT EAKINDO MITRA SASTARI</t>
        </is>
      </c>
      <c r="CM6" s="97" t="n"/>
      <c r="CN6" s="96" t="inlineStr">
        <is>
          <t>202610201700</t>
        </is>
      </c>
      <c r="CO6" s="96" t="inlineStr">
        <is>
          <t>202610211700</t>
        </is>
      </c>
      <c r="CP6" s="97" t="n"/>
      <c r="CQ6" s="96" t="inlineStr">
        <is>
          <t>S19-2101035</t>
        </is>
      </c>
      <c r="CR6" s="96" t="inlineStr">
        <is>
          <t>THTNHF</t>
        </is>
      </c>
      <c r="CS6" s="96" t="inlineStr">
        <is>
          <t>G THRU INTERBUSINESS CO., LTD.</t>
        </is>
      </c>
      <c r="CT6" s="96" t="inlineStr">
        <is>
          <t>N</t>
        </is>
      </c>
      <c r="CU6" s="97" t="n"/>
      <c r="CV6" s="97" t="n"/>
      <c r="CW6" s="161" t="inlineStr">
        <is>
          <t>2026-10-19</t>
        </is>
      </c>
      <c r="CX6" s="97" t="inlineStr">
        <is>
          <t>210310</t>
        </is>
      </c>
      <c r="CY6" s="183" t="n"/>
    </row>
    <row r="7" ht="12" customHeight="1">
      <c r="A7" s="116" t="inlineStr">
        <is>
          <t>HASLS22260900972</t>
        </is>
      </c>
      <c r="B7" s="96" t="inlineStr">
        <is>
          <t>40Hx1</t>
        </is>
      </c>
      <c r="C7" s="97" t="n">
        <v>1</v>
      </c>
      <c r="D7" s="97" t="n">
        <v>1</v>
      </c>
      <c r="E7" s="97" t="n"/>
      <c r="F7" s="97" t="n">
        <v>0</v>
      </c>
      <c r="G7" s="97" t="n">
        <v>0</v>
      </c>
      <c r="H7" s="97" t="n">
        <v>0</v>
      </c>
      <c r="I7" s="97" t="n">
        <v>1</v>
      </c>
      <c r="J7" s="97" t="n">
        <v>2</v>
      </c>
      <c r="K7" s="96" t="inlineStr">
        <is>
          <t>N</t>
        </is>
      </c>
      <c r="L7" s="96" t="inlineStr">
        <is>
          <t>ANX</t>
        </is>
      </c>
      <c r="M7" s="96" t="inlineStr">
        <is>
          <t>YSVY</t>
        </is>
      </c>
      <c r="N7" s="96" t="inlineStr">
        <is>
          <t>2608S</t>
        </is>
      </c>
      <c r="O7" s="96" t="inlineStr">
        <is>
          <t>THLCH</t>
        </is>
      </c>
      <c r="P7" s="96" t="inlineStr">
        <is>
          <t>LCH04</t>
        </is>
      </c>
      <c r="Q7" s="96" t="inlineStr">
        <is>
          <t>IA</t>
        </is>
      </c>
      <c r="R7" s="161" t="inlineStr">
        <is>
          <t>2026-10-24</t>
        </is>
      </c>
      <c r="S7" s="96" t="inlineStr">
        <is>
          <t>IDJKT</t>
        </is>
      </c>
      <c r="T7" s="96" t="inlineStr">
        <is>
          <t>JKT02</t>
        </is>
      </c>
      <c r="U7" s="96" t="inlineStr">
        <is>
          <t>IDJKT</t>
        </is>
      </c>
      <c r="V7" s="161" t="inlineStr">
        <is>
          <t>2026-10-26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L.A.1 CO.,LTD.</t>
        </is>
      </c>
      <c r="AB7" s="96" t="inlineStr">
        <is>
          <t>TANATEX CHEMICALS (THAILAND) CO., LTD.</t>
        </is>
      </c>
      <c r="AC7" s="163" t="n">
        <v>25348</v>
      </c>
      <c r="AD7" s="163" t="n">
        <v>29348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TH0042</t>
        </is>
      </c>
      <c r="AN7" s="96" t="inlineStr">
        <is>
          <t>Sukunpoj Damrongying</t>
        </is>
      </c>
      <c r="AO7" s="96" t="inlineStr">
        <is>
          <t>CHEMICALS PRODUCT (AVOLAN IS 03, TANUVAL UVL )(NON DG)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>Pickup : 2026-10-17, Return : 2026-10-19 (EXTEND CLOSING 20/10/26 @18.00)</t>
        </is>
      </c>
      <c r="BA7" s="97" t="inlineStr">
        <is>
          <t>Sprit booking to HASLS22260902789 DD.30/09</t>
        </is>
      </c>
      <c r="BB7" s="96" t="inlineStr">
        <is>
          <t>P</t>
        </is>
      </c>
      <c r="BC7" s="161" t="inlineStr">
        <is>
          <t>2026-09-11</t>
        </is>
      </c>
      <c r="BD7" s="161" t="inlineStr">
        <is>
          <t>2026-10-21</t>
        </is>
      </c>
      <c r="BE7" s="96" t="inlineStr">
        <is>
          <t>Y</t>
        </is>
      </c>
      <c r="BF7" s="96" t="inlineStr">
        <is>
          <t>CHEMICALS PRODUCT (NON DG)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2026-10-17</t>
        </is>
      </c>
      <c r="BM7" s="127" t="n"/>
      <c r="BN7" s="127" t="n"/>
      <c r="BO7" s="127" t="n"/>
      <c r="BP7" s="127" t="n">
        <v>1</v>
      </c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LCH04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sunida@la1freight.com</t>
        </is>
      </c>
      <c r="CJ7" s="96" t="inlineStr">
        <is>
          <t>L.A.1 CO.,LTD.</t>
        </is>
      </c>
      <c r="CK7" s="96" t="inlineStr">
        <is>
          <t>PT. CHEMSTAR INDONESIA TBK</t>
        </is>
      </c>
      <c r="CL7" s="96" t="inlineStr">
        <is>
          <t>PT. 3S PRIME CONTINENTAL</t>
        </is>
      </c>
      <c r="CM7" s="97" t="n"/>
      <c r="CN7" s="96" t="inlineStr">
        <is>
          <t>202610201700</t>
        </is>
      </c>
      <c r="CO7" s="96" t="inlineStr">
        <is>
          <t>202610211700</t>
        </is>
      </c>
      <c r="CP7" s="97" t="n"/>
      <c r="CQ7" s="96" t="inlineStr">
        <is>
          <t>S22-2606013</t>
        </is>
      </c>
      <c r="CR7" s="96" t="inlineStr">
        <is>
          <t>THTYG7</t>
        </is>
      </c>
      <c r="CS7" s="96" t="inlineStr">
        <is>
          <t>L.A.1 CO.,LTD.</t>
        </is>
      </c>
      <c r="CT7" s="96" t="inlineStr">
        <is>
          <t>N</t>
        </is>
      </c>
      <c r="CU7" s="97" t="n"/>
      <c r="CV7" s="97" t="n"/>
      <c r="CW7" s="161" t="inlineStr">
        <is>
          <t>2026-10-22</t>
        </is>
      </c>
      <c r="CX7" s="97" t="inlineStr">
        <is>
          <t>380991</t>
        </is>
      </c>
      <c r="CY7" s="183" t="n"/>
    </row>
    <row r="8" ht="12" customHeight="1">
      <c r="A8" s="116" t="inlineStr">
        <is>
          <t>HASLS22260901128</t>
        </is>
      </c>
      <c r="B8" s="96" t="inlineStr">
        <is>
          <t>40Hx1</t>
        </is>
      </c>
      <c r="C8" s="97" t="n">
        <v>1</v>
      </c>
      <c r="D8" s="97" t="n">
        <v>1</v>
      </c>
      <c r="E8" s="97" t="n"/>
      <c r="F8" s="97" t="n">
        <v>0</v>
      </c>
      <c r="G8" s="97" t="n">
        <v>0</v>
      </c>
      <c r="H8" s="97" t="n">
        <v>0</v>
      </c>
      <c r="I8" s="97" t="n">
        <v>1</v>
      </c>
      <c r="J8" s="97" t="n">
        <v>2</v>
      </c>
      <c r="K8" s="96" t="inlineStr">
        <is>
          <t>N</t>
        </is>
      </c>
      <c r="L8" s="96" t="inlineStr">
        <is>
          <t>ANX</t>
        </is>
      </c>
      <c r="M8" s="96" t="inlineStr">
        <is>
          <t>YSVY</t>
        </is>
      </c>
      <c r="N8" s="96" t="inlineStr">
        <is>
          <t>2608S</t>
        </is>
      </c>
      <c r="O8" s="96" t="inlineStr">
        <is>
          <t>THLCH</t>
        </is>
      </c>
      <c r="P8" s="96" t="inlineStr">
        <is>
          <t>LCH04</t>
        </is>
      </c>
      <c r="Q8" s="96" t="inlineStr">
        <is>
          <t>IA</t>
        </is>
      </c>
      <c r="R8" s="161" t="inlineStr">
        <is>
          <t>2026-10-24</t>
        </is>
      </c>
      <c r="S8" s="96" t="inlineStr">
        <is>
          <t>IDJKT</t>
        </is>
      </c>
      <c r="T8" s="96" t="inlineStr">
        <is>
          <t>JKT02</t>
        </is>
      </c>
      <c r="U8" s="96" t="inlineStr">
        <is>
          <t>IDJKT</t>
        </is>
      </c>
      <c r="V8" s="161" t="inlineStr">
        <is>
          <t>2026-10-26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ACCORD PILOT LOGISTICS (THAILAND) CO., LTD.</t>
        </is>
      </c>
      <c r="AB8" s="96" t="inlineStr">
        <is>
          <t>THAI PLASPAC PUBLIC CO.,LTD.</t>
        </is>
      </c>
      <c r="AC8" s="163" t="n">
        <v>11448</v>
      </c>
      <c r="AD8" s="163" t="n">
        <v>15448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TBKK19</t>
        </is>
      </c>
      <c r="AN8" s="96" t="inlineStr">
        <is>
          <t>Kanokporn</t>
        </is>
      </c>
      <c r="AO8" s="96" t="inlineStr">
        <is>
          <t>TVA-28 CAP SPOUT CLOSURE ASSEMBLY / WHITE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 xml:space="preserve">Pickup : 2026-10-15, Return : 2026-10-17 (1ST RETURN DATE 17/10/26)
</t>
        </is>
      </c>
      <c r="BA8" s="97" t="inlineStr">
        <is>
          <t>SHIPPER : THAI PLASPACETD : 18/10/2026CY-RTN : 14-14/10/2026 (LKB)H.S CODE : 392350REQUEST GOOD &amp; CLEAN CONTAINER 
FM RTN LKR BY K.JAH DD.08/10</t>
        </is>
      </c>
      <c r="BB8" s="96" t="inlineStr">
        <is>
          <t>P</t>
        </is>
      </c>
      <c r="BC8" s="161" t="inlineStr">
        <is>
          <t>2026-09-14</t>
        </is>
      </c>
      <c r="BD8" s="161" t="inlineStr">
        <is>
          <t>2026-10-19</t>
        </is>
      </c>
      <c r="BE8" s="96" t="inlineStr">
        <is>
          <t>Y</t>
        </is>
      </c>
      <c r="BF8" s="96" t="inlineStr">
        <is>
          <t>PLATIC CAP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BKK27</t>
        </is>
      </c>
      <c r="BL8" s="161" t="inlineStr">
        <is>
          <t>2026-10-15</t>
        </is>
      </c>
      <c r="BM8" s="127" t="n"/>
      <c r="BN8" s="127" t="n"/>
      <c r="BO8" s="127" t="n"/>
      <c r="BP8" s="127" t="n">
        <v>1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LCH04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nattarika.d@pilot.co.th;ploypailin@accord.pilot.co.th</t>
        </is>
      </c>
      <c r="CJ8" s="96" t="inlineStr">
        <is>
          <t>THAI PLASPAC PUBLIC COMPANY</t>
        </is>
      </c>
      <c r="CK8" s="96" t="inlineStr">
        <is>
          <t>P.T. DIAMOND COLD STORAGE</t>
        </is>
      </c>
      <c r="CL8" s="96" t="inlineStr">
        <is>
          <t>P.T. DIAMOND COLD STORAGE</t>
        </is>
      </c>
      <c r="CM8" s="97" t="inlineStr">
        <is>
          <t>CLOSED</t>
        </is>
      </c>
      <c r="CN8" s="96" t="inlineStr">
        <is>
          <t>202610201700</t>
        </is>
      </c>
      <c r="CO8" s="96" t="inlineStr">
        <is>
          <t>202610211700</t>
        </is>
      </c>
      <c r="CP8" s="97" t="n"/>
      <c r="CQ8" s="96" t="inlineStr">
        <is>
          <t>S22-2308034</t>
        </is>
      </c>
      <c r="CR8" s="96" t="inlineStr">
        <is>
          <t>THTIPI</t>
        </is>
      </c>
      <c r="CS8" s="96" t="inlineStr">
        <is>
          <t>ACCORD PILOT LOGISTICS (THAILAND) CO., LTD.</t>
        </is>
      </c>
      <c r="CT8" s="96" t="inlineStr">
        <is>
          <t>N</t>
        </is>
      </c>
      <c r="CU8" s="97" t="n"/>
      <c r="CV8" s="97" t="n"/>
      <c r="CW8" s="161" t="inlineStr">
        <is>
          <t>2026-10-18</t>
        </is>
      </c>
      <c r="CX8" s="97" t="inlineStr">
        <is>
          <t>392350</t>
        </is>
      </c>
      <c r="CY8" s="183" t="n"/>
    </row>
    <row r="9" ht="12" customHeight="1">
      <c r="A9" s="116" t="inlineStr">
        <is>
          <t>HASLS22260901417</t>
        </is>
      </c>
      <c r="B9" s="96" t="inlineStr">
        <is>
          <t>40Hx1</t>
        </is>
      </c>
      <c r="C9" s="97" t="n">
        <v>1</v>
      </c>
      <c r="D9" s="97" t="n">
        <v>1</v>
      </c>
      <c r="E9" s="97" t="n"/>
      <c r="F9" s="97" t="n">
        <v>0</v>
      </c>
      <c r="G9" s="97" t="n">
        <v>0</v>
      </c>
      <c r="H9" s="97" t="n">
        <v>0</v>
      </c>
      <c r="I9" s="97" t="n">
        <v>1</v>
      </c>
      <c r="J9" s="97" t="n">
        <v>2</v>
      </c>
      <c r="K9" s="96" t="inlineStr">
        <is>
          <t>N</t>
        </is>
      </c>
      <c r="L9" s="96" t="inlineStr">
        <is>
          <t>ANX</t>
        </is>
      </c>
      <c r="M9" s="96" t="inlineStr">
        <is>
          <t>YSVY</t>
        </is>
      </c>
      <c r="N9" s="96" t="inlineStr">
        <is>
          <t>2608S</t>
        </is>
      </c>
      <c r="O9" s="96" t="inlineStr">
        <is>
          <t>THLCH</t>
        </is>
      </c>
      <c r="P9" s="96" t="inlineStr">
        <is>
          <t>LCH04</t>
        </is>
      </c>
      <c r="Q9" s="96" t="inlineStr">
        <is>
          <t>IA</t>
        </is>
      </c>
      <c r="R9" s="161" t="inlineStr">
        <is>
          <t>2026-10-24</t>
        </is>
      </c>
      <c r="S9" s="96" t="inlineStr">
        <is>
          <t>IDJKT</t>
        </is>
      </c>
      <c r="T9" s="96" t="inlineStr">
        <is>
          <t>JKT02</t>
        </is>
      </c>
      <c r="U9" s="96" t="inlineStr">
        <is>
          <t>IDJKT</t>
        </is>
      </c>
      <c r="V9" s="161" t="inlineStr">
        <is>
          <t>2026-10-26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FM GLOBAL LOGISTICS CO., LTD.</t>
        </is>
      </c>
      <c r="AB9" s="96" t="inlineStr">
        <is>
          <t>CCL LABEL (THAI) LTD.</t>
        </is>
      </c>
      <c r="AC9" s="163" t="n">
        <v>9892</v>
      </c>
      <c r="AD9" s="163" t="n">
        <v>13892</v>
      </c>
      <c r="AE9" s="96" t="inlineStr">
        <is>
          <t>OK</t>
        </is>
      </c>
      <c r="AF9" s="96" t="n"/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TH0031</t>
        </is>
      </c>
      <c r="AN9" s="96" t="inlineStr">
        <is>
          <t>Pattarapong Saengthong</t>
        </is>
      </c>
      <c r="AO9" s="96" t="inlineStr">
        <is>
          <t>STICKER LABEL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>Pickup : 2026-09-19, Return : 2026-09-19 (1ST RETURN 14/10 W/O RENT)</t>
        </is>
      </c>
      <c r="BA9" s="97" t="inlineStr">
        <is>
          <t xml:space="preserve">FM KXM 2608S DD.05/10
</t>
        </is>
      </c>
      <c r="BB9" s="96" t="inlineStr">
        <is>
          <t>P</t>
        </is>
      </c>
      <c r="BC9" s="161" t="inlineStr">
        <is>
          <t>2026-09-16</t>
        </is>
      </c>
      <c r="BD9" s="161" t="inlineStr">
        <is>
          <t>2026-10-21</t>
        </is>
      </c>
      <c r="BE9" s="96" t="inlineStr">
        <is>
          <t>Y</t>
        </is>
      </c>
      <c r="BF9" s="96" t="inlineStr">
        <is>
          <t>STICKER LABEL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2026-09-19</t>
        </is>
      </c>
      <c r="BM9" s="127" t="n"/>
      <c r="BN9" s="127" t="n"/>
      <c r="BO9" s="127" t="n"/>
      <c r="BP9" s="127" t="n">
        <v>1</v>
      </c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LCH04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seaexport-bkk@fmgloballogistics.com</t>
        </is>
      </c>
      <c r="CJ9" s="96" t="inlineStr">
        <is>
          <t>FM GLOBAL LOGISTICS CO LTD</t>
        </is>
      </c>
      <c r="CK9" s="96" t="inlineStr">
        <is>
          <t>PT. FM GLOBAL LOGISTICS</t>
        </is>
      </c>
      <c r="CL9" s="96" t="inlineStr">
        <is>
          <t>PT. FM GLOBAL LOGISTICS</t>
        </is>
      </c>
      <c r="CM9" s="97" t="n"/>
      <c r="CN9" s="96" t="inlineStr">
        <is>
          <t>202610201700</t>
        </is>
      </c>
      <c r="CO9" s="96" t="inlineStr">
        <is>
          <t>202610211700</t>
        </is>
      </c>
      <c r="CP9" s="97" t="n"/>
      <c r="CQ9" s="96" t="inlineStr">
        <is>
          <t>S22-2601009</t>
        </is>
      </c>
      <c r="CR9" s="96" t="inlineStr">
        <is>
          <t>TH04CP</t>
        </is>
      </c>
      <c r="CS9" s="96" t="inlineStr">
        <is>
          <t>FM GLOBAL LOGISTICS CO., LTD.</t>
        </is>
      </c>
      <c r="CT9" s="96" t="inlineStr">
        <is>
          <t>N</t>
        </is>
      </c>
      <c r="CU9" s="97" t="n"/>
      <c r="CV9" s="97" t="n"/>
      <c r="CW9" s="161" t="inlineStr">
        <is>
          <t>2026-10-18</t>
        </is>
      </c>
      <c r="CX9" s="97" t="inlineStr">
        <is>
          <t>391990</t>
        </is>
      </c>
      <c r="CY9" s="183" t="n"/>
    </row>
    <row r="10" ht="12" customHeight="1">
      <c r="A10" s="116" t="inlineStr">
        <is>
          <t>HASLS22260901805</t>
        </is>
      </c>
      <c r="B10" s="96" t="inlineStr">
        <is>
          <t>40Hx1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0</v>
      </c>
      <c r="H10" s="97" t="n">
        <v>0</v>
      </c>
      <c r="I10" s="97" t="n">
        <v>1</v>
      </c>
      <c r="J10" s="97" t="n">
        <v>2</v>
      </c>
      <c r="K10" s="96" t="inlineStr">
        <is>
          <t>N</t>
        </is>
      </c>
      <c r="L10" s="96" t="inlineStr">
        <is>
          <t>ANX</t>
        </is>
      </c>
      <c r="M10" s="96" t="inlineStr">
        <is>
          <t>YSVY</t>
        </is>
      </c>
      <c r="N10" s="96" t="inlineStr">
        <is>
          <t>2608S</t>
        </is>
      </c>
      <c r="O10" s="96" t="inlineStr">
        <is>
          <t>THLCH</t>
        </is>
      </c>
      <c r="P10" s="96" t="inlineStr">
        <is>
          <t>LCH04</t>
        </is>
      </c>
      <c r="Q10" s="96" t="inlineStr">
        <is>
          <t>IA</t>
        </is>
      </c>
      <c r="R10" s="161" t="inlineStr">
        <is>
          <t>2026-10-24</t>
        </is>
      </c>
      <c r="S10" s="96" t="inlineStr">
        <is>
          <t>IDJKT</t>
        </is>
      </c>
      <c r="T10" s="96" t="inlineStr">
        <is>
          <t>JKT02</t>
        </is>
      </c>
      <c r="U10" s="96" t="inlineStr">
        <is>
          <t>IDJKT</t>
        </is>
      </c>
      <c r="V10" s="161" t="inlineStr">
        <is>
          <t>2026-10-26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CMS LOGISTICS GROUP (THAILAND) CO., LTD.</t>
        </is>
      </c>
      <c r="AB10" s="96" t="inlineStr">
        <is>
          <t>CAM PLAS (THAILAND) CO.,LTD.</t>
        </is>
      </c>
      <c r="AC10" s="163" t="n">
        <v>910.01</v>
      </c>
      <c r="AD10" s="163" t="n">
        <v>4910.01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TH0011</t>
        </is>
      </c>
      <c r="AN10" s="96" t="inlineStr">
        <is>
          <t>Nannaapust Sukporntaweewat</t>
        </is>
      </c>
      <c r="AO10" s="96" t="inlineStr">
        <is>
          <t>PLASTIC PARTS FOR AUTOMOTIVE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>Pickup : 2026-10-14, Return : 2026-10-14</t>
        </is>
      </c>
      <c r="BA10" s="97" t="n"/>
      <c r="BB10" s="96" t="inlineStr">
        <is>
          <t>P</t>
        </is>
      </c>
      <c r="BC10" s="161" t="inlineStr">
        <is>
          <t>2026-09-21</t>
        </is>
      </c>
      <c r="BD10" s="161" t="inlineStr">
        <is>
          <t>2026-10-19</t>
        </is>
      </c>
      <c r="BE10" s="96" t="inlineStr">
        <is>
          <t>Y</t>
        </is>
      </c>
      <c r="BF10" s="96" t="inlineStr">
        <is>
          <t>PLASTIC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LCH27</t>
        </is>
      </c>
      <c r="BL10" s="161" t="inlineStr">
        <is>
          <t>2026-10-14</t>
        </is>
      </c>
      <c r="BM10" s="127" t="n"/>
      <c r="BN10" s="127" t="n"/>
      <c r="BO10" s="127" t="n"/>
      <c r="BP10" s="127" t="n">
        <v>1</v>
      </c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LCH04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oratai.s@cmsthailand.co.th</t>
        </is>
      </c>
      <c r="CJ10" s="96" t="inlineStr">
        <is>
          <t>CMS LOGISTICS GROUP (THAILAND)</t>
        </is>
      </c>
      <c r="CK10" s="96" t="inlineStr">
        <is>
          <t>PT. JALAK KARGO LOGISTIK</t>
        </is>
      </c>
      <c r="CL10" s="96" t="inlineStr">
        <is>
          <t>PT. JALAK KARGO LOGISTIK</t>
        </is>
      </c>
      <c r="CM10" s="97" t="n"/>
      <c r="CN10" s="96" t="inlineStr">
        <is>
          <t>202610201700</t>
        </is>
      </c>
      <c r="CO10" s="96" t="inlineStr">
        <is>
          <t>202610211700</t>
        </is>
      </c>
      <c r="CP10" s="97" t="n"/>
      <c r="CQ10" s="96" t="inlineStr">
        <is>
          <t>S22-2502023</t>
        </is>
      </c>
      <c r="CR10" s="96" t="inlineStr">
        <is>
          <t>THTKIF</t>
        </is>
      </c>
      <c r="CS10" s="96" t="inlineStr">
        <is>
          <t>CMS LOGISTICS GROUP (THAILAND) CO., LTD.</t>
        </is>
      </c>
      <c r="CT10" s="96" t="inlineStr">
        <is>
          <t>N</t>
        </is>
      </c>
      <c r="CU10" s="97" t="n"/>
      <c r="CV10" s="97" t="n"/>
      <c r="CW10" s="161" t="inlineStr">
        <is>
          <t>2026-10-17</t>
        </is>
      </c>
      <c r="CX10" s="97" t="inlineStr">
        <is>
          <t>392630</t>
        </is>
      </c>
      <c r="CY10" s="183" t="n"/>
    </row>
    <row r="11" ht="12" customHeight="1">
      <c r="A11" s="116" t="inlineStr">
        <is>
          <t>HASLS22260902114</t>
        </is>
      </c>
      <c r="B11" s="96" t="inlineStr">
        <is>
          <t>20'x1 40Hx1</t>
        </is>
      </c>
      <c r="C11" s="97" t="n">
        <v>2</v>
      </c>
      <c r="D11" s="97" t="n">
        <v>2</v>
      </c>
      <c r="E11" s="97" t="n"/>
      <c r="F11" s="97" t="n">
        <v>0</v>
      </c>
      <c r="G11" s="97" t="n">
        <v>1</v>
      </c>
      <c r="H11" s="97" t="n">
        <v>0</v>
      </c>
      <c r="I11" s="97" t="n">
        <v>1</v>
      </c>
      <c r="J11" s="97" t="n">
        <v>3</v>
      </c>
      <c r="K11" s="96" t="inlineStr">
        <is>
          <t>N</t>
        </is>
      </c>
      <c r="L11" s="96" t="inlineStr">
        <is>
          <t>ANX</t>
        </is>
      </c>
      <c r="M11" s="96" t="inlineStr">
        <is>
          <t>YSVY</t>
        </is>
      </c>
      <c r="N11" s="96" t="inlineStr">
        <is>
          <t>2608S</t>
        </is>
      </c>
      <c r="O11" s="96" t="inlineStr">
        <is>
          <t>THLCH</t>
        </is>
      </c>
      <c r="P11" s="96" t="inlineStr">
        <is>
          <t>LCH04</t>
        </is>
      </c>
      <c r="Q11" s="96" t="inlineStr">
        <is>
          <t>IA</t>
        </is>
      </c>
      <c r="R11" s="161" t="inlineStr">
        <is>
          <t>2026-10-24</t>
        </is>
      </c>
      <c r="S11" s="96" t="inlineStr">
        <is>
          <t>IDJKT</t>
        </is>
      </c>
      <c r="T11" s="96" t="inlineStr">
        <is>
          <t>JKT02</t>
        </is>
      </c>
      <c r="U11" s="96" t="inlineStr">
        <is>
          <t>IDJKT</t>
        </is>
      </c>
      <c r="V11" s="161" t="inlineStr">
        <is>
          <t>2026-10-26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ACCORD PILOT LOGISTICS (THAILAND) CO., LTD.</t>
        </is>
      </c>
      <c r="AB11" s="96" t="inlineStr">
        <is>
          <t>THAI PLASPAC PUBLIC CO.,LTD.</t>
        </is>
      </c>
      <c r="AC11" s="163" t="n">
        <v>4014</v>
      </c>
      <c r="AD11" s="163" t="n">
        <v>10214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TBKK19</t>
        </is>
      </c>
      <c r="AN11" s="96" t="inlineStr">
        <is>
          <t>Kanokporn</t>
        </is>
      </c>
      <c r="AO11" s="96" t="inlineStr">
        <is>
          <t>PLATIC CAP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 xml:space="preserve">Pickup : 2026-10-15, Return : 2026-10-17 (1ST RETURN DATE DD.17/10/26)
</t>
        </is>
      </c>
      <c r="BA11" s="97" t="inlineStr">
        <is>
          <t>CY-RTN DATE :  14-15 OCT 2026 AT LKBETD :  17 OCT 2026VOL : 1X20’DC+1X40'HQ**REQUEST CLEAN AND GOOD CONTAINER****REQUEST FREE TIME 14 DAYS COMBINE AT DESTINATION**
FM RTN LKR BY K.JAH DD.08/10</t>
        </is>
      </c>
      <c r="BB11" s="96" t="inlineStr">
        <is>
          <t>P</t>
        </is>
      </c>
      <c r="BC11" s="161" t="inlineStr">
        <is>
          <t>2026-09-23</t>
        </is>
      </c>
      <c r="BD11" s="161" t="inlineStr">
        <is>
          <t>2026-10-19</t>
        </is>
      </c>
      <c r="BE11" s="96" t="inlineStr">
        <is>
          <t>Y</t>
        </is>
      </c>
      <c r="BF11" s="96" t="inlineStr">
        <is>
          <t>PLATIC CAP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BKK27</t>
        </is>
      </c>
      <c r="BL11" s="161" t="inlineStr">
        <is>
          <t>2026-10-15</t>
        </is>
      </c>
      <c r="BM11" s="127" t="n"/>
      <c r="BN11" s="127" t="n">
        <v>1</v>
      </c>
      <c r="BO11" s="127" t="n"/>
      <c r="BP11" s="127" t="n">
        <v>1</v>
      </c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LCH04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nattarika.d@pilot.co.th</t>
        </is>
      </c>
      <c r="CJ11" s="96" t="inlineStr">
        <is>
          <t>THAI PLASPAC PUBLIC COMPANY</t>
        </is>
      </c>
      <c r="CK11" s="96" t="inlineStr">
        <is>
          <t>PT. RECKITT BENCKISER INDONESIA</t>
        </is>
      </c>
      <c r="CL11" s="96" t="inlineStr">
        <is>
          <t>PT. RECKITT BENCKISER INDONESIA</t>
        </is>
      </c>
      <c r="CM11" s="97" t="n"/>
      <c r="CN11" s="96" t="inlineStr">
        <is>
          <t>202610201700</t>
        </is>
      </c>
      <c r="CO11" s="96" t="inlineStr">
        <is>
          <t>202610211700</t>
        </is>
      </c>
      <c r="CP11" s="97" t="n"/>
      <c r="CQ11" s="96" t="inlineStr">
        <is>
          <t>S22-2308034</t>
        </is>
      </c>
      <c r="CR11" s="96" t="inlineStr">
        <is>
          <t>THTIPI</t>
        </is>
      </c>
      <c r="CS11" s="96" t="inlineStr">
        <is>
          <t>ACCORD PILOT LOGISTICS (THAILAND) CO., LTD.</t>
        </is>
      </c>
      <c r="CT11" s="96" t="inlineStr">
        <is>
          <t>N</t>
        </is>
      </c>
      <c r="CU11" s="97" t="n"/>
      <c r="CV11" s="97" t="n"/>
      <c r="CW11" s="161" t="inlineStr">
        <is>
          <t>2026-10-17</t>
        </is>
      </c>
      <c r="CX11" s="97" t="inlineStr">
        <is>
          <t>392350</t>
        </is>
      </c>
      <c r="CY11" s="183" t="n"/>
    </row>
    <row r="12" ht="12" customHeight="1">
      <c r="A12" s="116" t="inlineStr">
        <is>
          <t>HASLS22260902288</t>
        </is>
      </c>
      <c r="B12" s="96" t="inlineStr">
        <is>
          <t>R40Hx1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0</v>
      </c>
      <c r="H12" s="97" t="n">
        <v>0</v>
      </c>
      <c r="I12" s="97" t="n">
        <v>1</v>
      </c>
      <c r="J12" s="97" t="n">
        <v>2</v>
      </c>
      <c r="K12" s="96" t="inlineStr">
        <is>
          <t>N</t>
        </is>
      </c>
      <c r="L12" s="96" t="inlineStr">
        <is>
          <t>ANX</t>
        </is>
      </c>
      <c r="M12" s="96" t="inlineStr">
        <is>
          <t>YSVY</t>
        </is>
      </c>
      <c r="N12" s="96" t="inlineStr">
        <is>
          <t>2608S</t>
        </is>
      </c>
      <c r="O12" s="96" t="inlineStr">
        <is>
          <t>THLCH</t>
        </is>
      </c>
      <c r="P12" s="96" t="inlineStr">
        <is>
          <t>LCH04</t>
        </is>
      </c>
      <c r="Q12" s="96" t="inlineStr">
        <is>
          <t>IA</t>
        </is>
      </c>
      <c r="R12" s="161" t="inlineStr">
        <is>
          <t>2026-10-24</t>
        </is>
      </c>
      <c r="S12" s="96" t="inlineStr">
        <is>
          <t>IDJKT</t>
        </is>
      </c>
      <c r="T12" s="96" t="inlineStr">
        <is>
          <t>JKT02</t>
        </is>
      </c>
      <c r="U12" s="96" t="inlineStr">
        <is>
          <t>IDJKT</t>
        </is>
      </c>
      <c r="V12" s="161" t="inlineStr">
        <is>
          <t>2026-10-26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INTER FRESH CO., LTD.</t>
        </is>
      </c>
      <c r="AB12" s="96" t="inlineStr">
        <is>
          <t>INTER FRESH CO., LTD.</t>
        </is>
      </c>
      <c r="AC12" s="163" t="n">
        <v>27162.5</v>
      </c>
      <c r="AD12" s="163" t="n">
        <v>31162.5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TH0031</t>
        </is>
      </c>
      <c r="AN12" s="96" t="inlineStr">
        <is>
          <t>Pattarapong Saengthong</t>
        </is>
      </c>
      <c r="AO12" s="96" t="inlineStr">
        <is>
          <t>FRESH LONGAN</t>
        </is>
      </c>
      <c r="AP12" s="96" t="inlineStr">
        <is>
          <t>Normal</t>
        </is>
      </c>
      <c r="AQ12" s="97" t="n"/>
      <c r="AR12" s="97" t="n"/>
      <c r="AS12" s="97" t="inlineStr">
        <is>
          <t>RF// MIN:+2.0 MAX:+2.0 [COVER:30% OPEN]</t>
        </is>
      </c>
      <c r="AT12" s="97" t="inlineStr">
        <is>
          <t xml:space="preserve">45REx1 </t>
        </is>
      </c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>Pickup : 2026-10-16, Return : 2026-10-20 (Temp +2.0 / Vent 30% Open) 
Closing Time 2026-10-20 @ 23.59</t>
        </is>
      </c>
      <c r="BA12" s="97" t="inlineStr">
        <is>
          <t>SI DD.19/10/26</t>
        </is>
      </c>
      <c r="BB12" s="96" t="inlineStr">
        <is>
          <t>P</t>
        </is>
      </c>
      <c r="BC12" s="161" t="inlineStr">
        <is>
          <t>2026-09-24</t>
        </is>
      </c>
      <c r="BD12" s="161" t="inlineStr">
        <is>
          <t>2026-10-19</t>
        </is>
      </c>
      <c r="BE12" s="96" t="inlineStr">
        <is>
          <t>Y</t>
        </is>
      </c>
      <c r="BF12" s="96" t="inlineStr">
        <is>
          <t xml:space="preserve">FRESH LONGAN (TEMP +2.0 / VENT 30%) 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LCH27</t>
        </is>
      </c>
      <c r="BL12" s="161" t="inlineStr">
        <is>
          <t>2026-10-16</t>
        </is>
      </c>
      <c r="BM12" s="127" t="n"/>
      <c r="BN12" s="127" t="n"/>
      <c r="BO12" s="127" t="n"/>
      <c r="BP12" s="127" t="n"/>
      <c r="BQ12" s="127" t="n"/>
      <c r="BR12" s="127" t="n">
        <v>1</v>
      </c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LCH04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EXPORT@INTERFRESH.CO.TH</t>
        </is>
      </c>
      <c r="CJ12" s="96" t="inlineStr">
        <is>
          <t>INTER FRESH CO.,LTD</t>
        </is>
      </c>
      <c r="CK12" s="96" t="inlineStr">
        <is>
          <t>PT. PUSAKA MAKMUR SEJATI</t>
        </is>
      </c>
      <c r="CL12" s="96" t="inlineStr">
        <is>
          <t>PT. PUSAKA MAKMUR SEJATI</t>
        </is>
      </c>
      <c r="CM12" s="97" t="n"/>
      <c r="CN12" s="96" t="inlineStr">
        <is>
          <t>202610201700</t>
        </is>
      </c>
      <c r="CO12" s="96" t="inlineStr">
        <is>
          <t>202610211700</t>
        </is>
      </c>
      <c r="CP12" s="97" t="inlineStr">
        <is>
          <t>45RE x1: RF(Temp:+2.0' / Cover:30% OPEN)</t>
        </is>
      </c>
      <c r="CQ12" s="96" t="inlineStr">
        <is>
          <t>S22-2607025</t>
        </is>
      </c>
      <c r="CR12" s="96" t="inlineStr">
        <is>
          <t>THTK3S</t>
        </is>
      </c>
      <c r="CS12" s="96" t="inlineStr">
        <is>
          <t>INTER FRESH CO., LTD.</t>
        </is>
      </c>
      <c r="CT12" s="96" t="inlineStr">
        <is>
          <t>N</t>
        </is>
      </c>
      <c r="CU12" s="97" t="n"/>
      <c r="CV12" s="97" t="n"/>
      <c r="CW12" s="161" t="inlineStr">
        <is>
          <t>2026-10-17</t>
        </is>
      </c>
      <c r="CX12" s="97" t="inlineStr">
        <is>
          <t>081090</t>
        </is>
      </c>
      <c r="CY12" s="183" t="n"/>
    </row>
    <row r="13" ht="12" customHeight="1">
      <c r="A13" s="116" t="inlineStr">
        <is>
          <t>HASLS22260902289</t>
        </is>
      </c>
      <c r="B13" s="96" t="inlineStr">
        <is>
          <t>R40Hx1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0</v>
      </c>
      <c r="H13" s="97" t="n">
        <v>0</v>
      </c>
      <c r="I13" s="97" t="n">
        <v>1</v>
      </c>
      <c r="J13" s="97" t="n">
        <v>2</v>
      </c>
      <c r="K13" s="96" t="inlineStr">
        <is>
          <t>N</t>
        </is>
      </c>
      <c r="L13" s="96" t="inlineStr">
        <is>
          <t>ANX</t>
        </is>
      </c>
      <c r="M13" s="96" t="inlineStr">
        <is>
          <t>YSVY</t>
        </is>
      </c>
      <c r="N13" s="96" t="inlineStr">
        <is>
          <t>2608S</t>
        </is>
      </c>
      <c r="O13" s="96" t="inlineStr">
        <is>
          <t>THLCH</t>
        </is>
      </c>
      <c r="P13" s="96" t="inlineStr">
        <is>
          <t>LCH04</t>
        </is>
      </c>
      <c r="Q13" s="96" t="inlineStr">
        <is>
          <t>IA</t>
        </is>
      </c>
      <c r="R13" s="161" t="inlineStr">
        <is>
          <t>2026-10-24</t>
        </is>
      </c>
      <c r="S13" s="96" t="inlineStr">
        <is>
          <t>IDJKT</t>
        </is>
      </c>
      <c r="T13" s="96" t="inlineStr">
        <is>
          <t>JKT02</t>
        </is>
      </c>
      <c r="U13" s="96" t="inlineStr">
        <is>
          <t>IDJKT</t>
        </is>
      </c>
      <c r="V13" s="161" t="inlineStr">
        <is>
          <t>2026-10-26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INTER FRESH CO., LTD.</t>
        </is>
      </c>
      <c r="AB13" s="96" t="inlineStr">
        <is>
          <t>INTER FRESH CO., LTD.</t>
        </is>
      </c>
      <c r="AC13" s="163" t="n">
        <v>27162.5</v>
      </c>
      <c r="AD13" s="163" t="n">
        <v>31162.5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TH0031</t>
        </is>
      </c>
      <c r="AN13" s="96" t="inlineStr">
        <is>
          <t>Pattarapong Saengthong</t>
        </is>
      </c>
      <c r="AO13" s="96" t="inlineStr">
        <is>
          <t>FRESH LONGAN</t>
        </is>
      </c>
      <c r="AP13" s="96" t="inlineStr">
        <is>
          <t>Normal</t>
        </is>
      </c>
      <c r="AQ13" s="97" t="n"/>
      <c r="AR13" s="97" t="n"/>
      <c r="AS13" s="97" t="inlineStr">
        <is>
          <t>RF// MIN:+2.0 MAX:+2.0 [COVER:30% OPEN]</t>
        </is>
      </c>
      <c r="AT13" s="97" t="inlineStr">
        <is>
          <t xml:space="preserve">45REx1 </t>
        </is>
      </c>
      <c r="AU13" s="97" t="n"/>
      <c r="AV13" s="97" t="n"/>
      <c r="AW13" s="97" t="n">
        <v>0</v>
      </c>
      <c r="AX13" s="96" t="inlineStr">
        <is>
          <t>N</t>
        </is>
      </c>
      <c r="AY13" s="97" t="n"/>
      <c r="AZ13" s="96" t="inlineStr">
        <is>
          <t>Pickup : 2026-10-09, Return : 2026-10-15 (Temp +2.0 / Vent 30% Open) 
Closing Time 2026-10-15 @ 23.59</t>
        </is>
      </c>
      <c r="BA13" s="97" t="inlineStr">
        <is>
          <t>SI DD.19/10/26</t>
        </is>
      </c>
      <c r="BB13" s="96" t="inlineStr">
        <is>
          <t>P</t>
        </is>
      </c>
      <c r="BC13" s="161" t="inlineStr">
        <is>
          <t>2026-09-24</t>
        </is>
      </c>
      <c r="BD13" s="161" t="inlineStr">
        <is>
          <t>2026-10-19</t>
        </is>
      </c>
      <c r="BE13" s="96" t="inlineStr">
        <is>
          <t>Y</t>
        </is>
      </c>
      <c r="BF13" s="96" t="inlineStr">
        <is>
          <t xml:space="preserve">FRESH LONGAN (TEMP +2.0 / VENT 30%) 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LCH27</t>
        </is>
      </c>
      <c r="BL13" s="161" t="inlineStr">
        <is>
          <t>2026-10-09</t>
        </is>
      </c>
      <c r="BM13" s="127" t="n"/>
      <c r="BN13" s="127" t="n"/>
      <c r="BO13" s="127" t="n"/>
      <c r="BP13" s="127" t="n"/>
      <c r="BQ13" s="127" t="n"/>
      <c r="BR13" s="127" t="n">
        <v>1</v>
      </c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LCH04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EXPORT@INTERFRESH.CO.TH</t>
        </is>
      </c>
      <c r="CJ13" s="96" t="inlineStr">
        <is>
          <t>INTER FRESH CO.,LTD</t>
        </is>
      </c>
      <c r="CK13" s="96" t="inlineStr">
        <is>
          <t>PT. BUAH UTAMA MANDIRI</t>
        </is>
      </c>
      <c r="CL13" s="96" t="inlineStr">
        <is>
          <t>PT. BUAH UTAMA MANDIRI</t>
        </is>
      </c>
      <c r="CM13" s="97" t="n"/>
      <c r="CN13" s="96" t="inlineStr">
        <is>
          <t>202610201700</t>
        </is>
      </c>
      <c r="CO13" s="96" t="inlineStr">
        <is>
          <t>202610211700</t>
        </is>
      </c>
      <c r="CP13" s="97" t="inlineStr">
        <is>
          <t>45RE x1: RF(Temp:+2.0' / Cover:30% OPEN)</t>
        </is>
      </c>
      <c r="CQ13" s="96" t="inlineStr">
        <is>
          <t>S22-2607025</t>
        </is>
      </c>
      <c r="CR13" s="96" t="inlineStr">
        <is>
          <t>THTK3S</t>
        </is>
      </c>
      <c r="CS13" s="96" t="inlineStr">
        <is>
          <t>INTER FRESH CO., LTD.</t>
        </is>
      </c>
      <c r="CT13" s="96" t="inlineStr">
        <is>
          <t>N</t>
        </is>
      </c>
      <c r="CU13" s="97" t="n"/>
      <c r="CV13" s="97" t="n"/>
      <c r="CW13" s="161" t="inlineStr">
        <is>
          <t>2026-10-17</t>
        </is>
      </c>
      <c r="CX13" s="97" t="inlineStr">
        <is>
          <t>081090</t>
        </is>
      </c>
      <c r="CY13" s="183" t="n"/>
    </row>
    <row r="14" ht="12" customHeight="1">
      <c r="A14" s="116" t="inlineStr">
        <is>
          <t>HASLS22260902435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ANX</t>
        </is>
      </c>
      <c r="M14" s="96" t="inlineStr">
        <is>
          <t>YSVY</t>
        </is>
      </c>
      <c r="N14" s="96" t="inlineStr">
        <is>
          <t>2608S</t>
        </is>
      </c>
      <c r="O14" s="96" t="inlineStr">
        <is>
          <t>THLCH</t>
        </is>
      </c>
      <c r="P14" s="96" t="inlineStr">
        <is>
          <t>LCH04</t>
        </is>
      </c>
      <c r="Q14" s="96" t="inlineStr">
        <is>
          <t>IA</t>
        </is>
      </c>
      <c r="R14" s="161" t="inlineStr">
        <is>
          <t>2026-10-24</t>
        </is>
      </c>
      <c r="S14" s="96" t="inlineStr">
        <is>
          <t>IDJKT</t>
        </is>
      </c>
      <c r="T14" s="96" t="inlineStr">
        <is>
          <t>JKT02</t>
        </is>
      </c>
      <c r="U14" s="96" t="inlineStr">
        <is>
          <t>IDJKT</t>
        </is>
      </c>
      <c r="V14" s="161" t="inlineStr">
        <is>
          <t>2026-10-26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UBE CHEMICALS (ASIA) PUBLIC COMPANY LIMITED</t>
        </is>
      </c>
      <c r="AB14" s="96" t="inlineStr">
        <is>
          <t>UBE CHEMICALS (ASIA) PUBLIC COMPANY LIMITED</t>
        </is>
      </c>
      <c r="AC14" s="163" t="n">
        <v>16370</v>
      </c>
      <c r="AD14" s="163" t="n">
        <v>18570</v>
      </c>
      <c r="AE14" s="96" t="inlineStr">
        <is>
          <t>OK</t>
        </is>
      </c>
      <c r="AF14" s="96" t="n"/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TBKK47</t>
        </is>
      </c>
      <c r="AN14" s="96" t="inlineStr">
        <is>
          <t>Tarn(Supaporn)</t>
        </is>
      </c>
      <c r="AO14" s="96" t="inlineStr">
        <is>
          <t>POLYAMIDE RESIN (POLYAMIDE 6)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>CY -RTN : 14-15/10/2026 (2002054617)</t>
        </is>
      </c>
      <c r="BA14" s="97" t="inlineStr">
        <is>
          <t>SI DD.19/10/26
ROLL OVER FROM PREVIOUS VSL NSSJ 2608S BY ALLOCATION TEAM MS.TARN APPROVED COST IS UNDER HAL DD.20/10/2026</t>
        </is>
      </c>
      <c r="BB14" s="96" t="inlineStr">
        <is>
          <t>P</t>
        </is>
      </c>
      <c r="BC14" s="161" t="inlineStr">
        <is>
          <t>2026-09-25</t>
        </is>
      </c>
      <c r="BD14" s="161" t="inlineStr">
        <is>
          <t>2026-10-21</t>
        </is>
      </c>
      <c r="BE14" s="96" t="inlineStr">
        <is>
          <t>Y</t>
        </is>
      </c>
      <c r="BF14" s="96" t="inlineStr">
        <is>
          <t xml:space="preserve">POLYAMIDE RESIN 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LCHY5</t>
        </is>
      </c>
      <c r="BL14" s="161" t="inlineStr">
        <is>
          <t>2026-10-14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n"/>
      <c r="CB14" s="97" t="n"/>
      <c r="CC14" s="96" t="inlineStr">
        <is>
          <t>LCH04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hataipach@ube.co.th;ugttransportex@ube.co.th</t>
        </is>
      </c>
      <c r="CJ14" s="96" t="inlineStr">
        <is>
          <t>UBE CHEMICALS (ASIA) PUBLIC</t>
        </is>
      </c>
      <c r="CK14" s="96" t="inlineStr">
        <is>
          <t>PT. ITOCHU INDONESIA</t>
        </is>
      </c>
      <c r="CL14" s="96" t="inlineStr">
        <is>
          <t>PT. ITOCHU INDONESIA</t>
        </is>
      </c>
      <c r="CM14" s="97" t="inlineStr">
        <is>
          <t>CLOSED</t>
        </is>
      </c>
      <c r="CN14" s="96" t="inlineStr">
        <is>
          <t>202610201700</t>
        </is>
      </c>
      <c r="CO14" s="96" t="inlineStr">
        <is>
          <t>202610211700</t>
        </is>
      </c>
      <c r="CP14" s="97" t="n"/>
      <c r="CQ14" s="96" t="inlineStr">
        <is>
          <t>BKK17A0457-1</t>
        </is>
      </c>
      <c r="CR14" s="96" t="inlineStr">
        <is>
          <t>TH035E</t>
        </is>
      </c>
      <c r="CS14" s="96" t="inlineStr">
        <is>
          <t>UBE CHEMICALS (ASIA) PUBLIC COMPANY LIMITED</t>
        </is>
      </c>
      <c r="CT14" s="96" t="inlineStr">
        <is>
          <t>N</t>
        </is>
      </c>
      <c r="CU14" s="97" t="n"/>
      <c r="CV14" s="97" t="n"/>
      <c r="CW14" s="161" t="inlineStr">
        <is>
          <t>2026-10-23</t>
        </is>
      </c>
      <c r="CX14" s="97" t="inlineStr">
        <is>
          <t>390810</t>
        </is>
      </c>
      <c r="CY14" s="183" t="n"/>
    </row>
    <row r="15" ht="12" customHeight="1">
      <c r="A15" s="116" t="inlineStr">
        <is>
          <t>HASLS22260902451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ANX</t>
        </is>
      </c>
      <c r="M15" s="96" t="inlineStr">
        <is>
          <t>YSVY</t>
        </is>
      </c>
      <c r="N15" s="96" t="inlineStr">
        <is>
          <t>2608S</t>
        </is>
      </c>
      <c r="O15" s="96" t="inlineStr">
        <is>
          <t>THLCH</t>
        </is>
      </c>
      <c r="P15" s="96" t="inlineStr">
        <is>
          <t>LCH04</t>
        </is>
      </c>
      <c r="Q15" s="96" t="inlineStr">
        <is>
          <t>IA</t>
        </is>
      </c>
      <c r="R15" s="161" t="inlineStr">
        <is>
          <t>2026-10-24</t>
        </is>
      </c>
      <c r="S15" s="96" t="inlineStr">
        <is>
          <t>IDJKT</t>
        </is>
      </c>
      <c r="T15" s="96" t="inlineStr">
        <is>
          <t>JKT02</t>
        </is>
      </c>
      <c r="U15" s="96" t="inlineStr">
        <is>
          <t>IDJKT</t>
        </is>
      </c>
      <c r="V15" s="161" t="inlineStr">
        <is>
          <t>2026-10-26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UBE CHEMICALS (ASIA) PUBLIC COMPANY LIMITED</t>
        </is>
      </c>
      <c r="AB15" s="96" t="inlineStr">
        <is>
          <t>UBE CHEMICALS (ASIA) PUBLIC COMPANY LIMITED</t>
        </is>
      </c>
      <c r="AC15" s="163" t="n">
        <v>16293.2</v>
      </c>
      <c r="AD15" s="163" t="n">
        <v>18493.2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TBKK47</t>
        </is>
      </c>
      <c r="AN15" s="96" t="inlineStr">
        <is>
          <t>Tarn(Supaporn)</t>
        </is>
      </c>
      <c r="AO15" s="96" t="inlineStr">
        <is>
          <t>POLYAMIDE RESIN (NON DG)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CY -RTN : 14-14/10/2026 (2002054242)</t>
        </is>
      </c>
      <c r="BA15" s="97" t="inlineStr">
        <is>
          <t>SI DD.19/10/26
ROLL OVER FROM PREVIOUS VSL NSSJ 2608S BY ALLOCATION TEAM MS.TARN APPROVED COST IS UNDER HAL DD.20/10/2026</t>
        </is>
      </c>
      <c r="BB15" s="96" t="inlineStr">
        <is>
          <t>P</t>
        </is>
      </c>
      <c r="BC15" s="161" t="inlineStr">
        <is>
          <t>2026-09-25</t>
        </is>
      </c>
      <c r="BD15" s="161" t="inlineStr">
        <is>
          <t>2026-10-21</t>
        </is>
      </c>
      <c r="BE15" s="96" t="inlineStr">
        <is>
          <t>Y</t>
        </is>
      </c>
      <c r="BF15" s="96" t="inlineStr">
        <is>
          <t xml:space="preserve">POLYAMIDE RESIN 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2026-10-14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n"/>
      <c r="CB15" s="97" t="n"/>
      <c r="CC15" s="96" t="inlineStr">
        <is>
          <t>LCH04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hataipach@ube.co.th;ugttransportex@ube.co.th</t>
        </is>
      </c>
      <c r="CJ15" s="96" t="inlineStr">
        <is>
          <t>UBE CHEMICALS (ASIA) PUBLIC</t>
        </is>
      </c>
      <c r="CK15" s="96" t="inlineStr">
        <is>
          <t>PT.INABATA INDONESIA</t>
        </is>
      </c>
      <c r="CL15" s="96" t="inlineStr">
        <is>
          <t>PT.INABATA INDONESIA</t>
        </is>
      </c>
      <c r="CM15" s="97" t="inlineStr">
        <is>
          <t>CLOSED</t>
        </is>
      </c>
      <c r="CN15" s="96" t="inlineStr">
        <is>
          <t>202610201700</t>
        </is>
      </c>
      <c r="CO15" s="96" t="inlineStr">
        <is>
          <t>202610211700</t>
        </is>
      </c>
      <c r="CP15" s="97" t="n"/>
      <c r="CQ15" s="96" t="inlineStr">
        <is>
          <t>BKK17A0457-1</t>
        </is>
      </c>
      <c r="CR15" s="96" t="inlineStr">
        <is>
          <t>TH035E</t>
        </is>
      </c>
      <c r="CS15" s="96" t="inlineStr">
        <is>
          <t>UBE CHEMICALS (ASIA) PUBLIC COMPANY LIMITED</t>
        </is>
      </c>
      <c r="CT15" s="96" t="inlineStr">
        <is>
          <t>N</t>
        </is>
      </c>
      <c r="CU15" s="97" t="n"/>
      <c r="CV15" s="97" t="n"/>
      <c r="CW15" s="161" t="inlineStr">
        <is>
          <t>2026-10-23</t>
        </is>
      </c>
      <c r="CX15" s="97" t="inlineStr">
        <is>
          <t>390810</t>
        </is>
      </c>
      <c r="CY15" s="183" t="n"/>
    </row>
    <row r="16" ht="12" customHeight="1">
      <c r="A16" s="116" t="inlineStr">
        <is>
          <t>HASLS22260902656</t>
        </is>
      </c>
      <c r="B16" s="96" t="inlineStr">
        <is>
          <t>20'x1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ANX</t>
        </is>
      </c>
      <c r="M16" s="96" t="inlineStr">
        <is>
          <t>YSVY</t>
        </is>
      </c>
      <c r="N16" s="96" t="inlineStr">
        <is>
          <t>2608S</t>
        </is>
      </c>
      <c r="O16" s="96" t="inlineStr">
        <is>
          <t>THLCH</t>
        </is>
      </c>
      <c r="P16" s="96" t="inlineStr">
        <is>
          <t>LCH04</t>
        </is>
      </c>
      <c r="Q16" s="96" t="inlineStr">
        <is>
          <t>IA</t>
        </is>
      </c>
      <c r="R16" s="161" t="inlineStr">
        <is>
          <t>2026-10-24</t>
        </is>
      </c>
      <c r="S16" s="96" t="inlineStr">
        <is>
          <t>IDJKT</t>
        </is>
      </c>
      <c r="T16" s="96" t="inlineStr">
        <is>
          <t>JKT02</t>
        </is>
      </c>
      <c r="U16" s="96" t="inlineStr">
        <is>
          <t>IDJKT</t>
        </is>
      </c>
      <c r="V16" s="161" t="inlineStr">
        <is>
          <t>2026-10-26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NH LOGISTICS CO., LTD.</t>
        </is>
      </c>
      <c r="AB16" s="96" t="inlineStr">
        <is>
          <t>TROY SIAM CO., LTD.</t>
        </is>
      </c>
      <c r="AC16" s="163" t="n">
        <v>14920.5</v>
      </c>
      <c r="AD16" s="163" t="n">
        <v>17120.5</v>
      </c>
      <c r="AE16" s="96" t="inlineStr">
        <is>
          <t>OK</t>
        </is>
      </c>
      <c r="AF16" s="96" t="n"/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TBKK97</t>
        </is>
      </c>
      <c r="AN16" s="96" t="inlineStr">
        <is>
          <t>Arunphat W. (Aiw)</t>
        </is>
      </c>
      <c r="AO16" s="96" t="inlineStr">
        <is>
          <t>HAZARDOUS CARGO</t>
        </is>
      </c>
      <c r="AP16" s="96" t="inlineStr">
        <is>
          <t>Normal</t>
        </is>
      </c>
      <c r="AQ16" s="97" t="inlineStr">
        <is>
          <t>DG(Mix)22GPx1 (CLS 4.1 / UN 1325, CLS 3 / UN 1992, CLS 3 / UN 1993)</t>
        </is>
      </c>
      <c r="AR16" s="97" t="inlineStr">
        <is>
          <t xml:space="preserve">22GPx1 </t>
        </is>
      </c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n"/>
      <c r="AZ16" s="96" t="inlineStr">
        <is>
          <t>APPROVE BY KR Geonwook.kim DD : 08/10/26 DG CARGO (CLS 4.1 / UN 1325, CLS 3 / UN 1992, CLS 3 / UN 1993) 
Pickup : 2026-10-19, Return@ JWD : 2026-10-19</t>
        </is>
      </c>
      <c r="BA16" s="97" t="n"/>
      <c r="BB16" s="96" t="inlineStr">
        <is>
          <t>P</t>
        </is>
      </c>
      <c r="BC16" s="161" t="inlineStr">
        <is>
          <t>2026-09-29</t>
        </is>
      </c>
      <c r="BD16" s="161" t="inlineStr">
        <is>
          <t>2026-10-21</t>
        </is>
      </c>
      <c r="BE16" s="96" t="inlineStr">
        <is>
          <t>Y</t>
        </is>
      </c>
      <c r="BF16" s="96" t="inlineStr">
        <is>
          <t>HAZARDOUS CARGO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LCHY5</t>
        </is>
      </c>
      <c r="BL16" s="161" t="inlineStr">
        <is>
          <t>2026-10-19</t>
        </is>
      </c>
      <c r="BM16" s="127" t="n"/>
      <c r="BN16" s="127" t="n">
        <v>1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LCH04</t>
        </is>
      </c>
      <c r="CD16" s="97" t="n"/>
      <c r="CE16" s="97" t="n"/>
      <c r="CF16" s="96" t="inlineStr">
        <is>
          <t>4.1 Class x 1 Teu (Approval), 3 Class x 1 Teu (Approval),</t>
        </is>
      </c>
      <c r="CG16" s="96" t="inlineStr">
        <is>
          <t>CY/CY</t>
        </is>
      </c>
      <c r="CH16" s="97" t="n"/>
      <c r="CI16" s="96" t="inlineStr">
        <is>
          <t>Suthatcha@nhlog.co.th;panitha@nhlog.co.th</t>
        </is>
      </c>
      <c r="CJ16" s="96" t="inlineStr">
        <is>
          <t>TROY SIAM COMPANY LIMITED</t>
        </is>
      </c>
      <c r="CK16" s="96" t="inlineStr">
        <is>
          <t>PT.WWRC INDONESIA</t>
        </is>
      </c>
      <c r="CL16" s="96" t="inlineStr">
        <is>
          <t>PT.WWRC INDONESIA</t>
        </is>
      </c>
      <c r="CM16" s="97" t="n"/>
      <c r="CN16" s="96" t="inlineStr">
        <is>
          <t>202610201700</t>
        </is>
      </c>
      <c r="CO16" s="96" t="inlineStr">
        <is>
          <t>202610211700</t>
        </is>
      </c>
      <c r="CP16" s="97" t="inlineStr">
        <is>
          <t>22GP x1: DG(UNNo.:1993/ Class:3)</t>
        </is>
      </c>
      <c r="CQ16" s="96" t="inlineStr">
        <is>
          <t>S22-2212027</t>
        </is>
      </c>
      <c r="CR16" s="96" t="inlineStr">
        <is>
          <t>THTKZR</t>
        </is>
      </c>
      <c r="CS16" s="96" t="inlineStr">
        <is>
          <t>NH LOGISTICS CO., LTD.</t>
        </is>
      </c>
      <c r="CT16" s="96" t="inlineStr">
        <is>
          <t>N</t>
        </is>
      </c>
      <c r="CU16" s="97" t="n"/>
      <c r="CV16" s="97" t="n"/>
      <c r="CW16" s="161" t="inlineStr">
        <is>
          <t>2026-10-22</t>
        </is>
      </c>
      <c r="CX16" s="97" t="inlineStr">
        <is>
          <t>321100</t>
        </is>
      </c>
      <c r="CY16" s="183" t="n"/>
    </row>
    <row r="17" ht="12" customHeight="1">
      <c r="A17" s="116" t="inlineStr">
        <is>
          <t>HASLS22260902692</t>
        </is>
      </c>
      <c r="B17" s="96" t="inlineStr">
        <is>
          <t>20'x1</t>
        </is>
      </c>
      <c r="C17" s="97" t="n">
        <v>1</v>
      </c>
      <c r="D17" s="97" t="n">
        <v>1</v>
      </c>
      <c r="E17" s="97" t="inlineStr">
        <is>
          <t>THLKR</t>
        </is>
      </c>
      <c r="F17" s="97" t="n">
        <v>0</v>
      </c>
      <c r="G17" s="97" t="n">
        <v>1</v>
      </c>
      <c r="H17" s="97" t="n">
        <v>0</v>
      </c>
      <c r="I17" s="97" t="n">
        <v>0</v>
      </c>
      <c r="J17" s="97" t="n">
        <v>1</v>
      </c>
      <c r="K17" s="96" t="inlineStr">
        <is>
          <t>N</t>
        </is>
      </c>
      <c r="L17" s="96" t="inlineStr">
        <is>
          <t>ANX</t>
        </is>
      </c>
      <c r="M17" s="96" t="inlineStr">
        <is>
          <t>YSVY</t>
        </is>
      </c>
      <c r="N17" s="96" t="inlineStr">
        <is>
          <t>2608S</t>
        </is>
      </c>
      <c r="O17" s="96" t="inlineStr">
        <is>
          <t>THLCH</t>
        </is>
      </c>
      <c r="P17" s="96" t="inlineStr">
        <is>
          <t>LCH04</t>
        </is>
      </c>
      <c r="Q17" s="96" t="inlineStr">
        <is>
          <t>IA</t>
        </is>
      </c>
      <c r="R17" s="161" t="inlineStr">
        <is>
          <t>2026-10-24</t>
        </is>
      </c>
      <c r="S17" s="96" t="inlineStr">
        <is>
          <t>IDJKT</t>
        </is>
      </c>
      <c r="T17" s="96" t="inlineStr">
        <is>
          <t>JKT02</t>
        </is>
      </c>
      <c r="U17" s="96" t="inlineStr">
        <is>
          <t>IDJKT</t>
        </is>
      </c>
      <c r="V17" s="161" t="inlineStr">
        <is>
          <t>2026-10-26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FREIGHT EXPRESS INTERNATIONAL CO., LTD.</t>
        </is>
      </c>
      <c r="AB17" s="96" t="inlineStr">
        <is>
          <t>K J C INTERFOOD CO., LTD.</t>
        </is>
      </c>
      <c r="AC17" s="163" t="n">
        <v>3200</v>
      </c>
      <c r="AD17" s="163" t="n">
        <v>5400</v>
      </c>
      <c r="AE17" s="96" t="inlineStr">
        <is>
          <t>OK</t>
        </is>
      </c>
      <c r="AF17" s="96" t="n"/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TBKK97</t>
        </is>
      </c>
      <c r="AN17" s="96" t="inlineStr">
        <is>
          <t>Arunphat W. (Aiw)</t>
        </is>
      </c>
      <c r="AO17" s="96" t="inlineStr">
        <is>
          <t>SEAWEED FOR MAKING ONIGIRI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>Pickup : 2026-10-15, Return LKR : 2026-10-16 [PAPERLESS CODE 2835]
CLS TIME 16/10/26 @18.00</t>
        </is>
      </c>
      <c r="BA17" s="97" t="n"/>
      <c r="BB17" s="96" t="inlineStr">
        <is>
          <t>P</t>
        </is>
      </c>
      <c r="BC17" s="161" t="inlineStr">
        <is>
          <t>2026-09-29</t>
        </is>
      </c>
      <c r="BD17" s="161" t="inlineStr">
        <is>
          <t>2026-10-19</t>
        </is>
      </c>
      <c r="BE17" s="96" t="inlineStr">
        <is>
          <t>Y</t>
        </is>
      </c>
      <c r="BF17" s="96" t="inlineStr">
        <is>
          <t>SEAWEED FOR MAKING ONIGIRI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BKK27</t>
        </is>
      </c>
      <c r="BL17" s="161" t="inlineStr">
        <is>
          <t>2026-10-15</t>
        </is>
      </c>
      <c r="BM17" s="127" t="n"/>
      <c r="BN17" s="127" t="n">
        <v>1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LCH55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export@fei.co.th</t>
        </is>
      </c>
      <c r="CJ17" s="96" t="inlineStr">
        <is>
          <t>FREIGHT EXPRESS INTERNATIONAL CO.,</t>
        </is>
      </c>
      <c r="CK17" s="96" t="inlineStr">
        <is>
          <t>PT CITRA GOURMAND PRIMA</t>
        </is>
      </c>
      <c r="CL17" s="96" t="inlineStr">
        <is>
          <t>PT. MAZTRANS GLOBAL INDO</t>
        </is>
      </c>
      <c r="CM17" s="97" t="n"/>
      <c r="CN17" s="96" t="inlineStr">
        <is>
          <t>202610201700</t>
        </is>
      </c>
      <c r="CO17" s="96" t="inlineStr">
        <is>
          <t>202610211700</t>
        </is>
      </c>
      <c r="CP17" s="97" t="n"/>
      <c r="CQ17" s="96" t="inlineStr">
        <is>
          <t>S22-2502048</t>
        </is>
      </c>
      <c r="CR17" s="96" t="inlineStr">
        <is>
          <t>THTIVB</t>
        </is>
      </c>
      <c r="CS17" s="96" t="inlineStr">
        <is>
          <t>FREIGHT EXPRESS INTERNATIONAL CO., LTD.</t>
        </is>
      </c>
      <c r="CT17" s="96" t="inlineStr">
        <is>
          <t>N</t>
        </is>
      </c>
      <c r="CU17" s="97" t="n"/>
      <c r="CV17" s="97" t="n"/>
      <c r="CW17" s="161" t="inlineStr">
        <is>
          <t>2026-10-19</t>
        </is>
      </c>
      <c r="CX17" s="97" t="inlineStr">
        <is>
          <t>200899</t>
        </is>
      </c>
      <c r="CY17" s="183" t="n"/>
    </row>
    <row r="18" ht="12" customHeight="1">
      <c r="A18" s="116" t="inlineStr">
        <is>
          <t>HASLS22260902768</t>
        </is>
      </c>
      <c r="B18" s="96" t="inlineStr">
        <is>
          <t>20'x1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1</v>
      </c>
      <c r="H18" s="97" t="n">
        <v>0</v>
      </c>
      <c r="I18" s="97" t="n">
        <v>0</v>
      </c>
      <c r="J18" s="97" t="n">
        <v>1</v>
      </c>
      <c r="K18" s="96" t="inlineStr">
        <is>
          <t>N</t>
        </is>
      </c>
      <c r="L18" s="96" t="inlineStr">
        <is>
          <t>ANX</t>
        </is>
      </c>
      <c r="M18" s="96" t="inlineStr">
        <is>
          <t>YSVY</t>
        </is>
      </c>
      <c r="N18" s="96" t="inlineStr">
        <is>
          <t>2608S</t>
        </is>
      </c>
      <c r="O18" s="96" t="inlineStr">
        <is>
          <t>THLCH</t>
        </is>
      </c>
      <c r="P18" s="96" t="inlineStr">
        <is>
          <t>LCH04</t>
        </is>
      </c>
      <c r="Q18" s="96" t="inlineStr">
        <is>
          <t>IA</t>
        </is>
      </c>
      <c r="R18" s="161" t="inlineStr">
        <is>
          <t>2026-10-24</t>
        </is>
      </c>
      <c r="S18" s="96" t="inlineStr">
        <is>
          <t>IDJKT</t>
        </is>
      </c>
      <c r="T18" s="96" t="inlineStr">
        <is>
          <t>JKT02</t>
        </is>
      </c>
      <c r="U18" s="96" t="inlineStr">
        <is>
          <t>IDJKT</t>
        </is>
      </c>
      <c r="V18" s="161" t="inlineStr">
        <is>
          <t>2026-10-26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K LINE LOGISTICS (THAILAND) LTD.</t>
        </is>
      </c>
      <c r="AB18" s="96" t="inlineStr">
        <is>
          <t>TOYO INK (THAILAND) CO.,LTD.</t>
        </is>
      </c>
      <c r="AC18" s="163" t="n">
        <v>10000</v>
      </c>
      <c r="AD18" s="163" t="n">
        <v>12200</v>
      </c>
      <c r="AE18" s="96" t="inlineStr">
        <is>
          <t>OK</t>
        </is>
      </c>
      <c r="AF18" s="96" t="n"/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TBKK28</t>
        </is>
      </c>
      <c r="AN18" s="96" t="inlineStr">
        <is>
          <t>Nustsireerach</t>
        </is>
      </c>
      <c r="AO18" s="96" t="inlineStr">
        <is>
          <t>RESIN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n"/>
      <c r="AZ18" s="96" t="inlineStr">
        <is>
          <t>Pickup : 2026-10-14, Return : 2026-10-15</t>
        </is>
      </c>
      <c r="BA18" s="97" t="inlineStr">
        <is>
          <t>SI 15/10</t>
        </is>
      </c>
      <c r="BB18" s="96" t="inlineStr">
        <is>
          <t>P</t>
        </is>
      </c>
      <c r="BC18" s="161" t="inlineStr">
        <is>
          <t>2026-09-30</t>
        </is>
      </c>
      <c r="BD18" s="161" t="inlineStr">
        <is>
          <t>2026-10-21</t>
        </is>
      </c>
      <c r="BE18" s="96" t="inlineStr">
        <is>
          <t>Y</t>
        </is>
      </c>
      <c r="BF18" s="96" t="inlineStr">
        <is>
          <t>METAL BASED COLORING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LCH27</t>
        </is>
      </c>
      <c r="BL18" s="161" t="inlineStr">
        <is>
          <t>2026-10-14</t>
        </is>
      </c>
      <c r="BM18" s="127" t="n"/>
      <c r="BN18" s="127" t="n">
        <v>1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LCH04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kllthse@th.klinelogistics.com</t>
        </is>
      </c>
      <c r="CJ18" s="96" t="inlineStr">
        <is>
          <t>K LINE LOGISTICS (THAILAND) LTD.</t>
        </is>
      </c>
      <c r="CK18" s="96" t="inlineStr">
        <is>
          <t>PT. TOYO INK INDONESIA</t>
        </is>
      </c>
      <c r="CL18" s="96" t="inlineStr">
        <is>
          <t>PT KLINE LOGISTICS INDONESIA</t>
        </is>
      </c>
      <c r="CM18" s="97" t="n"/>
      <c r="CN18" s="96" t="inlineStr">
        <is>
          <t>202610201700</t>
        </is>
      </c>
      <c r="CO18" s="96" t="inlineStr">
        <is>
          <t>202610211700</t>
        </is>
      </c>
      <c r="CP18" s="97" t="n"/>
      <c r="CQ18" s="96" t="inlineStr">
        <is>
          <t>S19-1910042</t>
        </is>
      </c>
      <c r="CR18" s="96" t="inlineStr">
        <is>
          <t>THTHZO</t>
        </is>
      </c>
      <c r="CS18" s="96" t="inlineStr">
        <is>
          <t>K LINE LOGISTICS (THAILAND) LTD.</t>
        </is>
      </c>
      <c r="CT18" s="96" t="inlineStr">
        <is>
          <t>N</t>
        </is>
      </c>
      <c r="CU18" s="97" t="n"/>
      <c r="CV18" s="97" t="n"/>
      <c r="CW18" s="161" t="inlineStr">
        <is>
          <t>2026-10-19</t>
        </is>
      </c>
      <c r="CX18" s="97" t="inlineStr">
        <is>
          <t>390210</t>
        </is>
      </c>
      <c r="CY18" s="183" t="n"/>
    </row>
    <row r="19" ht="12" customHeight="1">
      <c r="A19" s="116" t="inlineStr">
        <is>
          <t>HASLS22260902784</t>
        </is>
      </c>
      <c r="B19" s="96" t="inlineStr">
        <is>
          <t>40Hx1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0</v>
      </c>
      <c r="H19" s="97" t="n">
        <v>0</v>
      </c>
      <c r="I19" s="97" t="n">
        <v>1</v>
      </c>
      <c r="J19" s="97" t="n">
        <v>2</v>
      </c>
      <c r="K19" s="96" t="inlineStr">
        <is>
          <t>N</t>
        </is>
      </c>
      <c r="L19" s="96" t="inlineStr">
        <is>
          <t>ANX</t>
        </is>
      </c>
      <c r="M19" s="96" t="inlineStr">
        <is>
          <t>YSVY</t>
        </is>
      </c>
      <c r="N19" s="96" t="inlineStr">
        <is>
          <t>2608S</t>
        </is>
      </c>
      <c r="O19" s="96" t="inlineStr">
        <is>
          <t>THLCH</t>
        </is>
      </c>
      <c r="P19" s="96" t="inlineStr">
        <is>
          <t>LCH04</t>
        </is>
      </c>
      <c r="Q19" s="96" t="inlineStr">
        <is>
          <t>IA</t>
        </is>
      </c>
      <c r="R19" s="161" t="inlineStr">
        <is>
          <t>2026-10-24</t>
        </is>
      </c>
      <c r="S19" s="96" t="inlineStr">
        <is>
          <t>IDJKT</t>
        </is>
      </c>
      <c r="T19" s="96" t="inlineStr">
        <is>
          <t>JKT02</t>
        </is>
      </c>
      <c r="U19" s="96" t="inlineStr">
        <is>
          <t>IDJKT</t>
        </is>
      </c>
      <c r="V19" s="161" t="inlineStr">
        <is>
          <t>2026-10-26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YUSEN LOGISTICS (THAILAND) CO., LTD.</t>
        </is>
      </c>
      <c r="AB19" s="96" t="inlineStr">
        <is>
          <t>ADVICS ASIA PACIFIC CO.,LTD.</t>
        </is>
      </c>
      <c r="AC19" s="163" t="n">
        <v>7122.74</v>
      </c>
      <c r="AD19" s="163" t="n">
        <v>11122.74</v>
      </c>
      <c r="AE19" s="96" t="inlineStr">
        <is>
          <t>OK</t>
        </is>
      </c>
      <c r="AF19" s="96" t="inlineStr">
        <is>
          <t>SR</t>
        </is>
      </c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TBKK55</t>
        </is>
      </c>
      <c r="AN19" s="96" t="inlineStr">
        <is>
          <t>Vilaiporn</t>
        </is>
      </c>
      <c r="AO19" s="96" t="inlineStr">
        <is>
          <t>RETAINER, CONTROL VALVE SPRING, BOOT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inlineStr">
        <is>
          <t>OBL</t>
        </is>
      </c>
      <c r="AZ19" s="96" t="inlineStr">
        <is>
          <t>Pickup : 2026-10-19, Return : 2026-10-20</t>
        </is>
      </c>
      <c r="BA19" s="97" t="inlineStr">
        <is>
          <t>Remarks: kindly release good, clean, dry, no leak, no hole, no smell, no oil container.Please send the booking confirmation, draft MBL, invoice and any notice to email ylth.ml.offg.exp.iat@th.yusen-logistics.com and supatcha.s@th.yusen-logistics.com</t>
        </is>
      </c>
      <c r="BB19" s="96" t="inlineStr">
        <is>
          <t>P</t>
        </is>
      </c>
      <c r="BC19" s="161" t="inlineStr">
        <is>
          <t>2026-09-30</t>
        </is>
      </c>
      <c r="BD19" s="161" t="inlineStr">
        <is>
          <t>2026-10-21</t>
        </is>
      </c>
      <c r="BE19" s="96" t="inlineStr">
        <is>
          <t>Y</t>
        </is>
      </c>
      <c r="BF19" s="96" t="inlineStr">
        <is>
          <t>HYDRAULIC UNIT ASSY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LCH27</t>
        </is>
      </c>
      <c r="BL19" s="161" t="inlineStr">
        <is>
          <t>2026-10-19</t>
        </is>
      </c>
      <c r="BM19" s="127" t="n"/>
      <c r="BN19" s="127" t="n"/>
      <c r="BO19" s="127" t="n"/>
      <c r="BP19" s="127" t="n">
        <v>1</v>
      </c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LCH04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supatcha.s@th.yusen-logistics.com</t>
        </is>
      </c>
      <c r="CJ19" s="96" t="inlineStr">
        <is>
          <t>YUSEN LOGISTICS (THAILAND) CO., LTD</t>
        </is>
      </c>
      <c r="CK19" s="96" t="inlineStr">
        <is>
          <t>PT. ADVICS MANUFACTURING INDONESIA</t>
        </is>
      </c>
      <c r="CL19" s="96" t="inlineStr">
        <is>
          <t>PT. YUSEN LOGISTICS INDONESIA</t>
        </is>
      </c>
      <c r="CM19" s="97" t="inlineStr">
        <is>
          <t>CLOSED</t>
        </is>
      </c>
      <c r="CN19" s="96" t="inlineStr">
        <is>
          <t>202610201700</t>
        </is>
      </c>
      <c r="CO19" s="96" t="inlineStr">
        <is>
          <t>202610211700</t>
        </is>
      </c>
      <c r="CP19" s="97" t="n"/>
      <c r="CQ19" s="96" t="inlineStr">
        <is>
          <t>S19-2112038</t>
        </is>
      </c>
      <c r="CR19" s="96" t="inlineStr">
        <is>
          <t>TH03TL</t>
        </is>
      </c>
      <c r="CS19" s="96" t="inlineStr">
        <is>
          <t>YUSEN LOGISTICS (THAILAND) CO., LTD.</t>
        </is>
      </c>
      <c r="CT19" s="96" t="inlineStr">
        <is>
          <t>N</t>
        </is>
      </c>
      <c r="CU19" s="97" t="n"/>
      <c r="CV19" s="97" t="n"/>
      <c r="CW19" s="161" t="inlineStr">
        <is>
          <t>2026-10-22</t>
        </is>
      </c>
      <c r="CX19" s="97" t="inlineStr">
        <is>
          <t>870829</t>
        </is>
      </c>
      <c r="CY19" s="183" t="n"/>
    </row>
    <row r="20" ht="12" customHeight="1">
      <c r="A20" s="116" t="inlineStr">
        <is>
          <t>HASLS22260902789</t>
        </is>
      </c>
      <c r="B20" s="96" t="inlineStr">
        <is>
          <t>20'x1</t>
        </is>
      </c>
      <c r="C20" s="97" t="n">
        <v>1</v>
      </c>
      <c r="D20" s="97" t="n">
        <v>1</v>
      </c>
      <c r="E20" s="97" t="n"/>
      <c r="F20" s="97" t="n">
        <v>0</v>
      </c>
      <c r="G20" s="97" t="n">
        <v>1</v>
      </c>
      <c r="H20" s="97" t="n">
        <v>0</v>
      </c>
      <c r="I20" s="97" t="n">
        <v>0</v>
      </c>
      <c r="J20" s="97" t="n">
        <v>1</v>
      </c>
      <c r="K20" s="96" t="inlineStr">
        <is>
          <t>N</t>
        </is>
      </c>
      <c r="L20" s="96" t="inlineStr">
        <is>
          <t>ANX</t>
        </is>
      </c>
      <c r="M20" s="96" t="inlineStr">
        <is>
          <t>YSVY</t>
        </is>
      </c>
      <c r="N20" s="96" t="inlineStr">
        <is>
          <t>2608S</t>
        </is>
      </c>
      <c r="O20" s="96" t="inlineStr">
        <is>
          <t>THLCH</t>
        </is>
      </c>
      <c r="P20" s="96" t="inlineStr">
        <is>
          <t>LCH04</t>
        </is>
      </c>
      <c r="Q20" s="96" t="inlineStr">
        <is>
          <t>IA</t>
        </is>
      </c>
      <c r="R20" s="161" t="inlineStr">
        <is>
          <t>2026-10-24</t>
        </is>
      </c>
      <c r="S20" s="96" t="inlineStr">
        <is>
          <t>IDJKT</t>
        </is>
      </c>
      <c r="T20" s="96" t="inlineStr">
        <is>
          <t>JKT02</t>
        </is>
      </c>
      <c r="U20" s="96" t="inlineStr">
        <is>
          <t>IDJKT</t>
        </is>
      </c>
      <c r="V20" s="161" t="inlineStr">
        <is>
          <t>2026-10-26</t>
        </is>
      </c>
      <c r="W20" s="96" t="inlineStr">
        <is>
          <t>IA</t>
        </is>
      </c>
      <c r="X20" s="97" t="n"/>
      <c r="Y20" s="97" t="n"/>
      <c r="Z20" s="97" t="n"/>
      <c r="AA20" s="96" t="inlineStr">
        <is>
          <t>L.A.1 CO.,LTD.</t>
        </is>
      </c>
      <c r="AB20" s="96" t="inlineStr">
        <is>
          <t>TANATEX CHEMICALS (THAILAND) CO., LTD.</t>
        </is>
      </c>
      <c r="AC20" s="163" t="n">
        <v>13120</v>
      </c>
      <c r="AD20" s="163" t="n">
        <v>15320</v>
      </c>
      <c r="AE20" s="96" t="inlineStr">
        <is>
          <t>OK</t>
        </is>
      </c>
      <c r="AF20" s="96" t="n"/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TH0042</t>
        </is>
      </c>
      <c r="AN20" s="96" t="inlineStr">
        <is>
          <t>Sukunpoj Damrongying</t>
        </is>
      </c>
      <c r="AO20" s="96" t="inlineStr">
        <is>
          <t>MESITOL BFN, BAYPRET NANO-PU (CHEMICALS PRODUCT DG CARGO)</t>
        </is>
      </c>
      <c r="AP20" s="96" t="inlineStr">
        <is>
          <t>Normal</t>
        </is>
      </c>
      <c r="AQ20" s="97" t="inlineStr">
        <is>
          <t>3082/9-III</t>
        </is>
      </c>
      <c r="AR20" s="97" t="inlineStr">
        <is>
          <t xml:space="preserve">22GPx1 </t>
        </is>
      </c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n"/>
      <c r="AZ20" s="96" t="inlineStr">
        <is>
          <t xml:space="preserve">APPROVAL BY MR.KIM GEONWOOK DD.13/10/2026 
Pickup : 2026-10-19, Return : 2026-10-20 DG22GPx1 (CLS 9 / UN 3082) </t>
        </is>
      </c>
      <c r="BA20" s="97" t="n"/>
      <c r="BB20" s="96" t="inlineStr">
        <is>
          <t>P</t>
        </is>
      </c>
      <c r="BC20" s="161" t="inlineStr">
        <is>
          <t>2026-09-30</t>
        </is>
      </c>
      <c r="BD20" s="161" t="inlineStr">
        <is>
          <t>2026-10-21</t>
        </is>
      </c>
      <c r="BE20" s="96" t="inlineStr">
        <is>
          <t>Y</t>
        </is>
      </c>
      <c r="BF20" s="96" t="inlineStr">
        <is>
          <t>CHEMICALS PRODUCT (NON DG)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LCH27</t>
        </is>
      </c>
      <c r="BL20" s="161" t="inlineStr">
        <is>
          <t>2026-10-19</t>
        </is>
      </c>
      <c r="BM20" s="127" t="n"/>
      <c r="BN20" s="127" t="n">
        <v>1</v>
      </c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LCH04</t>
        </is>
      </c>
      <c r="CD20" s="97" t="n"/>
      <c r="CE20" s="97" t="n"/>
      <c r="CF20" s="96" t="inlineStr">
        <is>
          <t>9 Class x 1 Teu (Approval),</t>
        </is>
      </c>
      <c r="CG20" s="96" t="inlineStr">
        <is>
          <t>CY/CY</t>
        </is>
      </c>
      <c r="CH20" s="97" t="n"/>
      <c r="CI20" s="96" t="inlineStr">
        <is>
          <t>sunida@la1freight.com</t>
        </is>
      </c>
      <c r="CJ20" s="96" t="inlineStr">
        <is>
          <t>L.A.1 CO.,LTD.</t>
        </is>
      </c>
      <c r="CK20" s="96" t="inlineStr">
        <is>
          <t>PT. CHEMSTAR INDONESIA TBK</t>
        </is>
      </c>
      <c r="CL20" s="96" t="inlineStr">
        <is>
          <t>PT. 3S PRIME CONTINENTAL</t>
        </is>
      </c>
      <c r="CM20" s="97" t="n"/>
      <c r="CN20" s="96" t="inlineStr">
        <is>
          <t>202610201700</t>
        </is>
      </c>
      <c r="CO20" s="96" t="inlineStr">
        <is>
          <t>202610211700</t>
        </is>
      </c>
      <c r="CP20" s="97" t="inlineStr">
        <is>
          <t>22GP x1: DG(UNNo.:3082/ Class:9)</t>
        </is>
      </c>
      <c r="CQ20" s="96" t="inlineStr">
        <is>
          <t>S22-2606013</t>
        </is>
      </c>
      <c r="CR20" s="96" t="inlineStr">
        <is>
          <t>THTYG7</t>
        </is>
      </c>
      <c r="CS20" s="96" t="inlineStr">
        <is>
          <t>L.A.1 CO.,LTD.</t>
        </is>
      </c>
      <c r="CT20" s="96" t="inlineStr">
        <is>
          <t>N</t>
        </is>
      </c>
      <c r="CU20" s="97" t="n"/>
      <c r="CV20" s="97" t="n"/>
      <c r="CW20" s="161" t="inlineStr">
        <is>
          <t>2026-10-22</t>
        </is>
      </c>
      <c r="CX20" s="97" t="inlineStr">
        <is>
          <t>380991</t>
        </is>
      </c>
      <c r="CY20" s="183" t="n"/>
    </row>
    <row r="21" ht="12" customHeight="1">
      <c r="A21" s="116" t="inlineStr">
        <is>
          <t>HASLS22261000067</t>
        </is>
      </c>
      <c r="B21" s="96" t="inlineStr">
        <is>
          <t>R40Hx1</t>
        </is>
      </c>
      <c r="C21" s="97" t="n">
        <v>1</v>
      </c>
      <c r="D21" s="97" t="n">
        <v>1</v>
      </c>
      <c r="E21" s="97" t="n"/>
      <c r="F21" s="97" t="n">
        <v>0</v>
      </c>
      <c r="G21" s="97" t="n">
        <v>0</v>
      </c>
      <c r="H21" s="97" t="n">
        <v>0</v>
      </c>
      <c r="I21" s="97" t="n">
        <v>1</v>
      </c>
      <c r="J21" s="97" t="n">
        <v>2</v>
      </c>
      <c r="K21" s="96" t="inlineStr">
        <is>
          <t>N</t>
        </is>
      </c>
      <c r="L21" s="96" t="inlineStr">
        <is>
          <t>ANX</t>
        </is>
      </c>
      <c r="M21" s="96" t="inlineStr">
        <is>
          <t>YSVY</t>
        </is>
      </c>
      <c r="N21" s="96" t="inlineStr">
        <is>
          <t>2608S</t>
        </is>
      </c>
      <c r="O21" s="96" t="inlineStr">
        <is>
          <t>THLCH</t>
        </is>
      </c>
      <c r="P21" s="96" t="inlineStr">
        <is>
          <t>LCH04</t>
        </is>
      </c>
      <c r="Q21" s="96" t="inlineStr">
        <is>
          <t>IA</t>
        </is>
      </c>
      <c r="R21" s="161" t="inlineStr">
        <is>
          <t>2026-10-24</t>
        </is>
      </c>
      <c r="S21" s="96" t="inlineStr">
        <is>
          <t>IDJKT</t>
        </is>
      </c>
      <c r="T21" s="96" t="inlineStr">
        <is>
          <t>JKT02</t>
        </is>
      </c>
      <c r="U21" s="96" t="inlineStr">
        <is>
          <t>IDJKT</t>
        </is>
      </c>
      <c r="V21" s="161" t="inlineStr">
        <is>
          <t>2026-10-26</t>
        </is>
      </c>
      <c r="W21" s="96" t="inlineStr">
        <is>
          <t>IA</t>
        </is>
      </c>
      <c r="X21" s="97" t="n"/>
      <c r="Y21" s="97" t="n"/>
      <c r="Z21" s="97" t="n"/>
      <c r="AA21" s="96" t="inlineStr">
        <is>
          <t>PROGRESS SHIPPING - TRANSPORT CO., LTD.</t>
        </is>
      </c>
      <c r="AB21" s="96" t="inlineStr">
        <is>
          <t>FRUIT PARADISE INTERNATIONAL TRADE CO.,LTD</t>
        </is>
      </c>
      <c r="AC21" s="163" t="n">
        <v>27162.5</v>
      </c>
      <c r="AD21" s="163" t="n">
        <v>31162.5</v>
      </c>
      <c r="AE21" s="96" t="inlineStr">
        <is>
          <t>OK</t>
        </is>
      </c>
      <c r="AF21" s="96" t="n"/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TH0031</t>
        </is>
      </c>
      <c r="AN21" s="96" t="inlineStr">
        <is>
          <t>Pattarapong Saengthong</t>
        </is>
      </c>
      <c r="AO21" s="96" t="inlineStr">
        <is>
          <t>FRESH LONGAN</t>
        </is>
      </c>
      <c r="AP21" s="96" t="inlineStr">
        <is>
          <t>Normal</t>
        </is>
      </c>
      <c r="AQ21" s="97" t="n"/>
      <c r="AR21" s="97" t="n"/>
      <c r="AS21" s="97" t="inlineStr">
        <is>
          <t>RF// MIN:+2.0 MAX:+2.0 [COVER:OPEN]</t>
        </is>
      </c>
      <c r="AT21" s="97" t="inlineStr">
        <is>
          <t xml:space="preserve">45REx1 </t>
        </is>
      </c>
      <c r="AU21" s="97" t="n"/>
      <c r="AV21" s="97" t="n"/>
      <c r="AW21" s="97" t="n">
        <v>0</v>
      </c>
      <c r="AX21" s="96" t="inlineStr">
        <is>
          <t>N</t>
        </is>
      </c>
      <c r="AY21" s="97" t="inlineStr">
        <is>
          <t>OBL</t>
        </is>
      </c>
      <c r="AZ21" s="96" t="inlineStr">
        <is>
          <t>Pickup : 2026-10-12, Return : 2026-10-15 (Temp +2.0 / Vent 15%)
Closing Time 2026-10-17 @ 23.59</t>
        </is>
      </c>
      <c r="BA21" s="97" t="inlineStr">
        <is>
          <t>RQ SURRENDER B/L. PAYER NAME SAME AS SHIPPER. 14 DAYS FREE TIME DETENTION AT DESTINATION.</t>
        </is>
      </c>
      <c r="BB21" s="96" t="inlineStr">
        <is>
          <t>P</t>
        </is>
      </c>
      <c r="BC21" s="161" t="inlineStr">
        <is>
          <t>2026-10-01</t>
        </is>
      </c>
      <c r="BD21" s="161" t="inlineStr">
        <is>
          <t>2026-10-21</t>
        </is>
      </c>
      <c r="BE21" s="96" t="inlineStr">
        <is>
          <t>Y</t>
        </is>
      </c>
      <c r="BF21" s="96" t="inlineStr">
        <is>
          <t>FRESH LONGAN (TEMP +2 VENT 15%)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LCH27</t>
        </is>
      </c>
      <c r="BL21" s="161" t="inlineStr">
        <is>
          <t>2026-10-12</t>
        </is>
      </c>
      <c r="BM21" s="127" t="n"/>
      <c r="BN21" s="127" t="n"/>
      <c r="BO21" s="127" t="n"/>
      <c r="BP21" s="127" t="n"/>
      <c r="BQ21" s="127" t="n"/>
      <c r="BR21" s="127" t="n">
        <v>1</v>
      </c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LCH04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fruit5@progress-shipping.com</t>
        </is>
      </c>
      <c r="CJ21" s="96" t="inlineStr">
        <is>
          <t>FRUIT PARADISE INTERNATIONAL</t>
        </is>
      </c>
      <c r="CK21" s="96" t="inlineStr">
        <is>
          <t>PT. USAHA BERKAH INOVASI</t>
        </is>
      </c>
      <c r="CL21" s="96" t="inlineStr">
        <is>
          <t>PT. USAHA BERKAH INOVASI</t>
        </is>
      </c>
      <c r="CM21" s="97" t="inlineStr">
        <is>
          <t>CLOSED</t>
        </is>
      </c>
      <c r="CN21" s="96" t="inlineStr">
        <is>
          <t>202610201700</t>
        </is>
      </c>
      <c r="CO21" s="96" t="inlineStr">
        <is>
          <t>202610211700</t>
        </is>
      </c>
      <c r="CP21" s="97" t="inlineStr">
        <is>
          <t>45RE x1: RF(Temp:+2.0' / Cover:FULL OPEN)</t>
        </is>
      </c>
      <c r="CQ21" s="96" t="inlineStr">
        <is>
          <t>S22-2408006</t>
        </is>
      </c>
      <c r="CR21" s="96" t="inlineStr">
        <is>
          <t>TH02PT</t>
        </is>
      </c>
      <c r="CS21" s="96" t="inlineStr">
        <is>
          <t>PROGRESS SHIPPING - TRANSPORT CO., LTD.</t>
        </is>
      </c>
      <c r="CT21" s="96" t="inlineStr">
        <is>
          <t>N</t>
        </is>
      </c>
      <c r="CU21" s="97" t="n"/>
      <c r="CV21" s="97" t="n"/>
      <c r="CW21" s="161" t="inlineStr">
        <is>
          <t>2026-10-19</t>
        </is>
      </c>
      <c r="CX21" s="97" t="inlineStr">
        <is>
          <t>081090</t>
        </is>
      </c>
      <c r="CY21" s="183" t="n"/>
    </row>
    <row r="22" ht="12" customHeight="1">
      <c r="A22" s="116" t="inlineStr">
        <is>
          <t>HASLS22261000093</t>
        </is>
      </c>
      <c r="B22" s="96" t="inlineStr">
        <is>
          <t>R40Hx1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0</v>
      </c>
      <c r="H22" s="97" t="n">
        <v>0</v>
      </c>
      <c r="I22" s="97" t="n">
        <v>1</v>
      </c>
      <c r="J22" s="97" t="n">
        <v>2</v>
      </c>
      <c r="K22" s="96" t="inlineStr">
        <is>
          <t>N</t>
        </is>
      </c>
      <c r="L22" s="96" t="inlineStr">
        <is>
          <t>ANX</t>
        </is>
      </c>
      <c r="M22" s="96" t="inlineStr">
        <is>
          <t>YSVY</t>
        </is>
      </c>
      <c r="N22" s="96" t="inlineStr">
        <is>
          <t>2608S</t>
        </is>
      </c>
      <c r="O22" s="96" t="inlineStr">
        <is>
          <t>THLCH</t>
        </is>
      </c>
      <c r="P22" s="96" t="inlineStr">
        <is>
          <t>LCH04</t>
        </is>
      </c>
      <c r="Q22" s="96" t="inlineStr">
        <is>
          <t>IA</t>
        </is>
      </c>
      <c r="R22" s="161" t="inlineStr">
        <is>
          <t>2026-10-24</t>
        </is>
      </c>
      <c r="S22" s="96" t="inlineStr">
        <is>
          <t>IDJKT</t>
        </is>
      </c>
      <c r="T22" s="96" t="inlineStr">
        <is>
          <t>JKT02</t>
        </is>
      </c>
      <c r="U22" s="96" t="inlineStr">
        <is>
          <t>IDJKT</t>
        </is>
      </c>
      <c r="V22" s="161" t="inlineStr">
        <is>
          <t>2026-10-26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PROGRESS SHIPPING - TRANSPORT CO., LTD.</t>
        </is>
      </c>
      <c r="AB22" s="96" t="inlineStr">
        <is>
          <t>FRUIT PARADISE INTERNATIONAL TRADE CO.,LTD</t>
        </is>
      </c>
      <c r="AC22" s="163" t="n">
        <v>27162.5</v>
      </c>
      <c r="AD22" s="163" t="n">
        <v>31162.5</v>
      </c>
      <c r="AE22" s="96" t="inlineStr">
        <is>
          <t>OK</t>
        </is>
      </c>
      <c r="AF22" s="96" t="n"/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TH0031</t>
        </is>
      </c>
      <c r="AN22" s="96" t="inlineStr">
        <is>
          <t>Pattarapong Saengthong</t>
        </is>
      </c>
      <c r="AO22" s="96" t="inlineStr">
        <is>
          <t>FRESH LONGAN</t>
        </is>
      </c>
      <c r="AP22" s="96" t="inlineStr">
        <is>
          <t>Normal</t>
        </is>
      </c>
      <c r="AQ22" s="97" t="n"/>
      <c r="AR22" s="97" t="n"/>
      <c r="AS22" s="97" t="inlineStr">
        <is>
          <t>RF// MIN:+2.0 MAX:+2.0 [COVER:OPEN]</t>
        </is>
      </c>
      <c r="AT22" s="97" t="inlineStr">
        <is>
          <t xml:space="preserve">45REx1 </t>
        </is>
      </c>
      <c r="AU22" s="97" t="n"/>
      <c r="AV22" s="97" t="n"/>
      <c r="AW22" s="97" t="n">
        <v>0</v>
      </c>
      <c r="AX22" s="96" t="inlineStr">
        <is>
          <t>N</t>
        </is>
      </c>
      <c r="AY22" s="97" t="n"/>
      <c r="AZ22" s="96" t="inlineStr">
        <is>
          <t>Pickup : 2026-10-12, Return : 2026-10-15 (Temp +2.0 / Vent 15%)
Closing Time 2026-10-17 @ 23.59</t>
        </is>
      </c>
      <c r="BA22" s="97" t="inlineStr">
        <is>
          <t>RQ SURRENDER B/L. PAYER NAME SAME AS SHIPPER. 14 DAYS FREE TIME DETENTION AT DESTINATION.</t>
        </is>
      </c>
      <c r="BB22" s="96" t="inlineStr">
        <is>
          <t>P</t>
        </is>
      </c>
      <c r="BC22" s="161" t="inlineStr">
        <is>
          <t>2026-10-01</t>
        </is>
      </c>
      <c r="BD22" s="161" t="inlineStr">
        <is>
          <t>2026-10-21</t>
        </is>
      </c>
      <c r="BE22" s="96" t="inlineStr">
        <is>
          <t>Y</t>
        </is>
      </c>
      <c r="BF22" s="96" t="inlineStr">
        <is>
          <t>FRESH LONGAN (TEMP +2 VENT 15%)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LCH27</t>
        </is>
      </c>
      <c r="BL22" s="161" t="inlineStr">
        <is>
          <t>2026-10-12</t>
        </is>
      </c>
      <c r="BM22" s="127" t="n"/>
      <c r="BN22" s="127" t="n"/>
      <c r="BO22" s="127" t="n"/>
      <c r="BP22" s="127" t="n"/>
      <c r="BQ22" s="127" t="n"/>
      <c r="BR22" s="127" t="n">
        <v>1</v>
      </c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LCH04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fruit5@progress-shipping.com</t>
        </is>
      </c>
      <c r="CJ22" s="96" t="inlineStr">
        <is>
          <t>FRUIT PARADISE INTERNATIONAL</t>
        </is>
      </c>
      <c r="CK22" s="96" t="inlineStr">
        <is>
          <t>CV. BELIMBING SEJAHTERA</t>
        </is>
      </c>
      <c r="CL22" s="96" t="inlineStr">
        <is>
          <t>CV. BELIMBING SEJAHTERA</t>
        </is>
      </c>
      <c r="CM22" s="97" t="n"/>
      <c r="CN22" s="96" t="inlineStr">
        <is>
          <t>202610201700</t>
        </is>
      </c>
      <c r="CO22" s="96" t="inlineStr">
        <is>
          <t>202610211700</t>
        </is>
      </c>
      <c r="CP22" s="97" t="inlineStr">
        <is>
          <t>45RE x1: RF(Temp:+2.0' / Cover:FULL OPEN)</t>
        </is>
      </c>
      <c r="CQ22" s="96" t="inlineStr">
        <is>
          <t>S22-2408006</t>
        </is>
      </c>
      <c r="CR22" s="96" t="inlineStr">
        <is>
          <t>TH02PT</t>
        </is>
      </c>
      <c r="CS22" s="96" t="inlineStr">
        <is>
          <t>PROGRESS SHIPPING - TRANSPORT CO., LTD.</t>
        </is>
      </c>
      <c r="CT22" s="96" t="inlineStr">
        <is>
          <t>N</t>
        </is>
      </c>
      <c r="CU22" s="97" t="n"/>
      <c r="CV22" s="97" t="n"/>
      <c r="CW22" s="161" t="inlineStr">
        <is>
          <t>2026-10-19</t>
        </is>
      </c>
      <c r="CX22" s="97" t="inlineStr">
        <is>
          <t>081090</t>
        </is>
      </c>
      <c r="CY22" s="183" t="n"/>
    </row>
    <row r="23" ht="12" customHeight="1">
      <c r="A23" s="116" t="inlineStr">
        <is>
          <t>HASLS22261000094</t>
        </is>
      </c>
      <c r="B23" s="96" t="inlineStr">
        <is>
          <t>R40Hx1</t>
        </is>
      </c>
      <c r="C23" s="97" t="n">
        <v>1</v>
      </c>
      <c r="D23" s="97" t="n">
        <v>1</v>
      </c>
      <c r="E23" s="97" t="n"/>
      <c r="F23" s="97" t="n">
        <v>0</v>
      </c>
      <c r="G23" s="97" t="n">
        <v>0</v>
      </c>
      <c r="H23" s="97" t="n">
        <v>0</v>
      </c>
      <c r="I23" s="97" t="n">
        <v>1</v>
      </c>
      <c r="J23" s="97" t="n">
        <v>2</v>
      </c>
      <c r="K23" s="96" t="inlineStr">
        <is>
          <t>N</t>
        </is>
      </c>
      <c r="L23" s="96" t="inlineStr">
        <is>
          <t>ANX</t>
        </is>
      </c>
      <c r="M23" s="96" t="inlineStr">
        <is>
          <t>YSVY</t>
        </is>
      </c>
      <c r="N23" s="96" t="inlineStr">
        <is>
          <t>2608S</t>
        </is>
      </c>
      <c r="O23" s="96" t="inlineStr">
        <is>
          <t>THLCH</t>
        </is>
      </c>
      <c r="P23" s="96" t="inlineStr">
        <is>
          <t>LCH04</t>
        </is>
      </c>
      <c r="Q23" s="96" t="inlineStr">
        <is>
          <t>IA</t>
        </is>
      </c>
      <c r="R23" s="161" t="inlineStr">
        <is>
          <t>2026-10-24</t>
        </is>
      </c>
      <c r="S23" s="96" t="inlineStr">
        <is>
          <t>IDJKT</t>
        </is>
      </c>
      <c r="T23" s="96" t="inlineStr">
        <is>
          <t>JKT02</t>
        </is>
      </c>
      <c r="U23" s="96" t="inlineStr">
        <is>
          <t>IDJKT</t>
        </is>
      </c>
      <c r="V23" s="161" t="inlineStr">
        <is>
          <t>2026-10-26</t>
        </is>
      </c>
      <c r="W23" s="96" t="inlineStr">
        <is>
          <t>IA</t>
        </is>
      </c>
      <c r="X23" s="97" t="n"/>
      <c r="Y23" s="97" t="n"/>
      <c r="Z23" s="97" t="n"/>
      <c r="AA23" s="96" t="inlineStr">
        <is>
          <t>PROGRESS SHIPPING - TRANSPORT CO., LTD.</t>
        </is>
      </c>
      <c r="AB23" s="96" t="inlineStr">
        <is>
          <t>FRUIT PARADISE INTERNATIONAL TRADE CO.,LTD</t>
        </is>
      </c>
      <c r="AC23" s="163" t="n">
        <v>27725</v>
      </c>
      <c r="AD23" s="163" t="n">
        <v>31725</v>
      </c>
      <c r="AE23" s="96" t="inlineStr">
        <is>
          <t>OK</t>
        </is>
      </c>
      <c r="AF23" s="96" t="n"/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TH0031</t>
        </is>
      </c>
      <c r="AN23" s="96" t="inlineStr">
        <is>
          <t>Pattarapong Saengthong</t>
        </is>
      </c>
      <c r="AO23" s="96" t="inlineStr">
        <is>
          <t>FRESH LONGAN</t>
        </is>
      </c>
      <c r="AP23" s="96" t="inlineStr">
        <is>
          <t>Normal</t>
        </is>
      </c>
      <c r="AQ23" s="97" t="n"/>
      <c r="AR23" s="97" t="n"/>
      <c r="AS23" s="97" t="inlineStr">
        <is>
          <t>RF// MIN:+2.0 MAX:+2.0 [COVER:OPEN]</t>
        </is>
      </c>
      <c r="AT23" s="97" t="inlineStr">
        <is>
          <t xml:space="preserve">45REx1 </t>
        </is>
      </c>
      <c r="AU23" s="97" t="n"/>
      <c r="AV23" s="97" t="n"/>
      <c r="AW23" s="97" t="n">
        <v>0</v>
      </c>
      <c r="AX23" s="96" t="inlineStr">
        <is>
          <t>N</t>
        </is>
      </c>
      <c r="AY23" s="97" t="inlineStr">
        <is>
          <t>OBL</t>
        </is>
      </c>
      <c r="AZ23" s="96" t="inlineStr">
        <is>
          <t>Pickup : 2026-10-12, Return : 2026-10-15  (Temp +2.0 / Vent 15%)
Closing Time 2026-10-17 @ 23.59</t>
        </is>
      </c>
      <c r="BA23" s="97" t="inlineStr">
        <is>
          <t>RQ SURRENDER B/L. PAYER NAME SAME AS SHIPPER. 14 DAYS FREE TIME DETENTION AT DESTINATION.</t>
        </is>
      </c>
      <c r="BB23" s="96" t="inlineStr">
        <is>
          <t>P</t>
        </is>
      </c>
      <c r="BC23" s="161" t="inlineStr">
        <is>
          <t>2026-10-01</t>
        </is>
      </c>
      <c r="BD23" s="161" t="inlineStr">
        <is>
          <t>2026-10-21</t>
        </is>
      </c>
      <c r="BE23" s="96" t="inlineStr">
        <is>
          <t>Y</t>
        </is>
      </c>
      <c r="BF23" s="96" t="inlineStr">
        <is>
          <t>FRESH LONGAN (TEMP +2 VENT 15%)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LCH27</t>
        </is>
      </c>
      <c r="BL23" s="161" t="inlineStr">
        <is>
          <t>2026-10-12</t>
        </is>
      </c>
      <c r="BM23" s="127" t="n"/>
      <c r="BN23" s="127" t="n"/>
      <c r="BO23" s="127" t="n"/>
      <c r="BP23" s="127" t="n"/>
      <c r="BQ23" s="127" t="n"/>
      <c r="BR23" s="127" t="n">
        <v>1</v>
      </c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LCH04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fruit5@progress-shipping.com</t>
        </is>
      </c>
      <c r="CJ23" s="96" t="inlineStr">
        <is>
          <t>FRUIT PARADISE INTERNATIONAL</t>
        </is>
      </c>
      <c r="CK23" s="96" t="inlineStr">
        <is>
          <t>PT. JAGRA WAHANA SUKSES</t>
        </is>
      </c>
      <c r="CL23" s="96" t="inlineStr">
        <is>
          <t>PT. JAGRA WAHANA SUKSES</t>
        </is>
      </c>
      <c r="CM23" s="97" t="inlineStr">
        <is>
          <t>CLOSED</t>
        </is>
      </c>
      <c r="CN23" s="96" t="inlineStr">
        <is>
          <t>202610201700</t>
        </is>
      </c>
      <c r="CO23" s="96" t="inlineStr">
        <is>
          <t>202610211700</t>
        </is>
      </c>
      <c r="CP23" s="97" t="inlineStr">
        <is>
          <t>45RE x1: RF(Temp:+2.0' / Cover:FULL OPEN)</t>
        </is>
      </c>
      <c r="CQ23" s="96" t="inlineStr">
        <is>
          <t>S22-2408006</t>
        </is>
      </c>
      <c r="CR23" s="96" t="inlineStr">
        <is>
          <t>TH02PT</t>
        </is>
      </c>
      <c r="CS23" s="96" t="inlineStr">
        <is>
          <t>PROGRESS SHIPPING - TRANSPORT CO., LTD.</t>
        </is>
      </c>
      <c r="CT23" s="96" t="inlineStr">
        <is>
          <t>N</t>
        </is>
      </c>
      <c r="CU23" s="97" t="n"/>
      <c r="CV23" s="97" t="n"/>
      <c r="CW23" s="161" t="inlineStr">
        <is>
          <t>2026-10-19</t>
        </is>
      </c>
      <c r="CX23" s="97" t="inlineStr">
        <is>
          <t>081090</t>
        </is>
      </c>
      <c r="CY23" s="183" t="n"/>
    </row>
    <row r="24" ht="12" customHeight="1">
      <c r="A24" s="116" t="inlineStr">
        <is>
          <t>HASLS22261000095</t>
        </is>
      </c>
      <c r="B24" s="96" t="inlineStr">
        <is>
          <t>R40Hx1</t>
        </is>
      </c>
      <c r="C24" s="97" t="n">
        <v>1</v>
      </c>
      <c r="D24" s="97" t="n">
        <v>1</v>
      </c>
      <c r="E24" s="97" t="n"/>
      <c r="F24" s="97" t="n">
        <v>0</v>
      </c>
      <c r="G24" s="97" t="n">
        <v>0</v>
      </c>
      <c r="H24" s="97" t="n">
        <v>0</v>
      </c>
      <c r="I24" s="97" t="n">
        <v>1</v>
      </c>
      <c r="J24" s="97" t="n">
        <v>2</v>
      </c>
      <c r="K24" s="96" t="inlineStr">
        <is>
          <t>N</t>
        </is>
      </c>
      <c r="L24" s="96" t="inlineStr">
        <is>
          <t>ANX</t>
        </is>
      </c>
      <c r="M24" s="96" t="inlineStr">
        <is>
          <t>YSVY</t>
        </is>
      </c>
      <c r="N24" s="96" t="inlineStr">
        <is>
          <t>2608S</t>
        </is>
      </c>
      <c r="O24" s="96" t="inlineStr">
        <is>
          <t>THLCH</t>
        </is>
      </c>
      <c r="P24" s="96" t="inlineStr">
        <is>
          <t>LCH04</t>
        </is>
      </c>
      <c r="Q24" s="96" t="inlineStr">
        <is>
          <t>IA</t>
        </is>
      </c>
      <c r="R24" s="161" t="inlineStr">
        <is>
          <t>2026-10-24</t>
        </is>
      </c>
      <c r="S24" s="96" t="inlineStr">
        <is>
          <t>IDJKT</t>
        </is>
      </c>
      <c r="T24" s="96" t="inlineStr">
        <is>
          <t>JKT02</t>
        </is>
      </c>
      <c r="U24" s="96" t="inlineStr">
        <is>
          <t>IDJKT</t>
        </is>
      </c>
      <c r="V24" s="161" t="inlineStr">
        <is>
          <t>2026-10-26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PROGRESS SHIPPING - TRANSPORT CO., LTD.</t>
        </is>
      </c>
      <c r="AB24" s="96" t="inlineStr">
        <is>
          <t>FRUIT PARADISE INTERNATIONAL TRADE CO.,LTD</t>
        </is>
      </c>
      <c r="AC24" s="163" t="n">
        <v>27162.5</v>
      </c>
      <c r="AD24" s="163" t="n">
        <v>31162.5</v>
      </c>
      <c r="AE24" s="96" t="inlineStr">
        <is>
          <t>OK</t>
        </is>
      </c>
      <c r="AF24" s="96" t="n"/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TH0031</t>
        </is>
      </c>
      <c r="AN24" s="96" t="inlineStr">
        <is>
          <t>Pattarapong Saengthong</t>
        </is>
      </c>
      <c r="AO24" s="96" t="inlineStr">
        <is>
          <t>FRESH LONGAN</t>
        </is>
      </c>
      <c r="AP24" s="96" t="inlineStr">
        <is>
          <t>Normal</t>
        </is>
      </c>
      <c r="AQ24" s="97" t="n"/>
      <c r="AR24" s="97" t="n"/>
      <c r="AS24" s="97" t="inlineStr">
        <is>
          <t>RF// MIN:+2.0 MAX:+2.0 [COVER:OPEN]</t>
        </is>
      </c>
      <c r="AT24" s="97" t="inlineStr">
        <is>
          <t xml:space="preserve">45REx1 </t>
        </is>
      </c>
      <c r="AU24" s="97" t="n"/>
      <c r="AV24" s="97" t="n"/>
      <c r="AW24" s="97" t="n">
        <v>0</v>
      </c>
      <c r="AX24" s="96" t="inlineStr">
        <is>
          <t>N</t>
        </is>
      </c>
      <c r="AY24" s="97" t="n"/>
      <c r="AZ24" s="96" t="inlineStr">
        <is>
          <t>Pickup : 2026-10-12, Return : 2026-10-15  (Temp +2.0 / Vent 15%)
Closing Time 2026-10-17 @ 23.59</t>
        </is>
      </c>
      <c r="BA24" s="97" t="inlineStr">
        <is>
          <t>RQ SURRENDER B/L. PAYER NAME SAME AS SHIPPER. 14 DAYS FREE TIME DETENTION AT DESTINATION.</t>
        </is>
      </c>
      <c r="BB24" s="96" t="inlineStr">
        <is>
          <t>P</t>
        </is>
      </c>
      <c r="BC24" s="161" t="inlineStr">
        <is>
          <t>2026-10-01</t>
        </is>
      </c>
      <c r="BD24" s="161" t="inlineStr">
        <is>
          <t>2026-10-21</t>
        </is>
      </c>
      <c r="BE24" s="96" t="inlineStr">
        <is>
          <t>Y</t>
        </is>
      </c>
      <c r="BF24" s="96" t="inlineStr">
        <is>
          <t>FRESH LONGAN (TEMP +2 VENT 15%)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LCH27</t>
        </is>
      </c>
      <c r="BL24" s="161" t="inlineStr">
        <is>
          <t>2026-10-12</t>
        </is>
      </c>
      <c r="BM24" s="127" t="n"/>
      <c r="BN24" s="127" t="n"/>
      <c r="BO24" s="127" t="n"/>
      <c r="BP24" s="127" t="n"/>
      <c r="BQ24" s="127" t="n"/>
      <c r="BR24" s="127" t="n">
        <v>1</v>
      </c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LCH04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fruit5@progress-shipping.com</t>
        </is>
      </c>
      <c r="CJ24" s="96" t="inlineStr">
        <is>
          <t>FRUIT PARADISE INTERNATIONAL</t>
        </is>
      </c>
      <c r="CK24" s="96" t="inlineStr">
        <is>
          <t>PT. USAHA BERKAH INOVASI</t>
        </is>
      </c>
      <c r="CL24" s="96" t="inlineStr">
        <is>
          <t>PT. USAHA BERKAH INOVASI</t>
        </is>
      </c>
      <c r="CM24" s="97" t="n"/>
      <c r="CN24" s="96" t="inlineStr">
        <is>
          <t>202610201700</t>
        </is>
      </c>
      <c r="CO24" s="96" t="inlineStr">
        <is>
          <t>202610211700</t>
        </is>
      </c>
      <c r="CP24" s="97" t="inlineStr">
        <is>
          <t>45RE x1: RF(Temp:+2.0' / Cover:FULL OPEN)</t>
        </is>
      </c>
      <c r="CQ24" s="96" t="inlineStr">
        <is>
          <t>S22-2408006</t>
        </is>
      </c>
      <c r="CR24" s="96" t="inlineStr">
        <is>
          <t>TH02PT</t>
        </is>
      </c>
      <c r="CS24" s="96" t="inlineStr">
        <is>
          <t>PROGRESS SHIPPING - TRANSPORT CO., LTD.</t>
        </is>
      </c>
      <c r="CT24" s="96" t="inlineStr">
        <is>
          <t>N</t>
        </is>
      </c>
      <c r="CU24" s="97" t="n"/>
      <c r="CV24" s="97" t="n"/>
      <c r="CW24" s="161" t="inlineStr">
        <is>
          <t>2026-10-19</t>
        </is>
      </c>
      <c r="CX24" s="97" t="inlineStr">
        <is>
          <t>081090</t>
        </is>
      </c>
      <c r="CY24" s="183" t="n"/>
    </row>
    <row r="25" ht="12" customHeight="1">
      <c r="A25" s="116" t="inlineStr">
        <is>
          <t>HASLS22261000096</t>
        </is>
      </c>
      <c r="B25" s="96" t="inlineStr">
        <is>
          <t>R40Hx1</t>
        </is>
      </c>
      <c r="C25" s="97" t="n">
        <v>1</v>
      </c>
      <c r="D25" s="97" t="n">
        <v>1</v>
      </c>
      <c r="E25" s="97" t="n"/>
      <c r="F25" s="97" t="n">
        <v>0</v>
      </c>
      <c r="G25" s="97" t="n">
        <v>0</v>
      </c>
      <c r="H25" s="97" t="n">
        <v>0</v>
      </c>
      <c r="I25" s="97" t="n">
        <v>1</v>
      </c>
      <c r="J25" s="97" t="n">
        <v>2</v>
      </c>
      <c r="K25" s="96" t="inlineStr">
        <is>
          <t>N</t>
        </is>
      </c>
      <c r="L25" s="96" t="inlineStr">
        <is>
          <t>ANX</t>
        </is>
      </c>
      <c r="M25" s="96" t="inlineStr">
        <is>
          <t>YSVY</t>
        </is>
      </c>
      <c r="N25" s="96" t="inlineStr">
        <is>
          <t>2608S</t>
        </is>
      </c>
      <c r="O25" s="96" t="inlineStr">
        <is>
          <t>THLCH</t>
        </is>
      </c>
      <c r="P25" s="96" t="inlineStr">
        <is>
          <t>LCH04</t>
        </is>
      </c>
      <c r="Q25" s="96" t="inlineStr">
        <is>
          <t>IA</t>
        </is>
      </c>
      <c r="R25" s="161" t="inlineStr">
        <is>
          <t>2026-10-24</t>
        </is>
      </c>
      <c r="S25" s="96" t="inlineStr">
        <is>
          <t>IDJKT</t>
        </is>
      </c>
      <c r="T25" s="96" t="inlineStr">
        <is>
          <t>JKT02</t>
        </is>
      </c>
      <c r="U25" s="96" t="inlineStr">
        <is>
          <t>IDJKT</t>
        </is>
      </c>
      <c r="V25" s="161" t="inlineStr">
        <is>
          <t>2026-10-26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PROGRESS SHIPPING - TRANSPORT CO., LTD.</t>
        </is>
      </c>
      <c r="AB25" s="96" t="inlineStr">
        <is>
          <t>FRUIT PARADISE INTERNATIONAL TRADE CO.,LTD</t>
        </is>
      </c>
      <c r="AC25" s="163" t="n">
        <v>27162.5</v>
      </c>
      <c r="AD25" s="163" t="n">
        <v>31162.5</v>
      </c>
      <c r="AE25" s="96" t="inlineStr">
        <is>
          <t>OK</t>
        </is>
      </c>
      <c r="AF25" s="96" t="n"/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TH0031</t>
        </is>
      </c>
      <c r="AN25" s="96" t="inlineStr">
        <is>
          <t>Pattarapong Saengthong</t>
        </is>
      </c>
      <c r="AO25" s="96" t="inlineStr">
        <is>
          <t>FRESH LONGAN</t>
        </is>
      </c>
      <c r="AP25" s="96" t="inlineStr">
        <is>
          <t>Normal</t>
        </is>
      </c>
      <c r="AQ25" s="97" t="n"/>
      <c r="AR25" s="97" t="n"/>
      <c r="AS25" s="97" t="inlineStr">
        <is>
          <t>RF// MIN:+2.0 MAX:+2.0 [COVER:OPEN]</t>
        </is>
      </c>
      <c r="AT25" s="97" t="inlineStr">
        <is>
          <t xml:space="preserve">45REx1 </t>
        </is>
      </c>
      <c r="AU25" s="97" t="n"/>
      <c r="AV25" s="97" t="n"/>
      <c r="AW25" s="97" t="n">
        <v>0</v>
      </c>
      <c r="AX25" s="96" t="inlineStr">
        <is>
          <t>N</t>
        </is>
      </c>
      <c r="AY25" s="97" t="inlineStr">
        <is>
          <t>OBL</t>
        </is>
      </c>
      <c r="AZ25" s="96" t="inlineStr">
        <is>
          <t>Pickup : 2026-10-12, Return : 2026-10-15  (Temp +2.0 / Vent 15%)
Closing Time 2026-10-17 @ 23.59</t>
        </is>
      </c>
      <c r="BA25" s="97" t="inlineStr">
        <is>
          <t>RQ SURRENDER B/L. PAYER NAME SAME AS SHIPPER. 14 DAYS FREE TIME DETENTION AT DESTINATION.</t>
        </is>
      </c>
      <c r="BB25" s="96" t="inlineStr">
        <is>
          <t>P</t>
        </is>
      </c>
      <c r="BC25" s="161" t="inlineStr">
        <is>
          <t>2026-10-01</t>
        </is>
      </c>
      <c r="BD25" s="161" t="inlineStr">
        <is>
          <t>2026-10-21</t>
        </is>
      </c>
      <c r="BE25" s="96" t="inlineStr">
        <is>
          <t>Y</t>
        </is>
      </c>
      <c r="BF25" s="96" t="inlineStr">
        <is>
          <t>FRESH LONGAN (TEMP +2 VENT 15%)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LCH27</t>
        </is>
      </c>
      <c r="BL25" s="161" t="inlineStr">
        <is>
          <t>2026-10-12</t>
        </is>
      </c>
      <c r="BM25" s="127" t="n"/>
      <c r="BN25" s="127" t="n"/>
      <c r="BO25" s="127" t="n"/>
      <c r="BP25" s="127" t="n"/>
      <c r="BQ25" s="127" t="n"/>
      <c r="BR25" s="127" t="n">
        <v>1</v>
      </c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LCH04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fruit5@progress-shipping.com</t>
        </is>
      </c>
      <c r="CJ25" s="96" t="inlineStr">
        <is>
          <t>FRUIT PARADISE INTERNATIONAL</t>
        </is>
      </c>
      <c r="CK25" s="96" t="inlineStr">
        <is>
          <t>PT. USAHA BERKAH INOVASI</t>
        </is>
      </c>
      <c r="CL25" s="96" t="inlineStr">
        <is>
          <t>PT. USAHA BERKAH INOVASI</t>
        </is>
      </c>
      <c r="CM25" s="97" t="inlineStr">
        <is>
          <t>CLOSED</t>
        </is>
      </c>
      <c r="CN25" s="96" t="inlineStr">
        <is>
          <t>202610201700</t>
        </is>
      </c>
      <c r="CO25" s="96" t="inlineStr">
        <is>
          <t>202610211700</t>
        </is>
      </c>
      <c r="CP25" s="97" t="inlineStr">
        <is>
          <t>45RE x1: RF(Temp:+2.0' / Cover:FULL OPEN)</t>
        </is>
      </c>
      <c r="CQ25" s="96" t="inlineStr">
        <is>
          <t>S22-2408006</t>
        </is>
      </c>
      <c r="CR25" s="96" t="inlineStr">
        <is>
          <t>TH02PT</t>
        </is>
      </c>
      <c r="CS25" s="96" t="inlineStr">
        <is>
          <t>PROGRESS SHIPPING - TRANSPORT CO., LTD.</t>
        </is>
      </c>
      <c r="CT25" s="96" t="inlineStr">
        <is>
          <t>N</t>
        </is>
      </c>
      <c r="CU25" s="97" t="n"/>
      <c r="CV25" s="97" t="n"/>
      <c r="CW25" s="161" t="inlineStr">
        <is>
          <t>2026-10-19</t>
        </is>
      </c>
      <c r="CX25" s="97" t="inlineStr">
        <is>
          <t>081090</t>
        </is>
      </c>
      <c r="CY25" s="183" t="n"/>
    </row>
    <row r="26" ht="12" customHeight="1">
      <c r="A26" s="116" t="inlineStr">
        <is>
          <t>HASLS22261000098</t>
        </is>
      </c>
      <c r="B26" s="96" t="inlineStr">
        <is>
          <t>20'x1</t>
        </is>
      </c>
      <c r="C26" s="97" t="n">
        <v>1</v>
      </c>
      <c r="D26" s="97" t="n">
        <v>1</v>
      </c>
      <c r="E26" s="97" t="n"/>
      <c r="F26" s="97" t="n">
        <v>0</v>
      </c>
      <c r="G26" s="97" t="n">
        <v>1</v>
      </c>
      <c r="H26" s="97" t="n">
        <v>0</v>
      </c>
      <c r="I26" s="97" t="n">
        <v>0</v>
      </c>
      <c r="J26" s="97" t="n">
        <v>1</v>
      </c>
      <c r="K26" s="96" t="inlineStr">
        <is>
          <t>N</t>
        </is>
      </c>
      <c r="L26" s="96" t="inlineStr">
        <is>
          <t>ANX</t>
        </is>
      </c>
      <c r="M26" s="96" t="inlineStr">
        <is>
          <t>YSVY</t>
        </is>
      </c>
      <c r="N26" s="96" t="inlineStr">
        <is>
          <t>2608S</t>
        </is>
      </c>
      <c r="O26" s="96" t="inlineStr">
        <is>
          <t>THLCH</t>
        </is>
      </c>
      <c r="P26" s="96" t="inlineStr">
        <is>
          <t>LCH04</t>
        </is>
      </c>
      <c r="Q26" s="96" t="inlineStr">
        <is>
          <t>IA</t>
        </is>
      </c>
      <c r="R26" s="161" t="inlineStr">
        <is>
          <t>2026-10-24</t>
        </is>
      </c>
      <c r="S26" s="96" t="inlineStr">
        <is>
          <t>IDJKT</t>
        </is>
      </c>
      <c r="T26" s="96" t="inlineStr">
        <is>
          <t>JKT02</t>
        </is>
      </c>
      <c r="U26" s="96" t="inlineStr">
        <is>
          <t>IDJKT</t>
        </is>
      </c>
      <c r="V26" s="161" t="inlineStr">
        <is>
          <t>2026-10-26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LOGMAN INTERNATIONAL CO., LTD.</t>
        </is>
      </c>
      <c r="AB26" s="96" t="inlineStr">
        <is>
          <t>FINE METAL TECHNOLOGIES PUBLIC COMPANY LIMITED</t>
        </is>
      </c>
      <c r="AC26" s="163" t="n">
        <v>5472.5</v>
      </c>
      <c r="AD26" s="163" t="n">
        <v>7672.5</v>
      </c>
      <c r="AE26" s="96" t="inlineStr">
        <is>
          <t>OK</t>
        </is>
      </c>
      <c r="AF26" s="96" t="inlineStr">
        <is>
          <t>SR</t>
        </is>
      </c>
      <c r="AG26" s="97" t="n"/>
      <c r="AH26" s="96" t="inlineStr">
        <is>
          <t>CON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TBKK97</t>
        </is>
      </c>
      <c r="AN26" s="96" t="inlineStr">
        <is>
          <t>Arunphat W. (Aiw)</t>
        </is>
      </c>
      <c r="AO26" s="96" t="inlineStr">
        <is>
          <t>COPPER TUBE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n"/>
      <c r="AZ26" s="96" t="inlineStr">
        <is>
          <t>Pickup : 2026-10-19, Return : 2026-10-19</t>
        </is>
      </c>
      <c r="BA26" s="97" t="inlineStr">
        <is>
          <t>Actual Shipper : FINE METAL TECHNOLOGIES PUBLIC COMPANY LIMITED // PLS SHOW AGENT AT DESTINATION ON BL</t>
        </is>
      </c>
      <c r="BB26" s="96" t="inlineStr">
        <is>
          <t>P</t>
        </is>
      </c>
      <c r="BC26" s="161" t="inlineStr">
        <is>
          <t>2026-10-01</t>
        </is>
      </c>
      <c r="BD26" s="161" t="inlineStr">
        <is>
          <t>2026-10-19</t>
        </is>
      </c>
      <c r="BE26" s="96" t="inlineStr">
        <is>
          <t>Y</t>
        </is>
      </c>
      <c r="BF26" s="96" t="inlineStr">
        <is>
          <t>METAL</t>
        </is>
      </c>
      <c r="BG26" s="96" t="inlineStr">
        <is>
          <t>Self</t>
        </is>
      </c>
      <c r="BH26" s="96" t="inlineStr">
        <is>
          <t>S22</t>
        </is>
      </c>
      <c r="BI26" s="97" t="n"/>
      <c r="BJ26" s="97" t="n"/>
      <c r="BK26" s="96" t="inlineStr">
        <is>
          <t>LCH27</t>
        </is>
      </c>
      <c r="BL26" s="161" t="inlineStr">
        <is>
          <t>2026-10-19</t>
        </is>
      </c>
      <c r="BM26" s="127" t="n"/>
      <c r="BN26" s="127" t="n">
        <v>1</v>
      </c>
      <c r="BO26" s="127" t="n"/>
      <c r="BP26" s="127" t="n"/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LCH04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cs.ovs@logman.co.th</t>
        </is>
      </c>
      <c r="CJ26" s="96" t="inlineStr">
        <is>
          <t>LOGMAN INTERNATIONAL CO.,LTD.</t>
        </is>
      </c>
      <c r="CK26" s="96" t="inlineStr">
        <is>
          <t>PT NIMCO LOGISTICS INDONESIA</t>
        </is>
      </c>
      <c r="CL26" s="96" t="inlineStr">
        <is>
          <t>PT NIMCO LOGISTICS INDONESIA</t>
        </is>
      </c>
      <c r="CM26" s="97" t="n"/>
      <c r="CN26" s="96" t="inlineStr">
        <is>
          <t>202610201700</t>
        </is>
      </c>
      <c r="CO26" s="96" t="inlineStr">
        <is>
          <t>202610211700</t>
        </is>
      </c>
      <c r="CP26" s="97" t="n"/>
      <c r="CQ26" s="96" t="inlineStr">
        <is>
          <t>S19-2006021</t>
        </is>
      </c>
      <c r="CR26" s="96" t="inlineStr">
        <is>
          <t>TH00XJ</t>
        </is>
      </c>
      <c r="CS26" s="96" t="inlineStr">
        <is>
          <t>LOGMAN INTERNATIONAL CO., LTD.</t>
        </is>
      </c>
      <c r="CT26" s="96" t="inlineStr">
        <is>
          <t>N</t>
        </is>
      </c>
      <c r="CU26" s="97" t="n"/>
      <c r="CV26" s="97" t="n"/>
      <c r="CW26" s="161" t="inlineStr">
        <is>
          <t>2026-10-19</t>
        </is>
      </c>
      <c r="CX26" s="97" t="inlineStr">
        <is>
          <t>741110</t>
        </is>
      </c>
      <c r="CY26" s="183" t="n"/>
    </row>
    <row r="27" ht="12" customHeight="1">
      <c r="A27" s="116" t="inlineStr">
        <is>
          <t>HASLS22261000132</t>
        </is>
      </c>
      <c r="B27" s="96" t="inlineStr">
        <is>
          <t>20'x1</t>
        </is>
      </c>
      <c r="C27" s="97" t="n">
        <v>1</v>
      </c>
      <c r="D27" s="97" t="n">
        <v>1</v>
      </c>
      <c r="E27" s="97" t="n"/>
      <c r="F27" s="97" t="n">
        <v>0</v>
      </c>
      <c r="G27" s="97" t="n">
        <v>1</v>
      </c>
      <c r="H27" s="97" t="n">
        <v>0</v>
      </c>
      <c r="I27" s="97" t="n">
        <v>0</v>
      </c>
      <c r="J27" s="97" t="n">
        <v>1</v>
      </c>
      <c r="K27" s="96" t="inlineStr">
        <is>
          <t>N</t>
        </is>
      </c>
      <c r="L27" s="96" t="inlineStr">
        <is>
          <t>ANX</t>
        </is>
      </c>
      <c r="M27" s="96" t="inlineStr">
        <is>
          <t>YSVY</t>
        </is>
      </c>
      <c r="N27" s="96" t="inlineStr">
        <is>
          <t>2608S</t>
        </is>
      </c>
      <c r="O27" s="96" t="inlineStr">
        <is>
          <t>THLCH</t>
        </is>
      </c>
      <c r="P27" s="96" t="inlineStr">
        <is>
          <t>LCH04</t>
        </is>
      </c>
      <c r="Q27" s="96" t="inlineStr">
        <is>
          <t>IA</t>
        </is>
      </c>
      <c r="R27" s="161" t="inlineStr">
        <is>
          <t>2026-10-24</t>
        </is>
      </c>
      <c r="S27" s="96" t="inlineStr">
        <is>
          <t>IDJKT</t>
        </is>
      </c>
      <c r="T27" s="96" t="inlineStr">
        <is>
          <t>JKT02</t>
        </is>
      </c>
      <c r="U27" s="96" t="inlineStr">
        <is>
          <t>IDJKT</t>
        </is>
      </c>
      <c r="V27" s="161" t="inlineStr">
        <is>
          <t>2026-10-26</t>
        </is>
      </c>
      <c r="W27" s="96" t="inlineStr">
        <is>
          <t>IA</t>
        </is>
      </c>
      <c r="X27" s="97" t="n"/>
      <c r="Y27" s="97" t="n"/>
      <c r="Z27" s="97" t="n"/>
      <c r="AA27" s="96" t="inlineStr">
        <is>
          <t>PENANSHIN SHIPPING (THAILAND) LTD.</t>
        </is>
      </c>
      <c r="AB27" s="96" t="inlineStr">
        <is>
          <t>QUAKER HOUGHTON (THAILAND) CO., LTD.</t>
        </is>
      </c>
      <c r="AC27" s="163" t="n">
        <v>19124</v>
      </c>
      <c r="AD27" s="163" t="n">
        <v>21324</v>
      </c>
      <c r="AE27" s="96" t="inlineStr">
        <is>
          <t>OK</t>
        </is>
      </c>
      <c r="AF27" s="96" t="n"/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TBKK19</t>
        </is>
      </c>
      <c r="AN27" s="96" t="inlineStr">
        <is>
          <t>Kanokporn</t>
        </is>
      </c>
      <c r="AO27" s="96" t="inlineStr">
        <is>
          <t>QUAKERCOOL 2770 PLUS</t>
        </is>
      </c>
      <c r="AP27" s="96" t="inlineStr">
        <is>
          <t>Normal</t>
        </is>
      </c>
      <c r="AQ27" s="97" t="inlineStr">
        <is>
          <t>3082/9-III</t>
        </is>
      </c>
      <c r="AR27" s="97" t="inlineStr">
        <is>
          <t xml:space="preserve">22GPx1 </t>
        </is>
      </c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n"/>
      <c r="AZ27" s="96" t="inlineStr">
        <is>
          <t xml:space="preserve">APPROVE BY KR Geonwook.kim DD : 08/10/26 //DG(CLS 9 / UN 3082) 
Pickup : 2026-10-16, Return : 2026-10-16 </t>
        </is>
      </c>
      <c r="BA27" s="97" t="n"/>
      <c r="BB27" s="96" t="inlineStr">
        <is>
          <t>P</t>
        </is>
      </c>
      <c r="BC27" s="161" t="inlineStr">
        <is>
          <t>2026-10-02</t>
        </is>
      </c>
      <c r="BD27" s="161" t="inlineStr">
        <is>
          <t>2026-10-20</t>
        </is>
      </c>
      <c r="BE27" s="96" t="inlineStr">
        <is>
          <t>Y</t>
        </is>
      </c>
      <c r="BF27" s="96" t="inlineStr">
        <is>
          <t>QUAKERCOOL 2770 PLUS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LCH27</t>
        </is>
      </c>
      <c r="BL27" s="161" t="inlineStr">
        <is>
          <t>2026-10-16</t>
        </is>
      </c>
      <c r="BM27" s="127" t="n"/>
      <c r="BN27" s="127" t="n">
        <v>1</v>
      </c>
      <c r="BO27" s="127" t="n"/>
      <c r="BP27" s="127" t="n"/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LCH04</t>
        </is>
      </c>
      <c r="CD27" s="97" t="n"/>
      <c r="CE27" s="97" t="n"/>
      <c r="CF27" s="96" t="inlineStr">
        <is>
          <t>9 Class x 1 Teu (Approval),</t>
        </is>
      </c>
      <c r="CG27" s="96" t="inlineStr">
        <is>
          <t>CY/CY</t>
        </is>
      </c>
      <c r="CH27" s="97" t="n"/>
      <c r="CI27" s="96" t="inlineStr">
        <is>
          <t>cs-nom@penanshin.co.th</t>
        </is>
      </c>
      <c r="CJ27" s="96" t="inlineStr">
        <is>
          <t>PENANSHIN SHIPPING (THAILAND) LTD.</t>
        </is>
      </c>
      <c r="CK27" s="96" t="inlineStr">
        <is>
          <t>PT PENZ STAR PANCA PERSADA</t>
        </is>
      </c>
      <c r="CL27" s="96" t="inlineStr">
        <is>
          <t>PT. WORLD STAR SHIPPING</t>
        </is>
      </c>
      <c r="CM27" s="97" t="n"/>
      <c r="CN27" s="96" t="inlineStr">
        <is>
          <t>202610201700</t>
        </is>
      </c>
      <c r="CO27" s="96" t="inlineStr">
        <is>
          <t>202610211700</t>
        </is>
      </c>
      <c r="CP27" s="97" t="inlineStr">
        <is>
          <t>22GP x1: DG(UNNo.:3082/ Class:9)</t>
        </is>
      </c>
      <c r="CQ27" s="96" t="inlineStr">
        <is>
          <t>S19-2105013</t>
        </is>
      </c>
      <c r="CR27" s="96" t="inlineStr">
        <is>
          <t>BB1166</t>
        </is>
      </c>
      <c r="CS27" s="96" t="inlineStr">
        <is>
          <t>PENANSHIN SHIPPING (THAILAND) LTD.</t>
        </is>
      </c>
      <c r="CT27" s="96" t="inlineStr">
        <is>
          <t>N</t>
        </is>
      </c>
      <c r="CU27" s="97" t="n"/>
      <c r="CV27" s="97" t="n"/>
      <c r="CW27" s="161" t="inlineStr">
        <is>
          <t>2026-10-18</t>
        </is>
      </c>
      <c r="CX27" s="97" t="inlineStr">
        <is>
          <t>340399</t>
        </is>
      </c>
      <c r="CY27" s="183" t="n"/>
    </row>
    <row r="28" ht="12" customHeight="1">
      <c r="A28" s="116" t="inlineStr">
        <is>
          <t>HASLS22261000144</t>
        </is>
      </c>
      <c r="B28" s="96" t="inlineStr">
        <is>
          <t>20'x3</t>
        </is>
      </c>
      <c r="C28" s="97" t="n">
        <v>3</v>
      </c>
      <c r="D28" s="97" t="n">
        <v>3</v>
      </c>
      <c r="E28" s="97" t="n"/>
      <c r="F28" s="97" t="n">
        <v>0</v>
      </c>
      <c r="G28" s="97" t="n">
        <v>3</v>
      </c>
      <c r="H28" s="97" t="n">
        <v>0</v>
      </c>
      <c r="I28" s="97" t="n">
        <v>0</v>
      </c>
      <c r="J28" s="97" t="n">
        <v>3</v>
      </c>
      <c r="K28" s="96" t="inlineStr">
        <is>
          <t>N</t>
        </is>
      </c>
      <c r="L28" s="96" t="inlineStr">
        <is>
          <t>ANX</t>
        </is>
      </c>
      <c r="M28" s="96" t="inlineStr">
        <is>
          <t>YSVY</t>
        </is>
      </c>
      <c r="N28" s="96" t="inlineStr">
        <is>
          <t>2608S</t>
        </is>
      </c>
      <c r="O28" s="96" t="inlineStr">
        <is>
          <t>THLCH</t>
        </is>
      </c>
      <c r="P28" s="96" t="inlineStr">
        <is>
          <t>LCH04</t>
        </is>
      </c>
      <c r="Q28" s="96" t="inlineStr">
        <is>
          <t>IA</t>
        </is>
      </c>
      <c r="R28" s="161" t="inlineStr">
        <is>
          <t>2026-10-24</t>
        </is>
      </c>
      <c r="S28" s="96" t="inlineStr">
        <is>
          <t>IDJKT</t>
        </is>
      </c>
      <c r="T28" s="96" t="inlineStr">
        <is>
          <t>JKT02</t>
        </is>
      </c>
      <c r="U28" s="96" t="inlineStr">
        <is>
          <t>IDJKT</t>
        </is>
      </c>
      <c r="V28" s="161" t="inlineStr">
        <is>
          <t>2026-10-26</t>
        </is>
      </c>
      <c r="W28" s="96" t="inlineStr">
        <is>
          <t>IA</t>
        </is>
      </c>
      <c r="X28" s="97" t="n"/>
      <c r="Y28" s="97" t="n"/>
      <c r="Z28" s="97" t="n"/>
      <c r="AA28" s="96" t="inlineStr">
        <is>
          <t>THAI MFC CO., LTD.</t>
        </is>
      </c>
      <c r="AB28" s="96" t="inlineStr">
        <is>
          <t>THAI MFC CO., LTD.</t>
        </is>
      </c>
      <c r="AC28" s="163" t="n">
        <v>57583.92</v>
      </c>
      <c r="AD28" s="163" t="n">
        <v>64183.92</v>
      </c>
      <c r="AE28" s="96" t="inlineStr">
        <is>
          <t>OK</t>
        </is>
      </c>
      <c r="AF28" s="96" t="n"/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TBKK19</t>
        </is>
      </c>
      <c r="AN28" s="96" t="inlineStr">
        <is>
          <t>Kanokporn</t>
        </is>
      </c>
      <c r="AO28" s="96" t="inlineStr">
        <is>
          <t>MELAMINE MOULDING COMPOUND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inlineStr">
        <is>
          <t>OBL</t>
        </is>
      </c>
      <c r="AZ28" s="96" t="inlineStr">
        <is>
          <t>Pickup : 2026-10-14, Return : 2026-10-16</t>
        </is>
      </c>
      <c r="BA28" s="97" t="inlineStr">
        <is>
          <t>REQUEST SURRENDER BL</t>
        </is>
      </c>
      <c r="BB28" s="96" t="inlineStr">
        <is>
          <t>P</t>
        </is>
      </c>
      <c r="BC28" s="161" t="inlineStr">
        <is>
          <t>2026-10-02</t>
        </is>
      </c>
      <c r="BD28" s="161" t="inlineStr">
        <is>
          <t>2026-10-19</t>
        </is>
      </c>
      <c r="BE28" s="96" t="inlineStr">
        <is>
          <t>Y</t>
        </is>
      </c>
      <c r="BF28" s="96" t="inlineStr">
        <is>
          <t>MELAMINE MOULDING COMPOUND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LCH27</t>
        </is>
      </c>
      <c r="BL28" s="161" t="inlineStr">
        <is>
          <t>2026-10-14</t>
        </is>
      </c>
      <c r="BM28" s="127" t="n"/>
      <c r="BN28" s="127" t="n">
        <v>3</v>
      </c>
      <c r="BO28" s="127" t="n"/>
      <c r="BP28" s="127" t="n"/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inlineStr">
        <is>
          <t>Y</t>
        </is>
      </c>
      <c r="CB28" s="97" t="n"/>
      <c r="CC28" s="96" t="inlineStr">
        <is>
          <t>LCH04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thanetpp@scg.com;jiratchp@scg.com</t>
        </is>
      </c>
      <c r="CJ28" s="96" t="inlineStr">
        <is>
          <t>THAI MFC CO.,LTD.</t>
        </is>
      </c>
      <c r="CK28" s="96" t="inlineStr">
        <is>
          <t>PT ANDESEN JAYA PLASTIK</t>
        </is>
      </c>
      <c r="CL28" s="96" t="inlineStr">
        <is>
          <t>PT ANDESEN JAYA PLASTIK</t>
        </is>
      </c>
      <c r="CM28" s="97" t="inlineStr">
        <is>
          <t>CLOSED</t>
        </is>
      </c>
      <c r="CN28" s="96" t="inlineStr">
        <is>
          <t>202610201700</t>
        </is>
      </c>
      <c r="CO28" s="96" t="inlineStr">
        <is>
          <t>202610211700</t>
        </is>
      </c>
      <c r="CP28" s="97" t="n"/>
      <c r="CQ28" s="96" t="inlineStr">
        <is>
          <t>S19-2210028</t>
        </is>
      </c>
      <c r="CR28" s="96" t="inlineStr">
        <is>
          <t>TH03KL</t>
        </is>
      </c>
      <c r="CS28" s="96" t="inlineStr">
        <is>
          <t>THAI MFC CO., LTD.</t>
        </is>
      </c>
      <c r="CT28" s="96" t="inlineStr">
        <is>
          <t>N</t>
        </is>
      </c>
      <c r="CU28" s="97" t="n"/>
      <c r="CV28" s="97" t="n"/>
      <c r="CW28" s="161" t="inlineStr">
        <is>
          <t>2026-10-18</t>
        </is>
      </c>
      <c r="CX28" s="97" t="inlineStr">
        <is>
          <t>390920</t>
        </is>
      </c>
      <c r="CY28" s="183" t="n"/>
    </row>
    <row r="29" ht="12" customHeight="1">
      <c r="A29" s="116" t="inlineStr">
        <is>
          <t>HASLS22261000155</t>
        </is>
      </c>
      <c r="B29" s="96" t="inlineStr">
        <is>
          <t>20'x3</t>
        </is>
      </c>
      <c r="C29" s="97" t="n">
        <v>3</v>
      </c>
      <c r="D29" s="97" t="n">
        <v>3</v>
      </c>
      <c r="E29" s="97" t="inlineStr">
        <is>
          <t>THLKR</t>
        </is>
      </c>
      <c r="F29" s="97" t="n">
        <v>0</v>
      </c>
      <c r="G29" s="97" t="n">
        <v>3</v>
      </c>
      <c r="H29" s="97" t="n">
        <v>0</v>
      </c>
      <c r="I29" s="97" t="n">
        <v>0</v>
      </c>
      <c r="J29" s="97" t="n">
        <v>3</v>
      </c>
      <c r="K29" s="96" t="inlineStr">
        <is>
          <t>N</t>
        </is>
      </c>
      <c r="L29" s="96" t="inlineStr">
        <is>
          <t>ANX</t>
        </is>
      </c>
      <c r="M29" s="96" t="inlineStr">
        <is>
          <t>YSVY</t>
        </is>
      </c>
      <c r="N29" s="96" t="inlineStr">
        <is>
          <t>2608S</t>
        </is>
      </c>
      <c r="O29" s="96" t="inlineStr">
        <is>
          <t>THLCH</t>
        </is>
      </c>
      <c r="P29" s="96" t="inlineStr">
        <is>
          <t>LCH04</t>
        </is>
      </c>
      <c r="Q29" s="96" t="inlineStr">
        <is>
          <t>IA</t>
        </is>
      </c>
      <c r="R29" s="161" t="inlineStr">
        <is>
          <t>2026-10-24</t>
        </is>
      </c>
      <c r="S29" s="96" t="inlineStr">
        <is>
          <t>IDJKT</t>
        </is>
      </c>
      <c r="T29" s="96" t="inlineStr">
        <is>
          <t>JKT02</t>
        </is>
      </c>
      <c r="U29" s="96" t="inlineStr">
        <is>
          <t>IDJKT</t>
        </is>
      </c>
      <c r="V29" s="161" t="inlineStr">
        <is>
          <t>2026-10-26</t>
        </is>
      </c>
      <c r="W29" s="96" t="inlineStr">
        <is>
          <t>IA</t>
        </is>
      </c>
      <c r="X29" s="97" t="n"/>
      <c r="Y29" s="97" t="n"/>
      <c r="Z29" s="97" t="n"/>
      <c r="AA29" s="96" t="inlineStr">
        <is>
          <t>FLS 1993 (THAILAND) CO., LTD.</t>
        </is>
      </c>
      <c r="AB29" s="96" t="inlineStr">
        <is>
          <t>UNIQUE POLYMER CO.,LTD.</t>
        </is>
      </c>
      <c r="AC29" s="163" t="n">
        <v>50460</v>
      </c>
      <c r="AD29" s="163" t="n">
        <v>57060</v>
      </c>
      <c r="AE29" s="96" t="inlineStr">
        <is>
          <t>OK</t>
        </is>
      </c>
      <c r="AF29" s="96" t="n"/>
      <c r="AG29" s="97" t="n"/>
      <c r="AH29" s="96" t="inlineStr">
        <is>
          <t>CHK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TBKK97</t>
        </is>
      </c>
      <c r="AN29" s="96" t="inlineStr">
        <is>
          <t>Arunphat W. (Aiw)</t>
        </is>
      </c>
      <c r="AO29" s="96" t="inlineStr">
        <is>
          <t xml:space="preserve">PLASTIC GRANULE 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n"/>
      <c r="AZ29" s="96" t="inlineStr">
        <is>
          <t xml:space="preserve">Pickup : 2026-10-14, Return LKR : 2026-10-16 (CLOSING DATE AT LKR DD.19/10/26 @12.00)
PAPERLESS: 2835
 </t>
        </is>
      </c>
      <c r="BA29" s="97" t="inlineStr">
        <is>
          <t>FM LKR DD 05/10 
FM THLCH DD 14/10</t>
        </is>
      </c>
      <c r="BB29" s="96" t="inlineStr">
        <is>
          <t>P</t>
        </is>
      </c>
      <c r="BC29" s="161" t="inlineStr">
        <is>
          <t>2026-10-02</t>
        </is>
      </c>
      <c r="BD29" s="161" t="inlineStr">
        <is>
          <t>2026-10-19</t>
        </is>
      </c>
      <c r="BE29" s="96" t="inlineStr">
        <is>
          <t>Y</t>
        </is>
      </c>
      <c r="BF29" s="96" t="inlineStr">
        <is>
          <t>PLASTIC GRANULE / HS CODE : 3901.90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BKK27</t>
        </is>
      </c>
      <c r="BL29" s="161" t="inlineStr">
        <is>
          <t>2026-10-14</t>
        </is>
      </c>
      <c r="BM29" s="127" t="n"/>
      <c r="BN29" s="127" t="n">
        <v>3</v>
      </c>
      <c r="BO29" s="127" t="n"/>
      <c r="BP29" s="127" t="n"/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inlineStr">
        <is>
          <t>Y</t>
        </is>
      </c>
      <c r="CB29" s="97" t="n"/>
      <c r="CC29" s="96" t="inlineStr">
        <is>
          <t>LCH55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n"/>
      <c r="CI29" s="96" t="inlineStr">
        <is>
          <t>booking@fls-group.com</t>
        </is>
      </c>
      <c r="CJ29" s="96" t="inlineStr">
        <is>
          <t>UNIQUE POLYMER CO., LTD.</t>
        </is>
      </c>
      <c r="CK29" s="96" t="inlineStr">
        <is>
          <t>PT. YAMATOGAWA INDONESIA</t>
        </is>
      </c>
      <c r="CL29" s="96" t="inlineStr">
        <is>
          <t>PT. YAMATOGAWA INDONESIA</t>
        </is>
      </c>
      <c r="CM29" s="97" t="n"/>
      <c r="CN29" s="96" t="inlineStr">
        <is>
          <t>202610201700</t>
        </is>
      </c>
      <c r="CO29" s="96" t="inlineStr">
        <is>
          <t>202610211700</t>
        </is>
      </c>
      <c r="CP29" s="97" t="n"/>
      <c r="CQ29" s="96" t="inlineStr">
        <is>
          <t>S19-2109021</t>
        </is>
      </c>
      <c r="CR29" s="96" t="inlineStr">
        <is>
          <t>TH0471</t>
        </is>
      </c>
      <c r="CS29" s="96" t="inlineStr">
        <is>
          <t>FLS 1993 (THAILAND) CO., LTD.</t>
        </is>
      </c>
      <c r="CT29" s="96" t="inlineStr">
        <is>
          <t>N</t>
        </is>
      </c>
      <c r="CU29" s="97" t="n"/>
      <c r="CV29" s="97" t="n"/>
      <c r="CW29" s="161" t="inlineStr">
        <is>
          <t>2026-10-18</t>
        </is>
      </c>
      <c r="CX29" s="97" t="inlineStr">
        <is>
          <t>390190</t>
        </is>
      </c>
      <c r="CY29" s="183" t="n"/>
    </row>
    <row r="30" ht="12" customHeight="1">
      <c r="A30" s="116" t="inlineStr">
        <is>
          <t>HASLS22261000184</t>
        </is>
      </c>
      <c r="B30" s="96" t="inlineStr">
        <is>
          <t>20'x1</t>
        </is>
      </c>
      <c r="C30" s="97" t="n">
        <v>1</v>
      </c>
      <c r="D30" s="97" t="n">
        <v>1</v>
      </c>
      <c r="E30" s="97" t="n"/>
      <c r="F30" s="97" t="n">
        <v>0</v>
      </c>
      <c r="G30" s="97" t="n">
        <v>1</v>
      </c>
      <c r="H30" s="97" t="n">
        <v>0</v>
      </c>
      <c r="I30" s="97" t="n">
        <v>0</v>
      </c>
      <c r="J30" s="97" t="n">
        <v>1</v>
      </c>
      <c r="K30" s="96" t="inlineStr">
        <is>
          <t>N</t>
        </is>
      </c>
      <c r="L30" s="96" t="inlineStr">
        <is>
          <t>ANX</t>
        </is>
      </c>
      <c r="M30" s="96" t="inlineStr">
        <is>
          <t>YSVY</t>
        </is>
      </c>
      <c r="N30" s="96" t="inlineStr">
        <is>
          <t>2608S</t>
        </is>
      </c>
      <c r="O30" s="96" t="inlineStr">
        <is>
          <t>THLCH</t>
        </is>
      </c>
      <c r="P30" s="96" t="inlineStr">
        <is>
          <t>LCH04</t>
        </is>
      </c>
      <c r="Q30" s="96" t="inlineStr">
        <is>
          <t>IA</t>
        </is>
      </c>
      <c r="R30" s="161" t="inlineStr">
        <is>
          <t>2026-10-24</t>
        </is>
      </c>
      <c r="S30" s="96" t="inlineStr">
        <is>
          <t>IDJKT</t>
        </is>
      </c>
      <c r="T30" s="96" t="inlineStr">
        <is>
          <t>JKT02</t>
        </is>
      </c>
      <c r="U30" s="96" t="inlineStr">
        <is>
          <t>IDJKT</t>
        </is>
      </c>
      <c r="V30" s="161" t="inlineStr">
        <is>
          <t>2026-10-26</t>
        </is>
      </c>
      <c r="W30" s="96" t="inlineStr">
        <is>
          <t>IA</t>
        </is>
      </c>
      <c r="X30" s="97" t="n"/>
      <c r="Y30" s="97" t="n"/>
      <c r="Z30" s="97" t="n"/>
      <c r="AA30" s="96" t="inlineStr">
        <is>
          <t>KWE-KINTETSU WORLD EXPRESS (THAILAND) CO., LTD.</t>
        </is>
      </c>
      <c r="AB30" s="96" t="inlineStr">
        <is>
          <t>SINGHAPRO CO.,LTD.</t>
        </is>
      </c>
      <c r="AC30" s="163" t="n">
        <v>4713.11</v>
      </c>
      <c r="AD30" s="163" t="n">
        <v>6913.11</v>
      </c>
      <c r="AE30" s="96" t="inlineStr">
        <is>
          <t>OK</t>
        </is>
      </c>
      <c r="AF30" s="96" t="n"/>
      <c r="AG30" s="97" t="n"/>
      <c r="AH30" s="96" t="inlineStr">
        <is>
          <t>CHK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TBKK97</t>
        </is>
      </c>
      <c r="AN30" s="96" t="inlineStr">
        <is>
          <t>Arunphat W. (Aiw)</t>
        </is>
      </c>
      <c r="AO30" s="96" t="inlineStr">
        <is>
          <t>BRUSH CUTTER PARTS</t>
        </is>
      </c>
      <c r="AP30" s="96" t="inlineStr">
        <is>
          <t>Normal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n"/>
      <c r="AZ30" s="96" t="inlineStr">
        <is>
          <t>Pickup : 2026-10-16, Return : 2026-10-16</t>
        </is>
      </c>
      <c r="BA30" s="97" t="inlineStr">
        <is>
          <t>SI DD.19/10/26</t>
        </is>
      </c>
      <c r="BB30" s="96" t="inlineStr">
        <is>
          <t>P</t>
        </is>
      </c>
      <c r="BC30" s="161" t="inlineStr">
        <is>
          <t>2026-10-02</t>
        </is>
      </c>
      <c r="BD30" s="161" t="inlineStr">
        <is>
          <t>2026-10-19</t>
        </is>
      </c>
      <c r="BE30" s="96" t="inlineStr">
        <is>
          <t>Y</t>
        </is>
      </c>
      <c r="BF30" s="96" t="inlineStr">
        <is>
          <t>BRUSH CUTTER PARTS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LCH27</t>
        </is>
      </c>
      <c r="BL30" s="161" t="inlineStr">
        <is>
          <t>2026-10-16</t>
        </is>
      </c>
      <c r="BM30" s="127" t="n"/>
      <c r="BN30" s="127" t="n">
        <v>1</v>
      </c>
      <c r="BO30" s="127" t="n"/>
      <c r="BP30" s="127" t="n"/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inlineStr">
        <is>
          <t>Y</t>
        </is>
      </c>
      <c r="CB30" s="97" t="n"/>
      <c r="CC30" s="96" t="inlineStr">
        <is>
          <t>LCH04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oceexp.kweth@kwe.com;ocersv.kweth@kwe.com;chonnikan.siriwan@kwe.com;napasorn.achanond@kwe.com;panuwat.chaisilboon@kwe.com</t>
        </is>
      </c>
      <c r="CJ30" s="96" t="inlineStr">
        <is>
          <t>KWE-KINTETSU WORLD EXPRESS</t>
        </is>
      </c>
      <c r="CK30" s="96" t="inlineStr">
        <is>
          <t>PT. HONDA POWER PRODUCTS</t>
        </is>
      </c>
      <c r="CL30" s="96" t="inlineStr">
        <is>
          <t>PT KINTESU WORLD EXPRESS INDONESIA</t>
        </is>
      </c>
      <c r="CM30" s="97" t="n"/>
      <c r="CN30" s="96" t="inlineStr">
        <is>
          <t>202610201700</t>
        </is>
      </c>
      <c r="CO30" s="96" t="inlineStr">
        <is>
          <t>202610211700</t>
        </is>
      </c>
      <c r="CP30" s="97" t="n"/>
      <c r="CQ30" s="96" t="inlineStr">
        <is>
          <t>S22-2508009</t>
        </is>
      </c>
      <c r="CR30" s="96" t="inlineStr">
        <is>
          <t>THTJIX</t>
        </is>
      </c>
      <c r="CS30" s="96" t="inlineStr">
        <is>
          <t>KWE-KINTETSU WORLD EXPRESS (THAILAND) CO., LTD.</t>
        </is>
      </c>
      <c r="CT30" s="96" t="inlineStr">
        <is>
          <t>N</t>
        </is>
      </c>
      <c r="CU30" s="97" t="n"/>
      <c r="CV30" s="97" t="n"/>
      <c r="CW30" s="161" t="inlineStr">
        <is>
          <t>2026-10-18</t>
        </is>
      </c>
      <c r="CX30" s="97" t="inlineStr">
        <is>
          <t>760820</t>
        </is>
      </c>
      <c r="CY30" s="183" t="n"/>
    </row>
    <row r="31" ht="12" customHeight="1">
      <c r="A31" s="116" t="inlineStr">
        <is>
          <t>HASLS22261000233</t>
        </is>
      </c>
      <c r="B31" s="96" t="inlineStr">
        <is>
          <t>R40Hx1</t>
        </is>
      </c>
      <c r="C31" s="97" t="n">
        <v>1</v>
      </c>
      <c r="D31" s="97" t="n">
        <v>1</v>
      </c>
      <c r="E31" s="97" t="n"/>
      <c r="F31" s="97" t="n">
        <v>0</v>
      </c>
      <c r="G31" s="97" t="n">
        <v>0</v>
      </c>
      <c r="H31" s="97" t="n">
        <v>0</v>
      </c>
      <c r="I31" s="97" t="n">
        <v>1</v>
      </c>
      <c r="J31" s="97" t="n">
        <v>2</v>
      </c>
      <c r="K31" s="96" t="inlineStr">
        <is>
          <t>N</t>
        </is>
      </c>
      <c r="L31" s="96" t="inlineStr">
        <is>
          <t>ANX</t>
        </is>
      </c>
      <c r="M31" s="96" t="inlineStr">
        <is>
          <t>YSVY</t>
        </is>
      </c>
      <c r="N31" s="96" t="inlineStr">
        <is>
          <t>2608S</t>
        </is>
      </c>
      <c r="O31" s="96" t="inlineStr">
        <is>
          <t>THLCH</t>
        </is>
      </c>
      <c r="P31" s="96" t="inlineStr">
        <is>
          <t>LCH04</t>
        </is>
      </c>
      <c r="Q31" s="96" t="inlineStr">
        <is>
          <t>IA</t>
        </is>
      </c>
      <c r="R31" s="161" t="inlineStr">
        <is>
          <t>2026-10-24</t>
        </is>
      </c>
      <c r="S31" s="96" t="inlineStr">
        <is>
          <t>IDJKT</t>
        </is>
      </c>
      <c r="T31" s="96" t="inlineStr">
        <is>
          <t>JKT02</t>
        </is>
      </c>
      <c r="U31" s="96" t="inlineStr">
        <is>
          <t>IDJKT</t>
        </is>
      </c>
      <c r="V31" s="161" t="inlineStr">
        <is>
          <t>2026-10-26</t>
        </is>
      </c>
      <c r="W31" s="96" t="inlineStr">
        <is>
          <t>IA</t>
        </is>
      </c>
      <c r="X31" s="97" t="n"/>
      <c r="Y31" s="97" t="n"/>
      <c r="Z31" s="97" t="n"/>
      <c r="AA31" s="96" t="inlineStr">
        <is>
          <t>BE 1ST ALLIANCE CO., LTD.</t>
        </is>
      </c>
      <c r="AB31" s="96" t="inlineStr">
        <is>
          <t>SUCCESS IMPORT &amp; EXPORT CO., LTD.</t>
        </is>
      </c>
      <c r="AC31" s="163" t="n">
        <v>27162.5</v>
      </c>
      <c r="AD31" s="163" t="n">
        <v>31162.5</v>
      </c>
      <c r="AE31" s="96" t="inlineStr">
        <is>
          <t>OK</t>
        </is>
      </c>
      <c r="AF31" s="96" t="n"/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TBKK97</t>
        </is>
      </c>
      <c r="AN31" s="96" t="inlineStr">
        <is>
          <t>Arunphat W. (Aiw)</t>
        </is>
      </c>
      <c r="AO31" s="96" t="inlineStr">
        <is>
          <t>FRESH LONGAN</t>
        </is>
      </c>
      <c r="AP31" s="96" t="inlineStr">
        <is>
          <t>Normal</t>
        </is>
      </c>
      <c r="AQ31" s="97" t="n"/>
      <c r="AR31" s="97" t="n"/>
      <c r="AS31" s="97" t="inlineStr">
        <is>
          <t>RF// MIN:+2.0 MAX:+2.0 [COVER:OPEN]</t>
        </is>
      </c>
      <c r="AT31" s="97" t="inlineStr">
        <is>
          <t xml:space="preserve">45REx1 </t>
        </is>
      </c>
      <c r="AU31" s="97" t="n"/>
      <c r="AV31" s="97" t="n"/>
      <c r="AW31" s="97" t="n">
        <v>0</v>
      </c>
      <c r="AX31" s="96" t="inlineStr">
        <is>
          <t>N</t>
        </is>
      </c>
      <c r="AY31" s="97" t="n"/>
      <c r="AZ31" s="96" t="inlineStr">
        <is>
          <t>Pickup : 2026-10-15, Return : 2026-10-17  (Temp +2.0 / Vent 15% Open) 
EXTEND CLOSING TIME DD.22/10/2026 @ 10.00Hrs.</t>
        </is>
      </c>
      <c r="BA31" s="97" t="inlineStr">
        <is>
          <t>**CHANGED FM VENT 10% TO 15% BY K.PATCHARIN DD.16/10/26**</t>
        </is>
      </c>
      <c r="BB31" s="96" t="inlineStr">
        <is>
          <t>P</t>
        </is>
      </c>
      <c r="BC31" s="161" t="inlineStr">
        <is>
          <t>2026-10-05</t>
        </is>
      </c>
      <c r="BD31" s="161" t="inlineStr">
        <is>
          <t>2026-10-19</t>
        </is>
      </c>
      <c r="BE31" s="96" t="inlineStr">
        <is>
          <t>Y</t>
        </is>
      </c>
      <c r="BF31" s="96" t="inlineStr">
        <is>
          <t>FRESH  LONGAN / +2'C VENT 15%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LCH27</t>
        </is>
      </c>
      <c r="BL31" s="161" t="inlineStr">
        <is>
          <t>2026-10-10</t>
        </is>
      </c>
      <c r="BM31" s="127" t="n"/>
      <c r="BN31" s="127" t="n"/>
      <c r="BO31" s="127" t="n"/>
      <c r="BP31" s="127" t="n"/>
      <c r="BQ31" s="127" t="n"/>
      <c r="BR31" s="127" t="n">
        <v>1</v>
      </c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inlineStr">
        <is>
          <t>Y</t>
        </is>
      </c>
      <c r="CB31" s="97" t="n"/>
      <c r="CC31" s="96" t="inlineStr">
        <is>
          <t>LCH04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n"/>
      <c r="CI31" s="96" t="inlineStr">
        <is>
          <t>patcharin@be1st-alliance.com</t>
        </is>
      </c>
      <c r="CJ31" s="96" t="inlineStr">
        <is>
          <t>SUCCESS IMPORT &amp; EXPORT CO.,LTD.</t>
        </is>
      </c>
      <c r="CK31" s="96" t="inlineStr">
        <is>
          <t>PT. MANGGIS ELOK UTAMA</t>
        </is>
      </c>
      <c r="CL31" s="96" t="inlineStr">
        <is>
          <t>PT. MANGGIS ELOK UTAMA</t>
        </is>
      </c>
      <c r="CM31" s="97" t="n"/>
      <c r="CN31" s="96" t="inlineStr">
        <is>
          <t>202610201700</t>
        </is>
      </c>
      <c r="CO31" s="96" t="inlineStr">
        <is>
          <t>202610211700</t>
        </is>
      </c>
      <c r="CP31" s="97" t="inlineStr">
        <is>
          <t>45RE x1: RF(Temp:+2.0' / Cover:FULL OPEN)</t>
        </is>
      </c>
      <c r="CQ31" s="96" t="inlineStr">
        <is>
          <t>S22-2404031</t>
        </is>
      </c>
      <c r="CR31" s="96" t="inlineStr">
        <is>
          <t>BB1264</t>
        </is>
      </c>
      <c r="CS31" s="96" t="inlineStr">
        <is>
          <t>BE 1ST ALLIANCE CO., LTD.</t>
        </is>
      </c>
      <c r="CT31" s="96" t="inlineStr">
        <is>
          <t>N</t>
        </is>
      </c>
      <c r="CU31" s="97" t="n"/>
      <c r="CV31" s="97" t="n"/>
      <c r="CW31" s="161" t="inlineStr">
        <is>
          <t>2026-10-18</t>
        </is>
      </c>
      <c r="CX31" s="97" t="inlineStr">
        <is>
          <t>081090</t>
        </is>
      </c>
      <c r="CY31" s="183" t="n"/>
    </row>
    <row r="32" ht="12" customHeight="1">
      <c r="A32" s="116" t="inlineStr">
        <is>
          <t>HASLS22261000235</t>
        </is>
      </c>
      <c r="B32" s="96" t="inlineStr">
        <is>
          <t>R40Hx1</t>
        </is>
      </c>
      <c r="C32" s="97" t="n">
        <v>1</v>
      </c>
      <c r="D32" s="97" t="n">
        <v>1</v>
      </c>
      <c r="E32" s="97" t="n"/>
      <c r="F32" s="97" t="n">
        <v>0</v>
      </c>
      <c r="G32" s="97" t="n">
        <v>0</v>
      </c>
      <c r="H32" s="97" t="n">
        <v>0</v>
      </c>
      <c r="I32" s="97" t="n">
        <v>1</v>
      </c>
      <c r="J32" s="97" t="n">
        <v>2</v>
      </c>
      <c r="K32" s="96" t="inlineStr">
        <is>
          <t>N</t>
        </is>
      </c>
      <c r="L32" s="96" t="inlineStr">
        <is>
          <t>ANX</t>
        </is>
      </c>
      <c r="M32" s="96" t="inlineStr">
        <is>
          <t>YSVY</t>
        </is>
      </c>
      <c r="N32" s="96" t="inlineStr">
        <is>
          <t>2608S</t>
        </is>
      </c>
      <c r="O32" s="96" t="inlineStr">
        <is>
          <t>THLCH</t>
        </is>
      </c>
      <c r="P32" s="96" t="inlineStr">
        <is>
          <t>LCH04</t>
        </is>
      </c>
      <c r="Q32" s="96" t="inlineStr">
        <is>
          <t>IA</t>
        </is>
      </c>
      <c r="R32" s="161" t="inlineStr">
        <is>
          <t>2026-10-24</t>
        </is>
      </c>
      <c r="S32" s="96" t="inlineStr">
        <is>
          <t>IDJKT</t>
        </is>
      </c>
      <c r="T32" s="96" t="inlineStr">
        <is>
          <t>JKT02</t>
        </is>
      </c>
      <c r="U32" s="96" t="inlineStr">
        <is>
          <t>IDJKT</t>
        </is>
      </c>
      <c r="V32" s="161" t="inlineStr">
        <is>
          <t>2026-10-26</t>
        </is>
      </c>
      <c r="W32" s="96" t="inlineStr">
        <is>
          <t>IA</t>
        </is>
      </c>
      <c r="X32" s="97" t="n"/>
      <c r="Y32" s="97" t="n"/>
      <c r="Z32" s="97" t="n"/>
      <c r="AA32" s="96" t="inlineStr">
        <is>
          <t>BE 1ST ALLIANCE CO., LTD.</t>
        </is>
      </c>
      <c r="AB32" s="96" t="inlineStr">
        <is>
          <t>SUCCESS IMPORT &amp; EXPORT CO., LTD.</t>
        </is>
      </c>
      <c r="AC32" s="163" t="n">
        <v>27079</v>
      </c>
      <c r="AD32" s="163" t="n">
        <v>31079</v>
      </c>
      <c r="AE32" s="96" t="inlineStr">
        <is>
          <t>OK</t>
        </is>
      </c>
      <c r="AF32" s="96" t="n"/>
      <c r="AG32" s="97" t="n"/>
      <c r="AH32" s="96" t="inlineStr">
        <is>
          <t>CHK</t>
        </is>
      </c>
      <c r="AI32" s="97" t="inlineStr">
        <is>
          <t>OK</t>
        </is>
      </c>
      <c r="AJ32" s="97" t="n"/>
      <c r="AK32" s="97" t="n"/>
      <c r="AL32" s="97" t="n"/>
      <c r="AM32" s="96" t="inlineStr">
        <is>
          <t>TBKK97</t>
        </is>
      </c>
      <c r="AN32" s="96" t="inlineStr">
        <is>
          <t>Arunphat W. (Aiw)</t>
        </is>
      </c>
      <c r="AO32" s="96" t="inlineStr">
        <is>
          <t>FRESH LONGAN</t>
        </is>
      </c>
      <c r="AP32" s="96" t="inlineStr">
        <is>
          <t>Normal</t>
        </is>
      </c>
      <c r="AQ32" s="97" t="n"/>
      <c r="AR32" s="97" t="n"/>
      <c r="AS32" s="97" t="inlineStr">
        <is>
          <t>RF// MIN:+2.0 MAX:+2.0 [COVER:OPEN]</t>
        </is>
      </c>
      <c r="AT32" s="97" t="inlineStr">
        <is>
          <t xml:space="preserve">45REx1 </t>
        </is>
      </c>
      <c r="AU32" s="97" t="n"/>
      <c r="AV32" s="97" t="n"/>
      <c r="AW32" s="97" t="n">
        <v>0</v>
      </c>
      <c r="AX32" s="96" t="inlineStr">
        <is>
          <t>N</t>
        </is>
      </c>
      <c r="AY32" s="97" t="n"/>
      <c r="AZ32" s="96" t="inlineStr">
        <is>
          <t>Pickup : 2026-10-15, Return : 2026-10-17  (Temp +2.0 / Vent 15% Open) 
EXTEND CLOSING TIME DD.22/10/2026 @ 10.00Hrs.</t>
        </is>
      </c>
      <c r="BA32" s="97" t="inlineStr">
        <is>
          <t>**CHANGED FM VENT 10% TO 15% BY K.PATCHARIN DD.16/10/26**</t>
        </is>
      </c>
      <c r="BB32" s="96" t="inlineStr">
        <is>
          <t>P</t>
        </is>
      </c>
      <c r="BC32" s="161" t="inlineStr">
        <is>
          <t>2026-10-05</t>
        </is>
      </c>
      <c r="BD32" s="161" t="inlineStr">
        <is>
          <t>2026-10-20</t>
        </is>
      </c>
      <c r="BE32" s="96" t="inlineStr">
        <is>
          <t>Y</t>
        </is>
      </c>
      <c r="BF32" s="96" t="inlineStr">
        <is>
          <t>FRESH  LONGAN / +2'C VENT 15%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LCH27</t>
        </is>
      </c>
      <c r="BL32" s="161" t="inlineStr">
        <is>
          <t>2026-10-10</t>
        </is>
      </c>
      <c r="BM32" s="127" t="n"/>
      <c r="BN32" s="127" t="n"/>
      <c r="BO32" s="127" t="n"/>
      <c r="BP32" s="127" t="n"/>
      <c r="BQ32" s="127" t="n"/>
      <c r="BR32" s="127" t="n">
        <v>1</v>
      </c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/>
      <c r="CA32" s="96" t="inlineStr">
        <is>
          <t>Y</t>
        </is>
      </c>
      <c r="CB32" s="97" t="n"/>
      <c r="CC32" s="96" t="inlineStr">
        <is>
          <t>LCH04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n"/>
      <c r="CI32" s="96" t="inlineStr">
        <is>
          <t>patcharin@be1st-alliance.com</t>
        </is>
      </c>
      <c r="CJ32" s="96" t="inlineStr">
        <is>
          <t>SUCCESS IMPORT &amp; EXPORT CO.,LTD.</t>
        </is>
      </c>
      <c r="CK32" s="96" t="inlineStr">
        <is>
          <t>PT. MANGGIS ELOK UTAMA</t>
        </is>
      </c>
      <c r="CL32" s="96" t="inlineStr">
        <is>
          <t>PT. MANGGIS ELOK UTAMA</t>
        </is>
      </c>
      <c r="CM32" s="97" t="n"/>
      <c r="CN32" s="96" t="inlineStr">
        <is>
          <t>202610201700</t>
        </is>
      </c>
      <c r="CO32" s="96" t="inlineStr">
        <is>
          <t>202610211700</t>
        </is>
      </c>
      <c r="CP32" s="97" t="inlineStr">
        <is>
          <t>45RE x1: RF(Temp:+2.0' / Cover:FULL OPEN)</t>
        </is>
      </c>
      <c r="CQ32" s="96" t="inlineStr">
        <is>
          <t>S22-2404031</t>
        </is>
      </c>
      <c r="CR32" s="96" t="inlineStr">
        <is>
          <t>BB1264</t>
        </is>
      </c>
      <c r="CS32" s="96" t="inlineStr">
        <is>
          <t>BE 1ST ALLIANCE CO., LTD.</t>
        </is>
      </c>
      <c r="CT32" s="96" t="inlineStr">
        <is>
          <t>N</t>
        </is>
      </c>
      <c r="CU32" s="97" t="n"/>
      <c r="CV32" s="97" t="n"/>
      <c r="CW32" s="161" t="inlineStr">
        <is>
          <t>2026-10-18</t>
        </is>
      </c>
      <c r="CX32" s="97" t="inlineStr">
        <is>
          <t>081090</t>
        </is>
      </c>
      <c r="CY32" s="183" t="n"/>
    </row>
    <row r="33" ht="12" customHeight="1">
      <c r="A33" s="116" t="inlineStr">
        <is>
          <t>HASLS22261000236</t>
        </is>
      </c>
      <c r="B33" s="96" t="inlineStr">
        <is>
          <t>R40Hx1</t>
        </is>
      </c>
      <c r="C33" s="97" t="n">
        <v>1</v>
      </c>
      <c r="D33" s="97" t="n">
        <v>1</v>
      </c>
      <c r="E33" s="97" t="n"/>
      <c r="F33" s="97" t="n">
        <v>0</v>
      </c>
      <c r="G33" s="97" t="n">
        <v>0</v>
      </c>
      <c r="H33" s="97" t="n">
        <v>0</v>
      </c>
      <c r="I33" s="97" t="n">
        <v>1</v>
      </c>
      <c r="J33" s="97" t="n">
        <v>2</v>
      </c>
      <c r="K33" s="96" t="inlineStr">
        <is>
          <t>N</t>
        </is>
      </c>
      <c r="L33" s="96" t="inlineStr">
        <is>
          <t>ANX</t>
        </is>
      </c>
      <c r="M33" s="96" t="inlineStr">
        <is>
          <t>YSVY</t>
        </is>
      </c>
      <c r="N33" s="96" t="inlineStr">
        <is>
          <t>2608S</t>
        </is>
      </c>
      <c r="O33" s="96" t="inlineStr">
        <is>
          <t>THLCH</t>
        </is>
      </c>
      <c r="P33" s="96" t="inlineStr">
        <is>
          <t>LCH04</t>
        </is>
      </c>
      <c r="Q33" s="96" t="inlineStr">
        <is>
          <t>IA</t>
        </is>
      </c>
      <c r="R33" s="161" t="inlineStr">
        <is>
          <t>2026-10-24</t>
        </is>
      </c>
      <c r="S33" s="96" t="inlineStr">
        <is>
          <t>IDJKT</t>
        </is>
      </c>
      <c r="T33" s="96" t="inlineStr">
        <is>
          <t>JKT02</t>
        </is>
      </c>
      <c r="U33" s="96" t="inlineStr">
        <is>
          <t>IDJKT</t>
        </is>
      </c>
      <c r="V33" s="161" t="inlineStr">
        <is>
          <t>2026-10-26</t>
        </is>
      </c>
      <c r="W33" s="96" t="inlineStr">
        <is>
          <t>IA</t>
        </is>
      </c>
      <c r="X33" s="97" t="n"/>
      <c r="Y33" s="97" t="n"/>
      <c r="Z33" s="97" t="n"/>
      <c r="AA33" s="96" t="inlineStr">
        <is>
          <t>BE 1ST ALLIANCE CO., LTD.</t>
        </is>
      </c>
      <c r="AB33" s="96" t="inlineStr">
        <is>
          <t>ON PROMO CO.,LTD.</t>
        </is>
      </c>
      <c r="AC33" s="163" t="n">
        <v>28125</v>
      </c>
      <c r="AD33" s="163" t="n">
        <v>32125</v>
      </c>
      <c r="AE33" s="96" t="inlineStr">
        <is>
          <t>OK</t>
        </is>
      </c>
      <c r="AF33" s="96" t="n"/>
      <c r="AG33" s="97" t="n"/>
      <c r="AH33" s="96" t="inlineStr">
        <is>
          <t>CHK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TBKK97</t>
        </is>
      </c>
      <c r="AN33" s="96" t="inlineStr">
        <is>
          <t>Arunphat W. (Aiw)</t>
        </is>
      </c>
      <c r="AO33" s="96" t="inlineStr">
        <is>
          <t>FRESH LONGAN</t>
        </is>
      </c>
      <c r="AP33" s="96" t="inlineStr">
        <is>
          <t>Normal</t>
        </is>
      </c>
      <c r="AQ33" s="97" t="n"/>
      <c r="AR33" s="97" t="n"/>
      <c r="AS33" s="97" t="inlineStr">
        <is>
          <t>RF// MIN:+2.0 MAX:+2.0 [COVER:OPEN]</t>
        </is>
      </c>
      <c r="AT33" s="97" t="inlineStr">
        <is>
          <t xml:space="preserve">45REx1 </t>
        </is>
      </c>
      <c r="AU33" s="97" t="n"/>
      <c r="AV33" s="97" t="n"/>
      <c r="AW33" s="97" t="n">
        <v>0</v>
      </c>
      <c r="AX33" s="96" t="inlineStr">
        <is>
          <t>N</t>
        </is>
      </c>
      <c r="AY33" s="97" t="n"/>
      <c r="AZ33" s="96" t="inlineStr">
        <is>
          <t>Pickup : 2026-10-15, Return : 2026-10-17  (Temp +2.0 / Vent 15% Open) 
Closing Time 2026-10-20 @ 23.59
**CHANGED FM VENT 10% TO 15% BY K.PATCHARIN DD.16/10/26**</t>
        </is>
      </c>
      <c r="BA33" s="97" t="inlineStr">
        <is>
          <t>**CHANGED FM VENT 10% TO 15% BY K.PATCHARIN DD.16/10/26**</t>
        </is>
      </c>
      <c r="BB33" s="96" t="inlineStr">
        <is>
          <t>P</t>
        </is>
      </c>
      <c r="BC33" s="161" t="inlineStr">
        <is>
          <t>2026-10-05</t>
        </is>
      </c>
      <c r="BD33" s="161" t="inlineStr">
        <is>
          <t>2026-10-19</t>
        </is>
      </c>
      <c r="BE33" s="96" t="inlineStr">
        <is>
          <t>Y</t>
        </is>
      </c>
      <c r="BF33" s="96" t="inlineStr">
        <is>
          <t>FRESH  LONGAN / +2'C VENT 15%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LCH27</t>
        </is>
      </c>
      <c r="BL33" s="161" t="inlineStr">
        <is>
          <t>2026-10-10</t>
        </is>
      </c>
      <c r="BM33" s="127" t="n"/>
      <c r="BN33" s="127" t="n"/>
      <c r="BO33" s="127" t="n"/>
      <c r="BP33" s="127" t="n"/>
      <c r="BQ33" s="127" t="n"/>
      <c r="BR33" s="127" t="n">
        <v>1</v>
      </c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/>
      <c r="CA33" s="96" t="inlineStr">
        <is>
          <t>Y</t>
        </is>
      </c>
      <c r="CB33" s="97" t="n"/>
      <c r="CC33" s="96" t="inlineStr">
        <is>
          <t>LCH04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n"/>
      <c r="CI33" s="96" t="inlineStr">
        <is>
          <t>patcharin@be1st-alliance.com</t>
        </is>
      </c>
      <c r="CJ33" s="96" t="inlineStr">
        <is>
          <t>ACE STAR INTERNATIONAL TRADING</t>
        </is>
      </c>
      <c r="CK33" s="96" t="inlineStr">
        <is>
          <t>PT. INDOPAR PRIMA</t>
        </is>
      </c>
      <c r="CL33" s="96" t="inlineStr">
        <is>
          <t>PT. INDOPAR PRIMA</t>
        </is>
      </c>
      <c r="CM33" s="97" t="n"/>
      <c r="CN33" s="96" t="inlineStr">
        <is>
          <t>202610201700</t>
        </is>
      </c>
      <c r="CO33" s="96" t="inlineStr">
        <is>
          <t>202610211700</t>
        </is>
      </c>
      <c r="CP33" s="97" t="inlineStr">
        <is>
          <t>45RE x1: RF(Temp:+2.0' / Cover:FULL OPEN)</t>
        </is>
      </c>
      <c r="CQ33" s="96" t="inlineStr">
        <is>
          <t>S22-2404031</t>
        </is>
      </c>
      <c r="CR33" s="96" t="inlineStr">
        <is>
          <t>BB1264</t>
        </is>
      </c>
      <c r="CS33" s="96" t="inlineStr">
        <is>
          <t>BE 1ST ALLIANCE CO., LTD.</t>
        </is>
      </c>
      <c r="CT33" s="96" t="inlineStr">
        <is>
          <t>N</t>
        </is>
      </c>
      <c r="CU33" s="97" t="n"/>
      <c r="CV33" s="97" t="n"/>
      <c r="CW33" s="161" t="inlineStr">
        <is>
          <t>2026-10-18</t>
        </is>
      </c>
      <c r="CX33" s="97" t="inlineStr">
        <is>
          <t>081090</t>
        </is>
      </c>
      <c r="CY33" s="183" t="n"/>
    </row>
    <row r="34" ht="12" customHeight="1">
      <c r="A34" s="116" t="inlineStr">
        <is>
          <t>HASLS22261000251</t>
        </is>
      </c>
      <c r="B34" s="96" t="inlineStr">
        <is>
          <t>20'x1</t>
        </is>
      </c>
      <c r="C34" s="97" t="n">
        <v>1</v>
      </c>
      <c r="D34" s="97" t="n">
        <v>1</v>
      </c>
      <c r="E34" s="97" t="n"/>
      <c r="F34" s="97" t="n">
        <v>0</v>
      </c>
      <c r="G34" s="97" t="n">
        <v>1</v>
      </c>
      <c r="H34" s="97" t="n">
        <v>0</v>
      </c>
      <c r="I34" s="97" t="n">
        <v>0</v>
      </c>
      <c r="J34" s="97" t="n">
        <v>1</v>
      </c>
      <c r="K34" s="96" t="inlineStr">
        <is>
          <t>N</t>
        </is>
      </c>
      <c r="L34" s="96" t="inlineStr">
        <is>
          <t>ANX</t>
        </is>
      </c>
      <c r="M34" s="96" t="inlineStr">
        <is>
          <t>YSVY</t>
        </is>
      </c>
      <c r="N34" s="96" t="inlineStr">
        <is>
          <t>2608S</t>
        </is>
      </c>
      <c r="O34" s="96" t="inlineStr">
        <is>
          <t>THLCH</t>
        </is>
      </c>
      <c r="P34" s="96" t="inlineStr">
        <is>
          <t>LCH04</t>
        </is>
      </c>
      <c r="Q34" s="96" t="inlineStr">
        <is>
          <t>IA</t>
        </is>
      </c>
      <c r="R34" s="161" t="inlineStr">
        <is>
          <t>2026-10-24</t>
        </is>
      </c>
      <c r="S34" s="96" t="inlineStr">
        <is>
          <t>IDJKT</t>
        </is>
      </c>
      <c r="T34" s="96" t="inlineStr">
        <is>
          <t>JKT02</t>
        </is>
      </c>
      <c r="U34" s="96" t="inlineStr">
        <is>
          <t>IDJKT</t>
        </is>
      </c>
      <c r="V34" s="161" t="inlineStr">
        <is>
          <t>2026-10-26</t>
        </is>
      </c>
      <c r="W34" s="96" t="inlineStr">
        <is>
          <t>IA</t>
        </is>
      </c>
      <c r="X34" s="97" t="n"/>
      <c r="Y34" s="97" t="n"/>
      <c r="Z34" s="97" t="n"/>
      <c r="AA34" s="96" t="inlineStr">
        <is>
          <t>PENANSHIN SHIPPING (THAILAND) LTD.</t>
        </is>
      </c>
      <c r="AB34" s="96" t="inlineStr">
        <is>
          <t>PENANSHIN SHIPPING (THAILAND) LTD.</t>
        </is>
      </c>
      <c r="AC34" s="163" t="n">
        <v>4127.67</v>
      </c>
      <c r="AD34" s="163" t="n">
        <v>6327.67</v>
      </c>
      <c r="AE34" s="96" t="inlineStr">
        <is>
          <t>OK</t>
        </is>
      </c>
      <c r="AF34" s="96" t="inlineStr">
        <is>
          <t>SR</t>
        </is>
      </c>
      <c r="AG34" s="97" t="n"/>
      <c r="AH34" s="96" t="inlineStr">
        <is>
          <t>CHK</t>
        </is>
      </c>
      <c r="AI34" s="97" t="n"/>
      <c r="AJ34" s="97" t="n"/>
      <c r="AK34" s="97" t="n"/>
      <c r="AL34" s="97" t="n"/>
      <c r="AM34" s="96" t="inlineStr">
        <is>
          <t>TBKK19</t>
        </is>
      </c>
      <c r="AN34" s="96" t="inlineStr">
        <is>
          <t>Kanokporn</t>
        </is>
      </c>
      <c r="AO34" s="96" t="inlineStr">
        <is>
          <t>AUTOPART BUSH, STEERING RACK HOUSING</t>
        </is>
      </c>
      <c r="AP34" s="96" t="inlineStr">
        <is>
          <t>Normal</t>
        </is>
      </c>
      <c r="AQ34" s="97" t="n"/>
      <c r="AR34" s="97" t="n"/>
      <c r="AS34" s="97" t="n"/>
      <c r="AT34" s="97" t="n"/>
      <c r="AU34" s="97" t="n"/>
      <c r="AV34" s="97" t="n"/>
      <c r="AW34" s="97" t="n">
        <v>0</v>
      </c>
      <c r="AX34" s="96" t="inlineStr">
        <is>
          <t>N</t>
        </is>
      </c>
      <c r="AY34" s="97" t="n"/>
      <c r="AZ34" s="96" t="inlineStr">
        <is>
          <t>CY-RTN : 19-19/10/2026</t>
        </is>
      </c>
      <c r="BA34" s="97" t="inlineStr">
        <is>
          <t xml:space="preserve">FM CFS (LKR) TO CY (LCH) BY K'TOEI DD.09/10/2026CFS AT LKB 15/10/20263 ShipperKurashiki (Thailand) Co.,Ltd.Ladvik (Thailand) Co., Ltd. Oiles (Thailand) Co., Ltd. </t>
        </is>
      </c>
      <c r="BB34" s="96" t="inlineStr">
        <is>
          <t>P</t>
        </is>
      </c>
      <c r="BC34" s="161" t="inlineStr">
        <is>
          <t>2026-10-05</t>
        </is>
      </c>
      <c r="BD34" s="161" t="inlineStr">
        <is>
          <t>2026-10-19</t>
        </is>
      </c>
      <c r="BE34" s="96" t="inlineStr">
        <is>
          <t>Y</t>
        </is>
      </c>
      <c r="BF34" s="96" t="inlineStr">
        <is>
          <t>AUTOPART BUSH, STEERING RACK HOUSING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BKK27</t>
        </is>
      </c>
      <c r="BL34" s="161" t="inlineStr">
        <is>
          <t>2026-10-19</t>
        </is>
      </c>
      <c r="BM34" s="127" t="n"/>
      <c r="BN34" s="127" t="n">
        <v>1</v>
      </c>
      <c r="BO34" s="127" t="n"/>
      <c r="BP34" s="127" t="n"/>
      <c r="BQ34" s="127" t="n"/>
      <c r="BR34" s="127" t="n"/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/>
      <c r="CA34" s="96" t="inlineStr">
        <is>
          <t>Y</t>
        </is>
      </c>
      <c r="CB34" s="97" t="n"/>
      <c r="CC34" s="96" t="inlineStr">
        <is>
          <t>LCH04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n"/>
      <c r="CI34" s="96" t="inlineStr">
        <is>
          <t>cs-nom@penanshin.co.th</t>
        </is>
      </c>
      <c r="CJ34" s="96" t="inlineStr">
        <is>
          <t>PENANSHIN SHIPPING (THAILAND) LTD.</t>
        </is>
      </c>
      <c r="CK34" s="96" t="inlineStr">
        <is>
          <t>PT. AKASHI WAHANA INDONESIA</t>
        </is>
      </c>
      <c r="CL34" s="96" t="inlineStr">
        <is>
          <t>PT. BINA GLOBAL TRANSPORT</t>
        </is>
      </c>
      <c r="CM34" s="97" t="n"/>
      <c r="CN34" s="96" t="inlineStr">
        <is>
          <t>202610201700</t>
        </is>
      </c>
      <c r="CO34" s="96" t="inlineStr">
        <is>
          <t>202610211700</t>
        </is>
      </c>
      <c r="CP34" s="97" t="n"/>
      <c r="CQ34" s="96" t="inlineStr">
        <is>
          <t>S19-2105013</t>
        </is>
      </c>
      <c r="CR34" s="96" t="inlineStr">
        <is>
          <t>BB1166</t>
        </is>
      </c>
      <c r="CS34" s="96" t="inlineStr">
        <is>
          <t>PENANSHIN SHIPPING (THAILAND) LTD.</t>
        </is>
      </c>
      <c r="CT34" s="96" t="inlineStr">
        <is>
          <t>N</t>
        </is>
      </c>
      <c r="CU34" s="97" t="n"/>
      <c r="CV34" s="97" t="n"/>
      <c r="CW34" s="161" t="inlineStr">
        <is>
          <t>2026-10-18</t>
        </is>
      </c>
      <c r="CX34" s="97" t="inlineStr">
        <is>
          <t>870894</t>
        </is>
      </c>
      <c r="CY34" s="183" t="n"/>
    </row>
    <row r="35" ht="12" customHeight="1">
      <c r="A35" s="116" t="inlineStr">
        <is>
          <t>HASLS22261000254</t>
        </is>
      </c>
      <c r="B35" s="96" t="inlineStr">
        <is>
          <t>20'x1</t>
        </is>
      </c>
      <c r="C35" s="97" t="n">
        <v>1</v>
      </c>
      <c r="D35" s="97" t="n">
        <v>1</v>
      </c>
      <c r="E35" s="97" t="n"/>
      <c r="F35" s="97" t="n">
        <v>0</v>
      </c>
      <c r="G35" s="97" t="n">
        <v>1</v>
      </c>
      <c r="H35" s="97" t="n">
        <v>0</v>
      </c>
      <c r="I35" s="97" t="n">
        <v>0</v>
      </c>
      <c r="J35" s="97" t="n">
        <v>1</v>
      </c>
      <c r="K35" s="96" t="inlineStr">
        <is>
          <t>N</t>
        </is>
      </c>
      <c r="L35" s="96" t="inlineStr">
        <is>
          <t>ANX</t>
        </is>
      </c>
      <c r="M35" s="96" t="inlineStr">
        <is>
          <t>YSVY</t>
        </is>
      </c>
      <c r="N35" s="96" t="inlineStr">
        <is>
          <t>2608S</t>
        </is>
      </c>
      <c r="O35" s="96" t="inlineStr">
        <is>
          <t>THLCH</t>
        </is>
      </c>
      <c r="P35" s="96" t="inlineStr">
        <is>
          <t>LCH04</t>
        </is>
      </c>
      <c r="Q35" s="96" t="inlineStr">
        <is>
          <t>IA</t>
        </is>
      </c>
      <c r="R35" s="161" t="inlineStr">
        <is>
          <t>2026-10-24</t>
        </is>
      </c>
      <c r="S35" s="96" t="inlineStr">
        <is>
          <t>IDJKT</t>
        </is>
      </c>
      <c r="T35" s="96" t="inlineStr">
        <is>
          <t>JKT02</t>
        </is>
      </c>
      <c r="U35" s="96" t="inlineStr">
        <is>
          <t>IDJKT</t>
        </is>
      </c>
      <c r="V35" s="161" t="inlineStr">
        <is>
          <t>2026-10-26</t>
        </is>
      </c>
      <c r="W35" s="96" t="inlineStr">
        <is>
          <t>IA</t>
        </is>
      </c>
      <c r="X35" s="97" t="n"/>
      <c r="Y35" s="97" t="n"/>
      <c r="Z35" s="97" t="n"/>
      <c r="AA35" s="96" t="inlineStr">
        <is>
          <t>AWOT GLOBAL LOGISTICS (THAILAND) CO., LTD.</t>
        </is>
      </c>
      <c r="AB35" s="96" t="inlineStr">
        <is>
          <t>ZIKER CO., LTD</t>
        </is>
      </c>
      <c r="AC35" s="163" t="n">
        <v>26520</v>
      </c>
      <c r="AD35" s="163" t="n">
        <v>28720</v>
      </c>
      <c r="AE35" s="96" t="inlineStr">
        <is>
          <t>OK</t>
        </is>
      </c>
      <c r="AF35" s="96" t="inlineStr">
        <is>
          <t>SR</t>
        </is>
      </c>
      <c r="AG35" s="97" t="n"/>
      <c r="AH35" s="96" t="inlineStr">
        <is>
          <t>CHK</t>
        </is>
      </c>
      <c r="AI35" s="97" t="inlineStr">
        <is>
          <t>OK</t>
        </is>
      </c>
      <c r="AJ35" s="97" t="n"/>
      <c r="AK35" s="97" t="n"/>
      <c r="AL35" s="97" t="n"/>
      <c r="AM35" s="96" t="inlineStr">
        <is>
          <t>TH0031</t>
        </is>
      </c>
      <c r="AN35" s="96" t="inlineStr">
        <is>
          <t>Pattarapong Saengthong</t>
        </is>
      </c>
      <c r="AO35" s="96" t="inlineStr">
        <is>
          <t>STEEL SHOT</t>
        </is>
      </c>
      <c r="AP35" s="96" t="inlineStr">
        <is>
          <t>Normal</t>
        </is>
      </c>
      <c r="AQ35" s="97" t="n"/>
      <c r="AR35" s="97" t="n"/>
      <c r="AS35" s="97" t="n"/>
      <c r="AT35" s="97" t="n"/>
      <c r="AU35" s="97" t="n"/>
      <c r="AV35" s="97" t="n"/>
      <c r="AW35" s="97" t="n">
        <v>0</v>
      </c>
      <c r="AX35" s="96" t="inlineStr">
        <is>
          <t>N</t>
        </is>
      </c>
      <c r="AY35" s="97" t="n"/>
      <c r="AZ35" s="96" t="inlineStr">
        <is>
          <t>Pickup : 2026-10-17, Return : 2026-10-19</t>
        </is>
      </c>
      <c r="BA35" s="97" t="inlineStr">
        <is>
          <t>GOOD AND CLEAN CONTAINER</t>
        </is>
      </c>
      <c r="BB35" s="96" t="inlineStr">
        <is>
          <t>P</t>
        </is>
      </c>
      <c r="BC35" s="161" t="inlineStr">
        <is>
          <t>2026-10-05</t>
        </is>
      </c>
      <c r="BD35" s="161" t="inlineStr">
        <is>
          <t>2026-10-22</t>
        </is>
      </c>
      <c r="BE35" s="96" t="inlineStr">
        <is>
          <t>Y</t>
        </is>
      </c>
      <c r="BF35" s="96" t="inlineStr">
        <is>
          <t>STEEL SHOT</t>
        </is>
      </c>
      <c r="BG35" s="96" t="inlineStr">
        <is>
          <t>Line</t>
        </is>
      </c>
      <c r="BH35" s="96" t="inlineStr">
        <is>
          <t>S22</t>
        </is>
      </c>
      <c r="BI35" s="97" t="n"/>
      <c r="BJ35" s="97" t="n"/>
      <c r="BK35" s="96" t="inlineStr">
        <is>
          <t>LCH27</t>
        </is>
      </c>
      <c r="BL35" s="161" t="inlineStr">
        <is>
          <t>2026-10-14</t>
        </is>
      </c>
      <c r="BM35" s="127" t="n"/>
      <c r="BN35" s="127" t="n">
        <v>1</v>
      </c>
      <c r="BO35" s="127" t="n"/>
      <c r="BP35" s="127" t="n"/>
      <c r="BQ35" s="127" t="n"/>
      <c r="BR35" s="127" t="n"/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/>
      <c r="CA35" s="96" t="inlineStr">
        <is>
          <t>Y</t>
        </is>
      </c>
      <c r="CB35" s="97" t="n"/>
      <c r="CC35" s="96" t="inlineStr">
        <is>
          <t>LCH04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n"/>
      <c r="CI35" s="96" t="inlineStr">
        <is>
          <t>awotbkk.oe@awotglobal.com</t>
        </is>
      </c>
      <c r="CJ35" s="96" t="inlineStr">
        <is>
          <t>ZIKER CO., LTD.</t>
        </is>
      </c>
      <c r="CK35" s="96" t="inlineStr">
        <is>
          <t>PT. CASTINDO MULTI CAHAYA</t>
        </is>
      </c>
      <c r="CL35" s="96" t="inlineStr">
        <is>
          <t>PT. CASTINDO MULTI CAHAYA</t>
        </is>
      </c>
      <c r="CM35" s="97" t="n"/>
      <c r="CN35" s="96" t="inlineStr">
        <is>
          <t>202610201700</t>
        </is>
      </c>
      <c r="CO35" s="96" t="inlineStr">
        <is>
          <t>202610211700</t>
        </is>
      </c>
      <c r="CP35" s="97" t="n"/>
      <c r="CQ35" s="96" t="inlineStr">
        <is>
          <t>S22-2604017</t>
        </is>
      </c>
      <c r="CR35" s="96" t="inlineStr">
        <is>
          <t>TH0586</t>
        </is>
      </c>
      <c r="CS35" s="96" t="inlineStr">
        <is>
          <t>AWOT GLOBAL LOGISTICS (THAILAND) CO., LTD.</t>
        </is>
      </c>
      <c r="CT35" s="96" t="inlineStr">
        <is>
          <t>N</t>
        </is>
      </c>
      <c r="CU35" s="97" t="n"/>
      <c r="CV35" s="97" t="n"/>
      <c r="CW35" s="161" t="inlineStr">
        <is>
          <t>2026-10-18</t>
        </is>
      </c>
      <c r="CX35" s="97" t="inlineStr">
        <is>
          <t>720510</t>
        </is>
      </c>
      <c r="CY35" s="183" t="n"/>
    </row>
    <row r="36" ht="12" customHeight="1">
      <c r="A36" s="116" t="inlineStr">
        <is>
          <t>HASLS22261000364</t>
        </is>
      </c>
      <c r="B36" s="96" t="inlineStr">
        <is>
          <t>20'x1</t>
        </is>
      </c>
      <c r="C36" s="97" t="n">
        <v>1</v>
      </c>
      <c r="D36" s="97" t="n">
        <v>1</v>
      </c>
      <c r="E36" s="97" t="n"/>
      <c r="F36" s="97" t="n">
        <v>0</v>
      </c>
      <c r="G36" s="97" t="n">
        <v>1</v>
      </c>
      <c r="H36" s="97" t="n">
        <v>0</v>
      </c>
      <c r="I36" s="97" t="n">
        <v>0</v>
      </c>
      <c r="J36" s="97" t="n">
        <v>1</v>
      </c>
      <c r="K36" s="96" t="inlineStr">
        <is>
          <t>N</t>
        </is>
      </c>
      <c r="L36" s="96" t="inlineStr">
        <is>
          <t>ANX</t>
        </is>
      </c>
      <c r="M36" s="96" t="inlineStr">
        <is>
          <t>YSVY</t>
        </is>
      </c>
      <c r="N36" s="96" t="inlineStr">
        <is>
          <t>2608S</t>
        </is>
      </c>
      <c r="O36" s="96" t="inlineStr">
        <is>
          <t>THLCH</t>
        </is>
      </c>
      <c r="P36" s="96" t="inlineStr">
        <is>
          <t>LCH04</t>
        </is>
      </c>
      <c r="Q36" s="96" t="inlineStr">
        <is>
          <t>IA</t>
        </is>
      </c>
      <c r="R36" s="161" t="inlineStr">
        <is>
          <t>2026-10-24</t>
        </is>
      </c>
      <c r="S36" s="96" t="inlineStr">
        <is>
          <t>IDJKT</t>
        </is>
      </c>
      <c r="T36" s="96" t="inlineStr">
        <is>
          <t>JKT02</t>
        </is>
      </c>
      <c r="U36" s="96" t="inlineStr">
        <is>
          <t>IDJKT</t>
        </is>
      </c>
      <c r="V36" s="161" t="inlineStr">
        <is>
          <t>2026-10-26</t>
        </is>
      </c>
      <c r="W36" s="96" t="inlineStr">
        <is>
          <t>IA</t>
        </is>
      </c>
      <c r="X36" s="97" t="n"/>
      <c r="Y36" s="97" t="n"/>
      <c r="Z36" s="97" t="n"/>
      <c r="AA36" s="96" t="inlineStr">
        <is>
          <t>FLS 1993 (THAILAND) CO., LTD.</t>
        </is>
      </c>
      <c r="AB36" s="96" t="inlineStr">
        <is>
          <t xml:space="preserve">BARBE (THAILAND) LTD. </t>
        </is>
      </c>
      <c r="AC36" s="163" t="n">
        <v>10240</v>
      </c>
      <c r="AD36" s="163" t="n">
        <v>12440</v>
      </c>
      <c r="AE36" s="96" t="inlineStr">
        <is>
          <t>OK</t>
        </is>
      </c>
      <c r="AF36" s="96" t="n"/>
      <c r="AG36" s="97" t="n"/>
      <c r="AH36" s="96" t="inlineStr">
        <is>
          <t>CHK</t>
        </is>
      </c>
      <c r="AI36" s="97" t="inlineStr">
        <is>
          <t>OK</t>
        </is>
      </c>
      <c r="AJ36" s="97" t="n"/>
      <c r="AK36" s="97" t="n"/>
      <c r="AL36" s="97" t="n"/>
      <c r="AM36" s="96" t="inlineStr">
        <is>
          <t>TBKK97</t>
        </is>
      </c>
      <c r="AN36" s="96" t="inlineStr">
        <is>
          <t>Arunphat W. (Aiw)</t>
        </is>
      </c>
      <c r="AO36" s="96" t="inlineStr">
        <is>
          <t>ANTIADHESIVE</t>
        </is>
      </c>
      <c r="AP36" s="96" t="inlineStr">
        <is>
          <t>Normal</t>
        </is>
      </c>
      <c r="AQ36" s="97" t="n"/>
      <c r="AR36" s="97" t="n"/>
      <c r="AS36" s="97" t="n"/>
      <c r="AT36" s="97" t="n"/>
      <c r="AU36" s="97" t="n"/>
      <c r="AV36" s="97" t="n"/>
      <c r="AW36" s="97" t="n">
        <v>0</v>
      </c>
      <c r="AX36" s="96" t="inlineStr">
        <is>
          <t>N</t>
        </is>
      </c>
      <c r="AY36" s="97" t="n"/>
      <c r="AZ36" s="96" t="inlineStr">
        <is>
          <t>Pickup : 2026-10-17, Return : 2026-10-19
 ** PLEASE CHECK OPEN GATE BEFORE RETURN CNTR **</t>
        </is>
      </c>
      <c r="BA36" s="97" t="inlineStr">
        <is>
          <t>REQ SURRENDER BL</t>
        </is>
      </c>
      <c r="BB36" s="96" t="inlineStr">
        <is>
          <t>P</t>
        </is>
      </c>
      <c r="BC36" s="161" t="inlineStr">
        <is>
          <t>2026-10-05</t>
        </is>
      </c>
      <c r="BD36" s="161" t="inlineStr">
        <is>
          <t>2026-10-20</t>
        </is>
      </c>
      <c r="BE36" s="96" t="inlineStr">
        <is>
          <t>Y</t>
        </is>
      </c>
      <c r="BF36" s="96" t="inlineStr">
        <is>
          <t>PROMOL(NON-DG)</t>
        </is>
      </c>
      <c r="BG36" s="96" t="inlineStr">
        <is>
          <t>Line</t>
        </is>
      </c>
      <c r="BH36" s="96" t="inlineStr">
        <is>
          <t>S22</t>
        </is>
      </c>
      <c r="BI36" s="97" t="n"/>
      <c r="BJ36" s="97" t="n"/>
      <c r="BK36" s="96" t="inlineStr">
        <is>
          <t>LCH27</t>
        </is>
      </c>
      <c r="BL36" s="161" t="inlineStr">
        <is>
          <t>2026-10-17</t>
        </is>
      </c>
      <c r="BM36" s="127" t="n"/>
      <c r="BN36" s="127" t="n">
        <v>1</v>
      </c>
      <c r="BO36" s="127" t="n"/>
      <c r="BP36" s="127" t="n"/>
      <c r="BQ36" s="127" t="n"/>
      <c r="BR36" s="127" t="n"/>
      <c r="BS36" s="127" t="n"/>
      <c r="BT36" s="127" t="n"/>
      <c r="BU36" s="127" t="n"/>
      <c r="BV36" s="127" t="n"/>
      <c r="BW36" s="127" t="n"/>
      <c r="BX36" s="127" t="n"/>
      <c r="BY36" s="96" t="inlineStr">
        <is>
          <t>FULL</t>
        </is>
      </c>
      <c r="BZ36" s="97" t="n"/>
      <c r="CA36" s="96" t="inlineStr">
        <is>
          <t>Y</t>
        </is>
      </c>
      <c r="CB36" s="97" t="n"/>
      <c r="CC36" s="96" t="inlineStr">
        <is>
          <t>LCH04</t>
        </is>
      </c>
      <c r="CD36" s="97" t="n"/>
      <c r="CE36" s="97" t="n"/>
      <c r="CF36" s="96" t="inlineStr">
        <is>
          <t>0 Teu</t>
        </is>
      </c>
      <c r="CG36" s="96" t="inlineStr">
        <is>
          <t>CY/CY</t>
        </is>
      </c>
      <c r="CH36" s="97" t="n"/>
      <c r="CI36" s="96" t="inlineStr">
        <is>
          <t>booking@fls-group.com</t>
        </is>
      </c>
      <c r="CJ36" s="96" t="inlineStr">
        <is>
          <t>FLS 1993 (THAILAND) CO., LTD.</t>
        </is>
      </c>
      <c r="CK36" s="96" t="inlineStr">
        <is>
          <t>PT. HANKOOK TIRE INDONESIA</t>
        </is>
      </c>
      <c r="CL36" s="96" t="inlineStr">
        <is>
          <t>PT FEDERAL LOGISTIK SISTEM</t>
        </is>
      </c>
      <c r="CM36" s="97" t="n"/>
      <c r="CN36" s="96" t="inlineStr">
        <is>
          <t>202610201700</t>
        </is>
      </c>
      <c r="CO36" s="96" t="inlineStr">
        <is>
          <t>202610211700</t>
        </is>
      </c>
      <c r="CP36" s="97" t="n"/>
      <c r="CQ36" s="96" t="inlineStr">
        <is>
          <t>S22-2405036</t>
        </is>
      </c>
      <c r="CR36" s="96" t="inlineStr">
        <is>
          <t>TH0471</t>
        </is>
      </c>
      <c r="CS36" s="96" t="inlineStr">
        <is>
          <t>FLS 1993 (THAILAND) CO., LTD.</t>
        </is>
      </c>
      <c r="CT36" s="96" t="inlineStr">
        <is>
          <t>N</t>
        </is>
      </c>
      <c r="CU36" s="97" t="n"/>
      <c r="CV36" s="97" t="n"/>
      <c r="CW36" s="161" t="inlineStr">
        <is>
          <t>2026-10-22</t>
        </is>
      </c>
      <c r="CX36" s="97" t="inlineStr">
        <is>
          <t>382499</t>
        </is>
      </c>
      <c r="CY36" s="183" t="n"/>
    </row>
    <row r="37" ht="12" customHeight="1">
      <c r="A37" s="116" t="inlineStr">
        <is>
          <t>HASLS22261000470</t>
        </is>
      </c>
      <c r="B37" s="96" t="inlineStr">
        <is>
          <t>20'x1</t>
        </is>
      </c>
      <c r="C37" s="97" t="n">
        <v>1</v>
      </c>
      <c r="D37" s="97" t="n">
        <v>1</v>
      </c>
      <c r="E37" s="97" t="n"/>
      <c r="F37" s="97" t="n">
        <v>0</v>
      </c>
      <c r="G37" s="97" t="n">
        <v>1</v>
      </c>
      <c r="H37" s="97" t="n">
        <v>0</v>
      </c>
      <c r="I37" s="97" t="n">
        <v>0</v>
      </c>
      <c r="J37" s="97" t="n">
        <v>1</v>
      </c>
      <c r="K37" s="96" t="inlineStr">
        <is>
          <t>N</t>
        </is>
      </c>
      <c r="L37" s="96" t="inlineStr">
        <is>
          <t>ANX</t>
        </is>
      </c>
      <c r="M37" s="96" t="inlineStr">
        <is>
          <t>YSVY</t>
        </is>
      </c>
      <c r="N37" s="96" t="inlineStr">
        <is>
          <t>2608S</t>
        </is>
      </c>
      <c r="O37" s="96" t="inlineStr">
        <is>
          <t>THLCH</t>
        </is>
      </c>
      <c r="P37" s="96" t="inlineStr">
        <is>
          <t>LCH04</t>
        </is>
      </c>
      <c r="Q37" s="96" t="inlineStr">
        <is>
          <t>IA</t>
        </is>
      </c>
      <c r="R37" s="161" t="inlineStr">
        <is>
          <t>2026-10-24</t>
        </is>
      </c>
      <c r="S37" s="96" t="inlineStr">
        <is>
          <t>IDJKT</t>
        </is>
      </c>
      <c r="T37" s="96" t="inlineStr">
        <is>
          <t>JKT02</t>
        </is>
      </c>
      <c r="U37" s="96" t="inlineStr">
        <is>
          <t>IDJKT</t>
        </is>
      </c>
      <c r="V37" s="161" t="inlineStr">
        <is>
          <t>2026-10-26</t>
        </is>
      </c>
      <c r="W37" s="96" t="inlineStr">
        <is>
          <t>IA</t>
        </is>
      </c>
      <c r="X37" s="97" t="n"/>
      <c r="Y37" s="97" t="n"/>
      <c r="Z37" s="97" t="n"/>
      <c r="AA37" s="96" t="inlineStr">
        <is>
          <t>ICONS GLOBAL LOGISTICS CO., LTD.</t>
        </is>
      </c>
      <c r="AB37" s="96" t="inlineStr">
        <is>
          <t>TOTALENERGIES MARKETING (THAILAND)CO., LTD.</t>
        </is>
      </c>
      <c r="AC37" s="163" t="n">
        <v>16290</v>
      </c>
      <c r="AD37" s="163" t="n">
        <v>18490</v>
      </c>
      <c r="AE37" s="96" t="inlineStr">
        <is>
          <t>OK</t>
        </is>
      </c>
      <c r="AF37" s="96" t="n"/>
      <c r="AG37" s="97" t="n"/>
      <c r="AH37" s="96" t="inlineStr">
        <is>
          <t>CHK</t>
        </is>
      </c>
      <c r="AI37" s="97" t="inlineStr">
        <is>
          <t>OK</t>
        </is>
      </c>
      <c r="AJ37" s="97" t="n"/>
      <c r="AK37" s="97" t="n"/>
      <c r="AL37" s="97" t="n"/>
      <c r="AM37" s="96" t="inlineStr">
        <is>
          <t>TBKK13</t>
        </is>
      </c>
      <c r="AN37" s="96" t="inlineStr">
        <is>
          <t>Dharaporn</t>
        </is>
      </c>
      <c r="AO37" s="96" t="inlineStr">
        <is>
          <t>SPIN FINISH DTY - CONNING OIL</t>
        </is>
      </c>
      <c r="AP37" s="96" t="inlineStr">
        <is>
          <t>Normal</t>
        </is>
      </c>
      <c r="AQ37" s="97" t="n"/>
      <c r="AR37" s="97" t="n"/>
      <c r="AS37" s="97" t="n"/>
      <c r="AT37" s="97" t="n"/>
      <c r="AU37" s="97" t="n"/>
      <c r="AV37" s="97" t="n"/>
      <c r="AW37" s="97" t="n">
        <v>0</v>
      </c>
      <c r="AX37" s="96" t="inlineStr">
        <is>
          <t>N</t>
        </is>
      </c>
      <c r="AY37" s="97" t="n"/>
      <c r="AZ37" s="96" t="inlineStr">
        <is>
          <t>Pickup : 2026-10-15, Return : 2026-10-16</t>
        </is>
      </c>
      <c r="BA37" s="97" t="n"/>
      <c r="BB37" s="96" t="inlineStr">
        <is>
          <t>P</t>
        </is>
      </c>
      <c r="BC37" s="161" t="inlineStr">
        <is>
          <t>2026-10-06</t>
        </is>
      </c>
      <c r="BD37" s="161" t="inlineStr">
        <is>
          <t>2026-10-19</t>
        </is>
      </c>
      <c r="BE37" s="96" t="inlineStr">
        <is>
          <t>Y</t>
        </is>
      </c>
      <c r="BF37" s="96" t="inlineStr">
        <is>
          <t>LUBRICANT</t>
        </is>
      </c>
      <c r="BG37" s="96" t="inlineStr">
        <is>
          <t>Line</t>
        </is>
      </c>
      <c r="BH37" s="96" t="inlineStr">
        <is>
          <t>S22</t>
        </is>
      </c>
      <c r="BI37" s="97" t="n"/>
      <c r="BJ37" s="97" t="n"/>
      <c r="BK37" s="96" t="inlineStr">
        <is>
          <t>LCH27</t>
        </is>
      </c>
      <c r="BL37" s="161" t="inlineStr">
        <is>
          <t>2026-10-15</t>
        </is>
      </c>
      <c r="BM37" s="127" t="n"/>
      <c r="BN37" s="127" t="n">
        <v>1</v>
      </c>
      <c r="BO37" s="127" t="n"/>
      <c r="BP37" s="127" t="n"/>
      <c r="BQ37" s="127" t="n"/>
      <c r="BR37" s="127" t="n"/>
      <c r="BS37" s="127" t="n"/>
      <c r="BT37" s="127" t="n"/>
      <c r="BU37" s="127" t="n"/>
      <c r="BV37" s="127" t="n"/>
      <c r="BW37" s="127" t="n"/>
      <c r="BX37" s="127" t="n"/>
      <c r="BY37" s="96" t="inlineStr">
        <is>
          <t>FULL</t>
        </is>
      </c>
      <c r="BZ37" s="97" t="n"/>
      <c r="CA37" s="96" t="inlineStr">
        <is>
          <t>Y</t>
        </is>
      </c>
      <c r="CB37" s="97" t="n"/>
      <c r="CC37" s="96" t="inlineStr">
        <is>
          <t>LCH04</t>
        </is>
      </c>
      <c r="CD37" s="97" t="n"/>
      <c r="CE37" s="97" t="n"/>
      <c r="CF37" s="96" t="inlineStr">
        <is>
          <t>0 Teu</t>
        </is>
      </c>
      <c r="CG37" s="96" t="inlineStr">
        <is>
          <t>CY/CY</t>
        </is>
      </c>
      <c r="CH37" s="97" t="n"/>
      <c r="CI37" s="96" t="inlineStr">
        <is>
          <t>csgroup@iconlogistic.com</t>
        </is>
      </c>
      <c r="CJ37" s="96" t="inlineStr">
        <is>
          <t>TOTALENERGIES MARKETING (THAILAND)</t>
        </is>
      </c>
      <c r="CK37" s="96" t="inlineStr">
        <is>
          <t>PT INDO-RAMA SYNTHETICS TBK.</t>
        </is>
      </c>
      <c r="CL37" s="96" t="inlineStr">
        <is>
          <t>JALAN RAYA UBRUG, DESA KEMBANG</t>
        </is>
      </c>
      <c r="CM37" s="97" t="n"/>
      <c r="CN37" s="96" t="inlineStr">
        <is>
          <t>202610201700</t>
        </is>
      </c>
      <c r="CO37" s="96" t="inlineStr">
        <is>
          <t>202610211700</t>
        </is>
      </c>
      <c r="CP37" s="97" t="n"/>
      <c r="CQ37" s="96" t="inlineStr">
        <is>
          <t>S22-2308014</t>
        </is>
      </c>
      <c r="CR37" s="96" t="inlineStr">
        <is>
          <t>THTH7K</t>
        </is>
      </c>
      <c r="CS37" s="96" t="inlineStr">
        <is>
          <t>ICONS GLOBAL LOGISTICS CO., LTD.</t>
        </is>
      </c>
      <c r="CT37" s="96" t="inlineStr">
        <is>
          <t>N</t>
        </is>
      </c>
      <c r="CU37" s="97" t="n"/>
      <c r="CV37" s="97" t="n"/>
      <c r="CW37" s="161" t="inlineStr">
        <is>
          <t>2026-10-20</t>
        </is>
      </c>
      <c r="CX37" s="97" t="inlineStr">
        <is>
          <t>330113</t>
        </is>
      </c>
      <c r="CY37" s="183" t="n"/>
    </row>
    <row r="38" ht="12" customHeight="1">
      <c r="A38" s="116" t="inlineStr">
        <is>
          <t>HASLS22261000578</t>
        </is>
      </c>
      <c r="B38" s="96" t="inlineStr">
        <is>
          <t>20'x1</t>
        </is>
      </c>
      <c r="C38" s="97" t="n">
        <v>1</v>
      </c>
      <c r="D38" s="97" t="n">
        <v>1</v>
      </c>
      <c r="E38" s="97" t="n"/>
      <c r="F38" s="97" t="n">
        <v>0</v>
      </c>
      <c r="G38" s="97" t="n">
        <v>1</v>
      </c>
      <c r="H38" s="97" t="n">
        <v>0</v>
      </c>
      <c r="I38" s="97" t="n">
        <v>0</v>
      </c>
      <c r="J38" s="97" t="n">
        <v>1</v>
      </c>
      <c r="K38" s="96" t="inlineStr">
        <is>
          <t>N</t>
        </is>
      </c>
      <c r="L38" s="96" t="inlineStr">
        <is>
          <t>ANX</t>
        </is>
      </c>
      <c r="M38" s="96" t="inlineStr">
        <is>
          <t>YSVY</t>
        </is>
      </c>
      <c r="N38" s="96" t="inlineStr">
        <is>
          <t>2608S</t>
        </is>
      </c>
      <c r="O38" s="96" t="inlineStr">
        <is>
          <t>THLCH</t>
        </is>
      </c>
      <c r="P38" s="96" t="inlineStr">
        <is>
          <t>LCH04</t>
        </is>
      </c>
      <c r="Q38" s="96" t="inlineStr">
        <is>
          <t>IA</t>
        </is>
      </c>
      <c r="R38" s="161" t="inlineStr">
        <is>
          <t>2026-10-24</t>
        </is>
      </c>
      <c r="S38" s="96" t="inlineStr">
        <is>
          <t>IDJKT</t>
        </is>
      </c>
      <c r="T38" s="96" t="inlineStr">
        <is>
          <t>JKT02</t>
        </is>
      </c>
      <c r="U38" s="96" t="inlineStr">
        <is>
          <t>IDJKT</t>
        </is>
      </c>
      <c r="V38" s="161" t="inlineStr">
        <is>
          <t>2026-10-26</t>
        </is>
      </c>
      <c r="W38" s="96" t="inlineStr">
        <is>
          <t>IA</t>
        </is>
      </c>
      <c r="X38" s="97" t="n"/>
      <c r="Y38" s="97" t="n"/>
      <c r="Z38" s="97" t="n"/>
      <c r="AA38" s="96" t="inlineStr">
        <is>
          <t>MAINFREIGHT LOGISTICS (THAILAND) CO., LTD.</t>
        </is>
      </c>
      <c r="AB38" s="96" t="inlineStr">
        <is>
          <t>ECOLAB LIMITED</t>
        </is>
      </c>
      <c r="AC38" s="163" t="n">
        <v>134.282</v>
      </c>
      <c r="AD38" s="163" t="n">
        <v>2334.282</v>
      </c>
      <c r="AE38" s="96" t="inlineStr">
        <is>
          <t>OK</t>
        </is>
      </c>
      <c r="AF38" s="96" t="n"/>
      <c r="AG38" s="97" t="n"/>
      <c r="AH38" s="96" t="inlineStr">
        <is>
          <t>CHK</t>
        </is>
      </c>
      <c r="AI38" s="97" t="inlineStr">
        <is>
          <t>OK</t>
        </is>
      </c>
      <c r="AJ38" s="97" t="n"/>
      <c r="AK38" s="97" t="n"/>
      <c r="AL38" s="97" t="n"/>
      <c r="AM38" s="96" t="inlineStr">
        <is>
          <t>TH0042</t>
        </is>
      </c>
      <c r="AN38" s="96" t="inlineStr">
        <is>
          <t>Sukunpoj Damrongying</t>
        </is>
      </c>
      <c r="AO38" s="96" t="inlineStr">
        <is>
          <t>SPYR FOR BTL 500 ML NAT F</t>
        </is>
      </c>
      <c r="AP38" s="96" t="inlineStr">
        <is>
          <t>Normal</t>
        </is>
      </c>
      <c r="AQ38" s="97" t="n"/>
      <c r="AR38" s="97" t="n"/>
      <c r="AS38" s="97" t="n"/>
      <c r="AT38" s="97" t="n"/>
      <c r="AU38" s="97" t="n"/>
      <c r="AV38" s="97" t="n"/>
      <c r="AW38" s="97" t="n">
        <v>0</v>
      </c>
      <c r="AX38" s="96" t="inlineStr">
        <is>
          <t>N</t>
        </is>
      </c>
      <c r="AY38" s="97" t="n"/>
      <c r="AZ38" s="96" t="inlineStr">
        <is>
          <t>Pickup : 2026-10-15, Return : 2026-10-16</t>
        </is>
      </c>
      <c r="BA38" s="97" t="n"/>
      <c r="BB38" s="96" t="inlineStr">
        <is>
          <t>P</t>
        </is>
      </c>
      <c r="BC38" s="161" t="inlineStr">
        <is>
          <t>2026-10-07</t>
        </is>
      </c>
      <c r="BD38" s="161" t="inlineStr">
        <is>
          <t>2026-10-19</t>
        </is>
      </c>
      <c r="BE38" s="96" t="inlineStr">
        <is>
          <t>Y</t>
        </is>
      </c>
      <c r="BF38" s="96" t="inlineStr">
        <is>
          <t>FLOOR CLEANER</t>
        </is>
      </c>
      <c r="BG38" s="96" t="inlineStr">
        <is>
          <t>Line</t>
        </is>
      </c>
      <c r="BH38" s="96" t="inlineStr">
        <is>
          <t>S22</t>
        </is>
      </c>
      <c r="BI38" s="97" t="n"/>
      <c r="BJ38" s="97" t="n"/>
      <c r="BK38" s="96" t="inlineStr">
        <is>
          <t>LCH27</t>
        </is>
      </c>
      <c r="BL38" s="161" t="inlineStr">
        <is>
          <t>2026-10-15</t>
        </is>
      </c>
      <c r="BM38" s="127" t="n"/>
      <c r="BN38" s="127" t="n">
        <v>1</v>
      </c>
      <c r="BO38" s="127" t="n"/>
      <c r="BP38" s="127" t="n"/>
      <c r="BQ38" s="127" t="n"/>
      <c r="BR38" s="127" t="n"/>
      <c r="BS38" s="127" t="n"/>
      <c r="BT38" s="127" t="n"/>
      <c r="BU38" s="127" t="n"/>
      <c r="BV38" s="127" t="n"/>
      <c r="BW38" s="127" t="n"/>
      <c r="BX38" s="127" t="n"/>
      <c r="BY38" s="96" t="inlineStr">
        <is>
          <t>FULL</t>
        </is>
      </c>
      <c r="BZ38" s="97" t="n"/>
      <c r="CA38" s="96" t="inlineStr">
        <is>
          <t>Y</t>
        </is>
      </c>
      <c r="CB38" s="97" t="n"/>
      <c r="CC38" s="96" t="inlineStr">
        <is>
          <t>LCH04</t>
        </is>
      </c>
      <c r="CD38" s="97" t="n"/>
      <c r="CE38" s="97" t="n"/>
      <c r="CF38" s="96" t="inlineStr">
        <is>
          <t>0 Teu</t>
        </is>
      </c>
      <c r="CG38" s="96" t="inlineStr">
        <is>
          <t>CY/CY</t>
        </is>
      </c>
      <c r="CH38" s="97" t="n"/>
      <c r="CI38" s="96" t="inlineStr">
        <is>
          <t>bkk.export@mainfreightasia.com</t>
        </is>
      </c>
      <c r="CJ38" s="96" t="inlineStr">
        <is>
          <t>ECOLAB LIMITED</t>
        </is>
      </c>
      <c r="CK38" s="96" t="inlineStr">
        <is>
          <t>PT. ECOLAB SYNERGY INDONESIA</t>
        </is>
      </c>
      <c r="CL38" s="96" t="inlineStr">
        <is>
          <t>PT. ECOLAB SYNERGY INDONESIA</t>
        </is>
      </c>
      <c r="CM38" s="97" t="n"/>
      <c r="CN38" s="96" t="inlineStr">
        <is>
          <t>202610201700</t>
        </is>
      </c>
      <c r="CO38" s="96" t="inlineStr">
        <is>
          <t>202610211700</t>
        </is>
      </c>
      <c r="CP38" s="97" t="n"/>
      <c r="CQ38" s="96" t="inlineStr">
        <is>
          <t>S22-2401012</t>
        </is>
      </c>
      <c r="CR38" s="96" t="inlineStr">
        <is>
          <t>THTHSG</t>
        </is>
      </c>
      <c r="CS38" s="96" t="inlineStr">
        <is>
          <t>MAINFREIGHT LOGISTICS (THAILAND) CO., LTD.</t>
        </is>
      </c>
      <c r="CT38" s="96" t="inlineStr">
        <is>
          <t>N</t>
        </is>
      </c>
      <c r="CU38" s="97" t="n"/>
      <c r="CV38" s="97" t="n"/>
      <c r="CW38" s="161" t="inlineStr">
        <is>
          <t>2026-10-20</t>
        </is>
      </c>
      <c r="CX38" s="97" t="inlineStr">
        <is>
          <t>842489</t>
        </is>
      </c>
      <c r="CY38" s="183" t="n"/>
    </row>
    <row r="39" ht="12" customHeight="1">
      <c r="A39" s="116" t="inlineStr">
        <is>
          <t>HASLS22261000590</t>
        </is>
      </c>
      <c r="B39" s="96" t="inlineStr">
        <is>
          <t>20'x1</t>
        </is>
      </c>
      <c r="C39" s="97" t="n">
        <v>1</v>
      </c>
      <c r="D39" s="97" t="n">
        <v>1</v>
      </c>
      <c r="E39" s="97" t="n"/>
      <c r="F39" s="97" t="n">
        <v>0</v>
      </c>
      <c r="G39" s="97" t="n">
        <v>1</v>
      </c>
      <c r="H39" s="97" t="n">
        <v>0</v>
      </c>
      <c r="I39" s="97" t="n">
        <v>0</v>
      </c>
      <c r="J39" s="97" t="n">
        <v>1</v>
      </c>
      <c r="K39" s="96" t="inlineStr">
        <is>
          <t>N</t>
        </is>
      </c>
      <c r="L39" s="96" t="inlineStr">
        <is>
          <t>ANX</t>
        </is>
      </c>
      <c r="M39" s="96" t="inlineStr">
        <is>
          <t>YSVY</t>
        </is>
      </c>
      <c r="N39" s="96" t="inlineStr">
        <is>
          <t>2608S</t>
        </is>
      </c>
      <c r="O39" s="96" t="inlineStr">
        <is>
          <t>THLCH</t>
        </is>
      </c>
      <c r="P39" s="96" t="inlineStr">
        <is>
          <t>LCH04</t>
        </is>
      </c>
      <c r="Q39" s="96" t="inlineStr">
        <is>
          <t>IA</t>
        </is>
      </c>
      <c r="R39" s="161" t="inlineStr">
        <is>
          <t>2026-10-24</t>
        </is>
      </c>
      <c r="S39" s="96" t="inlineStr">
        <is>
          <t>IDJKT</t>
        </is>
      </c>
      <c r="T39" s="96" t="inlineStr">
        <is>
          <t>JKT02</t>
        </is>
      </c>
      <c r="U39" s="96" t="inlineStr">
        <is>
          <t>IDJKT</t>
        </is>
      </c>
      <c r="V39" s="161" t="inlineStr">
        <is>
          <t>2026-10-26</t>
        </is>
      </c>
      <c r="W39" s="96" t="inlineStr">
        <is>
          <t>IA</t>
        </is>
      </c>
      <c r="X39" s="97" t="n"/>
      <c r="Y39" s="97" t="n"/>
      <c r="Z39" s="97" t="n"/>
      <c r="AA39" s="96" t="inlineStr">
        <is>
          <t>MILKYWAY INTERNATIONAL SUPPLY CHAIN SERVICES (THAILAND) CO., LTD.</t>
        </is>
      </c>
      <c r="AB39" s="96" t="inlineStr">
        <is>
          <t>THAI WAH PUBLIC COMPANY LIMITED</t>
        </is>
      </c>
      <c r="AC39" s="163" t="n">
        <v>6090</v>
      </c>
      <c r="AD39" s="163" t="n">
        <v>8290</v>
      </c>
      <c r="AE39" s="96" t="inlineStr">
        <is>
          <t>OK</t>
        </is>
      </c>
      <c r="AF39" s="96" t="inlineStr">
        <is>
          <t>SR</t>
        </is>
      </c>
      <c r="AG39" s="97" t="n"/>
      <c r="AH39" s="96" t="inlineStr">
        <is>
          <t>CHK</t>
        </is>
      </c>
      <c r="AI39" s="97" t="inlineStr">
        <is>
          <t>OK</t>
        </is>
      </c>
      <c r="AJ39" s="97" t="n"/>
      <c r="AK39" s="97" t="n"/>
      <c r="AL39" s="97" t="n"/>
      <c r="AM39" s="96" t="inlineStr">
        <is>
          <t>TBKK97</t>
        </is>
      </c>
      <c r="AN39" s="96" t="inlineStr">
        <is>
          <t>Arunphat W. (Aiw)</t>
        </is>
      </c>
      <c r="AO39" s="96" t="inlineStr">
        <is>
          <t>BIOPLASTIC COMPOUND ROSECO CSE-X1</t>
        </is>
      </c>
      <c r="AP39" s="96" t="inlineStr">
        <is>
          <t>Normal</t>
        </is>
      </c>
      <c r="AQ39" s="97" t="n"/>
      <c r="AR39" s="97" t="n"/>
      <c r="AS39" s="97" t="n"/>
      <c r="AT39" s="97" t="n"/>
      <c r="AU39" s="97" t="n"/>
      <c r="AV39" s="97" t="n"/>
      <c r="AW39" s="97" t="n">
        <v>0</v>
      </c>
      <c r="AX39" s="96" t="inlineStr">
        <is>
          <t>N</t>
        </is>
      </c>
      <c r="AY39" s="97" t="n"/>
      <c r="AZ39" s="96" t="inlineStr">
        <is>
          <t xml:space="preserve">Pickup : 2026-10-12, Return : 2026-10-12 (1ST RTN 16/10 W/O RENT) 
 ** PLEASE CHECK OPEN GATE BEFORE RETURN CNTR **
</t>
        </is>
      </c>
      <c r="BA39" s="97" t="n"/>
      <c r="BB39" s="96" t="inlineStr">
        <is>
          <t>P</t>
        </is>
      </c>
      <c r="BC39" s="161" t="inlineStr">
        <is>
          <t>2026-10-07</t>
        </is>
      </c>
      <c r="BD39" s="161" t="inlineStr">
        <is>
          <t>2026-10-07</t>
        </is>
      </c>
      <c r="BE39" s="96" t="inlineStr">
        <is>
          <t>Y</t>
        </is>
      </c>
      <c r="BF39" s="96" t="inlineStr">
        <is>
          <t>BIOPLASTIC COMPOUND ROSECO CSE-X1</t>
        </is>
      </c>
      <c r="BG39" s="96" t="inlineStr">
        <is>
          <t>Line</t>
        </is>
      </c>
      <c r="BH39" s="96" t="inlineStr">
        <is>
          <t>S22</t>
        </is>
      </c>
      <c r="BI39" s="97" t="n"/>
      <c r="BJ39" s="97" t="n"/>
      <c r="BK39" s="96" t="inlineStr">
        <is>
          <t>LCH27</t>
        </is>
      </c>
      <c r="BL39" s="161" t="inlineStr">
        <is>
          <t>2026-10-12</t>
        </is>
      </c>
      <c r="BM39" s="127" t="n"/>
      <c r="BN39" s="127" t="n">
        <v>1</v>
      </c>
      <c r="BO39" s="127" t="n"/>
      <c r="BP39" s="127" t="n"/>
      <c r="BQ39" s="127" t="n"/>
      <c r="BR39" s="127" t="n"/>
      <c r="BS39" s="127" t="n"/>
      <c r="BT39" s="127" t="n"/>
      <c r="BU39" s="127" t="n"/>
      <c r="BV39" s="127" t="n"/>
      <c r="BW39" s="127" t="n"/>
      <c r="BX39" s="127" t="n"/>
      <c r="BY39" s="96" t="inlineStr">
        <is>
          <t>FULL</t>
        </is>
      </c>
      <c r="BZ39" s="97" t="n"/>
      <c r="CA39" s="96" t="inlineStr">
        <is>
          <t>Y</t>
        </is>
      </c>
      <c r="CB39" s="97" t="n"/>
      <c r="CC39" s="96" t="inlineStr">
        <is>
          <t>LCH04</t>
        </is>
      </c>
      <c r="CD39" s="97" t="n"/>
      <c r="CE39" s="97" t="n"/>
      <c r="CF39" s="96" t="inlineStr">
        <is>
          <t>0 Teu</t>
        </is>
      </c>
      <c r="CG39" s="96" t="inlineStr">
        <is>
          <t>CY/CY</t>
        </is>
      </c>
      <c r="CH39" s="97" t="n"/>
      <c r="CI39" s="96" t="inlineStr">
        <is>
          <t>info.bkk@mwclg.com</t>
        </is>
      </c>
      <c r="CJ39" s="96" t="inlineStr">
        <is>
          <t>THAI WAH PUBLIC COMPANY LIMITED.</t>
        </is>
      </c>
      <c r="CK39" s="96" t="inlineStr">
        <is>
          <t>PT PRIMAPLAST INDONESIA</t>
        </is>
      </c>
      <c r="CL39" s="96" t="inlineStr">
        <is>
          <t>PT PRIMAPLAST INDONESIA</t>
        </is>
      </c>
      <c r="CM39" s="97" t="n"/>
      <c r="CN39" s="96" t="inlineStr">
        <is>
          <t>202610201700</t>
        </is>
      </c>
      <c r="CO39" s="96" t="inlineStr">
        <is>
          <t>202610211700</t>
        </is>
      </c>
      <c r="CP39" s="97" t="n"/>
      <c r="CQ39" s="96" t="inlineStr">
        <is>
          <t>S22-2605013</t>
        </is>
      </c>
      <c r="CR39" s="96" t="inlineStr">
        <is>
          <t>THTZHR</t>
        </is>
      </c>
      <c r="CS39" s="96" t="inlineStr">
        <is>
          <t>MILKYWAY INTERNATIONAL SUPPLY CHAIN SERVICES (THAILAND) CO., LTD.</t>
        </is>
      </c>
      <c r="CT39" s="96" t="inlineStr">
        <is>
          <t>N</t>
        </is>
      </c>
      <c r="CU39" s="97" t="n"/>
      <c r="CV39" s="97" t="n"/>
      <c r="CW39" s="161" t="inlineStr">
        <is>
          <t>2026-10-20</t>
        </is>
      </c>
      <c r="CX39" s="97" t="inlineStr">
        <is>
          <t>391390</t>
        </is>
      </c>
      <c r="CY39" s="183" t="n"/>
    </row>
    <row r="40" ht="12" customHeight="1">
      <c r="A40" s="116" t="inlineStr">
        <is>
          <t>HASLS22261000610</t>
        </is>
      </c>
      <c r="B40" s="96" t="inlineStr">
        <is>
          <t>40Hx1</t>
        </is>
      </c>
      <c r="C40" s="97" t="n">
        <v>1</v>
      </c>
      <c r="D40" s="97" t="n">
        <v>1</v>
      </c>
      <c r="E40" s="97" t="n"/>
      <c r="F40" s="97" t="n">
        <v>0</v>
      </c>
      <c r="G40" s="97" t="n">
        <v>0</v>
      </c>
      <c r="H40" s="97" t="n">
        <v>0</v>
      </c>
      <c r="I40" s="97" t="n">
        <v>1</v>
      </c>
      <c r="J40" s="97" t="n">
        <v>2</v>
      </c>
      <c r="K40" s="96" t="inlineStr">
        <is>
          <t>N</t>
        </is>
      </c>
      <c r="L40" s="96" t="inlineStr">
        <is>
          <t>ANX</t>
        </is>
      </c>
      <c r="M40" s="96" t="inlineStr">
        <is>
          <t>YSVY</t>
        </is>
      </c>
      <c r="N40" s="96" t="inlineStr">
        <is>
          <t>2608S</t>
        </is>
      </c>
      <c r="O40" s="96" t="inlineStr">
        <is>
          <t>THLCH</t>
        </is>
      </c>
      <c r="P40" s="96" t="inlineStr">
        <is>
          <t>LCH04</t>
        </is>
      </c>
      <c r="Q40" s="96" t="inlineStr">
        <is>
          <t>IA</t>
        </is>
      </c>
      <c r="R40" s="161" t="inlineStr">
        <is>
          <t>2026-10-24</t>
        </is>
      </c>
      <c r="S40" s="96" t="inlineStr">
        <is>
          <t>IDJKT</t>
        </is>
      </c>
      <c r="T40" s="96" t="inlineStr">
        <is>
          <t>JKT02</t>
        </is>
      </c>
      <c r="U40" s="96" t="inlineStr">
        <is>
          <t>IDJKT</t>
        </is>
      </c>
      <c r="V40" s="161" t="inlineStr">
        <is>
          <t>2026-10-26</t>
        </is>
      </c>
      <c r="W40" s="96" t="inlineStr">
        <is>
          <t>IA</t>
        </is>
      </c>
      <c r="X40" s="97" t="n"/>
      <c r="Y40" s="97" t="n"/>
      <c r="Z40" s="97" t="n"/>
      <c r="AA40" s="96" t="inlineStr">
        <is>
          <t>MAINFREIGHT LOGISTICS (THAILAND) CO., LTD.</t>
        </is>
      </c>
      <c r="AB40" s="96" t="inlineStr">
        <is>
          <t>NALCO INDUSTRIAL SERVICES (THAILAND) CO., LTD.</t>
        </is>
      </c>
      <c r="AC40" s="163" t="n">
        <v>22655</v>
      </c>
      <c r="AD40" s="163" t="n">
        <v>26655</v>
      </c>
      <c r="AE40" s="96" t="inlineStr">
        <is>
          <t>OK</t>
        </is>
      </c>
      <c r="AF40" s="96" t="n"/>
      <c r="AG40" s="97" t="n"/>
      <c r="AH40" s="96" t="inlineStr">
        <is>
          <t>CHK</t>
        </is>
      </c>
      <c r="AI40" s="97" t="inlineStr">
        <is>
          <t>OK</t>
        </is>
      </c>
      <c r="AJ40" s="97" t="n"/>
      <c r="AK40" s="97" t="n"/>
      <c r="AL40" s="97" t="n"/>
      <c r="AM40" s="96" t="inlineStr">
        <is>
          <t>TH0042</t>
        </is>
      </c>
      <c r="AN40" s="96" t="inlineStr">
        <is>
          <t>Sukunpoj Damrongying</t>
        </is>
      </c>
      <c r="AO40" s="96" t="inlineStr">
        <is>
          <t>FLOOR CLEANER</t>
        </is>
      </c>
      <c r="AP40" s="96" t="inlineStr">
        <is>
          <t>Normal</t>
        </is>
      </c>
      <c r="AQ40" s="97" t="inlineStr">
        <is>
          <t>3264/8-III</t>
        </is>
      </c>
      <c r="AR40" s="97" t="inlineStr">
        <is>
          <t xml:space="preserve">45GPx1 </t>
        </is>
      </c>
      <c r="AS40" s="97" t="n"/>
      <c r="AT40" s="97" t="n"/>
      <c r="AU40" s="97" t="n"/>
      <c r="AV40" s="97" t="n"/>
      <c r="AW40" s="97" t="n">
        <v>0</v>
      </c>
      <c r="AX40" s="96" t="inlineStr">
        <is>
          <t>N</t>
        </is>
      </c>
      <c r="AY40" s="97" t="n"/>
      <c r="AZ40" s="96" t="inlineStr">
        <is>
          <t>APPROVE BY KR Geonwook.kim DD : 08/10/2026  DG CARGO (CLS 8 / UN 3264) 
Pickup : 2026-10-15, Return : 2026-10-16</t>
        </is>
      </c>
      <c r="BA40" s="97" t="n"/>
      <c r="BB40" s="96" t="inlineStr">
        <is>
          <t>P</t>
        </is>
      </c>
      <c r="BC40" s="161" t="inlineStr">
        <is>
          <t>2026-10-07</t>
        </is>
      </c>
      <c r="BD40" s="161" t="inlineStr">
        <is>
          <t>2026-10-12</t>
        </is>
      </c>
      <c r="BE40" s="96" t="inlineStr">
        <is>
          <t>Y</t>
        </is>
      </c>
      <c r="BF40" s="96" t="inlineStr">
        <is>
          <t>3D TRASAR 3DT129 25KG</t>
        </is>
      </c>
      <c r="BG40" s="96" t="inlineStr">
        <is>
          <t>Line</t>
        </is>
      </c>
      <c r="BH40" s="96" t="inlineStr">
        <is>
          <t>S22</t>
        </is>
      </c>
      <c r="BI40" s="97" t="n"/>
      <c r="BJ40" s="97" t="n"/>
      <c r="BK40" s="96" t="inlineStr">
        <is>
          <t>LCH27</t>
        </is>
      </c>
      <c r="BL40" s="161" t="inlineStr">
        <is>
          <t>2026-10-15</t>
        </is>
      </c>
      <c r="BM40" s="127" t="n"/>
      <c r="BN40" s="127" t="n"/>
      <c r="BO40" s="127" t="n"/>
      <c r="BP40" s="127" t="n">
        <v>1</v>
      </c>
      <c r="BQ40" s="127" t="n"/>
      <c r="BR40" s="127" t="n"/>
      <c r="BS40" s="127" t="n"/>
      <c r="BT40" s="127" t="n"/>
      <c r="BU40" s="127" t="n"/>
      <c r="BV40" s="127" t="n"/>
      <c r="BW40" s="127" t="n"/>
      <c r="BX40" s="127" t="n"/>
      <c r="BY40" s="96" t="inlineStr">
        <is>
          <t>FULL</t>
        </is>
      </c>
      <c r="BZ40" s="97" t="n"/>
      <c r="CA40" s="96" t="inlineStr">
        <is>
          <t>Y</t>
        </is>
      </c>
      <c r="CB40" s="97" t="n"/>
      <c r="CC40" s="96" t="inlineStr">
        <is>
          <t>LCH04</t>
        </is>
      </c>
      <c r="CD40" s="97" t="n"/>
      <c r="CE40" s="97" t="n"/>
      <c r="CF40" s="96" t="inlineStr">
        <is>
          <t>8 Class x 2 Teu (Approval),</t>
        </is>
      </c>
      <c r="CG40" s="96" t="inlineStr">
        <is>
          <t>CY/CY</t>
        </is>
      </c>
      <c r="CH40" s="97" t="n"/>
      <c r="CI40" s="96" t="inlineStr">
        <is>
          <t>bkk.export@mainfreightasia.com</t>
        </is>
      </c>
      <c r="CJ40" s="96" t="inlineStr">
        <is>
          <t>NALCO INDUSTRIAL SERVICES</t>
        </is>
      </c>
      <c r="CK40" s="96" t="inlineStr">
        <is>
          <t>PT.ECOLAB INTERNATIONAL INDONESIA</t>
        </is>
      </c>
      <c r="CL40" s="96" t="inlineStr">
        <is>
          <t>PT.ECOLAB INTERNATIONAL INDONESIA</t>
        </is>
      </c>
      <c r="CM40" s="97" t="n"/>
      <c r="CN40" s="96" t="inlineStr">
        <is>
          <t>202610201700</t>
        </is>
      </c>
      <c r="CO40" s="96" t="inlineStr">
        <is>
          <t>202610211700</t>
        </is>
      </c>
      <c r="CP40" s="97" t="inlineStr">
        <is>
          <t>45GP x1: DG(UNNo.:3264/ Class:8)</t>
        </is>
      </c>
      <c r="CQ40" s="96" t="inlineStr">
        <is>
          <t>S22-2401012</t>
        </is>
      </c>
      <c r="CR40" s="96" t="inlineStr">
        <is>
          <t>THTHSG</t>
        </is>
      </c>
      <c r="CS40" s="96" t="inlineStr">
        <is>
          <t>MAINFREIGHT LOGISTICS (THAILAND) CO., LTD.</t>
        </is>
      </c>
      <c r="CT40" s="96" t="inlineStr">
        <is>
          <t>N</t>
        </is>
      </c>
      <c r="CU40" s="97" t="n"/>
      <c r="CV40" s="97" t="n"/>
      <c r="CW40" s="161" t="inlineStr">
        <is>
          <t>2026-10-20</t>
        </is>
      </c>
      <c r="CX40" s="97" t="inlineStr">
        <is>
          <t>382499</t>
        </is>
      </c>
      <c r="CY40" s="183" t="n"/>
    </row>
    <row r="41" ht="12" customHeight="1">
      <c r="A41" s="116" t="inlineStr">
        <is>
          <t>HASLS22261000625</t>
        </is>
      </c>
      <c r="B41" s="96" t="inlineStr">
        <is>
          <t>20'x1</t>
        </is>
      </c>
      <c r="C41" s="97" t="n">
        <v>1</v>
      </c>
      <c r="D41" s="97" t="n">
        <v>1</v>
      </c>
      <c r="E41" s="97" t="inlineStr">
        <is>
          <t>THLKR</t>
        </is>
      </c>
      <c r="F41" s="97" t="n">
        <v>0</v>
      </c>
      <c r="G41" s="97" t="n">
        <v>1</v>
      </c>
      <c r="H41" s="97" t="n">
        <v>0</v>
      </c>
      <c r="I41" s="97" t="n">
        <v>0</v>
      </c>
      <c r="J41" s="97" t="n">
        <v>1</v>
      </c>
      <c r="K41" s="96" t="inlineStr">
        <is>
          <t>N</t>
        </is>
      </c>
      <c r="L41" s="96" t="inlineStr">
        <is>
          <t>ANX</t>
        </is>
      </c>
      <c r="M41" s="96" t="inlineStr">
        <is>
          <t>YSVY</t>
        </is>
      </c>
      <c r="N41" s="96" t="inlineStr">
        <is>
          <t>2608S</t>
        </is>
      </c>
      <c r="O41" s="96" t="inlineStr">
        <is>
          <t>THLCH</t>
        </is>
      </c>
      <c r="P41" s="96" t="inlineStr">
        <is>
          <t>LCH04</t>
        </is>
      </c>
      <c r="Q41" s="96" t="inlineStr">
        <is>
          <t>IA</t>
        </is>
      </c>
      <c r="R41" s="161" t="inlineStr">
        <is>
          <t>2026-10-24</t>
        </is>
      </c>
      <c r="S41" s="96" t="inlineStr">
        <is>
          <t>IDJKT</t>
        </is>
      </c>
      <c r="T41" s="96" t="inlineStr">
        <is>
          <t>JKT02</t>
        </is>
      </c>
      <c r="U41" s="96" t="inlineStr">
        <is>
          <t>IDJKT</t>
        </is>
      </c>
      <c r="V41" s="161" t="inlineStr">
        <is>
          <t>2026-10-26</t>
        </is>
      </c>
      <c r="W41" s="96" t="inlineStr">
        <is>
          <t>IA</t>
        </is>
      </c>
      <c r="X41" s="97" t="n"/>
      <c r="Y41" s="97" t="n"/>
      <c r="Z41" s="97" t="n"/>
      <c r="AA41" s="96" t="inlineStr">
        <is>
          <t>ORIENTAL LOGISTICS GROUP (THAILAND) CO., LTD.</t>
        </is>
      </c>
      <c r="AB41" s="96" t="inlineStr">
        <is>
          <t>Y.R.C. TEXTILE CO., LTD.</t>
        </is>
      </c>
      <c r="AC41" s="163" t="n">
        <v>3840.9</v>
      </c>
      <c r="AD41" s="163" t="n">
        <v>6040.9</v>
      </c>
      <c r="AE41" s="96" t="inlineStr">
        <is>
          <t>OK</t>
        </is>
      </c>
      <c r="AF41" s="96" t="n"/>
      <c r="AG41" s="97" t="n"/>
      <c r="AH41" s="96" t="inlineStr">
        <is>
          <t>CHK</t>
        </is>
      </c>
      <c r="AI41" s="97" t="inlineStr">
        <is>
          <t>OK</t>
        </is>
      </c>
      <c r="AJ41" s="97" t="n"/>
      <c r="AK41" s="97" t="n"/>
      <c r="AL41" s="97" t="n"/>
      <c r="AM41" s="96" t="inlineStr">
        <is>
          <t>TH0011</t>
        </is>
      </c>
      <c r="AN41" s="96" t="inlineStr">
        <is>
          <t>Nannaapust Sukporntaweewat</t>
        </is>
      </c>
      <c r="AO41" s="96" t="inlineStr">
        <is>
          <t>KNITTED FABRIC</t>
        </is>
      </c>
      <c r="AP41" s="96" t="inlineStr">
        <is>
          <t>Normal</t>
        </is>
      </c>
      <c r="AQ41" s="97" t="n"/>
      <c r="AR41" s="97" t="n"/>
      <c r="AS41" s="97" t="n"/>
      <c r="AT41" s="97" t="n"/>
      <c r="AU41" s="97" t="n"/>
      <c r="AV41" s="97" t="n"/>
      <c r="AW41" s="97" t="n">
        <v>0</v>
      </c>
      <c r="AX41" s="96" t="inlineStr">
        <is>
          <t>N</t>
        </is>
      </c>
      <c r="AY41" s="97" t="n"/>
      <c r="AZ41" s="96" t="inlineStr">
        <is>
          <t xml:space="preserve">Pickup : 2026-10-15, Return : 2026-10-16 [PAPERLESS CODE : 2835] 
 CLS TIME @LKR : 19/10 @12.00 </t>
        </is>
      </c>
      <c r="BA41" s="97" t="n"/>
      <c r="BB41" s="96" t="inlineStr">
        <is>
          <t>P</t>
        </is>
      </c>
      <c r="BC41" s="161" t="inlineStr">
        <is>
          <t>2026-10-08</t>
        </is>
      </c>
      <c r="BD41" s="161" t="inlineStr">
        <is>
          <t>2026-10-19</t>
        </is>
      </c>
      <c r="BE41" s="96" t="inlineStr">
        <is>
          <t>Y</t>
        </is>
      </c>
      <c r="BF41" s="96" t="inlineStr">
        <is>
          <t>TEXTILE</t>
        </is>
      </c>
      <c r="BG41" s="96" t="inlineStr">
        <is>
          <t>Line</t>
        </is>
      </c>
      <c r="BH41" s="96" t="inlineStr">
        <is>
          <t>S22</t>
        </is>
      </c>
      <c r="BI41" s="97" t="n"/>
      <c r="BJ41" s="97" t="n"/>
      <c r="BK41" s="96" t="inlineStr">
        <is>
          <t>BKK27</t>
        </is>
      </c>
      <c r="BL41" s="161" t="inlineStr">
        <is>
          <t>2026-10-15</t>
        </is>
      </c>
      <c r="BM41" s="127" t="n"/>
      <c r="BN41" s="127" t="n">
        <v>1</v>
      </c>
      <c r="BO41" s="127" t="n"/>
      <c r="BP41" s="127" t="n"/>
      <c r="BQ41" s="127" t="n"/>
      <c r="BR41" s="127" t="n"/>
      <c r="BS41" s="127" t="n"/>
      <c r="BT41" s="127" t="n"/>
      <c r="BU41" s="127" t="n"/>
      <c r="BV41" s="127" t="n"/>
      <c r="BW41" s="127" t="n"/>
      <c r="BX41" s="127" t="n"/>
      <c r="BY41" s="96" t="inlineStr">
        <is>
          <t>FULL</t>
        </is>
      </c>
      <c r="BZ41" s="97" t="n"/>
      <c r="CA41" s="96" t="inlineStr">
        <is>
          <t>Y</t>
        </is>
      </c>
      <c r="CB41" s="97" t="n"/>
      <c r="CC41" s="96" t="inlineStr">
        <is>
          <t>LCH55</t>
        </is>
      </c>
      <c r="CD41" s="97" t="n"/>
      <c r="CE41" s="97" t="n"/>
      <c r="CF41" s="96" t="inlineStr">
        <is>
          <t>0 Teu</t>
        </is>
      </c>
      <c r="CG41" s="96" t="inlineStr">
        <is>
          <t>CY/CY</t>
        </is>
      </c>
      <c r="CH41" s="97" t="n"/>
      <c r="CI41" s="96" t="inlineStr">
        <is>
          <t>bkkexp@bkk.olc-group.com</t>
        </is>
      </c>
      <c r="CJ41" s="96" t="inlineStr">
        <is>
          <t>ORIENTAL LOGISTICS GROUP</t>
        </is>
      </c>
      <c r="CK41" s="96" t="inlineStr">
        <is>
          <t>PT. ECLAT TEXTILE INTERNATIONAL</t>
        </is>
      </c>
      <c r="CL41" s="96" t="inlineStr">
        <is>
          <t>PT. ORIENTAL LOGISTICS INDONESIA</t>
        </is>
      </c>
      <c r="CM41" s="97" t="n"/>
      <c r="CN41" s="96" t="inlineStr">
        <is>
          <t>202610201700</t>
        </is>
      </c>
      <c r="CO41" s="96" t="inlineStr">
        <is>
          <t>202610211700</t>
        </is>
      </c>
      <c r="CP41" s="97" t="n"/>
      <c r="CQ41" s="96" t="inlineStr">
        <is>
          <t>S22-2412012</t>
        </is>
      </c>
      <c r="CR41" s="96" t="inlineStr">
        <is>
          <t>THTHCD</t>
        </is>
      </c>
      <c r="CS41" s="96" t="inlineStr">
        <is>
          <t>ORIENTAL LOGISTICS GROUP (THAILAND) CO., LTD.</t>
        </is>
      </c>
      <c r="CT41" s="96" t="inlineStr">
        <is>
          <t>N</t>
        </is>
      </c>
      <c r="CU41" s="97" t="n"/>
      <c r="CV41" s="97" t="n"/>
      <c r="CW41" s="161" t="inlineStr">
        <is>
          <t>2026-10-21</t>
        </is>
      </c>
      <c r="CX41" s="97" t="inlineStr">
        <is>
          <t>600632</t>
        </is>
      </c>
      <c r="CY41" s="183" t="n"/>
    </row>
    <row r="42" ht="12" customHeight="1">
      <c r="A42" s="116" t="inlineStr">
        <is>
          <t>HASLS22261000633</t>
        </is>
      </c>
      <c r="B42" s="96" t="inlineStr">
        <is>
          <t>20'x3</t>
        </is>
      </c>
      <c r="C42" s="97" t="n">
        <v>3</v>
      </c>
      <c r="D42" s="97" t="n">
        <v>3</v>
      </c>
      <c r="E42" s="97" t="inlineStr">
        <is>
          <t>THLKR</t>
        </is>
      </c>
      <c r="F42" s="97" t="n">
        <v>0</v>
      </c>
      <c r="G42" s="97" t="n">
        <v>3</v>
      </c>
      <c r="H42" s="97" t="n">
        <v>0</v>
      </c>
      <c r="I42" s="97" t="n">
        <v>0</v>
      </c>
      <c r="J42" s="97" t="n">
        <v>3</v>
      </c>
      <c r="K42" s="96" t="inlineStr">
        <is>
          <t>N</t>
        </is>
      </c>
      <c r="L42" s="96" t="inlineStr">
        <is>
          <t>ANX</t>
        </is>
      </c>
      <c r="M42" s="96" t="inlineStr">
        <is>
          <t>YSVY</t>
        </is>
      </c>
      <c r="N42" s="96" t="inlineStr">
        <is>
          <t>2608S</t>
        </is>
      </c>
      <c r="O42" s="96" t="inlineStr">
        <is>
          <t>THLCH</t>
        </is>
      </c>
      <c r="P42" s="96" t="inlineStr">
        <is>
          <t>LCH04</t>
        </is>
      </c>
      <c r="Q42" s="96" t="inlineStr">
        <is>
          <t>IA</t>
        </is>
      </c>
      <c r="R42" s="161" t="inlineStr">
        <is>
          <t>2026-10-24</t>
        </is>
      </c>
      <c r="S42" s="96" t="inlineStr">
        <is>
          <t>IDJKT</t>
        </is>
      </c>
      <c r="T42" s="96" t="inlineStr">
        <is>
          <t>JKT02</t>
        </is>
      </c>
      <c r="U42" s="96" t="inlineStr">
        <is>
          <t>IDJKT</t>
        </is>
      </c>
      <c r="V42" s="161" t="inlineStr">
        <is>
          <t>2026-10-26</t>
        </is>
      </c>
      <c r="W42" s="96" t="inlineStr">
        <is>
          <t>IA</t>
        </is>
      </c>
      <c r="X42" s="97" t="n"/>
      <c r="Y42" s="97" t="n"/>
      <c r="Z42" s="97" t="n"/>
      <c r="AA42" s="96" t="inlineStr">
        <is>
          <t>LESCHACO (THAILAND) LTD.</t>
        </is>
      </c>
      <c r="AB42" s="96" t="inlineStr">
        <is>
          <t>WINOA (THAILAND) LTD.</t>
        </is>
      </c>
      <c r="AC42" s="163" t="n">
        <v>73368</v>
      </c>
      <c r="AD42" s="163" t="n">
        <v>79968</v>
      </c>
      <c r="AE42" s="96" t="inlineStr">
        <is>
          <t>OK</t>
        </is>
      </c>
      <c r="AF42" s="96" t="n"/>
      <c r="AG42" s="97" t="n"/>
      <c r="AH42" s="96" t="inlineStr">
        <is>
          <t>CHK</t>
        </is>
      </c>
      <c r="AI42" s="97" t="inlineStr">
        <is>
          <t>OK</t>
        </is>
      </c>
      <c r="AJ42" s="97" t="n"/>
      <c r="AK42" s="97" t="n"/>
      <c r="AL42" s="97" t="n"/>
      <c r="AM42" s="96" t="inlineStr">
        <is>
          <t>TH0042</t>
        </is>
      </c>
      <c r="AN42" s="96" t="inlineStr">
        <is>
          <t>Sukunpoj Damrongying</t>
        </is>
      </c>
      <c r="AO42" s="96" t="inlineStr">
        <is>
          <t>STEEL</t>
        </is>
      </c>
      <c r="AP42" s="96" t="inlineStr">
        <is>
          <t>Normal</t>
        </is>
      </c>
      <c r="AQ42" s="97" t="n"/>
      <c r="AR42" s="97" t="n"/>
      <c r="AS42" s="97" t="n"/>
      <c r="AT42" s="97" t="n"/>
      <c r="AU42" s="97" t="n"/>
      <c r="AV42" s="97" t="n"/>
      <c r="AW42" s="97" t="n">
        <v>0</v>
      </c>
      <c r="AX42" s="96" t="inlineStr">
        <is>
          <t>N</t>
        </is>
      </c>
      <c r="AY42" s="97" t="n"/>
      <c r="AZ42" s="96" t="inlineStr">
        <is>
          <t>Pickup : 2026-10-15, Return : 2026-10-16 Paperless Code 2835
Closing Time LKB 2026-10-19 @ 12.00</t>
        </is>
      </c>
      <c r="BA42" s="97" t="inlineStr">
        <is>
          <t>*TAX ID16: 0013713383038000</t>
        </is>
      </c>
      <c r="BB42" s="96" t="inlineStr">
        <is>
          <t>P</t>
        </is>
      </c>
      <c r="BC42" s="161" t="inlineStr">
        <is>
          <t>2026-10-08</t>
        </is>
      </c>
      <c r="BD42" s="161" t="inlineStr">
        <is>
          <t>2026-10-21</t>
        </is>
      </c>
      <c r="BE42" s="96" t="inlineStr">
        <is>
          <t>Y</t>
        </is>
      </c>
      <c r="BF42" s="96" t="inlineStr">
        <is>
          <t>Steel</t>
        </is>
      </c>
      <c r="BG42" s="96" t="inlineStr">
        <is>
          <t>Line</t>
        </is>
      </c>
      <c r="BH42" s="96" t="inlineStr">
        <is>
          <t>S22</t>
        </is>
      </c>
      <c r="BI42" s="97" t="n"/>
      <c r="BJ42" s="97" t="n"/>
      <c r="BK42" s="96" t="inlineStr">
        <is>
          <t>BKK27</t>
        </is>
      </c>
      <c r="BL42" s="161" t="inlineStr">
        <is>
          <t>2026-10-15</t>
        </is>
      </c>
      <c r="BM42" s="127" t="n"/>
      <c r="BN42" s="127" t="n">
        <v>3</v>
      </c>
      <c r="BO42" s="127" t="n"/>
      <c r="BP42" s="127" t="n"/>
      <c r="BQ42" s="127" t="n"/>
      <c r="BR42" s="127" t="n"/>
      <c r="BS42" s="127" t="n"/>
      <c r="BT42" s="127" t="n"/>
      <c r="BU42" s="127" t="n"/>
      <c r="BV42" s="127" t="n"/>
      <c r="BW42" s="127" t="n"/>
      <c r="BX42" s="127" t="n"/>
      <c r="BY42" s="96" t="inlineStr">
        <is>
          <t>FULL</t>
        </is>
      </c>
      <c r="BZ42" s="97" t="n"/>
      <c r="CA42" s="96" t="inlineStr">
        <is>
          <t>Y</t>
        </is>
      </c>
      <c r="CB42" s="97" t="n"/>
      <c r="CC42" s="96" t="inlineStr">
        <is>
          <t>LCH55</t>
        </is>
      </c>
      <c r="CD42" s="97" t="n"/>
      <c r="CE42" s="97" t="n"/>
      <c r="CF42" s="96" t="inlineStr">
        <is>
          <t>0 Teu</t>
        </is>
      </c>
      <c r="CG42" s="96" t="inlineStr">
        <is>
          <t>CY/CY</t>
        </is>
      </c>
      <c r="CH42" s="97" t="n"/>
      <c r="CI42" s="96" t="inlineStr">
        <is>
          <t>amarint.amonteerananthawut@leschaco.com</t>
        </is>
      </c>
      <c r="CJ42" s="96" t="inlineStr">
        <is>
          <t>WINOA (THAILAND) LTD.</t>
        </is>
      </c>
      <c r="CK42" s="96" t="inlineStr">
        <is>
          <t>PT. MAKMUR META GRAHA DINAMIKA</t>
        </is>
      </c>
      <c r="CL42" s="96" t="inlineStr">
        <is>
          <t>PT. MAKMUR META GRAHA DINAMIKA</t>
        </is>
      </c>
      <c r="CM42" s="97" t="n"/>
      <c r="CN42" s="96" t="inlineStr">
        <is>
          <t>202610201700</t>
        </is>
      </c>
      <c r="CO42" s="96" t="inlineStr">
        <is>
          <t>202610211700</t>
        </is>
      </c>
      <c r="CP42" s="97" t="n"/>
      <c r="CQ42" s="96" t="inlineStr">
        <is>
          <t>S22-2408001</t>
        </is>
      </c>
      <c r="CR42" s="96" t="inlineStr">
        <is>
          <t>THTH0U</t>
        </is>
      </c>
      <c r="CS42" s="96" t="inlineStr">
        <is>
          <t>LESCHACO (THAILAND) LTD.</t>
        </is>
      </c>
      <c r="CT42" s="96" t="inlineStr">
        <is>
          <t>N</t>
        </is>
      </c>
      <c r="CU42" s="97" t="n"/>
      <c r="CV42" s="97" t="n"/>
      <c r="CW42" s="161" t="inlineStr">
        <is>
          <t>2026-10-22</t>
        </is>
      </c>
      <c r="CX42" s="97" t="inlineStr">
        <is>
          <t>720510</t>
        </is>
      </c>
      <c r="CY42" s="183" t="n"/>
    </row>
    <row r="43" ht="12" customHeight="1">
      <c r="A43" s="116" t="inlineStr">
        <is>
          <t>HASLS22261000687</t>
        </is>
      </c>
      <c r="B43" s="96" t="inlineStr">
        <is>
          <t>20'x1</t>
        </is>
      </c>
      <c r="C43" s="97" t="n">
        <v>1</v>
      </c>
      <c r="D43" s="97" t="n">
        <v>1</v>
      </c>
      <c r="E43" s="97" t="n"/>
      <c r="F43" s="97" t="n">
        <v>0</v>
      </c>
      <c r="G43" s="97" t="n">
        <v>1</v>
      </c>
      <c r="H43" s="97" t="n">
        <v>0</v>
      </c>
      <c r="I43" s="97" t="n">
        <v>0</v>
      </c>
      <c r="J43" s="97" t="n">
        <v>1</v>
      </c>
      <c r="K43" s="96" t="inlineStr">
        <is>
          <t>N</t>
        </is>
      </c>
      <c r="L43" s="96" t="inlineStr">
        <is>
          <t>ANX</t>
        </is>
      </c>
      <c r="M43" s="96" t="inlineStr">
        <is>
          <t>YSVY</t>
        </is>
      </c>
      <c r="N43" s="96" t="inlineStr">
        <is>
          <t>2608S</t>
        </is>
      </c>
      <c r="O43" s="96" t="inlineStr">
        <is>
          <t>THLCH</t>
        </is>
      </c>
      <c r="P43" s="96" t="inlineStr">
        <is>
          <t>LCH04</t>
        </is>
      </c>
      <c r="Q43" s="96" t="inlineStr">
        <is>
          <t>IA</t>
        </is>
      </c>
      <c r="R43" s="161" t="inlineStr">
        <is>
          <t>2026-10-24</t>
        </is>
      </c>
      <c r="S43" s="96" t="inlineStr">
        <is>
          <t>IDJKT</t>
        </is>
      </c>
      <c r="T43" s="96" t="inlineStr">
        <is>
          <t>JKT02</t>
        </is>
      </c>
      <c r="U43" s="96" t="inlineStr">
        <is>
          <t>IDJKT</t>
        </is>
      </c>
      <c r="V43" s="161" t="inlineStr">
        <is>
          <t>2026-10-26</t>
        </is>
      </c>
      <c r="W43" s="96" t="inlineStr">
        <is>
          <t>IA</t>
        </is>
      </c>
      <c r="X43" s="97" t="n"/>
      <c r="Y43" s="97" t="n"/>
      <c r="Z43" s="97" t="n"/>
      <c r="AA43" s="96" t="inlineStr">
        <is>
          <t>YUSEN LOGISTICS (THAILAND) CO., LTD.</t>
        </is>
      </c>
      <c r="AB43" s="96" t="inlineStr">
        <is>
          <t>GKN DRIVELINE (THAILAND) LTD.</t>
        </is>
      </c>
      <c r="AC43" s="163" t="n">
        <v>2988.8</v>
      </c>
      <c r="AD43" s="163" t="n">
        <v>5188.8</v>
      </c>
      <c r="AE43" s="96" t="inlineStr">
        <is>
          <t>OK</t>
        </is>
      </c>
      <c r="AF43" s="96" t="n"/>
      <c r="AG43" s="97" t="n"/>
      <c r="AH43" s="96" t="inlineStr">
        <is>
          <t>CHK</t>
        </is>
      </c>
      <c r="AI43" s="97" t="n"/>
      <c r="AJ43" s="97" t="n"/>
      <c r="AK43" s="97" t="n"/>
      <c r="AL43" s="97" t="n"/>
      <c r="AM43" s="96" t="inlineStr">
        <is>
          <t>TBKK55</t>
        </is>
      </c>
      <c r="AN43" s="96" t="inlineStr">
        <is>
          <t>Vilaiporn</t>
        </is>
      </c>
      <c r="AO43" s="96" t="inlineStr">
        <is>
          <t>AUTO PARTS</t>
        </is>
      </c>
      <c r="AP43" s="96" t="inlineStr">
        <is>
          <t>Normal</t>
        </is>
      </c>
      <c r="AQ43" s="97" t="n"/>
      <c r="AR43" s="97" t="n"/>
      <c r="AS43" s="97" t="n"/>
      <c r="AT43" s="97" t="n"/>
      <c r="AU43" s="97" t="n"/>
      <c r="AV43" s="97" t="n"/>
      <c r="AW43" s="97" t="n">
        <v>0</v>
      </c>
      <c r="AX43" s="96" t="inlineStr">
        <is>
          <t>N</t>
        </is>
      </c>
      <c r="AY43" s="97" t="n"/>
      <c r="AZ43" s="96" t="inlineStr">
        <is>
          <t>Pickup : 2026-10-14, Return : 2026-10-15</t>
        </is>
      </c>
      <c r="BA43" s="97" t="n"/>
      <c r="BB43" s="96" t="inlineStr">
        <is>
          <t>P</t>
        </is>
      </c>
      <c r="BC43" s="161" t="inlineStr">
        <is>
          <t>2026-10-08</t>
        </is>
      </c>
      <c r="BD43" s="161" t="inlineStr">
        <is>
          <t>2026-10-08</t>
        </is>
      </c>
      <c r="BE43" s="96" t="inlineStr">
        <is>
          <t>Y</t>
        </is>
      </c>
      <c r="BF43" s="96" t="inlineStr">
        <is>
          <t>AUTO PARTS</t>
        </is>
      </c>
      <c r="BG43" s="96" t="inlineStr">
        <is>
          <t>Line</t>
        </is>
      </c>
      <c r="BH43" s="96" t="inlineStr">
        <is>
          <t>S22</t>
        </is>
      </c>
      <c r="BI43" s="97" t="n"/>
      <c r="BJ43" s="97" t="n"/>
      <c r="BK43" s="96" t="inlineStr">
        <is>
          <t>LCH27</t>
        </is>
      </c>
      <c r="BL43" s="161" t="inlineStr">
        <is>
          <t>2026-10-14</t>
        </is>
      </c>
      <c r="BM43" s="127" t="n"/>
      <c r="BN43" s="127" t="n">
        <v>1</v>
      </c>
      <c r="BO43" s="127" t="n"/>
      <c r="BP43" s="127" t="n"/>
      <c r="BQ43" s="127" t="n"/>
      <c r="BR43" s="127" t="n"/>
      <c r="BS43" s="127" t="n"/>
      <c r="BT43" s="127" t="n"/>
      <c r="BU43" s="127" t="n"/>
      <c r="BV43" s="127" t="n"/>
      <c r="BW43" s="127" t="n"/>
      <c r="BX43" s="127" t="n"/>
      <c r="BY43" s="96" t="inlineStr">
        <is>
          <t>FULL</t>
        </is>
      </c>
      <c r="BZ43" s="97" t="n"/>
      <c r="CA43" s="96" t="inlineStr">
        <is>
          <t>Y</t>
        </is>
      </c>
      <c r="CB43" s="97" t="n"/>
      <c r="CC43" s="96" t="inlineStr">
        <is>
          <t>LCH04</t>
        </is>
      </c>
      <c r="CD43" s="97" t="n"/>
      <c r="CE43" s="97" t="n"/>
      <c r="CF43" s="96" t="inlineStr">
        <is>
          <t>0 Teu</t>
        </is>
      </c>
      <c r="CG43" s="96" t="inlineStr">
        <is>
          <t>CY/CY</t>
        </is>
      </c>
      <c r="CH43" s="97" t="n"/>
      <c r="CI43" s="96" t="inlineStr">
        <is>
          <t>aranya@th.yusen-logistics.com</t>
        </is>
      </c>
      <c r="CJ43" s="96" t="inlineStr">
        <is>
          <t>YUSEN LOGISTICS (THAILAND) CO., LTD</t>
        </is>
      </c>
      <c r="CK43" s="96" t="inlineStr">
        <is>
          <t>PT. SUZUKI INDOMOBIL MOTOR</t>
        </is>
      </c>
      <c r="CL43" s="96" t="inlineStr">
        <is>
          <t>PT. YUSEN LOGISTICS INDONESIA</t>
        </is>
      </c>
      <c r="CM43" s="97" t="n"/>
      <c r="CN43" s="96" t="inlineStr">
        <is>
          <t>202610201700</t>
        </is>
      </c>
      <c r="CO43" s="96" t="inlineStr">
        <is>
          <t>202610211700</t>
        </is>
      </c>
      <c r="CP43" s="97" t="n"/>
      <c r="CQ43" s="96" t="inlineStr">
        <is>
          <t>S19-2112038</t>
        </is>
      </c>
      <c r="CR43" s="96" t="inlineStr">
        <is>
          <t>TH03TL</t>
        </is>
      </c>
      <c r="CS43" s="96" t="inlineStr">
        <is>
          <t>YUSEN LOGISTICS (THAILAND) CO., LTD.</t>
        </is>
      </c>
      <c r="CT43" s="96" t="inlineStr">
        <is>
          <t>N</t>
        </is>
      </c>
      <c r="CU43" s="97" t="n"/>
      <c r="CV43" s="97" t="n"/>
      <c r="CW43" s="161" t="inlineStr">
        <is>
          <t>2026-10-21</t>
        </is>
      </c>
      <c r="CX43" s="97" t="inlineStr">
        <is>
          <t>870850</t>
        </is>
      </c>
      <c r="CY43" s="183" t="n"/>
    </row>
    <row r="44" ht="12" customHeight="1">
      <c r="A44" s="116" t="inlineStr">
        <is>
          <t>HASLS22261000696</t>
        </is>
      </c>
      <c r="B44" s="96" t="inlineStr">
        <is>
          <t>40Hx2</t>
        </is>
      </c>
      <c r="C44" s="97" t="n">
        <v>2</v>
      </c>
      <c r="D44" s="97" t="n">
        <v>2</v>
      </c>
      <c r="E44" s="97" t="n"/>
      <c r="F44" s="97" t="n">
        <v>0</v>
      </c>
      <c r="G44" s="97" t="n">
        <v>0</v>
      </c>
      <c r="H44" s="97" t="n">
        <v>0</v>
      </c>
      <c r="I44" s="97" t="n">
        <v>2</v>
      </c>
      <c r="J44" s="97" t="n">
        <v>4</v>
      </c>
      <c r="K44" s="96" t="inlineStr">
        <is>
          <t>N</t>
        </is>
      </c>
      <c r="L44" s="96" t="inlineStr">
        <is>
          <t>ANX</t>
        </is>
      </c>
      <c r="M44" s="96" t="inlineStr">
        <is>
          <t>YSVY</t>
        </is>
      </c>
      <c r="N44" s="96" t="inlineStr">
        <is>
          <t>2608S</t>
        </is>
      </c>
      <c r="O44" s="96" t="inlineStr">
        <is>
          <t>THLCH</t>
        </is>
      </c>
      <c r="P44" s="96" t="inlineStr">
        <is>
          <t>LCH04</t>
        </is>
      </c>
      <c r="Q44" s="96" t="inlineStr">
        <is>
          <t>IA</t>
        </is>
      </c>
      <c r="R44" s="161" t="inlineStr">
        <is>
          <t>2026-10-24</t>
        </is>
      </c>
      <c r="S44" s="96" t="inlineStr">
        <is>
          <t>IDJKT</t>
        </is>
      </c>
      <c r="T44" s="96" t="inlineStr">
        <is>
          <t>JKT02</t>
        </is>
      </c>
      <c r="U44" s="96" t="inlineStr">
        <is>
          <t>IDJKT</t>
        </is>
      </c>
      <c r="V44" s="161" t="inlineStr">
        <is>
          <t>2026-10-26</t>
        </is>
      </c>
      <c r="W44" s="96" t="inlineStr">
        <is>
          <t>IA</t>
        </is>
      </c>
      <c r="X44" s="97" t="n"/>
      <c r="Y44" s="97" t="n"/>
      <c r="Z44" s="97" t="n"/>
      <c r="AA44" s="96" t="inlineStr">
        <is>
          <t>YAMATO UNYU (THAILAND) CO., LTD.</t>
        </is>
      </c>
      <c r="AB44" s="96" t="inlineStr">
        <is>
          <t>LOGTHAI-OROTEX CO,LTD</t>
        </is>
      </c>
      <c r="AC44" s="163" t="n">
        <v>20196.9</v>
      </c>
      <c r="AD44" s="163" t="n">
        <v>28196.9</v>
      </c>
      <c r="AE44" s="96" t="inlineStr">
        <is>
          <t>OK</t>
        </is>
      </c>
      <c r="AF44" s="96" t="n"/>
      <c r="AG44" s="97" t="n"/>
      <c r="AH44" s="96" t="inlineStr">
        <is>
          <t>CHK</t>
        </is>
      </c>
      <c r="AI44" s="97" t="inlineStr">
        <is>
          <t>OK</t>
        </is>
      </c>
      <c r="AJ44" s="97" t="n"/>
      <c r="AK44" s="97" t="n"/>
      <c r="AL44" s="97" t="n"/>
      <c r="AM44" s="96" t="inlineStr">
        <is>
          <t>TH0011</t>
        </is>
      </c>
      <c r="AN44" s="96" t="inlineStr">
        <is>
          <t>Nannaapust Sukporntaweewat</t>
        </is>
      </c>
      <c r="AO44" s="96" t="inlineStr">
        <is>
          <t>AUTOMOTIVE PARTS</t>
        </is>
      </c>
      <c r="AP44" s="96" t="inlineStr">
        <is>
          <t>Normal</t>
        </is>
      </c>
      <c r="AQ44" s="97" t="n"/>
      <c r="AR44" s="97" t="n"/>
      <c r="AS44" s="97" t="n"/>
      <c r="AT44" s="97" t="n"/>
      <c r="AU44" s="97" t="n"/>
      <c r="AV44" s="97" t="n"/>
      <c r="AW44" s="97" t="n">
        <v>0</v>
      </c>
      <c r="AX44" s="96" t="inlineStr">
        <is>
          <t>N</t>
        </is>
      </c>
      <c r="AY44" s="97" t="n"/>
      <c r="AZ44" s="96" t="inlineStr">
        <is>
          <t>Pickup : 2026-10-20, Return : 2026-10-20</t>
        </is>
      </c>
      <c r="BA44" s="97" t="inlineStr">
        <is>
          <t>FM NSSJ 2608S DD.19/10SURRENDERED BL</t>
        </is>
      </c>
      <c r="BB44" s="96" t="inlineStr">
        <is>
          <t>P</t>
        </is>
      </c>
      <c r="BC44" s="161" t="inlineStr">
        <is>
          <t>2026-10-08</t>
        </is>
      </c>
      <c r="BD44" s="161" t="inlineStr">
        <is>
          <t>2026-10-21</t>
        </is>
      </c>
      <c r="BE44" s="96" t="inlineStr">
        <is>
          <t>Y</t>
        </is>
      </c>
      <c r="BF44" s="96" t="inlineStr">
        <is>
          <t>RUBBER PARTS</t>
        </is>
      </c>
      <c r="BG44" s="96" t="inlineStr">
        <is>
          <t>Line</t>
        </is>
      </c>
      <c r="BH44" s="96" t="inlineStr">
        <is>
          <t>S22</t>
        </is>
      </c>
      <c r="BI44" s="97" t="n"/>
      <c r="BJ44" s="97" t="n"/>
      <c r="BK44" s="96" t="inlineStr">
        <is>
          <t>LCHY5</t>
        </is>
      </c>
      <c r="BL44" s="161" t="inlineStr">
        <is>
          <t>2026-10-20</t>
        </is>
      </c>
      <c r="BM44" s="127" t="n"/>
      <c r="BN44" s="127" t="n"/>
      <c r="BO44" s="127" t="n"/>
      <c r="BP44" s="127" t="n">
        <v>2</v>
      </c>
      <c r="BQ44" s="127" t="n"/>
      <c r="BR44" s="127" t="n"/>
      <c r="BS44" s="127" t="n"/>
      <c r="BT44" s="127" t="n"/>
      <c r="BU44" s="127" t="n"/>
      <c r="BV44" s="127" t="n"/>
      <c r="BW44" s="127" t="n"/>
      <c r="BX44" s="127" t="n"/>
      <c r="BY44" s="96" t="inlineStr">
        <is>
          <t>FULL</t>
        </is>
      </c>
      <c r="BZ44" s="97" t="n"/>
      <c r="CA44" s="96" t="inlineStr">
        <is>
          <t>Y</t>
        </is>
      </c>
      <c r="CB44" s="97" t="n"/>
      <c r="CC44" s="96" t="inlineStr">
        <is>
          <t>LCH04</t>
        </is>
      </c>
      <c r="CD44" s="97" t="n"/>
      <c r="CE44" s="97" t="n"/>
      <c r="CF44" s="96" t="inlineStr">
        <is>
          <t>0 Teu</t>
        </is>
      </c>
      <c r="CG44" s="96" t="inlineStr">
        <is>
          <t>CY/CY</t>
        </is>
      </c>
      <c r="CH44" s="97" t="n"/>
      <c r="CI44" s="96" t="inlineStr">
        <is>
          <t>seaexport@yamatothai.com</t>
        </is>
      </c>
      <c r="CJ44" s="96" t="inlineStr">
        <is>
          <t>YAMATO UNYU (THAILAND) CO., LTD.</t>
        </is>
      </c>
      <c r="CK44" s="96" t="inlineStr">
        <is>
          <t>PT. ARGAPURA</t>
        </is>
      </c>
      <c r="CL44" s="96" t="inlineStr">
        <is>
          <t>PT. YAMATO INDONESIA FORWARDING</t>
        </is>
      </c>
      <c r="CM44" s="97" t="n"/>
      <c r="CN44" s="96" t="inlineStr">
        <is>
          <t>202610201700</t>
        </is>
      </c>
      <c r="CO44" s="96" t="inlineStr">
        <is>
          <t>202610211700</t>
        </is>
      </c>
      <c r="CP44" s="97" t="n"/>
      <c r="CQ44" s="96" t="inlineStr">
        <is>
          <t>S22-2503020</t>
        </is>
      </c>
      <c r="CR44" s="96" t="inlineStr">
        <is>
          <t>TH02EE</t>
        </is>
      </c>
      <c r="CS44" s="96" t="inlineStr">
        <is>
          <t>YAMATO UNYU (THAILAND) CO., LTD.</t>
        </is>
      </c>
      <c r="CT44" s="96" t="inlineStr">
        <is>
          <t>N</t>
        </is>
      </c>
      <c r="CU44" s="97" t="n"/>
      <c r="CV44" s="97" t="n"/>
      <c r="CW44" s="161" t="inlineStr">
        <is>
          <t>2026-10-23</t>
        </is>
      </c>
      <c r="CX44" s="97" t="inlineStr">
        <is>
          <t>400599</t>
        </is>
      </c>
      <c r="CY44" s="183" t="n"/>
    </row>
    <row r="45" ht="12" customHeight="1">
      <c r="A45" s="116" t="inlineStr">
        <is>
          <t>HASLS22261000731</t>
        </is>
      </c>
      <c r="B45" s="96" t="inlineStr">
        <is>
          <t>20'x1</t>
        </is>
      </c>
      <c r="C45" s="97" t="n">
        <v>1</v>
      </c>
      <c r="D45" s="97" t="n">
        <v>1</v>
      </c>
      <c r="E45" s="97" t="inlineStr">
        <is>
          <t>THLKR</t>
        </is>
      </c>
      <c r="F45" s="97" t="n">
        <v>0</v>
      </c>
      <c r="G45" s="97" t="n">
        <v>1</v>
      </c>
      <c r="H45" s="97" t="n">
        <v>0</v>
      </c>
      <c r="I45" s="97" t="n">
        <v>0</v>
      </c>
      <c r="J45" s="97" t="n">
        <v>1</v>
      </c>
      <c r="K45" s="96" t="inlineStr">
        <is>
          <t>N</t>
        </is>
      </c>
      <c r="L45" s="96" t="inlineStr">
        <is>
          <t>ANX</t>
        </is>
      </c>
      <c r="M45" s="96" t="inlineStr">
        <is>
          <t>YSVY</t>
        </is>
      </c>
      <c r="N45" s="96" t="inlineStr">
        <is>
          <t>2608S</t>
        </is>
      </c>
      <c r="O45" s="96" t="inlineStr">
        <is>
          <t>THLCH</t>
        </is>
      </c>
      <c r="P45" s="96" t="inlineStr">
        <is>
          <t>LCH04</t>
        </is>
      </c>
      <c r="Q45" s="96" t="inlineStr">
        <is>
          <t>IA</t>
        </is>
      </c>
      <c r="R45" s="161" t="inlineStr">
        <is>
          <t>2026-10-24</t>
        </is>
      </c>
      <c r="S45" s="96" t="inlineStr">
        <is>
          <t>IDJKT</t>
        </is>
      </c>
      <c r="T45" s="96" t="inlineStr">
        <is>
          <t>JKT02</t>
        </is>
      </c>
      <c r="U45" s="96" t="inlineStr">
        <is>
          <t>IDJKT</t>
        </is>
      </c>
      <c r="V45" s="161" t="inlineStr">
        <is>
          <t>2026-10-26</t>
        </is>
      </c>
      <c r="W45" s="96" t="inlineStr">
        <is>
          <t>IA</t>
        </is>
      </c>
      <c r="X45" s="97" t="n"/>
      <c r="Y45" s="97" t="n"/>
      <c r="Z45" s="97" t="n"/>
      <c r="AA45" s="96" t="inlineStr">
        <is>
          <t>SEABRA TRANS INTERNATIONAL CO., LTD.</t>
        </is>
      </c>
      <c r="AB45" s="96" t="inlineStr">
        <is>
          <t>MITANI TRADING (THAILAND) CO.,LTD.</t>
        </is>
      </c>
      <c r="AC45" s="163" t="n">
        <v>3490</v>
      </c>
      <c r="AD45" s="163" t="n">
        <v>5690</v>
      </c>
      <c r="AE45" s="96" t="inlineStr">
        <is>
          <t>OK</t>
        </is>
      </c>
      <c r="AF45" s="96" t="inlineStr">
        <is>
          <t>SR</t>
        </is>
      </c>
      <c r="AG45" s="97" t="n"/>
      <c r="AH45" s="96" t="inlineStr">
        <is>
          <t>CHK</t>
        </is>
      </c>
      <c r="AI45" s="97" t="inlineStr">
        <is>
          <t>OK</t>
        </is>
      </c>
      <c r="AJ45" s="97" t="n"/>
      <c r="AK45" s="97" t="n"/>
      <c r="AL45" s="97" t="n"/>
      <c r="AM45" s="96" t="inlineStr">
        <is>
          <t>TBKK55</t>
        </is>
      </c>
      <c r="AN45" s="96" t="inlineStr">
        <is>
          <t>Vilaiporn</t>
        </is>
      </c>
      <c r="AO45" s="96" t="inlineStr">
        <is>
          <t>AEROSOL VALVE</t>
        </is>
      </c>
      <c r="AP45" s="96" t="inlineStr">
        <is>
          <t>Normal</t>
        </is>
      </c>
      <c r="AQ45" s="97" t="n"/>
      <c r="AR45" s="97" t="n"/>
      <c r="AS45" s="97" t="n"/>
      <c r="AT45" s="97" t="n"/>
      <c r="AU45" s="97" t="n"/>
      <c r="AV45" s="97" t="n"/>
      <c r="AW45" s="97" t="n">
        <v>0</v>
      </c>
      <c r="AX45" s="96" t="inlineStr">
        <is>
          <t>N</t>
        </is>
      </c>
      <c r="AY45" s="97" t="n"/>
      <c r="AZ45" s="96" t="inlineStr">
        <is>
          <t>Pickup : 2026-10-15, Return : 2026-10-15 Paperless Code 2835
Closing Time LKB 2026-10-17 @ 23.59</t>
        </is>
      </c>
      <c r="BA45" s="97" t="inlineStr">
        <is>
          <t xml:space="preserve">ACTUAL SHIPPER : MITANIREQUEST CLEAN AND GOOD CONTAINERCY-RTN at LKB : 15/10/26 FREIGHT PREPAID  </t>
        </is>
      </c>
      <c r="BB45" s="96" t="inlineStr">
        <is>
          <t>P</t>
        </is>
      </c>
      <c r="BC45" s="161" t="inlineStr">
        <is>
          <t>2026-10-08</t>
        </is>
      </c>
      <c r="BD45" s="161" t="inlineStr">
        <is>
          <t>2026-10-19</t>
        </is>
      </c>
      <c r="BE45" s="96" t="inlineStr">
        <is>
          <t>Y</t>
        </is>
      </c>
      <c r="BF45" s="96" t="inlineStr">
        <is>
          <t>AEROSOL VALVE</t>
        </is>
      </c>
      <c r="BG45" s="96" t="inlineStr">
        <is>
          <t>Line</t>
        </is>
      </c>
      <c r="BH45" s="96" t="inlineStr">
        <is>
          <t>S22</t>
        </is>
      </c>
      <c r="BI45" s="97" t="n"/>
      <c r="BJ45" s="97" t="n"/>
      <c r="BK45" s="96" t="inlineStr">
        <is>
          <t>BKK27</t>
        </is>
      </c>
      <c r="BL45" s="161" t="inlineStr">
        <is>
          <t>2026-10-15</t>
        </is>
      </c>
      <c r="BM45" s="127" t="n"/>
      <c r="BN45" s="127" t="n">
        <v>1</v>
      </c>
      <c r="BO45" s="127" t="n"/>
      <c r="BP45" s="127" t="n"/>
      <c r="BQ45" s="127" t="n"/>
      <c r="BR45" s="127" t="n"/>
      <c r="BS45" s="127" t="n"/>
      <c r="BT45" s="127" t="n"/>
      <c r="BU45" s="127" t="n"/>
      <c r="BV45" s="127" t="n"/>
      <c r="BW45" s="127" t="n"/>
      <c r="BX45" s="127" t="n"/>
      <c r="BY45" s="96" t="inlineStr">
        <is>
          <t>FULL</t>
        </is>
      </c>
      <c r="BZ45" s="97" t="n"/>
      <c r="CA45" s="96" t="inlineStr">
        <is>
          <t>Y</t>
        </is>
      </c>
      <c r="CB45" s="97" t="n"/>
      <c r="CC45" s="96" t="inlineStr">
        <is>
          <t>LCH55</t>
        </is>
      </c>
      <c r="CD45" s="97" t="n"/>
      <c r="CE45" s="97" t="n"/>
      <c r="CF45" s="96" t="inlineStr">
        <is>
          <t>0 Teu</t>
        </is>
      </c>
      <c r="CG45" s="96" t="inlineStr">
        <is>
          <t>CY/CY</t>
        </is>
      </c>
      <c r="CH45" s="97" t="n"/>
      <c r="CI45" s="96" t="inlineStr">
        <is>
          <t>sirinya@seabratrans.com;csr3@seabratrans.com</t>
        </is>
      </c>
      <c r="CJ45" s="96" t="inlineStr">
        <is>
          <t>MITANI TRADING (THAILAND) CO.,LTD.</t>
        </is>
      </c>
      <c r="CK45" s="96" t="inlineStr">
        <is>
          <t>PT. DIFAN PRIMA PAINT</t>
        </is>
      </c>
      <c r="CL45" s="96" t="inlineStr">
        <is>
          <t>PT. DIFAN PRIMA PAINT</t>
        </is>
      </c>
      <c r="CM45" s="97" t="n"/>
      <c r="CN45" s="96" t="inlineStr">
        <is>
          <t>202610201700</t>
        </is>
      </c>
      <c r="CO45" s="96" t="inlineStr">
        <is>
          <t>202610211700</t>
        </is>
      </c>
      <c r="CP45" s="97" t="n"/>
      <c r="CQ45" s="96" t="inlineStr">
        <is>
          <t>S19-2203003</t>
        </is>
      </c>
      <c r="CR45" s="96" t="inlineStr">
        <is>
          <t>BB0161</t>
        </is>
      </c>
      <c r="CS45" s="96" t="inlineStr">
        <is>
          <t>SEABRA TRANS INTERNATIONAL CO., LTD.</t>
        </is>
      </c>
      <c r="CT45" s="96" t="inlineStr">
        <is>
          <t>N</t>
        </is>
      </c>
      <c r="CU45" s="97" t="n"/>
      <c r="CV45" s="97" t="n"/>
      <c r="CW45" s="161" t="inlineStr">
        <is>
          <t>2026-10-21</t>
        </is>
      </c>
      <c r="CX45" s="97" t="inlineStr">
        <is>
          <t>848180</t>
        </is>
      </c>
      <c r="CY45" s="183" t="n"/>
    </row>
    <row r="46" ht="12" customHeight="1">
      <c r="A46" s="116" t="inlineStr">
        <is>
          <t>HASLS22261000752</t>
        </is>
      </c>
      <c r="B46" s="96" t="inlineStr">
        <is>
          <t>20'x1</t>
        </is>
      </c>
      <c r="C46" s="97" t="n">
        <v>1</v>
      </c>
      <c r="D46" s="97" t="n">
        <v>1</v>
      </c>
      <c r="E46" s="97" t="inlineStr">
        <is>
          <t>THLKR</t>
        </is>
      </c>
      <c r="F46" s="97" t="n">
        <v>0</v>
      </c>
      <c r="G46" s="97" t="n">
        <v>1</v>
      </c>
      <c r="H46" s="97" t="n">
        <v>0</v>
      </c>
      <c r="I46" s="97" t="n">
        <v>0</v>
      </c>
      <c r="J46" s="97" t="n">
        <v>1</v>
      </c>
      <c r="K46" s="96" t="inlineStr">
        <is>
          <t>N</t>
        </is>
      </c>
      <c r="L46" s="96" t="inlineStr">
        <is>
          <t>ANX</t>
        </is>
      </c>
      <c r="M46" s="96" t="inlineStr">
        <is>
          <t>YSVY</t>
        </is>
      </c>
      <c r="N46" s="96" t="inlineStr">
        <is>
          <t>2608S</t>
        </is>
      </c>
      <c r="O46" s="96" t="inlineStr">
        <is>
          <t>THLCH</t>
        </is>
      </c>
      <c r="P46" s="96" t="inlineStr">
        <is>
          <t>LCH04</t>
        </is>
      </c>
      <c r="Q46" s="96" t="inlineStr">
        <is>
          <t>IA</t>
        </is>
      </c>
      <c r="R46" s="161" t="inlineStr">
        <is>
          <t>2026-10-24</t>
        </is>
      </c>
      <c r="S46" s="96" t="inlineStr">
        <is>
          <t>IDJKT</t>
        </is>
      </c>
      <c r="T46" s="96" t="inlineStr">
        <is>
          <t>JKT02</t>
        </is>
      </c>
      <c r="U46" s="96" t="inlineStr">
        <is>
          <t>IDJKT</t>
        </is>
      </c>
      <c r="V46" s="161" t="inlineStr">
        <is>
          <t>2026-10-26</t>
        </is>
      </c>
      <c r="W46" s="96" t="inlineStr">
        <is>
          <t>IA</t>
        </is>
      </c>
      <c r="X46" s="97" t="n"/>
      <c r="Y46" s="97" t="n"/>
      <c r="Z46" s="97" t="n"/>
      <c r="AA46" s="96" t="inlineStr">
        <is>
          <t>ASIA ATLANTIC LINENER COMPANY LIMITED.</t>
        </is>
      </c>
      <c r="AB46" s="96" t="inlineStr">
        <is>
          <t>A. BEST INTER PRODUCT CO., LTD.</t>
        </is>
      </c>
      <c r="AC46" s="163" t="n">
        <v>785.9299999999999</v>
      </c>
      <c r="AD46" s="163" t="n">
        <v>2985.93</v>
      </c>
      <c r="AE46" s="96" t="inlineStr">
        <is>
          <t>OK</t>
        </is>
      </c>
      <c r="AF46" s="96" t="inlineStr">
        <is>
          <t>SR</t>
        </is>
      </c>
      <c r="AG46" s="97" t="n"/>
      <c r="AH46" s="96" t="inlineStr">
        <is>
          <t>CHK</t>
        </is>
      </c>
      <c r="AI46" s="97" t="inlineStr">
        <is>
          <t>OK</t>
        </is>
      </c>
      <c r="AJ46" s="97" t="n"/>
      <c r="AK46" s="97" t="n"/>
      <c r="AL46" s="97" t="n"/>
      <c r="AM46" s="96" t="inlineStr">
        <is>
          <t>TH0011</t>
        </is>
      </c>
      <c r="AN46" s="96" t="inlineStr">
        <is>
          <t>Nannaapust Sukporntaweewat</t>
        </is>
      </c>
      <c r="AO46" s="96" t="inlineStr">
        <is>
          <t>EMPTY PLASTIC BOTTLE</t>
        </is>
      </c>
      <c r="AP46" s="96" t="inlineStr">
        <is>
          <t>Normal</t>
        </is>
      </c>
      <c r="AQ46" s="97" t="n"/>
      <c r="AR46" s="97" t="n"/>
      <c r="AS46" s="97" t="n"/>
      <c r="AT46" s="97" t="n"/>
      <c r="AU46" s="97" t="n"/>
      <c r="AV46" s="97" t="n"/>
      <c r="AW46" s="97" t="n">
        <v>0</v>
      </c>
      <c r="AX46" s="96" t="inlineStr">
        <is>
          <t>N</t>
        </is>
      </c>
      <c r="AY46" s="97" t="n"/>
      <c r="AZ46" s="96" t="inlineStr">
        <is>
          <t>Pickup : 2026-10-14, Return : 2026-10-15 Papereless Code 2835
Closing Time LKB 2026-10-19 @ 12.00</t>
        </is>
      </c>
      <c r="BA46" s="97" t="n"/>
      <c r="BB46" s="96" t="inlineStr">
        <is>
          <t>P</t>
        </is>
      </c>
      <c r="BC46" s="161" t="inlineStr">
        <is>
          <t>2026-10-09</t>
        </is>
      </c>
      <c r="BD46" s="161" t="inlineStr">
        <is>
          <t>2026-10-21</t>
        </is>
      </c>
      <c r="BE46" s="96" t="inlineStr">
        <is>
          <t>Y</t>
        </is>
      </c>
      <c r="BF46" s="96" t="inlineStr">
        <is>
          <t>EMPTY PLASTIC BOTTLE</t>
        </is>
      </c>
      <c r="BG46" s="96" t="inlineStr">
        <is>
          <t>Line</t>
        </is>
      </c>
      <c r="BH46" s="96" t="inlineStr">
        <is>
          <t>S22</t>
        </is>
      </c>
      <c r="BI46" s="97" t="n"/>
      <c r="BJ46" s="97" t="n"/>
      <c r="BK46" s="96" t="inlineStr">
        <is>
          <t>BKK27</t>
        </is>
      </c>
      <c r="BL46" s="161" t="inlineStr">
        <is>
          <t>2026-10-14</t>
        </is>
      </c>
      <c r="BM46" s="127" t="n"/>
      <c r="BN46" s="127" t="n">
        <v>1</v>
      </c>
      <c r="BO46" s="127" t="n"/>
      <c r="BP46" s="127" t="n"/>
      <c r="BQ46" s="127" t="n"/>
      <c r="BR46" s="127" t="n"/>
      <c r="BS46" s="127" t="n"/>
      <c r="BT46" s="127" t="n"/>
      <c r="BU46" s="127" t="n"/>
      <c r="BV46" s="127" t="n"/>
      <c r="BW46" s="127" t="n"/>
      <c r="BX46" s="127" t="n"/>
      <c r="BY46" s="96" t="inlineStr">
        <is>
          <t>FULL</t>
        </is>
      </c>
      <c r="BZ46" s="97" t="n"/>
      <c r="CA46" s="96" t="inlineStr">
        <is>
          <t>Y</t>
        </is>
      </c>
      <c r="CB46" s="97" t="n"/>
      <c r="CC46" s="96" t="inlineStr">
        <is>
          <t>LCH55</t>
        </is>
      </c>
      <c r="CD46" s="97" t="n"/>
      <c r="CE46" s="97" t="n"/>
      <c r="CF46" s="96" t="inlineStr">
        <is>
          <t>0 Teu</t>
        </is>
      </c>
      <c r="CG46" s="96" t="inlineStr">
        <is>
          <t>CY/CY</t>
        </is>
      </c>
      <c r="CH46" s="97" t="n"/>
      <c r="CI46" s="96" t="inlineStr">
        <is>
          <t>cs08@aal.co.th</t>
        </is>
      </c>
      <c r="CJ46" s="96" t="inlineStr">
        <is>
          <t>A.BEST INTER PRODUCTS CO., LTD.</t>
        </is>
      </c>
      <c r="CK46" s="96" t="inlineStr">
        <is>
          <t>PT. PARAGON TECHNOLOGY AND</t>
        </is>
      </c>
      <c r="CL46" s="96" t="inlineStr">
        <is>
          <t>PT. KARTIKA EKA YUDHA MARITIM WISMA</t>
        </is>
      </c>
      <c r="CM46" s="97" t="n"/>
      <c r="CN46" s="96" t="inlineStr">
        <is>
          <t>202610201700</t>
        </is>
      </c>
      <c r="CO46" s="96" t="inlineStr">
        <is>
          <t>202610211700</t>
        </is>
      </c>
      <c r="CP46" s="97" t="n"/>
      <c r="CQ46" s="96" t="inlineStr">
        <is>
          <t>S22-2406031</t>
        </is>
      </c>
      <c r="CR46" s="96" t="inlineStr">
        <is>
          <t>THTM9M</t>
        </is>
      </c>
      <c r="CS46" s="96" t="inlineStr">
        <is>
          <t>ASIA ATLANTIC LINENER COMPANY LIMITED.</t>
        </is>
      </c>
      <c r="CT46" s="96" t="inlineStr">
        <is>
          <t>N</t>
        </is>
      </c>
      <c r="CU46" s="97" t="n"/>
      <c r="CV46" s="97" t="n"/>
      <c r="CW46" s="161" t="inlineStr">
        <is>
          <t>2026-10-22</t>
        </is>
      </c>
      <c r="CX46" s="97" t="inlineStr">
        <is>
          <t>392350</t>
        </is>
      </c>
      <c r="CY46" s="183" t="n"/>
    </row>
    <row r="47" ht="12" customHeight="1">
      <c r="A47" s="116" t="inlineStr">
        <is>
          <t>HASLS22261000777</t>
        </is>
      </c>
      <c r="B47" s="96" t="inlineStr">
        <is>
          <t>40'x1</t>
        </is>
      </c>
      <c r="C47" s="97" t="n">
        <v>1</v>
      </c>
      <c r="D47" s="97" t="n">
        <v>1</v>
      </c>
      <c r="E47" s="97" t="n"/>
      <c r="F47" s="97" t="n">
        <v>0</v>
      </c>
      <c r="G47" s="97" t="n">
        <v>0</v>
      </c>
      <c r="H47" s="97" t="n">
        <v>1</v>
      </c>
      <c r="I47" s="97" t="n">
        <v>0</v>
      </c>
      <c r="J47" s="97" t="n">
        <v>2</v>
      </c>
      <c r="K47" s="96" t="inlineStr">
        <is>
          <t>N</t>
        </is>
      </c>
      <c r="L47" s="96" t="inlineStr">
        <is>
          <t>ANX</t>
        </is>
      </c>
      <c r="M47" s="96" t="inlineStr">
        <is>
          <t>YSVY</t>
        </is>
      </c>
      <c r="N47" s="96" t="inlineStr">
        <is>
          <t>2608S</t>
        </is>
      </c>
      <c r="O47" s="96" t="inlineStr">
        <is>
          <t>THLCH</t>
        </is>
      </c>
      <c r="P47" s="96" t="inlineStr">
        <is>
          <t>LCH04</t>
        </is>
      </c>
      <c r="Q47" s="96" t="inlineStr">
        <is>
          <t>IA</t>
        </is>
      </c>
      <c r="R47" s="161" t="inlineStr">
        <is>
          <t>2026-10-24</t>
        </is>
      </c>
      <c r="S47" s="96" t="inlineStr">
        <is>
          <t>IDJKT</t>
        </is>
      </c>
      <c r="T47" s="96" t="inlineStr">
        <is>
          <t>JKT02</t>
        </is>
      </c>
      <c r="U47" s="96" t="inlineStr">
        <is>
          <t>IDJKT</t>
        </is>
      </c>
      <c r="V47" s="161" t="inlineStr">
        <is>
          <t>2026-10-26</t>
        </is>
      </c>
      <c r="W47" s="96" t="inlineStr">
        <is>
          <t>IA</t>
        </is>
      </c>
      <c r="X47" s="97" t="n"/>
      <c r="Y47" s="97" t="n"/>
      <c r="Z47" s="97" t="n"/>
      <c r="AA47" s="96" t="inlineStr">
        <is>
          <t>ASIA ATLANTIC LINENER COMPANY LIMITED.</t>
        </is>
      </c>
      <c r="AB47" s="96" t="inlineStr">
        <is>
          <t>TOYOTA TSUSHO (THAILAND) CO., LTD.</t>
        </is>
      </c>
      <c r="AC47" s="163" t="n">
        <v>16295</v>
      </c>
      <c r="AD47" s="163" t="n">
        <v>20095</v>
      </c>
      <c r="AE47" s="96" t="inlineStr">
        <is>
          <t>OK</t>
        </is>
      </c>
      <c r="AF47" s="96" t="inlineStr">
        <is>
          <t>SR</t>
        </is>
      </c>
      <c r="AG47" s="97" t="n"/>
      <c r="AH47" s="96" t="inlineStr">
        <is>
          <t>CHK</t>
        </is>
      </c>
      <c r="AI47" s="97" t="inlineStr">
        <is>
          <t>OK</t>
        </is>
      </c>
      <c r="AJ47" s="97" t="n"/>
      <c r="AK47" s="97" t="n"/>
      <c r="AL47" s="97" t="n"/>
      <c r="AM47" s="96" t="inlineStr">
        <is>
          <t>TH0011</t>
        </is>
      </c>
      <c r="AN47" s="96" t="inlineStr">
        <is>
          <t>Nannaapust Sukporntaweewat</t>
        </is>
      </c>
      <c r="AO47" s="96" t="inlineStr">
        <is>
          <t>POLYPROPYLENE COMPOUNDED RESIN</t>
        </is>
      </c>
      <c r="AP47" s="96" t="inlineStr">
        <is>
          <t>Normal</t>
        </is>
      </c>
      <c r="AQ47" s="97" t="n"/>
      <c r="AR47" s="97" t="n"/>
      <c r="AS47" s="97" t="n"/>
      <c r="AT47" s="97" t="n"/>
      <c r="AU47" s="97" t="n"/>
      <c r="AV47" s="97" t="n"/>
      <c r="AW47" s="97" t="n">
        <v>0</v>
      </c>
      <c r="AX47" s="96" t="inlineStr">
        <is>
          <t>N</t>
        </is>
      </c>
      <c r="AY47" s="97" t="n"/>
      <c r="AZ47" s="96" t="inlineStr">
        <is>
          <t>Pickup : 2026-10-14, Return : 2026-10-16</t>
        </is>
      </c>
      <c r="BA47" s="97" t="n"/>
      <c r="BB47" s="96" t="inlineStr">
        <is>
          <t>P</t>
        </is>
      </c>
      <c r="BC47" s="161" t="inlineStr">
        <is>
          <t>2026-10-09</t>
        </is>
      </c>
      <c r="BD47" s="161" t="inlineStr">
        <is>
          <t>2026-10-19</t>
        </is>
      </c>
      <c r="BE47" s="96" t="inlineStr">
        <is>
          <t>Y</t>
        </is>
      </c>
      <c r="BF47" s="96" t="inlineStr">
        <is>
          <t>PLASTIC RESINS</t>
        </is>
      </c>
      <c r="BG47" s="96" t="inlineStr">
        <is>
          <t>Line</t>
        </is>
      </c>
      <c r="BH47" s="96" t="inlineStr">
        <is>
          <t>S22</t>
        </is>
      </c>
      <c r="BI47" s="97" t="n"/>
      <c r="BJ47" s="97" t="n"/>
      <c r="BK47" s="96" t="inlineStr">
        <is>
          <t>LCHY5</t>
        </is>
      </c>
      <c r="BL47" s="161" t="inlineStr">
        <is>
          <t>2026-10-14</t>
        </is>
      </c>
      <c r="BM47" s="127" t="n"/>
      <c r="BN47" s="127" t="n"/>
      <c r="BO47" s="127" t="n">
        <v>1</v>
      </c>
      <c r="BP47" s="127" t="n"/>
      <c r="BQ47" s="127" t="n"/>
      <c r="BR47" s="127" t="n"/>
      <c r="BS47" s="127" t="n"/>
      <c r="BT47" s="127" t="n"/>
      <c r="BU47" s="127" t="n"/>
      <c r="BV47" s="127" t="n"/>
      <c r="BW47" s="127" t="n"/>
      <c r="BX47" s="127" t="n"/>
      <c r="BY47" s="96" t="inlineStr">
        <is>
          <t>FULL</t>
        </is>
      </c>
      <c r="BZ47" s="97" t="n"/>
      <c r="CA47" s="96" t="inlineStr">
        <is>
          <t>Y</t>
        </is>
      </c>
      <c r="CB47" s="97" t="n"/>
      <c r="CC47" s="96" t="inlineStr">
        <is>
          <t>LCH04</t>
        </is>
      </c>
      <c r="CD47" s="97" t="n"/>
      <c r="CE47" s="97" t="n"/>
      <c r="CF47" s="96" t="inlineStr">
        <is>
          <t>0 Teu</t>
        </is>
      </c>
      <c r="CG47" s="96" t="inlineStr">
        <is>
          <t>CY/CY</t>
        </is>
      </c>
      <c r="CH47" s="97" t="n"/>
      <c r="CI47" s="96" t="inlineStr">
        <is>
          <t>cs08@aal.co.th</t>
        </is>
      </c>
      <c r="CJ47" s="96" t="inlineStr">
        <is>
          <t>JUPITER LOGISTICS (THAILAND)</t>
        </is>
      </c>
      <c r="CK47" s="96" t="inlineStr">
        <is>
          <t>PT DENSO INDONESIA-BEKASI PLANT</t>
        </is>
      </c>
      <c r="CL47" s="96" t="inlineStr">
        <is>
          <t>FAJAR INSAN NUSANTARA</t>
        </is>
      </c>
      <c r="CM47" s="97" t="n"/>
      <c r="CN47" s="96" t="inlineStr">
        <is>
          <t>202610201700</t>
        </is>
      </c>
      <c r="CO47" s="96" t="inlineStr">
        <is>
          <t>202610211700</t>
        </is>
      </c>
      <c r="CP47" s="97" t="n"/>
      <c r="CQ47" s="96" t="inlineStr">
        <is>
          <t>S22-2406031</t>
        </is>
      </c>
      <c r="CR47" s="96" t="inlineStr">
        <is>
          <t>THTM9M</t>
        </is>
      </c>
      <c r="CS47" s="96" t="inlineStr">
        <is>
          <t>ASIA ATLANTIC LINENER COMPANY LIMITED.</t>
        </is>
      </c>
      <c r="CT47" s="96" t="inlineStr">
        <is>
          <t>N</t>
        </is>
      </c>
      <c r="CU47" s="97" t="n"/>
      <c r="CV47" s="97" t="n"/>
      <c r="CW47" s="161" t="inlineStr">
        <is>
          <t>2026-10-21</t>
        </is>
      </c>
      <c r="CX47" s="97" t="inlineStr">
        <is>
          <t>390210</t>
        </is>
      </c>
      <c r="CY47" s="183" t="n"/>
    </row>
    <row r="48" ht="12" customHeight="1">
      <c r="A48" s="116" t="inlineStr">
        <is>
          <t>HASLS22261000810</t>
        </is>
      </c>
      <c r="B48" s="96" t="inlineStr">
        <is>
          <t>20'x1</t>
        </is>
      </c>
      <c r="C48" s="97" t="n">
        <v>1</v>
      </c>
      <c r="D48" s="97" t="n">
        <v>1</v>
      </c>
      <c r="E48" s="97" t="n"/>
      <c r="F48" s="97" t="n">
        <v>0</v>
      </c>
      <c r="G48" s="97" t="n">
        <v>1</v>
      </c>
      <c r="H48" s="97" t="n">
        <v>0</v>
      </c>
      <c r="I48" s="97" t="n">
        <v>0</v>
      </c>
      <c r="J48" s="97" t="n">
        <v>1</v>
      </c>
      <c r="K48" s="96" t="inlineStr">
        <is>
          <t>N</t>
        </is>
      </c>
      <c r="L48" s="96" t="inlineStr">
        <is>
          <t>ANX</t>
        </is>
      </c>
      <c r="M48" s="96" t="inlineStr">
        <is>
          <t>YSVY</t>
        </is>
      </c>
      <c r="N48" s="96" t="inlineStr">
        <is>
          <t>2608S</t>
        </is>
      </c>
      <c r="O48" s="96" t="inlineStr">
        <is>
          <t>THLCH</t>
        </is>
      </c>
      <c r="P48" s="96" t="inlineStr">
        <is>
          <t>LCH04</t>
        </is>
      </c>
      <c r="Q48" s="96" t="inlineStr">
        <is>
          <t>IA</t>
        </is>
      </c>
      <c r="R48" s="161" t="inlineStr">
        <is>
          <t>2026-10-24</t>
        </is>
      </c>
      <c r="S48" s="96" t="inlineStr">
        <is>
          <t>IDJKT</t>
        </is>
      </c>
      <c r="T48" s="96" t="inlineStr">
        <is>
          <t>JKT02</t>
        </is>
      </c>
      <c r="U48" s="96" t="inlineStr">
        <is>
          <t>IDJKT</t>
        </is>
      </c>
      <c r="V48" s="161" t="inlineStr">
        <is>
          <t>2026-10-26</t>
        </is>
      </c>
      <c r="W48" s="96" t="inlineStr">
        <is>
          <t>IA</t>
        </is>
      </c>
      <c r="X48" s="97" t="n"/>
      <c r="Y48" s="97" t="n"/>
      <c r="Z48" s="97" t="n"/>
      <c r="AA48" s="96" t="inlineStr">
        <is>
          <t>EASTERN AIR LOGISTICS CO., LTD.</t>
        </is>
      </c>
      <c r="AB48" s="96" t="inlineStr">
        <is>
          <t>APEX CIRCUIT (THAILAND) CO., LTD.</t>
        </is>
      </c>
      <c r="AC48" s="163" t="n">
        <v>1582.21</v>
      </c>
      <c r="AD48" s="163" t="n">
        <v>3782.21</v>
      </c>
      <c r="AE48" s="96" t="inlineStr">
        <is>
          <t>OK</t>
        </is>
      </c>
      <c r="AF48" s="96" t="inlineStr">
        <is>
          <t>SR</t>
        </is>
      </c>
      <c r="AG48" s="97" t="n"/>
      <c r="AH48" s="96" t="inlineStr">
        <is>
          <t>CHK</t>
        </is>
      </c>
      <c r="AI48" s="97" t="inlineStr">
        <is>
          <t>OK</t>
        </is>
      </c>
      <c r="AJ48" s="97" t="n"/>
      <c r="AK48" s="97" t="n"/>
      <c r="AL48" s="97" t="n"/>
      <c r="AM48" s="96" t="inlineStr">
        <is>
          <t>TH0031</t>
        </is>
      </c>
      <c r="AN48" s="96" t="inlineStr">
        <is>
          <t>Pattarapong Saengthong</t>
        </is>
      </c>
      <c r="AO48" s="96" t="inlineStr">
        <is>
          <t xml:space="preserve">PRINTED CIRCUIT BOARD  NO BRAND </t>
        </is>
      </c>
      <c r="AP48" s="96" t="inlineStr">
        <is>
          <t>Normal</t>
        </is>
      </c>
      <c r="AQ48" s="97" t="n"/>
      <c r="AR48" s="97" t="n"/>
      <c r="AS48" s="97" t="n"/>
      <c r="AT48" s="97" t="n"/>
      <c r="AU48" s="97" t="n"/>
      <c r="AV48" s="97" t="n"/>
      <c r="AW48" s="97" t="n">
        <v>0</v>
      </c>
      <c r="AX48" s="96" t="inlineStr">
        <is>
          <t>N</t>
        </is>
      </c>
      <c r="AY48" s="97" t="n"/>
      <c r="AZ48" s="96" t="inlineStr">
        <is>
          <t>Pickup : 2026-10-17, Return : 2026-10-19</t>
        </is>
      </c>
      <c r="BA48" s="97" t="n"/>
      <c r="BB48" s="96" t="inlineStr">
        <is>
          <t>P</t>
        </is>
      </c>
      <c r="BC48" s="161" t="inlineStr">
        <is>
          <t>2026-10-09</t>
        </is>
      </c>
      <c r="BD48" s="161" t="inlineStr">
        <is>
          <t>2026-10-21</t>
        </is>
      </c>
      <c r="BE48" s="96" t="inlineStr">
        <is>
          <t>Y</t>
        </is>
      </c>
      <c r="BF48" s="96" t="inlineStr">
        <is>
          <t xml:space="preserve">PRINTED CIRCUIT BOARD  NO BRAND </t>
        </is>
      </c>
      <c r="BG48" s="96" t="inlineStr">
        <is>
          <t>Line</t>
        </is>
      </c>
      <c r="BH48" s="96" t="inlineStr">
        <is>
          <t>S22</t>
        </is>
      </c>
      <c r="BI48" s="97" t="n"/>
      <c r="BJ48" s="97" t="n"/>
      <c r="BK48" s="96" t="inlineStr">
        <is>
          <t>LCHY5</t>
        </is>
      </c>
      <c r="BL48" s="161" t="inlineStr">
        <is>
          <t>2026-10-17</t>
        </is>
      </c>
      <c r="BM48" s="127" t="n"/>
      <c r="BN48" s="127" t="n">
        <v>1</v>
      </c>
      <c r="BO48" s="127" t="n"/>
      <c r="BP48" s="127" t="n"/>
      <c r="BQ48" s="127" t="n"/>
      <c r="BR48" s="127" t="n"/>
      <c r="BS48" s="127" t="n"/>
      <c r="BT48" s="127" t="n"/>
      <c r="BU48" s="127" t="n"/>
      <c r="BV48" s="127" t="n"/>
      <c r="BW48" s="127" t="n"/>
      <c r="BX48" s="127" t="n"/>
      <c r="BY48" s="96" t="inlineStr">
        <is>
          <t>FULL</t>
        </is>
      </c>
      <c r="BZ48" s="97" t="n"/>
      <c r="CA48" s="96" t="inlineStr">
        <is>
          <t>Y</t>
        </is>
      </c>
      <c r="CB48" s="97" t="n"/>
      <c r="CC48" s="96" t="inlineStr">
        <is>
          <t>LCH04</t>
        </is>
      </c>
      <c r="CD48" s="97" t="n"/>
      <c r="CE48" s="97" t="n"/>
      <c r="CF48" s="96" t="inlineStr">
        <is>
          <t>0 Teu</t>
        </is>
      </c>
      <c r="CG48" s="96" t="inlineStr">
        <is>
          <t>CY/CY</t>
        </is>
      </c>
      <c r="CH48" s="97" t="n"/>
      <c r="CI48" s="96" t="inlineStr">
        <is>
          <t>seahq_export2@easternair.co.th</t>
        </is>
      </c>
      <c r="CJ48" s="96" t="inlineStr">
        <is>
          <t>EASTERN AIR LOGISTICS CO., LTD.</t>
        </is>
      </c>
      <c r="CK48" s="96" t="inlineStr">
        <is>
          <t>PT. LG INNOTEK INDONESIA</t>
        </is>
      </c>
      <c r="CL48" s="96" t="inlineStr">
        <is>
          <t>PT. WIDE LOGISTICS</t>
        </is>
      </c>
      <c r="CM48" s="97" t="n"/>
      <c r="CN48" s="96" t="inlineStr">
        <is>
          <t>202610201700</t>
        </is>
      </c>
      <c r="CO48" s="96" t="inlineStr">
        <is>
          <t>202610211700</t>
        </is>
      </c>
      <c r="CP48" s="97" t="n"/>
      <c r="CQ48" s="96" t="inlineStr">
        <is>
          <t>S22-2209015</t>
        </is>
      </c>
      <c r="CR48" s="96" t="inlineStr">
        <is>
          <t>THTL32</t>
        </is>
      </c>
      <c r="CS48" s="96" t="inlineStr">
        <is>
          <t>EASTERN AIR LOGISTICS CO., LTD.</t>
        </is>
      </c>
      <c r="CT48" s="96" t="inlineStr">
        <is>
          <t>N</t>
        </is>
      </c>
      <c r="CU48" s="97" t="n"/>
      <c r="CV48" s="97" t="n"/>
      <c r="CW48" s="161" t="inlineStr">
        <is>
          <t>2026-10-22</t>
        </is>
      </c>
      <c r="CX48" s="97" t="inlineStr">
        <is>
          <t>330113</t>
        </is>
      </c>
      <c r="CY48" s="183" t="n"/>
    </row>
    <row r="49" ht="12" customHeight="1">
      <c r="A49" s="116" t="inlineStr">
        <is>
          <t>HASLS22261000848</t>
        </is>
      </c>
      <c r="B49" s="96" t="inlineStr">
        <is>
          <t>20'x1</t>
        </is>
      </c>
      <c r="C49" s="97" t="n">
        <v>1</v>
      </c>
      <c r="D49" s="97" t="n">
        <v>1</v>
      </c>
      <c r="E49" s="97" t="n"/>
      <c r="F49" s="97" t="n">
        <v>0</v>
      </c>
      <c r="G49" s="97" t="n">
        <v>1</v>
      </c>
      <c r="H49" s="97" t="n">
        <v>0</v>
      </c>
      <c r="I49" s="97" t="n">
        <v>0</v>
      </c>
      <c r="J49" s="97" t="n">
        <v>1</v>
      </c>
      <c r="K49" s="96" t="inlineStr">
        <is>
          <t>N</t>
        </is>
      </c>
      <c r="L49" s="96" t="inlineStr">
        <is>
          <t>ANX</t>
        </is>
      </c>
      <c r="M49" s="96" t="inlineStr">
        <is>
          <t>YSVY</t>
        </is>
      </c>
      <c r="N49" s="96" t="inlineStr">
        <is>
          <t>2608S</t>
        </is>
      </c>
      <c r="O49" s="96" t="inlineStr">
        <is>
          <t>THLCH</t>
        </is>
      </c>
      <c r="P49" s="96" t="inlineStr">
        <is>
          <t>LCH04</t>
        </is>
      </c>
      <c r="Q49" s="96" t="inlineStr">
        <is>
          <t>IA</t>
        </is>
      </c>
      <c r="R49" s="161" t="inlineStr">
        <is>
          <t>2026-10-24</t>
        </is>
      </c>
      <c r="S49" s="96" t="inlineStr">
        <is>
          <t>IDJKT</t>
        </is>
      </c>
      <c r="T49" s="96" t="inlineStr">
        <is>
          <t>JKT02</t>
        </is>
      </c>
      <c r="U49" s="96" t="inlineStr">
        <is>
          <t>IDJKT</t>
        </is>
      </c>
      <c r="V49" s="161" t="inlineStr">
        <is>
          <t>2026-10-26</t>
        </is>
      </c>
      <c r="W49" s="96" t="inlineStr">
        <is>
          <t>IA</t>
        </is>
      </c>
      <c r="X49" s="97" t="n"/>
      <c r="Y49" s="97" t="n"/>
      <c r="Z49" s="97" t="n"/>
      <c r="AA49" s="96" t="inlineStr">
        <is>
          <t>YAMATO UNYU (THAILAND) CO., LTD.</t>
        </is>
      </c>
      <c r="AB49" s="96" t="inlineStr">
        <is>
          <t>T.RAD (THAILAND)CO., LTD.</t>
        </is>
      </c>
      <c r="AC49" s="163" t="n">
        <v>1145.15</v>
      </c>
      <c r="AD49" s="163" t="n">
        <v>3345.15</v>
      </c>
      <c r="AE49" s="96" t="inlineStr">
        <is>
          <t>OK</t>
        </is>
      </c>
      <c r="AF49" s="96" t="n"/>
      <c r="AG49" s="97" t="n"/>
      <c r="AH49" s="96" t="inlineStr">
        <is>
          <t>CHK</t>
        </is>
      </c>
      <c r="AI49" s="97" t="inlineStr">
        <is>
          <t>OK</t>
        </is>
      </c>
      <c r="AJ49" s="97" t="n"/>
      <c r="AK49" s="97" t="n"/>
      <c r="AL49" s="97" t="n"/>
      <c r="AM49" s="96" t="inlineStr">
        <is>
          <t>TH0011</t>
        </is>
      </c>
      <c r="AN49" s="96" t="inlineStr">
        <is>
          <t>Nannaapust Sukporntaweewat</t>
        </is>
      </c>
      <c r="AO49" s="96" t="inlineStr">
        <is>
          <t>PARTS FOR RADIATOR MOTORCYCLE</t>
        </is>
      </c>
      <c r="AP49" s="96" t="inlineStr">
        <is>
          <t>Normal</t>
        </is>
      </c>
      <c r="AQ49" s="97" t="n"/>
      <c r="AR49" s="97" t="n"/>
      <c r="AS49" s="97" t="n"/>
      <c r="AT49" s="97" t="n"/>
      <c r="AU49" s="97" t="n"/>
      <c r="AV49" s="97" t="n"/>
      <c r="AW49" s="97" t="n">
        <v>0</v>
      </c>
      <c r="AX49" s="96" t="inlineStr">
        <is>
          <t>N</t>
        </is>
      </c>
      <c r="AY49" s="97" t="n"/>
      <c r="AZ49" s="96" t="inlineStr">
        <is>
          <t>Pickup : 2026-10-20, Return : 2026-10-20</t>
        </is>
      </c>
      <c r="BA49" s="97" t="inlineStr">
        <is>
          <t>FM NSSJ 2608S DD.19/10SURRENDERED BL</t>
        </is>
      </c>
      <c r="BB49" s="96" t="inlineStr">
        <is>
          <t>P</t>
        </is>
      </c>
      <c r="BC49" s="161" t="inlineStr">
        <is>
          <t>2026-10-12</t>
        </is>
      </c>
      <c r="BD49" s="161" t="inlineStr">
        <is>
          <t>2026-10-21</t>
        </is>
      </c>
      <c r="BE49" s="96" t="inlineStr">
        <is>
          <t>Y</t>
        </is>
      </c>
      <c r="BF49" s="96" t="inlineStr">
        <is>
          <t>MOTORCYCLE PARTS</t>
        </is>
      </c>
      <c r="BG49" s="96" t="inlineStr">
        <is>
          <t>Line</t>
        </is>
      </c>
      <c r="BH49" s="96" t="inlineStr">
        <is>
          <t>S22</t>
        </is>
      </c>
      <c r="BI49" s="97" t="n"/>
      <c r="BJ49" s="97" t="n"/>
      <c r="BK49" s="96" t="inlineStr">
        <is>
          <t>LCH27</t>
        </is>
      </c>
      <c r="BL49" s="161" t="inlineStr">
        <is>
          <t>2026-10-20</t>
        </is>
      </c>
      <c r="BM49" s="127" t="n"/>
      <c r="BN49" s="127" t="n">
        <v>1</v>
      </c>
      <c r="BO49" s="127" t="n"/>
      <c r="BP49" s="127" t="n"/>
      <c r="BQ49" s="127" t="n"/>
      <c r="BR49" s="127" t="n"/>
      <c r="BS49" s="127" t="n"/>
      <c r="BT49" s="127" t="n"/>
      <c r="BU49" s="127" t="n"/>
      <c r="BV49" s="127" t="n"/>
      <c r="BW49" s="127" t="n"/>
      <c r="BX49" s="127" t="n"/>
      <c r="BY49" s="96" t="inlineStr">
        <is>
          <t>FULL</t>
        </is>
      </c>
      <c r="BZ49" s="97" t="n"/>
      <c r="CA49" s="96" t="inlineStr">
        <is>
          <t>Y</t>
        </is>
      </c>
      <c r="CB49" s="97" t="n"/>
      <c r="CC49" s="96" t="inlineStr">
        <is>
          <t>LCH04</t>
        </is>
      </c>
      <c r="CD49" s="97" t="n"/>
      <c r="CE49" s="97" t="n"/>
      <c r="CF49" s="96" t="inlineStr">
        <is>
          <t>0 Teu</t>
        </is>
      </c>
      <c r="CG49" s="96" t="inlineStr">
        <is>
          <t>CY/CY</t>
        </is>
      </c>
      <c r="CH49" s="97" t="n"/>
      <c r="CI49" s="96" t="inlineStr">
        <is>
          <t>seaexport@yamatothai.com</t>
        </is>
      </c>
      <c r="CJ49" s="96" t="inlineStr">
        <is>
          <t>YAMATO UNYU (THAILAND) CO.,LTD.</t>
        </is>
      </c>
      <c r="CK49" s="96" t="inlineStr">
        <is>
          <t>PT. T.RAD INDONESIA</t>
        </is>
      </c>
      <c r="CL49" s="96" t="inlineStr">
        <is>
          <t>PT. YAMATO INDONESIA FORWARDING</t>
        </is>
      </c>
      <c r="CM49" s="97" t="n"/>
      <c r="CN49" s="96" t="inlineStr">
        <is>
          <t>202610201700</t>
        </is>
      </c>
      <c r="CO49" s="96" t="inlineStr">
        <is>
          <t>202610211700</t>
        </is>
      </c>
      <c r="CP49" s="97" t="n"/>
      <c r="CQ49" s="96" t="inlineStr">
        <is>
          <t>S22-2503020</t>
        </is>
      </c>
      <c r="CR49" s="96" t="inlineStr">
        <is>
          <t>TH02EE</t>
        </is>
      </c>
      <c r="CS49" s="96" t="inlineStr">
        <is>
          <t>YAMATO UNYU (THAILAND) CO., LTD.</t>
        </is>
      </c>
      <c r="CT49" s="96" t="inlineStr">
        <is>
          <t>N</t>
        </is>
      </c>
      <c r="CU49" s="97" t="n"/>
      <c r="CV49" s="97" t="n"/>
      <c r="CW49" s="161" t="inlineStr">
        <is>
          <t>2026-10-23</t>
        </is>
      </c>
      <c r="CX49" s="97" t="inlineStr">
        <is>
          <t>871410</t>
        </is>
      </c>
      <c r="CY49" s="183" t="n"/>
    </row>
    <row r="50" ht="12" customHeight="1">
      <c r="A50" s="116" t="inlineStr">
        <is>
          <t>HASLS22261001023</t>
        </is>
      </c>
      <c r="B50" s="96" t="inlineStr">
        <is>
          <t>20'x1</t>
        </is>
      </c>
      <c r="C50" s="97" t="n">
        <v>1</v>
      </c>
      <c r="D50" s="97" t="n">
        <v>1</v>
      </c>
      <c r="E50" s="97" t="n"/>
      <c r="F50" s="97" t="n">
        <v>0</v>
      </c>
      <c r="G50" s="97" t="n">
        <v>1</v>
      </c>
      <c r="H50" s="97" t="n">
        <v>0</v>
      </c>
      <c r="I50" s="97" t="n">
        <v>0</v>
      </c>
      <c r="J50" s="97" t="n">
        <v>1</v>
      </c>
      <c r="K50" s="96" t="inlineStr">
        <is>
          <t>N</t>
        </is>
      </c>
      <c r="L50" s="96" t="inlineStr">
        <is>
          <t>ANX</t>
        </is>
      </c>
      <c r="M50" s="96" t="inlineStr">
        <is>
          <t>YSVY</t>
        </is>
      </c>
      <c r="N50" s="96" t="inlineStr">
        <is>
          <t>2608S</t>
        </is>
      </c>
      <c r="O50" s="96" t="inlineStr">
        <is>
          <t>THLCH</t>
        </is>
      </c>
      <c r="P50" s="96" t="inlineStr">
        <is>
          <t>LCH04</t>
        </is>
      </c>
      <c r="Q50" s="96" t="inlineStr">
        <is>
          <t>IA</t>
        </is>
      </c>
      <c r="R50" s="161" t="inlineStr">
        <is>
          <t>2026-10-24</t>
        </is>
      </c>
      <c r="S50" s="96" t="inlineStr">
        <is>
          <t>IDJKT</t>
        </is>
      </c>
      <c r="T50" s="96" t="inlineStr">
        <is>
          <t>JKT02</t>
        </is>
      </c>
      <c r="U50" s="96" t="inlineStr">
        <is>
          <t>IDJKT</t>
        </is>
      </c>
      <c r="V50" s="161" t="inlineStr">
        <is>
          <t>2026-10-26</t>
        </is>
      </c>
      <c r="W50" s="96" t="inlineStr">
        <is>
          <t>IA</t>
        </is>
      </c>
      <c r="X50" s="97" t="n"/>
      <c r="Y50" s="97" t="n"/>
      <c r="Z50" s="97" t="n"/>
      <c r="AA50" s="96" t="inlineStr">
        <is>
          <t>LEO GLOBAL LOGISTICS PUBLIC COMPANY LIMITED</t>
        </is>
      </c>
      <c r="AB50" s="96" t="inlineStr">
        <is>
          <t>MODERN DYESTUFFS &amp; PIGMENTS CO., LTD.</t>
        </is>
      </c>
      <c r="AC50" s="163" t="n">
        <v>11537.4</v>
      </c>
      <c r="AD50" s="163" t="n">
        <v>13737.4</v>
      </c>
      <c r="AE50" s="96" t="inlineStr">
        <is>
          <t>OK</t>
        </is>
      </c>
      <c r="AF50" s="96" t="inlineStr">
        <is>
          <t>SR</t>
        </is>
      </c>
      <c r="AG50" s="97" t="n"/>
      <c r="AH50" s="96" t="inlineStr">
        <is>
          <t>CHK</t>
        </is>
      </c>
      <c r="AI50" s="97" t="inlineStr">
        <is>
          <t>OK</t>
        </is>
      </c>
      <c r="AJ50" s="97" t="n"/>
      <c r="AK50" s="97" t="n"/>
      <c r="AL50" s="97" t="n"/>
      <c r="AM50" s="96" t="inlineStr">
        <is>
          <t>TBKK55</t>
        </is>
      </c>
      <c r="AN50" s="96" t="inlineStr">
        <is>
          <t>Vilaiporn</t>
        </is>
      </c>
      <c r="AO50" s="96" t="inlineStr">
        <is>
          <t>ORGANIC DYESTUFFS / H.S.CODE 320412</t>
        </is>
      </c>
      <c r="AP50" s="96" t="inlineStr">
        <is>
          <t>Normal</t>
        </is>
      </c>
      <c r="AQ50" s="97" t="n"/>
      <c r="AR50" s="97" t="n"/>
      <c r="AS50" s="97" t="n"/>
      <c r="AT50" s="97" t="n"/>
      <c r="AU50" s="97" t="n"/>
      <c r="AV50" s="97" t="n"/>
      <c r="AW50" s="97" t="n">
        <v>0</v>
      </c>
      <c r="AX50" s="96" t="inlineStr">
        <is>
          <t>N</t>
        </is>
      </c>
      <c r="AY50" s="97" t="n"/>
      <c r="AZ50" s="96" t="inlineStr">
        <is>
          <t>Pickup : 2026-10-21, Return : 2026-10-21
CLS TIME DD.21/10/2026 @ 23.59</t>
        </is>
      </c>
      <c r="BA50" s="97" t="inlineStr">
        <is>
          <t>REQUEST SMOOTH, GOOD AND CLEAN CONTAINER</t>
        </is>
      </c>
      <c r="BB50" s="96" t="inlineStr">
        <is>
          <t>P</t>
        </is>
      </c>
      <c r="BC50" s="161" t="inlineStr">
        <is>
          <t>2026-10-14</t>
        </is>
      </c>
      <c r="BD50" s="161" t="inlineStr">
        <is>
          <t>2026-10-20</t>
        </is>
      </c>
      <c r="BE50" s="96" t="inlineStr">
        <is>
          <t>Y</t>
        </is>
      </c>
      <c r="BF50" s="96" t="inlineStr">
        <is>
          <t>ORGANIC DYESTUFFS / H.S.CODE 320412</t>
        </is>
      </c>
      <c r="BG50" s="96" t="inlineStr">
        <is>
          <t>Line</t>
        </is>
      </c>
      <c r="BH50" s="96" t="inlineStr">
        <is>
          <t>S22</t>
        </is>
      </c>
      <c r="BI50" s="97" t="n"/>
      <c r="BJ50" s="97" t="n"/>
      <c r="BK50" s="96" t="inlineStr">
        <is>
          <t>LCH27</t>
        </is>
      </c>
      <c r="BL50" s="161" t="inlineStr">
        <is>
          <t>2026-10-21</t>
        </is>
      </c>
      <c r="BM50" s="127" t="n"/>
      <c r="BN50" s="127" t="n">
        <v>1</v>
      </c>
      <c r="BO50" s="127" t="n"/>
      <c r="BP50" s="127" t="n"/>
      <c r="BQ50" s="127" t="n"/>
      <c r="BR50" s="127" t="n"/>
      <c r="BS50" s="127" t="n"/>
      <c r="BT50" s="127" t="n"/>
      <c r="BU50" s="127" t="n"/>
      <c r="BV50" s="127" t="n"/>
      <c r="BW50" s="127" t="n"/>
      <c r="BX50" s="127" t="n"/>
      <c r="BY50" s="96" t="inlineStr">
        <is>
          <t>FULL</t>
        </is>
      </c>
      <c r="BZ50" s="97" t="n"/>
      <c r="CA50" s="96" t="inlineStr">
        <is>
          <t>Y</t>
        </is>
      </c>
      <c r="CB50" s="97" t="n"/>
      <c r="CC50" s="96" t="inlineStr">
        <is>
          <t>LCH04</t>
        </is>
      </c>
      <c r="CD50" s="97" t="n"/>
      <c r="CE50" s="97" t="n"/>
      <c r="CF50" s="96" t="inlineStr">
        <is>
          <t>0 Teu</t>
        </is>
      </c>
      <c r="CG50" s="96" t="inlineStr">
        <is>
          <t>CY/CY</t>
        </is>
      </c>
      <c r="CH50" s="97" t="n"/>
      <c r="CI50" s="96" t="inlineStr">
        <is>
          <t>da@leogloballogistics.com</t>
        </is>
      </c>
      <c r="CJ50" s="96" t="inlineStr">
        <is>
          <t>MODERN DYESTUFFS &amp; PIGMENTS</t>
        </is>
      </c>
      <c r="CK50" s="96" t="inlineStr">
        <is>
          <t>PT.LIANHUA LEATHER INDUSTRY</t>
        </is>
      </c>
      <c r="CL50" s="96" t="inlineStr">
        <is>
          <t>PT.LIANHUA LEATHER INDUSTRY</t>
        </is>
      </c>
      <c r="CM50" s="97" t="n"/>
      <c r="CN50" s="96" t="inlineStr">
        <is>
          <t>202610201700</t>
        </is>
      </c>
      <c r="CO50" s="96" t="inlineStr">
        <is>
          <t>202610211700</t>
        </is>
      </c>
      <c r="CP50" s="97" t="n"/>
      <c r="CQ50" s="96" t="inlineStr">
        <is>
          <t>S22-2308050</t>
        </is>
      </c>
      <c r="CR50" s="96" t="inlineStr">
        <is>
          <t>BB0045</t>
        </is>
      </c>
      <c r="CS50" s="96" t="inlineStr">
        <is>
          <t>LEO GLOBAL LOGISTICS PUBLIC COMPANY LIMITED</t>
        </is>
      </c>
      <c r="CT50" s="96" t="inlineStr">
        <is>
          <t>N</t>
        </is>
      </c>
      <c r="CU50" s="97" t="n"/>
      <c r="CV50" s="97" t="n"/>
      <c r="CW50" s="161" t="inlineStr">
        <is>
          <t>2026-10-22</t>
        </is>
      </c>
      <c r="CX50" s="97" t="inlineStr">
        <is>
          <t>320412</t>
        </is>
      </c>
      <c r="CY50" s="183" t="n"/>
    </row>
    <row r="51" ht="12" customHeight="1">
      <c r="A51" s="116" t="inlineStr">
        <is>
          <t>HASLS22261001027</t>
        </is>
      </c>
      <c r="B51" s="96" t="inlineStr">
        <is>
          <t>20'x1</t>
        </is>
      </c>
      <c r="C51" s="97" t="n">
        <v>1</v>
      </c>
      <c r="D51" s="97" t="n">
        <v>1</v>
      </c>
      <c r="E51" s="97" t="inlineStr">
        <is>
          <t>THLKR</t>
        </is>
      </c>
      <c r="F51" s="97" t="n">
        <v>0</v>
      </c>
      <c r="G51" s="97" t="n">
        <v>1</v>
      </c>
      <c r="H51" s="97" t="n">
        <v>0</v>
      </c>
      <c r="I51" s="97" t="n">
        <v>0</v>
      </c>
      <c r="J51" s="97" t="n">
        <v>1</v>
      </c>
      <c r="K51" s="96" t="inlineStr">
        <is>
          <t>N</t>
        </is>
      </c>
      <c r="L51" s="96" t="inlineStr">
        <is>
          <t>ANX</t>
        </is>
      </c>
      <c r="M51" s="96" t="inlineStr">
        <is>
          <t>YSVY</t>
        </is>
      </c>
      <c r="N51" s="96" t="inlineStr">
        <is>
          <t>2608S</t>
        </is>
      </c>
      <c r="O51" s="96" t="inlineStr">
        <is>
          <t>THLCH</t>
        </is>
      </c>
      <c r="P51" s="96" t="inlineStr">
        <is>
          <t>LCH04</t>
        </is>
      </c>
      <c r="Q51" s="96" t="inlineStr">
        <is>
          <t>IA</t>
        </is>
      </c>
      <c r="R51" s="161" t="inlineStr">
        <is>
          <t>2026-10-24</t>
        </is>
      </c>
      <c r="S51" s="96" t="inlineStr">
        <is>
          <t>IDJKT</t>
        </is>
      </c>
      <c r="T51" s="96" t="inlineStr">
        <is>
          <t>JKT02</t>
        </is>
      </c>
      <c r="U51" s="96" t="inlineStr">
        <is>
          <t>IDJKT</t>
        </is>
      </c>
      <c r="V51" s="161" t="inlineStr">
        <is>
          <t>2026-10-26</t>
        </is>
      </c>
      <c r="W51" s="96" t="inlineStr">
        <is>
          <t>IA</t>
        </is>
      </c>
      <c r="X51" s="97" t="n"/>
      <c r="Y51" s="97" t="n"/>
      <c r="Z51" s="97" t="n"/>
      <c r="AA51" s="96" t="inlineStr">
        <is>
          <t>CARGO-PARTNER LOGISTICS LTD.</t>
        </is>
      </c>
      <c r="AB51" s="96" t="inlineStr">
        <is>
          <t>SUNTA MOLD ENGINEERING CO., LTD.</t>
        </is>
      </c>
      <c r="AC51" s="163" t="n">
        <v>445.1</v>
      </c>
      <c r="AD51" s="163" t="n">
        <v>2645.1</v>
      </c>
      <c r="AE51" s="96" t="inlineStr">
        <is>
          <t>OK</t>
        </is>
      </c>
      <c r="AF51" s="96" t="n"/>
      <c r="AG51" s="97" t="n"/>
      <c r="AH51" s="96" t="inlineStr">
        <is>
          <t>CHK</t>
        </is>
      </c>
      <c r="AI51" s="97" t="inlineStr">
        <is>
          <t>OK</t>
        </is>
      </c>
      <c r="AJ51" s="97" t="n"/>
      <c r="AK51" s="97" t="n"/>
      <c r="AL51" s="97" t="n"/>
      <c r="AM51" s="96" t="inlineStr">
        <is>
          <t>TH0031</t>
        </is>
      </c>
      <c r="AN51" s="96" t="inlineStr">
        <is>
          <t>Pattarapong Saengthong</t>
        </is>
      </c>
      <c r="AO51" s="96" t="inlineStr">
        <is>
          <t>MEN MESH SANDALS</t>
        </is>
      </c>
      <c r="AP51" s="96" t="inlineStr">
        <is>
          <t>Normal</t>
        </is>
      </c>
      <c r="AQ51" s="97" t="n"/>
      <c r="AR51" s="97" t="n"/>
      <c r="AS51" s="97" t="n"/>
      <c r="AT51" s="97" t="n"/>
      <c r="AU51" s="97" t="n"/>
      <c r="AV51" s="97" t="n"/>
      <c r="AW51" s="97" t="n">
        <v>0</v>
      </c>
      <c r="AX51" s="96" t="inlineStr">
        <is>
          <t>N</t>
        </is>
      </c>
      <c r="AY51" s="97" t="n"/>
      <c r="AZ51" s="96" t="inlineStr">
        <is>
          <t>Pickup : 2026-10-17, Return : 2026-10-17 Paperless Code 2835
Closing Time LKB 2026-10-19 @ 12.00</t>
        </is>
      </c>
      <c r="BA51" s="97" t="inlineStr">
        <is>
          <t>suurender BL</t>
        </is>
      </c>
      <c r="BB51" s="96" t="inlineStr">
        <is>
          <t>P</t>
        </is>
      </c>
      <c r="BC51" s="161" t="inlineStr">
        <is>
          <t>2026-10-14</t>
        </is>
      </c>
      <c r="BD51" s="161" t="inlineStr">
        <is>
          <t>2026-10-21</t>
        </is>
      </c>
      <c r="BE51" s="96" t="inlineStr">
        <is>
          <t>Y</t>
        </is>
      </c>
      <c r="BF51" s="96" t="inlineStr">
        <is>
          <t>FOOTWEAR</t>
        </is>
      </c>
      <c r="BG51" s="96" t="inlineStr">
        <is>
          <t>Line</t>
        </is>
      </c>
      <c r="BH51" s="96" t="inlineStr">
        <is>
          <t>S22</t>
        </is>
      </c>
      <c r="BI51" s="97" t="n"/>
      <c r="BJ51" s="97" t="n"/>
      <c r="BK51" s="96" t="inlineStr">
        <is>
          <t>BKK27</t>
        </is>
      </c>
      <c r="BL51" s="161" t="inlineStr">
        <is>
          <t>2026-10-17</t>
        </is>
      </c>
      <c r="BM51" s="127" t="n"/>
      <c r="BN51" s="127" t="n">
        <v>1</v>
      </c>
      <c r="BO51" s="127" t="n"/>
      <c r="BP51" s="127" t="n"/>
      <c r="BQ51" s="127" t="n"/>
      <c r="BR51" s="127" t="n"/>
      <c r="BS51" s="127" t="n"/>
      <c r="BT51" s="127" t="n"/>
      <c r="BU51" s="127" t="n"/>
      <c r="BV51" s="127" t="n"/>
      <c r="BW51" s="127" t="n"/>
      <c r="BX51" s="127" t="n"/>
      <c r="BY51" s="96" t="inlineStr">
        <is>
          <t>FULL</t>
        </is>
      </c>
      <c r="BZ51" s="97" t="n"/>
      <c r="CA51" s="96" t="inlineStr">
        <is>
          <t>Y</t>
        </is>
      </c>
      <c r="CB51" s="97" t="n"/>
      <c r="CC51" s="96" t="inlineStr">
        <is>
          <t>LCH55</t>
        </is>
      </c>
      <c r="CD51" s="97" t="n"/>
      <c r="CE51" s="97" t="n"/>
      <c r="CF51" s="96" t="inlineStr">
        <is>
          <t>0 Teu</t>
        </is>
      </c>
      <c r="CG51" s="96" t="inlineStr">
        <is>
          <t>CY/CY</t>
        </is>
      </c>
      <c r="CH51" s="97" t="n"/>
      <c r="CI51" s="96" t="inlineStr">
        <is>
          <t>sutamart.moonguen@cargo-partner.com</t>
        </is>
      </c>
      <c r="CJ51" s="96" t="inlineStr">
        <is>
          <t>CARGO-PARTNER LOGISTICS LTD.</t>
        </is>
      </c>
      <c r="CK51" s="96" t="inlineStr">
        <is>
          <t>PT TRANSMARCO</t>
        </is>
      </c>
      <c r="CL51" s="96" t="inlineStr">
        <is>
          <t>PT. 7 STAR LOGISTICS</t>
        </is>
      </c>
      <c r="CM51" s="97" t="n"/>
      <c r="CN51" s="96" t="inlineStr">
        <is>
          <t>202610201700</t>
        </is>
      </c>
      <c r="CO51" s="96" t="inlineStr">
        <is>
          <t>202610211700</t>
        </is>
      </c>
      <c r="CP51" s="97" t="n"/>
      <c r="CQ51" s="96" t="inlineStr">
        <is>
          <t>STANDARD</t>
        </is>
      </c>
      <c r="CR51" s="96" t="inlineStr">
        <is>
          <t>TH02A9</t>
        </is>
      </c>
      <c r="CS51" s="96" t="inlineStr">
        <is>
          <t>CARGO-PARTNER LOGISTICS LTD.</t>
        </is>
      </c>
      <c r="CT51" s="96" t="inlineStr">
        <is>
          <t>N</t>
        </is>
      </c>
      <c r="CU51" s="97" t="n"/>
      <c r="CV51" s="97" t="n"/>
      <c r="CW51" s="161" t="inlineStr">
        <is>
          <t>2026-10-22</t>
        </is>
      </c>
      <c r="CX51" s="97" t="inlineStr">
        <is>
          <t>640419</t>
        </is>
      </c>
      <c r="CY51" s="183" t="n"/>
    </row>
    <row r="52" ht="12" customHeight="1">
      <c r="A52" s="116" t="inlineStr">
        <is>
          <t>HASLS22261001126</t>
        </is>
      </c>
      <c r="B52" s="96" t="inlineStr">
        <is>
          <t>20'x1</t>
        </is>
      </c>
      <c r="C52" s="97" t="n">
        <v>0</v>
      </c>
      <c r="D52" s="97" t="n">
        <v>1</v>
      </c>
      <c r="E52" s="97" t="inlineStr">
        <is>
          <t>THLKR</t>
        </is>
      </c>
      <c r="F52" s="97" t="n">
        <v>0</v>
      </c>
      <c r="G52" s="97" t="n">
        <v>1</v>
      </c>
      <c r="H52" s="97" t="n">
        <v>0</v>
      </c>
      <c r="I52" s="97" t="n">
        <v>0</v>
      </c>
      <c r="J52" s="97" t="n">
        <v>1</v>
      </c>
      <c r="K52" s="96" t="inlineStr">
        <is>
          <t>N</t>
        </is>
      </c>
      <c r="L52" s="96" t="inlineStr">
        <is>
          <t>ANX</t>
        </is>
      </c>
      <c r="M52" s="96" t="inlineStr">
        <is>
          <t>YSVY</t>
        </is>
      </c>
      <c r="N52" s="96" t="inlineStr">
        <is>
          <t>2608S</t>
        </is>
      </c>
      <c r="O52" s="96" t="inlineStr">
        <is>
          <t>THLCH</t>
        </is>
      </c>
      <c r="P52" s="96" t="inlineStr">
        <is>
          <t>LCH04</t>
        </is>
      </c>
      <c r="Q52" s="96" t="inlineStr">
        <is>
          <t>IA</t>
        </is>
      </c>
      <c r="R52" s="161" t="inlineStr">
        <is>
          <t>2026-10-24</t>
        </is>
      </c>
      <c r="S52" s="96" t="inlineStr">
        <is>
          <t>IDJKT</t>
        </is>
      </c>
      <c r="T52" s="96" t="inlineStr">
        <is>
          <t>JKT02</t>
        </is>
      </c>
      <c r="U52" s="96" t="inlineStr">
        <is>
          <t>IDJKT</t>
        </is>
      </c>
      <c r="V52" s="161" t="inlineStr">
        <is>
          <t>2026-10-26</t>
        </is>
      </c>
      <c r="W52" s="96" t="inlineStr">
        <is>
          <t>IA</t>
        </is>
      </c>
      <c r="X52" s="97" t="n"/>
      <c r="Y52" s="97" t="n"/>
      <c r="Z52" s="97" t="n"/>
      <c r="AA52" s="96" t="inlineStr">
        <is>
          <t>WARATHEP INTERNATIONAL FREIGHT CO., LTD.</t>
        </is>
      </c>
      <c r="AB52" s="96" t="inlineStr">
        <is>
          <t>SIAM GUMED TAPE CO., LTD</t>
        </is>
      </c>
      <c r="AC52" s="163" t="n">
        <v>9689.299999999999</v>
      </c>
      <c r="AD52" s="163" t="n">
        <v>11889.3</v>
      </c>
      <c r="AE52" s="96" t="inlineStr">
        <is>
          <t>OK</t>
        </is>
      </c>
      <c r="AF52" s="96" t="inlineStr">
        <is>
          <t>SR</t>
        </is>
      </c>
      <c r="AG52" s="97" t="n"/>
      <c r="AH52" s="96" t="inlineStr">
        <is>
          <t>CON</t>
        </is>
      </c>
      <c r="AI52" s="97" t="inlineStr">
        <is>
          <t>OK</t>
        </is>
      </c>
      <c r="AJ52" s="97" t="n"/>
      <c r="AK52" s="97" t="n"/>
      <c r="AL52" s="97" t="n"/>
      <c r="AM52" s="96" t="inlineStr">
        <is>
          <t>TH0042</t>
        </is>
      </c>
      <c r="AN52" s="96" t="inlineStr">
        <is>
          <t>Sukunpoj Damrongying</t>
        </is>
      </c>
      <c r="AO52" s="96" t="inlineStr">
        <is>
          <t xml:space="preserve">ZIP TAPE, BUNDLING TAPE </t>
        </is>
      </c>
      <c r="AP52" s="96" t="inlineStr">
        <is>
          <t>Normal</t>
        </is>
      </c>
      <c r="AQ52" s="97" t="n"/>
      <c r="AR52" s="97" t="n"/>
      <c r="AS52" s="97" t="n"/>
      <c r="AT52" s="97" t="n"/>
      <c r="AU52" s="97" t="n"/>
      <c r="AV52" s="97" t="n"/>
      <c r="AW52" s="97" t="n">
        <v>0</v>
      </c>
      <c r="AX52" s="96" t="inlineStr">
        <is>
          <t>N</t>
        </is>
      </c>
      <c r="AY52" s="97" t="n"/>
      <c r="AZ52" s="96" t="inlineStr">
        <is>
          <t xml:space="preserve">STUFFING AT ESCO LAT KRABANG (GATE 2) DD.16/10/2026**CLOSING TIME DD.19/10/2026 @ 17.00**
PAPERLESS CODE : 2835
</t>
        </is>
      </c>
      <c r="BA52" s="97" t="inlineStr">
        <is>
          <t xml:space="preserve">CFS AT LAT KRABANG 19/10/2026  </t>
        </is>
      </c>
      <c r="BB52" s="96" t="inlineStr">
        <is>
          <t>P</t>
        </is>
      </c>
      <c r="BC52" s="161" t="inlineStr">
        <is>
          <t>2026-10-15</t>
        </is>
      </c>
      <c r="BD52" s="161" t="inlineStr">
        <is>
          <t>2026-10-19</t>
        </is>
      </c>
      <c r="BE52" s="96" t="inlineStr">
        <is>
          <t>Y</t>
        </is>
      </c>
      <c r="BF52" s="96" t="inlineStr">
        <is>
          <t xml:space="preserve">BUNDLING TAPE </t>
        </is>
      </c>
      <c r="BG52" s="96" t="inlineStr">
        <is>
          <t>Line</t>
        </is>
      </c>
      <c r="BH52" s="96" t="inlineStr">
        <is>
          <t>S22</t>
        </is>
      </c>
      <c r="BI52" s="97" t="n"/>
      <c r="BJ52" s="97" t="n"/>
      <c r="BK52" s="96" t="inlineStr">
        <is>
          <t>LCH55</t>
        </is>
      </c>
      <c r="BL52" s="161" t="inlineStr">
        <is>
          <t>2026-10-16</t>
        </is>
      </c>
      <c r="BM52" s="127" t="n"/>
      <c r="BN52" s="127" t="n">
        <v>1</v>
      </c>
      <c r="BO52" s="127" t="n"/>
      <c r="BP52" s="127" t="n"/>
      <c r="BQ52" s="127" t="n"/>
      <c r="BR52" s="127" t="n"/>
      <c r="BS52" s="127" t="n"/>
      <c r="BT52" s="127" t="n"/>
      <c r="BU52" s="127" t="n"/>
      <c r="BV52" s="127" t="n"/>
      <c r="BW52" s="127" t="n"/>
      <c r="BX52" s="127" t="n"/>
      <c r="BY52" s="96" t="inlineStr">
        <is>
          <t>FULL</t>
        </is>
      </c>
      <c r="BZ52" s="97" t="n"/>
      <c r="CA52" s="96" t="inlineStr">
        <is>
          <t>Y</t>
        </is>
      </c>
      <c r="CB52" s="97" t="n"/>
      <c r="CC52" s="96" t="inlineStr">
        <is>
          <t>LCH55</t>
        </is>
      </c>
      <c r="CD52" s="97" t="n"/>
      <c r="CE52" s="97" t="n"/>
      <c r="CF52" s="96" t="inlineStr">
        <is>
          <t>0 Teu</t>
        </is>
      </c>
      <c r="CG52" s="96" t="inlineStr">
        <is>
          <t>CFS/CY</t>
        </is>
      </c>
      <c r="CH52" s="97" t="n"/>
      <c r="CI52" s="96" t="inlineStr">
        <is>
          <t>wawa@warathep-frt.co.th</t>
        </is>
      </c>
      <c r="CJ52" s="96" t="inlineStr">
        <is>
          <t>WARATHEP INTERNATIONAL FREIGHT</t>
        </is>
      </c>
      <c r="CK52" s="96" t="inlineStr">
        <is>
          <t>PT.SIAM-INDO GYPSUM INDUSTRY</t>
        </is>
      </c>
      <c r="CL52" s="96" t="inlineStr">
        <is>
          <t>PT. TRIUNFARA ABADI NUSANTARA</t>
        </is>
      </c>
      <c r="CM52" s="97" t="n"/>
      <c r="CN52" s="96" t="inlineStr">
        <is>
          <t>202610201700</t>
        </is>
      </c>
      <c r="CO52" s="96" t="inlineStr">
        <is>
          <t>202610211700</t>
        </is>
      </c>
      <c r="CP52" s="97" t="n"/>
      <c r="CQ52" s="96" t="inlineStr">
        <is>
          <t>S19-2110010</t>
        </is>
      </c>
      <c r="CR52" s="96" t="inlineStr">
        <is>
          <t>TH00O6</t>
        </is>
      </c>
      <c r="CS52" s="96" t="inlineStr">
        <is>
          <t>WARATHEP INTERNATIONAL FREIGHT CO., LTD.</t>
        </is>
      </c>
      <c r="CT52" s="96" t="inlineStr">
        <is>
          <t>N</t>
        </is>
      </c>
      <c r="CU52" s="97" t="n"/>
      <c r="CV52" s="97" t="n"/>
      <c r="CW52" s="161" t="inlineStr">
        <is>
          <t>2026-10-22</t>
        </is>
      </c>
      <c r="CX52" s="97" t="inlineStr">
        <is>
          <t>482390</t>
        </is>
      </c>
      <c r="CY52" s="183" t="n"/>
    </row>
    <row r="53" ht="12" customHeight="1">
      <c r="A53" s="116" t="inlineStr">
        <is>
          <t>HASLS22261001333</t>
        </is>
      </c>
      <c r="B53" s="96" t="inlineStr">
        <is>
          <t>20'x1</t>
        </is>
      </c>
      <c r="C53" s="97" t="n">
        <v>1</v>
      </c>
      <c r="D53" s="97" t="n">
        <v>1</v>
      </c>
      <c r="E53" s="97" t="n"/>
      <c r="F53" s="97" t="n">
        <v>0</v>
      </c>
      <c r="G53" s="97" t="n">
        <v>1</v>
      </c>
      <c r="H53" s="97" t="n">
        <v>0</v>
      </c>
      <c r="I53" s="97" t="n">
        <v>0</v>
      </c>
      <c r="J53" s="97" t="n">
        <v>1</v>
      </c>
      <c r="K53" s="96" t="inlineStr">
        <is>
          <t>N</t>
        </is>
      </c>
      <c r="L53" s="96" t="inlineStr">
        <is>
          <t>ANX</t>
        </is>
      </c>
      <c r="M53" s="96" t="inlineStr">
        <is>
          <t>YSVY</t>
        </is>
      </c>
      <c r="N53" s="96" t="inlineStr">
        <is>
          <t>2608S</t>
        </is>
      </c>
      <c r="O53" s="96" t="inlineStr">
        <is>
          <t>THLCH</t>
        </is>
      </c>
      <c r="P53" s="96" t="inlineStr">
        <is>
          <t>LCH04</t>
        </is>
      </c>
      <c r="Q53" s="96" t="inlineStr">
        <is>
          <t>IA</t>
        </is>
      </c>
      <c r="R53" s="161" t="inlineStr">
        <is>
          <t>2026-10-24</t>
        </is>
      </c>
      <c r="S53" s="96" t="inlineStr">
        <is>
          <t>IDJKT</t>
        </is>
      </c>
      <c r="T53" s="96" t="inlineStr">
        <is>
          <t>JKT02</t>
        </is>
      </c>
      <c r="U53" s="96" t="inlineStr">
        <is>
          <t>IDJKT</t>
        </is>
      </c>
      <c r="V53" s="161" t="inlineStr">
        <is>
          <t>2026-10-26</t>
        </is>
      </c>
      <c r="W53" s="96" t="inlineStr">
        <is>
          <t>IA</t>
        </is>
      </c>
      <c r="X53" s="97" t="n"/>
      <c r="Y53" s="97" t="n"/>
      <c r="Z53" s="97" t="n"/>
      <c r="AA53" s="96" t="inlineStr">
        <is>
          <t>YUSEN LOGISTICS (THAILAND) CO., LTD.</t>
        </is>
      </c>
      <c r="AB53" s="96" t="inlineStr">
        <is>
          <t>ADVICS ASIA PACIFIC CO.,LTD.</t>
        </is>
      </c>
      <c r="AC53" s="163" t="n">
        <v>8887.374</v>
      </c>
      <c r="AD53" s="163" t="n">
        <v>11087.374</v>
      </c>
      <c r="AE53" s="96" t="inlineStr">
        <is>
          <t>OK</t>
        </is>
      </c>
      <c r="AF53" s="96" t="inlineStr">
        <is>
          <t>SR</t>
        </is>
      </c>
      <c r="AG53" s="97" t="n"/>
      <c r="AH53" s="96" t="inlineStr">
        <is>
          <t>CHK</t>
        </is>
      </c>
      <c r="AI53" s="97" t="inlineStr">
        <is>
          <t>OK</t>
        </is>
      </c>
      <c r="AJ53" s="97" t="n"/>
      <c r="AK53" s="97" t="n"/>
      <c r="AL53" s="97" t="n"/>
      <c r="AM53" s="96" t="inlineStr">
        <is>
          <t>TBKK55</t>
        </is>
      </c>
      <c r="AN53" s="96" t="inlineStr">
        <is>
          <t>Vilaiporn</t>
        </is>
      </c>
      <c r="AO53" s="96" t="inlineStr">
        <is>
          <t>SHIM, ANTI SQUEAL</t>
        </is>
      </c>
      <c r="AP53" s="96" t="inlineStr">
        <is>
          <t>Normal</t>
        </is>
      </c>
      <c r="AQ53" s="97" t="n"/>
      <c r="AR53" s="97" t="n"/>
      <c r="AS53" s="97" t="n"/>
      <c r="AT53" s="97" t="n"/>
      <c r="AU53" s="97" t="n"/>
      <c r="AV53" s="97" t="n"/>
      <c r="AW53" s="97" t="n">
        <v>0</v>
      </c>
      <c r="AX53" s="96" t="inlineStr">
        <is>
          <t>N</t>
        </is>
      </c>
      <c r="AY53" s="97" t="inlineStr">
        <is>
          <t>OBL</t>
        </is>
      </c>
      <c r="AZ53" s="96" t="inlineStr">
        <is>
          <t>Pickup : 2026-10-19, Return : 2026-10-20</t>
        </is>
      </c>
      <c r="BA53" s="97" t="inlineStr">
        <is>
          <t>Remarks: kindly release good, clean, dry, no leak, no hole, no smell, no oil container.Please send the booking confirmation, draft MBL, invoice and any notice to email ylth.ml.offg.exp.iat@th.yusen-logistics.com and supatcha.s@th.yusen-logistics.com</t>
        </is>
      </c>
      <c r="BB53" s="96" t="inlineStr">
        <is>
          <t>P</t>
        </is>
      </c>
      <c r="BC53" s="161" t="inlineStr">
        <is>
          <t>2026-10-16</t>
        </is>
      </c>
      <c r="BD53" s="161" t="inlineStr">
        <is>
          <t>2026-10-20</t>
        </is>
      </c>
      <c r="BE53" s="96" t="inlineStr">
        <is>
          <t>Y</t>
        </is>
      </c>
      <c r="BF53" s="96" t="inlineStr">
        <is>
          <t>HYDRAULIC UNIT ASSY</t>
        </is>
      </c>
      <c r="BG53" s="96" t="inlineStr">
        <is>
          <t>Line</t>
        </is>
      </c>
      <c r="BH53" s="96" t="inlineStr">
        <is>
          <t>S22</t>
        </is>
      </c>
      <c r="BI53" s="97" t="n"/>
      <c r="BJ53" s="97" t="n"/>
      <c r="BK53" s="96" t="inlineStr">
        <is>
          <t>LCH27</t>
        </is>
      </c>
      <c r="BL53" s="161" t="inlineStr">
        <is>
          <t>2026-10-19</t>
        </is>
      </c>
      <c r="BM53" s="127" t="n"/>
      <c r="BN53" s="127" t="n">
        <v>1</v>
      </c>
      <c r="BO53" s="127" t="n"/>
      <c r="BP53" s="127" t="n"/>
      <c r="BQ53" s="127" t="n"/>
      <c r="BR53" s="127" t="n"/>
      <c r="BS53" s="127" t="n"/>
      <c r="BT53" s="127" t="n"/>
      <c r="BU53" s="127" t="n"/>
      <c r="BV53" s="127" t="n"/>
      <c r="BW53" s="127" t="n"/>
      <c r="BX53" s="127" t="n"/>
      <c r="BY53" s="96" t="inlineStr">
        <is>
          <t>FULL</t>
        </is>
      </c>
      <c r="BZ53" s="97" t="n"/>
      <c r="CA53" s="96" t="inlineStr">
        <is>
          <t>Y</t>
        </is>
      </c>
      <c r="CB53" s="97" t="n"/>
      <c r="CC53" s="96" t="inlineStr">
        <is>
          <t>LCH04</t>
        </is>
      </c>
      <c r="CD53" s="97" t="n"/>
      <c r="CE53" s="97" t="n"/>
      <c r="CF53" s="96" t="inlineStr">
        <is>
          <t>0 Teu</t>
        </is>
      </c>
      <c r="CG53" s="96" t="inlineStr">
        <is>
          <t>CY/CY</t>
        </is>
      </c>
      <c r="CH53" s="97" t="n"/>
      <c r="CI53" s="96" t="inlineStr">
        <is>
          <t>supatcha.s@th.yusen-logistics.com</t>
        </is>
      </c>
      <c r="CJ53" s="96" t="inlineStr">
        <is>
          <t>YUSEN LOGISTICS (THAILAND) CO., LTD</t>
        </is>
      </c>
      <c r="CK53" s="96" t="inlineStr">
        <is>
          <t>PT. AKEBONO BRAKE ASTRA INDONESIA</t>
        </is>
      </c>
      <c r="CL53" s="96" t="inlineStr">
        <is>
          <t>PT. YUSEN LOGISTICS INDONESIA</t>
        </is>
      </c>
      <c r="CM53" s="97" t="inlineStr">
        <is>
          <t>CLOSED</t>
        </is>
      </c>
      <c r="CN53" s="96" t="inlineStr">
        <is>
          <t>202610201700</t>
        </is>
      </c>
      <c r="CO53" s="96" t="inlineStr">
        <is>
          <t>202610211700</t>
        </is>
      </c>
      <c r="CP53" s="97" t="n"/>
      <c r="CQ53" s="96" t="inlineStr">
        <is>
          <t>S19-2112038</t>
        </is>
      </c>
      <c r="CR53" s="96" t="inlineStr">
        <is>
          <t>TH03TL</t>
        </is>
      </c>
      <c r="CS53" s="96" t="inlineStr">
        <is>
          <t>YUSEN LOGISTICS (THAILAND) CO., LTD.</t>
        </is>
      </c>
      <c r="CT53" s="96" t="inlineStr">
        <is>
          <t>N</t>
        </is>
      </c>
      <c r="CU53" s="97" t="n"/>
      <c r="CV53" s="97" t="n"/>
      <c r="CW53" s="161" t="inlineStr">
        <is>
          <t>2026-10-23</t>
        </is>
      </c>
      <c r="CX53" s="97" t="inlineStr">
        <is>
          <t>870829</t>
        </is>
      </c>
      <c r="CY53" s="183" t="n"/>
    </row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BEAU2350094</t>
        </is>
      </c>
      <c r="B2" s="108" t="inlineStr">
        <is>
          <t>LCH04</t>
        </is>
      </c>
      <c r="C2" s="108" t="inlineStr">
        <is>
          <t>IFV</t>
        </is>
      </c>
      <c r="D2" s="172" t="inlineStr">
        <is>
          <t>2026-10-23</t>
        </is>
      </c>
      <c r="E2" s="173" t="inlineStr">
        <is>
          <t>1632</t>
        </is>
      </c>
      <c r="F2" s="96" t="inlineStr">
        <is>
          <t>HASLS22260902656</t>
        </is>
      </c>
      <c r="G2" s="96" t="inlineStr">
        <is>
          <t>NH LOGISTICS CO., LTD.</t>
        </is>
      </c>
      <c r="H2" s="111" t="inlineStr">
        <is>
          <t>22GP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HASLS22260902656</t>
        </is>
      </c>
      <c r="N2" s="96" t="inlineStr">
        <is>
          <t xml:space="preserve">20'x1 </t>
        </is>
      </c>
      <c r="O2" s="111" t="inlineStr">
        <is>
          <t>2014</t>
        </is>
      </c>
      <c r="P2" s="111" t="n"/>
      <c r="Q2" s="111" t="n"/>
      <c r="R2" s="96" t="inlineStr">
        <is>
          <t>YSVY</t>
        </is>
      </c>
      <c r="S2" s="96" t="inlineStr">
        <is>
          <t>2608S</t>
        </is>
      </c>
      <c r="T2" s="96" t="inlineStr">
        <is>
          <t>LCH04</t>
        </is>
      </c>
      <c r="U2" s="96" t="inlineStr">
        <is>
          <t>THLCH</t>
        </is>
      </c>
      <c r="V2" s="161" t="inlineStr">
        <is>
          <t>2026-10-24</t>
        </is>
      </c>
      <c r="W2" s="96" t="inlineStr">
        <is>
          <t>IDJKT</t>
        </is>
      </c>
      <c r="X2" s="161" t="inlineStr">
        <is>
          <t>2026-10-26</t>
        </is>
      </c>
      <c r="Y2" s="97" t="n"/>
      <c r="Z2" s="97" t="n"/>
      <c r="AA2" s="97" t="n"/>
      <c r="AB2" s="97" t="n"/>
      <c r="AC2" s="97" t="n"/>
      <c r="AD2" s="161" t="inlineStr">
        <is>
          <t>2026-10-23</t>
        </is>
      </c>
      <c r="AE2" s="174" t="inlineStr">
        <is>
          <t>2000</t>
        </is>
      </c>
      <c r="AF2" s="96" t="inlineStr">
        <is>
          <t>EDI2</t>
        </is>
      </c>
      <c r="AG2" s="97" t="n"/>
      <c r="AH2" s="97" t="n"/>
      <c r="AI2" s="97" t="inlineStr">
        <is>
          <t>IDIOC7</t>
        </is>
      </c>
      <c r="AJ2" s="96" t="inlineStr">
        <is>
          <t>PT.WWRC INDONESIA</t>
        </is>
      </c>
      <c r="AK2" s="130" t="n"/>
    </row>
    <row r="3" ht="12" customHeight="1">
      <c r="A3" s="108" t="inlineStr">
        <is>
          <t>BEAU2357714</t>
        </is>
      </c>
      <c r="B3" s="108" t="inlineStr">
        <is>
          <t>LCH04</t>
        </is>
      </c>
      <c r="C3" s="108" t="inlineStr">
        <is>
          <t>IFV</t>
        </is>
      </c>
      <c r="D3" s="172" t="inlineStr">
        <is>
          <t>2026-10-20</t>
        </is>
      </c>
      <c r="E3" s="173" t="inlineStr">
        <is>
          <t>0124</t>
        </is>
      </c>
      <c r="F3" s="96" t="inlineStr">
        <is>
          <t>HASLS22261000098</t>
        </is>
      </c>
      <c r="G3" s="96" t="inlineStr">
        <is>
          <t>LOGMAN INTERNATIONAL CO., LTD.</t>
        </is>
      </c>
      <c r="H3" s="111" t="inlineStr">
        <is>
          <t>22GP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HASLS22261000098</t>
        </is>
      </c>
      <c r="N3" s="96" t="inlineStr">
        <is>
          <t xml:space="preserve">20'x1 </t>
        </is>
      </c>
      <c r="O3" s="111" t="inlineStr">
        <is>
          <t>2014</t>
        </is>
      </c>
      <c r="P3" s="111" t="n"/>
      <c r="Q3" s="111" t="n"/>
      <c r="R3" s="96" t="inlineStr">
        <is>
          <t>YSVY</t>
        </is>
      </c>
      <c r="S3" s="96" t="inlineStr">
        <is>
          <t>2608S</t>
        </is>
      </c>
      <c r="T3" s="96" t="inlineStr">
        <is>
          <t>LCH04</t>
        </is>
      </c>
      <c r="U3" s="96" t="inlineStr">
        <is>
          <t>THLCH</t>
        </is>
      </c>
      <c r="V3" s="161" t="inlineStr">
        <is>
          <t>2026-10-24</t>
        </is>
      </c>
      <c r="W3" s="96" t="inlineStr">
        <is>
          <t>IDJKT</t>
        </is>
      </c>
      <c r="X3" s="161" t="inlineStr">
        <is>
          <t>2026-10-26</t>
        </is>
      </c>
      <c r="Y3" s="97" t="n"/>
      <c r="Z3" s="97" t="n"/>
      <c r="AA3" s="97" t="n"/>
      <c r="AB3" s="97" t="n"/>
      <c r="AC3" s="97" t="n"/>
      <c r="AD3" s="161" t="inlineStr">
        <is>
          <t>2026-10-20</t>
        </is>
      </c>
      <c r="AE3" s="174" t="inlineStr">
        <is>
          <t>0402</t>
        </is>
      </c>
      <c r="AF3" s="96" t="inlineStr">
        <is>
          <t>EDI2</t>
        </is>
      </c>
      <c r="AG3" s="97" t="n"/>
      <c r="AH3" s="97" t="n"/>
      <c r="AI3" s="97" t="inlineStr">
        <is>
          <t>IDIT64</t>
        </is>
      </c>
      <c r="AJ3" s="96" t="inlineStr">
        <is>
          <t>PT NIMCO LOGISTICS INDONESIA</t>
        </is>
      </c>
      <c r="AK3" s="130" t="n"/>
    </row>
    <row r="4" ht="12" customHeight="1">
      <c r="A4" s="108" t="inlineStr">
        <is>
          <t>BEAU2406212</t>
        </is>
      </c>
      <c r="B4" s="108" t="inlineStr">
        <is>
          <t>LCH04</t>
        </is>
      </c>
      <c r="C4" s="108" t="inlineStr">
        <is>
          <t>IFV</t>
        </is>
      </c>
      <c r="D4" s="172" t="inlineStr">
        <is>
          <t>2026-10-19</t>
        </is>
      </c>
      <c r="E4" s="173" t="inlineStr">
        <is>
          <t>1907</t>
        </is>
      </c>
      <c r="F4" s="96" t="inlineStr">
        <is>
          <t>HASLS22261000254</t>
        </is>
      </c>
      <c r="G4" s="96" t="inlineStr">
        <is>
          <t>AWOT GLOBAL LOGISTICS (THAILAND) CO., LTD.</t>
        </is>
      </c>
      <c r="H4" s="111" t="inlineStr">
        <is>
          <t>22GP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HASLS22261000254</t>
        </is>
      </c>
      <c r="N4" s="96" t="inlineStr">
        <is>
          <t xml:space="preserve">20'x1 </t>
        </is>
      </c>
      <c r="O4" s="111" t="inlineStr">
        <is>
          <t>2015</t>
        </is>
      </c>
      <c r="P4" s="111" t="n"/>
      <c r="Q4" s="111" t="n"/>
      <c r="R4" s="96" t="inlineStr">
        <is>
          <t>YSVY</t>
        </is>
      </c>
      <c r="S4" s="96" t="inlineStr">
        <is>
          <t>2608S</t>
        </is>
      </c>
      <c r="T4" s="96" t="inlineStr">
        <is>
          <t>LCH04</t>
        </is>
      </c>
      <c r="U4" s="96" t="inlineStr">
        <is>
          <t>THLCH</t>
        </is>
      </c>
      <c r="V4" s="161" t="inlineStr">
        <is>
          <t>2026-10-24</t>
        </is>
      </c>
      <c r="W4" s="96" t="inlineStr">
        <is>
          <t>IDJKT</t>
        </is>
      </c>
      <c r="X4" s="161" t="inlineStr">
        <is>
          <t>2026-10-26</t>
        </is>
      </c>
      <c r="Y4" s="97" t="n"/>
      <c r="Z4" s="97" t="n"/>
      <c r="AA4" s="97" t="n"/>
      <c r="AB4" s="97" t="n"/>
      <c r="AC4" s="97" t="n"/>
      <c r="AD4" s="161" t="inlineStr">
        <is>
          <t>2026-10-19</t>
        </is>
      </c>
      <c r="AE4" s="174" t="inlineStr">
        <is>
          <t>2200</t>
        </is>
      </c>
      <c r="AF4" s="96" t="inlineStr">
        <is>
          <t>EDI2</t>
        </is>
      </c>
      <c r="AG4" s="97" t="n"/>
      <c r="AH4" s="97" t="n"/>
      <c r="AI4" s="97" t="inlineStr">
        <is>
          <t>IDIUVC</t>
        </is>
      </c>
      <c r="AJ4" s="96" t="inlineStr">
        <is>
          <t>PT. CASTINDO MULTI CAHAYA</t>
        </is>
      </c>
      <c r="AK4" s="130" t="n"/>
    </row>
    <row r="5" ht="12" customHeight="1">
      <c r="A5" s="108" t="inlineStr">
        <is>
          <t>BEAU2477617</t>
        </is>
      </c>
      <c r="B5" s="108" t="inlineStr">
        <is>
          <t>LCH04</t>
        </is>
      </c>
      <c r="C5" s="108" t="inlineStr">
        <is>
          <t>IFV</t>
        </is>
      </c>
      <c r="D5" s="172" t="inlineStr">
        <is>
          <t>2026-10-19</t>
        </is>
      </c>
      <c r="E5" s="173" t="inlineStr">
        <is>
          <t>1853</t>
        </is>
      </c>
      <c r="F5" s="96" t="inlineStr">
        <is>
          <t>HASLS22261000184</t>
        </is>
      </c>
      <c r="G5" s="96" t="inlineStr">
        <is>
          <t>KWE-KINTETSU WORLD EXPRESS (THAILAND) CO., LTD.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HASLS22261000184</t>
        </is>
      </c>
      <c r="N5" s="96" t="inlineStr">
        <is>
          <t xml:space="preserve">20'x1 </t>
        </is>
      </c>
      <c r="O5" s="111" t="inlineStr">
        <is>
          <t>2015</t>
        </is>
      </c>
      <c r="P5" s="111" t="n"/>
      <c r="Q5" s="111" t="n"/>
      <c r="R5" s="96" t="inlineStr">
        <is>
          <t>YSVY</t>
        </is>
      </c>
      <c r="S5" s="96" t="inlineStr">
        <is>
          <t>2608S</t>
        </is>
      </c>
      <c r="T5" s="96" t="inlineStr">
        <is>
          <t>LCH04</t>
        </is>
      </c>
      <c r="U5" s="96" t="inlineStr">
        <is>
          <t>THLCH</t>
        </is>
      </c>
      <c r="V5" s="161" t="inlineStr">
        <is>
          <t>2026-10-24</t>
        </is>
      </c>
      <c r="W5" s="96" t="inlineStr">
        <is>
          <t>IDJKT</t>
        </is>
      </c>
      <c r="X5" s="161" t="inlineStr">
        <is>
          <t>2026-10-26</t>
        </is>
      </c>
      <c r="Y5" s="97" t="n"/>
      <c r="Z5" s="97" t="n"/>
      <c r="AA5" s="97" t="n"/>
      <c r="AB5" s="97" t="n"/>
      <c r="AC5" s="97" t="n"/>
      <c r="AD5" s="161" t="inlineStr">
        <is>
          <t>2026-10-19</t>
        </is>
      </c>
      <c r="AE5" s="174" t="inlineStr">
        <is>
          <t>2200</t>
        </is>
      </c>
      <c r="AF5" s="96" t="inlineStr">
        <is>
          <t>EDI2</t>
        </is>
      </c>
      <c r="AG5" s="97" t="n"/>
      <c r="AH5" s="97" t="n"/>
      <c r="AI5" s="97" t="inlineStr">
        <is>
          <t>IDIUVD</t>
        </is>
      </c>
      <c r="AJ5" s="96" t="inlineStr">
        <is>
          <t>PT. HONDA POWER PRODUCTS</t>
        </is>
      </c>
      <c r="AK5" s="130" t="n"/>
    </row>
    <row r="6" ht="12" customHeight="1">
      <c r="A6" s="108" t="inlineStr">
        <is>
          <t>GESU3364530</t>
        </is>
      </c>
      <c r="B6" s="108" t="inlineStr">
        <is>
          <t>LCH04</t>
        </is>
      </c>
      <c r="C6" s="108" t="inlineStr">
        <is>
          <t>IFV</t>
        </is>
      </c>
      <c r="D6" s="172" t="inlineStr">
        <is>
          <t>2026-10-18</t>
        </is>
      </c>
      <c r="E6" s="173" t="inlineStr">
        <is>
          <t>0102</t>
        </is>
      </c>
      <c r="F6" s="96" t="inlineStr">
        <is>
          <t>HASLS22261000633</t>
        </is>
      </c>
      <c r="G6" s="96" t="inlineStr">
        <is>
          <t>LESCHACO (THAILAND) LTD.</t>
        </is>
      </c>
      <c r="H6" s="111" t="inlineStr">
        <is>
          <t>22GP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HASLS22261000633</t>
        </is>
      </c>
      <c r="N6" s="96" t="inlineStr">
        <is>
          <t xml:space="preserve">20'x3 </t>
        </is>
      </c>
      <c r="O6" s="111" t="inlineStr">
        <is>
          <t>2007</t>
        </is>
      </c>
      <c r="P6" s="111" t="n"/>
      <c r="Q6" s="111" t="n"/>
      <c r="R6" s="96" t="inlineStr">
        <is>
          <t>YSVY</t>
        </is>
      </c>
      <c r="S6" s="96" t="inlineStr">
        <is>
          <t>2608S</t>
        </is>
      </c>
      <c r="T6" s="96" t="inlineStr">
        <is>
          <t>LCH04</t>
        </is>
      </c>
      <c r="U6" s="96" t="inlineStr">
        <is>
          <t>THLCH</t>
        </is>
      </c>
      <c r="V6" s="161" t="inlineStr">
        <is>
          <t>2026-10-24</t>
        </is>
      </c>
      <c r="W6" s="96" t="inlineStr">
        <is>
          <t>IDJKT</t>
        </is>
      </c>
      <c r="X6" s="161" t="inlineStr">
        <is>
          <t>2026-10-26</t>
        </is>
      </c>
      <c r="Y6" s="97" t="n"/>
      <c r="Z6" s="97" t="n"/>
      <c r="AA6" s="97" t="n"/>
      <c r="AB6" s="97" t="n"/>
      <c r="AC6" s="97" t="n"/>
      <c r="AD6" s="161" t="inlineStr">
        <is>
          <t>2026-10-18</t>
        </is>
      </c>
      <c r="AE6" s="174" t="inlineStr">
        <is>
          <t>0401</t>
        </is>
      </c>
      <c r="AF6" s="96" t="inlineStr">
        <is>
          <t>EDI2</t>
        </is>
      </c>
      <c r="AG6" s="97" t="n"/>
      <c r="AH6" s="97" t="n"/>
      <c r="AI6" s="97" t="inlineStr">
        <is>
          <t>IDIPME</t>
        </is>
      </c>
      <c r="AJ6" s="96" t="inlineStr">
        <is>
          <t>PT. MAKMUR META GRAHA DINAMIKA</t>
        </is>
      </c>
      <c r="AK6" s="130" t="n"/>
    </row>
    <row r="7" ht="12" customHeight="1">
      <c r="A7" s="108" t="inlineStr">
        <is>
          <t>HALU2094885</t>
        </is>
      </c>
      <c r="B7" s="108" t="inlineStr">
        <is>
          <t>LCH04</t>
        </is>
      </c>
      <c r="C7" s="108" t="inlineStr">
        <is>
          <t>IFV</t>
        </is>
      </c>
      <c r="D7" s="172" t="inlineStr">
        <is>
          <t>2026-10-18</t>
        </is>
      </c>
      <c r="E7" s="173" t="inlineStr">
        <is>
          <t>0048</t>
        </is>
      </c>
      <c r="F7" s="96" t="inlineStr">
        <is>
          <t>HASLS22261000155</t>
        </is>
      </c>
      <c r="G7" s="96" t="inlineStr">
        <is>
          <t>FLS 1993 (THAILAND) CO., LTD.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HASLS22261000155</t>
        </is>
      </c>
      <c r="N7" s="96" t="inlineStr">
        <is>
          <t xml:space="preserve">20'x3 </t>
        </is>
      </c>
      <c r="O7" s="111" t="inlineStr">
        <is>
          <t>2015</t>
        </is>
      </c>
      <c r="P7" s="111" t="n"/>
      <c r="Q7" s="111" t="n"/>
      <c r="R7" s="96" t="inlineStr">
        <is>
          <t>YSVY</t>
        </is>
      </c>
      <c r="S7" s="96" t="inlineStr">
        <is>
          <t>2608S</t>
        </is>
      </c>
      <c r="T7" s="96" t="inlineStr">
        <is>
          <t>LCH04</t>
        </is>
      </c>
      <c r="U7" s="96" t="inlineStr">
        <is>
          <t>THLCH</t>
        </is>
      </c>
      <c r="V7" s="161" t="inlineStr">
        <is>
          <t>2026-10-24</t>
        </is>
      </c>
      <c r="W7" s="96" t="inlineStr">
        <is>
          <t>IDJKT</t>
        </is>
      </c>
      <c r="X7" s="161" t="inlineStr">
        <is>
          <t>2026-10-26</t>
        </is>
      </c>
      <c r="Y7" s="97" t="n"/>
      <c r="Z7" s="97" t="n"/>
      <c r="AA7" s="97" t="n"/>
      <c r="AB7" s="97" t="n"/>
      <c r="AC7" s="97" t="n"/>
      <c r="AD7" s="161" t="inlineStr">
        <is>
          <t>2026-10-18</t>
        </is>
      </c>
      <c r="AE7" s="174" t="inlineStr">
        <is>
          <t>0401</t>
        </is>
      </c>
      <c r="AF7" s="96" t="inlineStr">
        <is>
          <t>EDI2</t>
        </is>
      </c>
      <c r="AG7" s="97" t="n"/>
      <c r="AH7" s="97" t="n"/>
      <c r="AI7" s="97" t="inlineStr">
        <is>
          <t>IDIO4V</t>
        </is>
      </c>
      <c r="AJ7" s="96" t="inlineStr">
        <is>
          <t>PT. YAMATOGAWA INDONESIA</t>
        </is>
      </c>
      <c r="AK7" s="130" t="n"/>
    </row>
    <row r="8" ht="12" customHeight="1">
      <c r="A8" s="108" t="inlineStr">
        <is>
          <t>HALU2336968</t>
        </is>
      </c>
      <c r="B8" s="108" t="inlineStr">
        <is>
          <t>LCH04</t>
        </is>
      </c>
      <c r="C8" s="108" t="inlineStr">
        <is>
          <t>IFV</t>
        </is>
      </c>
      <c r="D8" s="172" t="inlineStr">
        <is>
          <t>2026-10-16</t>
        </is>
      </c>
      <c r="E8" s="173" t="inlineStr">
        <is>
          <t>2310</t>
        </is>
      </c>
      <c r="F8" s="96" t="inlineStr">
        <is>
          <t>HASLS22261000752</t>
        </is>
      </c>
      <c r="G8" s="96" t="inlineStr">
        <is>
          <t>ASIA ATLANTIC LINENER COMPANY LIMITED.</t>
        </is>
      </c>
      <c r="H8" s="111" t="inlineStr">
        <is>
          <t>22GP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HASLS22261000752</t>
        </is>
      </c>
      <c r="N8" s="96" t="inlineStr">
        <is>
          <t xml:space="preserve">20'x1 </t>
        </is>
      </c>
      <c r="O8" s="111" t="inlineStr">
        <is>
          <t>2023</t>
        </is>
      </c>
      <c r="P8" s="111" t="n"/>
      <c r="Q8" s="111" t="n"/>
      <c r="R8" s="96" t="inlineStr">
        <is>
          <t>YSVY</t>
        </is>
      </c>
      <c r="S8" s="96" t="inlineStr">
        <is>
          <t>2608S</t>
        </is>
      </c>
      <c r="T8" s="96" t="inlineStr">
        <is>
          <t>LCH04</t>
        </is>
      </c>
      <c r="U8" s="96" t="inlineStr">
        <is>
          <t>THLCH</t>
        </is>
      </c>
      <c r="V8" s="161" t="inlineStr">
        <is>
          <t>2026-10-24</t>
        </is>
      </c>
      <c r="W8" s="96" t="inlineStr">
        <is>
          <t>IDJKT</t>
        </is>
      </c>
      <c r="X8" s="161" t="inlineStr">
        <is>
          <t>2026-10-26</t>
        </is>
      </c>
      <c r="Y8" s="97" t="n"/>
      <c r="Z8" s="97" t="n"/>
      <c r="AA8" s="97" t="n"/>
      <c r="AB8" s="97" t="n"/>
      <c r="AC8" s="97" t="n"/>
      <c r="AD8" s="161" t="inlineStr">
        <is>
          <t>2026-10-17</t>
        </is>
      </c>
      <c r="AE8" s="174" t="inlineStr">
        <is>
          <t>0200</t>
        </is>
      </c>
      <c r="AF8" s="96" t="inlineStr">
        <is>
          <t>EDI2</t>
        </is>
      </c>
      <c r="AG8" s="97" t="n"/>
      <c r="AH8" s="97" t="n"/>
      <c r="AI8" s="97" t="inlineStr">
        <is>
          <t>IDIOPW</t>
        </is>
      </c>
      <c r="AJ8" s="96" t="inlineStr">
        <is>
          <t>PT. PARAGON TECHNOLOGY AND</t>
        </is>
      </c>
      <c r="AK8" s="130" t="n"/>
    </row>
    <row r="9" ht="12" customHeight="1">
      <c r="A9" s="108" t="inlineStr">
        <is>
          <t>HALU2344304</t>
        </is>
      </c>
      <c r="B9" s="108" t="inlineStr">
        <is>
          <t>LCH04</t>
        </is>
      </c>
      <c r="C9" s="108" t="inlineStr">
        <is>
          <t>IFV</t>
        </is>
      </c>
      <c r="D9" s="172" t="inlineStr">
        <is>
          <t>2026-10-20</t>
        </is>
      </c>
      <c r="E9" s="173" t="inlineStr">
        <is>
          <t>0715</t>
        </is>
      </c>
      <c r="F9" s="96" t="inlineStr">
        <is>
          <t>HASLS22260902451</t>
        </is>
      </c>
      <c r="G9" s="96" t="inlineStr">
        <is>
          <t>UBE CHEMICALS (ASIA) PUBLIC COMPANY LIMITED</t>
        </is>
      </c>
      <c r="H9" s="111" t="inlineStr">
        <is>
          <t>22GP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HASLS22260902451</t>
        </is>
      </c>
      <c r="N9" s="96" t="inlineStr">
        <is>
          <t xml:space="preserve">20'x1 </t>
        </is>
      </c>
      <c r="O9" s="111" t="inlineStr">
        <is>
          <t>2023</t>
        </is>
      </c>
      <c r="P9" s="111" t="n"/>
      <c r="Q9" s="111" t="n"/>
      <c r="R9" s="96" t="inlineStr">
        <is>
          <t>NSSJ</t>
        </is>
      </c>
      <c r="S9" s="96" t="inlineStr">
        <is>
          <t>2608S</t>
        </is>
      </c>
      <c r="T9" s="96" t="inlineStr">
        <is>
          <t>LCH04</t>
        </is>
      </c>
      <c r="U9" s="96" t="inlineStr">
        <is>
          <t>THLCH</t>
        </is>
      </c>
      <c r="V9" s="161" t="inlineStr">
        <is>
          <t>2026-10-24</t>
        </is>
      </c>
      <c r="W9" s="96" t="inlineStr">
        <is>
          <t>IDJKT</t>
        </is>
      </c>
      <c r="X9" s="161" t="inlineStr">
        <is>
          <t>2026-10-26</t>
        </is>
      </c>
      <c r="Y9" s="97" t="n"/>
      <c r="Z9" s="97" t="n"/>
      <c r="AA9" s="97" t="n"/>
      <c r="AB9" s="97" t="n"/>
      <c r="AC9" s="97" t="n"/>
      <c r="AD9" s="161" t="inlineStr">
        <is>
          <t>2026-10-20</t>
        </is>
      </c>
      <c r="AE9" s="174" t="inlineStr">
        <is>
          <t>1000</t>
        </is>
      </c>
      <c r="AF9" s="96" t="inlineStr">
        <is>
          <t>EDI2</t>
        </is>
      </c>
      <c r="AG9" s="97" t="n"/>
      <c r="AH9" s="97" t="n"/>
      <c r="AI9" s="97" t="inlineStr">
        <is>
          <t>IDIO73</t>
        </is>
      </c>
      <c r="AJ9" s="96" t="inlineStr">
        <is>
          <t>PT.INABATA INDONESIA</t>
        </is>
      </c>
      <c r="AK9" s="130" t="n"/>
    </row>
    <row r="10" ht="12" customHeight="1">
      <c r="A10" s="108" t="inlineStr">
        <is>
          <t>HALU2417761</t>
        </is>
      </c>
      <c r="B10" s="108" t="inlineStr">
        <is>
          <t>LCH04</t>
        </is>
      </c>
      <c r="C10" s="108" t="inlineStr">
        <is>
          <t>IFV</t>
        </is>
      </c>
      <c r="D10" s="172" t="inlineStr">
        <is>
          <t>2026-10-20</t>
        </is>
      </c>
      <c r="E10" s="173" t="inlineStr">
        <is>
          <t>1502</t>
        </is>
      </c>
      <c r="F10" s="96" t="inlineStr">
        <is>
          <t>HASLS22260902435</t>
        </is>
      </c>
      <c r="G10" s="96" t="inlineStr">
        <is>
          <t>UBE CHEMICALS (ASIA) PUBLIC COMPANY LIMITED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HASLS22260902435</t>
        </is>
      </c>
      <c r="N10" s="96" t="inlineStr">
        <is>
          <t xml:space="preserve">20'x1 </t>
        </is>
      </c>
      <c r="O10" s="111" t="inlineStr">
        <is>
          <t>2024</t>
        </is>
      </c>
      <c r="P10" s="111" t="n"/>
      <c r="Q10" s="111" t="n"/>
      <c r="R10" s="96" t="inlineStr">
        <is>
          <t>NSSJ</t>
        </is>
      </c>
      <c r="S10" s="96" t="inlineStr">
        <is>
          <t>2608S</t>
        </is>
      </c>
      <c r="T10" s="96" t="inlineStr">
        <is>
          <t>LCH04</t>
        </is>
      </c>
      <c r="U10" s="96" t="inlineStr">
        <is>
          <t>THLCH</t>
        </is>
      </c>
      <c r="V10" s="161" t="inlineStr">
        <is>
          <t>2026-10-24</t>
        </is>
      </c>
      <c r="W10" s="96" t="inlineStr">
        <is>
          <t>IDJKT</t>
        </is>
      </c>
      <c r="X10" s="161" t="inlineStr">
        <is>
          <t>2026-10-26</t>
        </is>
      </c>
      <c r="Y10" s="97" t="n"/>
      <c r="Z10" s="97" t="n"/>
      <c r="AA10" s="97" t="n"/>
      <c r="AB10" s="97" t="n"/>
      <c r="AC10" s="97" t="n"/>
      <c r="AD10" s="161" t="inlineStr">
        <is>
          <t>2026-10-20</t>
        </is>
      </c>
      <c r="AE10" s="174" t="inlineStr">
        <is>
          <t>1800</t>
        </is>
      </c>
      <c r="AF10" s="96" t="inlineStr">
        <is>
          <t>EDI2</t>
        </is>
      </c>
      <c r="AG10" s="97" t="n"/>
      <c r="AH10" s="97" t="n"/>
      <c r="AI10" s="97" t="inlineStr">
        <is>
          <t>IDINRP</t>
        </is>
      </c>
      <c r="AJ10" s="96" t="inlineStr">
        <is>
          <t>PT. ITOCHU INDONESIA</t>
        </is>
      </c>
      <c r="AK10" s="130" t="n"/>
    </row>
    <row r="11" ht="12" customHeight="1">
      <c r="A11" s="108" t="inlineStr">
        <is>
          <t>HALU2433192</t>
        </is>
      </c>
      <c r="B11" s="108" t="inlineStr">
        <is>
          <t>LCH04</t>
        </is>
      </c>
      <c r="C11" s="108" t="inlineStr">
        <is>
          <t>IFV</t>
        </is>
      </c>
      <c r="D11" s="172" t="inlineStr">
        <is>
          <t>2026-10-18</t>
        </is>
      </c>
      <c r="E11" s="173" t="inlineStr">
        <is>
          <t>1123</t>
        </is>
      </c>
      <c r="F11" s="96" t="inlineStr">
        <is>
          <t>HASLS22261001126</t>
        </is>
      </c>
      <c r="G11" s="96" t="inlineStr">
        <is>
          <t>WARATHEP INTERNATIONAL FREIGHT CO., LTD.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HASLS22261001126</t>
        </is>
      </c>
      <c r="N11" s="96" t="inlineStr">
        <is>
          <t xml:space="preserve">20'x1 </t>
        </is>
      </c>
      <c r="O11" s="111" t="inlineStr">
        <is>
          <t>2024</t>
        </is>
      </c>
      <c r="P11" s="111" t="n"/>
      <c r="Q11" s="111" t="n"/>
      <c r="R11" s="96" t="inlineStr">
        <is>
          <t>YSVY</t>
        </is>
      </c>
      <c r="S11" s="96" t="inlineStr">
        <is>
          <t>2608S</t>
        </is>
      </c>
      <c r="T11" s="96" t="inlineStr">
        <is>
          <t>LCH04</t>
        </is>
      </c>
      <c r="U11" s="96" t="inlineStr">
        <is>
          <t>THLCH</t>
        </is>
      </c>
      <c r="V11" s="161" t="inlineStr">
        <is>
          <t>2026-10-24</t>
        </is>
      </c>
      <c r="W11" s="96" t="inlineStr">
        <is>
          <t>IDJKT</t>
        </is>
      </c>
      <c r="X11" s="161" t="inlineStr">
        <is>
          <t>2026-10-26</t>
        </is>
      </c>
      <c r="Y11" s="97" t="n"/>
      <c r="Z11" s="97" t="n"/>
      <c r="AA11" s="97" t="n"/>
      <c r="AB11" s="97" t="n"/>
      <c r="AC11" s="97" t="n"/>
      <c r="AD11" s="161" t="inlineStr">
        <is>
          <t>2026-10-18</t>
        </is>
      </c>
      <c r="AE11" s="174" t="inlineStr">
        <is>
          <t>1401</t>
        </is>
      </c>
      <c r="AF11" s="96" t="inlineStr">
        <is>
          <t>EDI2</t>
        </is>
      </c>
      <c r="AG11" s="97" t="n"/>
      <c r="AH11" s="97" t="n"/>
      <c r="AI11" s="97" t="inlineStr">
        <is>
          <t>IDIR7Q</t>
        </is>
      </c>
      <c r="AJ11" s="96" t="inlineStr">
        <is>
          <t>PT.SIAM-INDO GYPSUM INDUSTRY</t>
        </is>
      </c>
      <c r="AK11" s="130" t="n"/>
    </row>
    <row r="12" ht="12" customHeight="1">
      <c r="A12" s="108" t="inlineStr">
        <is>
          <t>HALU2446137</t>
        </is>
      </c>
      <c r="B12" s="108" t="inlineStr">
        <is>
          <t>LCH04</t>
        </is>
      </c>
      <c r="C12" s="108" t="inlineStr">
        <is>
          <t>IFV</t>
        </is>
      </c>
      <c r="D12" s="172" t="inlineStr">
        <is>
          <t>2026-10-17</t>
        </is>
      </c>
      <c r="E12" s="173" t="inlineStr">
        <is>
          <t>0116</t>
        </is>
      </c>
      <c r="F12" s="96" t="inlineStr">
        <is>
          <t>HASLS22260902114</t>
        </is>
      </c>
      <c r="G12" s="96" t="inlineStr">
        <is>
          <t>ACCORD PILOT LOGISTICS (THAILAND) CO., LTD.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HASLS22260902114</t>
        </is>
      </c>
      <c r="N12" s="96" t="inlineStr">
        <is>
          <t xml:space="preserve">40Hx1 20'x1 </t>
        </is>
      </c>
      <c r="O12" s="111" t="inlineStr">
        <is>
          <t>2024</t>
        </is>
      </c>
      <c r="P12" s="111" t="n"/>
      <c r="Q12" s="111" t="n"/>
      <c r="R12" s="96" t="inlineStr">
        <is>
          <t>YSVY</t>
        </is>
      </c>
      <c r="S12" s="96" t="inlineStr">
        <is>
          <t>2608S</t>
        </is>
      </c>
      <c r="T12" s="96" t="inlineStr">
        <is>
          <t>LCH04</t>
        </is>
      </c>
      <c r="U12" s="96" t="inlineStr">
        <is>
          <t>THLCH</t>
        </is>
      </c>
      <c r="V12" s="161" t="inlineStr">
        <is>
          <t>2026-10-24</t>
        </is>
      </c>
      <c r="W12" s="96" t="inlineStr">
        <is>
          <t>IDJKT</t>
        </is>
      </c>
      <c r="X12" s="161" t="inlineStr">
        <is>
          <t>2026-10-26</t>
        </is>
      </c>
      <c r="Y12" s="97" t="n"/>
      <c r="Z12" s="97" t="n"/>
      <c r="AA12" s="97" t="n"/>
      <c r="AB12" s="97" t="n"/>
      <c r="AC12" s="97" t="n"/>
      <c r="AD12" s="161" t="inlineStr">
        <is>
          <t>2026-10-17</t>
        </is>
      </c>
      <c r="AE12" s="174" t="inlineStr">
        <is>
          <t>0400</t>
        </is>
      </c>
      <c r="AF12" s="96" t="inlineStr">
        <is>
          <t>EDI2</t>
        </is>
      </c>
      <c r="AG12" s="97" t="n"/>
      <c r="AH12" s="97" t="n"/>
      <c r="AI12" s="97" t="inlineStr">
        <is>
          <t>IDIOUS</t>
        </is>
      </c>
      <c r="AJ12" s="96" t="inlineStr">
        <is>
          <t>PT. RECKITT BENCKISER INDONESIA</t>
        </is>
      </c>
      <c r="AK12" s="130" t="n"/>
    </row>
    <row r="13" ht="12" customHeight="1">
      <c r="A13" s="108" t="inlineStr">
        <is>
          <t>HALU2453856</t>
        </is>
      </c>
      <c r="B13" s="108" t="inlineStr">
        <is>
          <t>LCH04</t>
        </is>
      </c>
      <c r="C13" s="108" t="inlineStr">
        <is>
          <t>IFV</t>
        </is>
      </c>
      <c r="D13" s="172" t="inlineStr">
        <is>
          <t>2026-10-18</t>
        </is>
      </c>
      <c r="E13" s="173" t="inlineStr">
        <is>
          <t>2057</t>
        </is>
      </c>
      <c r="F13" s="96" t="inlineStr">
        <is>
          <t>HASLS22260801426</t>
        </is>
      </c>
      <c r="G13" s="96" t="inlineStr">
        <is>
          <t>SCGJWD LOGISTICS PUBLIC COMPANY LIMITED</t>
        </is>
      </c>
      <c r="H13" s="111" t="inlineStr">
        <is>
          <t>22GP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HASLS22260801426</t>
        </is>
      </c>
      <c r="N13" s="96" t="inlineStr">
        <is>
          <t xml:space="preserve">20'x2 </t>
        </is>
      </c>
      <c r="O13" s="111" t="inlineStr">
        <is>
          <t>2024</t>
        </is>
      </c>
      <c r="P13" s="111" t="n"/>
      <c r="Q13" s="111" t="n"/>
      <c r="R13" s="96" t="inlineStr">
        <is>
          <t>YSVY</t>
        </is>
      </c>
      <c r="S13" s="96" t="inlineStr">
        <is>
          <t>2608S</t>
        </is>
      </c>
      <c r="T13" s="96" t="inlineStr">
        <is>
          <t>LCH04</t>
        </is>
      </c>
      <c r="U13" s="96" t="inlineStr">
        <is>
          <t>THLCH</t>
        </is>
      </c>
      <c r="V13" s="161" t="inlineStr">
        <is>
          <t>2026-10-24</t>
        </is>
      </c>
      <c r="W13" s="96" t="inlineStr">
        <is>
          <t>IDJKT</t>
        </is>
      </c>
      <c r="X13" s="161" t="inlineStr">
        <is>
          <t>2026-10-26</t>
        </is>
      </c>
      <c r="Y13" s="97" t="n"/>
      <c r="Z13" s="97" t="n"/>
      <c r="AA13" s="97" t="n"/>
      <c r="AB13" s="97" t="n"/>
      <c r="AC13" s="97" t="n"/>
      <c r="AD13" s="161" t="inlineStr">
        <is>
          <t>2026-10-19</t>
        </is>
      </c>
      <c r="AE13" s="174" t="inlineStr">
        <is>
          <t>0000</t>
        </is>
      </c>
      <c r="AF13" s="96" t="inlineStr">
        <is>
          <t>EDI2</t>
        </is>
      </c>
      <c r="AG13" s="97" t="n"/>
      <c r="AH13" s="97" t="n"/>
      <c r="AI13" s="97" t="inlineStr">
        <is>
          <t>IDIOW2</t>
        </is>
      </c>
      <c r="AJ13" s="96" t="inlineStr">
        <is>
          <t>PT. INDO PORCELAIN</t>
        </is>
      </c>
      <c r="AK13" s="130" t="n"/>
    </row>
    <row r="14" ht="12" customHeight="1">
      <c r="A14" s="108" t="inlineStr">
        <is>
          <t>HALU2519059</t>
        </is>
      </c>
      <c r="B14" s="108" t="inlineStr">
        <is>
          <t>LCH04</t>
        </is>
      </c>
      <c r="C14" s="108" t="inlineStr">
        <is>
          <t>IFV</t>
        </is>
      </c>
      <c r="D14" s="172" t="inlineStr">
        <is>
          <t>2026-10-19</t>
        </is>
      </c>
      <c r="E14" s="173" t="inlineStr">
        <is>
          <t>1527</t>
        </is>
      </c>
      <c r="F14" s="96" t="inlineStr">
        <is>
          <t>HASLS22261000364</t>
        </is>
      </c>
      <c r="G14" s="96" t="inlineStr">
        <is>
          <t>FLS 1993 (THAILAND) CO., LTD.</t>
        </is>
      </c>
      <c r="H14" s="111" t="inlineStr">
        <is>
          <t>22GP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HASLS22261000364</t>
        </is>
      </c>
      <c r="N14" s="96" t="inlineStr">
        <is>
          <t xml:space="preserve">20'x1 </t>
        </is>
      </c>
      <c r="O14" s="111" t="inlineStr">
        <is>
          <t>2025</t>
        </is>
      </c>
      <c r="P14" s="111" t="n"/>
      <c r="Q14" s="111" t="n"/>
      <c r="R14" s="96" t="inlineStr">
        <is>
          <t>YSVY</t>
        </is>
      </c>
      <c r="S14" s="96" t="inlineStr">
        <is>
          <t>2608S</t>
        </is>
      </c>
      <c r="T14" s="96" t="inlineStr">
        <is>
          <t>LCH04</t>
        </is>
      </c>
      <c r="U14" s="96" t="inlineStr">
        <is>
          <t>THLCH</t>
        </is>
      </c>
      <c r="V14" s="161" t="inlineStr">
        <is>
          <t>2026-10-24</t>
        </is>
      </c>
      <c r="W14" s="96" t="inlineStr">
        <is>
          <t>IDJKT</t>
        </is>
      </c>
      <c r="X14" s="161" t="inlineStr">
        <is>
          <t>2026-10-26</t>
        </is>
      </c>
      <c r="Y14" s="97" t="n"/>
      <c r="Z14" s="97" t="n"/>
      <c r="AA14" s="97" t="n"/>
      <c r="AB14" s="97" t="n"/>
      <c r="AC14" s="97" t="n"/>
      <c r="AD14" s="161" t="inlineStr">
        <is>
          <t>2026-10-19</t>
        </is>
      </c>
      <c r="AE14" s="174" t="inlineStr">
        <is>
          <t>1800</t>
        </is>
      </c>
      <c r="AF14" s="96" t="inlineStr">
        <is>
          <t>EDI2</t>
        </is>
      </c>
      <c r="AG14" s="97" t="n"/>
      <c r="AH14" s="97" t="n"/>
      <c r="AI14" s="97" t="inlineStr">
        <is>
          <t>ID06BF</t>
        </is>
      </c>
      <c r="AJ14" s="96" t="inlineStr">
        <is>
          <t>PT. HANKOOK TIRE INDONESIA</t>
        </is>
      </c>
      <c r="AK14" s="130" t="n"/>
    </row>
    <row r="15" ht="12" customHeight="1">
      <c r="A15" s="108" t="inlineStr">
        <is>
          <t>HALU2519090</t>
        </is>
      </c>
      <c r="B15" s="108" t="inlineStr">
        <is>
          <t>LCH04</t>
        </is>
      </c>
      <c r="C15" s="108" t="inlineStr">
        <is>
          <t>IFV</t>
        </is>
      </c>
      <c r="D15" s="172" t="inlineStr">
        <is>
          <t>2026-10-20</t>
        </is>
      </c>
      <c r="E15" s="173" t="inlineStr">
        <is>
          <t>1241</t>
        </is>
      </c>
      <c r="F15" s="96" t="inlineStr">
        <is>
          <t>HASLS22261001333</t>
        </is>
      </c>
      <c r="G15" s="96" t="inlineStr">
        <is>
          <t>YUSEN LOGISTICS (THAILAND) CO., LTD.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HASLS22261001333</t>
        </is>
      </c>
      <c r="N15" s="96" t="inlineStr">
        <is>
          <t xml:space="preserve">20'x1 </t>
        </is>
      </c>
      <c r="O15" s="111" t="inlineStr">
        <is>
          <t>2025</t>
        </is>
      </c>
      <c r="P15" s="111" t="n"/>
      <c r="Q15" s="111" t="n"/>
      <c r="R15" s="96" t="inlineStr">
        <is>
          <t>YSVY</t>
        </is>
      </c>
      <c r="S15" s="96" t="inlineStr">
        <is>
          <t>2608S</t>
        </is>
      </c>
      <c r="T15" s="96" t="inlineStr">
        <is>
          <t>LCH04</t>
        </is>
      </c>
      <c r="U15" s="96" t="inlineStr">
        <is>
          <t>THLCH</t>
        </is>
      </c>
      <c r="V15" s="161" t="inlineStr">
        <is>
          <t>2026-10-24</t>
        </is>
      </c>
      <c r="W15" s="96" t="inlineStr">
        <is>
          <t>IDJKT</t>
        </is>
      </c>
      <c r="X15" s="161" t="inlineStr">
        <is>
          <t>2026-10-26</t>
        </is>
      </c>
      <c r="Y15" s="97" t="n"/>
      <c r="Z15" s="97" t="n"/>
      <c r="AA15" s="97" t="n"/>
      <c r="AB15" s="97" t="n"/>
      <c r="AC15" s="97" t="n"/>
      <c r="AD15" s="161" t="inlineStr">
        <is>
          <t>2026-10-20</t>
        </is>
      </c>
      <c r="AE15" s="174" t="inlineStr">
        <is>
          <t>1600</t>
        </is>
      </c>
      <c r="AF15" s="96" t="inlineStr">
        <is>
          <t>EDI2</t>
        </is>
      </c>
      <c r="AG15" s="97" t="n"/>
      <c r="AH15" s="97" t="n"/>
      <c r="AI15" s="97" t="inlineStr">
        <is>
          <t>IDIIJ9</t>
        </is>
      </c>
      <c r="AJ15" s="96" t="inlineStr">
        <is>
          <t>PT. AKEBONO BRAKE ASTRA INDONESIA</t>
        </is>
      </c>
      <c r="AK15" s="130" t="n"/>
    </row>
    <row r="16" ht="12" customHeight="1">
      <c r="A16" s="108" t="inlineStr">
        <is>
          <t>HALU2531687</t>
        </is>
      </c>
      <c r="B16" s="108" t="inlineStr">
        <is>
          <t>LCH04</t>
        </is>
      </c>
      <c r="C16" s="108" t="inlineStr">
        <is>
          <t>IFV</t>
        </is>
      </c>
      <c r="D16" s="172" t="inlineStr">
        <is>
          <t>2026-10-21</t>
        </is>
      </c>
      <c r="E16" s="173" t="inlineStr">
        <is>
          <t>2034</t>
        </is>
      </c>
      <c r="F16" s="96" t="inlineStr">
        <is>
          <t>HASLS22261001023</t>
        </is>
      </c>
      <c r="G16" s="96" t="inlineStr">
        <is>
          <t>LEO GLOBAL LOGISTICS PUBLIC COMPANY LIMITED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HASLS22261001023</t>
        </is>
      </c>
      <c r="N16" s="96" t="inlineStr">
        <is>
          <t xml:space="preserve">20'x1 </t>
        </is>
      </c>
      <c r="O16" s="111" t="inlineStr">
        <is>
          <t>2025</t>
        </is>
      </c>
      <c r="P16" s="111" t="n"/>
      <c r="Q16" s="111" t="n"/>
      <c r="R16" s="96" t="inlineStr">
        <is>
          <t>YSVY</t>
        </is>
      </c>
      <c r="S16" s="96" t="inlineStr">
        <is>
          <t>2608S</t>
        </is>
      </c>
      <c r="T16" s="96" t="inlineStr">
        <is>
          <t>LCH04</t>
        </is>
      </c>
      <c r="U16" s="96" t="inlineStr">
        <is>
          <t>THLCH</t>
        </is>
      </c>
      <c r="V16" s="161" t="inlineStr">
        <is>
          <t>2026-10-24</t>
        </is>
      </c>
      <c r="W16" s="96" t="inlineStr">
        <is>
          <t>IDJKT</t>
        </is>
      </c>
      <c r="X16" s="161" t="inlineStr">
        <is>
          <t>2026-10-26</t>
        </is>
      </c>
      <c r="Y16" s="97" t="n"/>
      <c r="Z16" s="97" t="n"/>
      <c r="AA16" s="97" t="n"/>
      <c r="AB16" s="97" t="n"/>
      <c r="AC16" s="97" t="n"/>
      <c r="AD16" s="161" t="inlineStr">
        <is>
          <t>2026-10-22</t>
        </is>
      </c>
      <c r="AE16" s="174" t="inlineStr">
        <is>
          <t>0000</t>
        </is>
      </c>
      <c r="AF16" s="96" t="inlineStr">
        <is>
          <t>EDI2</t>
        </is>
      </c>
      <c r="AG16" s="97" t="n"/>
      <c r="AH16" s="97" t="n"/>
      <c r="AI16" s="97" t="inlineStr">
        <is>
          <t>IDIMVP</t>
        </is>
      </c>
      <c r="AJ16" s="96" t="inlineStr">
        <is>
          <t>PT.LIANHUA LEATHER INDUSTRY</t>
        </is>
      </c>
      <c r="AK16" s="130" t="n"/>
    </row>
    <row r="17" ht="12" customHeight="1">
      <c r="A17" s="108" t="inlineStr">
        <is>
          <t>HALU2541598</t>
        </is>
      </c>
      <c r="B17" s="108" t="inlineStr">
        <is>
          <t>LCH04</t>
        </is>
      </c>
      <c r="C17" s="108" t="inlineStr">
        <is>
          <t>IFV</t>
        </is>
      </c>
      <c r="D17" s="172" t="inlineStr">
        <is>
          <t>2026-10-17</t>
        </is>
      </c>
      <c r="E17" s="173" t="inlineStr">
        <is>
          <t>0442</t>
        </is>
      </c>
      <c r="F17" s="96" t="inlineStr">
        <is>
          <t>HASLS22261000590</t>
        </is>
      </c>
      <c r="G17" s="96" t="inlineStr">
        <is>
          <t>MILKYWAY INTERNATIONAL SUPPLY CHAIN SERVICES (THAILAND) CO., LTD.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HASLS22261000590</t>
        </is>
      </c>
      <c r="N17" s="96" t="inlineStr">
        <is>
          <t xml:space="preserve">20'x1 </t>
        </is>
      </c>
      <c r="O17" s="111" t="inlineStr">
        <is>
          <t>2025</t>
        </is>
      </c>
      <c r="P17" s="111" t="n"/>
      <c r="Q17" s="111" t="n"/>
      <c r="R17" s="96" t="inlineStr">
        <is>
          <t>YSVY</t>
        </is>
      </c>
      <c r="S17" s="96" t="inlineStr">
        <is>
          <t>2608S</t>
        </is>
      </c>
      <c r="T17" s="96" t="inlineStr">
        <is>
          <t>LCH04</t>
        </is>
      </c>
      <c r="U17" s="96" t="inlineStr">
        <is>
          <t>THLCH</t>
        </is>
      </c>
      <c r="V17" s="161" t="inlineStr">
        <is>
          <t>2026-10-24</t>
        </is>
      </c>
      <c r="W17" s="96" t="inlineStr">
        <is>
          <t>IDJKT</t>
        </is>
      </c>
      <c r="X17" s="161" t="inlineStr">
        <is>
          <t>2026-10-26</t>
        </is>
      </c>
      <c r="Y17" s="97" t="n"/>
      <c r="Z17" s="97" t="n"/>
      <c r="AA17" s="97" t="n"/>
      <c r="AB17" s="97" t="n"/>
      <c r="AC17" s="97" t="n"/>
      <c r="AD17" s="161" t="inlineStr">
        <is>
          <t>2026-10-17</t>
        </is>
      </c>
      <c r="AE17" s="174" t="inlineStr">
        <is>
          <t>0800</t>
        </is>
      </c>
      <c r="AF17" s="96" t="inlineStr">
        <is>
          <t>EDI2</t>
        </is>
      </c>
      <c r="AG17" s="97" t="n"/>
      <c r="AH17" s="97" t="n"/>
      <c r="AI17" s="97" t="inlineStr">
        <is>
          <t>IDIUTU</t>
        </is>
      </c>
      <c r="AJ17" s="96" t="inlineStr">
        <is>
          <t>PT PRIMAPLAST INDONESIA</t>
        </is>
      </c>
      <c r="AK17" s="130" t="n"/>
    </row>
    <row r="18" ht="12" customHeight="1">
      <c r="A18" s="108" t="inlineStr">
        <is>
          <t>HALU2552416</t>
        </is>
      </c>
      <c r="B18" s="108" t="inlineStr">
        <is>
          <t>LCH04</t>
        </is>
      </c>
      <c r="C18" s="108" t="inlineStr">
        <is>
          <t>IFV</t>
        </is>
      </c>
      <c r="D18" s="172" t="inlineStr">
        <is>
          <t>2026-10-18</t>
        </is>
      </c>
      <c r="E18" s="173" t="inlineStr">
        <is>
          <t>1041</t>
        </is>
      </c>
      <c r="F18" s="96" t="inlineStr">
        <is>
          <t>HASLS22261000625</t>
        </is>
      </c>
      <c r="G18" s="96" t="inlineStr">
        <is>
          <t>ORIENTAL LOGISTICS GROUP (THAILAND) CO., LTD.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HASLS22261000625</t>
        </is>
      </c>
      <c r="N18" s="96" t="inlineStr">
        <is>
          <t xml:space="preserve">20'x1 </t>
        </is>
      </c>
      <c r="O18" s="111" t="inlineStr">
        <is>
          <t>2025</t>
        </is>
      </c>
      <c r="P18" s="111" t="n"/>
      <c r="Q18" s="111" t="n"/>
      <c r="R18" s="96" t="inlineStr">
        <is>
          <t>YSVY</t>
        </is>
      </c>
      <c r="S18" s="96" t="inlineStr">
        <is>
          <t>2608S</t>
        </is>
      </c>
      <c r="T18" s="96" t="inlineStr">
        <is>
          <t>LCH04</t>
        </is>
      </c>
      <c r="U18" s="96" t="inlineStr">
        <is>
          <t>THLCH</t>
        </is>
      </c>
      <c r="V18" s="161" t="inlineStr">
        <is>
          <t>2026-10-24</t>
        </is>
      </c>
      <c r="W18" s="96" t="inlineStr">
        <is>
          <t>IDJKT</t>
        </is>
      </c>
      <c r="X18" s="161" t="inlineStr">
        <is>
          <t>2026-10-26</t>
        </is>
      </c>
      <c r="Y18" s="97" t="n"/>
      <c r="Z18" s="97" t="n"/>
      <c r="AA18" s="97" t="n"/>
      <c r="AB18" s="97" t="n"/>
      <c r="AC18" s="97" t="n"/>
      <c r="AD18" s="161" t="inlineStr">
        <is>
          <t>2026-10-18</t>
        </is>
      </c>
      <c r="AE18" s="174" t="inlineStr">
        <is>
          <t>1401</t>
        </is>
      </c>
      <c r="AF18" s="96" t="inlineStr">
        <is>
          <t>EDI2</t>
        </is>
      </c>
      <c r="AG18" s="97" t="n"/>
      <c r="AH18" s="97" t="n"/>
      <c r="AI18" s="97" t="inlineStr">
        <is>
          <t>IDISX0</t>
        </is>
      </c>
      <c r="AJ18" s="96" t="inlineStr">
        <is>
          <t>PT. ECLAT TEXTILE INTERNATIONAL</t>
        </is>
      </c>
      <c r="AK18" s="130" t="n"/>
    </row>
    <row r="19" ht="12" customHeight="1">
      <c r="A19" s="108" t="inlineStr">
        <is>
          <t>HALU5664235</t>
        </is>
      </c>
      <c r="B19" s="108" t="inlineStr">
        <is>
          <t>LCH04</t>
        </is>
      </c>
      <c r="C19" s="108" t="inlineStr">
        <is>
          <t>IFV</t>
        </is>
      </c>
      <c r="D19" s="172" t="inlineStr">
        <is>
          <t>2026-10-21</t>
        </is>
      </c>
      <c r="E19" s="173" t="inlineStr">
        <is>
          <t>0415</t>
        </is>
      </c>
      <c r="F19" s="96" t="inlineStr">
        <is>
          <t>HASLS22261000696</t>
        </is>
      </c>
      <c r="G19" s="96" t="inlineStr">
        <is>
          <t>YAMATO UNYU (THAILAND) CO., LTD.</t>
        </is>
      </c>
      <c r="H19" s="111" t="inlineStr">
        <is>
          <t>45GP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HASLS22261000696</t>
        </is>
      </c>
      <c r="N19" s="96" t="inlineStr">
        <is>
          <t xml:space="preserve">40Hx2 </t>
        </is>
      </c>
      <c r="O19" s="111" t="inlineStr">
        <is>
          <t>2018</t>
        </is>
      </c>
      <c r="P19" s="111" t="n"/>
      <c r="Q19" s="111" t="n"/>
      <c r="R19" s="96" t="inlineStr">
        <is>
          <t>YSVY</t>
        </is>
      </c>
      <c r="S19" s="96" t="inlineStr">
        <is>
          <t>2608S</t>
        </is>
      </c>
      <c r="T19" s="96" t="inlineStr">
        <is>
          <t>LCH04</t>
        </is>
      </c>
      <c r="U19" s="96" t="inlineStr">
        <is>
          <t>THLCH</t>
        </is>
      </c>
      <c r="V19" s="161" t="inlineStr">
        <is>
          <t>2026-10-24</t>
        </is>
      </c>
      <c r="W19" s="96" t="inlineStr">
        <is>
          <t>IDJKT</t>
        </is>
      </c>
      <c r="X19" s="161" t="inlineStr">
        <is>
          <t>2026-10-26</t>
        </is>
      </c>
      <c r="Y19" s="97" t="n"/>
      <c r="Z19" s="97" t="n"/>
      <c r="AA19" s="97" t="n"/>
      <c r="AB19" s="97" t="n"/>
      <c r="AC19" s="97" t="n"/>
      <c r="AD19" s="161" t="inlineStr">
        <is>
          <t>2026-10-21</t>
        </is>
      </c>
      <c r="AE19" s="174" t="inlineStr">
        <is>
          <t>0800</t>
        </is>
      </c>
      <c r="AF19" s="96" t="inlineStr">
        <is>
          <t>EDI2</t>
        </is>
      </c>
      <c r="AG19" s="97" t="n"/>
      <c r="AH19" s="97" t="n"/>
      <c r="AI19" s="97" t="inlineStr">
        <is>
          <t>IDINYL</t>
        </is>
      </c>
      <c r="AJ19" s="96" t="inlineStr">
        <is>
          <t>PT. ARGAPURA</t>
        </is>
      </c>
      <c r="AK19" s="130" t="n"/>
    </row>
    <row r="20" ht="12" customHeight="1">
      <c r="A20" s="108" t="inlineStr">
        <is>
          <t>HALU9000297</t>
        </is>
      </c>
      <c r="B20" s="108" t="inlineStr">
        <is>
          <t>LCH04</t>
        </is>
      </c>
      <c r="C20" s="108" t="inlineStr">
        <is>
          <t>IFV</t>
        </is>
      </c>
      <c r="D20" s="172" t="inlineStr">
        <is>
          <t>2026-10-21</t>
        </is>
      </c>
      <c r="E20" s="173" t="inlineStr">
        <is>
          <t>0421</t>
        </is>
      </c>
      <c r="F20" s="96" t="inlineStr">
        <is>
          <t>HASLS22261000067</t>
        </is>
      </c>
      <c r="G20" s="96" t="inlineStr">
        <is>
          <t>PROGRESS SHIPPING - TRANSPORT CO., LTD.</t>
        </is>
      </c>
      <c r="H20" s="111" t="inlineStr">
        <is>
          <t>45RE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HASLS22261000067</t>
        </is>
      </c>
      <c r="N20" s="96" t="inlineStr">
        <is>
          <t xml:space="preserve">R40Hx1 </t>
        </is>
      </c>
      <c r="O20" s="111" t="inlineStr">
        <is>
          <t>2013</t>
        </is>
      </c>
      <c r="P20" s="111" t="inlineStr">
        <is>
          <t>DAIKIN</t>
        </is>
      </c>
      <c r="Q20" s="111" t="n"/>
      <c r="R20" s="96" t="inlineStr">
        <is>
          <t>YSVY</t>
        </is>
      </c>
      <c r="S20" s="96" t="inlineStr">
        <is>
          <t>2608S</t>
        </is>
      </c>
      <c r="T20" s="96" t="inlineStr">
        <is>
          <t>LCH04</t>
        </is>
      </c>
      <c r="U20" s="96" t="inlineStr">
        <is>
          <t>THLCH</t>
        </is>
      </c>
      <c r="V20" s="161" t="inlineStr">
        <is>
          <t>2026-10-24</t>
        </is>
      </c>
      <c r="W20" s="96" t="inlineStr">
        <is>
          <t>IDJKT</t>
        </is>
      </c>
      <c r="X20" s="161" t="inlineStr">
        <is>
          <t>2026-10-26</t>
        </is>
      </c>
      <c r="Y20" s="97" t="n"/>
      <c r="Z20" s="97" t="n"/>
      <c r="AA20" s="97" t="n"/>
      <c r="AB20" s="97" t="n"/>
      <c r="AC20" s="97" t="n"/>
      <c r="AD20" s="161" t="inlineStr">
        <is>
          <t>2026-10-21</t>
        </is>
      </c>
      <c r="AE20" s="174" t="inlineStr">
        <is>
          <t>0800</t>
        </is>
      </c>
      <c r="AF20" s="96" t="inlineStr">
        <is>
          <t>EDI2</t>
        </is>
      </c>
      <c r="AG20" s="97" t="n"/>
      <c r="AH20" s="97" t="n"/>
      <c r="AI20" s="97" t="inlineStr">
        <is>
          <t>IDIUVF</t>
        </is>
      </c>
      <c r="AJ20" s="96" t="inlineStr">
        <is>
          <t>PT. USAHA BERKAH INOVASI</t>
        </is>
      </c>
      <c r="AK20" s="130" t="n"/>
    </row>
    <row r="21" ht="12" customHeight="1">
      <c r="A21" s="108" t="inlineStr">
        <is>
          <t>HLHU8103594</t>
        </is>
      </c>
      <c r="B21" s="108" t="inlineStr">
        <is>
          <t>LCH04</t>
        </is>
      </c>
      <c r="C21" s="108" t="inlineStr">
        <is>
          <t>IFV</t>
        </is>
      </c>
      <c r="D21" s="172" t="inlineStr">
        <is>
          <t>2026-10-23</t>
        </is>
      </c>
      <c r="E21" s="173" t="inlineStr">
        <is>
          <t>2055</t>
        </is>
      </c>
      <c r="F21" s="96" t="inlineStr">
        <is>
          <t>HASLS22261000610</t>
        </is>
      </c>
      <c r="G21" s="96" t="inlineStr">
        <is>
          <t>MAINFREIGHT LOGISTICS (THAILAND) CO., LTD.</t>
        </is>
      </c>
      <c r="H21" s="111" t="inlineStr">
        <is>
          <t>45GP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HASLS22261000610</t>
        </is>
      </c>
      <c r="N21" s="96" t="inlineStr">
        <is>
          <t xml:space="preserve">40Hx1 </t>
        </is>
      </c>
      <c r="O21" s="111" t="inlineStr">
        <is>
          <t>2021</t>
        </is>
      </c>
      <c r="P21" s="111" t="n"/>
      <c r="Q21" s="111" t="n"/>
      <c r="R21" s="96" t="inlineStr">
        <is>
          <t>YSVY</t>
        </is>
      </c>
      <c r="S21" s="96" t="inlineStr">
        <is>
          <t>2608S</t>
        </is>
      </c>
      <c r="T21" s="96" t="inlineStr">
        <is>
          <t>LCH04</t>
        </is>
      </c>
      <c r="U21" s="96" t="inlineStr">
        <is>
          <t>THLCH</t>
        </is>
      </c>
      <c r="V21" s="161" t="inlineStr">
        <is>
          <t>2026-10-24</t>
        </is>
      </c>
      <c r="W21" s="96" t="inlineStr">
        <is>
          <t>IDJKT</t>
        </is>
      </c>
      <c r="X21" s="161" t="inlineStr">
        <is>
          <t>2026-10-26</t>
        </is>
      </c>
      <c r="Y21" s="97" t="n"/>
      <c r="Z21" s="97" t="n"/>
      <c r="AA21" s="97" t="n"/>
      <c r="AB21" s="97" t="n"/>
      <c r="AC21" s="97" t="n"/>
      <c r="AD21" s="161" t="inlineStr">
        <is>
          <t>2026-10-24</t>
        </is>
      </c>
      <c r="AE21" s="174" t="inlineStr">
        <is>
          <t>0000</t>
        </is>
      </c>
      <c r="AF21" s="96" t="inlineStr">
        <is>
          <t>EDI2</t>
        </is>
      </c>
      <c r="AG21" s="97" t="n"/>
      <c r="AH21" s="97" t="n"/>
      <c r="AI21" s="97" t="inlineStr">
        <is>
          <t>IDIO44</t>
        </is>
      </c>
      <c r="AJ21" s="96" t="inlineStr">
        <is>
          <t>PT.ECOLAB INTERNATIONAL INDONESIA</t>
        </is>
      </c>
      <c r="AK21" s="130" t="n"/>
    </row>
    <row r="22" ht="12" customHeight="1">
      <c r="A22" s="108" t="inlineStr">
        <is>
          <t>HLHU8364221</t>
        </is>
      </c>
      <c r="B22" s="108" t="inlineStr">
        <is>
          <t>LCH04</t>
        </is>
      </c>
      <c r="C22" s="108" t="inlineStr">
        <is>
          <t>IFV</t>
        </is>
      </c>
      <c r="D22" s="172" t="inlineStr">
        <is>
          <t>2026-10-21</t>
        </is>
      </c>
      <c r="E22" s="173" t="inlineStr">
        <is>
          <t>0017</t>
        </is>
      </c>
      <c r="F22" s="96" t="inlineStr">
        <is>
          <t>HASLS22260902784</t>
        </is>
      </c>
      <c r="G22" s="96" t="inlineStr">
        <is>
          <t>YUSEN LOGISTICS (THAILAND) CO., LTD.</t>
        </is>
      </c>
      <c r="H22" s="111" t="inlineStr">
        <is>
          <t>45GP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HASLS22260902784</t>
        </is>
      </c>
      <c r="N22" s="96" t="inlineStr">
        <is>
          <t xml:space="preserve">40Hx1 </t>
        </is>
      </c>
      <c r="O22" s="111" t="inlineStr">
        <is>
          <t>2023</t>
        </is>
      </c>
      <c r="P22" s="111" t="n"/>
      <c r="Q22" s="111" t="n"/>
      <c r="R22" s="96" t="inlineStr">
        <is>
          <t>YSVY</t>
        </is>
      </c>
      <c r="S22" s="96" t="inlineStr">
        <is>
          <t>2608S</t>
        </is>
      </c>
      <c r="T22" s="96" t="inlineStr">
        <is>
          <t>LCH04</t>
        </is>
      </c>
      <c r="U22" s="96" t="inlineStr">
        <is>
          <t>THLCH</t>
        </is>
      </c>
      <c r="V22" s="161" t="inlineStr">
        <is>
          <t>2026-10-24</t>
        </is>
      </c>
      <c r="W22" s="96" t="inlineStr">
        <is>
          <t>IDJKT</t>
        </is>
      </c>
      <c r="X22" s="161" t="inlineStr">
        <is>
          <t>2026-10-26</t>
        </is>
      </c>
      <c r="Y22" s="97" t="n"/>
      <c r="Z22" s="97" t="n"/>
      <c r="AA22" s="97" t="n"/>
      <c r="AB22" s="97" t="n"/>
      <c r="AC22" s="97" t="n"/>
      <c r="AD22" s="161" t="inlineStr">
        <is>
          <t>2026-10-21</t>
        </is>
      </c>
      <c r="AE22" s="174" t="inlineStr">
        <is>
          <t>0401</t>
        </is>
      </c>
      <c r="AF22" s="96" t="inlineStr">
        <is>
          <t>EDI2</t>
        </is>
      </c>
      <c r="AG22" s="97" t="n"/>
      <c r="AH22" s="97" t="n"/>
      <c r="AI22" s="97" t="inlineStr">
        <is>
          <t>IDIUQP</t>
        </is>
      </c>
      <c r="AJ22" s="96" t="inlineStr">
        <is>
          <t>PT. ADVICS MANUFACTURING INDONESIA</t>
        </is>
      </c>
      <c r="AK22" s="130" t="n"/>
    </row>
    <row r="23" ht="12" customHeight="1">
      <c r="A23" s="108" t="inlineStr">
        <is>
          <t>HLHU8422164</t>
        </is>
      </c>
      <c r="B23" s="108" t="inlineStr">
        <is>
          <t>LCH04</t>
        </is>
      </c>
      <c r="C23" s="108" t="inlineStr">
        <is>
          <t>IFV</t>
        </is>
      </c>
      <c r="D23" s="172" t="inlineStr">
        <is>
          <t>2026-10-19</t>
        </is>
      </c>
      <c r="E23" s="173" t="inlineStr">
        <is>
          <t>1503</t>
        </is>
      </c>
      <c r="F23" s="96" t="inlineStr">
        <is>
          <t>HASLS22260901805</t>
        </is>
      </c>
      <c r="G23" s="96" t="inlineStr">
        <is>
          <t>CMS LOGISTICS GROUP (THAILAND) CO., LTD.</t>
        </is>
      </c>
      <c r="H23" s="111" t="inlineStr">
        <is>
          <t>45GP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HASLS22260901805</t>
        </is>
      </c>
      <c r="N23" s="96" t="inlineStr">
        <is>
          <t xml:space="preserve">40Hx1 </t>
        </is>
      </c>
      <c r="O23" s="111" t="inlineStr">
        <is>
          <t>2024</t>
        </is>
      </c>
      <c r="P23" s="111" t="n"/>
      <c r="Q23" s="111" t="n"/>
      <c r="R23" s="96" t="inlineStr">
        <is>
          <t>YSVY</t>
        </is>
      </c>
      <c r="S23" s="96" t="inlineStr">
        <is>
          <t>2608S</t>
        </is>
      </c>
      <c r="T23" s="96" t="inlineStr">
        <is>
          <t>LCH04</t>
        </is>
      </c>
      <c r="U23" s="96" t="inlineStr">
        <is>
          <t>THLCH</t>
        </is>
      </c>
      <c r="V23" s="161" t="inlineStr">
        <is>
          <t>2026-10-24</t>
        </is>
      </c>
      <c r="W23" s="96" t="inlineStr">
        <is>
          <t>IDJKT</t>
        </is>
      </c>
      <c r="X23" s="161" t="inlineStr">
        <is>
          <t>2026-10-26</t>
        </is>
      </c>
      <c r="Y23" s="97" t="n"/>
      <c r="Z23" s="97" t="n"/>
      <c r="AA23" s="97" t="n"/>
      <c r="AB23" s="97" t="n"/>
      <c r="AC23" s="97" t="n"/>
      <c r="AD23" s="161" t="inlineStr">
        <is>
          <t>2026-10-19</t>
        </is>
      </c>
      <c r="AE23" s="174" t="inlineStr">
        <is>
          <t>1800</t>
        </is>
      </c>
      <c r="AF23" s="96" t="inlineStr">
        <is>
          <t>EDI2</t>
        </is>
      </c>
      <c r="AG23" s="97" t="n"/>
      <c r="AH23" s="97" t="n"/>
      <c r="AI23" s="97" t="inlineStr">
        <is>
          <t>IDIKGH</t>
        </is>
      </c>
      <c r="AJ23" s="96" t="inlineStr">
        <is>
          <t>PT. JALAK KARGO LOGISTIK</t>
        </is>
      </c>
      <c r="AK23" s="130" t="n"/>
    </row>
    <row r="24" ht="12" customHeight="1">
      <c r="A24" s="108" t="inlineStr">
        <is>
          <t>HLHU8479405</t>
        </is>
      </c>
      <c r="B24" s="108" t="inlineStr">
        <is>
          <t>LCH04</t>
        </is>
      </c>
      <c r="C24" s="108" t="inlineStr">
        <is>
          <t>IFV</t>
        </is>
      </c>
      <c r="D24" s="172" t="inlineStr">
        <is>
          <t>2026-10-18</t>
        </is>
      </c>
      <c r="E24" s="173" t="inlineStr">
        <is>
          <t>0105</t>
        </is>
      </c>
      <c r="F24" s="96" t="inlineStr">
        <is>
          <t>HASLS22260902114</t>
        </is>
      </c>
      <c r="G24" s="96" t="inlineStr">
        <is>
          <t>ACCORD PILOT LOGISTICS (THAILAND) CO., LTD.</t>
        </is>
      </c>
      <c r="H24" s="111" t="inlineStr">
        <is>
          <t>45GP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HASLS22260902114</t>
        </is>
      </c>
      <c r="N24" s="96" t="inlineStr">
        <is>
          <t xml:space="preserve">40Hx1 20'x1 </t>
        </is>
      </c>
      <c r="O24" s="111" t="inlineStr">
        <is>
          <t>2024</t>
        </is>
      </c>
      <c r="P24" s="111" t="n"/>
      <c r="Q24" s="111" t="n"/>
      <c r="R24" s="96" t="inlineStr">
        <is>
          <t>YSVY</t>
        </is>
      </c>
      <c r="S24" s="96" t="inlineStr">
        <is>
          <t>2608S</t>
        </is>
      </c>
      <c r="T24" s="96" t="inlineStr">
        <is>
          <t>LCH04</t>
        </is>
      </c>
      <c r="U24" s="96" t="inlineStr">
        <is>
          <t>THLCH</t>
        </is>
      </c>
      <c r="V24" s="161" t="inlineStr">
        <is>
          <t>2026-10-24</t>
        </is>
      </c>
      <c r="W24" s="96" t="inlineStr">
        <is>
          <t>IDJKT</t>
        </is>
      </c>
      <c r="X24" s="161" t="inlineStr">
        <is>
          <t>2026-10-26</t>
        </is>
      </c>
      <c r="Y24" s="97" t="n"/>
      <c r="Z24" s="97" t="n"/>
      <c r="AA24" s="97" t="n"/>
      <c r="AB24" s="97" t="n"/>
      <c r="AC24" s="97" t="n"/>
      <c r="AD24" s="161" t="inlineStr">
        <is>
          <t>2026-10-18</t>
        </is>
      </c>
      <c r="AE24" s="174" t="inlineStr">
        <is>
          <t>0401</t>
        </is>
      </c>
      <c r="AF24" s="96" t="inlineStr">
        <is>
          <t>EDI2</t>
        </is>
      </c>
      <c r="AG24" s="97" t="n"/>
      <c r="AH24" s="97" t="n"/>
      <c r="AI24" s="97" t="inlineStr">
        <is>
          <t>IDIOUS</t>
        </is>
      </c>
      <c r="AJ24" s="96" t="inlineStr">
        <is>
          <t>PT. RECKITT BENCKISER INDONESIA</t>
        </is>
      </c>
      <c r="AK24" s="130" t="n"/>
    </row>
    <row r="25" ht="12" customHeight="1">
      <c r="A25" s="108" t="inlineStr">
        <is>
          <t>HLHU8569730</t>
        </is>
      </c>
      <c r="B25" s="108" t="inlineStr">
        <is>
          <t>LCH04</t>
        </is>
      </c>
      <c r="C25" s="108" t="inlineStr">
        <is>
          <t>IFV</t>
        </is>
      </c>
      <c r="D25" s="172" t="inlineStr">
        <is>
          <t>2026-10-19</t>
        </is>
      </c>
      <c r="E25" s="173" t="inlineStr">
        <is>
          <t>1447</t>
        </is>
      </c>
      <c r="F25" s="96" t="inlineStr">
        <is>
          <t>HASLS22260900972</t>
        </is>
      </c>
      <c r="G25" s="96" t="inlineStr">
        <is>
          <t>L.A.1 CO.,LTD.</t>
        </is>
      </c>
      <c r="H25" s="111" t="inlineStr">
        <is>
          <t>45GP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HASLS22260900972</t>
        </is>
      </c>
      <c r="N25" s="96" t="inlineStr">
        <is>
          <t xml:space="preserve">40Hx1 </t>
        </is>
      </c>
      <c r="O25" s="111" t="inlineStr">
        <is>
          <t>2025</t>
        </is>
      </c>
      <c r="P25" s="111" t="n"/>
      <c r="Q25" s="111" t="n"/>
      <c r="R25" s="96" t="inlineStr">
        <is>
          <t>YSVY</t>
        </is>
      </c>
      <c r="S25" s="96" t="inlineStr">
        <is>
          <t>2608S</t>
        </is>
      </c>
      <c r="T25" s="96" t="inlineStr">
        <is>
          <t>LCH04</t>
        </is>
      </c>
      <c r="U25" s="96" t="inlineStr">
        <is>
          <t>THLCH</t>
        </is>
      </c>
      <c r="V25" s="161" t="inlineStr">
        <is>
          <t>2026-10-24</t>
        </is>
      </c>
      <c r="W25" s="96" t="inlineStr">
        <is>
          <t>IDJKT</t>
        </is>
      </c>
      <c r="X25" s="161" t="inlineStr">
        <is>
          <t>2026-10-26</t>
        </is>
      </c>
      <c r="Y25" s="97" t="n"/>
      <c r="Z25" s="97" t="n"/>
      <c r="AA25" s="97" t="n"/>
      <c r="AB25" s="97" t="n"/>
      <c r="AC25" s="97" t="n"/>
      <c r="AD25" s="161" t="inlineStr">
        <is>
          <t>2026-10-19</t>
        </is>
      </c>
      <c r="AE25" s="174" t="inlineStr">
        <is>
          <t>1800</t>
        </is>
      </c>
      <c r="AF25" s="96" t="inlineStr">
        <is>
          <t>EDI2</t>
        </is>
      </c>
      <c r="AG25" s="97" t="n"/>
      <c r="AH25" s="97" t="n"/>
      <c r="AI25" s="97" t="inlineStr">
        <is>
          <t>IDISRH</t>
        </is>
      </c>
      <c r="AJ25" s="96" t="inlineStr">
        <is>
          <t>PT. CHEMSTAR INDONESIA TBK</t>
        </is>
      </c>
      <c r="AK25" s="130" t="n"/>
    </row>
    <row r="26" ht="12" customHeight="1">
      <c r="A26" s="108" t="inlineStr">
        <is>
          <t>SKHU6382814</t>
        </is>
      </c>
      <c r="B26" s="108" t="inlineStr">
        <is>
          <t>LCH04</t>
        </is>
      </c>
      <c r="C26" s="108" t="inlineStr">
        <is>
          <t>IFV</t>
        </is>
      </c>
      <c r="D26" s="172" t="inlineStr">
        <is>
          <t>2026-10-17</t>
        </is>
      </c>
      <c r="E26" s="173" t="inlineStr">
        <is>
          <t>2306</t>
        </is>
      </c>
      <c r="F26" s="96" t="inlineStr">
        <is>
          <t>HASLS22260901128</t>
        </is>
      </c>
      <c r="G26" s="96" t="inlineStr">
        <is>
          <t>ACCORD PILOT LOGISTICS (THAILAND) CO., LTD.</t>
        </is>
      </c>
      <c r="H26" s="111" t="inlineStr">
        <is>
          <t>45GP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HASLS22260901128</t>
        </is>
      </c>
      <c r="N26" s="96" t="inlineStr">
        <is>
          <t xml:space="preserve">40Hx1 </t>
        </is>
      </c>
      <c r="O26" s="111" t="inlineStr">
        <is>
          <t>2023</t>
        </is>
      </c>
      <c r="P26" s="111" t="n"/>
      <c r="Q26" s="111" t="n"/>
      <c r="R26" s="96" t="inlineStr">
        <is>
          <t>YSVY</t>
        </is>
      </c>
      <c r="S26" s="96" t="inlineStr">
        <is>
          <t>2608S</t>
        </is>
      </c>
      <c r="T26" s="96" t="inlineStr">
        <is>
          <t>LCH04</t>
        </is>
      </c>
      <c r="U26" s="96" t="inlineStr">
        <is>
          <t>THLCH</t>
        </is>
      </c>
      <c r="V26" s="161" t="inlineStr">
        <is>
          <t>2026-10-24</t>
        </is>
      </c>
      <c r="W26" s="96" t="inlineStr">
        <is>
          <t>IDJKT</t>
        </is>
      </c>
      <c r="X26" s="161" t="inlineStr">
        <is>
          <t>2026-10-26</t>
        </is>
      </c>
      <c r="Y26" s="97" t="n"/>
      <c r="Z26" s="97" t="n"/>
      <c r="AA26" s="97" t="n"/>
      <c r="AB26" s="97" t="n"/>
      <c r="AC26" s="97" t="n"/>
      <c r="AD26" s="161" t="inlineStr">
        <is>
          <t>2026-10-18</t>
        </is>
      </c>
      <c r="AE26" s="174" t="inlineStr">
        <is>
          <t>0200</t>
        </is>
      </c>
      <c r="AF26" s="96" t="inlineStr">
        <is>
          <t>EDI2</t>
        </is>
      </c>
      <c r="AG26" s="97" t="n"/>
      <c r="AH26" s="97" t="n"/>
      <c r="AI26" s="97" t="inlineStr">
        <is>
          <t>IDIOS0</t>
        </is>
      </c>
      <c r="AJ26" s="96" t="inlineStr">
        <is>
          <t>P.T. DIAMOND COLD STORAGE</t>
        </is>
      </c>
      <c r="AK26" s="130" t="n"/>
    </row>
    <row r="27" ht="12" customHeight="1">
      <c r="A27" s="108" t="inlineStr">
        <is>
          <t>SKHU9611344</t>
        </is>
      </c>
      <c r="B27" s="108" t="inlineStr">
        <is>
          <t>LCH04</t>
        </is>
      </c>
      <c r="C27" s="108" t="inlineStr">
        <is>
          <t>IFV</t>
        </is>
      </c>
      <c r="D27" s="172" t="inlineStr">
        <is>
          <t>2026-10-19</t>
        </is>
      </c>
      <c r="E27" s="173" t="inlineStr">
        <is>
          <t>1647</t>
        </is>
      </c>
      <c r="F27" s="96" t="inlineStr">
        <is>
          <t>HASLS22260900413</t>
        </is>
      </c>
      <c r="G27" s="96" t="inlineStr">
        <is>
          <t>ILOGS GLOBAL CO.,LTD.</t>
        </is>
      </c>
      <c r="H27" s="111" t="inlineStr">
        <is>
          <t>45GP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HASLS22260900413</t>
        </is>
      </c>
      <c r="N27" s="96" t="inlineStr">
        <is>
          <t xml:space="preserve">40Hx1 </t>
        </is>
      </c>
      <c r="O27" s="111" t="inlineStr">
        <is>
          <t>2016</t>
        </is>
      </c>
      <c r="P27" s="111" t="n"/>
      <c r="Q27" s="111" t="n"/>
      <c r="R27" s="96" t="inlineStr">
        <is>
          <t>NSSJ</t>
        </is>
      </c>
      <c r="S27" s="96" t="inlineStr">
        <is>
          <t>2608S</t>
        </is>
      </c>
      <c r="T27" s="96" t="inlineStr">
        <is>
          <t>LCH04</t>
        </is>
      </c>
      <c r="U27" s="96" t="inlineStr">
        <is>
          <t>THLCH</t>
        </is>
      </c>
      <c r="V27" s="161" t="inlineStr">
        <is>
          <t>2026-10-24</t>
        </is>
      </c>
      <c r="W27" s="96" t="inlineStr">
        <is>
          <t>IDJKT</t>
        </is>
      </c>
      <c r="X27" s="161" t="inlineStr">
        <is>
          <t>2026-10-26</t>
        </is>
      </c>
      <c r="Y27" s="97" t="n"/>
      <c r="Z27" s="97" t="n"/>
      <c r="AA27" s="97" t="n"/>
      <c r="AB27" s="97" t="n"/>
      <c r="AC27" s="97" t="n"/>
      <c r="AD27" s="161" t="inlineStr">
        <is>
          <t>2026-10-19</t>
        </is>
      </c>
      <c r="AE27" s="174" t="inlineStr">
        <is>
          <t>2001</t>
        </is>
      </c>
      <c r="AF27" s="96" t="inlineStr">
        <is>
          <t>EDI2</t>
        </is>
      </c>
      <c r="AG27" s="97" t="n"/>
      <c r="AH27" s="97" t="n"/>
      <c r="AI27" s="97" t="inlineStr">
        <is>
          <t>IDINS8</t>
        </is>
      </c>
      <c r="AJ27" s="96" t="inlineStr">
        <is>
          <t>PT GODREJ CONSUMER PRODUCTS</t>
        </is>
      </c>
      <c r="AK27" s="130" t="n"/>
    </row>
    <row r="28" ht="12" customHeight="1">
      <c r="A28" s="108" t="inlineStr">
        <is>
          <t>SKLU0405124</t>
        </is>
      </c>
      <c r="B28" s="108" t="inlineStr">
        <is>
          <t>LCH04</t>
        </is>
      </c>
      <c r="C28" s="108" t="inlineStr">
        <is>
          <t>IFV</t>
        </is>
      </c>
      <c r="D28" s="172" t="inlineStr">
        <is>
          <t>2026-10-18</t>
        </is>
      </c>
      <c r="E28" s="173" t="inlineStr">
        <is>
          <t>1205</t>
        </is>
      </c>
      <c r="F28" s="96" t="inlineStr">
        <is>
          <t>HASLS22261000633</t>
        </is>
      </c>
      <c r="G28" s="96" t="inlineStr">
        <is>
          <t>LESCHACO (THAILAND) LTD.</t>
        </is>
      </c>
      <c r="H28" s="111" t="inlineStr">
        <is>
          <t>22GP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HASLS22261000633</t>
        </is>
      </c>
      <c r="N28" s="96" t="inlineStr">
        <is>
          <t xml:space="preserve">20'x3 </t>
        </is>
      </c>
      <c r="O28" s="111" t="inlineStr">
        <is>
          <t>2004</t>
        </is>
      </c>
      <c r="P28" s="111" t="n"/>
      <c r="Q28" s="111" t="n"/>
      <c r="R28" s="96" t="inlineStr">
        <is>
          <t>YSVY</t>
        </is>
      </c>
      <c r="S28" s="96" t="inlineStr">
        <is>
          <t>2608S</t>
        </is>
      </c>
      <c r="T28" s="96" t="inlineStr">
        <is>
          <t>LCH04</t>
        </is>
      </c>
      <c r="U28" s="96" t="inlineStr">
        <is>
          <t>THLCH</t>
        </is>
      </c>
      <c r="V28" s="161" t="inlineStr">
        <is>
          <t>2026-10-24</t>
        </is>
      </c>
      <c r="W28" s="96" t="inlineStr">
        <is>
          <t>IDJKT</t>
        </is>
      </c>
      <c r="X28" s="161" t="inlineStr">
        <is>
          <t>2026-10-26</t>
        </is>
      </c>
      <c r="Y28" s="97" t="n"/>
      <c r="Z28" s="97" t="n"/>
      <c r="AA28" s="97" t="n"/>
      <c r="AB28" s="97" t="n"/>
      <c r="AC28" s="97" t="n"/>
      <c r="AD28" s="161" t="inlineStr">
        <is>
          <t>2026-10-18</t>
        </is>
      </c>
      <c r="AE28" s="174" t="inlineStr">
        <is>
          <t>1600</t>
        </is>
      </c>
      <c r="AF28" s="96" t="inlineStr">
        <is>
          <t>EDI2</t>
        </is>
      </c>
      <c r="AG28" s="97" t="n"/>
      <c r="AH28" s="97" t="n"/>
      <c r="AI28" s="97" t="inlineStr">
        <is>
          <t>IDIPME</t>
        </is>
      </c>
      <c r="AJ28" s="96" t="inlineStr">
        <is>
          <t>PT. MAKMUR META GRAHA DINAMIKA</t>
        </is>
      </c>
      <c r="AK28" s="130" t="n"/>
    </row>
    <row r="29" ht="12" customHeight="1">
      <c r="A29" s="108" t="inlineStr">
        <is>
          <t>SKLU0714524</t>
        </is>
      </c>
      <c r="B29" s="108" t="inlineStr">
        <is>
          <t>LCH04</t>
        </is>
      </c>
      <c r="C29" s="108" t="inlineStr">
        <is>
          <t>IFV</t>
        </is>
      </c>
      <c r="D29" s="172" t="inlineStr">
        <is>
          <t>2026-10-18</t>
        </is>
      </c>
      <c r="E29" s="173" t="inlineStr">
        <is>
          <t>1206</t>
        </is>
      </c>
      <c r="F29" s="96" t="inlineStr">
        <is>
          <t>HASLS22261000633</t>
        </is>
      </c>
      <c r="G29" s="96" t="inlineStr">
        <is>
          <t>LESCHACO (THAILAND) LTD.</t>
        </is>
      </c>
      <c r="H29" s="111" t="inlineStr">
        <is>
          <t>22GP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HASLS22261000633</t>
        </is>
      </c>
      <c r="N29" s="96" t="inlineStr">
        <is>
          <t xml:space="preserve">20'x3 </t>
        </is>
      </c>
      <c r="O29" s="111" t="inlineStr">
        <is>
          <t>2007</t>
        </is>
      </c>
      <c r="P29" s="111" t="n"/>
      <c r="Q29" s="111" t="n"/>
      <c r="R29" s="96" t="inlineStr">
        <is>
          <t>YSVY</t>
        </is>
      </c>
      <c r="S29" s="96" t="inlineStr">
        <is>
          <t>2608S</t>
        </is>
      </c>
      <c r="T29" s="96" t="inlineStr">
        <is>
          <t>LCH04</t>
        </is>
      </c>
      <c r="U29" s="96" t="inlineStr">
        <is>
          <t>THLCH</t>
        </is>
      </c>
      <c r="V29" s="161" t="inlineStr">
        <is>
          <t>2026-10-24</t>
        </is>
      </c>
      <c r="W29" s="96" t="inlineStr">
        <is>
          <t>IDJKT</t>
        </is>
      </c>
      <c r="X29" s="161" t="inlineStr">
        <is>
          <t>2026-10-26</t>
        </is>
      </c>
      <c r="Y29" s="97" t="n"/>
      <c r="Z29" s="97" t="n"/>
      <c r="AA29" s="97" t="n"/>
      <c r="AB29" s="97" t="n"/>
      <c r="AC29" s="97" t="n"/>
      <c r="AD29" s="161" t="inlineStr">
        <is>
          <t>2026-10-18</t>
        </is>
      </c>
      <c r="AE29" s="174" t="inlineStr">
        <is>
          <t>1600</t>
        </is>
      </c>
      <c r="AF29" s="96" t="inlineStr">
        <is>
          <t>EDI2</t>
        </is>
      </c>
      <c r="AG29" s="97" t="n"/>
      <c r="AH29" s="97" t="n"/>
      <c r="AI29" s="97" t="inlineStr">
        <is>
          <t>IDIPME</t>
        </is>
      </c>
      <c r="AJ29" s="96" t="inlineStr">
        <is>
          <t>PT. MAKMUR META GRAHA DINAMIKA</t>
        </is>
      </c>
      <c r="AK29" s="130" t="n"/>
    </row>
    <row r="30" ht="12" customHeight="1">
      <c r="A30" s="108" t="inlineStr">
        <is>
          <t>SKLU0726886</t>
        </is>
      </c>
      <c r="B30" s="108" t="inlineStr">
        <is>
          <t>LCH04</t>
        </is>
      </c>
      <c r="C30" s="108" t="inlineStr">
        <is>
          <t>IFV</t>
        </is>
      </c>
      <c r="D30" s="172" t="inlineStr">
        <is>
          <t>2026-10-20</t>
        </is>
      </c>
      <c r="E30" s="173" t="inlineStr">
        <is>
          <t>1922</t>
        </is>
      </c>
      <c r="F30" s="96" t="inlineStr">
        <is>
          <t>HASLS22260900299</t>
        </is>
      </c>
      <c r="G30" s="96" t="inlineStr">
        <is>
          <t>SCGJWD LOGISTICS PUBLIC COMPANY LIMITED</t>
        </is>
      </c>
      <c r="H30" s="111" t="inlineStr">
        <is>
          <t>22GP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HASLS22260900299</t>
        </is>
      </c>
      <c r="N30" s="96" t="inlineStr">
        <is>
          <t xml:space="preserve">20'x2 </t>
        </is>
      </c>
      <c r="O30" s="111" t="inlineStr">
        <is>
          <t>2007</t>
        </is>
      </c>
      <c r="P30" s="111" t="n"/>
      <c r="Q30" s="111" t="n"/>
      <c r="R30" s="96" t="inlineStr">
        <is>
          <t>NSSJ</t>
        </is>
      </c>
      <c r="S30" s="96" t="inlineStr">
        <is>
          <t>2608S</t>
        </is>
      </c>
      <c r="T30" s="96" t="inlineStr">
        <is>
          <t>LCH04</t>
        </is>
      </c>
      <c r="U30" s="96" t="inlineStr">
        <is>
          <t>THLCH</t>
        </is>
      </c>
      <c r="V30" s="161" t="inlineStr">
        <is>
          <t>2026-10-24</t>
        </is>
      </c>
      <c r="W30" s="96" t="inlineStr">
        <is>
          <t>IDJKT</t>
        </is>
      </c>
      <c r="X30" s="161" t="inlineStr">
        <is>
          <t>2026-10-26</t>
        </is>
      </c>
      <c r="Y30" s="97" t="n"/>
      <c r="Z30" s="97" t="n"/>
      <c r="AA30" s="97" t="n"/>
      <c r="AB30" s="97" t="n"/>
      <c r="AC30" s="97" t="n"/>
      <c r="AD30" s="161" t="inlineStr">
        <is>
          <t>2026-10-20</t>
        </is>
      </c>
      <c r="AE30" s="174" t="inlineStr">
        <is>
          <t>2200</t>
        </is>
      </c>
      <c r="AF30" s="96" t="inlineStr">
        <is>
          <t>EDI2</t>
        </is>
      </c>
      <c r="AG30" s="97" t="n"/>
      <c r="AH30" s="97" t="n"/>
      <c r="AI30" s="97" t="inlineStr">
        <is>
          <t>IDIOW2</t>
        </is>
      </c>
      <c r="AJ30" s="96" t="inlineStr">
        <is>
          <t>PT. INDO PORCELAIN</t>
        </is>
      </c>
      <c r="AK30" s="130" t="n"/>
    </row>
    <row r="31" ht="12" customHeight="1">
      <c r="A31" s="108" t="inlineStr">
        <is>
          <t>SKLU1102483</t>
        </is>
      </c>
      <c r="B31" s="108" t="inlineStr">
        <is>
          <t>LCH04</t>
        </is>
      </c>
      <c r="C31" s="108" t="inlineStr">
        <is>
          <t>IFV</t>
        </is>
      </c>
      <c r="D31" s="172" t="inlineStr">
        <is>
          <t>2026-10-23</t>
        </is>
      </c>
      <c r="E31" s="173" t="inlineStr">
        <is>
          <t>1419</t>
        </is>
      </c>
      <c r="F31" s="96" t="inlineStr">
        <is>
          <t>HASLS22260902789</t>
        </is>
      </c>
      <c r="G31" s="96" t="inlineStr">
        <is>
          <t>L.A.1 CO.,LTD.</t>
        </is>
      </c>
      <c r="H31" s="111" t="inlineStr">
        <is>
          <t>22GP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HASLS22260902789</t>
        </is>
      </c>
      <c r="N31" s="96" t="inlineStr">
        <is>
          <t xml:space="preserve">20'x1 </t>
        </is>
      </c>
      <c r="O31" s="111" t="inlineStr">
        <is>
          <t>2011</t>
        </is>
      </c>
      <c r="P31" s="111" t="n"/>
      <c r="Q31" s="111" t="n"/>
      <c r="R31" s="96" t="inlineStr">
        <is>
          <t>YSVY</t>
        </is>
      </c>
      <c r="S31" s="96" t="inlineStr">
        <is>
          <t>2608S</t>
        </is>
      </c>
      <c r="T31" s="96" t="inlineStr">
        <is>
          <t>LCH04</t>
        </is>
      </c>
      <c r="U31" s="96" t="inlineStr">
        <is>
          <t>THLCH</t>
        </is>
      </c>
      <c r="V31" s="161" t="inlineStr">
        <is>
          <t>2026-10-24</t>
        </is>
      </c>
      <c r="W31" s="96" t="inlineStr">
        <is>
          <t>IDJKT</t>
        </is>
      </c>
      <c r="X31" s="161" t="inlineStr">
        <is>
          <t>2026-10-26</t>
        </is>
      </c>
      <c r="Y31" s="97" t="n"/>
      <c r="Z31" s="97" t="n"/>
      <c r="AA31" s="97" t="n"/>
      <c r="AB31" s="97" t="n"/>
      <c r="AC31" s="97" t="n"/>
      <c r="AD31" s="161" t="inlineStr">
        <is>
          <t>2026-10-23</t>
        </is>
      </c>
      <c r="AE31" s="174" t="inlineStr">
        <is>
          <t>1800</t>
        </is>
      </c>
      <c r="AF31" s="96" t="inlineStr">
        <is>
          <t>EDI2</t>
        </is>
      </c>
      <c r="AG31" s="97" t="n"/>
      <c r="AH31" s="97" t="n"/>
      <c r="AI31" s="97" t="inlineStr">
        <is>
          <t>IDISRH</t>
        </is>
      </c>
      <c r="AJ31" s="96" t="inlineStr">
        <is>
          <t>PT. CHEMSTAR INDONESIA TBK</t>
        </is>
      </c>
      <c r="AK31" s="130" t="n"/>
    </row>
    <row r="32" ht="12" customHeight="1">
      <c r="A32" s="108" t="inlineStr">
        <is>
          <t>SKLU1310620</t>
        </is>
      </c>
      <c r="B32" s="108" t="inlineStr">
        <is>
          <t>LCH04</t>
        </is>
      </c>
      <c r="C32" s="108" t="inlineStr">
        <is>
          <t>IFV</t>
        </is>
      </c>
      <c r="D32" s="172" t="inlineStr">
        <is>
          <t>2026-10-18</t>
        </is>
      </c>
      <c r="E32" s="173" t="inlineStr">
        <is>
          <t>0042</t>
        </is>
      </c>
      <c r="F32" s="96" t="inlineStr">
        <is>
          <t>HASLS22261000155</t>
        </is>
      </c>
      <c r="G32" s="96" t="inlineStr">
        <is>
          <t>FLS 1993 (THAILAND) CO., LTD.</t>
        </is>
      </c>
      <c r="H32" s="111" t="inlineStr">
        <is>
          <t>22GP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HASLS22261000155</t>
        </is>
      </c>
      <c r="N32" s="96" t="inlineStr">
        <is>
          <t xml:space="preserve">20'x3 </t>
        </is>
      </c>
      <c r="O32" s="111" t="inlineStr">
        <is>
          <t>2013</t>
        </is>
      </c>
      <c r="P32" s="111" t="n"/>
      <c r="Q32" s="111" t="n"/>
      <c r="R32" s="96" t="inlineStr">
        <is>
          <t>YSVY</t>
        </is>
      </c>
      <c r="S32" s="96" t="inlineStr">
        <is>
          <t>2608S</t>
        </is>
      </c>
      <c r="T32" s="96" t="inlineStr">
        <is>
          <t>LCH04</t>
        </is>
      </c>
      <c r="U32" s="96" t="inlineStr">
        <is>
          <t>THLCH</t>
        </is>
      </c>
      <c r="V32" s="161" t="inlineStr">
        <is>
          <t>2026-10-24</t>
        </is>
      </c>
      <c r="W32" s="96" t="inlineStr">
        <is>
          <t>IDJKT</t>
        </is>
      </c>
      <c r="X32" s="161" t="inlineStr">
        <is>
          <t>2026-10-26</t>
        </is>
      </c>
      <c r="Y32" s="97" t="n"/>
      <c r="Z32" s="97" t="n"/>
      <c r="AA32" s="97" t="n"/>
      <c r="AB32" s="97" t="n"/>
      <c r="AC32" s="97" t="n"/>
      <c r="AD32" s="161" t="inlineStr">
        <is>
          <t>2026-10-18</t>
        </is>
      </c>
      <c r="AE32" s="174" t="inlineStr">
        <is>
          <t>0401</t>
        </is>
      </c>
      <c r="AF32" s="96" t="inlineStr">
        <is>
          <t>EDI2</t>
        </is>
      </c>
      <c r="AG32" s="97" t="n"/>
      <c r="AH32" s="97" t="n"/>
      <c r="AI32" s="97" t="inlineStr">
        <is>
          <t>IDIO4V</t>
        </is>
      </c>
      <c r="AJ32" s="96" t="inlineStr">
        <is>
          <t>PT. YAMATOGAWA INDONESIA</t>
        </is>
      </c>
      <c r="AK32" s="130" t="n"/>
    </row>
    <row r="33" ht="12" customHeight="1">
      <c r="A33" s="108" t="inlineStr">
        <is>
          <t>SKLU1420252</t>
        </is>
      </c>
      <c r="B33" s="108" t="inlineStr">
        <is>
          <t>LCH04</t>
        </is>
      </c>
      <c r="C33" s="108" t="inlineStr">
        <is>
          <t>IFV</t>
        </is>
      </c>
      <c r="D33" s="172" t="inlineStr">
        <is>
          <t>2026-10-18</t>
        </is>
      </c>
      <c r="E33" s="173" t="inlineStr">
        <is>
          <t>0051</t>
        </is>
      </c>
      <c r="F33" s="96" t="inlineStr">
        <is>
          <t>HASLS22260900516</t>
        </is>
      </c>
      <c r="G33" s="96" t="inlineStr">
        <is>
          <t>ACE LOGISTICS (THAILAND) CO., LTD.</t>
        </is>
      </c>
      <c r="H33" s="111" t="inlineStr">
        <is>
          <t>22GP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HASLS22260900516</t>
        </is>
      </c>
      <c r="N33" s="96" t="inlineStr">
        <is>
          <t xml:space="preserve">20'x1 </t>
        </is>
      </c>
      <c r="O33" s="111" t="inlineStr">
        <is>
          <t>2014</t>
        </is>
      </c>
      <c r="P33" s="111" t="n"/>
      <c r="Q33" s="111" t="n"/>
      <c r="R33" s="96" t="inlineStr">
        <is>
          <t>YSVY</t>
        </is>
      </c>
      <c r="S33" s="96" t="inlineStr">
        <is>
          <t>2608S</t>
        </is>
      </c>
      <c r="T33" s="96" t="inlineStr">
        <is>
          <t>LCH04</t>
        </is>
      </c>
      <c r="U33" s="96" t="inlineStr">
        <is>
          <t>THLCH</t>
        </is>
      </c>
      <c r="V33" s="161" t="inlineStr">
        <is>
          <t>2026-10-24</t>
        </is>
      </c>
      <c r="W33" s="96" t="inlineStr">
        <is>
          <t>IDJKT</t>
        </is>
      </c>
      <c r="X33" s="161" t="inlineStr">
        <is>
          <t>2026-10-26</t>
        </is>
      </c>
      <c r="Y33" s="97" t="n"/>
      <c r="Z33" s="97" t="n"/>
      <c r="AA33" s="97" t="n"/>
      <c r="AB33" s="97" t="n"/>
      <c r="AC33" s="97" t="n"/>
      <c r="AD33" s="161" t="inlineStr">
        <is>
          <t>2026-10-18</t>
        </is>
      </c>
      <c r="AE33" s="174" t="inlineStr">
        <is>
          <t>0401</t>
        </is>
      </c>
      <c r="AF33" s="96" t="inlineStr">
        <is>
          <t>EDI2</t>
        </is>
      </c>
      <c r="AG33" s="97" t="n"/>
      <c r="AH33" s="97" t="n"/>
      <c r="AI33" s="97" t="inlineStr">
        <is>
          <t>IDIQ8X</t>
        </is>
      </c>
      <c r="AJ33" s="96" t="inlineStr">
        <is>
          <t>PT. AT INDONESIA</t>
        </is>
      </c>
      <c r="AK33" s="130" t="n"/>
    </row>
    <row r="34" ht="12" customHeight="1">
      <c r="A34" s="108" t="inlineStr">
        <is>
          <t>SKLU1510361</t>
        </is>
      </c>
      <c r="B34" s="108" t="inlineStr">
        <is>
          <t>LCH04</t>
        </is>
      </c>
      <c r="C34" s="108" t="inlineStr">
        <is>
          <t>IFV</t>
        </is>
      </c>
      <c r="D34" s="172" t="inlineStr">
        <is>
          <t>2026-10-19</t>
        </is>
      </c>
      <c r="E34" s="173" t="inlineStr">
        <is>
          <t>2022</t>
        </is>
      </c>
      <c r="F34" s="96" t="inlineStr">
        <is>
          <t>HASLS22261000251</t>
        </is>
      </c>
      <c r="G34" s="96" t="inlineStr">
        <is>
          <t>PENANSHIN SHIPPING (THAILAND) LTD.</t>
        </is>
      </c>
      <c r="H34" s="111" t="inlineStr">
        <is>
          <t>22GP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HASLS22261000251</t>
        </is>
      </c>
      <c r="N34" s="96" t="inlineStr">
        <is>
          <t xml:space="preserve">20'x1 </t>
        </is>
      </c>
      <c r="O34" s="111" t="inlineStr">
        <is>
          <t>2015</t>
        </is>
      </c>
      <c r="P34" s="111" t="n"/>
      <c r="Q34" s="111" t="n"/>
      <c r="R34" s="96" t="inlineStr">
        <is>
          <t>YSVY</t>
        </is>
      </c>
      <c r="S34" s="96" t="inlineStr">
        <is>
          <t>2608S</t>
        </is>
      </c>
      <c r="T34" s="96" t="inlineStr">
        <is>
          <t>LCH04</t>
        </is>
      </c>
      <c r="U34" s="96" t="inlineStr">
        <is>
          <t>THLCH</t>
        </is>
      </c>
      <c r="V34" s="161" t="inlineStr">
        <is>
          <t>2026-10-24</t>
        </is>
      </c>
      <c r="W34" s="96" t="inlineStr">
        <is>
          <t>IDJKT</t>
        </is>
      </c>
      <c r="X34" s="161" t="inlineStr">
        <is>
          <t>2026-10-26</t>
        </is>
      </c>
      <c r="Y34" s="97" t="n"/>
      <c r="Z34" s="97" t="n"/>
      <c r="AA34" s="97" t="n"/>
      <c r="AB34" s="97" t="n"/>
      <c r="AC34" s="97" t="n"/>
      <c r="AD34" s="161" t="inlineStr">
        <is>
          <t>2026-10-20</t>
        </is>
      </c>
      <c r="AE34" s="174" t="inlineStr">
        <is>
          <t>0001</t>
        </is>
      </c>
      <c r="AF34" s="96" t="inlineStr">
        <is>
          <t>EDI2</t>
        </is>
      </c>
      <c r="AG34" s="97" t="n"/>
      <c r="AH34" s="97" t="n"/>
      <c r="AI34" s="97" t="inlineStr">
        <is>
          <t>IDIMZF</t>
        </is>
      </c>
      <c r="AJ34" s="96" t="inlineStr">
        <is>
          <t>PT. AKASHI WAHANA INDONESIA</t>
        </is>
      </c>
      <c r="AK34" s="130" t="n"/>
    </row>
    <row r="35" ht="12" customHeight="1">
      <c r="A35" s="108" t="inlineStr">
        <is>
          <t>SKLU1536582</t>
        </is>
      </c>
      <c r="B35" s="108" t="inlineStr">
        <is>
          <t>LCH04</t>
        </is>
      </c>
      <c r="C35" s="108" t="inlineStr">
        <is>
          <t>IFV</t>
        </is>
      </c>
      <c r="D35" s="172" t="inlineStr">
        <is>
          <t>2026-10-17</t>
        </is>
      </c>
      <c r="E35" s="173" t="inlineStr">
        <is>
          <t>1228</t>
        </is>
      </c>
      <c r="F35" s="96" t="inlineStr">
        <is>
          <t>HASLS22261000470</t>
        </is>
      </c>
      <c r="G35" s="96" t="inlineStr">
        <is>
          <t>ICONS GLOBAL LOGISTICS CO., LTD.</t>
        </is>
      </c>
      <c r="H35" s="111" t="inlineStr">
        <is>
          <t>22GP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HASLS22261000470</t>
        </is>
      </c>
      <c r="N35" s="96" t="inlineStr">
        <is>
          <t xml:space="preserve">20'x1 </t>
        </is>
      </c>
      <c r="O35" s="111" t="inlineStr">
        <is>
          <t>2015</t>
        </is>
      </c>
      <c r="P35" s="111" t="n"/>
      <c r="Q35" s="111" t="n"/>
      <c r="R35" s="96" t="inlineStr">
        <is>
          <t>YSVY</t>
        </is>
      </c>
      <c r="S35" s="96" t="inlineStr">
        <is>
          <t>2608S</t>
        </is>
      </c>
      <c r="T35" s="96" t="inlineStr">
        <is>
          <t>LCH04</t>
        </is>
      </c>
      <c r="U35" s="96" t="inlineStr">
        <is>
          <t>THLCH</t>
        </is>
      </c>
      <c r="V35" s="161" t="inlineStr">
        <is>
          <t>2026-10-24</t>
        </is>
      </c>
      <c r="W35" s="96" t="inlineStr">
        <is>
          <t>IDJKT</t>
        </is>
      </c>
      <c r="X35" s="161" t="inlineStr">
        <is>
          <t>2026-10-26</t>
        </is>
      </c>
      <c r="Y35" s="97" t="n"/>
      <c r="Z35" s="97" t="n"/>
      <c r="AA35" s="97" t="n"/>
      <c r="AB35" s="97" t="n"/>
      <c r="AC35" s="97" t="n"/>
      <c r="AD35" s="161" t="inlineStr">
        <is>
          <t>2026-10-17</t>
        </is>
      </c>
      <c r="AE35" s="174" t="inlineStr">
        <is>
          <t>1600</t>
        </is>
      </c>
      <c r="AF35" s="96" t="inlineStr">
        <is>
          <t>EDI2</t>
        </is>
      </c>
      <c r="AG35" s="97" t="n"/>
      <c r="AH35" s="97" t="n"/>
      <c r="AI35" s="97" t="inlineStr">
        <is>
          <t>IDISOL</t>
        </is>
      </c>
      <c r="AJ35" s="96" t="inlineStr">
        <is>
          <t>PT INDO-RAMA SYNTHETICS TBK.</t>
        </is>
      </c>
      <c r="AK35" s="130" t="n"/>
    </row>
    <row r="36" ht="12" customHeight="1">
      <c r="A36" s="108" t="inlineStr">
        <is>
          <t>SKLU1569879</t>
        </is>
      </c>
      <c r="B36" s="108" t="inlineStr">
        <is>
          <t>LCH04</t>
        </is>
      </c>
      <c r="C36" s="108" t="inlineStr">
        <is>
          <t>IFV</t>
        </is>
      </c>
      <c r="D36" s="172" t="inlineStr">
        <is>
          <t>2026-10-16</t>
        </is>
      </c>
      <c r="E36" s="173" t="inlineStr">
        <is>
          <t>1036</t>
        </is>
      </c>
      <c r="F36" s="96" t="inlineStr">
        <is>
          <t>HASLS22261000144</t>
        </is>
      </c>
      <c r="G36" s="96" t="inlineStr">
        <is>
          <t>THAI MFC CO., LTD.</t>
        </is>
      </c>
      <c r="H36" s="111" t="inlineStr">
        <is>
          <t>22GP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HASLS22261000144</t>
        </is>
      </c>
      <c r="N36" s="96" t="inlineStr">
        <is>
          <t xml:space="preserve">20'x3 </t>
        </is>
      </c>
      <c r="O36" s="111" t="inlineStr">
        <is>
          <t>2015</t>
        </is>
      </c>
      <c r="P36" s="111" t="n"/>
      <c r="Q36" s="111" t="n"/>
      <c r="R36" s="96" t="inlineStr">
        <is>
          <t>YSVY</t>
        </is>
      </c>
      <c r="S36" s="96" t="inlineStr">
        <is>
          <t>2608S</t>
        </is>
      </c>
      <c r="T36" s="96" t="inlineStr">
        <is>
          <t>LCH04</t>
        </is>
      </c>
      <c r="U36" s="96" t="inlineStr">
        <is>
          <t>THLCH</t>
        </is>
      </c>
      <c r="V36" s="161" t="inlineStr">
        <is>
          <t>2026-10-24</t>
        </is>
      </c>
      <c r="W36" s="96" t="inlineStr">
        <is>
          <t>IDJKT</t>
        </is>
      </c>
      <c r="X36" s="161" t="inlineStr">
        <is>
          <t>2026-10-26</t>
        </is>
      </c>
      <c r="Y36" s="97" t="n"/>
      <c r="Z36" s="97" t="n"/>
      <c r="AA36" s="97" t="n"/>
      <c r="AB36" s="97" t="n"/>
      <c r="AC36" s="97" t="n"/>
      <c r="AD36" s="161" t="inlineStr">
        <is>
          <t>2026-10-16</t>
        </is>
      </c>
      <c r="AE36" s="174" t="inlineStr">
        <is>
          <t>1400</t>
        </is>
      </c>
      <c r="AF36" s="96" t="inlineStr">
        <is>
          <t>EDI2</t>
        </is>
      </c>
      <c r="AG36" s="97" t="n"/>
      <c r="AH36" s="97" t="n"/>
      <c r="AI36" s="97" t="inlineStr">
        <is>
          <t>IDILZX</t>
        </is>
      </c>
      <c r="AJ36" s="96" t="inlineStr">
        <is>
          <t>PT ANDESEN JAYA PLASTIK</t>
        </is>
      </c>
      <c r="AK36" s="130" t="n"/>
    </row>
    <row r="37" ht="12" customHeight="1">
      <c r="A37" s="108" t="inlineStr">
        <is>
          <t>SKLU1585859</t>
        </is>
      </c>
      <c r="B37" s="108" t="inlineStr">
        <is>
          <t>LCH04</t>
        </is>
      </c>
      <c r="C37" s="108" t="inlineStr">
        <is>
          <t>IFV</t>
        </is>
      </c>
      <c r="D37" s="172" t="inlineStr">
        <is>
          <t>2026-10-21</t>
        </is>
      </c>
      <c r="E37" s="173" t="inlineStr">
        <is>
          <t>1238</t>
        </is>
      </c>
      <c r="F37" s="96" t="inlineStr">
        <is>
          <t>HASLS22261000848</t>
        </is>
      </c>
      <c r="G37" s="96" t="inlineStr">
        <is>
          <t>YAMATO UNYU (THAILAND) CO., LTD.</t>
        </is>
      </c>
      <c r="H37" s="111" t="inlineStr">
        <is>
          <t>22GP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HASLS22261000848</t>
        </is>
      </c>
      <c r="N37" s="96" t="inlineStr">
        <is>
          <t xml:space="preserve">20'x1 </t>
        </is>
      </c>
      <c r="O37" s="111" t="inlineStr">
        <is>
          <t>2015</t>
        </is>
      </c>
      <c r="P37" s="111" t="n"/>
      <c r="Q37" s="111" t="n"/>
      <c r="R37" s="96" t="inlineStr">
        <is>
          <t>YSVY</t>
        </is>
      </c>
      <c r="S37" s="96" t="inlineStr">
        <is>
          <t>2608S</t>
        </is>
      </c>
      <c r="T37" s="96" t="inlineStr">
        <is>
          <t>LCH04</t>
        </is>
      </c>
      <c r="U37" s="96" t="inlineStr">
        <is>
          <t>THLCH</t>
        </is>
      </c>
      <c r="V37" s="161" t="inlineStr">
        <is>
          <t>2026-10-24</t>
        </is>
      </c>
      <c r="W37" s="96" t="inlineStr">
        <is>
          <t>IDJKT</t>
        </is>
      </c>
      <c r="X37" s="161" t="inlineStr">
        <is>
          <t>2026-10-26</t>
        </is>
      </c>
      <c r="Y37" s="97" t="n"/>
      <c r="Z37" s="97" t="n"/>
      <c r="AA37" s="97" t="n"/>
      <c r="AB37" s="97" t="n"/>
      <c r="AC37" s="97" t="n"/>
      <c r="AD37" s="161" t="inlineStr">
        <is>
          <t>2026-10-21</t>
        </is>
      </c>
      <c r="AE37" s="174" t="inlineStr">
        <is>
          <t>1600</t>
        </is>
      </c>
      <c r="AF37" s="96" t="inlineStr">
        <is>
          <t>EDI2</t>
        </is>
      </c>
      <c r="AG37" s="97" t="n"/>
      <c r="AH37" s="97" t="n"/>
      <c r="AI37" s="97" t="inlineStr">
        <is>
          <t>IDIS11</t>
        </is>
      </c>
      <c r="AJ37" s="96" t="inlineStr">
        <is>
          <t>PT. T.RAD INDONESIA</t>
        </is>
      </c>
      <c r="AK37" s="130" t="n"/>
    </row>
    <row r="38" ht="12" customHeight="1">
      <c r="A38" s="108" t="inlineStr">
        <is>
          <t>SKLU1621350</t>
        </is>
      </c>
      <c r="B38" s="108" t="inlineStr">
        <is>
          <t>LCH04</t>
        </is>
      </c>
      <c r="C38" s="108" t="inlineStr">
        <is>
          <t>IFV</t>
        </is>
      </c>
      <c r="D38" s="172" t="inlineStr">
        <is>
          <t>2026-10-20</t>
        </is>
      </c>
      <c r="E38" s="173" t="inlineStr">
        <is>
          <t>1912</t>
        </is>
      </c>
      <c r="F38" s="96" t="inlineStr">
        <is>
          <t>HASLS22260900299</t>
        </is>
      </c>
      <c r="G38" s="96" t="inlineStr">
        <is>
          <t>SCGJWD LOGISTICS PUBLIC COMPANY LIMITED</t>
        </is>
      </c>
      <c r="H38" s="111" t="inlineStr">
        <is>
          <t>22GP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HASLS22260900299</t>
        </is>
      </c>
      <c r="N38" s="96" t="inlineStr">
        <is>
          <t xml:space="preserve">20'x2 </t>
        </is>
      </c>
      <c r="O38" s="111" t="inlineStr">
        <is>
          <t>2016</t>
        </is>
      </c>
      <c r="P38" s="111" t="n"/>
      <c r="Q38" s="111" t="n"/>
      <c r="R38" s="96" t="inlineStr">
        <is>
          <t>NSSJ</t>
        </is>
      </c>
      <c r="S38" s="96" t="inlineStr">
        <is>
          <t>2608S</t>
        </is>
      </c>
      <c r="T38" s="96" t="inlineStr">
        <is>
          <t>LCH04</t>
        </is>
      </c>
      <c r="U38" s="96" t="inlineStr">
        <is>
          <t>THLCH</t>
        </is>
      </c>
      <c r="V38" s="161" t="inlineStr">
        <is>
          <t>2026-10-24</t>
        </is>
      </c>
      <c r="W38" s="96" t="inlineStr">
        <is>
          <t>IDJKT</t>
        </is>
      </c>
      <c r="X38" s="161" t="inlineStr">
        <is>
          <t>2026-10-26</t>
        </is>
      </c>
      <c r="Y38" s="97" t="n"/>
      <c r="Z38" s="97" t="n"/>
      <c r="AA38" s="97" t="n"/>
      <c r="AB38" s="97" t="n"/>
      <c r="AC38" s="97" t="n"/>
      <c r="AD38" s="161" t="inlineStr">
        <is>
          <t>2026-10-20</t>
        </is>
      </c>
      <c r="AE38" s="174" t="inlineStr">
        <is>
          <t>2200</t>
        </is>
      </c>
      <c r="AF38" s="96" t="inlineStr">
        <is>
          <t>EDI2</t>
        </is>
      </c>
      <c r="AG38" s="97" t="n"/>
      <c r="AH38" s="97" t="n"/>
      <c r="AI38" s="97" t="inlineStr">
        <is>
          <t>IDIOW2</t>
        </is>
      </c>
      <c r="AJ38" s="96" t="inlineStr">
        <is>
          <t>PT. INDO PORCELAIN</t>
        </is>
      </c>
      <c r="AK38" s="130" t="n"/>
    </row>
    <row r="39" ht="12" customHeight="1">
      <c r="A39" s="108" t="inlineStr">
        <is>
          <t>SKLU1622356</t>
        </is>
      </c>
      <c r="B39" s="108" t="inlineStr">
        <is>
          <t>LCH04</t>
        </is>
      </c>
      <c r="C39" s="108" t="inlineStr">
        <is>
          <t>IFV</t>
        </is>
      </c>
      <c r="D39" s="172" t="inlineStr">
        <is>
          <t>2026-10-16</t>
        </is>
      </c>
      <c r="E39" s="173" t="inlineStr">
        <is>
          <t>2255</t>
        </is>
      </c>
      <c r="F39" s="96" t="inlineStr">
        <is>
          <t>HASLS22261000731</t>
        </is>
      </c>
      <c r="G39" s="96" t="inlineStr">
        <is>
          <t>SEABRA TRANS INTERNATIONAL CO., LTD.</t>
        </is>
      </c>
      <c r="H39" s="111" t="inlineStr">
        <is>
          <t>22GP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HASLS22261000731</t>
        </is>
      </c>
      <c r="N39" s="96" t="inlineStr">
        <is>
          <t xml:space="preserve">20'x1 </t>
        </is>
      </c>
      <c r="O39" s="111" t="inlineStr">
        <is>
          <t>2016</t>
        </is>
      </c>
      <c r="P39" s="111" t="n"/>
      <c r="Q39" s="111" t="n"/>
      <c r="R39" s="96" t="inlineStr">
        <is>
          <t>YSVY</t>
        </is>
      </c>
      <c r="S39" s="96" t="inlineStr">
        <is>
          <t>2608S</t>
        </is>
      </c>
      <c r="T39" s="96" t="inlineStr">
        <is>
          <t>LCH04</t>
        </is>
      </c>
      <c r="U39" s="96" t="inlineStr">
        <is>
          <t>THLCH</t>
        </is>
      </c>
      <c r="V39" s="161" t="inlineStr">
        <is>
          <t>2026-10-24</t>
        </is>
      </c>
      <c r="W39" s="96" t="inlineStr">
        <is>
          <t>IDJKT</t>
        </is>
      </c>
      <c r="X39" s="161" t="inlineStr">
        <is>
          <t>2026-10-26</t>
        </is>
      </c>
      <c r="Y39" s="97" t="n"/>
      <c r="Z39" s="97" t="n"/>
      <c r="AA39" s="97" t="n"/>
      <c r="AB39" s="97" t="n"/>
      <c r="AC39" s="97" t="n"/>
      <c r="AD39" s="161" t="inlineStr">
        <is>
          <t>2026-10-17</t>
        </is>
      </c>
      <c r="AE39" s="174" t="inlineStr">
        <is>
          <t>0200</t>
        </is>
      </c>
      <c r="AF39" s="96" t="inlineStr">
        <is>
          <t>EDI2</t>
        </is>
      </c>
      <c r="AG39" s="97" t="n"/>
      <c r="AH39" s="97" t="n"/>
      <c r="AI39" s="97" t="inlineStr">
        <is>
          <t>IDIQXJ</t>
        </is>
      </c>
      <c r="AJ39" s="96" t="inlineStr">
        <is>
          <t>PT. DIFAN PRIMA PAINT</t>
        </is>
      </c>
      <c r="AK39" s="130" t="n"/>
    </row>
    <row r="40" ht="12" customHeight="1">
      <c r="A40" s="108" t="inlineStr">
        <is>
          <t>SKLU1628061</t>
        </is>
      </c>
      <c r="B40" s="108" t="inlineStr">
        <is>
          <t>LCH04</t>
        </is>
      </c>
      <c r="C40" s="108" t="inlineStr">
        <is>
          <t>IFV</t>
        </is>
      </c>
      <c r="D40" s="172" t="inlineStr">
        <is>
          <t>2026-10-16</t>
        </is>
      </c>
      <c r="E40" s="173" t="inlineStr">
        <is>
          <t>1034</t>
        </is>
      </c>
      <c r="F40" s="96" t="inlineStr">
        <is>
          <t>HASLS22261000144</t>
        </is>
      </c>
      <c r="G40" s="96" t="inlineStr">
        <is>
          <t>THAI MFC CO., LTD.</t>
        </is>
      </c>
      <c r="H40" s="111" t="inlineStr">
        <is>
          <t>22GP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HASLS22261000144</t>
        </is>
      </c>
      <c r="N40" s="96" t="inlineStr">
        <is>
          <t xml:space="preserve">20'x3 </t>
        </is>
      </c>
      <c r="O40" s="111" t="inlineStr">
        <is>
          <t>2016</t>
        </is>
      </c>
      <c r="P40" s="111" t="n"/>
      <c r="Q40" s="111" t="n"/>
      <c r="R40" s="96" t="inlineStr">
        <is>
          <t>YSVY</t>
        </is>
      </c>
      <c r="S40" s="96" t="inlineStr">
        <is>
          <t>2608S</t>
        </is>
      </c>
      <c r="T40" s="96" t="inlineStr">
        <is>
          <t>LCH04</t>
        </is>
      </c>
      <c r="U40" s="96" t="inlineStr">
        <is>
          <t>THLCH</t>
        </is>
      </c>
      <c r="V40" s="161" t="inlineStr">
        <is>
          <t>2026-10-24</t>
        </is>
      </c>
      <c r="W40" s="96" t="inlineStr">
        <is>
          <t>IDJKT</t>
        </is>
      </c>
      <c r="X40" s="161" t="inlineStr">
        <is>
          <t>2026-10-26</t>
        </is>
      </c>
      <c r="Y40" s="97" t="n"/>
      <c r="Z40" s="97" t="n"/>
      <c r="AA40" s="97" t="n"/>
      <c r="AB40" s="97" t="n"/>
      <c r="AC40" s="97" t="n"/>
      <c r="AD40" s="161" t="inlineStr">
        <is>
          <t>2026-10-16</t>
        </is>
      </c>
      <c r="AE40" s="174" t="inlineStr">
        <is>
          <t>1400</t>
        </is>
      </c>
      <c r="AF40" s="96" t="inlineStr">
        <is>
          <t>EDI2</t>
        </is>
      </c>
      <c r="AG40" s="97" t="n"/>
      <c r="AH40" s="97" t="n"/>
      <c r="AI40" s="97" t="inlineStr">
        <is>
          <t>IDILZX</t>
        </is>
      </c>
      <c r="AJ40" s="96" t="inlineStr">
        <is>
          <t>PT ANDESEN JAYA PLASTIK</t>
        </is>
      </c>
      <c r="AK40" s="130" t="n"/>
    </row>
    <row r="41" ht="12" customHeight="1">
      <c r="A41" s="108" t="inlineStr">
        <is>
          <t>SKLU1657769</t>
        </is>
      </c>
      <c r="B41" s="108" t="inlineStr">
        <is>
          <t>LCH04</t>
        </is>
      </c>
      <c r="C41" s="108" t="inlineStr">
        <is>
          <t>IFV</t>
        </is>
      </c>
      <c r="D41" s="172" t="inlineStr">
        <is>
          <t>2026-10-16</t>
        </is>
      </c>
      <c r="E41" s="173" t="inlineStr">
        <is>
          <t>1739</t>
        </is>
      </c>
      <c r="F41" s="96" t="inlineStr">
        <is>
          <t>HASLS22261000144</t>
        </is>
      </c>
      <c r="G41" s="96" t="inlineStr">
        <is>
          <t>THAI MFC CO., LTD.</t>
        </is>
      </c>
      <c r="H41" s="111" t="inlineStr">
        <is>
          <t>22GP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HASLS22261000144</t>
        </is>
      </c>
      <c r="N41" s="96" t="inlineStr">
        <is>
          <t xml:space="preserve">20'x3 </t>
        </is>
      </c>
      <c r="O41" s="111" t="inlineStr">
        <is>
          <t>2016</t>
        </is>
      </c>
      <c r="P41" s="111" t="n"/>
      <c r="Q41" s="111" t="n"/>
      <c r="R41" s="96" t="inlineStr">
        <is>
          <t>YSVY</t>
        </is>
      </c>
      <c r="S41" s="96" t="inlineStr">
        <is>
          <t>2608S</t>
        </is>
      </c>
      <c r="T41" s="96" t="inlineStr">
        <is>
          <t>LCH04</t>
        </is>
      </c>
      <c r="U41" s="96" t="inlineStr">
        <is>
          <t>THLCH</t>
        </is>
      </c>
      <c r="V41" s="161" t="inlineStr">
        <is>
          <t>2026-10-24</t>
        </is>
      </c>
      <c r="W41" s="96" t="inlineStr">
        <is>
          <t>IDJKT</t>
        </is>
      </c>
      <c r="X41" s="161" t="inlineStr">
        <is>
          <t>2026-10-26</t>
        </is>
      </c>
      <c r="Y41" s="97" t="n"/>
      <c r="Z41" s="97" t="n"/>
      <c r="AA41" s="97" t="n"/>
      <c r="AB41" s="97" t="n"/>
      <c r="AC41" s="97" t="n"/>
      <c r="AD41" s="161" t="inlineStr">
        <is>
          <t>2026-10-16</t>
        </is>
      </c>
      <c r="AE41" s="174" t="inlineStr">
        <is>
          <t>2000</t>
        </is>
      </c>
      <c r="AF41" s="96" t="inlineStr">
        <is>
          <t>EDI2</t>
        </is>
      </c>
      <c r="AG41" s="97" t="n"/>
      <c r="AH41" s="97" t="n"/>
      <c r="AI41" s="97" t="inlineStr">
        <is>
          <t>IDILZX</t>
        </is>
      </c>
      <c r="AJ41" s="96" t="inlineStr">
        <is>
          <t>PT ANDESEN JAYA PLASTIK</t>
        </is>
      </c>
      <c r="AK41" s="130" t="n"/>
    </row>
    <row r="42" ht="12" customHeight="1">
      <c r="A42" s="108" t="inlineStr">
        <is>
          <t>SKLU1922754</t>
        </is>
      </c>
      <c r="B42" s="108" t="inlineStr">
        <is>
          <t>LCH04</t>
        </is>
      </c>
      <c r="C42" s="108" t="inlineStr">
        <is>
          <t>IFV</t>
        </is>
      </c>
      <c r="D42" s="172" t="inlineStr">
        <is>
          <t>2026-10-18</t>
        </is>
      </c>
      <c r="E42" s="173" t="inlineStr">
        <is>
          <t>1121</t>
        </is>
      </c>
      <c r="F42" s="96" t="inlineStr">
        <is>
          <t>HASLS22261000155</t>
        </is>
      </c>
      <c r="G42" s="96" t="inlineStr">
        <is>
          <t>FLS 1993 (THAILAND) CO., LTD.</t>
        </is>
      </c>
      <c r="H42" s="111" t="inlineStr">
        <is>
          <t>22GP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HASLS22261000155</t>
        </is>
      </c>
      <c r="N42" s="96" t="inlineStr">
        <is>
          <t xml:space="preserve">20'x3 </t>
        </is>
      </c>
      <c r="O42" s="111" t="inlineStr">
        <is>
          <t>2019</t>
        </is>
      </c>
      <c r="P42" s="111" t="n"/>
      <c r="Q42" s="111" t="n"/>
      <c r="R42" s="96" t="inlineStr">
        <is>
          <t>YSVY</t>
        </is>
      </c>
      <c r="S42" s="96" t="inlineStr">
        <is>
          <t>2608S</t>
        </is>
      </c>
      <c r="T42" s="96" t="inlineStr">
        <is>
          <t>LCH04</t>
        </is>
      </c>
      <c r="U42" s="96" t="inlineStr">
        <is>
          <t>THLCH</t>
        </is>
      </c>
      <c r="V42" s="161" t="inlineStr">
        <is>
          <t>2026-10-24</t>
        </is>
      </c>
      <c r="W42" s="96" t="inlineStr">
        <is>
          <t>IDJKT</t>
        </is>
      </c>
      <c r="X42" s="161" t="inlineStr">
        <is>
          <t>2026-10-26</t>
        </is>
      </c>
      <c r="Y42" s="97" t="n"/>
      <c r="Z42" s="97" t="n"/>
      <c r="AA42" s="97" t="n"/>
      <c r="AB42" s="97" t="n"/>
      <c r="AC42" s="97" t="n"/>
      <c r="AD42" s="161" t="inlineStr">
        <is>
          <t>2026-10-18</t>
        </is>
      </c>
      <c r="AE42" s="174" t="inlineStr">
        <is>
          <t>1401</t>
        </is>
      </c>
      <c r="AF42" s="96" t="inlineStr">
        <is>
          <t>EDI2</t>
        </is>
      </c>
      <c r="AG42" s="97" t="n"/>
      <c r="AH42" s="97" t="n"/>
      <c r="AI42" s="97" t="inlineStr">
        <is>
          <t>IDIO4V</t>
        </is>
      </c>
      <c r="AJ42" s="96" t="inlineStr">
        <is>
          <t>PT. YAMATOGAWA INDONESIA</t>
        </is>
      </c>
      <c r="AK42" s="130" t="n"/>
    </row>
    <row r="43" ht="12" customHeight="1">
      <c r="A43" s="108" t="inlineStr">
        <is>
          <t>SKLU1927102</t>
        </is>
      </c>
      <c r="B43" s="108" t="inlineStr">
        <is>
          <t>LCH04</t>
        </is>
      </c>
      <c r="C43" s="108" t="inlineStr">
        <is>
          <t>IFV</t>
        </is>
      </c>
      <c r="D43" s="172" t="inlineStr">
        <is>
          <t>2026-10-17</t>
        </is>
      </c>
      <c r="E43" s="173" t="inlineStr">
        <is>
          <t>2342</t>
        </is>
      </c>
      <c r="F43" s="96" t="inlineStr">
        <is>
          <t>HASLS22260902692</t>
        </is>
      </c>
      <c r="G43" s="96" t="inlineStr">
        <is>
          <t>FREIGHT EXPRESS INTERNATIONAL CO., LTD.</t>
        </is>
      </c>
      <c r="H43" s="111" t="inlineStr">
        <is>
          <t>22GP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HASLS22260902692</t>
        </is>
      </c>
      <c r="N43" s="96" t="inlineStr">
        <is>
          <t xml:space="preserve">20'x1 </t>
        </is>
      </c>
      <c r="O43" s="111" t="inlineStr">
        <is>
          <t>2019</t>
        </is>
      </c>
      <c r="P43" s="111" t="n"/>
      <c r="Q43" s="111" t="n"/>
      <c r="R43" s="96" t="inlineStr">
        <is>
          <t>YSVY</t>
        </is>
      </c>
      <c r="S43" s="96" t="inlineStr">
        <is>
          <t>2608S</t>
        </is>
      </c>
      <c r="T43" s="96" t="inlineStr">
        <is>
          <t>LCH04</t>
        </is>
      </c>
      <c r="U43" s="96" t="inlineStr">
        <is>
          <t>THLCH</t>
        </is>
      </c>
      <c r="V43" s="161" t="inlineStr">
        <is>
          <t>2026-10-24</t>
        </is>
      </c>
      <c r="W43" s="96" t="inlineStr">
        <is>
          <t>IDJKT</t>
        </is>
      </c>
      <c r="X43" s="161" t="inlineStr">
        <is>
          <t>2026-10-26</t>
        </is>
      </c>
      <c r="Y43" s="97" t="n"/>
      <c r="Z43" s="97" t="n"/>
      <c r="AA43" s="97" t="n"/>
      <c r="AB43" s="97" t="n"/>
      <c r="AC43" s="97" t="n"/>
      <c r="AD43" s="161" t="inlineStr">
        <is>
          <t>2026-10-18</t>
        </is>
      </c>
      <c r="AE43" s="174" t="inlineStr">
        <is>
          <t>0200</t>
        </is>
      </c>
      <c r="AF43" s="96" t="inlineStr">
        <is>
          <t>EDI2</t>
        </is>
      </c>
      <c r="AG43" s="97" t="n"/>
      <c r="AH43" s="97" t="n"/>
      <c r="AI43" s="97" t="inlineStr">
        <is>
          <t>IDIS68</t>
        </is>
      </c>
      <c r="AJ43" s="96" t="inlineStr">
        <is>
          <t>PT CITRA GOURMAND PRIMA</t>
        </is>
      </c>
      <c r="AK43" s="130" t="n"/>
    </row>
    <row r="44" ht="12" customHeight="1">
      <c r="A44" s="108" t="inlineStr">
        <is>
          <t>SKLU1960311</t>
        </is>
      </c>
      <c r="B44" s="108" t="inlineStr">
        <is>
          <t>LCH04</t>
        </is>
      </c>
      <c r="C44" s="108" t="inlineStr">
        <is>
          <t>IFV</t>
        </is>
      </c>
      <c r="D44" s="172" t="inlineStr">
        <is>
          <t>2026-10-17</t>
        </is>
      </c>
      <c r="E44" s="173" t="inlineStr">
        <is>
          <t>0707</t>
        </is>
      </c>
      <c r="F44" s="96" t="inlineStr">
        <is>
          <t>HASLS22261000687</t>
        </is>
      </c>
      <c r="G44" s="96" t="inlineStr">
        <is>
          <t>YUSEN LOGISTICS (THAILAND) CO., LTD.</t>
        </is>
      </c>
      <c r="H44" s="111" t="inlineStr">
        <is>
          <t>22GP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HASLS22261000687</t>
        </is>
      </c>
      <c r="N44" s="96" t="inlineStr">
        <is>
          <t xml:space="preserve">20'x1 </t>
        </is>
      </c>
      <c r="O44" s="111" t="inlineStr">
        <is>
          <t>2019</t>
        </is>
      </c>
      <c r="P44" s="111" t="n"/>
      <c r="Q44" s="111" t="n"/>
      <c r="R44" s="96" t="inlineStr">
        <is>
          <t>YSVY</t>
        </is>
      </c>
      <c r="S44" s="96" t="inlineStr">
        <is>
          <t>2608S</t>
        </is>
      </c>
      <c r="T44" s="96" t="inlineStr">
        <is>
          <t>LCH04</t>
        </is>
      </c>
      <c r="U44" s="96" t="inlineStr">
        <is>
          <t>THLCH</t>
        </is>
      </c>
      <c r="V44" s="161" t="inlineStr">
        <is>
          <t>2026-10-24</t>
        </is>
      </c>
      <c r="W44" s="96" t="inlineStr">
        <is>
          <t>IDJKT</t>
        </is>
      </c>
      <c r="X44" s="161" t="inlineStr">
        <is>
          <t>2026-10-26</t>
        </is>
      </c>
      <c r="Y44" s="97" t="n"/>
      <c r="Z44" s="97" t="n"/>
      <c r="AA44" s="97" t="n"/>
      <c r="AB44" s="97" t="n"/>
      <c r="AC44" s="97" t="n"/>
      <c r="AD44" s="161" t="inlineStr">
        <is>
          <t>2026-10-17</t>
        </is>
      </c>
      <c r="AE44" s="174" t="inlineStr">
        <is>
          <t>1000</t>
        </is>
      </c>
      <c r="AF44" s="96" t="inlineStr">
        <is>
          <t>EDI2</t>
        </is>
      </c>
      <c r="AG44" s="97" t="n"/>
      <c r="AH44" s="97" t="n"/>
      <c r="AI44" s="97" t="inlineStr">
        <is>
          <t>ID059Y</t>
        </is>
      </c>
      <c r="AJ44" s="96" t="inlineStr">
        <is>
          <t>PT. SUZUKI INDOMOBIL MOTOR</t>
        </is>
      </c>
      <c r="AK44" s="130" t="n"/>
    </row>
    <row r="45" ht="12" customHeight="1">
      <c r="A45" s="108" t="inlineStr">
        <is>
          <t>SKLU1984139</t>
        </is>
      </c>
      <c r="B45" s="108" t="inlineStr">
        <is>
          <t>LCH04</t>
        </is>
      </c>
      <c r="C45" s="108" t="inlineStr">
        <is>
          <t>IFV</t>
        </is>
      </c>
      <c r="D45" s="172" t="inlineStr">
        <is>
          <t>2026-10-18</t>
        </is>
      </c>
      <c r="E45" s="173" t="inlineStr">
        <is>
          <t>1042</t>
        </is>
      </c>
      <c r="F45" s="96" t="inlineStr">
        <is>
          <t>HASLS22261001027</t>
        </is>
      </c>
      <c r="G45" s="96" t="inlineStr">
        <is>
          <t>CARGO-PARTNER LOGISTICS LTD.</t>
        </is>
      </c>
      <c r="H45" s="111" t="inlineStr">
        <is>
          <t>22GP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HASLS22261001027</t>
        </is>
      </c>
      <c r="N45" s="96" t="inlineStr">
        <is>
          <t xml:space="preserve">20'x1 </t>
        </is>
      </c>
      <c r="O45" s="111" t="inlineStr">
        <is>
          <t>2019</t>
        </is>
      </c>
      <c r="P45" s="111" t="n"/>
      <c r="Q45" s="111" t="n"/>
      <c r="R45" s="96" t="inlineStr">
        <is>
          <t>YSVY</t>
        </is>
      </c>
      <c r="S45" s="96" t="inlineStr">
        <is>
          <t>2608S</t>
        </is>
      </c>
      <c r="T45" s="96" t="inlineStr">
        <is>
          <t>LCH04</t>
        </is>
      </c>
      <c r="U45" s="96" t="inlineStr">
        <is>
          <t>THLCH</t>
        </is>
      </c>
      <c r="V45" s="161" t="inlineStr">
        <is>
          <t>2026-10-24</t>
        </is>
      </c>
      <c r="W45" s="96" t="inlineStr">
        <is>
          <t>IDJKT</t>
        </is>
      </c>
      <c r="X45" s="161" t="inlineStr">
        <is>
          <t>2026-10-26</t>
        </is>
      </c>
      <c r="Y45" s="97" t="n"/>
      <c r="Z45" s="97" t="n"/>
      <c r="AA45" s="97" t="n"/>
      <c r="AB45" s="97" t="n"/>
      <c r="AC45" s="97" t="n"/>
      <c r="AD45" s="161" t="inlineStr">
        <is>
          <t>2026-10-18</t>
        </is>
      </c>
      <c r="AE45" s="174" t="inlineStr">
        <is>
          <t>1401</t>
        </is>
      </c>
      <c r="AF45" s="96" t="inlineStr">
        <is>
          <t>EDI2</t>
        </is>
      </c>
      <c r="AG45" s="97" t="n"/>
      <c r="AH45" s="97" t="n"/>
      <c r="AI45" s="97" t="inlineStr">
        <is>
          <t>IDIRN2</t>
        </is>
      </c>
      <c r="AJ45" s="96" t="inlineStr">
        <is>
          <t>PT TRANSMARCO</t>
        </is>
      </c>
      <c r="AK45" s="130" t="n"/>
    </row>
    <row r="46" ht="12" customHeight="1">
      <c r="A46" s="108" t="inlineStr">
        <is>
          <t>SKLU2307750</t>
        </is>
      </c>
      <c r="B46" s="108" t="inlineStr">
        <is>
          <t>LCH04</t>
        </is>
      </c>
      <c r="C46" s="108" t="inlineStr">
        <is>
          <t>IFV</t>
        </is>
      </c>
      <c r="D46" s="172" t="inlineStr">
        <is>
          <t>2026-10-18</t>
        </is>
      </c>
      <c r="E46" s="173" t="inlineStr">
        <is>
          <t>1122</t>
        </is>
      </c>
      <c r="F46" s="96" t="inlineStr">
        <is>
          <t>HASLS22260801426</t>
        </is>
      </c>
      <c r="G46" s="96" t="inlineStr">
        <is>
          <t>SCGJWD LOGISTICS PUBLIC COMPANY LIMITED</t>
        </is>
      </c>
      <c r="H46" s="111" t="inlineStr">
        <is>
          <t>22GP</t>
        </is>
      </c>
      <c r="I46" s="96" t="inlineStr">
        <is>
          <t>EMAIL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HASLS22260801426</t>
        </is>
      </c>
      <c r="N46" s="96" t="inlineStr">
        <is>
          <t xml:space="preserve">20'x2 </t>
        </is>
      </c>
      <c r="O46" s="111" t="inlineStr">
        <is>
          <t>2023</t>
        </is>
      </c>
      <c r="P46" s="111" t="n"/>
      <c r="Q46" s="111" t="n"/>
      <c r="R46" s="96" t="inlineStr">
        <is>
          <t>YSVY</t>
        </is>
      </c>
      <c r="S46" s="96" t="inlineStr">
        <is>
          <t>2608S</t>
        </is>
      </c>
      <c r="T46" s="96" t="inlineStr">
        <is>
          <t>LCH04</t>
        </is>
      </c>
      <c r="U46" s="96" t="inlineStr">
        <is>
          <t>THLCH</t>
        </is>
      </c>
      <c r="V46" s="161" t="inlineStr">
        <is>
          <t>2026-10-24</t>
        </is>
      </c>
      <c r="W46" s="96" t="inlineStr">
        <is>
          <t>IDJKT</t>
        </is>
      </c>
      <c r="X46" s="161" t="inlineStr">
        <is>
          <t>2026-10-26</t>
        </is>
      </c>
      <c r="Y46" s="97" t="n"/>
      <c r="Z46" s="97" t="n"/>
      <c r="AA46" s="97" t="n"/>
      <c r="AB46" s="97" t="n"/>
      <c r="AC46" s="97" t="n"/>
      <c r="AD46" s="161" t="inlineStr">
        <is>
          <t>2026-10-18</t>
        </is>
      </c>
      <c r="AE46" s="174" t="inlineStr">
        <is>
          <t>1401</t>
        </is>
      </c>
      <c r="AF46" s="96" t="inlineStr">
        <is>
          <t>EDI2</t>
        </is>
      </c>
      <c r="AG46" s="97" t="n"/>
      <c r="AH46" s="97" t="n"/>
      <c r="AI46" s="97" t="inlineStr">
        <is>
          <t>IDIOW2</t>
        </is>
      </c>
      <c r="AJ46" s="96" t="inlineStr">
        <is>
          <t>PT. INDO PORCELAIN</t>
        </is>
      </c>
      <c r="AK46" s="130" t="n"/>
    </row>
    <row r="47" ht="12" customHeight="1">
      <c r="A47" s="108" t="inlineStr">
        <is>
          <t>SKLU2331592</t>
        </is>
      </c>
      <c r="B47" s="108" t="inlineStr">
        <is>
          <t>LCH04</t>
        </is>
      </c>
      <c r="C47" s="108" t="inlineStr">
        <is>
          <t>IFV</t>
        </is>
      </c>
      <c r="D47" s="172" t="inlineStr">
        <is>
          <t>2026-10-20</t>
        </is>
      </c>
      <c r="E47" s="173" t="inlineStr">
        <is>
          <t>1007</t>
        </is>
      </c>
      <c r="F47" s="96" t="inlineStr">
        <is>
          <t>HASLS22261000810</t>
        </is>
      </c>
      <c r="G47" s="96" t="inlineStr">
        <is>
          <t>EASTERN AIR LOGISTICS CO., LTD.</t>
        </is>
      </c>
      <c r="H47" s="111" t="inlineStr">
        <is>
          <t>22GP</t>
        </is>
      </c>
      <c r="I47" s="96" t="inlineStr">
        <is>
          <t>EMAIL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HASLS22261000810</t>
        </is>
      </c>
      <c r="N47" s="96" t="inlineStr">
        <is>
          <t xml:space="preserve">20'x1 </t>
        </is>
      </c>
      <c r="O47" s="111" t="inlineStr">
        <is>
          <t>2023</t>
        </is>
      </c>
      <c r="P47" s="111" t="n"/>
      <c r="Q47" s="111" t="n"/>
      <c r="R47" s="96" t="inlineStr">
        <is>
          <t>YSVY</t>
        </is>
      </c>
      <c r="S47" s="96" t="inlineStr">
        <is>
          <t>2608S</t>
        </is>
      </c>
      <c r="T47" s="96" t="inlineStr">
        <is>
          <t>LCH04</t>
        </is>
      </c>
      <c r="U47" s="96" t="inlineStr">
        <is>
          <t>THLCH</t>
        </is>
      </c>
      <c r="V47" s="161" t="inlineStr">
        <is>
          <t>2026-10-24</t>
        </is>
      </c>
      <c r="W47" s="96" t="inlineStr">
        <is>
          <t>IDJKT</t>
        </is>
      </c>
      <c r="X47" s="161" t="inlineStr">
        <is>
          <t>2026-10-26</t>
        </is>
      </c>
      <c r="Y47" s="97" t="n"/>
      <c r="Z47" s="97" t="n"/>
      <c r="AA47" s="97" t="n"/>
      <c r="AB47" s="97" t="n"/>
      <c r="AC47" s="97" t="n"/>
      <c r="AD47" s="161" t="inlineStr">
        <is>
          <t>2026-10-20</t>
        </is>
      </c>
      <c r="AE47" s="174" t="inlineStr">
        <is>
          <t>1400</t>
        </is>
      </c>
      <c r="AF47" s="96" t="inlineStr">
        <is>
          <t>EDI2</t>
        </is>
      </c>
      <c r="AG47" s="97" t="n"/>
      <c r="AH47" s="97" t="n"/>
      <c r="AI47" s="97" t="inlineStr">
        <is>
          <t>IDIPIJ</t>
        </is>
      </c>
      <c r="AJ47" s="96" t="inlineStr">
        <is>
          <t>PT. LG INNOTEK INDONESIA</t>
        </is>
      </c>
      <c r="AK47" s="130" t="n"/>
    </row>
    <row r="48" ht="12" customHeight="1">
      <c r="A48" s="108" t="inlineStr">
        <is>
          <t>SKLU2332480</t>
        </is>
      </c>
      <c r="B48" s="108" t="inlineStr">
        <is>
          <t>LCH04</t>
        </is>
      </c>
      <c r="C48" s="108" t="inlineStr">
        <is>
          <t>IFV</t>
        </is>
      </c>
      <c r="D48" s="172" t="inlineStr">
        <is>
          <t>2026-10-17</t>
        </is>
      </c>
      <c r="E48" s="173" t="inlineStr">
        <is>
          <t>0000</t>
        </is>
      </c>
      <c r="F48" s="96" t="inlineStr">
        <is>
          <t>HASLS22260900631</t>
        </is>
      </c>
      <c r="G48" s="96" t="inlineStr">
        <is>
          <t>G THRU INTERBUSINESS CO., LTD.</t>
        </is>
      </c>
      <c r="H48" s="111" t="inlineStr">
        <is>
          <t>22GP</t>
        </is>
      </c>
      <c r="I48" s="96" t="inlineStr">
        <is>
          <t>EMAIL</t>
        </is>
      </c>
      <c r="J48" s="96" t="inlineStr">
        <is>
          <t>EDI2</t>
        </is>
      </c>
      <c r="K48" s="96" t="n"/>
      <c r="L48" s="111" t="inlineStr">
        <is>
          <t>Full</t>
        </is>
      </c>
      <c r="M48" s="96" t="inlineStr">
        <is>
          <t>HASLS22260900631</t>
        </is>
      </c>
      <c r="N48" s="96" t="inlineStr">
        <is>
          <t xml:space="preserve">20'x1 </t>
        </is>
      </c>
      <c r="O48" s="111" t="inlineStr">
        <is>
          <t>2023</t>
        </is>
      </c>
      <c r="P48" s="111" t="n"/>
      <c r="Q48" s="111" t="n"/>
      <c r="R48" s="96" t="inlineStr">
        <is>
          <t>YSVY</t>
        </is>
      </c>
      <c r="S48" s="96" t="inlineStr">
        <is>
          <t>2608S</t>
        </is>
      </c>
      <c r="T48" s="96" t="inlineStr">
        <is>
          <t>LCH04</t>
        </is>
      </c>
      <c r="U48" s="96" t="inlineStr">
        <is>
          <t>THLCH</t>
        </is>
      </c>
      <c r="V48" s="161" t="inlineStr">
        <is>
          <t>2026-10-24</t>
        </is>
      </c>
      <c r="W48" s="96" t="inlineStr">
        <is>
          <t>IDJKT</t>
        </is>
      </c>
      <c r="X48" s="161" t="inlineStr">
        <is>
          <t>2026-10-26</t>
        </is>
      </c>
      <c r="Y48" s="97" t="n"/>
      <c r="Z48" s="97" t="n"/>
      <c r="AA48" s="97" t="n"/>
      <c r="AB48" s="97" t="n"/>
      <c r="AC48" s="97" t="n"/>
      <c r="AD48" s="161" t="inlineStr">
        <is>
          <t>2026-10-17</t>
        </is>
      </c>
      <c r="AE48" s="174" t="inlineStr">
        <is>
          <t>0400</t>
        </is>
      </c>
      <c r="AF48" s="96" t="inlineStr">
        <is>
          <t>EDI2</t>
        </is>
      </c>
      <c r="AG48" s="97" t="n"/>
      <c r="AH48" s="97" t="n"/>
      <c r="AI48" s="97" t="inlineStr">
        <is>
          <t>IDIQRC</t>
        </is>
      </c>
      <c r="AJ48" s="96" t="inlineStr">
        <is>
          <t>PT EAKINDO MITRA SASTARI</t>
        </is>
      </c>
      <c r="AK48" s="130" t="n"/>
    </row>
    <row r="49" ht="12" customHeight="1">
      <c r="A49" s="108" t="inlineStr">
        <is>
          <t>SKLU2471001</t>
        </is>
      </c>
      <c r="B49" s="108" t="inlineStr">
        <is>
          <t>LCH04</t>
        </is>
      </c>
      <c r="C49" s="108" t="inlineStr">
        <is>
          <t>IFV</t>
        </is>
      </c>
      <c r="D49" s="172" t="inlineStr">
        <is>
          <t>2026-10-16</t>
        </is>
      </c>
      <c r="E49" s="173" t="inlineStr">
        <is>
          <t>1844</t>
        </is>
      </c>
      <c r="F49" s="96" t="inlineStr">
        <is>
          <t>HASLS22261000578</t>
        </is>
      </c>
      <c r="G49" s="96" t="inlineStr">
        <is>
          <t>MAINFREIGHT LOGISTICS (THAILAND) CO., LTD.</t>
        </is>
      </c>
      <c r="H49" s="111" t="inlineStr">
        <is>
          <t>22GP</t>
        </is>
      </c>
      <c r="I49" s="96" t="inlineStr">
        <is>
          <t>EMAIL</t>
        </is>
      </c>
      <c r="J49" s="96" t="inlineStr">
        <is>
          <t>EDI2</t>
        </is>
      </c>
      <c r="K49" s="96" t="n"/>
      <c r="L49" s="111" t="inlineStr">
        <is>
          <t>Full</t>
        </is>
      </c>
      <c r="M49" s="96" t="inlineStr">
        <is>
          <t>HASLS22261000578</t>
        </is>
      </c>
      <c r="N49" s="96" t="inlineStr">
        <is>
          <t xml:space="preserve">20'x1 </t>
        </is>
      </c>
      <c r="O49" s="111" t="inlineStr">
        <is>
          <t>2024</t>
        </is>
      </c>
      <c r="P49" s="111" t="n"/>
      <c r="Q49" s="111" t="n"/>
      <c r="R49" s="96" t="inlineStr">
        <is>
          <t>YSVY</t>
        </is>
      </c>
      <c r="S49" s="96" t="inlineStr">
        <is>
          <t>2608S</t>
        </is>
      </c>
      <c r="T49" s="96" t="inlineStr">
        <is>
          <t>LCH04</t>
        </is>
      </c>
      <c r="U49" s="96" t="inlineStr">
        <is>
          <t>THLCH</t>
        </is>
      </c>
      <c r="V49" s="161" t="inlineStr">
        <is>
          <t>2026-10-24</t>
        </is>
      </c>
      <c r="W49" s="96" t="inlineStr">
        <is>
          <t>IDJKT</t>
        </is>
      </c>
      <c r="X49" s="161" t="inlineStr">
        <is>
          <t>2026-10-26</t>
        </is>
      </c>
      <c r="Y49" s="97" t="n"/>
      <c r="Z49" s="97" t="n"/>
      <c r="AA49" s="97" t="n"/>
      <c r="AB49" s="97" t="n"/>
      <c r="AC49" s="97" t="n"/>
      <c r="AD49" s="161" t="inlineStr">
        <is>
          <t>2026-10-16</t>
        </is>
      </c>
      <c r="AE49" s="174" t="inlineStr">
        <is>
          <t>2200</t>
        </is>
      </c>
      <c r="AF49" s="96" t="inlineStr">
        <is>
          <t>EDI2</t>
        </is>
      </c>
      <c r="AG49" s="97" t="n"/>
      <c r="AH49" s="97" t="n"/>
      <c r="AI49" s="97" t="inlineStr">
        <is>
          <t>IDIUQ1</t>
        </is>
      </c>
      <c r="AJ49" s="96" t="inlineStr">
        <is>
          <t>PT. ECOLAB SYNERGY INDONESIA</t>
        </is>
      </c>
      <c r="AK49" s="130" t="n"/>
    </row>
    <row r="50" ht="12" customHeight="1">
      <c r="A50" s="108" t="inlineStr">
        <is>
          <t>SKLU3509992</t>
        </is>
      </c>
      <c r="B50" s="108" t="inlineStr">
        <is>
          <t>LCH04</t>
        </is>
      </c>
      <c r="C50" s="108" t="inlineStr">
        <is>
          <t>IFV</t>
        </is>
      </c>
      <c r="D50" s="172" t="inlineStr">
        <is>
          <t>2026-10-23</t>
        </is>
      </c>
      <c r="E50" s="173" t="inlineStr">
        <is>
          <t>1416</t>
        </is>
      </c>
      <c r="F50" s="96" t="inlineStr">
        <is>
          <t>HASLS22261000132</t>
        </is>
      </c>
      <c r="G50" s="96" t="inlineStr">
        <is>
          <t>PENANSHIN SHIPPING (THAILAND) LTD.</t>
        </is>
      </c>
      <c r="H50" s="111" t="inlineStr">
        <is>
          <t>22GP</t>
        </is>
      </c>
      <c r="I50" s="96" t="inlineStr">
        <is>
          <t>EMAIL</t>
        </is>
      </c>
      <c r="J50" s="96" t="inlineStr">
        <is>
          <t>EDI2</t>
        </is>
      </c>
      <c r="K50" s="96" t="n"/>
      <c r="L50" s="111" t="inlineStr">
        <is>
          <t>Full</t>
        </is>
      </c>
      <c r="M50" s="96" t="inlineStr">
        <is>
          <t>HASLS22261000132</t>
        </is>
      </c>
      <c r="N50" s="96" t="inlineStr">
        <is>
          <t xml:space="preserve">20'x1 </t>
        </is>
      </c>
      <c r="O50" s="111" t="inlineStr">
        <is>
          <t>2015</t>
        </is>
      </c>
      <c r="P50" s="111" t="n"/>
      <c r="Q50" s="111" t="n"/>
      <c r="R50" s="96" t="inlineStr">
        <is>
          <t>YSVY</t>
        </is>
      </c>
      <c r="S50" s="96" t="inlineStr">
        <is>
          <t>2608S</t>
        </is>
      </c>
      <c r="T50" s="96" t="inlineStr">
        <is>
          <t>LCH04</t>
        </is>
      </c>
      <c r="U50" s="96" t="inlineStr">
        <is>
          <t>THLCH</t>
        </is>
      </c>
      <c r="V50" s="161" t="inlineStr">
        <is>
          <t>2026-10-24</t>
        </is>
      </c>
      <c r="W50" s="96" t="inlineStr">
        <is>
          <t>IDJKT</t>
        </is>
      </c>
      <c r="X50" s="161" t="inlineStr">
        <is>
          <t>2026-10-26</t>
        </is>
      </c>
      <c r="Y50" s="97" t="n"/>
      <c r="Z50" s="97" t="n"/>
      <c r="AA50" s="97" t="n"/>
      <c r="AB50" s="97" t="n"/>
      <c r="AC50" s="97" t="n"/>
      <c r="AD50" s="161" t="inlineStr">
        <is>
          <t>2026-10-23</t>
        </is>
      </c>
      <c r="AE50" s="174" t="inlineStr">
        <is>
          <t>1800</t>
        </is>
      </c>
      <c r="AF50" s="96" t="inlineStr">
        <is>
          <t>EDI2</t>
        </is>
      </c>
      <c r="AG50" s="97" t="n"/>
      <c r="AH50" s="97" t="n"/>
      <c r="AI50" s="97" t="inlineStr">
        <is>
          <t>IDIOPD</t>
        </is>
      </c>
      <c r="AJ50" s="96" t="inlineStr">
        <is>
          <t>PT PENZ STAR PANCA PERSADA</t>
        </is>
      </c>
      <c r="AK50" s="130" t="n"/>
    </row>
    <row r="51" ht="12" customHeight="1">
      <c r="A51" s="108" t="inlineStr">
        <is>
          <t>SKLU3512656</t>
        </is>
      </c>
      <c r="B51" s="108" t="inlineStr">
        <is>
          <t>LCH04</t>
        </is>
      </c>
      <c r="C51" s="108" t="inlineStr">
        <is>
          <t>IFV</t>
        </is>
      </c>
      <c r="D51" s="172" t="inlineStr">
        <is>
          <t>2026-10-17</t>
        </is>
      </c>
      <c r="E51" s="173" t="inlineStr">
        <is>
          <t>0044</t>
        </is>
      </c>
      <c r="F51" s="96" t="inlineStr">
        <is>
          <t>HASLS22260902768</t>
        </is>
      </c>
      <c r="G51" s="96" t="inlineStr">
        <is>
          <t>K LINE LOGISTICS (THAILAND) LTD.</t>
        </is>
      </c>
      <c r="H51" s="111" t="inlineStr">
        <is>
          <t>22GP</t>
        </is>
      </c>
      <c r="I51" s="96" t="inlineStr">
        <is>
          <t>EMAIL</t>
        </is>
      </c>
      <c r="J51" s="96" t="inlineStr">
        <is>
          <t>EDI2</t>
        </is>
      </c>
      <c r="K51" s="96" t="n"/>
      <c r="L51" s="111" t="inlineStr">
        <is>
          <t>Full</t>
        </is>
      </c>
      <c r="M51" s="96" t="inlineStr">
        <is>
          <t>HASLS22260902768</t>
        </is>
      </c>
      <c r="N51" s="96" t="inlineStr">
        <is>
          <t xml:space="preserve">20'x1 </t>
        </is>
      </c>
      <c r="O51" s="111" t="inlineStr">
        <is>
          <t>2015</t>
        </is>
      </c>
      <c r="P51" s="111" t="n"/>
      <c r="Q51" s="111" t="n"/>
      <c r="R51" s="96" t="inlineStr">
        <is>
          <t>YSVY</t>
        </is>
      </c>
      <c r="S51" s="96" t="inlineStr">
        <is>
          <t>2608S</t>
        </is>
      </c>
      <c r="T51" s="96" t="inlineStr">
        <is>
          <t>LCH04</t>
        </is>
      </c>
      <c r="U51" s="96" t="inlineStr">
        <is>
          <t>THLCH</t>
        </is>
      </c>
      <c r="V51" s="161" t="inlineStr">
        <is>
          <t>2026-10-24</t>
        </is>
      </c>
      <c r="W51" s="96" t="inlineStr">
        <is>
          <t>IDJKT</t>
        </is>
      </c>
      <c r="X51" s="161" t="inlineStr">
        <is>
          <t>2026-10-26</t>
        </is>
      </c>
      <c r="Y51" s="97" t="n"/>
      <c r="Z51" s="97" t="n"/>
      <c r="AA51" s="97" t="n"/>
      <c r="AB51" s="97" t="n"/>
      <c r="AC51" s="97" t="n"/>
      <c r="AD51" s="161" t="inlineStr">
        <is>
          <t>2026-10-17</t>
        </is>
      </c>
      <c r="AE51" s="174" t="inlineStr">
        <is>
          <t>0400</t>
        </is>
      </c>
      <c r="AF51" s="96" t="inlineStr">
        <is>
          <t>EDI2</t>
        </is>
      </c>
      <c r="AG51" s="97" t="n"/>
      <c r="AH51" s="97" t="n"/>
      <c r="AI51" s="97" t="inlineStr">
        <is>
          <t>IDIOL4</t>
        </is>
      </c>
      <c r="AJ51" s="96" t="inlineStr">
        <is>
          <t>PT. TOYO INK INDONESIA</t>
        </is>
      </c>
      <c r="AK51" s="130" t="n"/>
    </row>
    <row r="52" ht="12" customHeight="1">
      <c r="A52" s="108" t="inlineStr">
        <is>
          <t>SKLU4208946</t>
        </is>
      </c>
      <c r="B52" s="108" t="inlineStr">
        <is>
          <t>LCH04</t>
        </is>
      </c>
      <c r="C52" s="108" t="inlineStr">
        <is>
          <t>IFV</t>
        </is>
      </c>
      <c r="D52" s="172" t="inlineStr">
        <is>
          <t>2026-10-16</t>
        </is>
      </c>
      <c r="E52" s="173" t="inlineStr">
        <is>
          <t>0208</t>
        </is>
      </c>
      <c r="F52" s="96" t="inlineStr">
        <is>
          <t>HASLS22261000777</t>
        </is>
      </c>
      <c r="G52" s="96" t="inlineStr">
        <is>
          <t>ASIA ATLANTIC LINENER COMPANY LIMITED.</t>
        </is>
      </c>
      <c r="H52" s="111" t="inlineStr">
        <is>
          <t>42GP</t>
        </is>
      </c>
      <c r="I52" s="96" t="inlineStr">
        <is>
          <t>EMAIL</t>
        </is>
      </c>
      <c r="J52" s="96" t="inlineStr">
        <is>
          <t>EDI2</t>
        </is>
      </c>
      <c r="K52" s="96" t="n"/>
      <c r="L52" s="111" t="inlineStr">
        <is>
          <t>Full</t>
        </is>
      </c>
      <c r="M52" s="96" t="inlineStr">
        <is>
          <t>HASLS22261000777</t>
        </is>
      </c>
      <c r="N52" s="96" t="inlineStr">
        <is>
          <t xml:space="preserve">40'x1 </t>
        </is>
      </c>
      <c r="O52" s="111" t="inlineStr">
        <is>
          <t>2002</t>
        </is>
      </c>
      <c r="P52" s="111" t="n"/>
      <c r="Q52" s="111" t="n"/>
      <c r="R52" s="96" t="inlineStr">
        <is>
          <t>YSVY</t>
        </is>
      </c>
      <c r="S52" s="96" t="inlineStr">
        <is>
          <t>2608S</t>
        </is>
      </c>
      <c r="T52" s="96" t="inlineStr">
        <is>
          <t>LCH04</t>
        </is>
      </c>
      <c r="U52" s="96" t="inlineStr">
        <is>
          <t>THLCH</t>
        </is>
      </c>
      <c r="V52" s="161" t="inlineStr">
        <is>
          <t>2026-10-24</t>
        </is>
      </c>
      <c r="W52" s="96" t="inlineStr">
        <is>
          <t>IDJKT</t>
        </is>
      </c>
      <c r="X52" s="161" t="inlineStr">
        <is>
          <t>2026-10-26</t>
        </is>
      </c>
      <c r="Y52" s="97" t="n"/>
      <c r="Z52" s="97" t="n"/>
      <c r="AA52" s="97" t="n"/>
      <c r="AB52" s="97" t="n"/>
      <c r="AC52" s="97" t="n"/>
      <c r="AD52" s="161" t="inlineStr">
        <is>
          <t>2026-10-16</t>
        </is>
      </c>
      <c r="AE52" s="174" t="inlineStr">
        <is>
          <t>0600</t>
        </is>
      </c>
      <c r="AF52" s="96" t="inlineStr">
        <is>
          <t>EDI2</t>
        </is>
      </c>
      <c r="AG52" s="97" t="n"/>
      <c r="AH52" s="97" t="n"/>
      <c r="AI52" s="97" t="inlineStr">
        <is>
          <t>IDIO2L</t>
        </is>
      </c>
      <c r="AJ52" s="96" t="inlineStr">
        <is>
          <t>PT DENSO INDONESIA-BEKASI PLANT</t>
        </is>
      </c>
      <c r="AK52" s="130" t="n"/>
    </row>
    <row r="53" ht="12" customHeight="1">
      <c r="A53" s="108" t="inlineStr">
        <is>
          <t>SKRU8900039</t>
        </is>
      </c>
      <c r="B53" s="108" t="inlineStr">
        <is>
          <t>LCH04</t>
        </is>
      </c>
      <c r="C53" s="108" t="inlineStr">
        <is>
          <t>IFV</t>
        </is>
      </c>
      <c r="D53" s="172" t="inlineStr">
        <is>
          <t>2026-10-19</t>
        </is>
      </c>
      <c r="E53" s="173" t="inlineStr">
        <is>
          <t>2100</t>
        </is>
      </c>
      <c r="F53" s="96" t="inlineStr">
        <is>
          <t>HASLS22261000093</t>
        </is>
      </c>
      <c r="G53" s="96" t="inlineStr">
        <is>
          <t>PROGRESS SHIPPING - TRANSPORT CO., LTD.</t>
        </is>
      </c>
      <c r="H53" s="111" t="inlineStr">
        <is>
          <t>45RE</t>
        </is>
      </c>
      <c r="I53" s="96" t="inlineStr">
        <is>
          <t>EMAIL</t>
        </is>
      </c>
      <c r="J53" s="96" t="inlineStr">
        <is>
          <t>EDI2</t>
        </is>
      </c>
      <c r="K53" s="96" t="n"/>
      <c r="L53" s="111" t="inlineStr">
        <is>
          <t>Full</t>
        </is>
      </c>
      <c r="M53" s="96" t="inlineStr">
        <is>
          <t>HASLS22261000093</t>
        </is>
      </c>
      <c r="N53" s="96" t="inlineStr">
        <is>
          <t xml:space="preserve">R40Hx1 </t>
        </is>
      </c>
      <c r="O53" s="111" t="inlineStr">
        <is>
          <t>2010</t>
        </is>
      </c>
      <c r="P53" s="111" t="inlineStr">
        <is>
          <t>CARRIER</t>
        </is>
      </c>
      <c r="Q53" s="111" t="inlineStr">
        <is>
          <t>69NT40-511-354</t>
        </is>
      </c>
      <c r="R53" s="96" t="inlineStr">
        <is>
          <t>YSVY</t>
        </is>
      </c>
      <c r="S53" s="96" t="inlineStr">
        <is>
          <t>2608S</t>
        </is>
      </c>
      <c r="T53" s="96" t="inlineStr">
        <is>
          <t>LCH04</t>
        </is>
      </c>
      <c r="U53" s="96" t="inlineStr">
        <is>
          <t>THLCH</t>
        </is>
      </c>
      <c r="V53" s="161" t="inlineStr">
        <is>
          <t>2026-10-24</t>
        </is>
      </c>
      <c r="W53" s="96" t="inlineStr">
        <is>
          <t>IDJKT</t>
        </is>
      </c>
      <c r="X53" s="161" t="inlineStr">
        <is>
          <t>2026-10-26</t>
        </is>
      </c>
      <c r="Y53" s="97" t="n"/>
      <c r="Z53" s="97" t="n"/>
      <c r="AA53" s="97" t="n"/>
      <c r="AB53" s="97" t="n"/>
      <c r="AC53" s="97" t="n"/>
      <c r="AD53" s="161" t="inlineStr">
        <is>
          <t>2026-10-20</t>
        </is>
      </c>
      <c r="AE53" s="174" t="inlineStr">
        <is>
          <t>0001</t>
        </is>
      </c>
      <c r="AF53" s="96" t="inlineStr">
        <is>
          <t>EDI2</t>
        </is>
      </c>
      <c r="AG53" s="97" t="n"/>
      <c r="AH53" s="97" t="n"/>
      <c r="AI53" s="97" t="inlineStr">
        <is>
          <t>IDIQ76</t>
        </is>
      </c>
      <c r="AJ53" s="96" t="inlineStr">
        <is>
          <t>CV. BELIMBING SEJAHTERA</t>
        </is>
      </c>
      <c r="AK53" s="130" t="n"/>
    </row>
    <row r="54" ht="12" customHeight="1">
      <c r="A54" s="108" t="inlineStr">
        <is>
          <t>SKRU9100410</t>
        </is>
      </c>
      <c r="B54" s="108" t="inlineStr">
        <is>
          <t>LCH04</t>
        </is>
      </c>
      <c r="C54" s="108" t="inlineStr">
        <is>
          <t>IFV</t>
        </is>
      </c>
      <c r="D54" s="172" t="inlineStr">
        <is>
          <t>2026-10-20</t>
        </is>
      </c>
      <c r="E54" s="173" t="inlineStr">
        <is>
          <t>0030</t>
        </is>
      </c>
      <c r="F54" s="96" t="inlineStr">
        <is>
          <t>HASLS22261000094</t>
        </is>
      </c>
      <c r="G54" s="96" t="inlineStr">
        <is>
          <t>PROGRESS SHIPPING - TRANSPORT CO., LTD.</t>
        </is>
      </c>
      <c r="H54" s="111" t="inlineStr">
        <is>
          <t>45RE</t>
        </is>
      </c>
      <c r="I54" s="96" t="inlineStr">
        <is>
          <t>EMAIL</t>
        </is>
      </c>
      <c r="J54" s="96" t="inlineStr">
        <is>
          <t>EDI2</t>
        </is>
      </c>
      <c r="K54" s="96" t="n"/>
      <c r="L54" s="111" t="inlineStr">
        <is>
          <t>Full</t>
        </is>
      </c>
      <c r="M54" s="96" t="inlineStr">
        <is>
          <t>HASLS22261000094</t>
        </is>
      </c>
      <c r="N54" s="96" t="inlineStr">
        <is>
          <t xml:space="preserve">R40Hx1 </t>
        </is>
      </c>
      <c r="O54" s="111" t="inlineStr">
        <is>
          <t>2011</t>
        </is>
      </c>
      <c r="P54" s="111" t="inlineStr">
        <is>
          <t>DAIKIN</t>
        </is>
      </c>
      <c r="Q54" s="111" t="inlineStr">
        <is>
          <t>LXE-10E-A5B</t>
        </is>
      </c>
      <c r="R54" s="96" t="inlineStr">
        <is>
          <t>YSVY</t>
        </is>
      </c>
      <c r="S54" s="96" t="inlineStr">
        <is>
          <t>2608S</t>
        </is>
      </c>
      <c r="T54" s="96" t="inlineStr">
        <is>
          <t>LCH04</t>
        </is>
      </c>
      <c r="U54" s="96" t="inlineStr">
        <is>
          <t>THLCH</t>
        </is>
      </c>
      <c r="V54" s="161" t="inlineStr">
        <is>
          <t>2026-10-24</t>
        </is>
      </c>
      <c r="W54" s="96" t="inlineStr">
        <is>
          <t>IDJKT</t>
        </is>
      </c>
      <c r="X54" s="161" t="inlineStr">
        <is>
          <t>2026-10-26</t>
        </is>
      </c>
      <c r="Y54" s="97" t="n"/>
      <c r="Z54" s="97" t="n"/>
      <c r="AA54" s="97" t="n"/>
      <c r="AB54" s="97" t="n"/>
      <c r="AC54" s="97" t="n"/>
      <c r="AD54" s="161" t="inlineStr">
        <is>
          <t>2026-10-20</t>
        </is>
      </c>
      <c r="AE54" s="174" t="inlineStr">
        <is>
          <t>0402</t>
        </is>
      </c>
      <c r="AF54" s="96" t="inlineStr">
        <is>
          <t>EDI2</t>
        </is>
      </c>
      <c r="AG54" s="97" t="n"/>
      <c r="AH54" s="97" t="n"/>
      <c r="AI54" s="97" t="inlineStr">
        <is>
          <t>IDIR5V</t>
        </is>
      </c>
      <c r="AJ54" s="96" t="inlineStr">
        <is>
          <t>PT. JAGRA WAHANA SUKSES</t>
        </is>
      </c>
      <c r="AK54" s="130" t="n"/>
    </row>
    <row r="55" ht="12" customHeight="1">
      <c r="A55" s="108" t="inlineStr">
        <is>
          <t>SKRU9100914</t>
        </is>
      </c>
      <c r="B55" s="108" t="inlineStr">
        <is>
          <t>LCH04</t>
        </is>
      </c>
      <c r="C55" s="108" t="inlineStr">
        <is>
          <t>IFV</t>
        </is>
      </c>
      <c r="D55" s="172" t="inlineStr">
        <is>
          <t>2026-10-21</t>
        </is>
      </c>
      <c r="E55" s="173" t="inlineStr">
        <is>
          <t>0424</t>
        </is>
      </c>
      <c r="F55" s="96" t="inlineStr">
        <is>
          <t>HASLS22260902289</t>
        </is>
      </c>
      <c r="G55" s="96" t="inlineStr">
        <is>
          <t>INTER FRESH CO., LTD.</t>
        </is>
      </c>
      <c r="H55" s="111" t="inlineStr">
        <is>
          <t>45RE</t>
        </is>
      </c>
      <c r="I55" s="96" t="inlineStr">
        <is>
          <t>EMAIL</t>
        </is>
      </c>
      <c r="J55" s="96" t="inlineStr">
        <is>
          <t>EDI2</t>
        </is>
      </c>
      <c r="K55" s="96" t="n"/>
      <c r="L55" s="111" t="inlineStr">
        <is>
          <t>Full</t>
        </is>
      </c>
      <c r="M55" s="96" t="inlineStr">
        <is>
          <t>HASLS22260902289</t>
        </is>
      </c>
      <c r="N55" s="96" t="inlineStr">
        <is>
          <t xml:space="preserve">R40Hx1 </t>
        </is>
      </c>
      <c r="O55" s="111" t="inlineStr">
        <is>
          <t>2011</t>
        </is>
      </c>
      <c r="P55" s="111" t="inlineStr">
        <is>
          <t>DAIKIN</t>
        </is>
      </c>
      <c r="Q55" s="111" t="inlineStr">
        <is>
          <t>LXE-10E-A5B</t>
        </is>
      </c>
      <c r="R55" s="96" t="inlineStr">
        <is>
          <t>YSVY</t>
        </is>
      </c>
      <c r="S55" s="96" t="inlineStr">
        <is>
          <t>2608S</t>
        </is>
      </c>
      <c r="T55" s="96" t="inlineStr">
        <is>
          <t>LCH04</t>
        </is>
      </c>
      <c r="U55" s="96" t="inlineStr">
        <is>
          <t>THLCH</t>
        </is>
      </c>
      <c r="V55" s="161" t="inlineStr">
        <is>
          <t>2026-10-24</t>
        </is>
      </c>
      <c r="W55" s="96" t="inlineStr">
        <is>
          <t>IDJKT</t>
        </is>
      </c>
      <c r="X55" s="161" t="inlineStr">
        <is>
          <t>2026-10-26</t>
        </is>
      </c>
      <c r="Y55" s="97" t="n"/>
      <c r="Z55" s="97" t="n"/>
      <c r="AA55" s="97" t="n"/>
      <c r="AB55" s="97" t="n"/>
      <c r="AC55" s="97" t="n"/>
      <c r="AD55" s="161" t="inlineStr">
        <is>
          <t>2026-10-21</t>
        </is>
      </c>
      <c r="AE55" s="174" t="inlineStr">
        <is>
          <t>0800</t>
        </is>
      </c>
      <c r="AF55" s="96" t="inlineStr">
        <is>
          <t>EDI2</t>
        </is>
      </c>
      <c r="AG55" s="97" t="n"/>
      <c r="AH55" s="97" t="n"/>
      <c r="AI55" s="97" t="inlineStr">
        <is>
          <t>IDILVV</t>
        </is>
      </c>
      <c r="AJ55" s="96" t="inlineStr">
        <is>
          <t>PT. BUAH UTAMA MANDIRI</t>
        </is>
      </c>
      <c r="AK55" s="130" t="n"/>
    </row>
    <row r="56" ht="12" customHeight="1">
      <c r="A56" s="108" t="inlineStr">
        <is>
          <t>SKRU9101525</t>
        </is>
      </c>
      <c r="B56" s="108" t="inlineStr">
        <is>
          <t>LCH04</t>
        </is>
      </c>
      <c r="C56" s="108" t="inlineStr">
        <is>
          <t>IFV</t>
        </is>
      </c>
      <c r="D56" s="172" t="inlineStr">
        <is>
          <t>2026-10-20</t>
        </is>
      </c>
      <c r="E56" s="173" t="inlineStr">
        <is>
          <t>0930</t>
        </is>
      </c>
      <c r="F56" s="96" t="inlineStr">
        <is>
          <t>HASLS22261000236</t>
        </is>
      </c>
      <c r="G56" s="96" t="inlineStr">
        <is>
          <t>BE 1ST ALLIANCE CO., LTD.</t>
        </is>
      </c>
      <c r="H56" s="111" t="inlineStr">
        <is>
          <t>45RE</t>
        </is>
      </c>
      <c r="I56" s="96" t="inlineStr">
        <is>
          <t>EMAIL</t>
        </is>
      </c>
      <c r="J56" s="96" t="inlineStr">
        <is>
          <t>EDI2</t>
        </is>
      </c>
      <c r="K56" s="96" t="n"/>
      <c r="L56" s="111" t="inlineStr">
        <is>
          <t>Full</t>
        </is>
      </c>
      <c r="M56" s="96" t="inlineStr">
        <is>
          <t>HASLS22261000236</t>
        </is>
      </c>
      <c r="N56" s="96" t="inlineStr">
        <is>
          <t xml:space="preserve">R40Hx1 </t>
        </is>
      </c>
      <c r="O56" s="111" t="inlineStr">
        <is>
          <t>2011</t>
        </is>
      </c>
      <c r="P56" s="111" t="inlineStr">
        <is>
          <t>DAIKIN</t>
        </is>
      </c>
      <c r="Q56" s="111" t="inlineStr">
        <is>
          <t>LXE-10E-A5B</t>
        </is>
      </c>
      <c r="R56" s="96" t="inlineStr">
        <is>
          <t>YSVY</t>
        </is>
      </c>
      <c r="S56" s="96" t="inlineStr">
        <is>
          <t>2608S</t>
        </is>
      </c>
      <c r="T56" s="96" t="inlineStr">
        <is>
          <t>LCH04</t>
        </is>
      </c>
      <c r="U56" s="96" t="inlineStr">
        <is>
          <t>THLCH</t>
        </is>
      </c>
      <c r="V56" s="161" t="inlineStr">
        <is>
          <t>2026-10-24</t>
        </is>
      </c>
      <c r="W56" s="96" t="inlineStr">
        <is>
          <t>IDJKT</t>
        </is>
      </c>
      <c r="X56" s="161" t="inlineStr">
        <is>
          <t>2026-10-26</t>
        </is>
      </c>
      <c r="Y56" s="97" t="n"/>
      <c r="Z56" s="97" t="n"/>
      <c r="AA56" s="97" t="n"/>
      <c r="AB56" s="97" t="n"/>
      <c r="AC56" s="97" t="n"/>
      <c r="AD56" s="161" t="inlineStr">
        <is>
          <t>2026-10-20</t>
        </is>
      </c>
      <c r="AE56" s="174" t="inlineStr">
        <is>
          <t>1200</t>
        </is>
      </c>
      <c r="AF56" s="96" t="inlineStr">
        <is>
          <t>EDI2</t>
        </is>
      </c>
      <c r="AG56" s="97" t="n"/>
      <c r="AH56" s="97" t="n"/>
      <c r="AI56" s="97" t="inlineStr">
        <is>
          <t>IDIUVE</t>
        </is>
      </c>
      <c r="AJ56" s="96" t="inlineStr">
        <is>
          <t>PT. INDOPAR PRIMA</t>
        </is>
      </c>
      <c r="AK56" s="130" t="n"/>
    </row>
    <row r="57" ht="12" customHeight="1">
      <c r="A57" s="108" t="inlineStr">
        <is>
          <t>SKRU9200240</t>
        </is>
      </c>
      <c r="B57" s="108" t="inlineStr">
        <is>
          <t>LCH04</t>
        </is>
      </c>
      <c r="C57" s="108" t="inlineStr">
        <is>
          <t>IFV</t>
        </is>
      </c>
      <c r="D57" s="172" t="inlineStr">
        <is>
          <t>2026-10-20</t>
        </is>
      </c>
      <c r="E57" s="173" t="inlineStr">
        <is>
          <t>1840</t>
        </is>
      </c>
      <c r="F57" s="96" t="inlineStr">
        <is>
          <t>HASLS22261000233</t>
        </is>
      </c>
      <c r="G57" s="96" t="inlineStr">
        <is>
          <t>BE 1ST ALLIANCE CO., LTD.</t>
        </is>
      </c>
      <c r="H57" s="111" t="inlineStr">
        <is>
          <t>45RE</t>
        </is>
      </c>
      <c r="I57" s="96" t="inlineStr">
        <is>
          <t>EMAIL</t>
        </is>
      </c>
      <c r="J57" s="96" t="inlineStr">
        <is>
          <t>EDI2</t>
        </is>
      </c>
      <c r="K57" s="96" t="n"/>
      <c r="L57" s="111" t="inlineStr">
        <is>
          <t>Full</t>
        </is>
      </c>
      <c r="M57" s="96" t="inlineStr">
        <is>
          <t>HASLS22261000233</t>
        </is>
      </c>
      <c r="N57" s="96" t="inlineStr">
        <is>
          <t xml:space="preserve">R40Hx1 </t>
        </is>
      </c>
      <c r="O57" s="111" t="inlineStr">
        <is>
          <t>2012</t>
        </is>
      </c>
      <c r="P57" s="111" t="inlineStr">
        <is>
          <t>CARRIER</t>
        </is>
      </c>
      <c r="Q57" s="111" t="inlineStr">
        <is>
          <t>69NT40-561-009</t>
        </is>
      </c>
      <c r="R57" s="96" t="inlineStr">
        <is>
          <t>YSVY</t>
        </is>
      </c>
      <c r="S57" s="96" t="inlineStr">
        <is>
          <t>2608S</t>
        </is>
      </c>
      <c r="T57" s="96" t="inlineStr">
        <is>
          <t>LCH04</t>
        </is>
      </c>
      <c r="U57" s="96" t="inlineStr">
        <is>
          <t>THLCH</t>
        </is>
      </c>
      <c r="V57" s="161" t="inlineStr">
        <is>
          <t>2026-10-24</t>
        </is>
      </c>
      <c r="W57" s="96" t="inlineStr">
        <is>
          <t>IDJKT</t>
        </is>
      </c>
      <c r="X57" s="161" t="inlineStr">
        <is>
          <t>2026-10-26</t>
        </is>
      </c>
      <c r="Y57" s="97" t="n"/>
      <c r="Z57" s="97" t="n"/>
      <c r="AA57" s="97" t="n"/>
      <c r="AB57" s="97" t="n"/>
      <c r="AC57" s="97" t="n"/>
      <c r="AD57" s="161" t="inlineStr">
        <is>
          <t>2026-10-20</t>
        </is>
      </c>
      <c r="AE57" s="174" t="inlineStr">
        <is>
          <t>2200</t>
        </is>
      </c>
      <c r="AF57" s="96" t="inlineStr">
        <is>
          <t>EDI2</t>
        </is>
      </c>
      <c r="AG57" s="97" t="n"/>
      <c r="AH57" s="97" t="n"/>
      <c r="AI57" s="97" t="inlineStr">
        <is>
          <t>IDIT3N</t>
        </is>
      </c>
      <c r="AJ57" s="96" t="inlineStr">
        <is>
          <t>PT. MANGGIS ELOK UTAMA</t>
        </is>
      </c>
      <c r="AK57" s="130" t="n"/>
    </row>
    <row r="58" ht="12" customHeight="1">
      <c r="A58" s="108" t="inlineStr">
        <is>
          <t>SKRU9201294</t>
        </is>
      </c>
      <c r="B58" s="108" t="inlineStr">
        <is>
          <t>LCH04</t>
        </is>
      </c>
      <c r="C58" s="108" t="inlineStr">
        <is>
          <t>IFV</t>
        </is>
      </c>
      <c r="D58" s="172" t="inlineStr">
        <is>
          <t>2026-10-20</t>
        </is>
      </c>
      <c r="E58" s="173" t="inlineStr">
        <is>
          <t>1844</t>
        </is>
      </c>
      <c r="F58" s="96" t="inlineStr">
        <is>
          <t>HASLS22261000095</t>
        </is>
      </c>
      <c r="G58" s="96" t="inlineStr">
        <is>
          <t>PROGRESS SHIPPING - TRANSPORT CO., LTD.</t>
        </is>
      </c>
      <c r="H58" s="111" t="inlineStr">
        <is>
          <t>45RE</t>
        </is>
      </c>
      <c r="I58" s="96" t="inlineStr">
        <is>
          <t>EMAIL</t>
        </is>
      </c>
      <c r="J58" s="96" t="inlineStr">
        <is>
          <t>EDI2</t>
        </is>
      </c>
      <c r="K58" s="96" t="n"/>
      <c r="L58" s="111" t="inlineStr">
        <is>
          <t>Full</t>
        </is>
      </c>
      <c r="M58" s="96" t="inlineStr">
        <is>
          <t>HASLS22261000095</t>
        </is>
      </c>
      <c r="N58" s="96" t="inlineStr">
        <is>
          <t xml:space="preserve">R40Hx1 </t>
        </is>
      </c>
      <c r="O58" s="111" t="inlineStr">
        <is>
          <t>2012</t>
        </is>
      </c>
      <c r="P58" s="111" t="inlineStr">
        <is>
          <t>CARRIER</t>
        </is>
      </c>
      <c r="Q58" s="111" t="inlineStr">
        <is>
          <t>69NT40-561-009</t>
        </is>
      </c>
      <c r="R58" s="96" t="inlineStr">
        <is>
          <t>YSVY</t>
        </is>
      </c>
      <c r="S58" s="96" t="inlineStr">
        <is>
          <t>2608S</t>
        </is>
      </c>
      <c r="T58" s="96" t="inlineStr">
        <is>
          <t>LCH04</t>
        </is>
      </c>
      <c r="U58" s="96" t="inlineStr">
        <is>
          <t>THLCH</t>
        </is>
      </c>
      <c r="V58" s="161" t="inlineStr">
        <is>
          <t>2026-10-24</t>
        </is>
      </c>
      <c r="W58" s="96" t="inlineStr">
        <is>
          <t>IDJKT</t>
        </is>
      </c>
      <c r="X58" s="161" t="inlineStr">
        <is>
          <t>2026-10-26</t>
        </is>
      </c>
      <c r="Y58" s="97" t="n"/>
      <c r="Z58" s="97" t="n"/>
      <c r="AA58" s="97" t="n"/>
      <c r="AB58" s="97" t="n"/>
      <c r="AC58" s="97" t="n"/>
      <c r="AD58" s="161" t="inlineStr">
        <is>
          <t>2026-10-20</t>
        </is>
      </c>
      <c r="AE58" s="174" t="inlineStr">
        <is>
          <t>2200</t>
        </is>
      </c>
      <c r="AF58" s="96" t="inlineStr">
        <is>
          <t>EDI2</t>
        </is>
      </c>
      <c r="AG58" s="97" t="n"/>
      <c r="AH58" s="97" t="n"/>
      <c r="AI58" s="97" t="inlineStr">
        <is>
          <t>IDIUVF</t>
        </is>
      </c>
      <c r="AJ58" s="96" t="inlineStr">
        <is>
          <t>PT. USAHA BERKAH INOVASI</t>
        </is>
      </c>
      <c r="AK58" s="130" t="n"/>
    </row>
    <row r="59" ht="12" customHeight="1">
      <c r="A59" s="108" t="inlineStr">
        <is>
          <t>SKRU9600910</t>
        </is>
      </c>
      <c r="B59" s="108" t="inlineStr">
        <is>
          <t>LCH04</t>
        </is>
      </c>
      <c r="C59" s="108" t="inlineStr">
        <is>
          <t>IFV</t>
        </is>
      </c>
      <c r="D59" s="172" t="inlineStr">
        <is>
          <t>2026-10-20</t>
        </is>
      </c>
      <c r="E59" s="173" t="inlineStr">
        <is>
          <t>1834</t>
        </is>
      </c>
      <c r="F59" s="96" t="inlineStr">
        <is>
          <t>HASLS22260902288</t>
        </is>
      </c>
      <c r="G59" s="96" t="inlineStr">
        <is>
          <t>INTER FRESH CO., LTD.</t>
        </is>
      </c>
      <c r="H59" s="111" t="inlineStr">
        <is>
          <t>45RE</t>
        </is>
      </c>
      <c r="I59" s="96" t="inlineStr">
        <is>
          <t>EMAIL</t>
        </is>
      </c>
      <c r="J59" s="96" t="inlineStr">
        <is>
          <t>EDI2</t>
        </is>
      </c>
      <c r="K59" s="96" t="n"/>
      <c r="L59" s="111" t="inlineStr">
        <is>
          <t>Full</t>
        </is>
      </c>
      <c r="M59" s="96" t="inlineStr">
        <is>
          <t>HASLS22260902288</t>
        </is>
      </c>
      <c r="N59" s="96" t="inlineStr">
        <is>
          <t xml:space="preserve">R40Hx1 </t>
        </is>
      </c>
      <c r="O59" s="111" t="inlineStr">
        <is>
          <t>2016</t>
        </is>
      </c>
      <c r="P59" s="111" t="inlineStr">
        <is>
          <t>CARRIER</t>
        </is>
      </c>
      <c r="Q59" s="111" t="inlineStr">
        <is>
          <t>PRIME LINE</t>
        </is>
      </c>
      <c r="R59" s="96" t="inlineStr">
        <is>
          <t>YSVY</t>
        </is>
      </c>
      <c r="S59" s="96" t="inlineStr">
        <is>
          <t>2608S</t>
        </is>
      </c>
      <c r="T59" s="96" t="inlineStr">
        <is>
          <t>LCH04</t>
        </is>
      </c>
      <c r="U59" s="96" t="inlineStr">
        <is>
          <t>THLCH</t>
        </is>
      </c>
      <c r="V59" s="161" t="inlineStr">
        <is>
          <t>2026-10-24</t>
        </is>
      </c>
      <c r="W59" s="96" t="inlineStr">
        <is>
          <t>IDJKT</t>
        </is>
      </c>
      <c r="X59" s="161" t="inlineStr">
        <is>
          <t>2026-10-26</t>
        </is>
      </c>
      <c r="Y59" s="97" t="n"/>
      <c r="Z59" s="97" t="n"/>
      <c r="AA59" s="97" t="n"/>
      <c r="AB59" s="97" t="n"/>
      <c r="AC59" s="97" t="n"/>
      <c r="AD59" s="161" t="inlineStr">
        <is>
          <t>2026-10-20</t>
        </is>
      </c>
      <c r="AE59" s="174" t="inlineStr">
        <is>
          <t>2200</t>
        </is>
      </c>
      <c r="AF59" s="96" t="inlineStr">
        <is>
          <t>EDI2</t>
        </is>
      </c>
      <c r="AG59" s="97" t="n"/>
      <c r="AH59" s="97" t="n"/>
      <c r="AI59" s="97" t="inlineStr">
        <is>
          <t>IDISKB</t>
        </is>
      </c>
      <c r="AJ59" s="96" t="inlineStr">
        <is>
          <t>PT. PUSAKA MAKMUR SEJATI</t>
        </is>
      </c>
      <c r="AK59" s="130" t="n"/>
    </row>
    <row r="60" ht="12" customHeight="1">
      <c r="A60" s="108" t="inlineStr">
        <is>
          <t>SZLU9228144</t>
        </is>
      </c>
      <c r="B60" s="108" t="inlineStr">
        <is>
          <t>LCH04</t>
        </is>
      </c>
      <c r="C60" s="108" t="inlineStr">
        <is>
          <t>IFV</t>
        </is>
      </c>
      <c r="D60" s="172" t="inlineStr">
        <is>
          <t>2026-10-20</t>
        </is>
      </c>
      <c r="E60" s="173" t="inlineStr">
        <is>
          <t>1832</t>
        </is>
      </c>
      <c r="F60" s="96" t="inlineStr">
        <is>
          <t>HASLS22261000235</t>
        </is>
      </c>
      <c r="G60" s="96" t="inlineStr">
        <is>
          <t>BE 1ST ALLIANCE CO., LTD.</t>
        </is>
      </c>
      <c r="H60" s="111" t="inlineStr">
        <is>
          <t>45RE</t>
        </is>
      </c>
      <c r="I60" s="96" t="inlineStr">
        <is>
          <t>EMAIL</t>
        </is>
      </c>
      <c r="J60" s="96" t="inlineStr">
        <is>
          <t>EDI2</t>
        </is>
      </c>
      <c r="K60" s="96" t="n"/>
      <c r="L60" s="111" t="inlineStr">
        <is>
          <t>Full</t>
        </is>
      </c>
      <c r="M60" s="96" t="inlineStr">
        <is>
          <t>HASLS22261000235</t>
        </is>
      </c>
      <c r="N60" s="96" t="inlineStr">
        <is>
          <t xml:space="preserve">R40Hx1 </t>
        </is>
      </c>
      <c r="O60" s="111" t="inlineStr">
        <is>
          <t>2017</t>
        </is>
      </c>
      <c r="P60" s="111" t="inlineStr">
        <is>
          <t>CARRIER</t>
        </is>
      </c>
      <c r="Q60" s="111" t="inlineStr">
        <is>
          <t>NT561</t>
        </is>
      </c>
      <c r="R60" s="96" t="inlineStr">
        <is>
          <t>YSVY</t>
        </is>
      </c>
      <c r="S60" s="96" t="inlineStr">
        <is>
          <t>2608S</t>
        </is>
      </c>
      <c r="T60" s="96" t="inlineStr">
        <is>
          <t>LCH04</t>
        </is>
      </c>
      <c r="U60" s="96" t="inlineStr">
        <is>
          <t>THLCH</t>
        </is>
      </c>
      <c r="V60" s="161" t="inlineStr">
        <is>
          <t>2026-10-24</t>
        </is>
      </c>
      <c r="W60" s="96" t="inlineStr">
        <is>
          <t>IDJKT</t>
        </is>
      </c>
      <c r="X60" s="161" t="inlineStr">
        <is>
          <t>2026-10-26</t>
        </is>
      </c>
      <c r="Y60" s="97" t="n"/>
      <c r="Z60" s="97" t="n"/>
      <c r="AA60" s="97" t="n"/>
      <c r="AB60" s="97" t="n"/>
      <c r="AC60" s="97" t="n"/>
      <c r="AD60" s="161" t="inlineStr">
        <is>
          <t>2026-10-20</t>
        </is>
      </c>
      <c r="AE60" s="174" t="inlineStr">
        <is>
          <t>2200</t>
        </is>
      </c>
      <c r="AF60" s="96" t="inlineStr">
        <is>
          <t>EDI2</t>
        </is>
      </c>
      <c r="AG60" s="97" t="n"/>
      <c r="AH60" s="97" t="n"/>
      <c r="AI60" s="97" t="inlineStr">
        <is>
          <t>IDIT3N</t>
        </is>
      </c>
      <c r="AJ60" s="96" t="inlineStr">
        <is>
          <t>PT. MANGGIS ELOK UTAMA</t>
        </is>
      </c>
      <c r="AK60" s="130" t="n"/>
    </row>
    <row r="61" ht="12" customHeight="1">
      <c r="A61" s="108" t="inlineStr">
        <is>
          <t>SZLU9371730</t>
        </is>
      </c>
      <c r="B61" s="108" t="inlineStr">
        <is>
          <t>LCH04</t>
        </is>
      </c>
      <c r="C61" s="108" t="inlineStr">
        <is>
          <t>IFV</t>
        </is>
      </c>
      <c r="D61" s="172" t="inlineStr">
        <is>
          <t>2026-10-20</t>
        </is>
      </c>
      <c r="E61" s="173" t="inlineStr">
        <is>
          <t>0626</t>
        </is>
      </c>
      <c r="F61" s="96" t="inlineStr">
        <is>
          <t>HASLS22261000096</t>
        </is>
      </c>
      <c r="G61" s="96" t="inlineStr">
        <is>
          <t>PROGRESS SHIPPING - TRANSPORT CO., LTD.</t>
        </is>
      </c>
      <c r="H61" s="111" t="inlineStr">
        <is>
          <t>45RE</t>
        </is>
      </c>
      <c r="I61" s="96" t="inlineStr">
        <is>
          <t>EMAIL</t>
        </is>
      </c>
      <c r="J61" s="96" t="inlineStr">
        <is>
          <t>EDI2</t>
        </is>
      </c>
      <c r="K61" s="96" t="n"/>
      <c r="L61" s="111" t="inlineStr">
        <is>
          <t>Full</t>
        </is>
      </c>
      <c r="M61" s="96" t="inlineStr">
        <is>
          <t>HASLS22261000096</t>
        </is>
      </c>
      <c r="N61" s="96" t="inlineStr">
        <is>
          <t xml:space="preserve">R40Hx1 </t>
        </is>
      </c>
      <c r="O61" s="111" t="inlineStr">
        <is>
          <t>2017</t>
        </is>
      </c>
      <c r="P61" s="111" t="inlineStr">
        <is>
          <t>CARRIER</t>
        </is>
      </c>
      <c r="Q61" s="111" t="inlineStr">
        <is>
          <t>NT561</t>
        </is>
      </c>
      <c r="R61" s="96" t="inlineStr">
        <is>
          <t>YSVY</t>
        </is>
      </c>
      <c r="S61" s="96" t="inlineStr">
        <is>
          <t>2608S</t>
        </is>
      </c>
      <c r="T61" s="96" t="inlineStr">
        <is>
          <t>LCH04</t>
        </is>
      </c>
      <c r="U61" s="96" t="inlineStr">
        <is>
          <t>THLCH</t>
        </is>
      </c>
      <c r="V61" s="161" t="inlineStr">
        <is>
          <t>2026-10-24</t>
        </is>
      </c>
      <c r="W61" s="96" t="inlineStr">
        <is>
          <t>IDJKT</t>
        </is>
      </c>
      <c r="X61" s="161" t="inlineStr">
        <is>
          <t>2026-10-26</t>
        </is>
      </c>
      <c r="Y61" s="97" t="n"/>
      <c r="Z61" s="97" t="n"/>
      <c r="AA61" s="97" t="n"/>
      <c r="AB61" s="97" t="n"/>
      <c r="AC61" s="97" t="n"/>
      <c r="AD61" s="161" t="inlineStr">
        <is>
          <t>2026-10-20</t>
        </is>
      </c>
      <c r="AE61" s="174" t="inlineStr">
        <is>
          <t>1000</t>
        </is>
      </c>
      <c r="AF61" s="96" t="inlineStr">
        <is>
          <t>EDI2</t>
        </is>
      </c>
      <c r="AG61" s="97" t="n"/>
      <c r="AH61" s="97" t="n"/>
      <c r="AI61" s="97" t="inlineStr">
        <is>
          <t>IDIUVF</t>
        </is>
      </c>
      <c r="AJ61" s="96" t="inlineStr">
        <is>
          <t>PT. USAHA BERKAH INOVASI</t>
        </is>
      </c>
      <c r="AK61" s="130" t="n"/>
    </row>
    <row r="62" ht="12" customHeight="1">
      <c r="A62" s="108" t="inlineStr">
        <is>
          <t>TCNU6296852</t>
        </is>
      </c>
      <c r="B62" s="108" t="inlineStr">
        <is>
          <t>LCH04</t>
        </is>
      </c>
      <c r="C62" s="108" t="inlineStr">
        <is>
          <t>IFV</t>
        </is>
      </c>
      <c r="D62" s="172" t="inlineStr">
        <is>
          <t>2026-10-20</t>
        </is>
      </c>
      <c r="E62" s="173" t="inlineStr">
        <is>
          <t>0725</t>
        </is>
      </c>
      <c r="F62" s="96" t="inlineStr">
        <is>
          <t>HASLS22260901417</t>
        </is>
      </c>
      <c r="G62" s="96" t="inlineStr">
        <is>
          <t>FM GLOBAL LOGISTICS CO., LTD.</t>
        </is>
      </c>
      <c r="H62" s="111" t="inlineStr">
        <is>
          <t>45GP</t>
        </is>
      </c>
      <c r="I62" s="96" t="inlineStr">
        <is>
          <t>EMAIL</t>
        </is>
      </c>
      <c r="J62" s="96" t="inlineStr">
        <is>
          <t>EDI2</t>
        </is>
      </c>
      <c r="K62" s="96" t="n"/>
      <c r="L62" s="111" t="inlineStr">
        <is>
          <t>Full</t>
        </is>
      </c>
      <c r="M62" s="96" t="inlineStr">
        <is>
          <t>HASLS22260901417</t>
        </is>
      </c>
      <c r="N62" s="96" t="inlineStr">
        <is>
          <t xml:space="preserve">40Hx1 </t>
        </is>
      </c>
      <c r="O62" s="111" t="inlineStr">
        <is>
          <t>2011</t>
        </is>
      </c>
      <c r="P62" s="111" t="n"/>
      <c r="Q62" s="111" t="n"/>
      <c r="R62" s="96" t="inlineStr">
        <is>
          <t>YSVY</t>
        </is>
      </c>
      <c r="S62" s="96" t="inlineStr">
        <is>
          <t>2608S</t>
        </is>
      </c>
      <c r="T62" s="96" t="inlineStr">
        <is>
          <t>LCH04</t>
        </is>
      </c>
      <c r="U62" s="96" t="inlineStr">
        <is>
          <t>THLCH</t>
        </is>
      </c>
      <c r="V62" s="161" t="inlineStr">
        <is>
          <t>2026-10-24</t>
        </is>
      </c>
      <c r="W62" s="96" t="inlineStr">
        <is>
          <t>IDJKT</t>
        </is>
      </c>
      <c r="X62" s="161" t="inlineStr">
        <is>
          <t>2026-10-26</t>
        </is>
      </c>
      <c r="Y62" s="97" t="n"/>
      <c r="Z62" s="97" t="n"/>
      <c r="AA62" s="97" t="n"/>
      <c r="AB62" s="97" t="n"/>
      <c r="AC62" s="97" t="n"/>
      <c r="AD62" s="161" t="inlineStr">
        <is>
          <t>2026-10-20</t>
        </is>
      </c>
      <c r="AE62" s="174" t="inlineStr">
        <is>
          <t>1000</t>
        </is>
      </c>
      <c r="AF62" s="96" t="inlineStr">
        <is>
          <t>EDI2</t>
        </is>
      </c>
      <c r="AG62" s="97" t="n"/>
      <c r="AH62" s="97" t="n"/>
      <c r="AI62" s="97" t="inlineStr">
        <is>
          <t>ID06F4</t>
        </is>
      </c>
      <c r="AJ62" s="96" t="inlineStr">
        <is>
          <t>PT. FM GLOBAL LOGISTICS</t>
        </is>
      </c>
      <c r="AK62" s="130" t="n"/>
    </row>
    <row r="63" ht="12" customHeight="1">
      <c r="A63" s="108" t="inlineStr">
        <is>
          <t>TCNU7777364</t>
        </is>
      </c>
      <c r="B63" s="108" t="inlineStr">
        <is>
          <t>LCH04</t>
        </is>
      </c>
      <c r="C63" s="108" t="inlineStr">
        <is>
          <t>IFV</t>
        </is>
      </c>
      <c r="D63" s="172" t="inlineStr">
        <is>
          <t>2026-10-21</t>
        </is>
      </c>
      <c r="E63" s="173" t="inlineStr">
        <is>
          <t>0931</t>
        </is>
      </c>
      <c r="F63" s="96" t="inlineStr">
        <is>
          <t>HASLS22261000696</t>
        </is>
      </c>
      <c r="G63" s="96" t="inlineStr">
        <is>
          <t>YAMATO UNYU (THAILAND) CO., LTD.</t>
        </is>
      </c>
      <c r="H63" s="111" t="inlineStr">
        <is>
          <t>45GP</t>
        </is>
      </c>
      <c r="I63" s="96" t="inlineStr">
        <is>
          <t>EMAIL</t>
        </is>
      </c>
      <c r="J63" s="96" t="inlineStr">
        <is>
          <t>EDI2</t>
        </is>
      </c>
      <c r="K63" s="96" t="n"/>
      <c r="L63" s="111" t="inlineStr">
        <is>
          <t>Full</t>
        </is>
      </c>
      <c r="M63" s="96" t="inlineStr">
        <is>
          <t>HASLS22261000696</t>
        </is>
      </c>
      <c r="N63" s="96" t="inlineStr">
        <is>
          <t xml:space="preserve">40Hx2 </t>
        </is>
      </c>
      <c r="O63" s="111" t="inlineStr">
        <is>
          <t>2010</t>
        </is>
      </c>
      <c r="P63" s="111" t="n"/>
      <c r="Q63" s="111" t="n"/>
      <c r="R63" s="96" t="inlineStr">
        <is>
          <t>YSVY</t>
        </is>
      </c>
      <c r="S63" s="96" t="inlineStr">
        <is>
          <t>2608S</t>
        </is>
      </c>
      <c r="T63" s="96" t="inlineStr">
        <is>
          <t>LCH04</t>
        </is>
      </c>
      <c r="U63" s="96" t="inlineStr">
        <is>
          <t>THLCH</t>
        </is>
      </c>
      <c r="V63" s="161" t="inlineStr">
        <is>
          <t>2026-10-24</t>
        </is>
      </c>
      <c r="W63" s="96" t="inlineStr">
        <is>
          <t>IDJKT</t>
        </is>
      </c>
      <c r="X63" s="161" t="inlineStr">
        <is>
          <t>2026-10-26</t>
        </is>
      </c>
      <c r="Y63" s="97" t="n"/>
      <c r="Z63" s="97" t="n"/>
      <c r="AA63" s="97" t="n"/>
      <c r="AB63" s="97" t="n"/>
      <c r="AC63" s="97" t="n"/>
      <c r="AD63" s="161" t="inlineStr">
        <is>
          <t>2026-10-21</t>
        </is>
      </c>
      <c r="AE63" s="174" t="inlineStr">
        <is>
          <t>1200</t>
        </is>
      </c>
      <c r="AF63" s="96" t="inlineStr">
        <is>
          <t>EDI2</t>
        </is>
      </c>
      <c r="AG63" s="97" t="n"/>
      <c r="AH63" s="97" t="n"/>
      <c r="AI63" s="97" t="inlineStr">
        <is>
          <t>IDINYL</t>
        </is>
      </c>
      <c r="AJ63" s="96" t="inlineStr">
        <is>
          <t>PT. ARGAPURA</t>
        </is>
      </c>
      <c r="AK63" s="130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64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5000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5000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BEAU2350094</t>
        </is>
      </c>
      <c r="B3" s="4" t="str">
        <f>IF(C3=Charge!$M$1,Charge!$J$1,IF(C3=Charge!$M$23,Charge!$J$23,IF(C3=Charge!$M$17,Charge!$J$17,IF(C3=Charge!$N$17,Charge!$J$17,Charge!$J$7))))</f>
        <v>G1</v>
      </c>
      <c r="C3" s="61" t="str">
        <f>VLOOKUP(A3,'1.Loading'!A:R,14,FALSE)</f>
        <v>LCH04</v>
      </c>
      <c r="D3" s="61" t="str">
        <f>VLOOKUP(A3,'1.Loading'!A:R,17,FALSE)</f>
        <v>HASLS22260902656</v>
      </c>
      <c r="E3" s="62" t="str">
        <f>VLOOKUP(D3,'2.Bookinglist'!A:CT,27,FALSE)</f>
        <v>NH LOGISTICS CO., LTD.</v>
      </c>
      <c r="F3" s="62" t="str">
        <f>VLOOKUP(D3,'2.Bookinglist'!A:CT,28,FALSE)</f>
        <v>TROY SIAM CO.,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IDJKT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>DG</v>
      </c>
      <c r="N3" s="60" t="str">
        <f>IF(RIGHT(K3,2)="RE","RF","")</f>
        <v/>
      </c>
      <c r="O3" s="61" t="str">
        <f>VLOOKUP(A3,'1.Loading'!A:R,3,FALSE)</f>
        <v>YSVY</v>
      </c>
      <c r="P3" s="61" t="str">
        <f>VLOOKUP(A3,'1.Loading'!A:R,4,FALSE)</f>
        <v>2608S</v>
      </c>
      <c r="Q3" s="61" t="str">
        <f>VLOOKUP(D3,'2.Bookinglist'!A:CT,12,FALSE)</f>
        <v>ANX</v>
      </c>
      <c r="R3" s="60" t="str">
        <f>IF(LEFT(K3,2)="22","20'","40'")</f>
        <v>20'</v>
      </c>
      <c r="S3" s="101" t="n"/>
      <c r="T3" s="61" t="str">
        <f>VLOOKUP(A3,'1.Loading'!A:R,2,FALSE)</f>
        <v>2026-10-24</v>
      </c>
      <c r="U3" s="63">
        <f>T3-S3</f>
        <v>46319</v>
      </c>
      <c r="V3" s="178" t="n"/>
      <c r="W3" s="61" t="str">
        <f>VLOOKUP(A3,'3.GateMove'!A:D,4,FALSE)</f>
        <v>2026-10-23</v>
      </c>
      <c r="X3" s="63">
        <f>((T3-W3)+1)</f>
        <v>2</v>
      </c>
      <c r="Y3" s="64">
        <f>IF(AND(OR(C3="BKK01",C3="BKK04"),L3="CFS/CY"),0,IF(M3="DG",1,IF(LEFT(C3,3)="LCH",7,IF(C3="BKK02",5,3))))</f>
        <v>1</v>
      </c>
      <c r="Z3" s="63">
        <f>IF(IF(AND(AC3="TML",AB3&gt;0),((T3-W3)+1)-AB3,((T3-W3)+1)-Y3)&gt;0,IF(AND(AC3="TML",AB3&gt;0),((T3-W3)+1)-AB3,((T3-W3)+1)-Y3),0)</f>
        <v>1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375</v>
      </c>
      <c r="AB3" s="4" t="n"/>
      <c r="AC3" s="4" t="n"/>
      <c r="AD3" s="60">
        <f>IF(M3="DG",3,IF(N3="RF",3,5))+IF(AND(LEFT(C3,3)="BKK",N3="RF",Q3="KTS"),1,0)+IF(Q3="KHS",1,0)</f>
        <v>3</v>
      </c>
      <c r="AE3" s="63">
        <f>(T3-V3)+1</f>
        <v>46320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375</v>
      </c>
      <c r="AJ3" s="70" t="n"/>
      <c r="AK3" s="62" t="str">
        <f>VLOOKUP(D3,'2.Bookinglist'!A:CT,40,FALSE)</f>
        <v>Arunphat W. (Aiw)</v>
      </c>
      <c r="AL3" s="60" t="str">
        <f>VLOOKUP(D3,'2.Bookinglist'!A:CW,101,FALSE)</f>
        <v>2026-10-22</v>
      </c>
      <c r="AM3" s="60" t="str">
        <f>VLOOKUP(D3,'2.Bookinglist'!A:BK,63,FALSE)</f>
        <v>LCHY5</v>
      </c>
      <c r="AN3" s="62" t="str">
        <f>VLOOKUP(D3,'2.Bookinglist'!A:AZ,52,FALSE)</f>
        <v>APPROVE BY KR Geonwook.kim DD : 08/10/26 DG CARGO (CLS 4.1 / UN 1325, CLS 3 / UN 1992, CLS 3 / UN 1993) 
Pickup : 2026-10-19, Return@ JWD : 2026-10-19</v>
      </c>
      <c r="AO3" s="62">
        <f>VLOOKUP(D3,'2.Bookinglist'!A:CY,103,FALSE)</f>
        <v>0</v>
      </c>
    </row>
    <row r="4" ht="12.95" customHeight="1">
      <c r="A4" s="96" t="inlineStr">
        <is>
          <t>BEAU2357714</t>
        </is>
      </c>
      <c r="B4" s="184" t="str">
        <f>IF(C4=Charge!$M$1,Charge!$J$1,IF(C4=Charge!$M$23,Charge!$J$23,IF(C4=Charge!$M$17,Charge!$J$17,IF(C4=Charge!$N$17,Charge!$J$17,Charge!$J$7))))</f>
        <v>G1</v>
      </c>
      <c r="C4" s="61" t="str">
        <f>VLOOKUP(A4,'1.Loading'!A:R,14,FALSE)</f>
        <v>LCH04</v>
      </c>
      <c r="D4" s="61" t="str">
        <f>VLOOKUP(A4,'1.Loading'!A:R,17,FALSE)</f>
        <v>HASLS22261000098</v>
      </c>
      <c r="E4" s="62" t="str">
        <f>VLOOKUP(D4,'2.Bookinglist'!A:CT,27,FALSE)</f>
        <v>LOGMAN INTERNATIONAL CO., LTD.</v>
      </c>
      <c r="F4" s="62" t="str">
        <f>VLOOKUP(D4,'2.Bookinglist'!A:CT,28,FALSE)</f>
        <v>FINE METAL TECHNOLOGIES PUBLIC COMPANY LIMITED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IDJKT</v>
      </c>
      <c r="J4" s="61">
        <f>VLOOKUP(D4,'2.Bookinglist'!A:CT,26,FALSE)</f>
        <v>0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YSVY</v>
      </c>
      <c r="P4" s="61" t="str">
        <f>VLOOKUP(A4,'1.Loading'!A:R,4,FALSE)</f>
        <v>2608S</v>
      </c>
      <c r="Q4" s="61" t="str">
        <f>VLOOKUP(D4,'2.Bookinglist'!A:CT,12,FALSE)</f>
        <v>ANX</v>
      </c>
      <c r="R4" s="60" t="str">
        <f>IF(LEFT(K4,2)="22","20'","40'")</f>
        <v>20'</v>
      </c>
      <c r="S4" s="185" t="n"/>
      <c r="T4" s="61" t="str">
        <f>VLOOKUP(A4,'1.Loading'!A:R,2,FALSE)</f>
        <v>2026-10-24</v>
      </c>
      <c r="U4" s="63">
        <f>T4-S4</f>
        <v>46319</v>
      </c>
      <c r="V4" s="186" t="n"/>
      <c r="W4" s="61" t="str">
        <f>VLOOKUP(A4,'3.GateMove'!A:D,4,FALSE)</f>
        <v>2026-10-20</v>
      </c>
      <c r="X4" s="63">
        <f>((T4-W4)+1)</f>
        <v>5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46320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Arunphat W. (Aiw)</v>
      </c>
      <c r="AL4" s="60" t="str">
        <f>VLOOKUP(D4,'2.Bookinglist'!A:CW,101,FALSE)</f>
        <v>2026-10-19</v>
      </c>
      <c r="AM4" s="60" t="str">
        <f>VLOOKUP(D4,'2.Bookinglist'!A:BK,63,FALSE)</f>
        <v>LCH27</v>
      </c>
      <c r="AN4" s="62" t="str">
        <f>VLOOKUP(D4,'2.Bookinglist'!A:AZ,52,FALSE)</f>
        <v>Pickup : 2026-10-19, Return : 2026-10-19</v>
      </c>
      <c r="AO4" s="62">
        <f>VLOOKUP(D4,'2.Bookinglist'!A:CY,103,FALSE)</f>
        <v>0</v>
      </c>
    </row>
    <row r="5" ht="12.95" customHeight="1">
      <c r="A5" s="96" t="inlineStr">
        <is>
          <t>BEAU2406212</t>
        </is>
      </c>
      <c r="B5" s="184" t="str">
        <f>IF(C5=Charge!$M$1,Charge!$J$1,IF(C5=Charge!$M$23,Charge!$J$23,IF(C5=Charge!$M$17,Charge!$J$17,IF(C5=Charge!$N$17,Charge!$J$17,Charge!$J$7))))</f>
        <v>G1</v>
      </c>
      <c r="C5" s="61" t="str">
        <f>VLOOKUP(A5,'1.Loading'!A:R,14,FALSE)</f>
        <v>LCH04</v>
      </c>
      <c r="D5" s="61" t="str">
        <f>VLOOKUP(A5,'1.Loading'!A:R,17,FALSE)</f>
        <v>HASLS22261000254</v>
      </c>
      <c r="E5" s="62" t="str">
        <f>VLOOKUP(D5,'2.Bookinglist'!A:CT,27,FALSE)</f>
        <v>AWOT GLOBAL LOGISTICS (THAILAND) CO., LTD.</v>
      </c>
      <c r="F5" s="62" t="str">
        <f>VLOOKUP(D5,'2.Bookinglist'!A:CT,28,FALSE)</f>
        <v>ZIKER CO., LTD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IDJKT</v>
      </c>
      <c r="J5" s="61">
        <f>VLOOKUP(D5,'2.Bookinglist'!A:CT,26,FALSE)</f>
        <v>0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YSVY</v>
      </c>
      <c r="P5" s="61" t="str">
        <f>VLOOKUP(A5,'1.Loading'!A:R,4,FALSE)</f>
        <v>2608S</v>
      </c>
      <c r="Q5" s="61" t="str">
        <f>VLOOKUP(D5,'2.Bookinglist'!A:CT,12,FALSE)</f>
        <v>ANX</v>
      </c>
      <c r="R5" s="60" t="str">
        <f>IF(LEFT(K5,2)="22","20'","40'")</f>
        <v>20'</v>
      </c>
      <c r="S5" s="185" t="n"/>
      <c r="T5" s="61" t="str">
        <f>VLOOKUP(A5,'1.Loading'!A:R,2,FALSE)</f>
        <v>2026-10-24</v>
      </c>
      <c r="U5" s="63">
        <f>T5-S5</f>
        <v>46319</v>
      </c>
      <c r="V5" s="186" t="n"/>
      <c r="W5" s="61" t="str">
        <f>VLOOKUP(A5,'3.GateMove'!A:D,4,FALSE)</f>
        <v>2026-10-19</v>
      </c>
      <c r="X5" s="63">
        <f>((T5-W5)+1)</f>
        <v>6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46320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8" t="n"/>
      <c r="AK5" s="62" t="str">
        <f>VLOOKUP(D5,'2.Bookinglist'!A:CT,40,FALSE)</f>
        <v>Pattarapong Saengthong</v>
      </c>
      <c r="AL5" s="60" t="str">
        <f>VLOOKUP(D5,'2.Bookinglist'!A:CW,101,FALSE)</f>
        <v>2026-10-18</v>
      </c>
      <c r="AM5" s="60" t="str">
        <f>VLOOKUP(D5,'2.Bookinglist'!A:BK,63,FALSE)</f>
        <v>LCH27</v>
      </c>
      <c r="AN5" s="62" t="str">
        <f>VLOOKUP(D5,'2.Bookinglist'!A:AZ,52,FALSE)</f>
        <v>Pickup : 2026-10-17, Return : 2026-10-19</v>
      </c>
      <c r="AO5" s="62">
        <f>VLOOKUP(D5,'2.Bookinglist'!A:CY,103,FALSE)</f>
        <v>0</v>
      </c>
    </row>
    <row r="6" ht="12.95" customHeight="1">
      <c r="A6" s="96" t="inlineStr">
        <is>
          <t>BEAU2477617</t>
        </is>
      </c>
      <c r="B6" s="184" t="str">
        <f>IF(C6=Charge!$M$1,Charge!$J$1,IF(C6=Charge!$M$23,Charge!$J$23,IF(C6=Charge!$M$17,Charge!$J$17,IF(C6=Charge!$N$17,Charge!$J$17,Charge!$J$7))))</f>
        <v>G1</v>
      </c>
      <c r="C6" s="61" t="str">
        <f>VLOOKUP(A6,'1.Loading'!A:R,14,FALSE)</f>
        <v>LCH04</v>
      </c>
      <c r="D6" s="61" t="str">
        <f>VLOOKUP(A6,'1.Loading'!A:R,17,FALSE)</f>
        <v>HASLS22261000184</v>
      </c>
      <c r="E6" s="62" t="str">
        <f>VLOOKUP(D6,'2.Bookinglist'!A:CT,27,FALSE)</f>
        <v>KWE-KINTETSU WORLD EXPRESS (THAILAND) CO., LTD.</v>
      </c>
      <c r="F6" s="62" t="str">
        <f>VLOOKUP(D6,'2.Bookinglist'!A:CT,28,FALSE)</f>
        <v>SINGHAPRO CO.,LTD.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IDJKT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YSVY</v>
      </c>
      <c r="P6" s="61" t="str">
        <f>VLOOKUP(A6,'1.Loading'!A:R,4,FALSE)</f>
        <v>2608S</v>
      </c>
      <c r="Q6" s="61" t="str">
        <f>VLOOKUP(D6,'2.Bookinglist'!A:CT,12,FALSE)</f>
        <v>ANX</v>
      </c>
      <c r="R6" s="60" t="str">
        <f>IF(LEFT(K6,2)="22","20'","40'")</f>
        <v>20'</v>
      </c>
      <c r="S6" s="185" t="n"/>
      <c r="T6" s="61" t="str">
        <f>VLOOKUP(A6,'1.Loading'!A:R,2,FALSE)</f>
        <v>2026-10-24</v>
      </c>
      <c r="U6" s="63">
        <f>T6-S6</f>
        <v>46319</v>
      </c>
      <c r="V6" s="186" t="n"/>
      <c r="W6" s="61" t="str">
        <f>VLOOKUP(A6,'3.GateMove'!A:D,4,FALSE)</f>
        <v>2026-10-19</v>
      </c>
      <c r="X6" s="63">
        <f>((T6-W6)+1)</f>
        <v>6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46320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Arunphat W. (Aiw)</v>
      </c>
      <c r="AL6" s="60" t="str">
        <f>VLOOKUP(D6,'2.Bookinglist'!A:CW,101,FALSE)</f>
        <v>2026-10-18</v>
      </c>
      <c r="AM6" s="60" t="str">
        <f>VLOOKUP(D6,'2.Bookinglist'!A:BK,63,FALSE)</f>
        <v>LCH27</v>
      </c>
      <c r="AN6" s="62" t="str">
        <f>VLOOKUP(D6,'2.Bookinglist'!A:AZ,52,FALSE)</f>
        <v>Pickup : 2026-10-16, Return : 2026-10-16</v>
      </c>
      <c r="AO6" s="62">
        <f>VLOOKUP(D6,'2.Bookinglist'!A:CY,103,FALSE)</f>
        <v>0</v>
      </c>
    </row>
    <row r="7" ht="12.95" customHeight="1">
      <c r="A7" s="96" t="inlineStr">
        <is>
          <t>GESU3364530</t>
        </is>
      </c>
      <c r="B7" s="184" t="str">
        <f>IF(C7=Charge!$M$1,Charge!$J$1,IF(C7=Charge!$M$23,Charge!$J$23,IF(C7=Charge!$M$17,Charge!$J$17,IF(C7=Charge!$N$17,Charge!$J$17,Charge!$J$7))))</f>
        <v>G1</v>
      </c>
      <c r="C7" s="61" t="str">
        <f>VLOOKUP(A7,'1.Loading'!A:R,14,FALSE)</f>
        <v>LCH04</v>
      </c>
      <c r="D7" s="61" t="str">
        <f>VLOOKUP(A7,'1.Loading'!A:R,17,FALSE)</f>
        <v>HASLS22261000633</v>
      </c>
      <c r="E7" s="62" t="str">
        <f>VLOOKUP(D7,'2.Bookinglist'!A:CT,27,FALSE)</f>
        <v>LESCHACO (THAILAND) LTD.</v>
      </c>
      <c r="F7" s="62" t="str">
        <f>VLOOKUP(D7,'2.Bookinglist'!A:CT,28,FALSE)</f>
        <v>WINOA (THAILAND) LTD.</v>
      </c>
      <c r="G7" s="60" t="str">
        <f>VLOOKUP(D7,'2.Bookinglist'!A:E,5,FALSE)</f>
        <v>THLKR</v>
      </c>
      <c r="H7" s="61" t="str">
        <f>VLOOKUP(D7,'2.Bookinglist'!A:CT,15,FALSE)</f>
        <v>THLCH</v>
      </c>
      <c r="I7" s="61" t="str">
        <f>VLOOKUP(D7,'2.Bookinglist'!A:CT,19,FALSE)</f>
        <v>IDJKT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YSVY</v>
      </c>
      <c r="P7" s="61" t="str">
        <f>VLOOKUP(A7,'1.Loading'!A:R,4,FALSE)</f>
        <v>2608S</v>
      </c>
      <c r="Q7" s="61" t="str">
        <f>VLOOKUP(D7,'2.Bookinglist'!A:CT,12,FALSE)</f>
        <v>ANX</v>
      </c>
      <c r="R7" s="60" t="str">
        <f>IF(LEFT(K7,2)="22","20'","40'")</f>
        <v>20'</v>
      </c>
      <c r="S7" s="185" t="n"/>
      <c r="T7" s="61" t="str">
        <f>VLOOKUP(A7,'1.Loading'!A:R,2,FALSE)</f>
        <v>2026-10-24</v>
      </c>
      <c r="U7" s="63">
        <f>T7-S7</f>
        <v>46319</v>
      </c>
      <c r="V7" s="186" t="n"/>
      <c r="W7" s="61" t="str">
        <f>VLOOKUP(A7,'3.GateMove'!A:D,4,FALSE)</f>
        <v>2026-10-18</v>
      </c>
      <c r="X7" s="63">
        <f>((T7-W7)+1)</f>
        <v>7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46320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Sukunpoj Damrongying</v>
      </c>
      <c r="AL7" s="60" t="str">
        <f>VLOOKUP(D7,'2.Bookinglist'!A:CW,101,FALSE)</f>
        <v>2026-10-22</v>
      </c>
      <c r="AM7" s="60" t="str">
        <f>VLOOKUP(D7,'2.Bookinglist'!A:BK,63,FALSE)</f>
        <v>BKK27</v>
      </c>
      <c r="AN7" s="62" t="str">
        <f>VLOOKUP(D7,'2.Bookinglist'!A:AZ,52,FALSE)</f>
        <v>Pickup : 2026-10-15, Return : 2026-10-16 Paperless Code 2835
Closing Time LKB 2026-10-19 @ 12.00</v>
      </c>
      <c r="AO7" s="62">
        <f>VLOOKUP(D7,'2.Bookinglist'!A:CY,103,FALSE)</f>
        <v>0</v>
      </c>
    </row>
    <row r="8" ht="12.95" customHeight="1">
      <c r="A8" s="96" t="inlineStr">
        <is>
          <t>HALU2094885</t>
        </is>
      </c>
      <c r="B8" s="184" t="str">
        <f>IF(C8=Charge!$M$1,Charge!$J$1,IF(C8=Charge!$M$23,Charge!$J$23,IF(C8=Charge!$M$17,Charge!$J$17,IF(C8=Charge!$N$17,Charge!$J$17,Charge!$J$7))))</f>
        <v>G1</v>
      </c>
      <c r="C8" s="61" t="str">
        <f>VLOOKUP(A8,'1.Loading'!A:R,14,FALSE)</f>
        <v>LCH04</v>
      </c>
      <c r="D8" s="61" t="str">
        <f>VLOOKUP(A8,'1.Loading'!A:R,17,FALSE)</f>
        <v>HASLS22261000155</v>
      </c>
      <c r="E8" s="62" t="str">
        <f>VLOOKUP(D8,'2.Bookinglist'!A:CT,27,FALSE)</f>
        <v>FLS 1993 (THAILAND) CO., LTD.</v>
      </c>
      <c r="F8" s="62" t="str">
        <f>VLOOKUP(D8,'2.Bookinglist'!A:CT,28,FALSE)</f>
        <v>UNIQUE POLYMER CO.,LTD.</v>
      </c>
      <c r="G8" s="60" t="str">
        <f>VLOOKUP(D8,'2.Bookinglist'!A:E,5,FALSE)</f>
        <v>THLKR</v>
      </c>
      <c r="H8" s="61" t="str">
        <f>VLOOKUP(D8,'2.Bookinglist'!A:CT,15,FALSE)</f>
        <v>THLCH</v>
      </c>
      <c r="I8" s="61" t="str">
        <f>VLOOKUP(D8,'2.Bookinglist'!A:CT,19,FALSE)</f>
        <v>IDJKT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YSVY</v>
      </c>
      <c r="P8" s="61" t="str">
        <f>VLOOKUP(A8,'1.Loading'!A:R,4,FALSE)</f>
        <v>2608S</v>
      </c>
      <c r="Q8" s="61" t="str">
        <f>VLOOKUP(D8,'2.Bookinglist'!A:CT,12,FALSE)</f>
        <v>ANX</v>
      </c>
      <c r="R8" s="60" t="str">
        <f>IF(LEFT(K8,2)="22","20'","40'")</f>
        <v>20'</v>
      </c>
      <c r="S8" s="185" t="n"/>
      <c r="T8" s="61" t="str">
        <f>VLOOKUP(A8,'1.Loading'!A:R,2,FALSE)</f>
        <v>2026-10-24</v>
      </c>
      <c r="U8" s="63">
        <f>T8-S8</f>
        <v>46319</v>
      </c>
      <c r="V8" s="186" t="n"/>
      <c r="W8" s="61" t="str">
        <f>VLOOKUP(A8,'3.GateMove'!A:D,4,FALSE)</f>
        <v>2026-10-18</v>
      </c>
      <c r="X8" s="63">
        <f>((T8-W8)+1)</f>
        <v>7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46320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Arunphat W. (Aiw)</v>
      </c>
      <c r="AL8" s="60" t="str">
        <f>VLOOKUP(D8,'2.Bookinglist'!A:CW,101,FALSE)</f>
        <v>2026-10-18</v>
      </c>
      <c r="AM8" s="60" t="str">
        <f>VLOOKUP(D8,'2.Bookinglist'!A:BK,63,FALSE)</f>
        <v>BKK27</v>
      </c>
      <c r="AN8" s="62" t="str">
        <f>VLOOKUP(D8,'2.Bookinglist'!A:AZ,52,FALSE)</f>
        <v>Pickup : 2026-10-14, Return LKR : 2026-10-16 (CLOSING DATE AT LKR DD.19/10/26 @12.00)
PAPERLESS: 2835
 </v>
      </c>
      <c r="AO8" s="62">
        <f>VLOOKUP(D8,'2.Bookinglist'!A:CY,103,FALSE)</f>
        <v>0</v>
      </c>
    </row>
    <row r="9" ht="12.95" customHeight="1">
      <c r="A9" s="96" t="inlineStr">
        <is>
          <t>HALU2336968</t>
        </is>
      </c>
      <c r="B9" s="184" t="str">
        <f>IF(C9=Charge!$M$1,Charge!$J$1,IF(C9=Charge!$M$23,Charge!$J$23,IF(C9=Charge!$M$17,Charge!$J$17,IF(C9=Charge!$N$17,Charge!$J$17,Charge!$J$7))))</f>
        <v>G1</v>
      </c>
      <c r="C9" s="61" t="str">
        <f>VLOOKUP(A9,'1.Loading'!A:R,14,FALSE)</f>
        <v>LCH04</v>
      </c>
      <c r="D9" s="61" t="str">
        <f>VLOOKUP(A9,'1.Loading'!A:R,17,FALSE)</f>
        <v>HASLS22261000752</v>
      </c>
      <c r="E9" s="62" t="str">
        <f>VLOOKUP(D9,'2.Bookinglist'!A:CT,27,FALSE)</f>
        <v>ASIA ATLANTIC LINENER COMPANY LIMITED.</v>
      </c>
      <c r="F9" s="62" t="str">
        <f>VLOOKUP(D9,'2.Bookinglist'!A:CT,28,FALSE)</f>
        <v>A. BEST INTER PRODUCT CO., LTD.</v>
      </c>
      <c r="G9" s="60" t="str">
        <f>VLOOKUP(D9,'2.Bookinglist'!A:E,5,FALSE)</f>
        <v>THLKR</v>
      </c>
      <c r="H9" s="61" t="str">
        <f>VLOOKUP(D9,'2.Bookinglist'!A:CT,15,FALSE)</f>
        <v>THLCH</v>
      </c>
      <c r="I9" s="61" t="str">
        <f>VLOOKUP(D9,'2.Bookinglist'!A:CT,19,FALSE)</f>
        <v>IDJKT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YSVY</v>
      </c>
      <c r="P9" s="61" t="str">
        <f>VLOOKUP(A9,'1.Loading'!A:R,4,FALSE)</f>
        <v>2608S</v>
      </c>
      <c r="Q9" s="61" t="str">
        <f>VLOOKUP(D9,'2.Bookinglist'!A:CT,12,FALSE)</f>
        <v>ANX</v>
      </c>
      <c r="R9" s="60" t="str">
        <f>IF(LEFT(K9,2)="22","20'","40'")</f>
        <v>20'</v>
      </c>
      <c r="S9" s="185" t="n"/>
      <c r="T9" s="61" t="str">
        <f>VLOOKUP(A9,'1.Loading'!A:R,2,FALSE)</f>
        <v>2026-10-24</v>
      </c>
      <c r="U9" s="63">
        <f>T9-S9</f>
        <v>46319</v>
      </c>
      <c r="V9" s="186" t="n"/>
      <c r="W9" s="61" t="str">
        <f>VLOOKUP(A9,'3.GateMove'!A:D,4,FALSE)</f>
        <v>2026-10-16</v>
      </c>
      <c r="X9" s="63">
        <f>((T9-W9)+1)</f>
        <v>9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2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250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46320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250</v>
      </c>
      <c r="AJ9" s="188" t="n"/>
      <c r="AK9" s="62" t="str">
        <f>VLOOKUP(D9,'2.Bookinglist'!A:CT,40,FALSE)</f>
        <v>Nannaapust Sukporntaweewat</v>
      </c>
      <c r="AL9" s="60" t="str">
        <f>VLOOKUP(D9,'2.Bookinglist'!A:CW,101,FALSE)</f>
        <v>2026-10-22</v>
      </c>
      <c r="AM9" s="60" t="str">
        <f>VLOOKUP(D9,'2.Bookinglist'!A:BK,63,FALSE)</f>
        <v>BKK27</v>
      </c>
      <c r="AN9" s="62" t="str">
        <f>VLOOKUP(D9,'2.Bookinglist'!A:AZ,52,FALSE)</f>
        <v>Pickup : 2026-10-14, Return : 2026-10-15 Papereless Code 2835
Closing Time LKB 2026-10-19 @ 12.00</v>
      </c>
      <c r="AO9" s="62">
        <f>VLOOKUP(D9,'2.Bookinglist'!A:CY,103,FALSE)</f>
        <v>0</v>
      </c>
    </row>
    <row r="10" ht="12.95" customHeight="1">
      <c r="A10" s="96" t="inlineStr">
        <is>
          <t>HALU2344304</t>
        </is>
      </c>
      <c r="B10" s="184" t="str">
        <f>IF(C10=Charge!$M$1,Charge!$J$1,IF(C10=Charge!$M$23,Charge!$J$23,IF(C10=Charge!$M$17,Charge!$J$17,IF(C10=Charge!$N$17,Charge!$J$17,Charge!$J$7))))</f>
        <v>G1</v>
      </c>
      <c r="C10" s="61" t="str">
        <f>VLOOKUP(A10,'1.Loading'!A:R,14,FALSE)</f>
        <v>LCH04</v>
      </c>
      <c r="D10" s="61" t="str">
        <f>VLOOKUP(A10,'1.Loading'!A:R,17,FALSE)</f>
        <v>HASLS22260902451</v>
      </c>
      <c r="E10" s="62" t="str">
        <f>VLOOKUP(D10,'2.Bookinglist'!A:CT,27,FALSE)</f>
        <v>UBE CHEMICALS (ASIA) PUBLIC COMPANY LIMITED</v>
      </c>
      <c r="F10" s="62" t="str">
        <f>VLOOKUP(D10,'2.Bookinglist'!A:CT,28,FALSE)</f>
        <v>UBE CHEMICALS (ASIA) PUBLIC COMPANY LIMITED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IDJKT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YSVY</v>
      </c>
      <c r="P10" s="61" t="str">
        <f>VLOOKUP(A10,'1.Loading'!A:R,4,FALSE)</f>
        <v>2608S</v>
      </c>
      <c r="Q10" s="61" t="str">
        <f>VLOOKUP(D10,'2.Bookinglist'!A:CT,12,FALSE)</f>
        <v>ANX</v>
      </c>
      <c r="R10" s="60" t="str">
        <f>IF(LEFT(K10,2)="22","20'","40'")</f>
        <v>20'</v>
      </c>
      <c r="S10" s="185" t="n"/>
      <c r="T10" s="61" t="str">
        <f>VLOOKUP(A10,'1.Loading'!A:R,2,FALSE)</f>
        <v>2026-10-24</v>
      </c>
      <c r="U10" s="63">
        <f>T10-S10</f>
        <v>46319</v>
      </c>
      <c r="V10" s="186" t="n"/>
      <c r="W10" s="61" t="str">
        <f>VLOOKUP(A10,'3.GateMove'!A:D,4,FALSE)</f>
        <v>2026-10-20</v>
      </c>
      <c r="X10" s="63">
        <f>((T10-W10)+1)</f>
        <v>5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46320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8" t="n"/>
      <c r="AK10" s="62" t="str">
        <f>VLOOKUP(D10,'2.Bookinglist'!A:CT,40,FALSE)</f>
        <v>Tarn(Supaporn)</v>
      </c>
      <c r="AL10" s="60" t="str">
        <f>VLOOKUP(D10,'2.Bookinglist'!A:CW,101,FALSE)</f>
        <v>2026-10-23</v>
      </c>
      <c r="AM10" s="60" t="str">
        <f>VLOOKUP(D10,'2.Bookinglist'!A:BK,63,FALSE)</f>
        <v>LCHY5</v>
      </c>
      <c r="AN10" s="62" t="str">
        <f>VLOOKUP(D10,'2.Bookinglist'!A:AZ,52,FALSE)</f>
        <v>CY -RTN : 14-14/10/2026 (2002054242)</v>
      </c>
      <c r="AO10" s="62">
        <f>VLOOKUP(D10,'2.Bookinglist'!A:CY,103,FALSE)</f>
        <v>0</v>
      </c>
    </row>
    <row r="11" ht="12.95" customHeight="1">
      <c r="A11" s="96" t="inlineStr">
        <is>
          <t>HALU2417761</t>
        </is>
      </c>
      <c r="B11" s="184" t="str">
        <f>IF(C11=Charge!$M$1,Charge!$J$1,IF(C11=Charge!$M$23,Charge!$J$23,IF(C11=Charge!$M$17,Charge!$J$17,IF(C11=Charge!$N$17,Charge!$J$17,Charge!$J$7))))</f>
        <v>G1</v>
      </c>
      <c r="C11" s="61" t="str">
        <f>VLOOKUP(A11,'1.Loading'!A:R,14,FALSE)</f>
        <v>LCH04</v>
      </c>
      <c r="D11" s="61" t="str">
        <f>VLOOKUP(A11,'1.Loading'!A:R,17,FALSE)</f>
        <v>HASLS22260902435</v>
      </c>
      <c r="E11" s="62" t="str">
        <f>VLOOKUP(D11,'2.Bookinglist'!A:CT,27,FALSE)</f>
        <v>UBE CHEMICALS (ASIA) PUBLIC COMPANY LIMITED</v>
      </c>
      <c r="F11" s="62" t="str">
        <f>VLOOKUP(D11,'2.Bookinglist'!A:CT,28,FALSE)</f>
        <v>UBE CHEMICALS (ASIA) PUBLIC COMPANY LIMITED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IDJKT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YSVY</v>
      </c>
      <c r="P11" s="61" t="str">
        <f>VLOOKUP(A11,'1.Loading'!A:R,4,FALSE)</f>
        <v>2608S</v>
      </c>
      <c r="Q11" s="61" t="str">
        <f>VLOOKUP(D11,'2.Bookinglist'!A:CT,12,FALSE)</f>
        <v>ANX</v>
      </c>
      <c r="R11" s="60" t="str">
        <f>IF(LEFT(K11,2)="22","20'","40'")</f>
        <v>20'</v>
      </c>
      <c r="S11" s="185" t="n"/>
      <c r="T11" s="61" t="str">
        <f>VLOOKUP(A11,'1.Loading'!A:R,2,FALSE)</f>
        <v>2026-10-24</v>
      </c>
      <c r="U11" s="63">
        <f>T11-S11</f>
        <v>46319</v>
      </c>
      <c r="V11" s="186" t="n"/>
      <c r="W11" s="61" t="str">
        <f>VLOOKUP(A11,'3.GateMove'!A:D,4,FALSE)</f>
        <v>2026-10-20</v>
      </c>
      <c r="X11" s="63">
        <f>((T11-W11)+1)</f>
        <v>5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0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46320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8" t="n"/>
      <c r="AK11" s="62" t="str">
        <f>VLOOKUP(D11,'2.Bookinglist'!A:CT,40,FALSE)</f>
        <v>Tarn(Supaporn)</v>
      </c>
      <c r="AL11" s="60" t="str">
        <f>VLOOKUP(D11,'2.Bookinglist'!A:CW,101,FALSE)</f>
        <v>2026-10-23</v>
      </c>
      <c r="AM11" s="60" t="str">
        <f>VLOOKUP(D11,'2.Bookinglist'!A:BK,63,FALSE)</f>
        <v>LCHY5</v>
      </c>
      <c r="AN11" s="62" t="str">
        <f>VLOOKUP(D11,'2.Bookinglist'!A:AZ,52,FALSE)</f>
        <v>CY -RTN : 14-15/10/2026 (2002054617)</v>
      </c>
      <c r="AO11" s="62">
        <f>VLOOKUP(D11,'2.Bookinglist'!A:CY,103,FALSE)</f>
        <v>0</v>
      </c>
    </row>
    <row r="12" ht="12.95" customHeight="1">
      <c r="A12" s="96" t="inlineStr">
        <is>
          <t>HALU2433192</t>
        </is>
      </c>
      <c r="B12" s="184" t="str">
        <f>IF(C12=Charge!$M$1,Charge!$J$1,IF(C12=Charge!$M$23,Charge!$J$23,IF(C12=Charge!$M$17,Charge!$J$17,IF(C12=Charge!$N$17,Charge!$J$17,Charge!$J$7))))</f>
        <v>G1</v>
      </c>
      <c r="C12" s="61" t="str">
        <f>VLOOKUP(A12,'1.Loading'!A:R,14,FALSE)</f>
        <v>LCH04</v>
      </c>
      <c r="D12" s="61" t="str">
        <f>VLOOKUP(A12,'1.Loading'!A:R,17,FALSE)</f>
        <v>HASLS22261001126</v>
      </c>
      <c r="E12" s="62" t="str">
        <f>VLOOKUP(D12,'2.Bookinglist'!A:CT,27,FALSE)</f>
        <v>WARATHEP INTERNATIONAL FREIGHT CO., LTD.</v>
      </c>
      <c r="F12" s="62" t="str">
        <f>VLOOKUP(D12,'2.Bookinglist'!A:CT,28,FALSE)</f>
        <v>SIAM GUMED TAPE CO., LTD</v>
      </c>
      <c r="G12" s="60" t="str">
        <f>VLOOKUP(D12,'2.Bookinglist'!A:E,5,FALSE)</f>
        <v>THLKR</v>
      </c>
      <c r="H12" s="61" t="str">
        <f>VLOOKUP(D12,'2.Bookinglist'!A:CT,15,FALSE)</f>
        <v>THLCH</v>
      </c>
      <c r="I12" s="61" t="str">
        <f>VLOOKUP(D12,'2.Bookinglist'!A:CT,19,FALSE)</f>
        <v>IDJKT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CFS/CY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YSVY</v>
      </c>
      <c r="P12" s="61" t="str">
        <f>VLOOKUP(A12,'1.Loading'!A:R,4,FALSE)</f>
        <v>2608S</v>
      </c>
      <c r="Q12" s="61" t="str">
        <f>VLOOKUP(D12,'2.Bookinglist'!A:CT,12,FALSE)</f>
        <v>ANX</v>
      </c>
      <c r="R12" s="60" t="str">
        <f>IF(LEFT(K12,2)="22","20'","40'")</f>
        <v>20'</v>
      </c>
      <c r="S12" s="185" t="n"/>
      <c r="T12" s="61" t="str">
        <f>VLOOKUP(A12,'1.Loading'!A:R,2,FALSE)</f>
        <v>2026-10-24</v>
      </c>
      <c r="U12" s="63">
        <f>T12-S12</f>
        <v>46319</v>
      </c>
      <c r="V12" s="186" t="n"/>
      <c r="W12" s="61" t="str">
        <f>VLOOKUP(A12,'3.GateMove'!A:D,4,FALSE)</f>
        <v>2026-10-18</v>
      </c>
      <c r="X12" s="63">
        <f>((T12-W12)+1)</f>
        <v>7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46320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Sukunpoj Damrongying</v>
      </c>
      <c r="AL12" s="60" t="str">
        <f>VLOOKUP(D12,'2.Bookinglist'!A:CW,101,FALSE)</f>
        <v>2026-10-22</v>
      </c>
      <c r="AM12" s="60" t="str">
        <f>VLOOKUP(D12,'2.Bookinglist'!A:BK,63,FALSE)</f>
        <v>LCH55</v>
      </c>
      <c r="AN12" s="62" t="str">
        <f>VLOOKUP(D12,'2.Bookinglist'!A:AZ,52,FALSE)</f>
        <v>STUFFING AT ESCO LAT KRABANG (GATE 2) DD.16/10/2026**CLOSING TIME DD.19/10/2026 @ 17.00**
PAPERLESS CODE : 2835
</v>
      </c>
      <c r="AO12" s="62">
        <f>VLOOKUP(D12,'2.Bookinglist'!A:CY,103,FALSE)</f>
        <v>0</v>
      </c>
    </row>
    <row r="13" ht="12.95" customHeight="1">
      <c r="A13" s="96" t="inlineStr">
        <is>
          <t>HALU2446137</t>
        </is>
      </c>
      <c r="B13" s="184" t="str">
        <f>IF(C13=Charge!$M$1,Charge!$J$1,IF(C13=Charge!$M$23,Charge!$J$23,IF(C13=Charge!$M$17,Charge!$J$17,IF(C13=Charge!$N$17,Charge!$J$17,Charge!$J$7))))</f>
        <v>G1</v>
      </c>
      <c r="C13" s="61" t="str">
        <f>VLOOKUP(A13,'1.Loading'!A:R,14,FALSE)</f>
        <v>LCH04</v>
      </c>
      <c r="D13" s="61" t="str">
        <f>VLOOKUP(A13,'1.Loading'!A:R,17,FALSE)</f>
        <v>HASLS22260902114</v>
      </c>
      <c r="E13" s="62" t="str">
        <f>VLOOKUP(D13,'2.Bookinglist'!A:CT,27,FALSE)</f>
        <v>ACCORD PILOT LOGISTICS (THAILAND) CO., LTD.</v>
      </c>
      <c r="F13" s="62" t="str">
        <f>VLOOKUP(D13,'2.Bookinglist'!A:CT,28,FALSE)</f>
        <v>THAI PLASPAC PUBLIC CO.,LTD.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IDJKT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YSVY</v>
      </c>
      <c r="P13" s="61" t="str">
        <f>VLOOKUP(A13,'1.Loading'!A:R,4,FALSE)</f>
        <v>2608S</v>
      </c>
      <c r="Q13" s="61" t="str">
        <f>VLOOKUP(D13,'2.Bookinglist'!A:CT,12,FALSE)</f>
        <v>ANX</v>
      </c>
      <c r="R13" s="60" t="str">
        <f>IF(LEFT(K13,2)="22","20'","40'")</f>
        <v>20'</v>
      </c>
      <c r="S13" s="185" t="n"/>
      <c r="T13" s="61" t="str">
        <f>VLOOKUP(A13,'1.Loading'!A:R,2,FALSE)</f>
        <v>2026-10-24</v>
      </c>
      <c r="U13" s="63">
        <f>T13-S13</f>
        <v>46319</v>
      </c>
      <c r="V13" s="186" t="n"/>
      <c r="W13" s="61" t="str">
        <f>VLOOKUP(A13,'3.GateMove'!A:D,4,FALSE)</f>
        <v>2026-10-17</v>
      </c>
      <c r="X13" s="63">
        <f>((T13-W13)+1)</f>
        <v>8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1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125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46320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125</v>
      </c>
      <c r="AJ13" s="188" t="n"/>
      <c r="AK13" s="62" t="str">
        <f>VLOOKUP(D13,'2.Bookinglist'!A:CT,40,FALSE)</f>
        <v>Kanokporn</v>
      </c>
      <c r="AL13" s="60" t="str">
        <f>VLOOKUP(D13,'2.Bookinglist'!A:CW,101,FALSE)</f>
        <v>2026-10-17</v>
      </c>
      <c r="AM13" s="60" t="str">
        <f>VLOOKUP(D13,'2.Bookinglist'!A:BK,63,FALSE)</f>
        <v>BKK27</v>
      </c>
      <c r="AN13" s="62" t="str">
        <f>VLOOKUP(D13,'2.Bookinglist'!A:AZ,52,FALSE)</f>
        <v>Pickup : 2026-10-15, Return : 2026-10-17 (1ST RETURN DATE DD.17/10/26)
</v>
      </c>
      <c r="AO13" s="62">
        <f>VLOOKUP(D13,'2.Bookinglist'!A:CY,103,FALSE)</f>
        <v>0</v>
      </c>
    </row>
    <row r="14" ht="12.95" customHeight="1">
      <c r="A14" s="96" t="inlineStr">
        <is>
          <t>HALU2453856</t>
        </is>
      </c>
      <c r="B14" s="184" t="str">
        <f>IF(C14=Charge!$M$1,Charge!$J$1,IF(C14=Charge!$M$23,Charge!$J$23,IF(C14=Charge!$M$17,Charge!$J$17,IF(C14=Charge!$N$17,Charge!$J$17,Charge!$J$7))))</f>
        <v>G1</v>
      </c>
      <c r="C14" s="61" t="str">
        <f>VLOOKUP(A14,'1.Loading'!A:R,14,FALSE)</f>
        <v>LCH04</v>
      </c>
      <c r="D14" s="61" t="str">
        <f>VLOOKUP(A14,'1.Loading'!A:R,17,FALSE)</f>
        <v>HASLS22260801426</v>
      </c>
      <c r="E14" s="62" t="str">
        <f>VLOOKUP(D14,'2.Bookinglist'!A:CT,27,FALSE)</f>
        <v>SCGJWD LOGISTICS PUBLIC COMPANY LIMITED</v>
      </c>
      <c r="F14" s="62" t="str">
        <f>VLOOKUP(D14,'2.Bookinglist'!A:CT,28,FALSE)</f>
        <v>NORITAKE SCG PLASTER CO., LTD.</v>
      </c>
      <c r="G14" s="60" t="str">
        <f>VLOOKUP(D14,'2.Bookinglist'!A:E,5,FALSE)</f>
        <v>THLKR</v>
      </c>
      <c r="H14" s="61" t="str">
        <f>VLOOKUP(D14,'2.Bookinglist'!A:CT,15,FALSE)</f>
        <v>THLCH</v>
      </c>
      <c r="I14" s="61" t="str">
        <f>VLOOKUP(D14,'2.Bookinglist'!A:CT,19,FALSE)</f>
        <v>IDJKT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YSVY</v>
      </c>
      <c r="P14" s="61" t="str">
        <f>VLOOKUP(A14,'1.Loading'!A:R,4,FALSE)</f>
        <v>2608S</v>
      </c>
      <c r="Q14" s="61" t="str">
        <f>VLOOKUP(D14,'2.Bookinglist'!A:CT,12,FALSE)</f>
        <v>ANX</v>
      </c>
      <c r="R14" s="60" t="str">
        <f>IF(LEFT(K14,2)="22","20'","40'")</f>
        <v>20'</v>
      </c>
      <c r="S14" s="185" t="n"/>
      <c r="T14" s="61" t="str">
        <f>VLOOKUP(A14,'1.Loading'!A:R,2,FALSE)</f>
        <v>2026-10-24</v>
      </c>
      <c r="U14" s="63">
        <f>T14-S14</f>
        <v>46319</v>
      </c>
      <c r="V14" s="186" t="n"/>
      <c r="W14" s="61" t="str">
        <f>VLOOKUP(A14,'3.GateMove'!A:D,4,FALSE)</f>
        <v>2026-10-18</v>
      </c>
      <c r="X14" s="63">
        <f>((T14-W14)+1)</f>
        <v>7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0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46320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8" t="n"/>
      <c r="AK14" s="62" t="str">
        <f>VLOOKUP(D14,'2.Bookinglist'!A:CT,40,FALSE)</f>
        <v>Kanokporn</v>
      </c>
      <c r="AL14" s="60" t="str">
        <f>VLOOKUP(D14,'2.Bookinglist'!A:CW,101,FALSE)</f>
        <v>2026-10-19</v>
      </c>
      <c r="AM14" s="60" t="str">
        <f>VLOOKUP(D14,'2.Bookinglist'!A:BK,63,FALSE)</f>
        <v>BKK27</v>
      </c>
      <c r="AN14" s="62" t="str">
        <f>VLOOKUP(D14,'2.Bookinglist'!A:AZ,52,FALSE)</f>
        <v>CY-RTN : 15-16/10/2026 Paperless Code 2835
Closing Time LKB 17/10/2026 @ 23.59  // REF : ** PT Indoporcelain **</v>
      </c>
      <c r="AO14" s="62">
        <f>VLOOKUP(D14,'2.Bookinglist'!A:CY,103,FALSE)</f>
        <v>0</v>
      </c>
    </row>
    <row r="15" ht="12.95" customHeight="1">
      <c r="A15" s="96" t="inlineStr">
        <is>
          <t>HALU2519059</t>
        </is>
      </c>
      <c r="B15" s="184" t="str">
        <f>IF(C15=Charge!$M$1,Charge!$J$1,IF(C15=Charge!$M$23,Charge!$J$23,IF(C15=Charge!$M$17,Charge!$J$17,IF(C15=Charge!$N$17,Charge!$J$17,Charge!$J$7))))</f>
        <v>G1</v>
      </c>
      <c r="C15" s="61" t="str">
        <f>VLOOKUP(A15,'1.Loading'!A:R,14,FALSE)</f>
        <v>LCH04</v>
      </c>
      <c r="D15" s="61" t="str">
        <f>VLOOKUP(A15,'1.Loading'!A:R,17,FALSE)</f>
        <v>HASLS22261000364</v>
      </c>
      <c r="E15" s="62" t="str">
        <f>VLOOKUP(D15,'2.Bookinglist'!A:CT,27,FALSE)</f>
        <v>FLS 1993 (THAILAND) CO., LTD.</v>
      </c>
      <c r="F15" s="62" t="str">
        <f>VLOOKUP(D15,'2.Bookinglist'!A:CT,28,FALSE)</f>
        <v>BARBE (THAILAND) LTD. 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IDJKT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YSVY</v>
      </c>
      <c r="P15" s="61" t="str">
        <f>VLOOKUP(A15,'1.Loading'!A:R,4,FALSE)</f>
        <v>2608S</v>
      </c>
      <c r="Q15" s="61" t="str">
        <f>VLOOKUP(D15,'2.Bookinglist'!A:CT,12,FALSE)</f>
        <v>ANX</v>
      </c>
      <c r="R15" s="60" t="str">
        <f>IF(LEFT(K15,2)="22","20'","40'")</f>
        <v>20'</v>
      </c>
      <c r="S15" s="185" t="n"/>
      <c r="T15" s="61" t="str">
        <f>VLOOKUP(A15,'1.Loading'!A:R,2,FALSE)</f>
        <v>2026-10-24</v>
      </c>
      <c r="U15" s="63">
        <f>T15-S15</f>
        <v>46319</v>
      </c>
      <c r="V15" s="186" t="n"/>
      <c r="W15" s="61" t="str">
        <f>VLOOKUP(A15,'3.GateMove'!A:D,4,FALSE)</f>
        <v>2026-10-19</v>
      </c>
      <c r="X15" s="63">
        <f>((T15-W15)+1)</f>
        <v>6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46320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Arunphat W. (Aiw)</v>
      </c>
      <c r="AL15" s="60" t="str">
        <f>VLOOKUP(D15,'2.Bookinglist'!A:CW,101,FALSE)</f>
        <v>2026-10-22</v>
      </c>
      <c r="AM15" s="60" t="str">
        <f>VLOOKUP(D15,'2.Bookinglist'!A:BK,63,FALSE)</f>
        <v>LCH27</v>
      </c>
      <c r="AN15" s="62" t="str">
        <f>VLOOKUP(D15,'2.Bookinglist'!A:AZ,52,FALSE)</f>
        <v>Pickup : 2026-10-17, Return : 2026-10-19
 ** PLEASE CHECK OPEN GATE BEFORE RETURN CNTR **</v>
      </c>
      <c r="AO15" s="62">
        <f>VLOOKUP(D15,'2.Bookinglist'!A:CY,103,FALSE)</f>
        <v>0</v>
      </c>
    </row>
    <row r="16" ht="12.95" customHeight="1">
      <c r="A16" s="96" t="inlineStr">
        <is>
          <t>HALU2519090</t>
        </is>
      </c>
      <c r="B16" s="184" t="str">
        <f>IF(C16=Charge!$M$1,Charge!$J$1,IF(C16=Charge!$M$23,Charge!$J$23,IF(C16=Charge!$M$17,Charge!$J$17,IF(C16=Charge!$N$17,Charge!$J$17,Charge!$J$7))))</f>
        <v>G1</v>
      </c>
      <c r="C16" s="61" t="str">
        <f>VLOOKUP(A16,'1.Loading'!A:R,14,FALSE)</f>
        <v>LCH04</v>
      </c>
      <c r="D16" s="61" t="str">
        <f>VLOOKUP(A16,'1.Loading'!A:R,17,FALSE)</f>
        <v>HASLS22261001333</v>
      </c>
      <c r="E16" s="62" t="str">
        <f>VLOOKUP(D16,'2.Bookinglist'!A:CT,27,FALSE)</f>
        <v>YUSEN LOGISTICS (THAILAND) CO., LTD.</v>
      </c>
      <c r="F16" s="62" t="str">
        <f>VLOOKUP(D16,'2.Bookinglist'!A:CT,28,FALSE)</f>
        <v>ADVICS ASIA PACIFIC CO.,LTD.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IDJKT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YSVY</v>
      </c>
      <c r="P16" s="61" t="str">
        <f>VLOOKUP(A16,'1.Loading'!A:R,4,FALSE)</f>
        <v>2608S</v>
      </c>
      <c r="Q16" s="61" t="str">
        <f>VLOOKUP(D16,'2.Bookinglist'!A:CT,12,FALSE)</f>
        <v>ANX</v>
      </c>
      <c r="R16" s="60" t="str">
        <f>IF(LEFT(K16,2)="22","20'","40'")</f>
        <v>20'</v>
      </c>
      <c r="S16" s="185" t="n"/>
      <c r="T16" s="61" t="str">
        <f>VLOOKUP(A16,'1.Loading'!A:R,2,FALSE)</f>
        <v>2026-10-24</v>
      </c>
      <c r="U16" s="63">
        <f>T16-S16</f>
        <v>46319</v>
      </c>
      <c r="V16" s="186" t="n"/>
      <c r="W16" s="61" t="str">
        <f>VLOOKUP(A16,'3.GateMove'!A:D,4,FALSE)</f>
        <v>2026-10-20</v>
      </c>
      <c r="X16" s="63">
        <f>((T16-W16)+1)</f>
        <v>5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46320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Vilaiporn</v>
      </c>
      <c r="AL16" s="60" t="str">
        <f>VLOOKUP(D16,'2.Bookinglist'!A:CW,101,FALSE)</f>
        <v>2026-10-23</v>
      </c>
      <c r="AM16" s="60" t="str">
        <f>VLOOKUP(D16,'2.Bookinglist'!A:BK,63,FALSE)</f>
        <v>LCH27</v>
      </c>
      <c r="AN16" s="62" t="str">
        <f>VLOOKUP(D16,'2.Bookinglist'!A:AZ,52,FALSE)</f>
        <v>Pickup : 2026-10-19, Return : 2026-10-20</v>
      </c>
      <c r="AO16" s="62">
        <f>VLOOKUP(D16,'2.Bookinglist'!A:CY,103,FALSE)</f>
        <v>0</v>
      </c>
    </row>
    <row r="17" ht="12.95" customHeight="1">
      <c r="A17" s="96" t="inlineStr">
        <is>
          <t>HALU2531687</t>
        </is>
      </c>
      <c r="B17" s="184" t="str">
        <f>IF(C17=Charge!$M$1,Charge!$J$1,IF(C17=Charge!$M$23,Charge!$J$23,IF(C17=Charge!$M$17,Charge!$J$17,IF(C17=Charge!$N$17,Charge!$J$17,Charge!$J$7))))</f>
        <v>G1</v>
      </c>
      <c r="C17" s="61" t="str">
        <f>VLOOKUP(A17,'1.Loading'!A:R,14,FALSE)</f>
        <v>LCH04</v>
      </c>
      <c r="D17" s="61" t="str">
        <f>VLOOKUP(A17,'1.Loading'!A:R,17,FALSE)</f>
        <v>HASLS22261001023</v>
      </c>
      <c r="E17" s="62" t="str">
        <f>VLOOKUP(D17,'2.Bookinglist'!A:CT,27,FALSE)</f>
        <v>LEO GLOBAL LOGISTICS PUBLIC COMPANY LIMITED</v>
      </c>
      <c r="F17" s="62" t="str">
        <f>VLOOKUP(D17,'2.Bookinglist'!A:CT,28,FALSE)</f>
        <v>MODERN DYESTUFFS &amp; PIGMENTS CO., LTD.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IDJKT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YSVY</v>
      </c>
      <c r="P17" s="61" t="str">
        <f>VLOOKUP(A17,'1.Loading'!A:R,4,FALSE)</f>
        <v>2608S</v>
      </c>
      <c r="Q17" s="61" t="str">
        <f>VLOOKUP(D17,'2.Bookinglist'!A:CT,12,FALSE)</f>
        <v>ANX</v>
      </c>
      <c r="R17" s="60" t="str">
        <f>IF(LEFT(K17,2)="22","20'","40'")</f>
        <v>20'</v>
      </c>
      <c r="S17" s="185" t="n"/>
      <c r="T17" s="61" t="str">
        <f>VLOOKUP(A17,'1.Loading'!A:R,2,FALSE)</f>
        <v>2026-10-24</v>
      </c>
      <c r="U17" s="63">
        <f>T17-S17</f>
        <v>46319</v>
      </c>
      <c r="V17" s="186" t="n"/>
      <c r="W17" s="61" t="str">
        <f>VLOOKUP(A17,'3.GateMove'!A:D,4,FALSE)</f>
        <v>2026-10-21</v>
      </c>
      <c r="X17" s="63">
        <f>((T17-W17)+1)</f>
        <v>4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46320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Vilaiporn</v>
      </c>
      <c r="AL17" s="60" t="str">
        <f>VLOOKUP(D17,'2.Bookinglist'!A:CW,101,FALSE)</f>
        <v>2026-10-22</v>
      </c>
      <c r="AM17" s="60" t="str">
        <f>VLOOKUP(D17,'2.Bookinglist'!A:BK,63,FALSE)</f>
        <v>LCH27</v>
      </c>
      <c r="AN17" s="62" t="str">
        <f>VLOOKUP(D17,'2.Bookinglist'!A:AZ,52,FALSE)</f>
        <v>Pickup : 2026-10-21, Return : 2026-10-21
CLS TIME DD.21/10/2026 @ 23.59</v>
      </c>
      <c r="AO17" s="62">
        <f>VLOOKUP(D17,'2.Bookinglist'!A:CY,103,FALSE)</f>
        <v>0</v>
      </c>
    </row>
    <row r="18" ht="12.95" customHeight="1">
      <c r="A18" s="96" t="inlineStr">
        <is>
          <t>HALU2541598</t>
        </is>
      </c>
      <c r="B18" s="184" t="str">
        <f>IF(C18=Charge!$M$1,Charge!$J$1,IF(C18=Charge!$M$23,Charge!$J$23,IF(C18=Charge!$M$17,Charge!$J$17,IF(C18=Charge!$N$17,Charge!$J$17,Charge!$J$7))))</f>
        <v>G1</v>
      </c>
      <c r="C18" s="61" t="str">
        <f>VLOOKUP(A18,'1.Loading'!A:R,14,FALSE)</f>
        <v>LCH04</v>
      </c>
      <c r="D18" s="61" t="str">
        <f>VLOOKUP(A18,'1.Loading'!A:R,17,FALSE)</f>
        <v>HASLS22261000590</v>
      </c>
      <c r="E18" s="62" t="str">
        <f>VLOOKUP(D18,'2.Bookinglist'!A:CT,27,FALSE)</f>
        <v>MILKYWAY INTERNATIONAL SUPPLY CHAIN SERVICES (THAILAND) CO., LTD.</v>
      </c>
      <c r="F18" s="62" t="str">
        <f>VLOOKUP(D18,'2.Bookinglist'!A:CT,28,FALSE)</f>
        <v>THAI WAH PUBLIC COMPANY LIMITED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IDJKT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YSVY</v>
      </c>
      <c r="P18" s="61" t="str">
        <f>VLOOKUP(A18,'1.Loading'!A:R,4,FALSE)</f>
        <v>2608S</v>
      </c>
      <c r="Q18" s="61" t="str">
        <f>VLOOKUP(D18,'2.Bookinglist'!A:CT,12,FALSE)</f>
        <v>ANX</v>
      </c>
      <c r="R18" s="60" t="str">
        <f>IF(LEFT(K18,2)="22","20'","40'")</f>
        <v>20'</v>
      </c>
      <c r="S18" s="185" t="n"/>
      <c r="T18" s="61" t="str">
        <f>VLOOKUP(A18,'1.Loading'!A:R,2,FALSE)</f>
        <v>2026-10-24</v>
      </c>
      <c r="U18" s="63">
        <f>T18-S18</f>
        <v>46319</v>
      </c>
      <c r="V18" s="186" t="n"/>
      <c r="W18" s="61" t="str">
        <f>VLOOKUP(A18,'3.GateMove'!A:D,4,FALSE)</f>
        <v>2026-10-17</v>
      </c>
      <c r="X18" s="63">
        <f>((T18-W18)+1)</f>
        <v>8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1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125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46320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125</v>
      </c>
      <c r="AJ18" s="188" t="n"/>
      <c r="AK18" s="62" t="str">
        <f>VLOOKUP(D18,'2.Bookinglist'!A:CT,40,FALSE)</f>
        <v>Arunphat W. (Aiw)</v>
      </c>
      <c r="AL18" s="60" t="str">
        <f>VLOOKUP(D18,'2.Bookinglist'!A:CW,101,FALSE)</f>
        <v>2026-10-20</v>
      </c>
      <c r="AM18" s="60" t="str">
        <f>VLOOKUP(D18,'2.Bookinglist'!A:BK,63,FALSE)</f>
        <v>LCH27</v>
      </c>
      <c r="AN18" s="62" t="str">
        <f>VLOOKUP(D18,'2.Bookinglist'!A:AZ,52,FALSE)</f>
        <v>Pickup : 2026-10-12, Return : 2026-10-12 (1ST RTN 16/10 W/O RENT) 
 ** PLEASE CHECK OPEN GATE BEFORE RETURN CNTR **
</v>
      </c>
      <c r="AO18" s="62">
        <f>VLOOKUP(D18,'2.Bookinglist'!A:CY,103,FALSE)</f>
        <v>0</v>
      </c>
    </row>
    <row r="19" ht="12.95" customHeight="1">
      <c r="A19" s="96" t="inlineStr">
        <is>
          <t>HALU2552416</t>
        </is>
      </c>
      <c r="B19" s="184" t="str">
        <f>IF(C19=Charge!$M$1,Charge!$J$1,IF(C19=Charge!$M$23,Charge!$J$23,IF(C19=Charge!$M$17,Charge!$J$17,IF(C19=Charge!$N$17,Charge!$J$17,Charge!$J$7))))</f>
        <v>G1</v>
      </c>
      <c r="C19" s="61" t="str">
        <f>VLOOKUP(A19,'1.Loading'!A:R,14,FALSE)</f>
        <v>LCH04</v>
      </c>
      <c r="D19" s="61" t="str">
        <f>VLOOKUP(A19,'1.Loading'!A:R,17,FALSE)</f>
        <v>HASLS22261000625</v>
      </c>
      <c r="E19" s="62" t="str">
        <f>VLOOKUP(D19,'2.Bookinglist'!A:CT,27,FALSE)</f>
        <v>ORIENTAL LOGISTICS GROUP (THAILAND) CO., LTD.</v>
      </c>
      <c r="F19" s="62" t="str">
        <f>VLOOKUP(D19,'2.Bookinglist'!A:CT,28,FALSE)</f>
        <v>Y.R.C. TEXTILE CO., LTD.</v>
      </c>
      <c r="G19" s="60" t="str">
        <f>VLOOKUP(D19,'2.Bookinglist'!A:E,5,FALSE)</f>
        <v>THLKR</v>
      </c>
      <c r="H19" s="61" t="str">
        <f>VLOOKUP(D19,'2.Bookinglist'!A:CT,15,FALSE)</f>
        <v>THLCH</v>
      </c>
      <c r="I19" s="61" t="str">
        <f>VLOOKUP(D19,'2.Bookinglist'!A:CT,19,FALSE)</f>
        <v>IDJKT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YSVY</v>
      </c>
      <c r="P19" s="61" t="str">
        <f>VLOOKUP(A19,'1.Loading'!A:R,4,FALSE)</f>
        <v>2608S</v>
      </c>
      <c r="Q19" s="61" t="str">
        <f>VLOOKUP(D19,'2.Bookinglist'!A:CT,12,FALSE)</f>
        <v>ANX</v>
      </c>
      <c r="R19" s="60" t="str">
        <f>IF(LEFT(K19,2)="22","20'","40'")</f>
        <v>20'</v>
      </c>
      <c r="S19" s="185" t="n"/>
      <c r="T19" s="61" t="str">
        <f>VLOOKUP(A19,'1.Loading'!A:R,2,FALSE)</f>
        <v>2026-10-24</v>
      </c>
      <c r="U19" s="63">
        <f>T19-S19</f>
        <v>46319</v>
      </c>
      <c r="V19" s="186" t="n"/>
      <c r="W19" s="61" t="str">
        <f>VLOOKUP(A19,'3.GateMove'!A:D,4,FALSE)</f>
        <v>2026-10-18</v>
      </c>
      <c r="X19" s="63">
        <f>((T19-W19)+1)</f>
        <v>7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46320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Nannaapust Sukporntaweewat</v>
      </c>
      <c r="AL19" s="60" t="str">
        <f>VLOOKUP(D19,'2.Bookinglist'!A:CW,101,FALSE)</f>
        <v>2026-10-21</v>
      </c>
      <c r="AM19" s="60" t="str">
        <f>VLOOKUP(D19,'2.Bookinglist'!A:BK,63,FALSE)</f>
        <v>BKK27</v>
      </c>
      <c r="AN19" s="62" t="str">
        <f>VLOOKUP(D19,'2.Bookinglist'!A:AZ,52,FALSE)</f>
        <v>Pickup : 2026-10-15, Return : 2026-10-16 [PAPERLESS CODE : 2835] 
 CLS TIME @LKR : 19/10 @12.00 </v>
      </c>
      <c r="AO19" s="62">
        <f>VLOOKUP(D19,'2.Bookinglist'!A:CY,103,FALSE)</f>
        <v>0</v>
      </c>
    </row>
    <row r="20" ht="12.95" customHeight="1">
      <c r="A20" s="96" t="inlineStr">
        <is>
          <t>HALU5664235</t>
        </is>
      </c>
      <c r="B20" s="184" t="str">
        <f>IF(C20=Charge!$M$1,Charge!$J$1,IF(C20=Charge!$M$23,Charge!$J$23,IF(C20=Charge!$M$17,Charge!$J$17,IF(C20=Charge!$N$17,Charge!$J$17,Charge!$J$7))))</f>
        <v>G1</v>
      </c>
      <c r="C20" s="61" t="str">
        <f>VLOOKUP(A20,'1.Loading'!A:R,14,FALSE)</f>
        <v>LCH04</v>
      </c>
      <c r="D20" s="61" t="str">
        <f>VLOOKUP(A20,'1.Loading'!A:R,17,FALSE)</f>
        <v>HASLS22261000696</v>
      </c>
      <c r="E20" s="62" t="str">
        <f>VLOOKUP(D20,'2.Bookinglist'!A:CT,27,FALSE)</f>
        <v>YAMATO UNYU (THAILAND) CO., LTD.</v>
      </c>
      <c r="F20" s="62" t="str">
        <f>VLOOKUP(D20,'2.Bookinglist'!A:CT,28,FALSE)</f>
        <v>LOGTHAI-OROTEX CO,LTD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IDJKT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YSVY</v>
      </c>
      <c r="P20" s="61" t="str">
        <f>VLOOKUP(A20,'1.Loading'!A:R,4,FALSE)</f>
        <v>2608S</v>
      </c>
      <c r="Q20" s="61" t="str">
        <f>VLOOKUP(D20,'2.Bookinglist'!A:CT,12,FALSE)</f>
        <v>ANX</v>
      </c>
      <c r="R20" s="60" t="str">
        <f>IF(LEFT(K20,2)="22","20'","40'")</f>
        <v>40'</v>
      </c>
      <c r="S20" s="185" t="n"/>
      <c r="T20" s="61" t="str">
        <f>VLOOKUP(A20,'1.Loading'!A:R,2,FALSE)</f>
        <v>2026-10-24</v>
      </c>
      <c r="U20" s="63">
        <f>T20-S20</f>
        <v>46319</v>
      </c>
      <c r="V20" s="186" t="n"/>
      <c r="W20" s="61" t="str">
        <f>VLOOKUP(A20,'3.GateMove'!A:D,4,FALSE)</f>
        <v>2026-10-21</v>
      </c>
      <c r="X20" s="63">
        <f>((T20-W20)+1)</f>
        <v>4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46320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Nannaapust Sukporntaweewat</v>
      </c>
      <c r="AL20" s="60" t="str">
        <f>VLOOKUP(D20,'2.Bookinglist'!A:CW,101,FALSE)</f>
        <v>2026-10-23</v>
      </c>
      <c r="AM20" s="60" t="str">
        <f>VLOOKUP(D20,'2.Bookinglist'!A:BK,63,FALSE)</f>
        <v>LCHY5</v>
      </c>
      <c r="AN20" s="62" t="str">
        <f>VLOOKUP(D20,'2.Bookinglist'!A:AZ,52,FALSE)</f>
        <v>Pickup : 2026-10-20, Return : 2026-10-20</v>
      </c>
      <c r="AO20" s="62">
        <f>VLOOKUP(D20,'2.Bookinglist'!A:CY,103,FALSE)</f>
        <v>0</v>
      </c>
    </row>
    <row r="21" ht="12.95" customHeight="1">
      <c r="A21" s="96" t="inlineStr">
        <is>
          <t>HALU9000297</t>
        </is>
      </c>
      <c r="B21" s="184" t="str">
        <f>IF(C21=Charge!$M$1,Charge!$J$1,IF(C21=Charge!$M$23,Charge!$J$23,IF(C21=Charge!$M$17,Charge!$J$17,IF(C21=Charge!$N$17,Charge!$J$17,Charge!$J$7))))</f>
        <v>G1</v>
      </c>
      <c r="C21" s="61" t="str">
        <f>VLOOKUP(A21,'1.Loading'!A:R,14,FALSE)</f>
        <v>LCH04</v>
      </c>
      <c r="D21" s="61" t="str">
        <f>VLOOKUP(A21,'1.Loading'!A:R,17,FALSE)</f>
        <v>HASLS22261000067</v>
      </c>
      <c r="E21" s="62" t="str">
        <f>VLOOKUP(D21,'2.Bookinglist'!A:CT,27,FALSE)</f>
        <v>PROGRESS SHIPPING - TRANSPORT CO., LTD.</v>
      </c>
      <c r="F21" s="62" t="str">
        <f>VLOOKUP(D21,'2.Bookinglist'!A:CT,28,FALSE)</f>
        <v>FRUIT PARADISE INTERNATIONAL TRADE CO.,LTD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IDJKT</v>
      </c>
      <c r="J21" s="61">
        <f>VLOOKUP(D21,'2.Bookinglist'!A:CT,26,FALSE)</f>
        <v>0</v>
      </c>
      <c r="K21" s="61" t="str">
        <f>VLOOKUP(A21,'1.Loading'!A:R,5,FALSE)</f>
        <v>45RE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>RF</v>
      </c>
      <c r="O21" s="61" t="str">
        <f>VLOOKUP(A21,'1.Loading'!A:R,3,FALSE)</f>
        <v>YSVY</v>
      </c>
      <c r="P21" s="61" t="str">
        <f>VLOOKUP(A21,'1.Loading'!A:R,4,FALSE)</f>
        <v>2608S</v>
      </c>
      <c r="Q21" s="61" t="str">
        <f>VLOOKUP(D21,'2.Bookinglist'!A:CT,12,FALSE)</f>
        <v>ANX</v>
      </c>
      <c r="R21" s="60" t="str">
        <f>IF(LEFT(K21,2)="22","20'","40'")</f>
        <v>40'</v>
      </c>
      <c r="S21" s="185" t="n"/>
      <c r="T21" s="61" t="str">
        <f>VLOOKUP(A21,'1.Loading'!A:R,2,FALSE)</f>
        <v>2026-10-24</v>
      </c>
      <c r="U21" s="63">
        <f>T21-S21</f>
        <v>46319</v>
      </c>
      <c r="V21" s="186" t="n"/>
      <c r="W21" s="61" t="str">
        <f>VLOOKUP(A21,'3.GateMove'!A:D,4,FALSE)</f>
        <v>2026-10-21</v>
      </c>
      <c r="X21" s="63">
        <f>((T21-W21)+1)</f>
        <v>4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3</v>
      </c>
      <c r="AE21" s="63">
        <f>(T21-V21)+1</f>
        <v>46320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Pattarapong Saengthong</v>
      </c>
      <c r="AL21" s="60" t="str">
        <f>VLOOKUP(D21,'2.Bookinglist'!A:CW,101,FALSE)</f>
        <v>2026-10-19</v>
      </c>
      <c r="AM21" s="60" t="str">
        <f>VLOOKUP(D21,'2.Bookinglist'!A:BK,63,FALSE)</f>
        <v>LCH27</v>
      </c>
      <c r="AN21" s="62" t="str">
        <f>VLOOKUP(D21,'2.Bookinglist'!A:AZ,52,FALSE)</f>
        <v>Pickup : 2026-10-12, Return : 2026-10-15 (Temp +2.0 / Vent 15%)
Closing Time 2026-10-17 @ 23.59</v>
      </c>
      <c r="AO21" s="62">
        <f>VLOOKUP(D21,'2.Bookinglist'!A:CY,103,FALSE)</f>
        <v>0</v>
      </c>
    </row>
    <row r="22" ht="12.95" customHeight="1">
      <c r="A22" s="96" t="inlineStr">
        <is>
          <t>HLHU8103594</t>
        </is>
      </c>
      <c r="B22" s="184" t="str">
        <f>IF(C22=Charge!$M$1,Charge!$J$1,IF(C22=Charge!$M$23,Charge!$J$23,IF(C22=Charge!$M$17,Charge!$J$17,IF(C22=Charge!$N$17,Charge!$J$17,Charge!$J$7))))</f>
        <v>G1</v>
      </c>
      <c r="C22" s="61" t="str">
        <f>VLOOKUP(A22,'1.Loading'!A:R,14,FALSE)</f>
        <v>LCH04</v>
      </c>
      <c r="D22" s="61" t="str">
        <f>VLOOKUP(A22,'1.Loading'!A:R,17,FALSE)</f>
        <v>HASLS22261000610</v>
      </c>
      <c r="E22" s="62" t="str">
        <f>VLOOKUP(D22,'2.Bookinglist'!A:CT,27,FALSE)</f>
        <v>MAINFREIGHT LOGISTICS (THAILAND) CO., LTD.</v>
      </c>
      <c r="F22" s="62" t="str">
        <f>VLOOKUP(D22,'2.Bookinglist'!A:CT,28,FALSE)</f>
        <v>NALCO INDUSTRIAL SERVICES (THAILAND) CO., LTD.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IDJKT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>DG</v>
      </c>
      <c r="N22" s="60" t="str">
        <f>IF(RIGHT(K22,2)="RE","RF","")</f>
        <v/>
      </c>
      <c r="O22" s="61" t="str">
        <f>VLOOKUP(A22,'1.Loading'!A:R,3,FALSE)</f>
        <v>YSVY</v>
      </c>
      <c r="P22" s="61" t="str">
        <f>VLOOKUP(A22,'1.Loading'!A:R,4,FALSE)</f>
        <v>2608S</v>
      </c>
      <c r="Q22" s="61" t="str">
        <f>VLOOKUP(D22,'2.Bookinglist'!A:CT,12,FALSE)</f>
        <v>ANX</v>
      </c>
      <c r="R22" s="60" t="str">
        <f>IF(LEFT(K22,2)="22","20'","40'")</f>
        <v>40'</v>
      </c>
      <c r="S22" s="185" t="n"/>
      <c r="T22" s="61" t="str">
        <f>VLOOKUP(A22,'1.Loading'!A:R,2,FALSE)</f>
        <v>2026-10-24</v>
      </c>
      <c r="U22" s="63">
        <f>T22-S22</f>
        <v>46319</v>
      </c>
      <c r="V22" s="186" t="n"/>
      <c r="W22" s="61" t="str">
        <f>VLOOKUP(A22,'3.GateMove'!A:D,4,FALSE)</f>
        <v>2026-10-23</v>
      </c>
      <c r="X22" s="63">
        <f>((T22-W22)+1)</f>
        <v>2</v>
      </c>
      <c r="Y22" s="64">
        <f>IF(AND(OR(C22="BKK01",C22="BKK04"),L22="CFS/CY"),0,IF(M22="DG",1,IF(LEFT(C22,3)="LCH",7,IF(C22="BKK02",5,3))))</f>
        <v>1</v>
      </c>
      <c r="Z22" s="63">
        <f>IF(IF(AND(AC22="TML",AB22&gt;0),((T22-W22)+1)-AB22,((T22-W22)+1)-Y22)&gt;0,IF(AND(AC22="TML",AB22&gt;0),((T22-W22)+1)-AB22,((T22-W22)+1)-Y22),0)</f>
        <v>1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750</v>
      </c>
      <c r="AB22" s="184" t="n"/>
      <c r="AC22" s="184" t="n"/>
      <c r="AD22" s="60">
        <f>IF(M22="DG",3,IF(N22="RF",3,5))+IF(AND(LEFT(C22,3)="BKK",N22="RF",Q22="KTS"),1,0)+IF(Q22="KHS",1,0)</f>
        <v>3</v>
      </c>
      <c r="AE22" s="63">
        <f>(T22-V22)+1</f>
        <v>46320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750</v>
      </c>
      <c r="AJ22" s="188" t="n"/>
      <c r="AK22" s="62" t="str">
        <f>VLOOKUP(D22,'2.Bookinglist'!A:CT,40,FALSE)</f>
        <v>Sukunpoj Damrongying</v>
      </c>
      <c r="AL22" s="60" t="str">
        <f>VLOOKUP(D22,'2.Bookinglist'!A:CW,101,FALSE)</f>
        <v>2026-10-20</v>
      </c>
      <c r="AM22" s="60" t="str">
        <f>VLOOKUP(D22,'2.Bookinglist'!A:BK,63,FALSE)</f>
        <v>LCH27</v>
      </c>
      <c r="AN22" s="62" t="str">
        <f>VLOOKUP(D22,'2.Bookinglist'!A:AZ,52,FALSE)</f>
        <v>APPROVE BY KR Geonwook.kim DD : 08/10/2026  DG CARGO (CLS 8 / UN 3264) 
Pickup : 2026-10-15, Return : 2026-10-16</v>
      </c>
      <c r="AO22" s="62">
        <f>VLOOKUP(D22,'2.Bookinglist'!A:CY,103,FALSE)</f>
        <v>0</v>
      </c>
    </row>
    <row r="23" ht="12.95" customHeight="1">
      <c r="A23" s="96" t="inlineStr">
        <is>
          <t>HLHU8364221</t>
        </is>
      </c>
      <c r="B23" s="184" t="str">
        <f>IF(C23=Charge!$M$1,Charge!$J$1,IF(C23=Charge!$M$23,Charge!$J$23,IF(C23=Charge!$M$17,Charge!$J$17,IF(C23=Charge!$N$17,Charge!$J$17,Charge!$J$7))))</f>
        <v>G1</v>
      </c>
      <c r="C23" s="61" t="str">
        <f>VLOOKUP(A23,'1.Loading'!A:R,14,FALSE)</f>
        <v>LCH04</v>
      </c>
      <c r="D23" s="61" t="str">
        <f>VLOOKUP(A23,'1.Loading'!A:R,17,FALSE)</f>
        <v>HASLS22260902784</v>
      </c>
      <c r="E23" s="62" t="str">
        <f>VLOOKUP(D23,'2.Bookinglist'!A:CT,27,FALSE)</f>
        <v>YUSEN LOGISTICS (THAILAND) CO., LTD.</v>
      </c>
      <c r="F23" s="62" t="str">
        <f>VLOOKUP(D23,'2.Bookinglist'!A:CT,28,FALSE)</f>
        <v>ADVICS ASIA PACIFIC CO.,LTD.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IDJKT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YSVY</v>
      </c>
      <c r="P23" s="61" t="str">
        <f>VLOOKUP(A23,'1.Loading'!A:R,4,FALSE)</f>
        <v>2608S</v>
      </c>
      <c r="Q23" s="61" t="str">
        <f>VLOOKUP(D23,'2.Bookinglist'!A:CT,12,FALSE)</f>
        <v>ANX</v>
      </c>
      <c r="R23" s="60" t="str">
        <f>IF(LEFT(K23,2)="22","20'","40'")</f>
        <v>40'</v>
      </c>
      <c r="S23" s="185" t="n"/>
      <c r="T23" s="61" t="str">
        <f>VLOOKUP(A23,'1.Loading'!A:R,2,FALSE)</f>
        <v>2026-10-24</v>
      </c>
      <c r="U23" s="63">
        <f>T23-S23</f>
        <v>46319</v>
      </c>
      <c r="V23" s="186" t="n"/>
      <c r="W23" s="61" t="str">
        <f>VLOOKUP(A23,'3.GateMove'!A:D,4,FALSE)</f>
        <v>2026-10-21</v>
      </c>
      <c r="X23" s="63">
        <f>((T23-W23)+1)</f>
        <v>4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0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46320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0</v>
      </c>
      <c r="AJ23" s="188" t="n"/>
      <c r="AK23" s="62" t="str">
        <f>VLOOKUP(D23,'2.Bookinglist'!A:CT,40,FALSE)</f>
        <v>Vilaiporn</v>
      </c>
      <c r="AL23" s="60" t="str">
        <f>VLOOKUP(D23,'2.Bookinglist'!A:CW,101,FALSE)</f>
        <v>2026-10-22</v>
      </c>
      <c r="AM23" s="60" t="str">
        <f>VLOOKUP(D23,'2.Bookinglist'!A:BK,63,FALSE)</f>
        <v>LCH27</v>
      </c>
      <c r="AN23" s="62" t="str">
        <f>VLOOKUP(D23,'2.Bookinglist'!A:AZ,52,FALSE)</f>
        <v>Pickup : 2026-10-19, Return : 2026-10-20</v>
      </c>
      <c r="AO23" s="62">
        <f>VLOOKUP(D23,'2.Bookinglist'!A:CY,103,FALSE)</f>
        <v>0</v>
      </c>
    </row>
    <row r="24" ht="12.95" customHeight="1">
      <c r="A24" s="96" t="inlineStr">
        <is>
          <t>HLHU8422164</t>
        </is>
      </c>
      <c r="B24" s="184" t="str">
        <f>IF(C24=Charge!$M$1,Charge!$J$1,IF(C24=Charge!$M$23,Charge!$J$23,IF(C24=Charge!$M$17,Charge!$J$17,IF(C24=Charge!$N$17,Charge!$J$17,Charge!$J$7))))</f>
        <v>G1</v>
      </c>
      <c r="C24" s="61" t="str">
        <f>VLOOKUP(A24,'1.Loading'!A:R,14,FALSE)</f>
        <v>LCH04</v>
      </c>
      <c r="D24" s="61" t="str">
        <f>VLOOKUP(A24,'1.Loading'!A:R,17,FALSE)</f>
        <v>HASLS22260901805</v>
      </c>
      <c r="E24" s="62" t="str">
        <f>VLOOKUP(D24,'2.Bookinglist'!A:CT,27,FALSE)</f>
        <v>CMS LOGISTICS GROUP (THAILAND) CO., LTD.</v>
      </c>
      <c r="F24" s="62" t="str">
        <f>VLOOKUP(D24,'2.Bookinglist'!A:CT,28,FALSE)</f>
        <v>CAM PLAS (THAILAND) CO.,LTD.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IDJKT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YSVY</v>
      </c>
      <c r="P24" s="61" t="str">
        <f>VLOOKUP(A24,'1.Loading'!A:R,4,FALSE)</f>
        <v>2608S</v>
      </c>
      <c r="Q24" s="61" t="str">
        <f>VLOOKUP(D24,'2.Bookinglist'!A:CT,12,FALSE)</f>
        <v>ANX</v>
      </c>
      <c r="R24" s="60" t="str">
        <f>IF(LEFT(K24,2)="22","20'","40'")</f>
        <v>40'</v>
      </c>
      <c r="S24" s="185" t="n"/>
      <c r="T24" s="61" t="str">
        <f>VLOOKUP(A24,'1.Loading'!A:R,2,FALSE)</f>
        <v>2026-10-24</v>
      </c>
      <c r="U24" s="63">
        <f>T24-S24</f>
        <v>46319</v>
      </c>
      <c r="V24" s="186" t="n"/>
      <c r="W24" s="61" t="str">
        <f>VLOOKUP(A24,'3.GateMove'!A:D,4,FALSE)</f>
        <v>2026-10-19</v>
      </c>
      <c r="X24" s="63">
        <f>((T24-W24)+1)</f>
        <v>6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0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46320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0</v>
      </c>
      <c r="AJ24" s="188" t="n"/>
      <c r="AK24" s="62" t="str">
        <f>VLOOKUP(D24,'2.Bookinglist'!A:CT,40,FALSE)</f>
        <v>Nannaapust Sukporntaweewat</v>
      </c>
      <c r="AL24" s="60" t="str">
        <f>VLOOKUP(D24,'2.Bookinglist'!A:CW,101,FALSE)</f>
        <v>2026-10-17</v>
      </c>
      <c r="AM24" s="60" t="str">
        <f>VLOOKUP(D24,'2.Bookinglist'!A:BK,63,FALSE)</f>
        <v>LCH27</v>
      </c>
      <c r="AN24" s="62" t="str">
        <f>VLOOKUP(D24,'2.Bookinglist'!A:AZ,52,FALSE)</f>
        <v>Pickup : 2026-10-14, Return : 2026-10-14</v>
      </c>
      <c r="AO24" s="62">
        <f>VLOOKUP(D24,'2.Bookinglist'!A:CY,103,FALSE)</f>
        <v>0</v>
      </c>
    </row>
    <row r="25" ht="12.95" customHeight="1">
      <c r="A25" s="96" t="inlineStr">
        <is>
          <t>HLHU8479405</t>
        </is>
      </c>
      <c r="B25" s="184" t="str">
        <f>IF(C25=Charge!$M$1,Charge!$J$1,IF(C25=Charge!$M$23,Charge!$J$23,IF(C25=Charge!$M$17,Charge!$J$17,IF(C25=Charge!$N$17,Charge!$J$17,Charge!$J$7))))</f>
        <v>G1</v>
      </c>
      <c r="C25" s="61" t="str">
        <f>VLOOKUP(A25,'1.Loading'!A:R,14,FALSE)</f>
        <v>LCH04</v>
      </c>
      <c r="D25" s="61" t="str">
        <f>VLOOKUP(A25,'1.Loading'!A:R,17,FALSE)</f>
        <v>HASLS22260902114</v>
      </c>
      <c r="E25" s="62" t="str">
        <f>VLOOKUP(D25,'2.Bookinglist'!A:CT,27,FALSE)</f>
        <v>ACCORD PILOT LOGISTICS (THAILAND) CO., LTD.</v>
      </c>
      <c r="F25" s="62" t="str">
        <f>VLOOKUP(D25,'2.Bookinglist'!A:CT,28,FALSE)</f>
        <v>THAI PLASPAC PUBLIC CO.,LTD.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IDJKT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YSVY</v>
      </c>
      <c r="P25" s="61" t="str">
        <f>VLOOKUP(A25,'1.Loading'!A:R,4,FALSE)</f>
        <v>2608S</v>
      </c>
      <c r="Q25" s="61" t="str">
        <f>VLOOKUP(D25,'2.Bookinglist'!A:CT,12,FALSE)</f>
        <v>ANX</v>
      </c>
      <c r="R25" s="60" t="str">
        <f>IF(LEFT(K25,2)="22","20'","40'")</f>
        <v>40'</v>
      </c>
      <c r="S25" s="185" t="n"/>
      <c r="T25" s="61" t="str">
        <f>VLOOKUP(A25,'1.Loading'!A:R,2,FALSE)</f>
        <v>2026-10-24</v>
      </c>
      <c r="U25" s="63">
        <f>T25-S25</f>
        <v>46319</v>
      </c>
      <c r="V25" s="186" t="n"/>
      <c r="W25" s="61" t="str">
        <f>VLOOKUP(A25,'3.GateMove'!A:D,4,FALSE)</f>
        <v>2026-10-18</v>
      </c>
      <c r="X25" s="63">
        <f>((T25-W25)+1)</f>
        <v>7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46320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Kanokporn</v>
      </c>
      <c r="AL25" s="60" t="str">
        <f>VLOOKUP(D25,'2.Bookinglist'!A:CW,101,FALSE)</f>
        <v>2026-10-17</v>
      </c>
      <c r="AM25" s="60" t="str">
        <f>VLOOKUP(D25,'2.Bookinglist'!A:BK,63,FALSE)</f>
        <v>BKK27</v>
      </c>
      <c r="AN25" s="62" t="str">
        <f>VLOOKUP(D25,'2.Bookinglist'!A:AZ,52,FALSE)</f>
        <v>Pickup : 2026-10-15, Return : 2026-10-17 (1ST RETURN DATE DD.17/10/26)
</v>
      </c>
      <c r="AO25" s="62">
        <f>VLOOKUP(D25,'2.Bookinglist'!A:CY,103,FALSE)</f>
        <v>0</v>
      </c>
    </row>
    <row r="26" ht="12.95" customHeight="1">
      <c r="A26" s="96" t="inlineStr">
        <is>
          <t>HLHU8569730</t>
        </is>
      </c>
      <c r="B26" s="184" t="str">
        <f>IF(C26=Charge!$M$1,Charge!$J$1,IF(C26=Charge!$M$23,Charge!$J$23,IF(C26=Charge!$M$17,Charge!$J$17,IF(C26=Charge!$N$17,Charge!$J$17,Charge!$J$7))))</f>
        <v>G1</v>
      </c>
      <c r="C26" s="61" t="str">
        <f>VLOOKUP(A26,'1.Loading'!A:R,14,FALSE)</f>
        <v>LCH04</v>
      </c>
      <c r="D26" s="61" t="str">
        <f>VLOOKUP(A26,'1.Loading'!A:R,17,FALSE)</f>
        <v>HASLS22260900972</v>
      </c>
      <c r="E26" s="62" t="str">
        <f>VLOOKUP(D26,'2.Bookinglist'!A:CT,27,FALSE)</f>
        <v>L.A.1 CO.,LTD.</v>
      </c>
      <c r="F26" s="62" t="str">
        <f>VLOOKUP(D26,'2.Bookinglist'!A:CT,28,FALSE)</f>
        <v>TANATEX CHEMICALS (THAILAND) CO., LTD.</v>
      </c>
      <c r="G26" s="60">
        <f>VLOOKUP(D26,'2.Bookinglist'!A:E,5,FALSE)</f>
        <v>0</v>
      </c>
      <c r="H26" s="61" t="str">
        <f>VLOOKUP(D26,'2.Bookinglist'!A:CT,15,FALSE)</f>
        <v>THLCH</v>
      </c>
      <c r="I26" s="61" t="str">
        <f>VLOOKUP(D26,'2.Bookinglist'!A:CT,19,FALSE)</f>
        <v>IDJKT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YSVY</v>
      </c>
      <c r="P26" s="61" t="str">
        <f>VLOOKUP(A26,'1.Loading'!A:R,4,FALSE)</f>
        <v>2608S</v>
      </c>
      <c r="Q26" s="61" t="str">
        <f>VLOOKUP(D26,'2.Bookinglist'!A:CT,12,FALSE)</f>
        <v>ANX</v>
      </c>
      <c r="R26" s="60" t="str">
        <f>IF(LEFT(K26,2)="22","20'","40'")</f>
        <v>40'</v>
      </c>
      <c r="S26" s="185" t="n"/>
      <c r="T26" s="61" t="str">
        <f>VLOOKUP(A26,'1.Loading'!A:R,2,FALSE)</f>
        <v>2026-10-24</v>
      </c>
      <c r="U26" s="63">
        <f>T26-S26</f>
        <v>46319</v>
      </c>
      <c r="V26" s="186" t="n"/>
      <c r="W26" s="61" t="str">
        <f>VLOOKUP(A26,'3.GateMove'!A:D,4,FALSE)</f>
        <v>2026-10-19</v>
      </c>
      <c r="X26" s="63">
        <f>((T26-W26)+1)</f>
        <v>6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0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46320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0</v>
      </c>
      <c r="AJ26" s="188" t="n"/>
      <c r="AK26" s="62" t="str">
        <f>VLOOKUP(D26,'2.Bookinglist'!A:CT,40,FALSE)</f>
        <v>Sukunpoj Damrongying</v>
      </c>
      <c r="AL26" s="60" t="str">
        <f>VLOOKUP(D26,'2.Bookinglist'!A:CW,101,FALSE)</f>
        <v>2026-10-22</v>
      </c>
      <c r="AM26" s="60" t="str">
        <f>VLOOKUP(D26,'2.Bookinglist'!A:BK,63,FALSE)</f>
        <v>LCHY5</v>
      </c>
      <c r="AN26" s="62" t="str">
        <f>VLOOKUP(D26,'2.Bookinglist'!A:AZ,52,FALSE)</f>
        <v>Pickup : 2026-10-17, Return : 2026-10-19 (EXTEND CLOSING 20/10/26 @18.00)</v>
      </c>
      <c r="AO26" s="62">
        <f>VLOOKUP(D26,'2.Bookinglist'!A:CY,103,FALSE)</f>
        <v>0</v>
      </c>
    </row>
    <row r="27" ht="12.95" customHeight="1">
      <c r="A27" s="96" t="inlineStr">
        <is>
          <t>SKHU6382814</t>
        </is>
      </c>
      <c r="B27" s="184" t="str">
        <f>IF(C27=Charge!$M$1,Charge!$J$1,IF(C27=Charge!$M$23,Charge!$J$23,IF(C27=Charge!$M$17,Charge!$J$17,IF(C27=Charge!$N$17,Charge!$J$17,Charge!$J$7))))</f>
        <v>G1</v>
      </c>
      <c r="C27" s="61" t="str">
        <f>VLOOKUP(A27,'1.Loading'!A:R,14,FALSE)</f>
        <v>LCH04</v>
      </c>
      <c r="D27" s="61" t="str">
        <f>VLOOKUP(A27,'1.Loading'!A:R,17,FALSE)</f>
        <v>HASLS22260901128</v>
      </c>
      <c r="E27" s="62" t="str">
        <f>VLOOKUP(D27,'2.Bookinglist'!A:CT,27,FALSE)</f>
        <v>ACCORD PILOT LOGISTICS (THAILAND) CO., LTD.</v>
      </c>
      <c r="F27" s="62" t="str">
        <f>VLOOKUP(D27,'2.Bookinglist'!A:CT,28,FALSE)</f>
        <v>THAI PLASPAC PUBLIC CO.,LTD.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IDJKT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YSVY</v>
      </c>
      <c r="P27" s="61" t="str">
        <f>VLOOKUP(A27,'1.Loading'!A:R,4,FALSE)</f>
        <v>2608S</v>
      </c>
      <c r="Q27" s="61" t="str">
        <f>VLOOKUP(D27,'2.Bookinglist'!A:CT,12,FALSE)</f>
        <v>ANX</v>
      </c>
      <c r="R27" s="60" t="str">
        <f>IF(LEFT(K27,2)="22","20'","40'")</f>
        <v>40'</v>
      </c>
      <c r="S27" s="185" t="n"/>
      <c r="T27" s="61" t="str">
        <f>VLOOKUP(A27,'1.Loading'!A:R,2,FALSE)</f>
        <v>2026-10-24</v>
      </c>
      <c r="U27" s="63">
        <f>T27-S27</f>
        <v>46319</v>
      </c>
      <c r="V27" s="186" t="n"/>
      <c r="W27" s="61" t="str">
        <f>VLOOKUP(A27,'3.GateMove'!A:D,4,FALSE)</f>
        <v>2026-10-17</v>
      </c>
      <c r="X27" s="63">
        <f>((T27-W27)+1)</f>
        <v>8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1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250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46320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250</v>
      </c>
      <c r="AJ27" s="188" t="n"/>
      <c r="AK27" s="62" t="str">
        <f>VLOOKUP(D27,'2.Bookinglist'!A:CT,40,FALSE)</f>
        <v>Kanokporn</v>
      </c>
      <c r="AL27" s="60" t="str">
        <f>VLOOKUP(D27,'2.Bookinglist'!A:CW,101,FALSE)</f>
        <v>2026-10-18</v>
      </c>
      <c r="AM27" s="60" t="str">
        <f>VLOOKUP(D27,'2.Bookinglist'!A:BK,63,FALSE)</f>
        <v>BKK27</v>
      </c>
      <c r="AN27" s="62" t="str">
        <f>VLOOKUP(D27,'2.Bookinglist'!A:AZ,52,FALSE)</f>
        <v>Pickup : 2026-10-15, Return : 2026-10-17 (1ST RETURN DATE 17/10/26)
</v>
      </c>
      <c r="AO27" s="62">
        <f>VLOOKUP(D27,'2.Bookinglist'!A:CY,103,FALSE)</f>
        <v>0</v>
      </c>
    </row>
    <row r="28" ht="12.95" customHeight="1">
      <c r="A28" s="96" t="inlineStr">
        <is>
          <t>SKHU9611344</t>
        </is>
      </c>
      <c r="B28" s="184" t="str">
        <f>IF(C28=Charge!$M$1,Charge!$J$1,IF(C28=Charge!$M$23,Charge!$J$23,IF(C28=Charge!$M$17,Charge!$J$17,IF(C28=Charge!$N$17,Charge!$J$17,Charge!$J$7))))</f>
        <v>G1</v>
      </c>
      <c r="C28" s="61" t="str">
        <f>VLOOKUP(A28,'1.Loading'!A:R,14,FALSE)</f>
        <v>LCH04</v>
      </c>
      <c r="D28" s="61" t="str">
        <f>VLOOKUP(A28,'1.Loading'!A:R,17,FALSE)</f>
        <v>HASLS22260900413</v>
      </c>
      <c r="E28" s="62" t="str">
        <f>VLOOKUP(D28,'2.Bookinglist'!A:CT,27,FALSE)</f>
        <v>ILOGS GLOBAL CO.,LTD.</v>
      </c>
      <c r="F28" s="62" t="str">
        <f>VLOOKUP(D28,'2.Bookinglist'!A:CT,28,FALSE)</f>
        <v>MAJESTY HOLDINGS (ASIA) CO.,LTD.</v>
      </c>
      <c r="G28" s="60">
        <f>VLOOKUP(D28,'2.Bookinglist'!A:E,5,FALSE)</f>
        <v>0</v>
      </c>
      <c r="H28" s="61" t="str">
        <f>VLOOKUP(D28,'2.Bookinglist'!A:CT,15,FALSE)</f>
        <v>THLCH</v>
      </c>
      <c r="I28" s="61" t="str">
        <f>VLOOKUP(D28,'2.Bookinglist'!A:CT,19,FALSE)</f>
        <v>IDJKT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YSVY</v>
      </c>
      <c r="P28" s="61" t="str">
        <f>VLOOKUP(A28,'1.Loading'!A:R,4,FALSE)</f>
        <v>2608S</v>
      </c>
      <c r="Q28" s="61" t="str">
        <f>VLOOKUP(D28,'2.Bookinglist'!A:CT,12,FALSE)</f>
        <v>ANX</v>
      </c>
      <c r="R28" s="60" t="str">
        <f>IF(LEFT(K28,2)="22","20'","40'")</f>
        <v>40'</v>
      </c>
      <c r="S28" s="185" t="n"/>
      <c r="T28" s="61" t="str">
        <f>VLOOKUP(A28,'1.Loading'!A:R,2,FALSE)</f>
        <v>2026-10-24</v>
      </c>
      <c r="U28" s="63">
        <f>T28-S28</f>
        <v>46319</v>
      </c>
      <c r="V28" s="186" t="n"/>
      <c r="W28" s="61" t="str">
        <f>VLOOKUP(A28,'3.GateMove'!A:D,4,FALSE)</f>
        <v>2026-10-19</v>
      </c>
      <c r="X28" s="63">
        <f>((T28-W28)+1)</f>
        <v>6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0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46320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0</v>
      </c>
      <c r="AJ28" s="188" t="n"/>
      <c r="AK28" s="62" t="str">
        <f>VLOOKUP(D28,'2.Bookinglist'!A:CT,40,FALSE)</f>
        <v>Arunphat W. (Aiw)</v>
      </c>
      <c r="AL28" s="60" t="str">
        <f>VLOOKUP(D28,'2.Bookinglist'!A:CW,101,FALSE)</f>
        <v>2026-10-23</v>
      </c>
      <c r="AM28" s="60" t="str">
        <f>VLOOKUP(D28,'2.Bookinglist'!A:BK,63,FALSE)</f>
        <v>LCH27</v>
      </c>
      <c r="AN28" s="62" t="str">
        <f>VLOOKUP(D28,'2.Bookinglist'!A:AZ,52,FALSE)</f>
        <v>Pickup : 2026-10-19, Return : 2026-10-19</v>
      </c>
      <c r="AO28" s="62">
        <f>VLOOKUP(D28,'2.Bookinglist'!A:CY,103,FALSE)</f>
        <v>0</v>
      </c>
    </row>
    <row r="29" ht="12.95" customHeight="1">
      <c r="A29" s="96" t="inlineStr">
        <is>
          <t>SKLU0405124</t>
        </is>
      </c>
      <c r="B29" s="184" t="str">
        <f>IF(C29=Charge!$M$1,Charge!$J$1,IF(C29=Charge!$M$23,Charge!$J$23,IF(C29=Charge!$M$17,Charge!$J$17,IF(C29=Charge!$N$17,Charge!$J$17,Charge!$J$7))))</f>
        <v>G1</v>
      </c>
      <c r="C29" s="61" t="str">
        <f>VLOOKUP(A29,'1.Loading'!A:R,14,FALSE)</f>
        <v>LCH04</v>
      </c>
      <c r="D29" s="61" t="str">
        <f>VLOOKUP(A29,'1.Loading'!A:R,17,FALSE)</f>
        <v>HASLS22261000633</v>
      </c>
      <c r="E29" s="62" t="str">
        <f>VLOOKUP(D29,'2.Bookinglist'!A:CT,27,FALSE)</f>
        <v>LESCHACO (THAILAND) LTD.</v>
      </c>
      <c r="F29" s="62" t="str">
        <f>VLOOKUP(D29,'2.Bookinglist'!A:CT,28,FALSE)</f>
        <v>WINOA (THAILAND) LTD.</v>
      </c>
      <c r="G29" s="60" t="str">
        <f>VLOOKUP(D29,'2.Bookinglist'!A:E,5,FALSE)</f>
        <v>THLKR</v>
      </c>
      <c r="H29" s="61" t="str">
        <f>VLOOKUP(D29,'2.Bookinglist'!A:CT,15,FALSE)</f>
        <v>THLCH</v>
      </c>
      <c r="I29" s="61" t="str">
        <f>VLOOKUP(D29,'2.Bookinglist'!A:CT,19,FALSE)</f>
        <v>IDJKT</v>
      </c>
      <c r="J29" s="61">
        <f>VLOOKUP(D29,'2.Bookinglist'!A:CT,26,FALSE)</f>
        <v>0</v>
      </c>
      <c r="K29" s="61" t="str">
        <f>VLOOKUP(A29,'1.Loading'!A:R,5,FALSE)</f>
        <v>22GP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YSVY</v>
      </c>
      <c r="P29" s="61" t="str">
        <f>VLOOKUP(A29,'1.Loading'!A:R,4,FALSE)</f>
        <v>2608S</v>
      </c>
      <c r="Q29" s="61" t="str">
        <f>VLOOKUP(D29,'2.Bookinglist'!A:CT,12,FALSE)</f>
        <v>ANX</v>
      </c>
      <c r="R29" s="60" t="str">
        <f>IF(LEFT(K29,2)="22","20'","40'")</f>
        <v>20'</v>
      </c>
      <c r="S29" s="185" t="n"/>
      <c r="T29" s="61" t="str">
        <f>VLOOKUP(A29,'1.Loading'!A:R,2,FALSE)</f>
        <v>2026-10-24</v>
      </c>
      <c r="U29" s="63">
        <f>T29-S29</f>
        <v>46319</v>
      </c>
      <c r="V29" s="186" t="n"/>
      <c r="W29" s="61" t="str">
        <f>VLOOKUP(A29,'3.GateMove'!A:D,4,FALSE)</f>
        <v>2026-10-18</v>
      </c>
      <c r="X29" s="63">
        <f>((T29-W29)+1)</f>
        <v>7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46320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Sukunpoj Damrongying</v>
      </c>
      <c r="AL29" s="60" t="str">
        <f>VLOOKUP(D29,'2.Bookinglist'!A:CW,101,FALSE)</f>
        <v>2026-10-22</v>
      </c>
      <c r="AM29" s="60" t="str">
        <f>VLOOKUP(D29,'2.Bookinglist'!A:BK,63,FALSE)</f>
        <v>BKK27</v>
      </c>
      <c r="AN29" s="62" t="str">
        <f>VLOOKUP(D29,'2.Bookinglist'!A:AZ,52,FALSE)</f>
        <v>Pickup : 2026-10-15, Return : 2026-10-16 Paperless Code 2835
Closing Time LKB 2026-10-19 @ 12.00</v>
      </c>
      <c r="AO29" s="62">
        <f>VLOOKUP(D29,'2.Bookinglist'!A:CY,103,FALSE)</f>
        <v>0</v>
      </c>
    </row>
    <row r="30" ht="12.95" customHeight="1">
      <c r="A30" s="96" t="inlineStr">
        <is>
          <t>SKLU0714524</t>
        </is>
      </c>
      <c r="B30" s="184" t="str">
        <f>IF(C30=Charge!$M$1,Charge!$J$1,IF(C30=Charge!$M$23,Charge!$J$23,IF(C30=Charge!$M$17,Charge!$J$17,IF(C30=Charge!$N$17,Charge!$J$17,Charge!$J$7))))</f>
        <v>G1</v>
      </c>
      <c r="C30" s="61" t="str">
        <f>VLOOKUP(A30,'1.Loading'!A:R,14,FALSE)</f>
        <v>LCH04</v>
      </c>
      <c r="D30" s="61" t="str">
        <f>VLOOKUP(A30,'1.Loading'!A:R,17,FALSE)</f>
        <v>HASLS22261000633</v>
      </c>
      <c r="E30" s="62" t="str">
        <f>VLOOKUP(D30,'2.Bookinglist'!A:CT,27,FALSE)</f>
        <v>LESCHACO (THAILAND) LTD.</v>
      </c>
      <c r="F30" s="62" t="str">
        <f>VLOOKUP(D30,'2.Bookinglist'!A:CT,28,FALSE)</f>
        <v>WINOA (THAILAND) LTD.</v>
      </c>
      <c r="G30" s="60" t="str">
        <f>VLOOKUP(D30,'2.Bookinglist'!A:E,5,FALSE)</f>
        <v>THLKR</v>
      </c>
      <c r="H30" s="61" t="str">
        <f>VLOOKUP(D30,'2.Bookinglist'!A:CT,15,FALSE)</f>
        <v>THLCH</v>
      </c>
      <c r="I30" s="61" t="str">
        <f>VLOOKUP(D30,'2.Bookinglist'!A:CT,19,FALSE)</f>
        <v>IDJKT</v>
      </c>
      <c r="J30" s="61">
        <f>VLOOKUP(D30,'2.Bookinglist'!A:CT,26,FALSE)</f>
        <v>0</v>
      </c>
      <c r="K30" s="61" t="str">
        <f>VLOOKUP(A30,'1.Loading'!A:R,5,FALSE)</f>
        <v>22GP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YSVY</v>
      </c>
      <c r="P30" s="61" t="str">
        <f>VLOOKUP(A30,'1.Loading'!A:R,4,FALSE)</f>
        <v>2608S</v>
      </c>
      <c r="Q30" s="61" t="str">
        <f>VLOOKUP(D30,'2.Bookinglist'!A:CT,12,FALSE)</f>
        <v>ANX</v>
      </c>
      <c r="R30" s="60" t="str">
        <f>IF(LEFT(K30,2)="22","20'","40'")</f>
        <v>20'</v>
      </c>
      <c r="S30" s="185" t="n"/>
      <c r="T30" s="61" t="str">
        <f>VLOOKUP(A30,'1.Loading'!A:R,2,FALSE)</f>
        <v>2026-10-24</v>
      </c>
      <c r="U30" s="63">
        <f>T30-S30</f>
        <v>46319</v>
      </c>
      <c r="V30" s="186" t="n"/>
      <c r="W30" s="61" t="str">
        <f>VLOOKUP(A30,'3.GateMove'!A:D,4,FALSE)</f>
        <v>2026-10-18</v>
      </c>
      <c r="X30" s="63">
        <f>((T30-W30)+1)</f>
        <v>7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46320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Sukunpoj Damrongying</v>
      </c>
      <c r="AL30" s="60" t="str">
        <f>VLOOKUP(D30,'2.Bookinglist'!A:CW,101,FALSE)</f>
        <v>2026-10-22</v>
      </c>
      <c r="AM30" s="60" t="str">
        <f>VLOOKUP(D30,'2.Bookinglist'!A:BK,63,FALSE)</f>
        <v>BKK27</v>
      </c>
      <c r="AN30" s="62" t="str">
        <f>VLOOKUP(D30,'2.Bookinglist'!A:AZ,52,FALSE)</f>
        <v>Pickup : 2026-10-15, Return : 2026-10-16 Paperless Code 2835
Closing Time LKB 2026-10-19 @ 12.00</v>
      </c>
      <c r="AO30" s="62">
        <f>VLOOKUP(D30,'2.Bookinglist'!A:CY,103,FALSE)</f>
        <v>0</v>
      </c>
    </row>
    <row r="31" ht="12.95" customHeight="1">
      <c r="A31" s="96" t="inlineStr">
        <is>
          <t>SKLU0726886</t>
        </is>
      </c>
      <c r="B31" s="184" t="str">
        <f>IF(C31=Charge!$M$1,Charge!$J$1,IF(C31=Charge!$M$23,Charge!$J$23,IF(C31=Charge!$M$17,Charge!$J$17,IF(C31=Charge!$N$17,Charge!$J$17,Charge!$J$7))))</f>
        <v>G1</v>
      </c>
      <c r="C31" s="61" t="str">
        <f>VLOOKUP(A31,'1.Loading'!A:R,14,FALSE)</f>
        <v>LCH04</v>
      </c>
      <c r="D31" s="61" t="str">
        <f>VLOOKUP(A31,'1.Loading'!A:R,17,FALSE)</f>
        <v>HASLS22260900299</v>
      </c>
      <c r="E31" s="62" t="str">
        <f>VLOOKUP(D31,'2.Bookinglist'!A:CT,27,FALSE)</f>
        <v>SCGJWD LOGISTICS PUBLIC COMPANY LIMITED</v>
      </c>
      <c r="F31" s="62" t="str">
        <f>VLOOKUP(D31,'2.Bookinglist'!A:CT,28,FALSE)</f>
        <v>NORITAKE SCG PLASTER CO., LTD.</v>
      </c>
      <c r="G31" s="60" t="str">
        <f>VLOOKUP(D31,'2.Bookinglist'!A:E,5,FALSE)</f>
        <v>THLKR</v>
      </c>
      <c r="H31" s="61" t="str">
        <f>VLOOKUP(D31,'2.Bookinglist'!A:CT,15,FALSE)</f>
        <v>THLCH</v>
      </c>
      <c r="I31" s="61" t="str">
        <f>VLOOKUP(D31,'2.Bookinglist'!A:CT,19,FALSE)</f>
        <v>IDJKT</v>
      </c>
      <c r="J31" s="61">
        <f>VLOOKUP(D31,'2.Bookinglist'!A:CT,26,FALSE)</f>
        <v>0</v>
      </c>
      <c r="K31" s="61" t="str">
        <f>VLOOKUP(A31,'1.Loading'!A:R,5,FALSE)</f>
        <v>22GP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YSVY</v>
      </c>
      <c r="P31" s="61" t="str">
        <f>VLOOKUP(A31,'1.Loading'!A:R,4,FALSE)</f>
        <v>2608S</v>
      </c>
      <c r="Q31" s="61" t="str">
        <f>VLOOKUP(D31,'2.Bookinglist'!A:CT,12,FALSE)</f>
        <v>ANX</v>
      </c>
      <c r="R31" s="60" t="str">
        <f>IF(LEFT(K31,2)="22","20'","40'")</f>
        <v>20'</v>
      </c>
      <c r="S31" s="185" t="n"/>
      <c r="T31" s="61" t="str">
        <f>VLOOKUP(A31,'1.Loading'!A:R,2,FALSE)</f>
        <v>2026-10-24</v>
      </c>
      <c r="U31" s="63">
        <f>T31-S31</f>
        <v>46319</v>
      </c>
      <c r="V31" s="186" t="n"/>
      <c r="W31" s="61" t="str">
        <f>VLOOKUP(A31,'3.GateMove'!A:D,4,FALSE)</f>
        <v>2026-10-20</v>
      </c>
      <c r="X31" s="63">
        <f>((T31-W31)+1)</f>
        <v>5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46320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Kanokporn</v>
      </c>
      <c r="AL31" s="60" t="str">
        <f>VLOOKUP(D31,'2.Bookinglist'!A:CW,101,FALSE)</f>
        <v>2026-10-23</v>
      </c>
      <c r="AM31" s="60" t="str">
        <f>VLOOKUP(D31,'2.Bookinglist'!A:BK,63,FALSE)</f>
        <v>BKK27</v>
      </c>
      <c r="AN31" s="62" t="str">
        <f>VLOOKUP(D31,'2.Bookinglist'!A:AZ,52,FALSE)</f>
        <v>CY-RTN : 14-15/10/2026  Paperless Code 2835
Closing Time LKB 2026-10-17 @ 23.59 ** PT Indoporcelain **</v>
      </c>
      <c r="AO31" s="62">
        <f>VLOOKUP(D31,'2.Bookinglist'!A:CY,103,FALSE)</f>
        <v>0</v>
      </c>
    </row>
    <row r="32" ht="12.95" customHeight="1">
      <c r="A32" s="96" t="inlineStr">
        <is>
          <t>SKLU1102483</t>
        </is>
      </c>
      <c r="B32" s="184" t="str">
        <f>IF(C32=Charge!$M$1,Charge!$J$1,IF(C32=Charge!$M$23,Charge!$J$23,IF(C32=Charge!$M$17,Charge!$J$17,IF(C32=Charge!$N$17,Charge!$J$17,Charge!$J$7))))</f>
        <v>G1</v>
      </c>
      <c r="C32" s="61" t="str">
        <f>VLOOKUP(A32,'1.Loading'!A:R,14,FALSE)</f>
        <v>LCH04</v>
      </c>
      <c r="D32" s="61" t="str">
        <f>VLOOKUP(A32,'1.Loading'!A:R,17,FALSE)</f>
        <v>HASLS22260902789</v>
      </c>
      <c r="E32" s="62" t="str">
        <f>VLOOKUP(D32,'2.Bookinglist'!A:CT,27,FALSE)</f>
        <v>L.A.1 CO.,LTD.</v>
      </c>
      <c r="F32" s="62" t="str">
        <f>VLOOKUP(D32,'2.Bookinglist'!A:CT,28,FALSE)</f>
        <v>TANATEX CHEMICALS (THAILAND) CO., LTD.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IDJKT</v>
      </c>
      <c r="J32" s="61">
        <f>VLOOKUP(D32,'2.Bookinglist'!A:CT,26,FALSE)</f>
        <v>0</v>
      </c>
      <c r="K32" s="61" t="str">
        <f>VLOOKUP(A32,'1.Loading'!A:R,5,FALSE)</f>
        <v>22GP</v>
      </c>
      <c r="L32" s="60" t="str">
        <f>VLOOKUP(D32,'2.Bookinglist'!A:CT,85,FALSE)</f>
        <v>CY/CY</v>
      </c>
      <c r="M32" s="60" t="str">
        <f>IF(VLOOKUP(D32,'2.Bookinglist'!A:CT,43,FALSE)=0,"","DG")</f>
        <v>DG</v>
      </c>
      <c r="N32" s="60" t="str">
        <f>IF(RIGHT(K32,2)="RE","RF","")</f>
        <v/>
      </c>
      <c r="O32" s="61" t="str">
        <f>VLOOKUP(A32,'1.Loading'!A:R,3,FALSE)</f>
        <v>YSVY</v>
      </c>
      <c r="P32" s="61" t="str">
        <f>VLOOKUP(A32,'1.Loading'!A:R,4,FALSE)</f>
        <v>2608S</v>
      </c>
      <c r="Q32" s="61" t="str">
        <f>VLOOKUP(D32,'2.Bookinglist'!A:CT,12,FALSE)</f>
        <v>ANX</v>
      </c>
      <c r="R32" s="60" t="str">
        <f>IF(LEFT(K32,2)="22","20'","40'")</f>
        <v>20'</v>
      </c>
      <c r="S32" s="185" t="n"/>
      <c r="T32" s="61" t="str">
        <f>VLOOKUP(A32,'1.Loading'!A:R,2,FALSE)</f>
        <v>2026-10-24</v>
      </c>
      <c r="U32" s="63">
        <f>T32-S32</f>
        <v>46319</v>
      </c>
      <c r="V32" s="186" t="n"/>
      <c r="W32" s="61" t="str">
        <f>VLOOKUP(A32,'3.GateMove'!A:D,4,FALSE)</f>
        <v>2026-10-23</v>
      </c>
      <c r="X32" s="63">
        <f>((T32-W32)+1)</f>
        <v>2</v>
      </c>
      <c r="Y32" s="64">
        <f>IF(AND(OR(C32="BKK01",C32="BKK04"),L32="CFS/CY"),0,IF(M32="DG",1,IF(LEFT(C32,3)="LCH",7,IF(C32="BKK02",5,3))))</f>
        <v>1</v>
      </c>
      <c r="Z32" s="63">
        <f>IF(IF(AND(AC32="TML",AB32&gt;0),((T32-W32)+1)-AB32,((T32-W32)+1)-Y32)&gt;0,IF(AND(AC32="TML",AB32&gt;0),((T32-W32)+1)-AB32,((T32-W32)+1)-Y32),0)</f>
        <v>1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375</v>
      </c>
      <c r="AB32" s="184" t="n"/>
      <c r="AC32" s="184" t="n"/>
      <c r="AD32" s="60">
        <f>IF(M32="DG",3,IF(N32="RF",3,5))+IF(AND(LEFT(C32,3)="BKK",N32="RF",Q32="KTS"),1,0)+IF(Q32="KHS",1,0)</f>
        <v>3</v>
      </c>
      <c r="AE32" s="63">
        <f>(T32-V32)+1</f>
        <v>46320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375</v>
      </c>
      <c r="AJ32" s="188" t="n"/>
      <c r="AK32" s="62" t="str">
        <f>VLOOKUP(D32,'2.Bookinglist'!A:CT,40,FALSE)</f>
        <v>Sukunpoj Damrongying</v>
      </c>
      <c r="AL32" s="60" t="str">
        <f>VLOOKUP(D32,'2.Bookinglist'!A:CW,101,FALSE)</f>
        <v>2026-10-22</v>
      </c>
      <c r="AM32" s="60" t="str">
        <f>VLOOKUP(D32,'2.Bookinglist'!A:BK,63,FALSE)</f>
        <v>LCH27</v>
      </c>
      <c r="AN32" s="62" t="str">
        <f>VLOOKUP(D32,'2.Bookinglist'!A:AZ,52,FALSE)</f>
        <v>APPROVAL BY MR.KIM GEONWOOK DD.13/10/2026 
Pickup : 2026-10-19, Return : 2026-10-20 DG22GPx1 (CLS 9 / UN 3082) </v>
      </c>
      <c r="AO32" s="62">
        <f>VLOOKUP(D32,'2.Bookinglist'!A:CY,103,FALSE)</f>
        <v>0</v>
      </c>
    </row>
    <row r="33" ht="12.95" customHeight="1">
      <c r="A33" s="96" t="inlineStr">
        <is>
          <t>SKLU1310620</t>
        </is>
      </c>
      <c r="B33" s="184" t="str">
        <f>IF(C33=Charge!$M$1,Charge!$J$1,IF(C33=Charge!$M$23,Charge!$J$23,IF(C33=Charge!$M$17,Charge!$J$17,IF(C33=Charge!$N$17,Charge!$J$17,Charge!$J$7))))</f>
        <v>G1</v>
      </c>
      <c r="C33" s="61" t="str">
        <f>VLOOKUP(A33,'1.Loading'!A:R,14,FALSE)</f>
        <v>LCH04</v>
      </c>
      <c r="D33" s="61" t="str">
        <f>VLOOKUP(A33,'1.Loading'!A:R,17,FALSE)</f>
        <v>HASLS22261000155</v>
      </c>
      <c r="E33" s="62" t="str">
        <f>VLOOKUP(D33,'2.Bookinglist'!A:CT,27,FALSE)</f>
        <v>FLS 1993 (THAILAND) CO., LTD.</v>
      </c>
      <c r="F33" s="62" t="str">
        <f>VLOOKUP(D33,'2.Bookinglist'!A:CT,28,FALSE)</f>
        <v>UNIQUE POLYMER CO.,LTD.</v>
      </c>
      <c r="G33" s="60" t="str">
        <f>VLOOKUP(D33,'2.Bookinglist'!A:E,5,FALSE)</f>
        <v>THLKR</v>
      </c>
      <c r="H33" s="61" t="str">
        <f>VLOOKUP(D33,'2.Bookinglist'!A:CT,15,FALSE)</f>
        <v>THLCH</v>
      </c>
      <c r="I33" s="61" t="str">
        <f>VLOOKUP(D33,'2.Bookinglist'!A:CT,19,FALSE)</f>
        <v>IDJKT</v>
      </c>
      <c r="J33" s="61">
        <f>VLOOKUP(D33,'2.Bookinglist'!A:CT,26,FALSE)</f>
        <v>0</v>
      </c>
      <c r="K33" s="61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YSVY</v>
      </c>
      <c r="P33" s="61" t="str">
        <f>VLOOKUP(A33,'1.Loading'!A:R,4,FALSE)</f>
        <v>2608S</v>
      </c>
      <c r="Q33" s="61" t="str">
        <f>VLOOKUP(D33,'2.Bookinglist'!A:CT,12,FALSE)</f>
        <v>ANX</v>
      </c>
      <c r="R33" s="60" t="str">
        <f>IF(LEFT(K33,2)="22","20'","40'")</f>
        <v>20'</v>
      </c>
      <c r="S33" s="185" t="n"/>
      <c r="T33" s="61" t="str">
        <f>VLOOKUP(A33,'1.Loading'!A:R,2,FALSE)</f>
        <v>2026-10-24</v>
      </c>
      <c r="U33" s="63">
        <f>T33-S33</f>
        <v>46319</v>
      </c>
      <c r="V33" s="186" t="n"/>
      <c r="W33" s="61" t="str">
        <f>VLOOKUP(A33,'3.GateMove'!A:D,4,FALSE)</f>
        <v>2026-10-18</v>
      </c>
      <c r="X33" s="63">
        <f>((T33-W33)+1)</f>
        <v>7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0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46320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0</v>
      </c>
      <c r="AJ33" s="188" t="n"/>
      <c r="AK33" s="62" t="str">
        <f>VLOOKUP(D33,'2.Bookinglist'!A:CT,40,FALSE)</f>
        <v>Arunphat W. (Aiw)</v>
      </c>
      <c r="AL33" s="60" t="str">
        <f>VLOOKUP(D33,'2.Bookinglist'!A:CW,101,FALSE)</f>
        <v>2026-10-18</v>
      </c>
      <c r="AM33" s="60" t="str">
        <f>VLOOKUP(D33,'2.Bookinglist'!A:BK,63,FALSE)</f>
        <v>BKK27</v>
      </c>
      <c r="AN33" s="62" t="str">
        <f>VLOOKUP(D33,'2.Bookinglist'!A:AZ,52,FALSE)</f>
        <v>Pickup : 2026-10-14, Return LKR : 2026-10-16 (CLOSING DATE AT LKR DD.19/10/26 @12.00)
PAPERLESS: 2835
 </v>
      </c>
      <c r="AO33" s="62">
        <f>VLOOKUP(D33,'2.Bookinglist'!A:CY,103,FALSE)</f>
        <v>0</v>
      </c>
    </row>
    <row r="34" ht="12.95" customHeight="1">
      <c r="A34" s="96" t="inlineStr">
        <is>
          <t>SKLU1420252</t>
        </is>
      </c>
      <c r="B34" s="184" t="str">
        <f>IF(C34=Charge!$M$1,Charge!$J$1,IF(C34=Charge!$M$23,Charge!$J$23,IF(C34=Charge!$M$17,Charge!$J$17,IF(C34=Charge!$N$17,Charge!$J$17,Charge!$J$7))))</f>
        <v>G1</v>
      </c>
      <c r="C34" s="61" t="str">
        <f>VLOOKUP(A34,'1.Loading'!A:R,14,FALSE)</f>
        <v>LCH04</v>
      </c>
      <c r="D34" s="61" t="str">
        <f>VLOOKUP(A34,'1.Loading'!A:R,17,FALSE)</f>
        <v>HASLS22260900516</v>
      </c>
      <c r="E34" s="62" t="str">
        <f>VLOOKUP(D34,'2.Bookinglist'!A:CT,27,FALSE)</f>
        <v>ACE LOGISTICS (THAILAND) CO., LTD.</v>
      </c>
      <c r="F34" s="62" t="str">
        <f>VLOOKUP(D34,'2.Bookinglist'!A:CT,28,FALSE)</f>
        <v>HYMOLD (THAILAND) LIMITED</v>
      </c>
      <c r="G34" s="60" t="str">
        <f>VLOOKUP(D34,'2.Bookinglist'!A:E,5,FALSE)</f>
        <v>THLKR</v>
      </c>
      <c r="H34" s="61" t="str">
        <f>VLOOKUP(D34,'2.Bookinglist'!A:CT,15,FALSE)</f>
        <v>THLCH</v>
      </c>
      <c r="I34" s="61" t="str">
        <f>VLOOKUP(D34,'2.Bookinglist'!A:CT,19,FALSE)</f>
        <v>IDJKT</v>
      </c>
      <c r="J34" s="61">
        <f>VLOOKUP(D34,'2.Bookinglist'!A:CT,26,FALSE)</f>
        <v>0</v>
      </c>
      <c r="K34" s="61" t="str">
        <f>VLOOKUP(A34,'1.Loading'!A:R,5,FALSE)</f>
        <v>22GP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YSVY</v>
      </c>
      <c r="P34" s="61" t="str">
        <f>VLOOKUP(A34,'1.Loading'!A:R,4,FALSE)</f>
        <v>2608S</v>
      </c>
      <c r="Q34" s="61" t="str">
        <f>VLOOKUP(D34,'2.Bookinglist'!A:CT,12,FALSE)</f>
        <v>ANX</v>
      </c>
      <c r="R34" s="60" t="str">
        <f>IF(LEFT(K34,2)="22","20'","40'")</f>
        <v>20'</v>
      </c>
      <c r="S34" s="185" t="n"/>
      <c r="T34" s="61" t="str">
        <f>VLOOKUP(A34,'1.Loading'!A:R,2,FALSE)</f>
        <v>2026-10-24</v>
      </c>
      <c r="U34" s="63">
        <f>T34-S34</f>
        <v>46319</v>
      </c>
      <c r="V34" s="186" t="n"/>
      <c r="W34" s="61" t="str">
        <f>VLOOKUP(A34,'3.GateMove'!A:D,4,FALSE)</f>
        <v>2026-10-18</v>
      </c>
      <c r="X34" s="63">
        <f>((T34-W34)+1)</f>
        <v>7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0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46320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0</v>
      </c>
      <c r="AJ34" s="188" t="n"/>
      <c r="AK34" s="62" t="str">
        <f>VLOOKUP(D34,'2.Bookinglist'!A:CT,40,FALSE)</f>
        <v>Sukunpoj Damrongying</v>
      </c>
      <c r="AL34" s="60" t="str">
        <f>VLOOKUP(D34,'2.Bookinglist'!A:CW,101,FALSE)</f>
        <v>2026-10-18</v>
      </c>
      <c r="AM34" s="60" t="str">
        <f>VLOOKUP(D34,'2.Bookinglist'!A:BK,63,FALSE)</f>
        <v>BKK27</v>
      </c>
      <c r="AN34" s="62" t="str">
        <f>VLOOKUP(D34,'2.Bookinglist'!A:AZ,52,FALSE)</f>
        <v>Pickup : 2026-10-14, Return : 2026-10-15 Paperless Code 2835
Closing Time LKB  2026-10-19 @ NOON.</v>
      </c>
      <c r="AO34" s="62">
        <f>VLOOKUP(D34,'2.Bookinglist'!A:CY,103,FALSE)</f>
        <v>0</v>
      </c>
    </row>
    <row r="35" ht="12.95" customHeight="1">
      <c r="A35" s="96" t="inlineStr">
        <is>
          <t>SKLU1510361</t>
        </is>
      </c>
      <c r="B35" s="184" t="str">
        <f>IF(C35=Charge!$M$1,Charge!$J$1,IF(C35=Charge!$M$23,Charge!$J$23,IF(C35=Charge!$M$17,Charge!$J$17,IF(C35=Charge!$N$17,Charge!$J$17,Charge!$J$7))))</f>
        <v>G1</v>
      </c>
      <c r="C35" s="61" t="str">
        <f>VLOOKUP(A35,'1.Loading'!A:R,14,FALSE)</f>
        <v>LCH04</v>
      </c>
      <c r="D35" s="61" t="str">
        <f>VLOOKUP(A35,'1.Loading'!A:R,17,FALSE)</f>
        <v>HASLS22261000251</v>
      </c>
      <c r="E35" s="62" t="str">
        <f>VLOOKUP(D35,'2.Bookinglist'!A:CT,27,FALSE)</f>
        <v>PENANSHIN SHIPPING (THAILAND) LTD.</v>
      </c>
      <c r="F35" s="62" t="str">
        <f>VLOOKUP(D35,'2.Bookinglist'!A:CT,28,FALSE)</f>
        <v>PENANSHIN SHIPPING (THAILAND) LTD.</v>
      </c>
      <c r="G35" s="60">
        <f>VLOOKUP(D35,'2.Bookinglist'!A:E,5,FALSE)</f>
        <v>0</v>
      </c>
      <c r="H35" s="61" t="str">
        <f>VLOOKUP(D35,'2.Bookinglist'!A:CT,15,FALSE)</f>
        <v>THLCH</v>
      </c>
      <c r="I35" s="61" t="str">
        <f>VLOOKUP(D35,'2.Bookinglist'!A:CT,19,FALSE)</f>
        <v>IDJKT</v>
      </c>
      <c r="J35" s="61">
        <f>VLOOKUP(D35,'2.Bookinglist'!A:CT,26,FALSE)</f>
        <v>0</v>
      </c>
      <c r="K35" s="61" t="str">
        <f>VLOOKUP(A35,'1.Loading'!A:R,5,FALSE)</f>
        <v>22GP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YSVY</v>
      </c>
      <c r="P35" s="61" t="str">
        <f>VLOOKUP(A35,'1.Loading'!A:R,4,FALSE)</f>
        <v>2608S</v>
      </c>
      <c r="Q35" s="61" t="str">
        <f>VLOOKUP(D35,'2.Bookinglist'!A:CT,12,FALSE)</f>
        <v>ANX</v>
      </c>
      <c r="R35" s="60" t="str">
        <f>IF(LEFT(K35,2)="22","20'","40'")</f>
        <v>20'</v>
      </c>
      <c r="S35" s="185" t="n"/>
      <c r="T35" s="61" t="str">
        <f>VLOOKUP(A35,'1.Loading'!A:R,2,FALSE)</f>
        <v>2026-10-24</v>
      </c>
      <c r="U35" s="63">
        <f>T35-S35</f>
        <v>46319</v>
      </c>
      <c r="V35" s="186" t="n"/>
      <c r="W35" s="61" t="str">
        <f>VLOOKUP(A35,'3.GateMove'!A:D,4,FALSE)</f>
        <v>2026-10-19</v>
      </c>
      <c r="X35" s="63">
        <f>((T35-W35)+1)</f>
        <v>6</v>
      </c>
      <c r="Y35" s="64">
        <f>IF(AND(OR(C35="BKK01",C35="BKK04"),L35="CFS/CY"),0,IF(M35="DG",1,IF(LEFT(C35,3)="LCH",7,IF(C35="BKK02",5,3))))</f>
        <v>7</v>
      </c>
      <c r="Z35" s="63">
        <f>IF(IF(AND(AC35="TML",AB35&gt;0),((T35-W35)+1)-AB35,((T35-W35)+1)-Y35)&gt;0,IF(AND(AC35="TML",AB35&gt;0),((T35-W35)+1)-AB35,((T35-W35)+1)-Y35),0)</f>
        <v>0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46320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0</v>
      </c>
      <c r="AJ35" s="188" t="n"/>
      <c r="AK35" s="62" t="str">
        <f>VLOOKUP(D35,'2.Bookinglist'!A:CT,40,FALSE)</f>
        <v>Kanokporn</v>
      </c>
      <c r="AL35" s="60" t="str">
        <f>VLOOKUP(D35,'2.Bookinglist'!A:CW,101,FALSE)</f>
        <v>2026-10-18</v>
      </c>
      <c r="AM35" s="60" t="str">
        <f>VLOOKUP(D35,'2.Bookinglist'!A:BK,63,FALSE)</f>
        <v>BKK27</v>
      </c>
      <c r="AN35" s="62" t="str">
        <f>VLOOKUP(D35,'2.Bookinglist'!A:AZ,52,FALSE)</f>
        <v>CY-RTN : 19-19/10/2026</v>
      </c>
      <c r="AO35" s="62">
        <f>VLOOKUP(D35,'2.Bookinglist'!A:CY,103,FALSE)</f>
        <v>0</v>
      </c>
    </row>
    <row r="36" ht="12.95" customHeight="1">
      <c r="A36" s="96" t="inlineStr">
        <is>
          <t>SKLU1536582</t>
        </is>
      </c>
      <c r="B36" s="184" t="str">
        <f>IF(C36=Charge!$M$1,Charge!$J$1,IF(C36=Charge!$M$23,Charge!$J$23,IF(C36=Charge!$M$17,Charge!$J$17,IF(C36=Charge!$N$17,Charge!$J$17,Charge!$J$7))))</f>
        <v>G1</v>
      </c>
      <c r="C36" s="61" t="str">
        <f>VLOOKUP(A36,'1.Loading'!A:R,14,FALSE)</f>
        <v>LCH04</v>
      </c>
      <c r="D36" s="61" t="str">
        <f>VLOOKUP(A36,'1.Loading'!A:R,17,FALSE)</f>
        <v>HASLS22261000470</v>
      </c>
      <c r="E36" s="62" t="str">
        <f>VLOOKUP(D36,'2.Bookinglist'!A:CT,27,FALSE)</f>
        <v>ICONS GLOBAL LOGISTICS CO., LTD.</v>
      </c>
      <c r="F36" s="62" t="str">
        <f>VLOOKUP(D36,'2.Bookinglist'!A:CT,28,FALSE)</f>
        <v>TOTALENERGIES MARKETING (THAILAND)CO., LTD.</v>
      </c>
      <c r="G36" s="60">
        <f>VLOOKUP(D36,'2.Bookinglist'!A:E,5,FALSE)</f>
        <v>0</v>
      </c>
      <c r="H36" s="61" t="str">
        <f>VLOOKUP(D36,'2.Bookinglist'!A:CT,15,FALSE)</f>
        <v>THLCH</v>
      </c>
      <c r="I36" s="61" t="str">
        <f>VLOOKUP(D36,'2.Bookinglist'!A:CT,19,FALSE)</f>
        <v>IDJKT</v>
      </c>
      <c r="J36" s="61">
        <f>VLOOKUP(D36,'2.Bookinglist'!A:CT,26,FALSE)</f>
        <v>0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YSVY</v>
      </c>
      <c r="P36" s="61" t="str">
        <f>VLOOKUP(A36,'1.Loading'!A:R,4,FALSE)</f>
        <v>2608S</v>
      </c>
      <c r="Q36" s="61" t="str">
        <f>VLOOKUP(D36,'2.Bookinglist'!A:CT,12,FALSE)</f>
        <v>ANX</v>
      </c>
      <c r="R36" s="60" t="str">
        <f>IF(LEFT(K36,2)="22","20'","40'")</f>
        <v>20'</v>
      </c>
      <c r="S36" s="185" t="n"/>
      <c r="T36" s="61" t="str">
        <f>VLOOKUP(A36,'1.Loading'!A:R,2,FALSE)</f>
        <v>2026-10-24</v>
      </c>
      <c r="U36" s="63">
        <f>T36-S36</f>
        <v>46319</v>
      </c>
      <c r="V36" s="186" t="n"/>
      <c r="W36" s="61" t="str">
        <f>VLOOKUP(A36,'3.GateMove'!A:D,4,FALSE)</f>
        <v>2026-10-17</v>
      </c>
      <c r="X36" s="63">
        <f>((T36-W36)+1)</f>
        <v>8</v>
      </c>
      <c r="Y36" s="64">
        <f>IF(AND(OR(C36="BKK01",C36="BKK04"),L36="CFS/CY"),0,IF(M36="DG",1,IF(LEFT(C36,3)="LCH",7,IF(C36="BKK02",5,3))))</f>
        <v>7</v>
      </c>
      <c r="Z36" s="63">
        <f>IF(IF(AND(AC36="TML",AB36&gt;0),((T36-W36)+1)-AB36,((T36-W36)+1)-Y36)&gt;0,IF(AND(AC36="TML",AB36&gt;0),((T36-W36)+1)-AB36,((T36-W36)+1)-Y36),0)</f>
        <v>1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125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46320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125</v>
      </c>
      <c r="AJ36" s="188" t="n"/>
      <c r="AK36" s="62" t="str">
        <f>VLOOKUP(D36,'2.Bookinglist'!A:CT,40,FALSE)</f>
        <v>Dharaporn</v>
      </c>
      <c r="AL36" s="60" t="str">
        <f>VLOOKUP(D36,'2.Bookinglist'!A:CW,101,FALSE)</f>
        <v>2026-10-20</v>
      </c>
      <c r="AM36" s="60" t="str">
        <f>VLOOKUP(D36,'2.Bookinglist'!A:BK,63,FALSE)</f>
        <v>LCH27</v>
      </c>
      <c r="AN36" s="62" t="str">
        <f>VLOOKUP(D36,'2.Bookinglist'!A:AZ,52,FALSE)</f>
        <v>Pickup : 2026-10-15, Return : 2026-10-16</v>
      </c>
      <c r="AO36" s="62">
        <f>VLOOKUP(D36,'2.Bookinglist'!A:CY,103,FALSE)</f>
        <v>0</v>
      </c>
    </row>
    <row r="37" ht="12.95" customHeight="1">
      <c r="A37" s="96" t="inlineStr">
        <is>
          <t>SKLU1569879</t>
        </is>
      </c>
      <c r="B37" s="184" t="str">
        <f>IF(C37=Charge!$M$1,Charge!$J$1,IF(C37=Charge!$M$23,Charge!$J$23,IF(C37=Charge!$M$17,Charge!$J$17,IF(C37=Charge!$N$17,Charge!$J$17,Charge!$J$7))))</f>
        <v>G1</v>
      </c>
      <c r="C37" s="61" t="str">
        <f>VLOOKUP(A37,'1.Loading'!A:R,14,FALSE)</f>
        <v>LCH04</v>
      </c>
      <c r="D37" s="61" t="str">
        <f>VLOOKUP(A37,'1.Loading'!A:R,17,FALSE)</f>
        <v>HASLS22261000144</v>
      </c>
      <c r="E37" s="62" t="str">
        <f>VLOOKUP(D37,'2.Bookinglist'!A:CT,27,FALSE)</f>
        <v>THAI MFC CO., LTD.</v>
      </c>
      <c r="F37" s="62" t="str">
        <f>VLOOKUP(D37,'2.Bookinglist'!A:CT,28,FALSE)</f>
        <v>THAI MFC CO., LTD.</v>
      </c>
      <c r="G37" s="60">
        <f>VLOOKUP(D37,'2.Bookinglist'!A:E,5,FALSE)</f>
        <v>0</v>
      </c>
      <c r="H37" s="61" t="str">
        <f>VLOOKUP(D37,'2.Bookinglist'!A:CT,15,FALSE)</f>
        <v>THLCH</v>
      </c>
      <c r="I37" s="61" t="str">
        <f>VLOOKUP(D37,'2.Bookinglist'!A:CT,19,FALSE)</f>
        <v>IDJKT</v>
      </c>
      <c r="J37" s="61">
        <f>VLOOKUP(D37,'2.Bookinglist'!A:CT,26,FALSE)</f>
        <v>0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YSVY</v>
      </c>
      <c r="P37" s="61" t="str">
        <f>VLOOKUP(A37,'1.Loading'!A:R,4,FALSE)</f>
        <v>2608S</v>
      </c>
      <c r="Q37" s="61" t="str">
        <f>VLOOKUP(D37,'2.Bookinglist'!A:CT,12,FALSE)</f>
        <v>ANX</v>
      </c>
      <c r="R37" s="60" t="str">
        <f>IF(LEFT(K37,2)="22","20'","40'")</f>
        <v>20'</v>
      </c>
      <c r="S37" s="185" t="n"/>
      <c r="T37" s="61" t="str">
        <f>VLOOKUP(A37,'1.Loading'!A:R,2,FALSE)</f>
        <v>2026-10-24</v>
      </c>
      <c r="U37" s="63">
        <f>T37-S37</f>
        <v>46319</v>
      </c>
      <c r="V37" s="186" t="n"/>
      <c r="W37" s="61" t="str">
        <f>VLOOKUP(A37,'3.GateMove'!A:D,4,FALSE)</f>
        <v>2026-10-16</v>
      </c>
      <c r="X37" s="63">
        <f>((T37-W37)+1)</f>
        <v>9</v>
      </c>
      <c r="Y37" s="64">
        <f>IF(AND(OR(C37="BKK01",C37="BKK04"),L37="CFS/CY"),0,IF(M37="DG",1,IF(LEFT(C37,3)="LCH",7,IF(C37="BKK02",5,3))))</f>
        <v>7</v>
      </c>
      <c r="Z37" s="63">
        <f>IF(IF(AND(AC37="TML",AB37&gt;0),((T37-W37)+1)-AB37,((T37-W37)+1)-Y37)&gt;0,IF(AND(AC37="TML",AB37&gt;0),((T37-W37)+1)-AB37,((T37-W37)+1)-Y37),0)</f>
        <v>2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250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46320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250</v>
      </c>
      <c r="AJ37" s="188" t="n"/>
      <c r="AK37" s="62" t="str">
        <f>VLOOKUP(D37,'2.Bookinglist'!A:CT,40,FALSE)</f>
        <v>Kanokporn</v>
      </c>
      <c r="AL37" s="60" t="str">
        <f>VLOOKUP(D37,'2.Bookinglist'!A:CW,101,FALSE)</f>
        <v>2026-10-18</v>
      </c>
      <c r="AM37" s="60" t="str">
        <f>VLOOKUP(D37,'2.Bookinglist'!A:BK,63,FALSE)</f>
        <v>LCH27</v>
      </c>
      <c r="AN37" s="62" t="str">
        <f>VLOOKUP(D37,'2.Bookinglist'!A:AZ,52,FALSE)</f>
        <v>Pickup : 2026-10-14, Return : 2026-10-16</v>
      </c>
      <c r="AO37" s="62">
        <f>VLOOKUP(D37,'2.Bookinglist'!A:CY,103,FALSE)</f>
        <v>0</v>
      </c>
    </row>
    <row r="38" ht="12.95" customHeight="1">
      <c r="A38" s="96" t="inlineStr">
        <is>
          <t>SKLU1585859</t>
        </is>
      </c>
      <c r="B38" s="184" t="str">
        <f>IF(C38=Charge!$M$1,Charge!$J$1,IF(C38=Charge!$M$23,Charge!$J$23,IF(C38=Charge!$M$17,Charge!$J$17,IF(C38=Charge!$N$17,Charge!$J$17,Charge!$J$7))))</f>
        <v>G1</v>
      </c>
      <c r="C38" s="61" t="str">
        <f>VLOOKUP(A38,'1.Loading'!A:R,14,FALSE)</f>
        <v>LCH04</v>
      </c>
      <c r="D38" s="61" t="str">
        <f>VLOOKUP(A38,'1.Loading'!A:R,17,FALSE)</f>
        <v>HASLS22261000848</v>
      </c>
      <c r="E38" s="62" t="str">
        <f>VLOOKUP(D38,'2.Bookinglist'!A:CT,27,FALSE)</f>
        <v>YAMATO UNYU (THAILAND) CO., LTD.</v>
      </c>
      <c r="F38" s="62" t="str">
        <f>VLOOKUP(D38,'2.Bookinglist'!A:CT,28,FALSE)</f>
        <v>T.RAD (THAILAND)CO., LTD.</v>
      </c>
      <c r="G38" s="60">
        <f>VLOOKUP(D38,'2.Bookinglist'!A:E,5,FALSE)</f>
        <v>0</v>
      </c>
      <c r="H38" s="61" t="str">
        <f>VLOOKUP(D38,'2.Bookinglist'!A:CT,15,FALSE)</f>
        <v>THLCH</v>
      </c>
      <c r="I38" s="61" t="str">
        <f>VLOOKUP(D38,'2.Bookinglist'!A:CT,19,FALSE)</f>
        <v>IDJKT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YSVY</v>
      </c>
      <c r="P38" s="61" t="str">
        <f>VLOOKUP(A38,'1.Loading'!A:R,4,FALSE)</f>
        <v>2608S</v>
      </c>
      <c r="Q38" s="61" t="str">
        <f>VLOOKUP(D38,'2.Bookinglist'!A:CT,12,FALSE)</f>
        <v>ANX</v>
      </c>
      <c r="R38" s="60" t="str">
        <f>IF(LEFT(K38,2)="22","20'","40'")</f>
        <v>20'</v>
      </c>
      <c r="S38" s="185" t="n"/>
      <c r="T38" s="61" t="str">
        <f>VLOOKUP(A38,'1.Loading'!A:R,2,FALSE)</f>
        <v>2026-10-24</v>
      </c>
      <c r="U38" s="63">
        <f>T38-S38</f>
        <v>46319</v>
      </c>
      <c r="V38" s="186" t="n"/>
      <c r="W38" s="61" t="str">
        <f>VLOOKUP(A38,'3.GateMove'!A:D,4,FALSE)</f>
        <v>2026-10-21</v>
      </c>
      <c r="X38" s="63">
        <f>((T38-W38)+1)</f>
        <v>4</v>
      </c>
      <c r="Y38" s="64">
        <f>IF(AND(OR(C38="BKK01",C38="BKK04"),L38="CFS/CY"),0,IF(M38="DG",1,IF(LEFT(C38,3)="LCH",7,IF(C38="BKK02",5,3))))</f>
        <v>7</v>
      </c>
      <c r="Z38" s="63">
        <f>IF(IF(AND(AC38="TML",AB38&gt;0),((T38-W38)+1)-AB38,((T38-W38)+1)-Y38)&gt;0,IF(AND(AC38="TML",AB38&gt;0),((T38-W38)+1)-AB38,((T38-W38)+1)-Y38),0)</f>
        <v>0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46320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0</v>
      </c>
      <c r="AJ38" s="188" t="n"/>
      <c r="AK38" s="62" t="str">
        <f>VLOOKUP(D38,'2.Bookinglist'!A:CT,40,FALSE)</f>
        <v>Nannaapust Sukporntaweewat</v>
      </c>
      <c r="AL38" s="60" t="str">
        <f>VLOOKUP(D38,'2.Bookinglist'!A:CW,101,FALSE)</f>
        <v>2026-10-23</v>
      </c>
      <c r="AM38" s="60" t="str">
        <f>VLOOKUP(D38,'2.Bookinglist'!A:BK,63,FALSE)</f>
        <v>LCH27</v>
      </c>
      <c r="AN38" s="62" t="str">
        <f>VLOOKUP(D38,'2.Bookinglist'!A:AZ,52,FALSE)</f>
        <v>Pickup : 2026-10-20, Return : 2026-10-20</v>
      </c>
      <c r="AO38" s="62">
        <f>VLOOKUP(D38,'2.Bookinglist'!A:CY,103,FALSE)</f>
        <v>0</v>
      </c>
    </row>
    <row r="39" ht="12.95" customHeight="1">
      <c r="A39" s="96" t="inlineStr">
        <is>
          <t>SKLU1621350</t>
        </is>
      </c>
      <c r="B39" s="184" t="str">
        <f>IF(C39=Charge!$M$1,Charge!$J$1,IF(C39=Charge!$M$23,Charge!$J$23,IF(C39=Charge!$M$17,Charge!$J$17,IF(C39=Charge!$N$17,Charge!$J$17,Charge!$J$7))))</f>
        <v>G1</v>
      </c>
      <c r="C39" s="61" t="str">
        <f>VLOOKUP(A39,'1.Loading'!A:R,14,FALSE)</f>
        <v>LCH04</v>
      </c>
      <c r="D39" s="61" t="str">
        <f>VLOOKUP(A39,'1.Loading'!A:R,17,FALSE)</f>
        <v>HASLS22260900299</v>
      </c>
      <c r="E39" s="62" t="str">
        <f>VLOOKUP(D39,'2.Bookinglist'!A:CT,27,FALSE)</f>
        <v>SCGJWD LOGISTICS PUBLIC COMPANY LIMITED</v>
      </c>
      <c r="F39" s="62" t="str">
        <f>VLOOKUP(D39,'2.Bookinglist'!A:CT,28,FALSE)</f>
        <v>NORITAKE SCG PLASTER CO., LTD.</v>
      </c>
      <c r="G39" s="60" t="str">
        <f>VLOOKUP(D39,'2.Bookinglist'!A:E,5,FALSE)</f>
        <v>THLKR</v>
      </c>
      <c r="H39" s="61" t="str">
        <f>VLOOKUP(D39,'2.Bookinglist'!A:CT,15,FALSE)</f>
        <v>THLCH</v>
      </c>
      <c r="I39" s="61" t="str">
        <f>VLOOKUP(D39,'2.Bookinglist'!A:CT,19,FALSE)</f>
        <v>IDJKT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YSVY</v>
      </c>
      <c r="P39" s="61" t="str">
        <f>VLOOKUP(A39,'1.Loading'!A:R,4,FALSE)</f>
        <v>2608S</v>
      </c>
      <c r="Q39" s="61" t="str">
        <f>VLOOKUP(D39,'2.Bookinglist'!A:CT,12,FALSE)</f>
        <v>ANX</v>
      </c>
      <c r="R39" s="60" t="str">
        <f>IF(LEFT(K39,2)="22","20'","40'")</f>
        <v>20'</v>
      </c>
      <c r="S39" s="185" t="n"/>
      <c r="T39" s="61" t="str">
        <f>VLOOKUP(A39,'1.Loading'!A:R,2,FALSE)</f>
        <v>2026-10-24</v>
      </c>
      <c r="U39" s="63">
        <f>T39-S39</f>
        <v>46319</v>
      </c>
      <c r="V39" s="186" t="n"/>
      <c r="W39" s="61" t="str">
        <f>VLOOKUP(A39,'3.GateMove'!A:D,4,FALSE)</f>
        <v>2026-10-20</v>
      </c>
      <c r="X39" s="63">
        <f>((T39-W39)+1)</f>
        <v>5</v>
      </c>
      <c r="Y39" s="64">
        <f>IF(AND(OR(C39="BKK01",C39="BKK04"),L39="CFS/CY"),0,IF(M39="DG",1,IF(LEFT(C39,3)="LCH",7,IF(C39="BKK02",5,3))))</f>
        <v>7</v>
      </c>
      <c r="Z39" s="63">
        <f>IF(IF(AND(AC39="TML",AB39&gt;0),((T39-W39)+1)-AB39,((T39-W39)+1)-Y39)&gt;0,IF(AND(AC39="TML",AB39&gt;0),((T39-W39)+1)-AB39,((T39-W39)+1)-Y39),0)</f>
        <v>0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46320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0</v>
      </c>
      <c r="AJ39" s="188" t="n"/>
      <c r="AK39" s="62" t="str">
        <f>VLOOKUP(D39,'2.Bookinglist'!A:CT,40,FALSE)</f>
        <v>Kanokporn</v>
      </c>
      <c r="AL39" s="60" t="str">
        <f>VLOOKUP(D39,'2.Bookinglist'!A:CW,101,FALSE)</f>
        <v>2026-10-23</v>
      </c>
      <c r="AM39" s="60" t="str">
        <f>VLOOKUP(D39,'2.Bookinglist'!A:BK,63,FALSE)</f>
        <v>BKK27</v>
      </c>
      <c r="AN39" s="62" t="str">
        <f>VLOOKUP(D39,'2.Bookinglist'!A:AZ,52,FALSE)</f>
        <v>CY-RTN : 14-15/10/2026  Paperless Code 2835
Closing Time LKB 2026-10-17 @ 23.59 ** PT Indoporcelain **</v>
      </c>
      <c r="AO39" s="62">
        <f>VLOOKUP(D39,'2.Bookinglist'!A:CY,103,FALSE)</f>
        <v>0</v>
      </c>
    </row>
    <row r="40" ht="12.95" customHeight="1">
      <c r="A40" s="96" t="inlineStr">
        <is>
          <t>SKLU1622356</t>
        </is>
      </c>
      <c r="B40" s="184" t="str">
        <f>IF(C40=Charge!$M$1,Charge!$J$1,IF(C40=Charge!$M$23,Charge!$J$23,IF(C40=Charge!$M$17,Charge!$J$17,IF(C40=Charge!$N$17,Charge!$J$17,Charge!$J$7))))</f>
        <v>G1</v>
      </c>
      <c r="C40" s="61" t="str">
        <f>VLOOKUP(A40,'1.Loading'!A:R,14,FALSE)</f>
        <v>LCH04</v>
      </c>
      <c r="D40" s="61" t="str">
        <f>VLOOKUP(A40,'1.Loading'!A:R,17,FALSE)</f>
        <v>HASLS22261000731</v>
      </c>
      <c r="E40" s="62" t="str">
        <f>VLOOKUP(D40,'2.Bookinglist'!A:CT,27,FALSE)</f>
        <v>SEABRA TRANS INTERNATIONAL CO., LTD.</v>
      </c>
      <c r="F40" s="62" t="str">
        <f>VLOOKUP(D40,'2.Bookinglist'!A:CT,28,FALSE)</f>
        <v>MITANI TRADING (THAILAND) CO.,LTD.</v>
      </c>
      <c r="G40" s="60" t="str">
        <f>VLOOKUP(D40,'2.Bookinglist'!A:E,5,FALSE)</f>
        <v>THLKR</v>
      </c>
      <c r="H40" s="61" t="str">
        <f>VLOOKUP(D40,'2.Bookinglist'!A:CT,15,FALSE)</f>
        <v>THLCH</v>
      </c>
      <c r="I40" s="61" t="str">
        <f>VLOOKUP(D40,'2.Bookinglist'!A:CT,19,FALSE)</f>
        <v>IDJKT</v>
      </c>
      <c r="J40" s="61">
        <f>VLOOKUP(D40,'2.Bookinglist'!A:CT,26,FALSE)</f>
        <v>0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YSVY</v>
      </c>
      <c r="P40" s="61" t="str">
        <f>VLOOKUP(A40,'1.Loading'!A:R,4,FALSE)</f>
        <v>2608S</v>
      </c>
      <c r="Q40" s="61" t="str">
        <f>VLOOKUP(D40,'2.Bookinglist'!A:CT,12,FALSE)</f>
        <v>ANX</v>
      </c>
      <c r="R40" s="60" t="str">
        <f>IF(LEFT(K40,2)="22","20'","40'")</f>
        <v>20'</v>
      </c>
      <c r="S40" s="185" t="n"/>
      <c r="T40" s="61" t="str">
        <f>VLOOKUP(A40,'1.Loading'!A:R,2,FALSE)</f>
        <v>2026-10-24</v>
      </c>
      <c r="U40" s="63">
        <f>T40-S40</f>
        <v>46319</v>
      </c>
      <c r="V40" s="186" t="n"/>
      <c r="W40" s="61" t="str">
        <f>VLOOKUP(A40,'3.GateMove'!A:D,4,FALSE)</f>
        <v>2026-10-16</v>
      </c>
      <c r="X40" s="63">
        <f>((T40-W40)+1)</f>
        <v>9</v>
      </c>
      <c r="Y40" s="64">
        <f>IF(AND(OR(C40="BKK01",C40="BKK04"),L40="CFS/CY"),0,IF(M40="DG",1,IF(LEFT(C40,3)="LCH",7,IF(C40="BKK02",5,3))))</f>
        <v>7</v>
      </c>
      <c r="Z40" s="63">
        <f>IF(IF(AND(AC40="TML",AB40&gt;0),((T40-W40)+1)-AB40,((T40-W40)+1)-Y40)&gt;0,IF(AND(AC40="TML",AB40&gt;0),((T40-W40)+1)-AB40,((T40-W40)+1)-Y40),0)</f>
        <v>2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250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46320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250</v>
      </c>
      <c r="AJ40" s="188" t="n"/>
      <c r="AK40" s="62" t="str">
        <f>VLOOKUP(D40,'2.Bookinglist'!A:CT,40,FALSE)</f>
        <v>Vilaiporn</v>
      </c>
      <c r="AL40" s="60" t="str">
        <f>VLOOKUP(D40,'2.Bookinglist'!A:CW,101,FALSE)</f>
        <v>2026-10-21</v>
      </c>
      <c r="AM40" s="60" t="str">
        <f>VLOOKUP(D40,'2.Bookinglist'!A:BK,63,FALSE)</f>
        <v>BKK27</v>
      </c>
      <c r="AN40" s="62" t="str">
        <f>VLOOKUP(D40,'2.Bookinglist'!A:AZ,52,FALSE)</f>
        <v>Pickup : 2026-10-15, Return : 2026-10-15 Paperless Code 2835
Closing Time LKB 2026-10-17 @ 23.59</v>
      </c>
      <c r="AO40" s="62">
        <f>VLOOKUP(D40,'2.Bookinglist'!A:CY,103,FALSE)</f>
        <v>0</v>
      </c>
    </row>
    <row r="41" ht="12.95" customHeight="1">
      <c r="A41" s="96" t="inlineStr">
        <is>
          <t>SKLU1628061</t>
        </is>
      </c>
      <c r="B41" s="184" t="str">
        <f>IF(C41=Charge!$M$1,Charge!$J$1,IF(C41=Charge!$M$23,Charge!$J$23,IF(C41=Charge!$M$17,Charge!$J$17,IF(C41=Charge!$N$17,Charge!$J$17,Charge!$J$7))))</f>
        <v>G1</v>
      </c>
      <c r="C41" s="61" t="str">
        <f>VLOOKUP(A41,'1.Loading'!A:R,14,FALSE)</f>
        <v>LCH04</v>
      </c>
      <c r="D41" s="61" t="str">
        <f>VLOOKUP(A41,'1.Loading'!A:R,17,FALSE)</f>
        <v>HASLS22261000144</v>
      </c>
      <c r="E41" s="62" t="str">
        <f>VLOOKUP(D41,'2.Bookinglist'!A:CT,27,FALSE)</f>
        <v>THAI MFC CO., LTD.</v>
      </c>
      <c r="F41" s="62" t="str">
        <f>VLOOKUP(D41,'2.Bookinglist'!A:CT,28,FALSE)</f>
        <v>THAI MFC CO., LTD.</v>
      </c>
      <c r="G41" s="60">
        <f>VLOOKUP(D41,'2.Bookinglist'!A:E,5,FALSE)</f>
        <v>0</v>
      </c>
      <c r="H41" s="61" t="str">
        <f>VLOOKUP(D41,'2.Bookinglist'!A:CT,15,FALSE)</f>
        <v>THLCH</v>
      </c>
      <c r="I41" s="61" t="str">
        <f>VLOOKUP(D41,'2.Bookinglist'!A:CT,19,FALSE)</f>
        <v>IDJKT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YSVY</v>
      </c>
      <c r="P41" s="61" t="str">
        <f>VLOOKUP(A41,'1.Loading'!A:R,4,FALSE)</f>
        <v>2608S</v>
      </c>
      <c r="Q41" s="61" t="str">
        <f>VLOOKUP(D41,'2.Bookinglist'!A:CT,12,FALSE)</f>
        <v>ANX</v>
      </c>
      <c r="R41" s="60" t="str">
        <f>IF(LEFT(K41,2)="22","20'","40'")</f>
        <v>20'</v>
      </c>
      <c r="S41" s="185" t="n"/>
      <c r="T41" s="61" t="str">
        <f>VLOOKUP(A41,'1.Loading'!A:R,2,FALSE)</f>
        <v>2026-10-24</v>
      </c>
      <c r="U41" s="63">
        <f>T41-S41</f>
        <v>46319</v>
      </c>
      <c r="V41" s="186" t="n"/>
      <c r="W41" s="61" t="str">
        <f>VLOOKUP(A41,'3.GateMove'!A:D,4,FALSE)</f>
        <v>2026-10-16</v>
      </c>
      <c r="X41" s="63">
        <f>((T41-W41)+1)</f>
        <v>9</v>
      </c>
      <c r="Y41" s="64">
        <f>IF(AND(OR(C41="BKK01",C41="BKK04"),L41="CFS/CY"),0,IF(M41="DG",1,IF(LEFT(C41,3)="LCH",7,IF(C41="BKK02",5,3))))</f>
        <v>7</v>
      </c>
      <c r="Z41" s="63">
        <f>IF(IF(AND(AC41="TML",AB41&gt;0),((T41-W41)+1)-AB41,((T41-W41)+1)-Y41)&gt;0,IF(AND(AC41="TML",AB41&gt;0),((T41-W41)+1)-AB41,((T41-W41)+1)-Y41),0)</f>
        <v>2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250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46320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250</v>
      </c>
      <c r="AJ41" s="188" t="n"/>
      <c r="AK41" s="62" t="str">
        <f>VLOOKUP(D41,'2.Bookinglist'!A:CT,40,FALSE)</f>
        <v>Kanokporn</v>
      </c>
      <c r="AL41" s="60" t="str">
        <f>VLOOKUP(D41,'2.Bookinglist'!A:CW,101,FALSE)</f>
        <v>2026-10-18</v>
      </c>
      <c r="AM41" s="60" t="str">
        <f>VLOOKUP(D41,'2.Bookinglist'!A:BK,63,FALSE)</f>
        <v>LCH27</v>
      </c>
      <c r="AN41" s="62" t="str">
        <f>VLOOKUP(D41,'2.Bookinglist'!A:AZ,52,FALSE)</f>
        <v>Pickup : 2026-10-14, Return : 2026-10-16</v>
      </c>
      <c r="AO41" s="62">
        <f>VLOOKUP(D41,'2.Bookinglist'!A:CY,103,FALSE)</f>
        <v>0</v>
      </c>
    </row>
    <row r="42" ht="12.95" customHeight="1">
      <c r="A42" s="96" t="inlineStr">
        <is>
          <t>SKLU1657769</t>
        </is>
      </c>
      <c r="B42" s="184" t="str">
        <f>IF(C42=Charge!$M$1,Charge!$J$1,IF(C42=Charge!$M$23,Charge!$J$23,IF(C42=Charge!$M$17,Charge!$J$17,IF(C42=Charge!$N$17,Charge!$J$17,Charge!$J$7))))</f>
        <v>G1</v>
      </c>
      <c r="C42" s="61" t="str">
        <f>VLOOKUP(A42,'1.Loading'!A:R,14,FALSE)</f>
        <v>LCH04</v>
      </c>
      <c r="D42" s="61" t="str">
        <f>VLOOKUP(A42,'1.Loading'!A:R,17,FALSE)</f>
        <v>HASLS22261000144</v>
      </c>
      <c r="E42" s="62" t="str">
        <f>VLOOKUP(D42,'2.Bookinglist'!A:CT,27,FALSE)</f>
        <v>THAI MFC CO., LTD.</v>
      </c>
      <c r="F42" s="62" t="str">
        <f>VLOOKUP(D42,'2.Bookinglist'!A:CT,28,FALSE)</f>
        <v>THAI MFC CO., LTD.</v>
      </c>
      <c r="G42" s="60">
        <f>VLOOKUP(D42,'2.Bookinglist'!A:E,5,FALSE)</f>
        <v>0</v>
      </c>
      <c r="H42" s="61" t="str">
        <f>VLOOKUP(D42,'2.Bookinglist'!A:CT,15,FALSE)</f>
        <v>THLCH</v>
      </c>
      <c r="I42" s="61" t="str">
        <f>VLOOKUP(D42,'2.Bookinglist'!A:CT,19,FALSE)</f>
        <v>IDJKT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YSVY</v>
      </c>
      <c r="P42" s="61" t="str">
        <f>VLOOKUP(A42,'1.Loading'!A:R,4,FALSE)</f>
        <v>2608S</v>
      </c>
      <c r="Q42" s="61" t="str">
        <f>VLOOKUP(D42,'2.Bookinglist'!A:CT,12,FALSE)</f>
        <v>ANX</v>
      </c>
      <c r="R42" s="60" t="str">
        <f>IF(LEFT(K42,2)="22","20'","40'")</f>
        <v>20'</v>
      </c>
      <c r="S42" s="185" t="n"/>
      <c r="T42" s="61" t="str">
        <f>VLOOKUP(A42,'1.Loading'!A:R,2,FALSE)</f>
        <v>2026-10-24</v>
      </c>
      <c r="U42" s="63">
        <f>T42-S42</f>
        <v>46319</v>
      </c>
      <c r="V42" s="186" t="n"/>
      <c r="W42" s="61" t="str">
        <f>VLOOKUP(A42,'3.GateMove'!A:D,4,FALSE)</f>
        <v>2026-10-16</v>
      </c>
      <c r="X42" s="63">
        <f>((T42-W42)+1)</f>
        <v>9</v>
      </c>
      <c r="Y42" s="64">
        <f>IF(AND(OR(C42="BKK01",C42="BKK04"),L42="CFS/CY"),0,IF(M42="DG",1,IF(LEFT(C42,3)="LCH",7,IF(C42="BKK02",5,3))))</f>
        <v>7</v>
      </c>
      <c r="Z42" s="63">
        <f>IF(IF(AND(AC42="TML",AB42&gt;0),((T42-W42)+1)-AB42,((T42-W42)+1)-Y42)&gt;0,IF(AND(AC42="TML",AB42&gt;0),((T42-W42)+1)-AB42,((T42-W42)+1)-Y42),0)</f>
        <v>2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250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46320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250</v>
      </c>
      <c r="AJ42" s="188" t="n"/>
      <c r="AK42" s="62" t="str">
        <f>VLOOKUP(D42,'2.Bookinglist'!A:CT,40,FALSE)</f>
        <v>Kanokporn</v>
      </c>
      <c r="AL42" s="60" t="str">
        <f>VLOOKUP(D42,'2.Bookinglist'!A:CW,101,FALSE)</f>
        <v>2026-10-18</v>
      </c>
      <c r="AM42" s="60" t="str">
        <f>VLOOKUP(D42,'2.Bookinglist'!A:BK,63,FALSE)</f>
        <v>LCH27</v>
      </c>
      <c r="AN42" s="62" t="str">
        <f>VLOOKUP(D42,'2.Bookinglist'!A:AZ,52,FALSE)</f>
        <v>Pickup : 2026-10-14, Return : 2026-10-16</v>
      </c>
      <c r="AO42" s="62">
        <f>VLOOKUP(D42,'2.Bookinglist'!A:CY,103,FALSE)</f>
        <v>0</v>
      </c>
    </row>
    <row r="43" ht="12.95" customHeight="1">
      <c r="A43" s="96" t="inlineStr">
        <is>
          <t>SKLU1922754</t>
        </is>
      </c>
      <c r="B43" s="184" t="str">
        <f>IF(C43=Charge!$M$1,Charge!$J$1,IF(C43=Charge!$M$23,Charge!$J$23,IF(C43=Charge!$M$17,Charge!$J$17,IF(C43=Charge!$N$17,Charge!$J$17,Charge!$J$7))))</f>
        <v>G1</v>
      </c>
      <c r="C43" s="61" t="str">
        <f>VLOOKUP(A43,'1.Loading'!A:R,14,FALSE)</f>
        <v>LCH04</v>
      </c>
      <c r="D43" s="61" t="str">
        <f>VLOOKUP(A43,'1.Loading'!A:R,17,FALSE)</f>
        <v>HASLS22261000155</v>
      </c>
      <c r="E43" s="62" t="str">
        <f>VLOOKUP(D43,'2.Bookinglist'!A:CT,27,FALSE)</f>
        <v>FLS 1993 (THAILAND) CO., LTD.</v>
      </c>
      <c r="F43" s="62" t="str">
        <f>VLOOKUP(D43,'2.Bookinglist'!A:CT,28,FALSE)</f>
        <v>UNIQUE POLYMER CO.,LTD.</v>
      </c>
      <c r="G43" s="60" t="str">
        <f>VLOOKUP(D43,'2.Bookinglist'!A:E,5,FALSE)</f>
        <v>THLKR</v>
      </c>
      <c r="H43" s="61" t="str">
        <f>VLOOKUP(D43,'2.Bookinglist'!A:CT,15,FALSE)</f>
        <v>THLCH</v>
      </c>
      <c r="I43" s="61" t="str">
        <f>VLOOKUP(D43,'2.Bookinglist'!A:CT,19,FALSE)</f>
        <v>IDJKT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YSVY</v>
      </c>
      <c r="P43" s="61" t="str">
        <f>VLOOKUP(A43,'1.Loading'!A:R,4,FALSE)</f>
        <v>2608S</v>
      </c>
      <c r="Q43" s="61" t="str">
        <f>VLOOKUP(D43,'2.Bookinglist'!A:CT,12,FALSE)</f>
        <v>ANX</v>
      </c>
      <c r="R43" s="60" t="str">
        <f>IF(LEFT(K43,2)="22","20'","40'")</f>
        <v>20'</v>
      </c>
      <c r="S43" s="185" t="n"/>
      <c r="T43" s="61" t="str">
        <f>VLOOKUP(A43,'1.Loading'!A:R,2,FALSE)</f>
        <v>2026-10-24</v>
      </c>
      <c r="U43" s="63">
        <f>T43-S43</f>
        <v>46319</v>
      </c>
      <c r="V43" s="186" t="n"/>
      <c r="W43" s="61" t="str">
        <f>VLOOKUP(A43,'3.GateMove'!A:D,4,FALSE)</f>
        <v>2026-10-18</v>
      </c>
      <c r="X43" s="63">
        <f>((T43-W43)+1)</f>
        <v>7</v>
      </c>
      <c r="Y43" s="64">
        <f>IF(AND(OR(C43="BKK01",C43="BKK04"),L43="CFS/CY"),0,IF(M43="DG",1,IF(LEFT(C43,3)="LCH",7,IF(C43="BKK02",5,3))))</f>
        <v>7</v>
      </c>
      <c r="Z43" s="63">
        <f>IF(IF(AND(AC43="TML",AB43&gt;0),((T43-W43)+1)-AB43,((T43-W43)+1)-Y43)&gt;0,IF(AND(AC43="TML",AB43&gt;0),((T43-W43)+1)-AB43,((T43-W43)+1)-Y43),0)</f>
        <v>0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46320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0</v>
      </c>
      <c r="AJ43" s="188" t="n"/>
      <c r="AK43" s="62" t="str">
        <f>VLOOKUP(D43,'2.Bookinglist'!A:CT,40,FALSE)</f>
        <v>Arunphat W. (Aiw)</v>
      </c>
      <c r="AL43" s="60" t="str">
        <f>VLOOKUP(D43,'2.Bookinglist'!A:CW,101,FALSE)</f>
        <v>2026-10-18</v>
      </c>
      <c r="AM43" s="60" t="str">
        <f>VLOOKUP(D43,'2.Bookinglist'!A:BK,63,FALSE)</f>
        <v>BKK27</v>
      </c>
      <c r="AN43" s="62" t="str">
        <f>VLOOKUP(D43,'2.Bookinglist'!A:AZ,52,FALSE)</f>
        <v>Pickup : 2026-10-14, Return LKR : 2026-10-16 (CLOSING DATE AT LKR DD.19/10/26 @12.00)
PAPERLESS: 2835
 </v>
      </c>
      <c r="AO43" s="62">
        <f>VLOOKUP(D43,'2.Bookinglist'!A:CY,103,FALSE)</f>
        <v>0</v>
      </c>
    </row>
    <row r="44" ht="12.95" customHeight="1">
      <c r="A44" s="96" t="inlineStr">
        <is>
          <t>SKLU1927102</t>
        </is>
      </c>
      <c r="B44" s="184" t="str">
        <f>IF(C44=Charge!$M$1,Charge!$J$1,IF(C44=Charge!$M$23,Charge!$J$23,IF(C44=Charge!$M$17,Charge!$J$17,IF(C44=Charge!$N$17,Charge!$J$17,Charge!$J$7))))</f>
        <v>G1</v>
      </c>
      <c r="C44" s="61" t="str">
        <f>VLOOKUP(A44,'1.Loading'!A:R,14,FALSE)</f>
        <v>LCH04</v>
      </c>
      <c r="D44" s="61" t="str">
        <f>VLOOKUP(A44,'1.Loading'!A:R,17,FALSE)</f>
        <v>HASLS22260902692</v>
      </c>
      <c r="E44" s="62" t="str">
        <f>VLOOKUP(D44,'2.Bookinglist'!A:CT,27,FALSE)</f>
        <v>FREIGHT EXPRESS INTERNATIONAL CO., LTD.</v>
      </c>
      <c r="F44" s="62" t="str">
        <f>VLOOKUP(D44,'2.Bookinglist'!A:CT,28,FALSE)</f>
        <v>K J C INTERFOOD CO., LTD.</v>
      </c>
      <c r="G44" s="60" t="str">
        <f>VLOOKUP(D44,'2.Bookinglist'!A:E,5,FALSE)</f>
        <v>THLKR</v>
      </c>
      <c r="H44" s="61" t="str">
        <f>VLOOKUP(D44,'2.Bookinglist'!A:CT,15,FALSE)</f>
        <v>THLCH</v>
      </c>
      <c r="I44" s="61" t="str">
        <f>VLOOKUP(D44,'2.Bookinglist'!A:CT,19,FALSE)</f>
        <v>IDJKT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YSVY</v>
      </c>
      <c r="P44" s="61" t="str">
        <f>VLOOKUP(A44,'1.Loading'!A:R,4,FALSE)</f>
        <v>2608S</v>
      </c>
      <c r="Q44" s="61" t="str">
        <f>VLOOKUP(D44,'2.Bookinglist'!A:CT,12,FALSE)</f>
        <v>ANX</v>
      </c>
      <c r="R44" s="60" t="str">
        <f>IF(LEFT(K44,2)="22","20'","40'")</f>
        <v>20'</v>
      </c>
      <c r="S44" s="185" t="n"/>
      <c r="T44" s="61" t="str">
        <f>VLOOKUP(A44,'1.Loading'!A:R,2,FALSE)</f>
        <v>2026-10-24</v>
      </c>
      <c r="U44" s="63">
        <f>T44-S44</f>
        <v>46319</v>
      </c>
      <c r="V44" s="186" t="n"/>
      <c r="W44" s="61" t="str">
        <f>VLOOKUP(A44,'3.GateMove'!A:D,4,FALSE)</f>
        <v>2026-10-17</v>
      </c>
      <c r="X44" s="63">
        <f>((T44-W44)+1)</f>
        <v>8</v>
      </c>
      <c r="Y44" s="64">
        <f>IF(AND(OR(C44="BKK01",C44="BKK04"),L44="CFS/CY"),0,IF(M44="DG",1,IF(LEFT(C44,3)="LCH",7,IF(C44="BKK02",5,3))))</f>
        <v>7</v>
      </c>
      <c r="Z44" s="63">
        <f>IF(IF(AND(AC44="TML",AB44&gt;0),((T44-W44)+1)-AB44,((T44-W44)+1)-Y44)&gt;0,IF(AND(AC44="TML",AB44&gt;0),((T44-W44)+1)-AB44,((T44-W44)+1)-Y44),0)</f>
        <v>1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125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46320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125</v>
      </c>
      <c r="AJ44" s="188" t="n"/>
      <c r="AK44" s="62" t="str">
        <f>VLOOKUP(D44,'2.Bookinglist'!A:CT,40,FALSE)</f>
        <v>Arunphat W. (Aiw)</v>
      </c>
      <c r="AL44" s="60" t="str">
        <f>VLOOKUP(D44,'2.Bookinglist'!A:CW,101,FALSE)</f>
        <v>2026-10-19</v>
      </c>
      <c r="AM44" s="60" t="str">
        <f>VLOOKUP(D44,'2.Bookinglist'!A:BK,63,FALSE)</f>
        <v>BKK27</v>
      </c>
      <c r="AN44" s="62" t="str">
        <f>VLOOKUP(D44,'2.Bookinglist'!A:AZ,52,FALSE)</f>
        <v>Pickup : 2026-10-15, Return LKR : 2026-10-16 [PAPERLESS CODE 2835]
CLS TIME 16/10/26 @18.00</v>
      </c>
      <c r="AO44" s="62">
        <f>VLOOKUP(D44,'2.Bookinglist'!A:CY,103,FALSE)</f>
        <v>0</v>
      </c>
    </row>
    <row r="45" ht="12.95" customHeight="1">
      <c r="A45" s="96" t="inlineStr">
        <is>
          <t>SKLU1960311</t>
        </is>
      </c>
      <c r="B45" s="184" t="str">
        <f>IF(C45=Charge!$M$1,Charge!$J$1,IF(C45=Charge!$M$23,Charge!$J$23,IF(C45=Charge!$M$17,Charge!$J$17,IF(C45=Charge!$N$17,Charge!$J$17,Charge!$J$7))))</f>
        <v>G1</v>
      </c>
      <c r="C45" s="61" t="str">
        <f>VLOOKUP(A45,'1.Loading'!A:R,14,FALSE)</f>
        <v>LCH04</v>
      </c>
      <c r="D45" s="61" t="str">
        <f>VLOOKUP(A45,'1.Loading'!A:R,17,FALSE)</f>
        <v>HASLS22261000687</v>
      </c>
      <c r="E45" s="62" t="str">
        <f>VLOOKUP(D45,'2.Bookinglist'!A:CT,27,FALSE)</f>
        <v>YUSEN LOGISTICS (THAILAND) CO., LTD.</v>
      </c>
      <c r="F45" s="62" t="str">
        <f>VLOOKUP(D45,'2.Bookinglist'!A:CT,28,FALSE)</f>
        <v>GKN DRIVELINE (THAILAND) LTD.</v>
      </c>
      <c r="G45" s="60">
        <f>VLOOKUP(D45,'2.Bookinglist'!A:E,5,FALSE)</f>
        <v>0</v>
      </c>
      <c r="H45" s="61" t="str">
        <f>VLOOKUP(D45,'2.Bookinglist'!A:CT,15,FALSE)</f>
        <v>THLCH</v>
      </c>
      <c r="I45" s="61" t="str">
        <f>VLOOKUP(D45,'2.Bookinglist'!A:CT,19,FALSE)</f>
        <v>IDJKT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YSVY</v>
      </c>
      <c r="P45" s="61" t="str">
        <f>VLOOKUP(A45,'1.Loading'!A:R,4,FALSE)</f>
        <v>2608S</v>
      </c>
      <c r="Q45" s="61" t="str">
        <f>VLOOKUP(D45,'2.Bookinglist'!A:CT,12,FALSE)</f>
        <v>ANX</v>
      </c>
      <c r="R45" s="60" t="str">
        <f>IF(LEFT(K45,2)="22","20'","40'")</f>
        <v>20'</v>
      </c>
      <c r="S45" s="185" t="n"/>
      <c r="T45" s="61" t="str">
        <f>VLOOKUP(A45,'1.Loading'!A:R,2,FALSE)</f>
        <v>2026-10-24</v>
      </c>
      <c r="U45" s="63">
        <f>T45-S45</f>
        <v>46319</v>
      </c>
      <c r="V45" s="186" t="n"/>
      <c r="W45" s="61" t="str">
        <f>VLOOKUP(A45,'3.GateMove'!A:D,4,FALSE)</f>
        <v>2026-10-17</v>
      </c>
      <c r="X45" s="63">
        <f>((T45-W45)+1)</f>
        <v>8</v>
      </c>
      <c r="Y45" s="64">
        <f>IF(AND(OR(C45="BKK01",C45="BKK04"),L45="CFS/CY"),0,IF(M45="DG",1,IF(LEFT(C45,3)="LCH",7,IF(C45="BKK02",5,3))))</f>
        <v>7</v>
      </c>
      <c r="Z45" s="63">
        <f>IF(IF(AND(AC45="TML",AB45&gt;0),((T45-W45)+1)-AB45,((T45-W45)+1)-Y45)&gt;0,IF(AND(AC45="TML",AB45&gt;0),((T45-W45)+1)-AB45,((T45-W45)+1)-Y45),0)</f>
        <v>1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125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46320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125</v>
      </c>
      <c r="AJ45" s="188" t="n"/>
      <c r="AK45" s="62" t="str">
        <f>VLOOKUP(D45,'2.Bookinglist'!A:CT,40,FALSE)</f>
        <v>Vilaiporn</v>
      </c>
      <c r="AL45" s="60" t="str">
        <f>VLOOKUP(D45,'2.Bookinglist'!A:CW,101,FALSE)</f>
        <v>2026-10-21</v>
      </c>
      <c r="AM45" s="60" t="str">
        <f>VLOOKUP(D45,'2.Bookinglist'!A:BK,63,FALSE)</f>
        <v>LCH27</v>
      </c>
      <c r="AN45" s="62" t="str">
        <f>VLOOKUP(D45,'2.Bookinglist'!A:AZ,52,FALSE)</f>
        <v>Pickup : 2026-10-14, Return : 2026-10-15</v>
      </c>
      <c r="AO45" s="62">
        <f>VLOOKUP(D45,'2.Bookinglist'!A:CY,103,FALSE)</f>
        <v>0</v>
      </c>
    </row>
    <row r="46" ht="12.95" customHeight="1">
      <c r="A46" s="96" t="inlineStr">
        <is>
          <t>SKLU1984139</t>
        </is>
      </c>
      <c r="B46" s="184" t="str">
        <f>IF(C46=Charge!$M$1,Charge!$J$1,IF(C46=Charge!$M$23,Charge!$J$23,IF(C46=Charge!$M$17,Charge!$J$17,IF(C46=Charge!$N$17,Charge!$J$17,Charge!$J$7))))</f>
        <v>G1</v>
      </c>
      <c r="C46" s="61" t="str">
        <f>VLOOKUP(A46,'1.Loading'!A:R,14,FALSE)</f>
        <v>LCH04</v>
      </c>
      <c r="D46" s="61" t="str">
        <f>VLOOKUP(A46,'1.Loading'!A:R,17,FALSE)</f>
        <v>HASLS22261001027</v>
      </c>
      <c r="E46" s="62" t="str">
        <f>VLOOKUP(D46,'2.Bookinglist'!A:CT,27,FALSE)</f>
        <v>CARGO-PARTNER LOGISTICS LTD.</v>
      </c>
      <c r="F46" s="62" t="str">
        <f>VLOOKUP(D46,'2.Bookinglist'!A:CT,28,FALSE)</f>
        <v>SUNTA MOLD ENGINEERING CO., LTD.</v>
      </c>
      <c r="G46" s="60" t="str">
        <f>VLOOKUP(D46,'2.Bookinglist'!A:E,5,FALSE)</f>
        <v>THLKR</v>
      </c>
      <c r="H46" s="61" t="str">
        <f>VLOOKUP(D46,'2.Bookinglist'!A:CT,15,FALSE)</f>
        <v>THLCH</v>
      </c>
      <c r="I46" s="61" t="str">
        <f>VLOOKUP(D46,'2.Bookinglist'!A:CT,19,FALSE)</f>
        <v>IDJKT</v>
      </c>
      <c r="J46" s="61">
        <f>VLOOKUP(D46,'2.Bookinglist'!A:CT,26,FALSE)</f>
        <v>0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YSVY</v>
      </c>
      <c r="P46" s="61" t="str">
        <f>VLOOKUP(A46,'1.Loading'!A:R,4,FALSE)</f>
        <v>2608S</v>
      </c>
      <c r="Q46" s="61" t="str">
        <f>VLOOKUP(D46,'2.Bookinglist'!A:CT,12,FALSE)</f>
        <v>ANX</v>
      </c>
      <c r="R46" s="60" t="str">
        <f>IF(LEFT(K46,2)="22","20'","40'")</f>
        <v>20'</v>
      </c>
      <c r="S46" s="185" t="n"/>
      <c r="T46" s="61" t="str">
        <f>VLOOKUP(A46,'1.Loading'!A:R,2,FALSE)</f>
        <v>2026-10-24</v>
      </c>
      <c r="U46" s="63">
        <f>T46-S46</f>
        <v>46319</v>
      </c>
      <c r="V46" s="186" t="n"/>
      <c r="W46" s="61" t="str">
        <f>VLOOKUP(A46,'3.GateMove'!A:D,4,FALSE)</f>
        <v>2026-10-18</v>
      </c>
      <c r="X46" s="63">
        <f>((T46-W46)+1)</f>
        <v>7</v>
      </c>
      <c r="Y46" s="64">
        <f>IF(AND(OR(C46="BKK01",C46="BKK04"),L46="CFS/CY"),0,IF(M46="DG",1,IF(LEFT(C46,3)="LCH",7,IF(C46="BKK02",5,3))))</f>
        <v>7</v>
      </c>
      <c r="Z46" s="63">
        <f>IF(IF(AND(AC46="TML",AB46&gt;0),((T46-W46)+1)-AB46,((T46-W46)+1)-Y46)&gt;0,IF(AND(AC46="TML",AB46&gt;0),((T46-W46)+1)-AB46,((T46-W46)+1)-Y46),0)</f>
        <v>0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46320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0</v>
      </c>
      <c r="AJ46" s="188" t="n"/>
      <c r="AK46" s="62" t="str">
        <f>VLOOKUP(D46,'2.Bookinglist'!A:CT,40,FALSE)</f>
        <v>Pattarapong Saengthong</v>
      </c>
      <c r="AL46" s="60" t="str">
        <f>VLOOKUP(D46,'2.Bookinglist'!A:CW,101,FALSE)</f>
        <v>2026-10-22</v>
      </c>
      <c r="AM46" s="60" t="str">
        <f>VLOOKUP(D46,'2.Bookinglist'!A:BK,63,FALSE)</f>
        <v>BKK27</v>
      </c>
      <c r="AN46" s="62" t="str">
        <f>VLOOKUP(D46,'2.Bookinglist'!A:AZ,52,FALSE)</f>
        <v>Pickup : 2026-10-17, Return : 2026-10-17 Paperless Code 2835
Closing Time LKB 2026-10-19 @ 12.00</v>
      </c>
      <c r="AO46" s="62">
        <f>VLOOKUP(D46,'2.Bookinglist'!A:CY,103,FALSE)</f>
        <v>0</v>
      </c>
    </row>
    <row r="47" ht="12.95" customHeight="1">
      <c r="A47" s="96" t="inlineStr">
        <is>
          <t>SKLU2307750</t>
        </is>
      </c>
      <c r="B47" s="184" t="str">
        <f>IF(C47=Charge!$M$1,Charge!$J$1,IF(C47=Charge!$M$23,Charge!$J$23,IF(C47=Charge!$M$17,Charge!$J$17,IF(C47=Charge!$N$17,Charge!$J$17,Charge!$J$7))))</f>
        <v>G1</v>
      </c>
      <c r="C47" s="61" t="str">
        <f>VLOOKUP(A47,'1.Loading'!A:R,14,FALSE)</f>
        <v>LCH04</v>
      </c>
      <c r="D47" s="61" t="str">
        <f>VLOOKUP(A47,'1.Loading'!A:R,17,FALSE)</f>
        <v>HASLS22260801426</v>
      </c>
      <c r="E47" s="62" t="str">
        <f>VLOOKUP(D47,'2.Bookinglist'!A:CT,27,FALSE)</f>
        <v>SCGJWD LOGISTICS PUBLIC COMPANY LIMITED</v>
      </c>
      <c r="F47" s="62" t="str">
        <f>VLOOKUP(D47,'2.Bookinglist'!A:CT,28,FALSE)</f>
        <v>NORITAKE SCG PLASTER CO., LTD.</v>
      </c>
      <c r="G47" s="60" t="str">
        <f>VLOOKUP(D47,'2.Bookinglist'!A:E,5,FALSE)</f>
        <v>THLKR</v>
      </c>
      <c r="H47" s="61" t="str">
        <f>VLOOKUP(D47,'2.Bookinglist'!A:CT,15,FALSE)</f>
        <v>THLCH</v>
      </c>
      <c r="I47" s="61" t="str">
        <f>VLOOKUP(D47,'2.Bookinglist'!A:CT,19,FALSE)</f>
        <v>IDJKT</v>
      </c>
      <c r="J47" s="61">
        <f>VLOOKUP(D47,'2.Bookinglist'!A:CT,26,FALSE)</f>
        <v>0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YSVY</v>
      </c>
      <c r="P47" s="61" t="str">
        <f>VLOOKUP(A47,'1.Loading'!A:R,4,FALSE)</f>
        <v>2608S</v>
      </c>
      <c r="Q47" s="61" t="str">
        <f>VLOOKUP(D47,'2.Bookinglist'!A:CT,12,FALSE)</f>
        <v>ANX</v>
      </c>
      <c r="R47" s="60" t="str">
        <f>IF(LEFT(K47,2)="22","20'","40'")</f>
        <v>20'</v>
      </c>
      <c r="S47" s="185" t="n"/>
      <c r="T47" s="61" t="str">
        <f>VLOOKUP(A47,'1.Loading'!A:R,2,FALSE)</f>
        <v>2026-10-24</v>
      </c>
      <c r="U47" s="63">
        <f>T47-S47</f>
        <v>46319</v>
      </c>
      <c r="V47" s="186" t="n"/>
      <c r="W47" s="61" t="str">
        <f>VLOOKUP(A47,'3.GateMove'!A:D,4,FALSE)</f>
        <v>2026-10-18</v>
      </c>
      <c r="X47" s="63">
        <f>((T47-W47)+1)</f>
        <v>7</v>
      </c>
      <c r="Y47" s="64">
        <f>IF(AND(OR(C47="BKK01",C47="BKK04"),L47="CFS/CY"),0,IF(M47="DG",1,IF(LEFT(C47,3)="LCH",7,IF(C47="BKK02",5,3))))</f>
        <v>7</v>
      </c>
      <c r="Z47" s="63">
        <f>IF(IF(AND(AC47="TML",AB47&gt;0),((T47-W47)+1)-AB47,((T47-W47)+1)-Y47)&gt;0,IF(AND(AC47="TML",AB47&gt;0),((T47-W47)+1)-AB47,((T47-W47)+1)-Y47),0)</f>
        <v>0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46320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0</v>
      </c>
      <c r="AJ47" s="188" t="n"/>
      <c r="AK47" s="62" t="str">
        <f>VLOOKUP(D47,'2.Bookinglist'!A:CT,40,FALSE)</f>
        <v>Kanokporn</v>
      </c>
      <c r="AL47" s="60" t="str">
        <f>VLOOKUP(D47,'2.Bookinglist'!A:CW,101,FALSE)</f>
        <v>2026-10-19</v>
      </c>
      <c r="AM47" s="60" t="str">
        <f>VLOOKUP(D47,'2.Bookinglist'!A:BK,63,FALSE)</f>
        <v>BKK27</v>
      </c>
      <c r="AN47" s="62" t="str">
        <f>VLOOKUP(D47,'2.Bookinglist'!A:AZ,52,FALSE)</f>
        <v>CY-RTN : 15-16/10/2026 Paperless Code 2835
Closing Time LKB 17/10/2026 @ 23.59  // REF : ** PT Indoporcelain **</v>
      </c>
      <c r="AO47" s="62">
        <f>VLOOKUP(D47,'2.Bookinglist'!A:CY,103,FALSE)</f>
        <v>0</v>
      </c>
    </row>
    <row r="48" ht="12.95" customHeight="1">
      <c r="A48" s="96" t="inlineStr">
        <is>
          <t>SKLU2331592</t>
        </is>
      </c>
      <c r="B48" s="184" t="str">
        <f>IF(C48=Charge!$M$1,Charge!$J$1,IF(C48=Charge!$M$23,Charge!$J$23,IF(C48=Charge!$M$17,Charge!$J$17,IF(C48=Charge!$N$17,Charge!$J$17,Charge!$J$7))))</f>
        <v>G1</v>
      </c>
      <c r="C48" s="61" t="str">
        <f>VLOOKUP(A48,'1.Loading'!A:R,14,FALSE)</f>
        <v>LCH04</v>
      </c>
      <c r="D48" s="61" t="str">
        <f>VLOOKUP(A48,'1.Loading'!A:R,17,FALSE)</f>
        <v>HASLS22261000810</v>
      </c>
      <c r="E48" s="62" t="str">
        <f>VLOOKUP(D48,'2.Bookinglist'!A:CT,27,FALSE)</f>
        <v>EASTERN AIR LOGISTICS CO., LTD.</v>
      </c>
      <c r="F48" s="62" t="str">
        <f>VLOOKUP(D48,'2.Bookinglist'!A:CT,28,FALSE)</f>
        <v>APEX CIRCUIT (THAILAND) CO., LTD.</v>
      </c>
      <c r="G48" s="60">
        <f>VLOOKUP(D48,'2.Bookinglist'!A:E,5,FALSE)</f>
        <v>0</v>
      </c>
      <c r="H48" s="61" t="str">
        <f>VLOOKUP(D48,'2.Bookinglist'!A:CT,15,FALSE)</f>
        <v>THLCH</v>
      </c>
      <c r="I48" s="61" t="str">
        <f>VLOOKUP(D48,'2.Bookinglist'!A:CT,19,FALSE)</f>
        <v>IDJKT</v>
      </c>
      <c r="J48" s="61">
        <f>VLOOKUP(D48,'2.Bookinglist'!A:CT,26,FALSE)</f>
        <v>0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YSVY</v>
      </c>
      <c r="P48" s="61" t="str">
        <f>VLOOKUP(A48,'1.Loading'!A:R,4,FALSE)</f>
        <v>2608S</v>
      </c>
      <c r="Q48" s="61" t="str">
        <f>VLOOKUP(D48,'2.Bookinglist'!A:CT,12,FALSE)</f>
        <v>ANX</v>
      </c>
      <c r="R48" s="60" t="str">
        <f>IF(LEFT(K48,2)="22","20'","40'")</f>
        <v>20'</v>
      </c>
      <c r="S48" s="185" t="n"/>
      <c r="T48" s="61" t="str">
        <f>VLOOKUP(A48,'1.Loading'!A:R,2,FALSE)</f>
        <v>2026-10-24</v>
      </c>
      <c r="U48" s="63">
        <f>T48-S48</f>
        <v>46319</v>
      </c>
      <c r="V48" s="186" t="n"/>
      <c r="W48" s="61" t="str">
        <f>VLOOKUP(A48,'3.GateMove'!A:D,4,FALSE)</f>
        <v>2026-10-20</v>
      </c>
      <c r="X48" s="63">
        <f>((T48-W48)+1)</f>
        <v>5</v>
      </c>
      <c r="Y48" s="64">
        <f>IF(AND(OR(C48="BKK01",C48="BKK04"),L48="CFS/CY"),0,IF(M48="DG",1,IF(LEFT(C48,3)="LCH",7,IF(C48="BKK02",5,3))))</f>
        <v>7</v>
      </c>
      <c r="Z48" s="63">
        <f>IF(IF(AND(AC48="TML",AB48&gt;0),((T48-W48)+1)-AB48,((T48-W48)+1)-Y48)&gt;0,IF(AND(AC48="TML",AB48&gt;0),((T48-W48)+1)-AB48,((T48-W48)+1)-Y48),0)</f>
        <v>0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46320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0</v>
      </c>
      <c r="AJ48" s="188" t="n"/>
      <c r="AK48" s="62" t="str">
        <f>VLOOKUP(D48,'2.Bookinglist'!A:CT,40,FALSE)</f>
        <v>Pattarapong Saengthong</v>
      </c>
      <c r="AL48" s="60" t="str">
        <f>VLOOKUP(D48,'2.Bookinglist'!A:CW,101,FALSE)</f>
        <v>2026-10-22</v>
      </c>
      <c r="AM48" s="60" t="str">
        <f>VLOOKUP(D48,'2.Bookinglist'!A:BK,63,FALSE)</f>
        <v>LCHY5</v>
      </c>
      <c r="AN48" s="62" t="str">
        <f>VLOOKUP(D48,'2.Bookinglist'!A:AZ,52,FALSE)</f>
        <v>Pickup : 2026-10-17, Return : 2026-10-19</v>
      </c>
      <c r="AO48" s="62">
        <f>VLOOKUP(D48,'2.Bookinglist'!A:CY,103,FALSE)</f>
        <v>0</v>
      </c>
    </row>
    <row r="49" ht="12.95" customHeight="1">
      <c r="A49" s="96" t="inlineStr">
        <is>
          <t>SKLU2332480</t>
        </is>
      </c>
      <c r="B49" s="184" t="str">
        <f>IF(C49=Charge!$M$1,Charge!$J$1,IF(C49=Charge!$M$23,Charge!$J$23,IF(C49=Charge!$M$17,Charge!$J$17,IF(C49=Charge!$N$17,Charge!$J$17,Charge!$J$7))))</f>
        <v>G1</v>
      </c>
      <c r="C49" s="61" t="str">
        <f>VLOOKUP(A49,'1.Loading'!A:R,14,FALSE)</f>
        <v>LCH04</v>
      </c>
      <c r="D49" s="61" t="str">
        <f>VLOOKUP(A49,'1.Loading'!A:R,17,FALSE)</f>
        <v>HASLS22260900631</v>
      </c>
      <c r="E49" s="62" t="str">
        <f>VLOOKUP(D49,'2.Bookinglist'!A:CT,27,FALSE)</f>
        <v>G THRU INTERBUSINESS CO., LTD.</v>
      </c>
      <c r="F49" s="62" t="str">
        <f>VLOOKUP(D49,'2.Bookinglist'!A:CT,28,FALSE)</f>
        <v>V.THAI FOOD PRODUCT CO.,LTD.</v>
      </c>
      <c r="G49" s="60">
        <f>VLOOKUP(D49,'2.Bookinglist'!A:E,5,FALSE)</f>
        <v>0</v>
      </c>
      <c r="H49" s="61" t="str">
        <f>VLOOKUP(D49,'2.Bookinglist'!A:CT,15,FALSE)</f>
        <v>THLCH</v>
      </c>
      <c r="I49" s="61" t="str">
        <f>VLOOKUP(D49,'2.Bookinglist'!A:CT,19,FALSE)</f>
        <v>IDJKT</v>
      </c>
      <c r="J49" s="61">
        <f>VLOOKUP(D49,'2.Bookinglist'!A:CT,26,FALSE)</f>
        <v>0</v>
      </c>
      <c r="K49" s="61" t="str">
        <f>VLOOKUP(A49,'1.Loading'!A:R,5,FALSE)</f>
        <v>22GP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YSVY</v>
      </c>
      <c r="P49" s="61" t="str">
        <f>VLOOKUP(A49,'1.Loading'!A:R,4,FALSE)</f>
        <v>2608S</v>
      </c>
      <c r="Q49" s="61" t="str">
        <f>VLOOKUP(D49,'2.Bookinglist'!A:CT,12,FALSE)</f>
        <v>ANX</v>
      </c>
      <c r="R49" s="60" t="str">
        <f>IF(LEFT(K49,2)="22","20'","40'")</f>
        <v>20'</v>
      </c>
      <c r="S49" s="185" t="n"/>
      <c r="T49" s="61" t="str">
        <f>VLOOKUP(A49,'1.Loading'!A:R,2,FALSE)</f>
        <v>2026-10-24</v>
      </c>
      <c r="U49" s="63">
        <f>T49-S49</f>
        <v>46319</v>
      </c>
      <c r="V49" s="186" t="n"/>
      <c r="W49" s="61" t="str">
        <f>VLOOKUP(A49,'3.GateMove'!A:D,4,FALSE)</f>
        <v>2026-10-17</v>
      </c>
      <c r="X49" s="63">
        <f>((T49-W49)+1)</f>
        <v>8</v>
      </c>
      <c r="Y49" s="64">
        <f>IF(AND(OR(C49="BKK01",C49="BKK04"),L49="CFS/CY"),0,IF(M49="DG",1,IF(LEFT(C49,3)="LCH",7,IF(C49="BKK02",5,3))))</f>
        <v>7</v>
      </c>
      <c r="Z49" s="63">
        <f>IF(IF(AND(AC49="TML",AB49&gt;0),((T49-W49)+1)-AB49,((T49-W49)+1)-Y49)&gt;0,IF(AND(AC49="TML",AB49&gt;0),((T49-W49)+1)-AB49,((T49-W49)+1)-Y49),0)</f>
        <v>1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125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46320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125</v>
      </c>
      <c r="AJ49" s="188" t="n"/>
      <c r="AK49" s="62" t="str">
        <f>VLOOKUP(D49,'2.Bookinglist'!A:CT,40,FALSE)</f>
        <v>Vilaiporn</v>
      </c>
      <c r="AL49" s="60" t="str">
        <f>VLOOKUP(D49,'2.Bookinglist'!A:CW,101,FALSE)</f>
        <v>2026-10-19</v>
      </c>
      <c r="AM49" s="60" t="str">
        <f>VLOOKUP(D49,'2.Bookinglist'!A:BK,63,FALSE)</f>
        <v>BKK25</v>
      </c>
      <c r="AN49" s="62" t="str">
        <f>VLOOKUP(D49,'2.Bookinglist'!A:AZ,52,FALSE)</f>
        <v>Pickup : 2026-10-16, Return : 2026-10-16
Please check open gate before return container </v>
      </c>
      <c r="AO49" s="62">
        <f>VLOOKUP(D49,'2.Bookinglist'!A:CY,103,FALSE)</f>
        <v>0</v>
      </c>
    </row>
    <row r="50" ht="12.95" customHeight="1">
      <c r="A50" s="96" t="inlineStr">
        <is>
          <t>SKLU2471001</t>
        </is>
      </c>
      <c r="B50" s="184" t="str">
        <f>IF(C50=Charge!$M$1,Charge!$J$1,IF(C50=Charge!$M$23,Charge!$J$23,IF(C50=Charge!$M$17,Charge!$J$17,IF(C50=Charge!$N$17,Charge!$J$17,Charge!$J$7))))</f>
        <v>G1</v>
      </c>
      <c r="C50" s="61" t="str">
        <f>VLOOKUP(A50,'1.Loading'!A:R,14,FALSE)</f>
        <v>LCH04</v>
      </c>
      <c r="D50" s="61" t="str">
        <f>VLOOKUP(A50,'1.Loading'!A:R,17,FALSE)</f>
        <v>HASLS22261000578</v>
      </c>
      <c r="E50" s="62" t="str">
        <f>VLOOKUP(D50,'2.Bookinglist'!A:CT,27,FALSE)</f>
        <v>MAINFREIGHT LOGISTICS (THAILAND) CO., LTD.</v>
      </c>
      <c r="F50" s="62" t="str">
        <f>VLOOKUP(D50,'2.Bookinglist'!A:CT,28,FALSE)</f>
        <v>ECOLAB LIMITED</v>
      </c>
      <c r="G50" s="60">
        <f>VLOOKUP(D50,'2.Bookinglist'!A:E,5,FALSE)</f>
        <v>0</v>
      </c>
      <c r="H50" s="61" t="str">
        <f>VLOOKUP(D50,'2.Bookinglist'!A:CT,15,FALSE)</f>
        <v>THLCH</v>
      </c>
      <c r="I50" s="61" t="str">
        <f>VLOOKUP(D50,'2.Bookinglist'!A:CT,19,FALSE)</f>
        <v>IDJKT</v>
      </c>
      <c r="J50" s="61">
        <f>VLOOKUP(D50,'2.Bookinglist'!A:CT,26,FALSE)</f>
        <v>0</v>
      </c>
      <c r="K50" s="61" t="str">
        <f>VLOOKUP(A50,'1.Loading'!A:R,5,FALSE)</f>
        <v>22GP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YSVY</v>
      </c>
      <c r="P50" s="61" t="str">
        <f>VLOOKUP(A50,'1.Loading'!A:R,4,FALSE)</f>
        <v>2608S</v>
      </c>
      <c r="Q50" s="61" t="str">
        <f>VLOOKUP(D50,'2.Bookinglist'!A:CT,12,FALSE)</f>
        <v>ANX</v>
      </c>
      <c r="R50" s="60" t="str">
        <f>IF(LEFT(K50,2)="22","20'","40'")</f>
        <v>20'</v>
      </c>
      <c r="S50" s="185" t="n"/>
      <c r="T50" s="61" t="str">
        <f>VLOOKUP(A50,'1.Loading'!A:R,2,FALSE)</f>
        <v>2026-10-24</v>
      </c>
      <c r="U50" s="63">
        <f>T50-S50</f>
        <v>46319</v>
      </c>
      <c r="V50" s="186" t="n"/>
      <c r="W50" s="61" t="str">
        <f>VLOOKUP(A50,'3.GateMove'!A:D,4,FALSE)</f>
        <v>2026-10-16</v>
      </c>
      <c r="X50" s="63">
        <f>((T50-W50)+1)</f>
        <v>9</v>
      </c>
      <c r="Y50" s="64">
        <f>IF(AND(OR(C50="BKK01",C50="BKK04"),L50="CFS/CY"),0,IF(M50="DG",1,IF(LEFT(C50,3)="LCH",7,IF(C50="BKK02",5,3))))</f>
        <v>7</v>
      </c>
      <c r="Z50" s="63">
        <f>IF(IF(AND(AC50="TML",AB50&gt;0),((T50-W50)+1)-AB50,((T50-W50)+1)-Y50)&gt;0,IF(AND(AC50="TML",AB50&gt;0),((T50-W50)+1)-AB50,((T50-W50)+1)-Y50),0)</f>
        <v>2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250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46320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250</v>
      </c>
      <c r="AJ50" s="188" t="n"/>
      <c r="AK50" s="62" t="str">
        <f>VLOOKUP(D50,'2.Bookinglist'!A:CT,40,FALSE)</f>
        <v>Sukunpoj Damrongying</v>
      </c>
      <c r="AL50" s="60" t="str">
        <f>VLOOKUP(D50,'2.Bookinglist'!A:CW,101,FALSE)</f>
        <v>2026-10-20</v>
      </c>
      <c r="AM50" s="60" t="str">
        <f>VLOOKUP(D50,'2.Bookinglist'!A:BK,63,FALSE)</f>
        <v>LCH27</v>
      </c>
      <c r="AN50" s="62" t="str">
        <f>VLOOKUP(D50,'2.Bookinglist'!A:AZ,52,FALSE)</f>
        <v>Pickup : 2026-10-15, Return : 2026-10-16</v>
      </c>
      <c r="AO50" s="62">
        <f>VLOOKUP(D50,'2.Bookinglist'!A:CY,103,FALSE)</f>
        <v>0</v>
      </c>
    </row>
    <row r="51" ht="12.95" customHeight="1">
      <c r="A51" s="96" t="inlineStr">
        <is>
          <t>SKLU3509992</t>
        </is>
      </c>
      <c r="B51" s="184" t="str">
        <f>IF(C51=Charge!$M$1,Charge!$J$1,IF(C51=Charge!$M$23,Charge!$J$23,IF(C51=Charge!$M$17,Charge!$J$17,IF(C51=Charge!$N$17,Charge!$J$17,Charge!$J$7))))</f>
        <v>G1</v>
      </c>
      <c r="C51" s="61" t="str">
        <f>VLOOKUP(A51,'1.Loading'!A:R,14,FALSE)</f>
        <v>LCH04</v>
      </c>
      <c r="D51" s="61" t="str">
        <f>VLOOKUP(A51,'1.Loading'!A:R,17,FALSE)</f>
        <v>HASLS22261000132</v>
      </c>
      <c r="E51" s="62" t="str">
        <f>VLOOKUP(D51,'2.Bookinglist'!A:CT,27,FALSE)</f>
        <v>PENANSHIN SHIPPING (THAILAND) LTD.</v>
      </c>
      <c r="F51" s="62" t="str">
        <f>VLOOKUP(D51,'2.Bookinglist'!A:CT,28,FALSE)</f>
        <v>QUAKER HOUGHTON (THAILAND) CO., LTD.</v>
      </c>
      <c r="G51" s="60">
        <f>VLOOKUP(D51,'2.Bookinglist'!A:E,5,FALSE)</f>
        <v>0</v>
      </c>
      <c r="H51" s="61" t="str">
        <f>VLOOKUP(D51,'2.Bookinglist'!A:CT,15,FALSE)</f>
        <v>THLCH</v>
      </c>
      <c r="I51" s="61" t="str">
        <f>VLOOKUP(D51,'2.Bookinglist'!A:CT,19,FALSE)</f>
        <v>IDJKT</v>
      </c>
      <c r="J51" s="61">
        <f>VLOOKUP(D51,'2.Bookinglist'!A:CT,26,FALSE)</f>
        <v>0</v>
      </c>
      <c r="K51" s="61" t="str">
        <f>VLOOKUP(A51,'1.Loading'!A:R,5,FALSE)</f>
        <v>22GP</v>
      </c>
      <c r="L51" s="60" t="str">
        <f>VLOOKUP(D51,'2.Bookinglist'!A:CT,85,FALSE)</f>
        <v>CY/CY</v>
      </c>
      <c r="M51" s="60" t="str">
        <f>IF(VLOOKUP(D51,'2.Bookinglist'!A:CT,43,FALSE)=0,"","DG")</f>
        <v>DG</v>
      </c>
      <c r="N51" s="60" t="str">
        <f>IF(RIGHT(K51,2)="RE","RF","")</f>
        <v/>
      </c>
      <c r="O51" s="61" t="str">
        <f>VLOOKUP(A51,'1.Loading'!A:R,3,FALSE)</f>
        <v>YSVY</v>
      </c>
      <c r="P51" s="61" t="str">
        <f>VLOOKUP(A51,'1.Loading'!A:R,4,FALSE)</f>
        <v>2608S</v>
      </c>
      <c r="Q51" s="61" t="str">
        <f>VLOOKUP(D51,'2.Bookinglist'!A:CT,12,FALSE)</f>
        <v>ANX</v>
      </c>
      <c r="R51" s="60" t="str">
        <f>IF(LEFT(K51,2)="22","20'","40'")</f>
        <v>20'</v>
      </c>
      <c r="S51" s="185" t="n"/>
      <c r="T51" s="61" t="str">
        <f>VLOOKUP(A51,'1.Loading'!A:R,2,FALSE)</f>
        <v>2026-10-24</v>
      </c>
      <c r="U51" s="63">
        <f>T51-S51</f>
        <v>46319</v>
      </c>
      <c r="V51" s="186" t="n"/>
      <c r="W51" s="61" t="str">
        <f>VLOOKUP(A51,'3.GateMove'!A:D,4,FALSE)</f>
        <v>2026-10-23</v>
      </c>
      <c r="X51" s="63">
        <f>((T51-W51)+1)</f>
        <v>2</v>
      </c>
      <c r="Y51" s="64">
        <f>IF(AND(OR(C51="BKK01",C51="BKK04"),L51="CFS/CY"),0,IF(M51="DG",1,IF(LEFT(C51,3)="LCH",7,IF(C51="BKK02",5,3))))</f>
        <v>1</v>
      </c>
      <c r="Z51" s="63">
        <f>IF(IF(AND(AC51="TML",AB51&gt;0),((T51-W51)+1)-AB51,((T51-W51)+1)-Y51)&gt;0,IF(AND(AC51="TML",AB51&gt;0),((T51-W51)+1)-AB51,((T51-W51)+1)-Y51),0)</f>
        <v>1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375</v>
      </c>
      <c r="AB51" s="184" t="n"/>
      <c r="AC51" s="184" t="n"/>
      <c r="AD51" s="60">
        <f>IF(M51="DG",3,IF(N51="RF",3,5))+IF(AND(LEFT(C51,3)="BKK",N51="RF",Q51="KTS"),1,0)+IF(Q51="KHS",1,0)</f>
        <v>3</v>
      </c>
      <c r="AE51" s="63">
        <f>(T51-V51)+1</f>
        <v>46320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375</v>
      </c>
      <c r="AJ51" s="188" t="n"/>
      <c r="AK51" s="62" t="str">
        <f>VLOOKUP(D51,'2.Bookinglist'!A:CT,40,FALSE)</f>
        <v>Kanokporn</v>
      </c>
      <c r="AL51" s="60" t="str">
        <f>VLOOKUP(D51,'2.Bookinglist'!A:CW,101,FALSE)</f>
        <v>2026-10-18</v>
      </c>
      <c r="AM51" s="60" t="str">
        <f>VLOOKUP(D51,'2.Bookinglist'!A:BK,63,FALSE)</f>
        <v>LCH27</v>
      </c>
      <c r="AN51" s="62" t="str">
        <f>VLOOKUP(D51,'2.Bookinglist'!A:AZ,52,FALSE)</f>
        <v>APPROVE BY KR Geonwook.kim DD : 08/10/26 //DG(CLS 9 / UN 3082) 
Pickup : 2026-10-16, Return : 2026-10-16 </v>
      </c>
      <c r="AO51" s="62">
        <f>VLOOKUP(D51,'2.Bookinglist'!A:CY,103,FALSE)</f>
        <v>0</v>
      </c>
    </row>
    <row r="52" ht="12.95" customHeight="1">
      <c r="A52" s="96" t="inlineStr">
        <is>
          <t>SKLU3512656</t>
        </is>
      </c>
      <c r="B52" s="184" t="str">
        <f>IF(C52=Charge!$M$1,Charge!$J$1,IF(C52=Charge!$M$23,Charge!$J$23,IF(C52=Charge!$M$17,Charge!$J$17,IF(C52=Charge!$N$17,Charge!$J$17,Charge!$J$7))))</f>
        <v>G1</v>
      </c>
      <c r="C52" s="61" t="str">
        <f>VLOOKUP(A52,'1.Loading'!A:R,14,FALSE)</f>
        <v>LCH04</v>
      </c>
      <c r="D52" s="61" t="str">
        <f>VLOOKUP(A52,'1.Loading'!A:R,17,FALSE)</f>
        <v>HASLS22260902768</v>
      </c>
      <c r="E52" s="62" t="str">
        <f>VLOOKUP(D52,'2.Bookinglist'!A:CT,27,FALSE)</f>
        <v>K LINE LOGISTICS (THAILAND) LTD.</v>
      </c>
      <c r="F52" s="62" t="str">
        <f>VLOOKUP(D52,'2.Bookinglist'!A:CT,28,FALSE)</f>
        <v>TOYO INK (THAILAND) CO.,LTD.</v>
      </c>
      <c r="G52" s="60">
        <f>VLOOKUP(D52,'2.Bookinglist'!A:E,5,FALSE)</f>
        <v>0</v>
      </c>
      <c r="H52" s="61" t="str">
        <f>VLOOKUP(D52,'2.Bookinglist'!A:CT,15,FALSE)</f>
        <v>THLCH</v>
      </c>
      <c r="I52" s="61" t="str">
        <f>VLOOKUP(D52,'2.Bookinglist'!A:CT,19,FALSE)</f>
        <v>IDJKT</v>
      </c>
      <c r="J52" s="61">
        <f>VLOOKUP(D52,'2.Bookinglist'!A:CT,26,FALSE)</f>
        <v>0</v>
      </c>
      <c r="K52" s="61" t="str">
        <f>VLOOKUP(A52,'1.Loading'!A:R,5,FALSE)</f>
        <v>22GP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YSVY</v>
      </c>
      <c r="P52" s="61" t="str">
        <f>VLOOKUP(A52,'1.Loading'!A:R,4,FALSE)</f>
        <v>2608S</v>
      </c>
      <c r="Q52" s="61" t="str">
        <f>VLOOKUP(D52,'2.Bookinglist'!A:CT,12,FALSE)</f>
        <v>ANX</v>
      </c>
      <c r="R52" s="60" t="str">
        <f>IF(LEFT(K52,2)="22","20'","40'")</f>
        <v>20'</v>
      </c>
      <c r="S52" s="185" t="n"/>
      <c r="T52" s="61" t="str">
        <f>VLOOKUP(A52,'1.Loading'!A:R,2,FALSE)</f>
        <v>2026-10-24</v>
      </c>
      <c r="U52" s="63">
        <f>T52-S52</f>
        <v>46319</v>
      </c>
      <c r="V52" s="186" t="n"/>
      <c r="W52" s="61" t="str">
        <f>VLOOKUP(A52,'3.GateMove'!A:D,4,FALSE)</f>
        <v>2026-10-17</v>
      </c>
      <c r="X52" s="63">
        <f>((T52-W52)+1)</f>
        <v>8</v>
      </c>
      <c r="Y52" s="64">
        <f>IF(AND(OR(C52="BKK01",C52="BKK04"),L52="CFS/CY"),0,IF(M52="DG",1,IF(LEFT(C52,3)="LCH",7,IF(C52="BKK02",5,3))))</f>
        <v>7</v>
      </c>
      <c r="Z52" s="63">
        <f>IF(IF(AND(AC52="TML",AB52&gt;0),((T52-W52)+1)-AB52,((T52-W52)+1)-Y52)&gt;0,IF(AND(AC52="TML",AB52&gt;0),((T52-W52)+1)-AB52,((T52-W52)+1)-Y52),0)</f>
        <v>1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125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46320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125</v>
      </c>
      <c r="AJ52" s="188" t="n"/>
      <c r="AK52" s="62" t="str">
        <f>VLOOKUP(D52,'2.Bookinglist'!A:CT,40,FALSE)</f>
        <v>Nustsireerach</v>
      </c>
      <c r="AL52" s="60" t="str">
        <f>VLOOKUP(D52,'2.Bookinglist'!A:CW,101,FALSE)</f>
        <v>2026-10-19</v>
      </c>
      <c r="AM52" s="60" t="str">
        <f>VLOOKUP(D52,'2.Bookinglist'!A:BK,63,FALSE)</f>
        <v>LCH27</v>
      </c>
      <c r="AN52" s="62" t="str">
        <f>VLOOKUP(D52,'2.Bookinglist'!A:AZ,52,FALSE)</f>
        <v>Pickup : 2026-10-14, Return : 2026-10-15</v>
      </c>
      <c r="AO52" s="62">
        <f>VLOOKUP(D52,'2.Bookinglist'!A:CY,103,FALSE)</f>
        <v>0</v>
      </c>
    </row>
    <row r="53" ht="12.95" customHeight="1">
      <c r="A53" s="96" t="inlineStr">
        <is>
          <t>SKLU4208946</t>
        </is>
      </c>
      <c r="B53" s="184" t="str">
        <f>IF(C53=Charge!$M$1,Charge!$J$1,IF(C53=Charge!$M$23,Charge!$J$23,IF(C53=Charge!$M$17,Charge!$J$17,IF(C53=Charge!$N$17,Charge!$J$17,Charge!$J$7))))</f>
        <v>G1</v>
      </c>
      <c r="C53" s="61" t="str">
        <f>VLOOKUP(A53,'1.Loading'!A:R,14,FALSE)</f>
        <v>LCH04</v>
      </c>
      <c r="D53" s="61" t="str">
        <f>VLOOKUP(A53,'1.Loading'!A:R,17,FALSE)</f>
        <v>HASLS22261000777</v>
      </c>
      <c r="E53" s="62" t="str">
        <f>VLOOKUP(D53,'2.Bookinglist'!A:CT,27,FALSE)</f>
        <v>ASIA ATLANTIC LINENER COMPANY LIMITED.</v>
      </c>
      <c r="F53" s="62" t="str">
        <f>VLOOKUP(D53,'2.Bookinglist'!A:CT,28,FALSE)</f>
        <v>TOYOTA TSUSHO (THAILAND) CO., LTD.</v>
      </c>
      <c r="G53" s="60">
        <f>VLOOKUP(D53,'2.Bookinglist'!A:E,5,FALSE)</f>
        <v>0</v>
      </c>
      <c r="H53" s="61" t="str">
        <f>VLOOKUP(D53,'2.Bookinglist'!A:CT,15,FALSE)</f>
        <v>THLCH</v>
      </c>
      <c r="I53" s="61" t="str">
        <f>VLOOKUP(D53,'2.Bookinglist'!A:CT,19,FALSE)</f>
        <v>IDJKT</v>
      </c>
      <c r="J53" s="61">
        <f>VLOOKUP(D53,'2.Bookinglist'!A:CT,26,FALSE)</f>
        <v>0</v>
      </c>
      <c r="K53" s="61" t="str">
        <f>VLOOKUP(A53,'1.Loading'!A:R,5,FALSE)</f>
        <v>42GP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YSVY</v>
      </c>
      <c r="P53" s="61" t="str">
        <f>VLOOKUP(A53,'1.Loading'!A:R,4,FALSE)</f>
        <v>2608S</v>
      </c>
      <c r="Q53" s="61" t="str">
        <f>VLOOKUP(D53,'2.Bookinglist'!A:CT,12,FALSE)</f>
        <v>ANX</v>
      </c>
      <c r="R53" s="60" t="str">
        <f>IF(LEFT(K53,2)="22","20'","40'")</f>
        <v>40'</v>
      </c>
      <c r="S53" s="185" t="n"/>
      <c r="T53" s="61" t="str">
        <f>VLOOKUP(A53,'1.Loading'!A:R,2,FALSE)</f>
        <v>2026-10-24</v>
      </c>
      <c r="U53" s="63">
        <f>T53-S53</f>
        <v>46319</v>
      </c>
      <c r="V53" s="186" t="n"/>
      <c r="W53" s="61" t="str">
        <f>VLOOKUP(A53,'3.GateMove'!A:D,4,FALSE)</f>
        <v>2026-10-16</v>
      </c>
      <c r="X53" s="63">
        <f>((T53-W53)+1)</f>
        <v>9</v>
      </c>
      <c r="Y53" s="64">
        <f>IF(AND(OR(C53="BKK01",C53="BKK04"),L53="CFS/CY"),0,IF(M53="DG",1,IF(LEFT(C53,3)="LCH",7,IF(C53="BKK02",5,3))))</f>
        <v>7</v>
      </c>
      <c r="Z53" s="63">
        <f>IF(IF(AND(AC53="TML",AB53&gt;0),((T53-W53)+1)-AB53,((T53-W53)+1)-Y53)&gt;0,IF(AND(AC53="TML",AB53&gt;0),((T53-W53)+1)-AB53,((T53-W53)+1)-Y53),0)</f>
        <v>2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500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46320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500</v>
      </c>
      <c r="AJ53" s="188" t="n"/>
      <c r="AK53" s="62" t="str">
        <f>VLOOKUP(D53,'2.Bookinglist'!A:CT,40,FALSE)</f>
        <v>Nannaapust Sukporntaweewat</v>
      </c>
      <c r="AL53" s="60" t="str">
        <f>VLOOKUP(D53,'2.Bookinglist'!A:CW,101,FALSE)</f>
        <v>2026-10-21</v>
      </c>
      <c r="AM53" s="60" t="str">
        <f>VLOOKUP(D53,'2.Bookinglist'!A:BK,63,FALSE)</f>
        <v>LCHY5</v>
      </c>
      <c r="AN53" s="62" t="str">
        <f>VLOOKUP(D53,'2.Bookinglist'!A:AZ,52,FALSE)</f>
        <v>Pickup : 2026-10-14, Return : 2026-10-16</v>
      </c>
      <c r="AO53" s="62">
        <f>VLOOKUP(D53,'2.Bookinglist'!A:CY,103,FALSE)</f>
        <v>0</v>
      </c>
    </row>
    <row r="54" ht="12.95" customHeight="1">
      <c r="A54" s="96" t="inlineStr">
        <is>
          <t>SKRU8900039</t>
        </is>
      </c>
      <c r="B54" s="184" t="str">
        <f>IF(C54=Charge!$M$1,Charge!$J$1,IF(C54=Charge!$M$23,Charge!$J$23,IF(C54=Charge!$M$17,Charge!$J$17,IF(C54=Charge!$N$17,Charge!$J$17,Charge!$J$7))))</f>
        <v>G1</v>
      </c>
      <c r="C54" s="61" t="str">
        <f>VLOOKUP(A54,'1.Loading'!A:R,14,FALSE)</f>
        <v>LCH04</v>
      </c>
      <c r="D54" s="61" t="str">
        <f>VLOOKUP(A54,'1.Loading'!A:R,17,FALSE)</f>
        <v>HASLS22261000093</v>
      </c>
      <c r="E54" s="62" t="str">
        <f>VLOOKUP(D54,'2.Bookinglist'!A:CT,27,FALSE)</f>
        <v>PROGRESS SHIPPING - TRANSPORT CO., LTD.</v>
      </c>
      <c r="F54" s="62" t="str">
        <f>VLOOKUP(D54,'2.Bookinglist'!A:CT,28,FALSE)</f>
        <v>FRUIT PARADISE INTERNATIONAL TRADE CO.,LTD</v>
      </c>
      <c r="G54" s="60">
        <f>VLOOKUP(D54,'2.Bookinglist'!A:E,5,FALSE)</f>
        <v>0</v>
      </c>
      <c r="H54" s="61" t="str">
        <f>VLOOKUP(D54,'2.Bookinglist'!A:CT,15,FALSE)</f>
        <v>THLCH</v>
      </c>
      <c r="I54" s="61" t="str">
        <f>VLOOKUP(D54,'2.Bookinglist'!A:CT,19,FALSE)</f>
        <v>IDJKT</v>
      </c>
      <c r="J54" s="61">
        <f>VLOOKUP(D54,'2.Bookinglist'!A:CT,26,FALSE)</f>
        <v>0</v>
      </c>
      <c r="K54" s="61" t="str">
        <f>VLOOKUP(A54,'1.Loading'!A:R,5,FALSE)</f>
        <v>45RE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>RF</v>
      </c>
      <c r="O54" s="61" t="str">
        <f>VLOOKUP(A54,'1.Loading'!A:R,3,FALSE)</f>
        <v>YSVY</v>
      </c>
      <c r="P54" s="61" t="str">
        <f>VLOOKUP(A54,'1.Loading'!A:R,4,FALSE)</f>
        <v>2608S</v>
      </c>
      <c r="Q54" s="61" t="str">
        <f>VLOOKUP(D54,'2.Bookinglist'!A:CT,12,FALSE)</f>
        <v>ANX</v>
      </c>
      <c r="R54" s="60" t="str">
        <f>IF(LEFT(K54,2)="22","20'","40'")</f>
        <v>40'</v>
      </c>
      <c r="S54" s="185" t="n"/>
      <c r="T54" s="61" t="str">
        <f>VLOOKUP(A54,'1.Loading'!A:R,2,FALSE)</f>
        <v>2026-10-24</v>
      </c>
      <c r="U54" s="63">
        <f>T54-S54</f>
        <v>46319</v>
      </c>
      <c r="V54" s="186" t="n"/>
      <c r="W54" s="61" t="str">
        <f>VLOOKUP(A54,'3.GateMove'!A:D,4,FALSE)</f>
        <v>2026-10-19</v>
      </c>
      <c r="X54" s="63">
        <f>((T54-W54)+1)</f>
        <v>6</v>
      </c>
      <c r="Y54" s="64">
        <f>IF(AND(OR(C54="BKK01",C54="BKK04"),L54="CFS/CY"),0,IF(M54="DG",1,IF(LEFT(C54,3)="LCH",7,IF(C54="BKK02",5,3))))</f>
        <v>7</v>
      </c>
      <c r="Z54" s="63">
        <f>IF(IF(AND(AC54="TML",AB54&gt;0),((T54-W54)+1)-AB54,((T54-W54)+1)-Y54)&gt;0,IF(AND(AC54="TML",AB54&gt;0),((T54-W54)+1)-AB54,((T54-W54)+1)-Y54),0)</f>
        <v>0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0</v>
      </c>
      <c r="AB54" s="184" t="n"/>
      <c r="AC54" s="184" t="n"/>
      <c r="AD54" s="60">
        <f>IF(M54="DG",3,IF(N54="RF",3,5))+IF(AND(LEFT(C54,3)="BKK",N54="RF",Q54="KTS"),1,0)+IF(Q54="KHS",1,0)</f>
        <v>3</v>
      </c>
      <c r="AE54" s="63">
        <f>(T54-V54)+1</f>
        <v>46320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0</v>
      </c>
      <c r="AJ54" s="188" t="n"/>
      <c r="AK54" s="62" t="str">
        <f>VLOOKUP(D54,'2.Bookinglist'!A:CT,40,FALSE)</f>
        <v>Pattarapong Saengthong</v>
      </c>
      <c r="AL54" s="60" t="str">
        <f>VLOOKUP(D54,'2.Bookinglist'!A:CW,101,FALSE)</f>
        <v>2026-10-19</v>
      </c>
      <c r="AM54" s="60" t="str">
        <f>VLOOKUP(D54,'2.Bookinglist'!A:BK,63,FALSE)</f>
        <v>LCH27</v>
      </c>
      <c r="AN54" s="62" t="str">
        <f>VLOOKUP(D54,'2.Bookinglist'!A:AZ,52,FALSE)</f>
        <v>Pickup : 2026-10-12, Return : 2026-10-15 (Temp +2.0 / Vent 15%)
Closing Time 2026-10-17 @ 23.59</v>
      </c>
      <c r="AO54" s="62">
        <f>VLOOKUP(D54,'2.Bookinglist'!A:CY,103,FALSE)</f>
        <v>0</v>
      </c>
    </row>
    <row r="55" ht="12.95" customHeight="1">
      <c r="A55" s="96" t="inlineStr">
        <is>
          <t>SKRU9100410</t>
        </is>
      </c>
      <c r="B55" s="184" t="str">
        <f>IF(C55=Charge!$M$1,Charge!$J$1,IF(C55=Charge!$M$23,Charge!$J$23,IF(C55=Charge!$M$17,Charge!$J$17,IF(C55=Charge!$N$17,Charge!$J$17,Charge!$J$7))))</f>
        <v>G1</v>
      </c>
      <c r="C55" s="61" t="str">
        <f>VLOOKUP(A55,'1.Loading'!A:R,14,FALSE)</f>
        <v>LCH04</v>
      </c>
      <c r="D55" s="61" t="str">
        <f>VLOOKUP(A55,'1.Loading'!A:R,17,FALSE)</f>
        <v>HASLS22261000094</v>
      </c>
      <c r="E55" s="62" t="str">
        <f>VLOOKUP(D55,'2.Bookinglist'!A:CT,27,FALSE)</f>
        <v>PROGRESS SHIPPING - TRANSPORT CO., LTD.</v>
      </c>
      <c r="F55" s="62" t="str">
        <f>VLOOKUP(D55,'2.Bookinglist'!A:CT,28,FALSE)</f>
        <v>FRUIT PARADISE INTERNATIONAL TRADE CO.,LTD</v>
      </c>
      <c r="G55" s="60">
        <f>VLOOKUP(D55,'2.Bookinglist'!A:E,5,FALSE)</f>
        <v>0</v>
      </c>
      <c r="H55" s="61" t="str">
        <f>VLOOKUP(D55,'2.Bookinglist'!A:CT,15,FALSE)</f>
        <v>THLCH</v>
      </c>
      <c r="I55" s="61" t="str">
        <f>VLOOKUP(D55,'2.Bookinglist'!A:CT,19,FALSE)</f>
        <v>IDJKT</v>
      </c>
      <c r="J55" s="61">
        <f>VLOOKUP(D55,'2.Bookinglist'!A:CT,26,FALSE)</f>
        <v>0</v>
      </c>
      <c r="K55" s="61" t="str">
        <f>VLOOKUP(A55,'1.Loading'!A:R,5,FALSE)</f>
        <v>45RE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>IF(RIGHT(K55,2)="RE","RF","")</f>
        <v>RF</v>
      </c>
      <c r="O55" s="61" t="str">
        <f>VLOOKUP(A55,'1.Loading'!A:R,3,FALSE)</f>
        <v>YSVY</v>
      </c>
      <c r="P55" s="61" t="str">
        <f>VLOOKUP(A55,'1.Loading'!A:R,4,FALSE)</f>
        <v>2608S</v>
      </c>
      <c r="Q55" s="61" t="str">
        <f>VLOOKUP(D55,'2.Bookinglist'!A:CT,12,FALSE)</f>
        <v>ANX</v>
      </c>
      <c r="R55" s="60" t="str">
        <f>IF(LEFT(K55,2)="22","20'","40'")</f>
        <v>40'</v>
      </c>
      <c r="S55" s="185" t="n"/>
      <c r="T55" s="61" t="str">
        <f>VLOOKUP(A55,'1.Loading'!A:R,2,FALSE)</f>
        <v>2026-10-24</v>
      </c>
      <c r="U55" s="63">
        <f>T55-S55</f>
        <v>46319</v>
      </c>
      <c r="V55" s="186" t="n"/>
      <c r="W55" s="61" t="str">
        <f>VLOOKUP(A55,'3.GateMove'!A:D,4,FALSE)</f>
        <v>2026-10-20</v>
      </c>
      <c r="X55" s="63">
        <f>((T55-W55)+1)</f>
        <v>5</v>
      </c>
      <c r="Y55" s="64">
        <f>IF(AND(OR(C55="BKK01",C55="BKK04"),L55="CFS/CY"),0,IF(M55="DG",1,IF(LEFT(C55,3)="LCH",7,IF(C55="BKK02",5,3))))</f>
        <v>7</v>
      </c>
      <c r="Z55" s="63">
        <f>IF(IF(AND(AC55="TML",AB55&gt;0),((T55-W55)+1)-AB55,((T55-W55)+1)-Y55)&gt;0,IF(AND(AC55="TML",AB55&gt;0),((T55-W55)+1)-AB55,((T55-W55)+1)-Y55),0)</f>
        <v>0</v>
      </c>
      <c r="AA55" s="187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0</v>
      </c>
      <c r="AB55" s="184" t="n"/>
      <c r="AC55" s="184" t="n"/>
      <c r="AD55" s="60">
        <f>IF(M55="DG",3,IF(N55="RF",3,5))+IF(AND(LEFT(C55,3)="BKK",N55="RF",Q55="KTS"),1,0)+IF(Q55="KHS",1,0)</f>
        <v>3</v>
      </c>
      <c r="AE55" s="63">
        <f>(T55-V55)+1</f>
        <v>46320</v>
      </c>
      <c r="AF55" s="63">
        <f>IF(AB55&gt;IF((V55-W55)&gt;0,V55-W55,0),0,IF(AB55&lt;IF((V55-W55)&gt;0,V55-W55,0),IF((V55-W55)&gt;0,V55-W55,0)-AB55,IF((V55-W55)&gt;0,V55-W55,0)))</f>
        <v>0</v>
      </c>
      <c r="AG55" s="187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 t="n"/>
      <c r="AI55" s="65">
        <f>AA55-AH55</f>
        <v>0</v>
      </c>
      <c r="AJ55" s="188" t="n"/>
      <c r="AK55" s="62" t="str">
        <f>VLOOKUP(D55,'2.Bookinglist'!A:CT,40,FALSE)</f>
        <v>Pattarapong Saengthong</v>
      </c>
      <c r="AL55" s="60" t="str">
        <f>VLOOKUP(D55,'2.Bookinglist'!A:CW,101,FALSE)</f>
        <v>2026-10-19</v>
      </c>
      <c r="AM55" s="60" t="str">
        <f>VLOOKUP(D55,'2.Bookinglist'!A:BK,63,FALSE)</f>
        <v>LCH27</v>
      </c>
      <c r="AN55" s="62" t="str">
        <f>VLOOKUP(D55,'2.Bookinglist'!A:AZ,52,FALSE)</f>
        <v>Pickup : 2026-10-12, Return : 2026-10-15  (Temp +2.0 / Vent 15%)
Closing Time 2026-10-17 @ 23.59</v>
      </c>
      <c r="AO55" s="62">
        <f>VLOOKUP(D55,'2.Bookinglist'!A:CY,103,FALSE)</f>
        <v>0</v>
      </c>
    </row>
    <row r="56" ht="12.95" customHeight="1">
      <c r="A56" s="96" t="inlineStr">
        <is>
          <t>SKRU9100914</t>
        </is>
      </c>
      <c r="B56" s="184" t="str">
        <f>IF(C56=Charge!$M$1,Charge!$J$1,IF(C56=Charge!$M$23,Charge!$J$23,IF(C56=Charge!$M$17,Charge!$J$17,IF(C56=Charge!$N$17,Charge!$J$17,Charge!$J$7))))</f>
        <v>G1</v>
      </c>
      <c r="C56" s="61" t="str">
        <f>VLOOKUP(A56,'1.Loading'!A:R,14,FALSE)</f>
        <v>LCH04</v>
      </c>
      <c r="D56" s="61" t="str">
        <f>VLOOKUP(A56,'1.Loading'!A:R,17,FALSE)</f>
        <v>HASLS22260902289</v>
      </c>
      <c r="E56" s="62" t="str">
        <f>VLOOKUP(D56,'2.Bookinglist'!A:CT,27,FALSE)</f>
        <v>INTER FRESH CO., LTD.</v>
      </c>
      <c r="F56" s="62" t="str">
        <f>VLOOKUP(D56,'2.Bookinglist'!A:CT,28,FALSE)</f>
        <v>INTER FRESH CO., LTD.</v>
      </c>
      <c r="G56" s="60">
        <f>VLOOKUP(D56,'2.Bookinglist'!A:E,5,FALSE)</f>
        <v>0</v>
      </c>
      <c r="H56" s="61" t="str">
        <f>VLOOKUP(D56,'2.Bookinglist'!A:CT,15,FALSE)</f>
        <v>THLCH</v>
      </c>
      <c r="I56" s="61" t="str">
        <f>VLOOKUP(D56,'2.Bookinglist'!A:CT,19,FALSE)</f>
        <v>IDJKT</v>
      </c>
      <c r="J56" s="61">
        <f>VLOOKUP(D56,'2.Bookinglist'!A:CT,26,FALSE)</f>
        <v>0</v>
      </c>
      <c r="K56" s="61" t="str">
        <f>VLOOKUP(A56,'1.Loading'!A:R,5,FALSE)</f>
        <v>45RE</v>
      </c>
      <c r="L56" s="60" t="str">
        <f>VLOOKUP(D56,'2.Bookinglist'!A:CT,85,FALSE)</f>
        <v>CY/CY</v>
      </c>
      <c r="M56" s="60" t="str">
        <f>IF(VLOOKUP(D56,'2.Bookinglist'!A:CT,43,FALSE)=0,"","DG")</f>
        <v/>
      </c>
      <c r="N56" s="60" t="str">
        <f>IF(RIGHT(K56,2)="RE","RF","")</f>
        <v>RF</v>
      </c>
      <c r="O56" s="61" t="str">
        <f>VLOOKUP(A56,'1.Loading'!A:R,3,FALSE)</f>
        <v>YSVY</v>
      </c>
      <c r="P56" s="61" t="str">
        <f>VLOOKUP(A56,'1.Loading'!A:R,4,FALSE)</f>
        <v>2608S</v>
      </c>
      <c r="Q56" s="61" t="str">
        <f>VLOOKUP(D56,'2.Bookinglist'!A:CT,12,FALSE)</f>
        <v>ANX</v>
      </c>
      <c r="R56" s="60" t="str">
        <f>IF(LEFT(K56,2)="22","20'","40'")</f>
        <v>40'</v>
      </c>
      <c r="S56" s="185" t="n"/>
      <c r="T56" s="61" t="str">
        <f>VLOOKUP(A56,'1.Loading'!A:R,2,FALSE)</f>
        <v>2026-10-24</v>
      </c>
      <c r="U56" s="63">
        <f>T56-S56</f>
        <v>46319</v>
      </c>
      <c r="V56" s="186" t="n"/>
      <c r="W56" s="61" t="str">
        <f>VLOOKUP(A56,'3.GateMove'!A:D,4,FALSE)</f>
        <v>2026-10-21</v>
      </c>
      <c r="X56" s="63">
        <f>((T56-W56)+1)</f>
        <v>4</v>
      </c>
      <c r="Y56" s="64">
        <f>IF(AND(OR(C56="BKK01",C56="BKK04"),L56="CFS/CY"),0,IF(M56="DG",1,IF(LEFT(C56,3)="LCH",7,IF(C56="BKK02",5,3))))</f>
        <v>7</v>
      </c>
      <c r="Z56" s="63">
        <f>IF(IF(AND(AC56="TML",AB56&gt;0),((T56-W56)+1)-AB56,((T56-W56)+1)-Y56)&gt;0,IF(AND(AC56="TML",AB56&gt;0),((T56-W56)+1)-AB56,((T56-W56)+1)-Y56),0)</f>
        <v>0</v>
      </c>
      <c r="AA56" s="187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0</v>
      </c>
      <c r="AB56" s="184" t="n"/>
      <c r="AC56" s="184" t="n"/>
      <c r="AD56" s="60">
        <f>IF(M56="DG",3,IF(N56="RF",3,5))+IF(AND(LEFT(C56,3)="BKK",N56="RF",Q56="KTS"),1,0)+IF(Q56="KHS",1,0)</f>
        <v>3</v>
      </c>
      <c r="AE56" s="63">
        <f>(T56-V56)+1</f>
        <v>46320</v>
      </c>
      <c r="AF56" s="63">
        <f>IF(AB56&gt;IF((V56-W56)&gt;0,V56-W56,0),0,IF(AB56&lt;IF((V56-W56)&gt;0,V56-W56,0),IF((V56-W56)&gt;0,V56-W56,0)-AB56,IF((V56-W56)&gt;0,V56-W56,0)))</f>
        <v>0</v>
      </c>
      <c r="AG56" s="187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5" t="n"/>
      <c r="AI56" s="65">
        <f>AA56-AH56</f>
        <v>0</v>
      </c>
      <c r="AJ56" s="188" t="n"/>
      <c r="AK56" s="62" t="str">
        <f>VLOOKUP(D56,'2.Bookinglist'!A:CT,40,FALSE)</f>
        <v>Pattarapong Saengthong</v>
      </c>
      <c r="AL56" s="60" t="str">
        <f>VLOOKUP(D56,'2.Bookinglist'!A:CW,101,FALSE)</f>
        <v>2026-10-17</v>
      </c>
      <c r="AM56" s="60" t="str">
        <f>VLOOKUP(D56,'2.Bookinglist'!A:BK,63,FALSE)</f>
        <v>LCH27</v>
      </c>
      <c r="AN56" s="62" t="str">
        <f>VLOOKUP(D56,'2.Bookinglist'!A:AZ,52,FALSE)</f>
        <v>Pickup : 2026-10-09, Return : 2026-10-15 (Temp +2.0 / Vent 30% Open) 
Closing Time 2026-10-15 @ 23.59</v>
      </c>
      <c r="AO56" s="62">
        <f>VLOOKUP(D56,'2.Bookinglist'!A:CY,103,FALSE)</f>
        <v>0</v>
      </c>
    </row>
    <row r="57" ht="12.95" customHeight="1">
      <c r="A57" s="96" t="inlineStr">
        <is>
          <t>SKRU9101525</t>
        </is>
      </c>
      <c r="B57" s="184" t="str">
        <f>IF(C57=Charge!$M$1,Charge!$J$1,IF(C57=Charge!$M$23,Charge!$J$23,IF(C57=Charge!$M$17,Charge!$J$17,IF(C57=Charge!$N$17,Charge!$J$17,Charge!$J$7))))</f>
        <v>G1</v>
      </c>
      <c r="C57" s="61" t="str">
        <f>VLOOKUP(A57,'1.Loading'!A:R,14,FALSE)</f>
        <v>LCH04</v>
      </c>
      <c r="D57" s="61" t="str">
        <f>VLOOKUP(A57,'1.Loading'!A:R,17,FALSE)</f>
        <v>HASLS22261000236</v>
      </c>
      <c r="E57" s="62" t="str">
        <f>VLOOKUP(D57,'2.Bookinglist'!A:CT,27,FALSE)</f>
        <v>BE 1ST ALLIANCE CO., LTD.</v>
      </c>
      <c r="F57" s="62" t="str">
        <f>VLOOKUP(D57,'2.Bookinglist'!A:CT,28,FALSE)</f>
        <v>ON PROMO CO.,LTD.</v>
      </c>
      <c r="G57" s="60">
        <f>VLOOKUP(D57,'2.Bookinglist'!A:E,5,FALSE)</f>
        <v>0</v>
      </c>
      <c r="H57" s="61" t="str">
        <f>VLOOKUP(D57,'2.Bookinglist'!A:CT,15,FALSE)</f>
        <v>THLCH</v>
      </c>
      <c r="I57" s="61" t="str">
        <f>VLOOKUP(D57,'2.Bookinglist'!A:CT,19,FALSE)</f>
        <v>IDJKT</v>
      </c>
      <c r="J57" s="61">
        <f>VLOOKUP(D57,'2.Bookinglist'!A:CT,26,FALSE)</f>
        <v>0</v>
      </c>
      <c r="K57" s="61" t="str">
        <f>VLOOKUP(A57,'1.Loading'!A:R,5,FALSE)</f>
        <v>45RE</v>
      </c>
      <c r="L57" s="60" t="str">
        <f>VLOOKUP(D57,'2.Bookinglist'!A:CT,85,FALSE)</f>
        <v>CY/CY</v>
      </c>
      <c r="M57" s="60" t="str">
        <f>IF(VLOOKUP(D57,'2.Bookinglist'!A:CT,43,FALSE)=0,"","DG")</f>
        <v/>
      </c>
      <c r="N57" s="60" t="str">
        <f>IF(RIGHT(K57,2)="RE","RF","")</f>
        <v>RF</v>
      </c>
      <c r="O57" s="61" t="str">
        <f>VLOOKUP(A57,'1.Loading'!A:R,3,FALSE)</f>
        <v>YSVY</v>
      </c>
      <c r="P57" s="61" t="str">
        <f>VLOOKUP(A57,'1.Loading'!A:R,4,FALSE)</f>
        <v>2608S</v>
      </c>
      <c r="Q57" s="61" t="str">
        <f>VLOOKUP(D57,'2.Bookinglist'!A:CT,12,FALSE)</f>
        <v>ANX</v>
      </c>
      <c r="R57" s="60" t="str">
        <f>IF(LEFT(K57,2)="22","20'","40'")</f>
        <v>40'</v>
      </c>
      <c r="S57" s="185" t="n"/>
      <c r="T57" s="61" t="str">
        <f>VLOOKUP(A57,'1.Loading'!A:R,2,FALSE)</f>
        <v>2026-10-24</v>
      </c>
      <c r="U57" s="63">
        <f>T57-S57</f>
        <v>46319</v>
      </c>
      <c r="V57" s="186" t="n"/>
      <c r="W57" s="61" t="str">
        <f>VLOOKUP(A57,'3.GateMove'!A:D,4,FALSE)</f>
        <v>2026-10-20</v>
      </c>
      <c r="X57" s="63">
        <f>((T57-W57)+1)</f>
        <v>5</v>
      </c>
      <c r="Y57" s="64">
        <f>IF(AND(OR(C57="BKK01",C57="BKK04"),L57="CFS/CY"),0,IF(M57="DG",1,IF(LEFT(C57,3)="LCH",7,IF(C57="BKK02",5,3))))</f>
        <v>7</v>
      </c>
      <c r="Z57" s="63">
        <f>IF(IF(AND(AC57="TML",AB57&gt;0),((T57-W57)+1)-AB57,((T57-W57)+1)-Y57)&gt;0,IF(AND(AC57="TML",AB57&gt;0),((T57-W57)+1)-AB57,((T57-W57)+1)-Y57),0)</f>
        <v>0</v>
      </c>
      <c r="AA57" s="187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0</v>
      </c>
      <c r="AB57" s="184" t="n"/>
      <c r="AC57" s="184" t="n"/>
      <c r="AD57" s="60">
        <f>IF(M57="DG",3,IF(N57="RF",3,5))+IF(AND(LEFT(C57,3)="BKK",N57="RF",Q57="KTS"),1,0)+IF(Q57="KHS",1,0)</f>
        <v>3</v>
      </c>
      <c r="AE57" s="63">
        <f>(T57-V57)+1</f>
        <v>46320</v>
      </c>
      <c r="AF57" s="63">
        <f>IF(AB57&gt;IF((V57-W57)&gt;0,V57-W57,0),0,IF(AB57&lt;IF((V57-W57)&gt;0,V57-W57,0),IF((V57-W57)&gt;0,V57-W57,0)-AB57,IF((V57-W57)&gt;0,V57-W57,0)))</f>
        <v>0</v>
      </c>
      <c r="AG57" s="187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5" t="n"/>
      <c r="AI57" s="65">
        <f>AA57-AH57</f>
        <v>0</v>
      </c>
      <c r="AJ57" s="188" t="n"/>
      <c r="AK57" s="62" t="str">
        <f>VLOOKUP(D57,'2.Bookinglist'!A:CT,40,FALSE)</f>
        <v>Arunphat W. (Aiw)</v>
      </c>
      <c r="AL57" s="60" t="str">
        <f>VLOOKUP(D57,'2.Bookinglist'!A:CW,101,FALSE)</f>
        <v>2026-10-18</v>
      </c>
      <c r="AM57" s="60" t="str">
        <f>VLOOKUP(D57,'2.Bookinglist'!A:BK,63,FALSE)</f>
        <v>LCH27</v>
      </c>
      <c r="AN57" s="62" t="str">
        <f>VLOOKUP(D57,'2.Bookinglist'!A:AZ,52,FALSE)</f>
        <v>Pickup : 2026-10-15, Return : 2026-10-17  (Temp +2.0 / Vent 15% Open) 
Closing Time 2026-10-20 @ 23.59
**CHANGED FM VENT 10% TO 15% BY K.PATCHARIN DD.16/10/26**</v>
      </c>
      <c r="AO57" s="62">
        <f>VLOOKUP(D57,'2.Bookinglist'!A:CY,103,FALSE)</f>
        <v>0</v>
      </c>
    </row>
    <row r="58" ht="12.95" customHeight="1">
      <c r="A58" s="96" t="inlineStr">
        <is>
          <t>SKRU9200240</t>
        </is>
      </c>
      <c r="B58" s="184" t="str">
        <f>IF(C58=Charge!$M$1,Charge!$J$1,IF(C58=Charge!$M$23,Charge!$J$23,IF(C58=Charge!$M$17,Charge!$J$17,IF(C58=Charge!$N$17,Charge!$J$17,Charge!$J$7))))</f>
        <v>G1</v>
      </c>
      <c r="C58" s="61" t="str">
        <f>VLOOKUP(A58,'1.Loading'!A:R,14,FALSE)</f>
        <v>LCH04</v>
      </c>
      <c r="D58" s="61" t="str">
        <f>VLOOKUP(A58,'1.Loading'!A:R,17,FALSE)</f>
        <v>HASLS22261000233</v>
      </c>
      <c r="E58" s="62" t="str">
        <f>VLOOKUP(D58,'2.Bookinglist'!A:CT,27,FALSE)</f>
        <v>BE 1ST ALLIANCE CO., LTD.</v>
      </c>
      <c r="F58" s="62" t="str">
        <f>VLOOKUP(D58,'2.Bookinglist'!A:CT,28,FALSE)</f>
        <v>SUCCESS IMPORT &amp; EXPORT CO., LTD.</v>
      </c>
      <c r="G58" s="60">
        <f>VLOOKUP(D58,'2.Bookinglist'!A:E,5,FALSE)</f>
        <v>0</v>
      </c>
      <c r="H58" s="61" t="str">
        <f>VLOOKUP(D58,'2.Bookinglist'!A:CT,15,FALSE)</f>
        <v>THLCH</v>
      </c>
      <c r="I58" s="61" t="str">
        <f>VLOOKUP(D58,'2.Bookinglist'!A:CT,19,FALSE)</f>
        <v>IDJKT</v>
      </c>
      <c r="J58" s="61">
        <f>VLOOKUP(D58,'2.Bookinglist'!A:CT,26,FALSE)</f>
        <v>0</v>
      </c>
      <c r="K58" s="61" t="str">
        <f>VLOOKUP(A58,'1.Loading'!A:R,5,FALSE)</f>
        <v>45RE</v>
      </c>
      <c r="L58" s="60" t="str">
        <f>VLOOKUP(D58,'2.Bookinglist'!A:CT,85,FALSE)</f>
        <v>CY/CY</v>
      </c>
      <c r="M58" s="60" t="str">
        <f>IF(VLOOKUP(D58,'2.Bookinglist'!A:CT,43,FALSE)=0,"","DG")</f>
        <v/>
      </c>
      <c r="N58" s="60" t="str">
        <f>IF(RIGHT(K58,2)="RE","RF","")</f>
        <v>RF</v>
      </c>
      <c r="O58" s="61" t="str">
        <f>VLOOKUP(A58,'1.Loading'!A:R,3,FALSE)</f>
        <v>YSVY</v>
      </c>
      <c r="P58" s="61" t="str">
        <f>VLOOKUP(A58,'1.Loading'!A:R,4,FALSE)</f>
        <v>2608S</v>
      </c>
      <c r="Q58" s="61" t="str">
        <f>VLOOKUP(D58,'2.Bookinglist'!A:CT,12,FALSE)</f>
        <v>ANX</v>
      </c>
      <c r="R58" s="60" t="str">
        <f>IF(LEFT(K58,2)="22","20'","40'")</f>
        <v>40'</v>
      </c>
      <c r="S58" s="185" t="n"/>
      <c r="T58" s="61" t="str">
        <f>VLOOKUP(A58,'1.Loading'!A:R,2,FALSE)</f>
        <v>2026-10-24</v>
      </c>
      <c r="U58" s="63">
        <f>T58-S58</f>
        <v>46319</v>
      </c>
      <c r="V58" s="186" t="n"/>
      <c r="W58" s="61" t="str">
        <f>VLOOKUP(A58,'3.GateMove'!A:D,4,FALSE)</f>
        <v>2026-10-20</v>
      </c>
      <c r="X58" s="63">
        <f>((T58-W58)+1)</f>
        <v>5</v>
      </c>
      <c r="Y58" s="64">
        <f>IF(AND(OR(C58="BKK01",C58="BKK04"),L58="CFS/CY"),0,IF(M58="DG",1,IF(LEFT(C58,3)="LCH",7,IF(C58="BKK02",5,3))))</f>
        <v>7</v>
      </c>
      <c r="Z58" s="63">
        <f>IF(IF(AND(AC58="TML",AB58&gt;0),((T58-W58)+1)-AB58,((T58-W58)+1)-Y58)&gt;0,IF(AND(AC58="TML",AB58&gt;0),((T58-W58)+1)-AB58,((T58-W58)+1)-Y58),0)</f>
        <v>0</v>
      </c>
      <c r="AA58" s="187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0</v>
      </c>
      <c r="AB58" s="184" t="n"/>
      <c r="AC58" s="184" t="n"/>
      <c r="AD58" s="60">
        <f>IF(M58="DG",3,IF(N58="RF",3,5))+IF(AND(LEFT(C58,3)="BKK",N58="RF",Q58="KTS"),1,0)+IF(Q58="KHS",1,0)</f>
        <v>3</v>
      </c>
      <c r="AE58" s="63">
        <f>(T58-V58)+1</f>
        <v>46320</v>
      </c>
      <c r="AF58" s="63">
        <f>IF(AB58&gt;IF((V58-W58)&gt;0,V58-W58,0),0,IF(AB58&lt;IF((V58-W58)&gt;0,V58-W58,0),IF((V58-W58)&gt;0,V58-W58,0)-AB58,IF((V58-W58)&gt;0,V58-W58,0)))</f>
        <v>0</v>
      </c>
      <c r="AG58" s="187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5" t="n"/>
      <c r="AI58" s="65">
        <f>AA58-AH58</f>
        <v>0</v>
      </c>
      <c r="AJ58" s="188" t="n"/>
      <c r="AK58" s="62" t="str">
        <f>VLOOKUP(D58,'2.Bookinglist'!A:CT,40,FALSE)</f>
        <v>Arunphat W. (Aiw)</v>
      </c>
      <c r="AL58" s="60" t="str">
        <f>VLOOKUP(D58,'2.Bookinglist'!A:CW,101,FALSE)</f>
        <v>2026-10-18</v>
      </c>
      <c r="AM58" s="60" t="str">
        <f>VLOOKUP(D58,'2.Bookinglist'!A:BK,63,FALSE)</f>
        <v>LCH27</v>
      </c>
      <c r="AN58" s="62" t="str">
        <f>VLOOKUP(D58,'2.Bookinglist'!A:AZ,52,FALSE)</f>
        <v>Pickup : 2026-10-15, Return : 2026-10-17  (Temp +2.0 / Vent 15% Open) 
EXTEND CLOSING TIME DD.22/10/2026 @ 10.00Hrs.</v>
      </c>
      <c r="AO58" s="62">
        <f>VLOOKUP(D58,'2.Bookinglist'!A:CY,103,FALSE)</f>
        <v>0</v>
      </c>
    </row>
    <row r="59" ht="12.95" customHeight="1">
      <c r="A59" s="96" t="inlineStr">
        <is>
          <t>SKRU9201294</t>
        </is>
      </c>
      <c r="B59" s="184" t="str">
        <f>IF(C59=Charge!$M$1,Charge!$J$1,IF(C59=Charge!$M$23,Charge!$J$23,IF(C59=Charge!$M$17,Charge!$J$17,IF(C59=Charge!$N$17,Charge!$J$17,Charge!$J$7))))</f>
        <v>G1</v>
      </c>
      <c r="C59" s="61" t="str">
        <f>VLOOKUP(A59,'1.Loading'!A:R,14,FALSE)</f>
        <v>LCH04</v>
      </c>
      <c r="D59" s="61" t="str">
        <f>VLOOKUP(A59,'1.Loading'!A:R,17,FALSE)</f>
        <v>HASLS22261000095</v>
      </c>
      <c r="E59" s="62" t="str">
        <f>VLOOKUP(D59,'2.Bookinglist'!A:CT,27,FALSE)</f>
        <v>PROGRESS SHIPPING - TRANSPORT CO., LTD.</v>
      </c>
      <c r="F59" s="62" t="str">
        <f>VLOOKUP(D59,'2.Bookinglist'!A:CT,28,FALSE)</f>
        <v>FRUIT PARADISE INTERNATIONAL TRADE CO.,LTD</v>
      </c>
      <c r="G59" s="60">
        <f>VLOOKUP(D59,'2.Bookinglist'!A:E,5,FALSE)</f>
        <v>0</v>
      </c>
      <c r="H59" s="61" t="str">
        <f>VLOOKUP(D59,'2.Bookinglist'!A:CT,15,FALSE)</f>
        <v>THLCH</v>
      </c>
      <c r="I59" s="61" t="str">
        <f>VLOOKUP(D59,'2.Bookinglist'!A:CT,19,FALSE)</f>
        <v>IDJKT</v>
      </c>
      <c r="J59" s="61">
        <f>VLOOKUP(D59,'2.Bookinglist'!A:CT,26,FALSE)</f>
        <v>0</v>
      </c>
      <c r="K59" s="61" t="str">
        <f>VLOOKUP(A59,'1.Loading'!A:R,5,FALSE)</f>
        <v>45RE</v>
      </c>
      <c r="L59" s="60" t="str">
        <f>VLOOKUP(D59,'2.Bookinglist'!A:CT,85,FALSE)</f>
        <v>CY/CY</v>
      </c>
      <c r="M59" s="60" t="str">
        <f>IF(VLOOKUP(D59,'2.Bookinglist'!A:CT,43,FALSE)=0,"","DG")</f>
        <v/>
      </c>
      <c r="N59" s="60" t="str">
        <f>IF(RIGHT(K59,2)="RE","RF","")</f>
        <v>RF</v>
      </c>
      <c r="O59" s="61" t="str">
        <f>VLOOKUP(A59,'1.Loading'!A:R,3,FALSE)</f>
        <v>YSVY</v>
      </c>
      <c r="P59" s="61" t="str">
        <f>VLOOKUP(A59,'1.Loading'!A:R,4,FALSE)</f>
        <v>2608S</v>
      </c>
      <c r="Q59" s="61" t="str">
        <f>VLOOKUP(D59,'2.Bookinglist'!A:CT,12,FALSE)</f>
        <v>ANX</v>
      </c>
      <c r="R59" s="60" t="str">
        <f>IF(LEFT(K59,2)="22","20'","40'")</f>
        <v>40'</v>
      </c>
      <c r="S59" s="185" t="n"/>
      <c r="T59" s="61" t="str">
        <f>VLOOKUP(A59,'1.Loading'!A:R,2,FALSE)</f>
        <v>2026-10-24</v>
      </c>
      <c r="U59" s="63">
        <f>T59-S59</f>
        <v>46319</v>
      </c>
      <c r="V59" s="186" t="n"/>
      <c r="W59" s="61" t="str">
        <f>VLOOKUP(A59,'3.GateMove'!A:D,4,FALSE)</f>
        <v>2026-10-20</v>
      </c>
      <c r="X59" s="63">
        <f>((T59-W59)+1)</f>
        <v>5</v>
      </c>
      <c r="Y59" s="64">
        <f>IF(AND(OR(C59="BKK01",C59="BKK04"),L59="CFS/CY"),0,IF(M59="DG",1,IF(LEFT(C59,3)="LCH",7,IF(C59="BKK02",5,3))))</f>
        <v>7</v>
      </c>
      <c r="Z59" s="63">
        <f>IF(IF(AND(AC59="TML",AB59&gt;0),((T59-W59)+1)-AB59,((T59-W59)+1)-Y59)&gt;0,IF(AND(AC59="TML",AB59&gt;0),((T59-W59)+1)-AB59,((T59-W59)+1)-Y59),0)</f>
        <v>0</v>
      </c>
      <c r="AA59" s="187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0</v>
      </c>
      <c r="AB59" s="184" t="n"/>
      <c r="AC59" s="184" t="n"/>
      <c r="AD59" s="60">
        <f>IF(M59="DG",3,IF(N59="RF",3,5))+IF(AND(LEFT(C59,3)="BKK",N59="RF",Q59="KTS"),1,0)+IF(Q59="KHS",1,0)</f>
        <v>3</v>
      </c>
      <c r="AE59" s="63">
        <f>(T59-V59)+1</f>
        <v>46320</v>
      </c>
      <c r="AF59" s="63">
        <f>IF(AB59&gt;IF((V59-W59)&gt;0,V59-W59,0),0,IF(AB59&lt;IF((V59-W59)&gt;0,V59-W59,0),IF((V59-W59)&gt;0,V59-W59,0)-AB59,IF((V59-W59)&gt;0,V59-W59,0)))</f>
        <v>0</v>
      </c>
      <c r="AG59" s="187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5" t="n"/>
      <c r="AI59" s="65">
        <f>AA59-AH59</f>
        <v>0</v>
      </c>
      <c r="AJ59" s="188" t="n"/>
      <c r="AK59" s="62" t="str">
        <f>VLOOKUP(D59,'2.Bookinglist'!A:CT,40,FALSE)</f>
        <v>Pattarapong Saengthong</v>
      </c>
      <c r="AL59" s="60" t="str">
        <f>VLOOKUP(D59,'2.Bookinglist'!A:CW,101,FALSE)</f>
        <v>2026-10-19</v>
      </c>
      <c r="AM59" s="60" t="str">
        <f>VLOOKUP(D59,'2.Bookinglist'!A:BK,63,FALSE)</f>
        <v>LCH27</v>
      </c>
      <c r="AN59" s="62" t="str">
        <f>VLOOKUP(D59,'2.Bookinglist'!A:AZ,52,FALSE)</f>
        <v>Pickup : 2026-10-12, Return : 2026-10-15  (Temp +2.0 / Vent 15%)
Closing Time 2026-10-17 @ 23.59</v>
      </c>
      <c r="AO59" s="62">
        <f>VLOOKUP(D59,'2.Bookinglist'!A:CY,103,FALSE)</f>
        <v>0</v>
      </c>
    </row>
    <row r="60" ht="12.95" customHeight="1">
      <c r="A60" s="96" t="inlineStr">
        <is>
          <t>SKRU9600910</t>
        </is>
      </c>
      <c r="B60" s="184" t="str">
        <f>IF(C60=Charge!$M$1,Charge!$J$1,IF(C60=Charge!$M$23,Charge!$J$23,IF(C60=Charge!$M$17,Charge!$J$17,IF(C60=Charge!$N$17,Charge!$J$17,Charge!$J$7))))</f>
        <v>G1</v>
      </c>
      <c r="C60" s="61" t="str">
        <f>VLOOKUP(A60,'1.Loading'!A:R,14,FALSE)</f>
        <v>LCH04</v>
      </c>
      <c r="D60" s="61" t="str">
        <f>VLOOKUP(A60,'1.Loading'!A:R,17,FALSE)</f>
        <v>HASLS22260902288</v>
      </c>
      <c r="E60" s="62" t="str">
        <f>VLOOKUP(D60,'2.Bookinglist'!A:CT,27,FALSE)</f>
        <v>INTER FRESH CO., LTD.</v>
      </c>
      <c r="F60" s="62" t="str">
        <f>VLOOKUP(D60,'2.Bookinglist'!A:CT,28,FALSE)</f>
        <v>INTER FRESH CO., LTD.</v>
      </c>
      <c r="G60" s="60">
        <f>VLOOKUP(D60,'2.Bookinglist'!A:E,5,FALSE)</f>
        <v>0</v>
      </c>
      <c r="H60" s="61" t="str">
        <f>VLOOKUP(D60,'2.Bookinglist'!A:CT,15,FALSE)</f>
        <v>THLCH</v>
      </c>
      <c r="I60" s="61" t="str">
        <f>VLOOKUP(D60,'2.Bookinglist'!A:CT,19,FALSE)</f>
        <v>IDJKT</v>
      </c>
      <c r="J60" s="61">
        <f>VLOOKUP(D60,'2.Bookinglist'!A:CT,26,FALSE)</f>
        <v>0</v>
      </c>
      <c r="K60" s="61" t="str">
        <f>VLOOKUP(A60,'1.Loading'!A:R,5,FALSE)</f>
        <v>45RE</v>
      </c>
      <c r="L60" s="60" t="str">
        <f>VLOOKUP(D60,'2.Bookinglist'!A:CT,85,FALSE)</f>
        <v>CY/CY</v>
      </c>
      <c r="M60" s="60" t="str">
        <f>IF(VLOOKUP(D60,'2.Bookinglist'!A:CT,43,FALSE)=0,"","DG")</f>
        <v/>
      </c>
      <c r="N60" s="60" t="str">
        <f>IF(RIGHT(K60,2)="RE","RF","")</f>
        <v>RF</v>
      </c>
      <c r="O60" s="61" t="str">
        <f>VLOOKUP(A60,'1.Loading'!A:R,3,FALSE)</f>
        <v>YSVY</v>
      </c>
      <c r="P60" s="61" t="str">
        <f>VLOOKUP(A60,'1.Loading'!A:R,4,FALSE)</f>
        <v>2608S</v>
      </c>
      <c r="Q60" s="61" t="str">
        <f>VLOOKUP(D60,'2.Bookinglist'!A:CT,12,FALSE)</f>
        <v>ANX</v>
      </c>
      <c r="R60" s="60" t="str">
        <f>IF(LEFT(K60,2)="22","20'","40'")</f>
        <v>40'</v>
      </c>
      <c r="S60" s="185" t="n"/>
      <c r="T60" s="61" t="str">
        <f>VLOOKUP(A60,'1.Loading'!A:R,2,FALSE)</f>
        <v>2026-10-24</v>
      </c>
      <c r="U60" s="63">
        <f>T60-S60</f>
        <v>46319</v>
      </c>
      <c r="V60" s="186" t="n"/>
      <c r="W60" s="61" t="str">
        <f>VLOOKUP(A60,'3.GateMove'!A:D,4,FALSE)</f>
        <v>2026-10-20</v>
      </c>
      <c r="X60" s="63">
        <f>((T60-W60)+1)</f>
        <v>5</v>
      </c>
      <c r="Y60" s="64">
        <f>IF(AND(OR(C60="BKK01",C60="BKK04"),L60="CFS/CY"),0,IF(M60="DG",1,IF(LEFT(C60,3)="LCH",7,IF(C60="BKK02",5,3))))</f>
        <v>7</v>
      </c>
      <c r="Z60" s="63">
        <f>IF(IF(AND(AC60="TML",AB60&gt;0),((T60-W60)+1)-AB60,((T60-W60)+1)-Y60)&gt;0,IF(AND(AC60="TML",AB60&gt;0),((T60-W60)+1)-AB60,((T60-W60)+1)-Y60),0)</f>
        <v>0</v>
      </c>
      <c r="AA60" s="187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0</v>
      </c>
      <c r="AB60" s="184" t="n"/>
      <c r="AC60" s="184" t="n"/>
      <c r="AD60" s="60">
        <f>IF(M60="DG",3,IF(N60="RF",3,5))+IF(AND(LEFT(C60,3)="BKK",N60="RF",Q60="KTS"),1,0)+IF(Q60="KHS",1,0)</f>
        <v>3</v>
      </c>
      <c r="AE60" s="63">
        <f>(T60-V60)+1</f>
        <v>46320</v>
      </c>
      <c r="AF60" s="63">
        <f>IF(AB60&gt;IF((V60-W60)&gt;0,V60-W60,0),0,IF(AB60&lt;IF((V60-W60)&gt;0,V60-W60,0),IF((V60-W60)&gt;0,V60-W60,0)-AB60,IF((V60-W60)&gt;0,V60-W60,0)))</f>
        <v>0</v>
      </c>
      <c r="AG60" s="187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5" t="n"/>
      <c r="AI60" s="65">
        <f>AA60-AH60</f>
        <v>0</v>
      </c>
      <c r="AJ60" s="188" t="n"/>
      <c r="AK60" s="62" t="str">
        <f>VLOOKUP(D60,'2.Bookinglist'!A:CT,40,FALSE)</f>
        <v>Pattarapong Saengthong</v>
      </c>
      <c r="AL60" s="60" t="str">
        <f>VLOOKUP(D60,'2.Bookinglist'!A:CW,101,FALSE)</f>
        <v>2026-10-17</v>
      </c>
      <c r="AM60" s="60" t="str">
        <f>VLOOKUP(D60,'2.Bookinglist'!A:BK,63,FALSE)</f>
        <v>LCH27</v>
      </c>
      <c r="AN60" s="62" t="str">
        <f>VLOOKUP(D60,'2.Bookinglist'!A:AZ,52,FALSE)</f>
        <v>Pickup : 2026-10-16, Return : 2026-10-20 (Temp +2.0 / Vent 30% Open) 
Closing Time 2026-10-20 @ 23.59</v>
      </c>
      <c r="AO60" s="62">
        <f>VLOOKUP(D60,'2.Bookinglist'!A:CY,103,FALSE)</f>
        <v>0</v>
      </c>
    </row>
    <row r="61" ht="12.95" customHeight="1">
      <c r="A61" s="96" t="inlineStr">
        <is>
          <t>SZLU9228144</t>
        </is>
      </c>
      <c r="B61" s="184" t="str">
        <f>IF(C61=Charge!$M$1,Charge!$J$1,IF(C61=Charge!$M$23,Charge!$J$23,IF(C61=Charge!$M$17,Charge!$J$17,IF(C61=Charge!$N$17,Charge!$J$17,Charge!$J$7))))</f>
        <v>G1</v>
      </c>
      <c r="C61" s="61" t="str">
        <f>VLOOKUP(A61,'1.Loading'!A:R,14,FALSE)</f>
        <v>LCH04</v>
      </c>
      <c r="D61" s="61" t="str">
        <f>VLOOKUP(A61,'1.Loading'!A:R,17,FALSE)</f>
        <v>HASLS22261000235</v>
      </c>
      <c r="E61" s="62" t="str">
        <f>VLOOKUP(D61,'2.Bookinglist'!A:CT,27,FALSE)</f>
        <v>BE 1ST ALLIANCE CO., LTD.</v>
      </c>
      <c r="F61" s="62" t="str">
        <f>VLOOKUP(D61,'2.Bookinglist'!A:CT,28,FALSE)</f>
        <v>SUCCESS IMPORT &amp; EXPORT CO., LTD.</v>
      </c>
      <c r="G61" s="60">
        <f>VLOOKUP(D61,'2.Bookinglist'!A:E,5,FALSE)</f>
        <v>0</v>
      </c>
      <c r="H61" s="61" t="str">
        <f>VLOOKUP(D61,'2.Bookinglist'!A:CT,15,FALSE)</f>
        <v>THLCH</v>
      </c>
      <c r="I61" s="61" t="str">
        <f>VLOOKUP(D61,'2.Bookinglist'!A:CT,19,FALSE)</f>
        <v>IDJKT</v>
      </c>
      <c r="J61" s="61">
        <f>VLOOKUP(D61,'2.Bookinglist'!A:CT,26,FALSE)</f>
        <v>0</v>
      </c>
      <c r="K61" s="61" t="str">
        <f>VLOOKUP(A61,'1.Loading'!A:R,5,FALSE)</f>
        <v>45RE</v>
      </c>
      <c r="L61" s="60" t="str">
        <f>VLOOKUP(D61,'2.Bookinglist'!A:CT,85,FALSE)</f>
        <v>CY/CY</v>
      </c>
      <c r="M61" s="60" t="str">
        <f>IF(VLOOKUP(D61,'2.Bookinglist'!A:CT,43,FALSE)=0,"","DG")</f>
        <v/>
      </c>
      <c r="N61" s="60" t="str">
        <f>IF(RIGHT(K61,2)="RE","RF","")</f>
        <v>RF</v>
      </c>
      <c r="O61" s="61" t="str">
        <f>VLOOKUP(A61,'1.Loading'!A:R,3,FALSE)</f>
        <v>YSVY</v>
      </c>
      <c r="P61" s="61" t="str">
        <f>VLOOKUP(A61,'1.Loading'!A:R,4,FALSE)</f>
        <v>2608S</v>
      </c>
      <c r="Q61" s="61" t="str">
        <f>VLOOKUP(D61,'2.Bookinglist'!A:CT,12,FALSE)</f>
        <v>ANX</v>
      </c>
      <c r="R61" s="60" t="str">
        <f>IF(LEFT(K61,2)="22","20'","40'")</f>
        <v>40'</v>
      </c>
      <c r="S61" s="185" t="n"/>
      <c r="T61" s="61" t="str">
        <f>VLOOKUP(A61,'1.Loading'!A:R,2,FALSE)</f>
        <v>2026-10-24</v>
      </c>
      <c r="U61" s="63">
        <f>T61-S61</f>
        <v>46319</v>
      </c>
      <c r="V61" s="186" t="n"/>
      <c r="W61" s="61" t="str">
        <f>VLOOKUP(A61,'3.GateMove'!A:D,4,FALSE)</f>
        <v>2026-10-20</v>
      </c>
      <c r="X61" s="63">
        <f>((T61-W61)+1)</f>
        <v>5</v>
      </c>
      <c r="Y61" s="64">
        <f>IF(AND(OR(C61="BKK01",C61="BKK04"),L61="CFS/CY"),0,IF(M61="DG",1,IF(LEFT(C61,3)="LCH",7,IF(C61="BKK02",5,3))))</f>
        <v>7</v>
      </c>
      <c r="Z61" s="63">
        <f>IF(IF(AND(AC61="TML",AB61&gt;0),((T61-W61)+1)-AB61,((T61-W61)+1)-Y61)&gt;0,IF(AND(AC61="TML",AB61&gt;0),((T61-W61)+1)-AB61,((T61-W61)+1)-Y61),0)</f>
        <v>0</v>
      </c>
      <c r="AA61" s="187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0</v>
      </c>
      <c r="AB61" s="184" t="n"/>
      <c r="AC61" s="184" t="n"/>
      <c r="AD61" s="60">
        <f>IF(M61="DG",3,IF(N61="RF",3,5))+IF(AND(LEFT(C61,3)="BKK",N61="RF",Q61="KTS"),1,0)+IF(Q61="KHS",1,0)</f>
        <v>3</v>
      </c>
      <c r="AE61" s="63">
        <f>(T61-V61)+1</f>
        <v>46320</v>
      </c>
      <c r="AF61" s="63">
        <f>IF(AB61&gt;IF((V61-W61)&gt;0,V61-W61,0),0,IF(AB61&lt;IF((V61-W61)&gt;0,V61-W61,0),IF((V61-W61)&gt;0,V61-W61,0)-AB61,IF((V61-W61)&gt;0,V61-W61,0)))</f>
        <v>0</v>
      </c>
      <c r="AG61" s="187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5" t="n"/>
      <c r="AI61" s="65">
        <f>AA61-AH61</f>
        <v>0</v>
      </c>
      <c r="AJ61" s="188" t="n"/>
      <c r="AK61" s="62" t="str">
        <f>VLOOKUP(D61,'2.Bookinglist'!A:CT,40,FALSE)</f>
        <v>Arunphat W. (Aiw)</v>
      </c>
      <c r="AL61" s="60" t="str">
        <f>VLOOKUP(D61,'2.Bookinglist'!A:CW,101,FALSE)</f>
        <v>2026-10-18</v>
      </c>
      <c r="AM61" s="60" t="str">
        <f>VLOOKUP(D61,'2.Bookinglist'!A:BK,63,FALSE)</f>
        <v>LCH27</v>
      </c>
      <c r="AN61" s="62" t="str">
        <f>VLOOKUP(D61,'2.Bookinglist'!A:AZ,52,FALSE)</f>
        <v>Pickup : 2026-10-15, Return : 2026-10-17  (Temp +2.0 / Vent 15% Open) 
EXTEND CLOSING TIME DD.22/10/2026 @ 10.00Hrs.</v>
      </c>
      <c r="AO61" s="62">
        <f>VLOOKUP(D61,'2.Bookinglist'!A:CY,103,FALSE)</f>
        <v>0</v>
      </c>
    </row>
    <row r="62" ht="12.95" customHeight="1">
      <c r="A62" s="96" t="inlineStr">
        <is>
          <t>SZLU9371730</t>
        </is>
      </c>
      <c r="B62" s="184" t="str">
        <f>IF(C62=Charge!$M$1,Charge!$J$1,IF(C62=Charge!$M$23,Charge!$J$23,IF(C62=Charge!$M$17,Charge!$J$17,IF(C62=Charge!$N$17,Charge!$J$17,Charge!$J$7))))</f>
        <v>G1</v>
      </c>
      <c r="C62" s="61" t="str">
        <f>VLOOKUP(A62,'1.Loading'!A:R,14,FALSE)</f>
        <v>LCH04</v>
      </c>
      <c r="D62" s="61" t="str">
        <f>VLOOKUP(A62,'1.Loading'!A:R,17,FALSE)</f>
        <v>HASLS22261000096</v>
      </c>
      <c r="E62" s="62" t="str">
        <f>VLOOKUP(D62,'2.Bookinglist'!A:CT,27,FALSE)</f>
        <v>PROGRESS SHIPPING - TRANSPORT CO., LTD.</v>
      </c>
      <c r="F62" s="62" t="str">
        <f>VLOOKUP(D62,'2.Bookinglist'!A:CT,28,FALSE)</f>
        <v>FRUIT PARADISE INTERNATIONAL TRADE CO.,LTD</v>
      </c>
      <c r="G62" s="60">
        <f>VLOOKUP(D62,'2.Bookinglist'!A:E,5,FALSE)</f>
        <v>0</v>
      </c>
      <c r="H62" s="61" t="str">
        <f>VLOOKUP(D62,'2.Bookinglist'!A:CT,15,FALSE)</f>
        <v>THLCH</v>
      </c>
      <c r="I62" s="61" t="str">
        <f>VLOOKUP(D62,'2.Bookinglist'!A:CT,19,FALSE)</f>
        <v>IDJKT</v>
      </c>
      <c r="J62" s="61">
        <f>VLOOKUP(D62,'2.Bookinglist'!A:CT,26,FALSE)</f>
        <v>0</v>
      </c>
      <c r="K62" s="61" t="str">
        <f>VLOOKUP(A62,'1.Loading'!A:R,5,FALSE)</f>
        <v>45RE</v>
      </c>
      <c r="L62" s="60" t="str">
        <f>VLOOKUP(D62,'2.Bookinglist'!A:CT,85,FALSE)</f>
        <v>CY/CY</v>
      </c>
      <c r="M62" s="60" t="str">
        <f>IF(VLOOKUP(D62,'2.Bookinglist'!A:CT,43,FALSE)=0,"","DG")</f>
        <v/>
      </c>
      <c r="N62" s="60" t="str">
        <f>IF(RIGHT(K62,2)="RE","RF","")</f>
        <v>RF</v>
      </c>
      <c r="O62" s="61" t="str">
        <f>VLOOKUP(A62,'1.Loading'!A:R,3,FALSE)</f>
        <v>YSVY</v>
      </c>
      <c r="P62" s="61" t="str">
        <f>VLOOKUP(A62,'1.Loading'!A:R,4,FALSE)</f>
        <v>2608S</v>
      </c>
      <c r="Q62" s="61" t="str">
        <f>VLOOKUP(D62,'2.Bookinglist'!A:CT,12,FALSE)</f>
        <v>ANX</v>
      </c>
      <c r="R62" s="60" t="str">
        <f>IF(LEFT(K62,2)="22","20'","40'")</f>
        <v>40'</v>
      </c>
      <c r="S62" s="185" t="n"/>
      <c r="T62" s="61" t="str">
        <f>VLOOKUP(A62,'1.Loading'!A:R,2,FALSE)</f>
        <v>2026-10-24</v>
      </c>
      <c r="U62" s="63">
        <f>T62-S62</f>
        <v>46319</v>
      </c>
      <c r="V62" s="186" t="n"/>
      <c r="W62" s="61" t="str">
        <f>VLOOKUP(A62,'3.GateMove'!A:D,4,FALSE)</f>
        <v>2026-10-20</v>
      </c>
      <c r="X62" s="63">
        <f>((T62-W62)+1)</f>
        <v>5</v>
      </c>
      <c r="Y62" s="64">
        <f>IF(AND(OR(C62="BKK01",C62="BKK04"),L62="CFS/CY"),0,IF(M62="DG",1,IF(LEFT(C62,3)="LCH",7,IF(C62="BKK02",5,3))))</f>
        <v>7</v>
      </c>
      <c r="Z62" s="63">
        <f>IF(IF(AND(AC62="TML",AB62&gt;0),((T62-W62)+1)-AB62,((T62-W62)+1)-Y62)&gt;0,IF(AND(AC62="TML",AB62&gt;0),((T62-W62)+1)-AB62,((T62-W62)+1)-Y62),0)</f>
        <v>0</v>
      </c>
      <c r="AA62" s="187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0</v>
      </c>
      <c r="AB62" s="184" t="n"/>
      <c r="AC62" s="184" t="n"/>
      <c r="AD62" s="60">
        <f>IF(M62="DG",3,IF(N62="RF",3,5))+IF(AND(LEFT(C62,3)="BKK",N62="RF",Q62="KTS"),1,0)+IF(Q62="KHS",1,0)</f>
        <v>3</v>
      </c>
      <c r="AE62" s="63">
        <f>(T62-V62)+1</f>
        <v>46320</v>
      </c>
      <c r="AF62" s="63">
        <f>IF(AB62&gt;IF((V62-W62)&gt;0,V62-W62,0),0,IF(AB62&lt;IF((V62-W62)&gt;0,V62-W62,0),IF((V62-W62)&gt;0,V62-W62,0)-AB62,IF((V62-W62)&gt;0,V62-W62,0)))</f>
        <v>0</v>
      </c>
      <c r="AG62" s="187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5" t="n"/>
      <c r="AI62" s="65">
        <f>AA62-AH62</f>
        <v>0</v>
      </c>
      <c r="AJ62" s="188" t="n"/>
      <c r="AK62" s="62" t="str">
        <f>VLOOKUP(D62,'2.Bookinglist'!A:CT,40,FALSE)</f>
        <v>Pattarapong Saengthong</v>
      </c>
      <c r="AL62" s="60" t="str">
        <f>VLOOKUP(D62,'2.Bookinglist'!A:CW,101,FALSE)</f>
        <v>2026-10-19</v>
      </c>
      <c r="AM62" s="60" t="str">
        <f>VLOOKUP(D62,'2.Bookinglist'!A:BK,63,FALSE)</f>
        <v>LCH27</v>
      </c>
      <c r="AN62" s="62" t="str">
        <f>VLOOKUP(D62,'2.Bookinglist'!A:AZ,52,FALSE)</f>
        <v>Pickup : 2026-10-12, Return : 2026-10-15  (Temp +2.0 / Vent 15%)
Closing Time 2026-10-17 @ 23.59</v>
      </c>
      <c r="AO62" s="62">
        <f>VLOOKUP(D62,'2.Bookinglist'!A:CY,103,FALSE)</f>
        <v>0</v>
      </c>
    </row>
    <row r="63" ht="12.95" customHeight="1">
      <c r="A63" s="96" t="inlineStr">
        <is>
          <t>TCNU6296852</t>
        </is>
      </c>
      <c r="B63" s="184" t="str">
        <f>IF(C63=Charge!$M$1,Charge!$J$1,IF(C63=Charge!$M$23,Charge!$J$23,IF(C63=Charge!$M$17,Charge!$J$17,IF(C63=Charge!$N$17,Charge!$J$17,Charge!$J$7))))</f>
        <v>G1</v>
      </c>
      <c r="C63" s="61" t="str">
        <f>VLOOKUP(A63,'1.Loading'!A:R,14,FALSE)</f>
        <v>LCH04</v>
      </c>
      <c r="D63" s="61" t="str">
        <f>VLOOKUP(A63,'1.Loading'!A:R,17,FALSE)</f>
        <v>HASLS22260901417</v>
      </c>
      <c r="E63" s="62" t="str">
        <f>VLOOKUP(D63,'2.Bookinglist'!A:CT,27,FALSE)</f>
        <v>FM GLOBAL LOGISTICS CO., LTD.</v>
      </c>
      <c r="F63" s="62" t="str">
        <f>VLOOKUP(D63,'2.Bookinglist'!A:CT,28,FALSE)</f>
        <v>CCL LABEL (THAI) LTD.</v>
      </c>
      <c r="G63" s="60">
        <f>VLOOKUP(D63,'2.Bookinglist'!A:E,5,FALSE)</f>
        <v>0</v>
      </c>
      <c r="H63" s="61" t="str">
        <f>VLOOKUP(D63,'2.Bookinglist'!A:CT,15,FALSE)</f>
        <v>THLCH</v>
      </c>
      <c r="I63" s="61" t="str">
        <f>VLOOKUP(D63,'2.Bookinglist'!A:CT,19,FALSE)</f>
        <v>IDJKT</v>
      </c>
      <c r="J63" s="61">
        <f>VLOOKUP(D63,'2.Bookinglist'!A:CT,26,FALSE)</f>
        <v>0</v>
      </c>
      <c r="K63" s="61" t="str">
        <f>VLOOKUP(A63,'1.Loading'!A:R,5,FALSE)</f>
        <v>45GP</v>
      </c>
      <c r="L63" s="60" t="str">
        <f>VLOOKUP(D63,'2.Bookinglist'!A:CT,85,FALSE)</f>
        <v>CY/CY</v>
      </c>
      <c r="M63" s="60" t="str">
        <f>IF(VLOOKUP(D63,'2.Bookinglist'!A:CT,43,FALSE)=0,"","DG")</f>
        <v/>
      </c>
      <c r="N63" s="60" t="str">
        <f>IF(RIGHT(K63,2)="RE","RF","")</f>
        <v/>
      </c>
      <c r="O63" s="61" t="str">
        <f>VLOOKUP(A63,'1.Loading'!A:R,3,FALSE)</f>
        <v>YSVY</v>
      </c>
      <c r="P63" s="61" t="str">
        <f>VLOOKUP(A63,'1.Loading'!A:R,4,FALSE)</f>
        <v>2608S</v>
      </c>
      <c r="Q63" s="61" t="str">
        <f>VLOOKUP(D63,'2.Bookinglist'!A:CT,12,FALSE)</f>
        <v>ANX</v>
      </c>
      <c r="R63" s="60" t="str">
        <f>IF(LEFT(K63,2)="22","20'","40'")</f>
        <v>40'</v>
      </c>
      <c r="S63" s="185" t="n"/>
      <c r="T63" s="61" t="str">
        <f>VLOOKUP(A63,'1.Loading'!A:R,2,FALSE)</f>
        <v>2026-10-24</v>
      </c>
      <c r="U63" s="63">
        <f>T63-S63</f>
        <v>46319</v>
      </c>
      <c r="V63" s="186" t="n"/>
      <c r="W63" s="61" t="str">
        <f>VLOOKUP(A63,'3.GateMove'!A:D,4,FALSE)</f>
        <v>2026-10-20</v>
      </c>
      <c r="X63" s="63">
        <f>((T63-W63)+1)</f>
        <v>5</v>
      </c>
      <c r="Y63" s="64">
        <f>IF(AND(OR(C63="BKK01",C63="BKK04"),L63="CFS/CY"),0,IF(M63="DG",1,IF(LEFT(C63,3)="LCH",7,IF(C63="BKK02",5,3))))</f>
        <v>7</v>
      </c>
      <c r="Z63" s="63">
        <f>IF(IF(AND(AC63="TML",AB63&gt;0),((T63-W63)+1)-AB63,((T63-W63)+1)-Y63)&gt;0,IF(AND(AC63="TML",AB63&gt;0),((T63-W63)+1)-AB63,((T63-W63)+1)-Y63),0)</f>
        <v>0</v>
      </c>
      <c r="AA63" s="187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0</v>
      </c>
      <c r="AB63" s="184" t="n"/>
      <c r="AC63" s="184" t="n"/>
      <c r="AD63" s="60">
        <f>IF(M63="DG",3,IF(N63="RF",3,5))+IF(AND(LEFT(C63,3)="BKK",N63="RF",Q63="KTS"),1,0)+IF(Q63="KHS",1,0)</f>
        <v>5</v>
      </c>
      <c r="AE63" s="63">
        <f>(T63-V63)+1</f>
        <v>46320</v>
      </c>
      <c r="AF63" s="63">
        <f>IF(AB63&gt;IF((V63-W63)&gt;0,V63-W63,0),0,IF(AB63&lt;IF((V63-W63)&gt;0,V63-W63,0),IF((V63-W63)&gt;0,V63-W63,0)-AB63,IF((V63-W63)&gt;0,V63-W63,0)))</f>
        <v>0</v>
      </c>
      <c r="AG63" s="187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5" t="n"/>
      <c r="AI63" s="65">
        <f>AA63-AH63</f>
        <v>0</v>
      </c>
      <c r="AJ63" s="188" t="n"/>
      <c r="AK63" s="62" t="str">
        <f>VLOOKUP(D63,'2.Bookinglist'!A:CT,40,FALSE)</f>
        <v>Pattarapong Saengthong</v>
      </c>
      <c r="AL63" s="60" t="str">
        <f>VLOOKUP(D63,'2.Bookinglist'!A:CW,101,FALSE)</f>
        <v>2026-10-18</v>
      </c>
      <c r="AM63" s="60" t="str">
        <f>VLOOKUP(D63,'2.Bookinglist'!A:BK,63,FALSE)</f>
        <v>LCHY5</v>
      </c>
      <c r="AN63" s="62" t="str">
        <f>VLOOKUP(D63,'2.Bookinglist'!A:AZ,52,FALSE)</f>
        <v>Pickup : 2026-09-19, Return : 2026-09-19 (1ST RETURN 14/10 W/O RENT)</v>
      </c>
      <c r="AO63" s="62">
        <f>VLOOKUP(D63,'2.Bookinglist'!A:CY,103,FALSE)</f>
        <v>0</v>
      </c>
    </row>
    <row r="64" ht="12.95" customHeight="1">
      <c r="A64" s="96" t="inlineStr">
        <is>
          <t>TCNU7777364</t>
        </is>
      </c>
      <c r="B64" s="184" t="str">
        <f>IF(C64=Charge!$M$1,Charge!$J$1,IF(C64=Charge!$M$23,Charge!$J$23,IF(C64=Charge!$M$17,Charge!$J$17,IF(C64=Charge!$N$17,Charge!$J$17,Charge!$J$7))))</f>
        <v>G1</v>
      </c>
      <c r="C64" s="61" t="str">
        <f>VLOOKUP(A64,'1.Loading'!A:R,14,FALSE)</f>
        <v>LCH04</v>
      </c>
      <c r="D64" s="61" t="str">
        <f>VLOOKUP(A64,'1.Loading'!A:R,17,FALSE)</f>
        <v>HASLS22261000696</v>
      </c>
      <c r="E64" s="62" t="str">
        <f>VLOOKUP(D64,'2.Bookinglist'!A:CT,27,FALSE)</f>
        <v>YAMATO UNYU (THAILAND) CO., LTD.</v>
      </c>
      <c r="F64" s="62" t="str">
        <f>VLOOKUP(D64,'2.Bookinglist'!A:CT,28,FALSE)</f>
        <v>LOGTHAI-OROTEX CO,LTD</v>
      </c>
      <c r="G64" s="60">
        <f>VLOOKUP(D64,'2.Bookinglist'!A:E,5,FALSE)</f>
        <v>0</v>
      </c>
      <c r="H64" s="61" t="str">
        <f>VLOOKUP(D64,'2.Bookinglist'!A:CT,15,FALSE)</f>
        <v>THLCH</v>
      </c>
      <c r="I64" s="61" t="str">
        <f>VLOOKUP(D64,'2.Bookinglist'!A:CT,19,FALSE)</f>
        <v>IDJKT</v>
      </c>
      <c r="J64" s="61">
        <f>VLOOKUP(D64,'2.Bookinglist'!A:CT,26,FALSE)</f>
        <v>0</v>
      </c>
      <c r="K64" s="61" t="str">
        <f>VLOOKUP(A64,'1.Loading'!A:R,5,FALSE)</f>
        <v>45GP</v>
      </c>
      <c r="L64" s="60" t="str">
        <f>VLOOKUP(D64,'2.Bookinglist'!A:CT,85,FALSE)</f>
        <v>CY/CY</v>
      </c>
      <c r="M64" s="60" t="str">
        <f>IF(VLOOKUP(D64,'2.Bookinglist'!A:CT,43,FALSE)=0,"","DG")</f>
        <v/>
      </c>
      <c r="N64" s="60" t="str">
        <f>IF(RIGHT(K64,2)="RE","RF","")</f>
        <v/>
      </c>
      <c r="O64" s="61" t="str">
        <f>VLOOKUP(A64,'1.Loading'!A:R,3,FALSE)</f>
        <v>YSVY</v>
      </c>
      <c r="P64" s="61" t="str">
        <f>VLOOKUP(A64,'1.Loading'!A:R,4,FALSE)</f>
        <v>2608S</v>
      </c>
      <c r="Q64" s="61" t="str">
        <f>VLOOKUP(D64,'2.Bookinglist'!A:CT,12,FALSE)</f>
        <v>ANX</v>
      </c>
      <c r="R64" s="60" t="str">
        <f>IF(LEFT(K64,2)="22","20'","40'")</f>
        <v>40'</v>
      </c>
      <c r="S64" s="185" t="n"/>
      <c r="T64" s="61" t="str">
        <f>VLOOKUP(A64,'1.Loading'!A:R,2,FALSE)</f>
        <v>2026-10-24</v>
      </c>
      <c r="U64" s="63">
        <f>T64-S64</f>
        <v>46319</v>
      </c>
      <c r="V64" s="186" t="n"/>
      <c r="W64" s="61" t="str">
        <f>VLOOKUP(A64,'3.GateMove'!A:D,4,FALSE)</f>
        <v>2026-10-21</v>
      </c>
      <c r="X64" s="63">
        <f>((T64-W64)+1)</f>
        <v>4</v>
      </c>
      <c r="Y64" s="64">
        <f>IF(AND(OR(C64="BKK01",C64="BKK04"),L64="CFS/CY"),0,IF(M64="DG",1,IF(LEFT(C64,3)="LCH",7,IF(C64="BKK02",5,3))))</f>
        <v>7</v>
      </c>
      <c r="Z64" s="63">
        <f>IF(IF(AND(AC64="TML",AB64&gt;0),((T64-W64)+1)-AB64,((T64-W64)+1)-Y64)&gt;0,IF(AND(AC64="TML",AB64&gt;0),((T64-W64)+1)-AB64,((T64-W64)+1)-Y64),0)</f>
        <v>0</v>
      </c>
      <c r="AA64" s="187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0</v>
      </c>
      <c r="AB64" s="184" t="n"/>
      <c r="AC64" s="184" t="n"/>
      <c r="AD64" s="60">
        <f>IF(M64="DG",3,IF(N64="RF",3,5))+IF(AND(LEFT(C64,3)="BKK",N64="RF",Q64="KTS"),1,0)+IF(Q64="KHS",1,0)</f>
        <v>5</v>
      </c>
      <c r="AE64" s="63">
        <f>(T64-V64)+1</f>
        <v>46320</v>
      </c>
      <c r="AF64" s="63">
        <f>IF(AB64&gt;IF((V64-W64)&gt;0,V64-W64,0),0,IF(AB64&lt;IF((V64-W64)&gt;0,V64-W64,0),IF((V64-W64)&gt;0,V64-W64,0)-AB64,IF((V64-W64)&gt;0,V64-W64,0)))</f>
        <v>0</v>
      </c>
      <c r="AG64" s="187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5" t="n"/>
      <c r="AI64" s="65">
        <f>AA64-AH64</f>
        <v>0</v>
      </c>
      <c r="AJ64" s="188" t="n"/>
      <c r="AK64" s="62" t="str">
        <f>VLOOKUP(D64,'2.Bookinglist'!A:CT,40,FALSE)</f>
        <v>Nannaapust Sukporntaweewat</v>
      </c>
      <c r="AL64" s="60" t="str">
        <f>VLOOKUP(D64,'2.Bookinglist'!A:CW,101,FALSE)</f>
        <v>2026-10-23</v>
      </c>
      <c r="AM64" s="60" t="str">
        <f>VLOOKUP(D64,'2.Bookinglist'!A:BK,63,FALSE)</f>
        <v>LCHY5</v>
      </c>
      <c r="AN64" s="62" t="str">
        <f>VLOOKUP(D64,'2.Bookinglist'!A:AZ,52,FALSE)</f>
        <v>Pickup : 2026-10-20, Return : 2026-10-20</v>
      </c>
      <c r="AO64" s="62">
        <f>VLOOKUP(D64,'2.Bookinglist'!A:CY,103,FALSE)</f>
        <v>0</v>
      </c>
    </row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2026-10-24T06:22:47Z</dcterms:modified>
  <cp:lastModifiedBy>office4</cp:lastModifiedBy>
  <cp:lastPrinted>2019-11-19T03:03:39Z</cp:lastPrinted>
</cp:coreProperties>
</file>