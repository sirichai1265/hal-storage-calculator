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34" firstSheet="0" activeTab="3" autoFilterDateGrouping="1"/>
  </bookViews>
  <sheets>
    <sheet xmlns:r="http://schemas.openxmlformats.org/officeDocument/2006/relationships" name="1.Loading" sheetId="1" state="visible" r:id="rId1"/>
    <sheet xmlns:r="http://schemas.openxmlformats.org/officeDocument/2006/relationships" name="2.Bookinglist" sheetId="2" state="visible" r:id="rId2"/>
    <sheet xmlns:r="http://schemas.openxmlformats.org/officeDocument/2006/relationships" name="3.GateMove" sheetId="3" state="visible" r:id="rId3"/>
    <sheet xmlns:r="http://schemas.openxmlformats.org/officeDocument/2006/relationships" name="CS" sheetId="4" state="visible" r:id="rId4"/>
    <sheet xmlns:r="http://schemas.openxmlformats.org/officeDocument/2006/relationships" name="BKK" sheetId="5" state="visible" r:id="rId5"/>
    <sheet xmlns:r="http://schemas.openxmlformats.org/officeDocument/2006/relationships" name="LCH" sheetId="6" state="visible" r:id="rId6"/>
    <sheet xmlns:r="http://schemas.openxmlformats.org/officeDocument/2006/relationships" name="Charge" sheetId="7" state="visible" r:id="rId7"/>
  </sheets>
  <definedNames>
    <definedName name="_xlnm._FilterDatabase" localSheetId="0" hidden="1">'1.Loading'!$A$1:$Z$1633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'CS'!$A$2:$AO$2</definedName>
    <definedName name="_xlnm.Print_Titles" localSheetId="3">'CS'!$1:$2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-* #,##0_-;\-* #,##0_-;_-* &quot;-&quot;??_-;_-@_-"/>
    <numFmt numFmtId="165" formatCode="0;\-0;;"/>
    <numFmt numFmtId="166" formatCode="yyyy\-mm\-dd"/>
    <numFmt numFmtId="167" formatCode="dd/mm/yyyy"/>
    <numFmt numFmtId="168" formatCode="yyyy-mm-dd"/>
  </numFmts>
  <fonts count="38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1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8"/>
    </font>
    <font>
      <name val="MS Sans Serif"/>
      <family val="2"/>
      <color indexed="8"/>
      <sz val="10"/>
    </font>
    <font>
      <name val="Cordia New"/>
      <family val="2"/>
      <sz val="14"/>
    </font>
    <font>
      <name val="Cordia New"/>
      <family val="2"/>
      <sz val="14"/>
    </font>
    <font>
      <name val="Tahoma"/>
      <charset val="222"/>
      <family val="2"/>
      <sz val="8"/>
      <scheme val="minor"/>
    </font>
    <font>
      <name val="Arial"/>
      <family val="2"/>
      <sz val="10"/>
    </font>
    <font>
      <name val="Tahoma"/>
      <family val="2"/>
      <color theme="1"/>
      <sz val="10"/>
    </font>
    <font>
      <name val="Tahoma"/>
      <family val="2"/>
      <color rgb="FF0000FF"/>
      <sz val="10"/>
    </font>
    <font>
      <name val="Tahoma"/>
      <family val="2"/>
      <color rgb="FFFF0000"/>
      <sz val="10"/>
    </font>
    <font>
      <name val="Tahoma"/>
      <family val="2"/>
      <color rgb="FFCC00CC"/>
      <sz val="10"/>
    </font>
    <font>
      <name val="Tahoma"/>
      <family val="2"/>
      <color theme="7" tint="-0.249977111117893"/>
      <sz val="10"/>
    </font>
    <font>
      <name val="Tahoma"/>
      <family val="2"/>
      <b val="1"/>
      <color rgb="FF0000FF"/>
      <sz val="13"/>
    </font>
    <font>
      <name val="Tahoma"/>
      <family val="2"/>
      <b val="1"/>
      <color rgb="FFFF0000"/>
      <sz val="11"/>
    </font>
    <font>
      <name val="Tahoma"/>
      <family val="2"/>
      <b val="1"/>
      <color theme="1"/>
      <sz val="8"/>
    </font>
    <font>
      <name val="Tahoma"/>
      <family val="2"/>
      <b val="1"/>
      <color theme="1"/>
      <sz val="13"/>
    </font>
    <font>
      <name val="Tahoma"/>
      <family val="2"/>
      <b val="1"/>
      <color theme="1"/>
      <sz val="10"/>
    </font>
    <font>
      <name val="Tahoma"/>
      <family val="2"/>
      <b val="1"/>
      <color rgb="FFFF0000"/>
      <sz val="8"/>
    </font>
    <font>
      <name val="Tahoma"/>
      <family val="2"/>
      <b val="1"/>
      <color rgb="FFFF0000"/>
      <sz val="10"/>
    </font>
    <font>
      <name val="Tahoma"/>
      <family val="2"/>
      <sz val="8"/>
    </font>
    <font>
      <name val="Tahoma"/>
      <family val="2"/>
      <sz val="10"/>
    </font>
    <font>
      <name val="Tahoma"/>
      <family val="2"/>
      <color theme="1"/>
      <sz val="8"/>
    </font>
    <font>
      <name val="Tahoma"/>
      <family val="2"/>
      <color rgb="FFFF0000"/>
      <sz val="8"/>
    </font>
    <font>
      <name val="Tahoma"/>
      <charset val="222"/>
      <family val="2"/>
      <color theme="1"/>
      <sz val="11"/>
      <scheme val="minor"/>
    </font>
    <font>
      <name val="Tahoma"/>
      <family val="2"/>
      <color rgb="FF000000"/>
      <sz val="8"/>
    </font>
    <font>
      <name val="Tahoma"/>
      <family val="2"/>
      <b val="1"/>
      <color rgb="FFFF0000"/>
      <sz val="13"/>
    </font>
    <font>
      <name val="Tahoma"/>
      <family val="2"/>
      <color rgb="FF000000"/>
      <sz val="10"/>
    </font>
  </fonts>
  <fills count="9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23">
    <xf numFmtId="0" fontId="34" fillId="0" borderId="0"/>
    <xf numFmtId="43" fontId="34" fillId="0" borderId="0"/>
    <xf numFmtId="0" fontId="7" fillId="0" borderId="0"/>
    <xf numFmtId="0" fontId="34" fillId="0" borderId="0"/>
    <xf numFmtId="43" fontId="34" fillId="0" borderId="0"/>
    <xf numFmtId="0" fontId="13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77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49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1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0" borderId="0" pivotButton="0" quotePrefix="0" xfId="0"/>
    <xf numFmtId="1" fontId="18" fillId="0" borderId="0" pivotButton="0" quotePrefix="0" xfId="0"/>
    <xf numFmtId="1" fontId="18" fillId="8" borderId="0" pivotButton="0" quotePrefix="0" xfId="0"/>
    <xf numFmtId="1" fontId="18" fillId="7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/>
    </xf>
    <xf numFmtId="164" fontId="29" fillId="0" borderId="0" applyAlignment="1" pivotButton="0" quotePrefix="0" xfId="1">
      <alignment vertical="center"/>
    </xf>
    <xf numFmtId="49" fontId="30" fillId="6" borderId="3" applyAlignment="1" pivotButton="0" quotePrefix="0" xfId="0">
      <alignment horizontal="center" vertical="center"/>
    </xf>
    <xf numFmtId="49" fontId="30" fillId="4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/>
    </xf>
    <xf numFmtId="49" fontId="31" fillId="2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49" fontId="30" fillId="5" borderId="1" applyAlignment="1" pivotButton="0" quotePrefix="0" xfId="0">
      <alignment horizontal="center" vertical="center"/>
    </xf>
    <xf numFmtId="0" fontId="34" fillId="0" borderId="0" pivotButton="0" quotePrefix="0" xfId="0"/>
    <xf numFmtId="0" fontId="32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26" fillId="0" borderId="0" applyAlignment="1" pivotButton="0" quotePrefix="1" xfId="0">
      <alignment vertical="center"/>
    </xf>
    <xf numFmtId="164" fontId="27" fillId="0" borderId="0" applyAlignment="1" pivotButton="0" quotePrefix="0" xfId="1">
      <alignment vertical="center"/>
    </xf>
    <xf numFmtId="0" fontId="12" fillId="0" borderId="0" applyAlignment="1" pivotButton="0" quotePrefix="1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/>
    </xf>
    <xf numFmtId="0" fontId="11" fillId="0" borderId="0" pivotButton="0" quotePrefix="0" xfId="0"/>
    <xf numFmtId="165" fontId="8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49" fontId="35" fillId="3" borderId="5" applyAlignment="1" pivotButton="0" quotePrefix="0" xfId="0">
      <alignment horizontal="left" vertical="center" readingOrder="1"/>
    </xf>
    <xf numFmtId="49" fontId="8" fillId="3" borderId="5" applyAlignment="1" pivotButton="0" quotePrefix="0" xfId="0">
      <alignment horizontal="left" vertical="center" readingOrder="1"/>
    </xf>
    <xf numFmtId="0" fontId="9" fillId="4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36" fillId="0" borderId="2" applyAlignment="1" pivotButton="0" quotePrefix="0" xfId="0">
      <alignment vertical="center" wrapText="1"/>
    </xf>
    <xf numFmtId="49" fontId="9" fillId="5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horizontal="center" vertical="center"/>
    </xf>
    <xf numFmtId="49" fontId="35" fillId="2" borderId="1" applyAlignment="1" pivotButton="0" quotePrefix="0" xfId="0">
      <alignment horizontal="center" vertical="center" readingOrder="1"/>
    </xf>
    <xf numFmtId="49" fontId="35" fillId="2" borderId="5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left"/>
    </xf>
    <xf numFmtId="0" fontId="2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49" fontId="37" fillId="2" borderId="5" applyAlignment="1" pivotButton="0" quotePrefix="0" xfId="0">
      <alignment horizontal="center" vertical="center" readingOrder="1"/>
    </xf>
    <xf numFmtId="49" fontId="37" fillId="2" borderId="5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0" fontId="20" fillId="5" borderId="2" applyAlignment="1" pivotButton="0" quotePrefix="0" xfId="0">
      <alignment horizontal="center" vertical="center"/>
    </xf>
    <xf numFmtId="49" fontId="35" fillId="2" borderId="5" applyAlignment="1" pivotButton="0" quotePrefix="0" xfId="0">
      <alignment horizontal="center" vertical="center" readingOrder="1"/>
    </xf>
    <xf numFmtId="0" fontId="23" fillId="0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49" fontId="35" fillId="2" borderId="8" applyAlignment="1" pivotButton="0" quotePrefix="0" xfId="0">
      <alignment horizontal="left" vertical="center" wrapText="1" readingOrder="1"/>
    </xf>
    <xf numFmtId="0" fontId="0" fillId="0" borderId="8" applyAlignment="1" pivotButton="0" quotePrefix="0" xfId="0">
      <alignment vertical="center" wrapText="1"/>
    </xf>
    <xf numFmtId="49" fontId="35" fillId="2" borderId="8" applyAlignment="1" pivotButton="0" quotePrefix="0" xfId="0">
      <alignment horizontal="center" vertical="center" wrapText="1" readingOrder="1"/>
    </xf>
    <xf numFmtId="0" fontId="23" fillId="0" borderId="8" applyAlignment="1" pivotButton="0" quotePrefix="0" xfId="0">
      <alignment vertical="center" wrapText="1"/>
    </xf>
    <xf numFmtId="0" fontId="23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164" fontId="27" fillId="0" borderId="0" applyAlignment="1" pivotButton="0" quotePrefix="0" xfId="1">
      <alignment vertical="center"/>
    </xf>
    <xf numFmtId="164" fontId="29" fillId="0" borderId="8" applyAlignment="1" pivotButton="0" quotePrefix="0" xfId="1">
      <alignment vertical="center" wrapText="1"/>
    </xf>
    <xf numFmtId="49" fontId="30" fillId="6" borderId="8" applyAlignment="1" pivotButton="0" quotePrefix="0" xfId="0">
      <alignment horizontal="center" vertical="center" wrapText="1"/>
    </xf>
    <xf numFmtId="49" fontId="9" fillId="0" borderId="8" applyAlignment="1" pivotButton="0" quotePrefix="0" xfId="0">
      <alignment horizontal="center" vertical="center" wrapText="1"/>
    </xf>
    <xf numFmtId="49" fontId="30" fillId="4" borderId="8" applyAlignment="1" pivotButton="0" quotePrefix="0" xfId="0">
      <alignment horizontal="center" vertical="center" wrapText="1"/>
    </xf>
    <xf numFmtId="49" fontId="30" fillId="2" borderId="8" applyAlignment="1" pivotButton="0" quotePrefix="0" xfId="0">
      <alignment horizontal="center" vertical="center" wrapText="1"/>
    </xf>
    <xf numFmtId="49" fontId="31" fillId="2" borderId="8" applyAlignment="1" pivotButton="0" quotePrefix="0" xfId="0">
      <alignment horizontal="center" vertical="center" wrapText="1"/>
    </xf>
    <xf numFmtId="0" fontId="32" fillId="4" borderId="8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49" fontId="9" fillId="5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30" fillId="5" borderId="8" applyAlignment="1" pivotButton="0" quotePrefix="0" xfId="0">
      <alignment horizontal="center" vertical="center" wrapText="1"/>
    </xf>
    <xf numFmtId="49" fontId="30" fillId="5" borderId="8" applyAlignment="1" pivotButton="0" quotePrefix="0" xfId="0">
      <alignment horizontal="center" vertical="center" wrapText="1"/>
    </xf>
    <xf numFmtId="49" fontId="37" fillId="2" borderId="8" applyAlignment="1" pivotButton="0" quotePrefix="0" xfId="0">
      <alignment horizontal="center" vertical="center" wrapText="1" readingOrder="1"/>
    </xf>
    <xf numFmtId="49" fontId="37" fillId="2" borderId="8" applyAlignment="1" pivotButton="0" quotePrefix="0" xfId="0">
      <alignment horizontal="left" vertical="center" wrapText="1" readingOrder="1"/>
    </xf>
    <xf numFmtId="49" fontId="35" fillId="3" borderId="8" applyAlignment="1" pivotButton="0" quotePrefix="0" xfId="0">
      <alignment horizontal="left" vertical="center" wrapText="1" readingOrder="1"/>
    </xf>
    <xf numFmtId="0" fontId="30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left" vertical="center" wrapText="1"/>
    </xf>
    <xf numFmtId="167" fontId="9" fillId="0" borderId="8" applyAlignment="1" pivotButton="0" quotePrefix="0" xfId="0">
      <alignment horizontal="center" vertical="center" wrapText="1"/>
    </xf>
    <xf numFmtId="167" fontId="30" fillId="0" borderId="8" applyAlignment="1" pivotButton="0" quotePrefix="0" xfId="0">
      <alignment horizontal="center" vertical="center" wrapText="1"/>
    </xf>
    <xf numFmtId="1" fontId="32" fillId="0" borderId="8" applyAlignment="1" pivotButton="0" quotePrefix="0" xfId="0">
      <alignment horizontal="center" vertical="center" wrapText="1"/>
    </xf>
    <xf numFmtId="1" fontId="32" fillId="7" borderId="8" applyAlignment="1" pivotButton="0" quotePrefix="0" xfId="0">
      <alignment horizontal="center" vertical="center" wrapText="1"/>
    </xf>
    <xf numFmtId="3" fontId="9" fillId="0" borderId="8" applyAlignment="1" pivotButton="0" quotePrefix="0" xfId="0">
      <alignment horizontal="center" vertical="center" wrapText="1"/>
    </xf>
    <xf numFmtId="1" fontId="9" fillId="0" borderId="8" applyAlignment="1" pivotButton="0" quotePrefix="0" xfId="0">
      <alignment horizontal="center" vertical="center" wrapText="1"/>
    </xf>
    <xf numFmtId="3" fontId="33" fillId="0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vertical="center" wrapText="1"/>
    </xf>
    <xf numFmtId="167" fontId="32" fillId="0" borderId="8" applyAlignment="1" pivotButton="0" quotePrefix="0" xfId="0">
      <alignment horizontal="center" vertical="center" wrapText="1"/>
    </xf>
    <xf numFmtId="167" fontId="0" fillId="0" borderId="8" applyAlignment="1" pivotButton="0" quotePrefix="0" xfId="0">
      <alignment vertical="center" wrapText="1"/>
    </xf>
    <xf numFmtId="1" fontId="0" fillId="0" borderId="8" applyAlignment="1" pivotButton="0" quotePrefix="0" xfId="0">
      <alignment vertical="center" wrapText="1"/>
    </xf>
    <xf numFmtId="3" fontId="0" fillId="0" borderId="8" applyAlignment="1" pivotButton="0" quotePrefix="0" xfId="0">
      <alignment vertical="center" wrapText="1"/>
    </xf>
    <xf numFmtId="165" fontId="8" fillId="0" borderId="7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164" fontId="27" fillId="0" borderId="8" applyAlignment="1" pivotButton="0" quotePrefix="0" xfId="1">
      <alignment vertical="center" wrapText="1"/>
    </xf>
    <xf numFmtId="0" fontId="12" fillId="0" borderId="8" applyAlignment="1" pivotButton="0" quotePrefix="1" xfId="0">
      <alignment horizontal="center" vertical="center" wrapText="1"/>
    </xf>
    <xf numFmtId="49" fontId="8" fillId="2" borderId="8" applyAlignment="1" pivotButton="0" quotePrefix="0" xfId="0">
      <alignment horizontal="center" vertical="center" wrapText="1"/>
    </xf>
    <xf numFmtId="0" fontId="12" fillId="4" borderId="8" applyAlignment="1" pivotButton="0" quotePrefix="0" xfId="0">
      <alignment horizontal="center" vertical="center" wrapText="1"/>
    </xf>
    <xf numFmtId="49" fontId="12" fillId="4" borderId="8" applyAlignment="1" pivotButton="0" quotePrefix="0" xfId="0">
      <alignment horizontal="center" vertical="center" wrapText="1"/>
    </xf>
    <xf numFmtId="49" fontId="12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5" borderId="8" applyAlignment="1" pivotButton="0" quotePrefix="0" xfId="0">
      <alignment horizontal="center" vertical="center" wrapText="1"/>
    </xf>
    <xf numFmtId="0" fontId="8" fillId="5" borderId="8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49" fontId="8" fillId="0" borderId="8" applyAlignment="1" pivotButton="0" quotePrefix="0" xfId="0">
      <alignment horizontal="center" vertical="center" wrapText="1"/>
    </xf>
    <xf numFmtId="49" fontId="8" fillId="3" borderId="8" applyAlignment="1" pivotButton="0" quotePrefix="0" xfId="0">
      <alignment horizontal="left" vertical="center" wrapText="1" readingOrder="1"/>
    </xf>
    <xf numFmtId="167" fontId="8" fillId="0" borderId="8" applyAlignment="1" pivotButton="0" quotePrefix="0" xfId="0">
      <alignment horizontal="center" vertical="center" wrapText="1"/>
    </xf>
    <xf numFmtId="1" fontId="8" fillId="0" borderId="8" applyAlignment="1" pivotButton="0" quotePrefix="0" xfId="0">
      <alignment horizontal="center" vertical="center" wrapText="1"/>
    </xf>
    <xf numFmtId="3" fontId="8" fillId="0" borderId="8" applyAlignment="1" pivotButton="0" quotePrefix="0" xfId="0">
      <alignment horizontal="center" vertical="center" wrapText="1"/>
    </xf>
    <xf numFmtId="0" fontId="0" fillId="0" borderId="4" pivotButton="0" quotePrefix="0" xfId="0"/>
  </cellXfs>
  <cellStyles count="123">
    <cellStyle name="Normal" xfId="0" builtinId="0"/>
    <cellStyle name="Comma" xfId="1" builtinId="3"/>
    <cellStyle name="Normal 3" xfId="2"/>
    <cellStyle name="Normal 2" xfId="3"/>
    <cellStyle name="Comma 2" xfId="4"/>
    <cellStyle name="Normal 5" xfId="5"/>
    <cellStyle name="Normal 4" xfId="6"/>
    <cellStyle name="Comma 3" xfId="7"/>
    <cellStyle name="Normal 3 2" xfId="8"/>
    <cellStyle name="Normal 7" xfId="9"/>
    <cellStyle name="Normal 6" xfId="10"/>
    <cellStyle name="Comma 4" xfId="11"/>
    <cellStyle name="Normal 3 3" xfId="12"/>
    <cellStyle name="Normal 3 2 2" xfId="13"/>
    <cellStyle name="Normal 9" xfId="14"/>
    <cellStyle name="Normal 8" xfId="15"/>
    <cellStyle name="Comma 5" xfId="16"/>
    <cellStyle name="Normal 3 4" xfId="17"/>
    <cellStyle name="Normal 3 2 3" xfId="18"/>
    <cellStyle name="Normal 7 2" xfId="19"/>
    <cellStyle name="Normal 3 3 2" xfId="20"/>
    <cellStyle name="Normal 3 2 2 2" xfId="21"/>
    <cellStyle name="Normal 11" xfId="22"/>
    <cellStyle name="Normal 10" xfId="23"/>
    <cellStyle name="Comma 6" xfId="24"/>
    <cellStyle name="Normal 3 5" xfId="25"/>
    <cellStyle name="Normal 3 2 4" xfId="26"/>
    <cellStyle name="Normal 7 3" xfId="27"/>
    <cellStyle name="Normal 3 3 3" xfId="28"/>
    <cellStyle name="Normal 3 2 2 3" xfId="29"/>
    <cellStyle name="Normal 9 2" xfId="30"/>
    <cellStyle name="Normal 3 4 2" xfId="31"/>
    <cellStyle name="Normal 3 2 3 2" xfId="32"/>
    <cellStyle name="Normal 7 2 2" xfId="33"/>
    <cellStyle name="Normal 3 3 2 2" xfId="34"/>
    <cellStyle name="Normal 3 2 2 2 2" xfId="35"/>
    <cellStyle name="Normal 12" xfId="36"/>
    <cellStyle name="Normal 2 2" xfId="37"/>
    <cellStyle name="Percent 3" xfId="38"/>
    <cellStyle name="Percent 4" xfId="39"/>
    <cellStyle name="Percent 5" xfId="40"/>
    <cellStyle name="Normal 3 6" xfId="41"/>
    <cellStyle name="Normal 46" xfId="42"/>
    <cellStyle name="Normal 439" xfId="43"/>
    <cellStyle name="Normal 440" xfId="44"/>
    <cellStyle name="Normal 14" xfId="45"/>
    <cellStyle name="Normal 13" xfId="46"/>
    <cellStyle name="Comma 7" xfId="47"/>
    <cellStyle name="Normal 3 7" xfId="48"/>
    <cellStyle name="Normal 3 2 5" xfId="49"/>
    <cellStyle name="Normal 7 4" xfId="50"/>
    <cellStyle name="Normal 3 3 4" xfId="51"/>
    <cellStyle name="Normal 3 2 2 4" xfId="52"/>
    <cellStyle name="Normal 9 3" xfId="53"/>
    <cellStyle name="Normal 3 4 3" xfId="54"/>
    <cellStyle name="Normal 3 2 3 3" xfId="55"/>
    <cellStyle name="Normal 7 2 3" xfId="56"/>
    <cellStyle name="Normal 3 3 2 3" xfId="57"/>
    <cellStyle name="Normal 3 2 2 2 3" xfId="58"/>
    <cellStyle name="Normal 11 2" xfId="59"/>
    <cellStyle name="Normal 3 5 2" xfId="60"/>
    <cellStyle name="Normal 3 2 4 2" xfId="61"/>
    <cellStyle name="Normal 7 3 2" xfId="62"/>
    <cellStyle name="Normal 3 3 3 2" xfId="63"/>
    <cellStyle name="Normal 3 2 2 3 2" xfId="64"/>
    <cellStyle name="Normal 9 2 2" xfId="65"/>
    <cellStyle name="Normal 3 4 2 2" xfId="66"/>
    <cellStyle name="Normal 3 2 3 2 2" xfId="67"/>
    <cellStyle name="Normal 7 2 2 2" xfId="68"/>
    <cellStyle name="Normal 3 3 2 2 2" xfId="69"/>
    <cellStyle name="Normal 3 2 2 2 2 2" xfId="70"/>
    <cellStyle name="Normal 2 2 2" xfId="71"/>
    <cellStyle name="Percent 3 2" xfId="72"/>
    <cellStyle name="Percent 4 2" xfId="73"/>
    <cellStyle name="Percent 5 2" xfId="74"/>
    <cellStyle name="Normal 15" xfId="75"/>
    <cellStyle name="Normal 3 8" xfId="76"/>
    <cellStyle name="Normal 3 2 6" xfId="77"/>
    <cellStyle name="Normal 7 5" xfId="78"/>
    <cellStyle name="Normal 3 3 5" xfId="79"/>
    <cellStyle name="Normal 3 2 2 5" xfId="80"/>
    <cellStyle name="Normal 9 4" xfId="81"/>
    <cellStyle name="Normal 3 4 4" xfId="82"/>
    <cellStyle name="Normal 3 2 3 4" xfId="83"/>
    <cellStyle name="Normal 7 2 4" xfId="84"/>
    <cellStyle name="Normal 3 3 2 4" xfId="85"/>
    <cellStyle name="Normal 3 2 2 2 4" xfId="86"/>
    <cellStyle name="Normal 11 3" xfId="87"/>
    <cellStyle name="Normal 3 5 3" xfId="88"/>
    <cellStyle name="Normal 3 2 4 3" xfId="89"/>
    <cellStyle name="Normal 7 3 3" xfId="90"/>
    <cellStyle name="Normal 3 3 3 3" xfId="91"/>
    <cellStyle name="Normal 3 2 2 3 3" xfId="92"/>
    <cellStyle name="Normal 9 2 3" xfId="93"/>
    <cellStyle name="Normal 3 4 2 3" xfId="94"/>
    <cellStyle name="Normal 3 2 3 2 3" xfId="95"/>
    <cellStyle name="Normal 7 2 2 3" xfId="96"/>
    <cellStyle name="Normal 3 3 2 2 3" xfId="97"/>
    <cellStyle name="Normal 3 2 2 2 2 3" xfId="98"/>
    <cellStyle name="Normal 14 2" xfId="99"/>
    <cellStyle name="Normal 3 7 2" xfId="100"/>
    <cellStyle name="Normal 3 2 5 2" xfId="101"/>
    <cellStyle name="Normal 7 4 2" xfId="102"/>
    <cellStyle name="Normal 3 3 4 2" xfId="103"/>
    <cellStyle name="Normal 3 2 2 4 2" xfId="104"/>
    <cellStyle name="Normal 9 3 2" xfId="105"/>
    <cellStyle name="Normal 3 4 3 2" xfId="106"/>
    <cellStyle name="Normal 3 2 3 3 2" xfId="107"/>
    <cellStyle name="Normal 7 2 3 2" xfId="108"/>
    <cellStyle name="Normal 3 3 2 3 2" xfId="109"/>
    <cellStyle name="Normal 3 2 2 2 3 2" xfId="110"/>
    <cellStyle name="Normal 11 2 2" xfId="111"/>
    <cellStyle name="Normal 3 5 2 2" xfId="112"/>
    <cellStyle name="Normal 3 2 4 2 2" xfId="113"/>
    <cellStyle name="Normal 7 3 2 2" xfId="114"/>
    <cellStyle name="Normal 3 3 3 2 2" xfId="115"/>
    <cellStyle name="Normal 3 2 2 3 2 2" xfId="116"/>
    <cellStyle name="Normal 9 2 2 2" xfId="117"/>
    <cellStyle name="Normal 3 4 2 2 2" xfId="118"/>
    <cellStyle name="Normal 3 2 3 2 2 2" xfId="119"/>
    <cellStyle name="Normal 7 2 2 2 2" xfId="120"/>
    <cellStyle name="Normal 3 3 2 2 2 2" xfId="121"/>
    <cellStyle name="Normal 3 2 2 2 2 2 2" xfId="122"/>
  </cellStyles>
  <dxfs count="2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29"/>
  <sheetViews>
    <sheetView tabSelected="0" workbookViewId="0">
      <selection activeCell="A2" sqref="A2:XFD31"/>
    </sheetView>
  </sheetViews>
  <sheetFormatPr baseColWidth="8" defaultRowHeight="12.95" customHeight="1"/>
  <cols>
    <col width="9.5" bestFit="1" customWidth="1" style="105" min="1" max="1"/>
    <col width="7.875" bestFit="1" customWidth="1" style="105" min="2" max="2"/>
    <col width="4.625" bestFit="1" customWidth="1" style="105" min="3" max="3"/>
    <col width="5.375" bestFit="1" customWidth="1" style="105" min="4" max="4"/>
    <col width="6.625" bestFit="1" customWidth="1" style="105" min="5" max="5"/>
    <col width="2.625" bestFit="1" customWidth="1" style="105" min="6" max="6"/>
    <col width="4.875" bestFit="1" customWidth="1" style="105" min="7" max="8"/>
    <col width="4.5" bestFit="1" customWidth="1" style="105" min="9" max="9"/>
    <col width="4.375" bestFit="1" customWidth="1" style="105" min="10" max="10"/>
    <col width="2.875" bestFit="1" customWidth="1" style="105" min="11" max="11"/>
    <col width="8.375" bestFit="1" customWidth="1" style="105" min="12" max="12"/>
    <col width="7.625" bestFit="1" customWidth="1" style="105" min="13" max="13"/>
    <col width="5.875" bestFit="1" customWidth="1" style="105" min="14" max="14"/>
    <col width="3.75" bestFit="1" customWidth="1" style="105" min="15" max="15"/>
    <col width="4.75" bestFit="1" customWidth="1" style="105" min="16" max="16"/>
    <col width="13.125" bestFit="1" customWidth="1" style="105" min="17" max="17"/>
    <col width="2.875" bestFit="1" customWidth="1" style="105" min="18" max="18"/>
    <col width="4.5" bestFit="1" customWidth="1" style="105" min="19" max="19"/>
    <col width="5.25" bestFit="1" customWidth="1" style="105" min="20" max="20"/>
    <col width="5.375" bestFit="1" customWidth="1" style="105" min="21" max="21"/>
    <col width="7.25" bestFit="1" customWidth="1" style="105" min="22" max="22"/>
    <col width="26" bestFit="1" customWidth="1" style="105" min="23" max="23"/>
    <col width="8.25" bestFit="1" customWidth="1" style="105" min="24" max="24"/>
    <col width="24.375" bestFit="1" customWidth="1" style="105" min="25" max="26"/>
    <col width="8.625" bestFit="1" customWidth="1" style="105" min="27" max="28"/>
    <col width="8.875" bestFit="1" customWidth="1" style="105" min="29" max="29"/>
    <col width="5" customWidth="1" style="105" min="30" max="256"/>
    <col width="9.5" bestFit="1" customWidth="1" style="105" min="257" max="257"/>
    <col width="7.875" bestFit="1" customWidth="1" style="105" min="258" max="258"/>
    <col width="4.625" bestFit="1" customWidth="1" style="105" min="259" max="259"/>
    <col width="5.375" bestFit="1" customWidth="1" style="105" min="260" max="260"/>
    <col width="6.625" bestFit="1" customWidth="1" style="105" min="261" max="261"/>
    <col width="2.625" bestFit="1" customWidth="1" style="105" min="262" max="262"/>
    <col width="4.875" bestFit="1" customWidth="1" style="105" min="263" max="264"/>
    <col width="4.5" bestFit="1" customWidth="1" style="105" min="265" max="265"/>
    <col width="4.375" bestFit="1" customWidth="1" style="105" min="266" max="266"/>
    <col width="2.875" bestFit="1" customWidth="1" style="105" min="267" max="267"/>
    <col width="8.375" bestFit="1" customWidth="1" style="105" min="268" max="268"/>
    <col width="7.625" bestFit="1" customWidth="1" style="105" min="269" max="269"/>
    <col width="5.875" bestFit="1" customWidth="1" style="105" min="270" max="270"/>
    <col width="3.75" bestFit="1" customWidth="1" style="105" min="271" max="271"/>
    <col width="4.75" bestFit="1" customWidth="1" style="105" min="272" max="272"/>
    <col width="13.125" bestFit="1" customWidth="1" style="105" min="273" max="273"/>
    <col width="2.875" bestFit="1" customWidth="1" style="105" min="274" max="274"/>
    <col width="4.5" bestFit="1" customWidth="1" style="105" min="275" max="275"/>
    <col width="5.25" bestFit="1" customWidth="1" style="105" min="276" max="276"/>
    <col width="5.375" bestFit="1" customWidth="1" style="105" min="277" max="277"/>
    <col width="7.25" bestFit="1" customWidth="1" style="105" min="278" max="278"/>
    <col width="26" bestFit="1" customWidth="1" style="105" min="279" max="279"/>
    <col width="8.25" bestFit="1" customWidth="1" style="105" min="280" max="280"/>
    <col width="24.375" bestFit="1" customWidth="1" style="105" min="281" max="282"/>
    <col width="8.625" bestFit="1" customWidth="1" style="105" min="283" max="284"/>
    <col width="8.875" bestFit="1" customWidth="1" style="105" min="285" max="285"/>
    <col width="5" customWidth="1" style="105" min="286" max="512"/>
    <col width="9.5" bestFit="1" customWidth="1" style="105" min="513" max="513"/>
    <col width="7.875" bestFit="1" customWidth="1" style="105" min="514" max="514"/>
    <col width="4.625" bestFit="1" customWidth="1" style="105" min="515" max="515"/>
    <col width="5.375" bestFit="1" customWidth="1" style="105" min="516" max="516"/>
    <col width="6.625" bestFit="1" customWidth="1" style="105" min="517" max="517"/>
    <col width="2.625" bestFit="1" customWidth="1" style="105" min="518" max="518"/>
    <col width="4.875" bestFit="1" customWidth="1" style="105" min="519" max="520"/>
    <col width="4.5" bestFit="1" customWidth="1" style="105" min="521" max="521"/>
    <col width="4.375" bestFit="1" customWidth="1" style="105" min="522" max="522"/>
    <col width="2.875" bestFit="1" customWidth="1" style="105" min="523" max="523"/>
    <col width="8.375" bestFit="1" customWidth="1" style="105" min="524" max="524"/>
    <col width="7.625" bestFit="1" customWidth="1" style="105" min="525" max="525"/>
    <col width="5.875" bestFit="1" customWidth="1" style="105" min="526" max="526"/>
    <col width="3.75" bestFit="1" customWidth="1" style="105" min="527" max="527"/>
    <col width="4.75" bestFit="1" customWidth="1" style="105" min="528" max="528"/>
    <col width="13.125" bestFit="1" customWidth="1" style="105" min="529" max="529"/>
    <col width="2.875" bestFit="1" customWidth="1" style="105" min="530" max="530"/>
    <col width="4.5" bestFit="1" customWidth="1" style="105" min="531" max="531"/>
    <col width="5.25" bestFit="1" customWidth="1" style="105" min="532" max="532"/>
    <col width="5.375" bestFit="1" customWidth="1" style="105" min="533" max="533"/>
    <col width="7.25" bestFit="1" customWidth="1" style="105" min="534" max="534"/>
    <col width="26" bestFit="1" customWidth="1" style="105" min="535" max="535"/>
    <col width="8.25" bestFit="1" customWidth="1" style="105" min="536" max="536"/>
    <col width="24.375" bestFit="1" customWidth="1" style="105" min="537" max="538"/>
    <col width="8.625" bestFit="1" customWidth="1" style="105" min="539" max="540"/>
    <col width="8.875" bestFit="1" customWidth="1" style="105" min="541" max="541"/>
    <col width="5" customWidth="1" style="105" min="542" max="768"/>
    <col width="9.5" bestFit="1" customWidth="1" style="105" min="769" max="769"/>
    <col width="7.875" bestFit="1" customWidth="1" style="105" min="770" max="770"/>
    <col width="4.625" bestFit="1" customWidth="1" style="105" min="771" max="771"/>
    <col width="5.375" bestFit="1" customWidth="1" style="105" min="772" max="772"/>
    <col width="6.625" bestFit="1" customWidth="1" style="105" min="773" max="773"/>
    <col width="2.625" bestFit="1" customWidth="1" style="105" min="774" max="774"/>
    <col width="4.875" bestFit="1" customWidth="1" style="105" min="775" max="776"/>
    <col width="4.5" bestFit="1" customWidth="1" style="105" min="777" max="777"/>
    <col width="4.375" bestFit="1" customWidth="1" style="105" min="778" max="778"/>
    <col width="2.875" bestFit="1" customWidth="1" style="105" min="779" max="779"/>
    <col width="8.375" bestFit="1" customWidth="1" style="105" min="780" max="780"/>
    <col width="7.625" bestFit="1" customWidth="1" style="105" min="781" max="781"/>
    <col width="5.875" bestFit="1" customWidth="1" style="105" min="782" max="782"/>
    <col width="3.75" bestFit="1" customWidth="1" style="105" min="783" max="783"/>
    <col width="4.75" bestFit="1" customWidth="1" style="105" min="784" max="784"/>
    <col width="13.125" bestFit="1" customWidth="1" style="105" min="785" max="785"/>
    <col width="2.875" bestFit="1" customWidth="1" style="105" min="786" max="786"/>
    <col width="4.5" bestFit="1" customWidth="1" style="105" min="787" max="787"/>
    <col width="5.25" bestFit="1" customWidth="1" style="105" min="788" max="788"/>
    <col width="5.375" bestFit="1" customWidth="1" style="105" min="789" max="789"/>
    <col width="7.25" bestFit="1" customWidth="1" style="105" min="790" max="790"/>
    <col width="26" bestFit="1" customWidth="1" style="105" min="791" max="791"/>
    <col width="8.25" bestFit="1" customWidth="1" style="105" min="792" max="792"/>
    <col width="24.375" bestFit="1" customWidth="1" style="105" min="793" max="794"/>
    <col width="8.625" bestFit="1" customWidth="1" style="105" min="795" max="796"/>
    <col width="8.875" bestFit="1" customWidth="1" style="105" min="797" max="797"/>
    <col width="5" customWidth="1" style="105" min="798" max="1024"/>
    <col width="9.5" bestFit="1" customWidth="1" style="105" min="1025" max="1025"/>
    <col width="7.875" bestFit="1" customWidth="1" style="105" min="1026" max="1026"/>
    <col width="4.625" bestFit="1" customWidth="1" style="105" min="1027" max="1027"/>
    <col width="5.375" bestFit="1" customWidth="1" style="105" min="1028" max="1028"/>
    <col width="6.625" bestFit="1" customWidth="1" style="105" min="1029" max="1029"/>
    <col width="2.625" bestFit="1" customWidth="1" style="105" min="1030" max="1030"/>
    <col width="4.875" bestFit="1" customWidth="1" style="105" min="1031" max="1032"/>
    <col width="4.5" bestFit="1" customWidth="1" style="105" min="1033" max="1033"/>
    <col width="4.375" bestFit="1" customWidth="1" style="105" min="1034" max="1034"/>
    <col width="2.875" bestFit="1" customWidth="1" style="105" min="1035" max="1035"/>
    <col width="8.375" bestFit="1" customWidth="1" style="105" min="1036" max="1036"/>
    <col width="7.625" bestFit="1" customWidth="1" style="105" min="1037" max="1037"/>
    <col width="5.875" bestFit="1" customWidth="1" style="105" min="1038" max="1038"/>
    <col width="3.75" bestFit="1" customWidth="1" style="105" min="1039" max="1039"/>
    <col width="4.75" bestFit="1" customWidth="1" style="105" min="1040" max="1040"/>
    <col width="13.125" bestFit="1" customWidth="1" style="105" min="1041" max="1041"/>
    <col width="2.875" bestFit="1" customWidth="1" style="105" min="1042" max="1042"/>
    <col width="4.5" bestFit="1" customWidth="1" style="105" min="1043" max="1043"/>
    <col width="5.25" bestFit="1" customWidth="1" style="105" min="1044" max="1044"/>
    <col width="5.375" bestFit="1" customWidth="1" style="105" min="1045" max="1045"/>
    <col width="7.25" bestFit="1" customWidth="1" style="105" min="1046" max="1046"/>
    <col width="26" bestFit="1" customWidth="1" style="105" min="1047" max="1047"/>
    <col width="8.25" bestFit="1" customWidth="1" style="105" min="1048" max="1048"/>
    <col width="24.375" bestFit="1" customWidth="1" style="105" min="1049" max="1050"/>
    <col width="8.625" bestFit="1" customWidth="1" style="105" min="1051" max="1052"/>
    <col width="8.875" bestFit="1" customWidth="1" style="105" min="1053" max="1053"/>
    <col width="5" customWidth="1" style="105" min="1054" max="1280"/>
    <col width="9.5" bestFit="1" customWidth="1" style="105" min="1281" max="1281"/>
    <col width="7.875" bestFit="1" customWidth="1" style="105" min="1282" max="1282"/>
    <col width="4.625" bestFit="1" customWidth="1" style="105" min="1283" max="1283"/>
    <col width="5.375" bestFit="1" customWidth="1" style="105" min="1284" max="1284"/>
    <col width="6.625" bestFit="1" customWidth="1" style="105" min="1285" max="1285"/>
    <col width="2.625" bestFit="1" customWidth="1" style="105" min="1286" max="1286"/>
    <col width="4.875" bestFit="1" customWidth="1" style="105" min="1287" max="1288"/>
    <col width="4.5" bestFit="1" customWidth="1" style="105" min="1289" max="1289"/>
    <col width="4.375" bestFit="1" customWidth="1" style="105" min="1290" max="1290"/>
    <col width="2.875" bestFit="1" customWidth="1" style="105" min="1291" max="1291"/>
    <col width="8.375" bestFit="1" customWidth="1" style="105" min="1292" max="1292"/>
    <col width="7.625" bestFit="1" customWidth="1" style="105" min="1293" max="1293"/>
    <col width="5.875" bestFit="1" customWidth="1" style="105" min="1294" max="1294"/>
    <col width="3.75" bestFit="1" customWidth="1" style="105" min="1295" max="1295"/>
    <col width="4.75" bestFit="1" customWidth="1" style="105" min="1296" max="1296"/>
    <col width="13.125" bestFit="1" customWidth="1" style="105" min="1297" max="1297"/>
    <col width="2.875" bestFit="1" customWidth="1" style="105" min="1298" max="1298"/>
    <col width="4.5" bestFit="1" customWidth="1" style="105" min="1299" max="1299"/>
    <col width="5.25" bestFit="1" customWidth="1" style="105" min="1300" max="1300"/>
    <col width="5.375" bestFit="1" customWidth="1" style="105" min="1301" max="1301"/>
    <col width="7.25" bestFit="1" customWidth="1" style="105" min="1302" max="1302"/>
    <col width="26" bestFit="1" customWidth="1" style="105" min="1303" max="1303"/>
    <col width="8.25" bestFit="1" customWidth="1" style="105" min="1304" max="1304"/>
    <col width="24.375" bestFit="1" customWidth="1" style="105" min="1305" max="1306"/>
    <col width="8.625" bestFit="1" customWidth="1" style="105" min="1307" max="1308"/>
    <col width="8.875" bestFit="1" customWidth="1" style="105" min="1309" max="1309"/>
    <col width="5" customWidth="1" style="105" min="1310" max="1536"/>
    <col width="9.5" bestFit="1" customWidth="1" style="105" min="1537" max="1537"/>
    <col width="7.875" bestFit="1" customWidth="1" style="105" min="1538" max="1538"/>
    <col width="4.625" bestFit="1" customWidth="1" style="105" min="1539" max="1539"/>
    <col width="5.375" bestFit="1" customWidth="1" style="105" min="1540" max="1540"/>
    <col width="6.625" bestFit="1" customWidth="1" style="105" min="1541" max="1541"/>
    <col width="2.625" bestFit="1" customWidth="1" style="105" min="1542" max="1542"/>
    <col width="4.875" bestFit="1" customWidth="1" style="105" min="1543" max="1544"/>
    <col width="4.5" bestFit="1" customWidth="1" style="105" min="1545" max="1545"/>
    <col width="4.375" bestFit="1" customWidth="1" style="105" min="1546" max="1546"/>
    <col width="2.875" bestFit="1" customWidth="1" style="105" min="1547" max="1547"/>
    <col width="8.375" bestFit="1" customWidth="1" style="105" min="1548" max="1548"/>
    <col width="7.625" bestFit="1" customWidth="1" style="105" min="1549" max="1549"/>
    <col width="5.875" bestFit="1" customWidth="1" style="105" min="1550" max="1550"/>
    <col width="3.75" bestFit="1" customWidth="1" style="105" min="1551" max="1551"/>
    <col width="4.75" bestFit="1" customWidth="1" style="105" min="1552" max="1552"/>
    <col width="13.125" bestFit="1" customWidth="1" style="105" min="1553" max="1553"/>
    <col width="2.875" bestFit="1" customWidth="1" style="105" min="1554" max="1554"/>
    <col width="4.5" bestFit="1" customWidth="1" style="105" min="1555" max="1555"/>
    <col width="5.25" bestFit="1" customWidth="1" style="105" min="1556" max="1556"/>
    <col width="5.375" bestFit="1" customWidth="1" style="105" min="1557" max="1557"/>
    <col width="7.25" bestFit="1" customWidth="1" style="105" min="1558" max="1558"/>
    <col width="26" bestFit="1" customWidth="1" style="105" min="1559" max="1559"/>
    <col width="8.25" bestFit="1" customWidth="1" style="105" min="1560" max="1560"/>
    <col width="24.375" bestFit="1" customWidth="1" style="105" min="1561" max="1562"/>
    <col width="8.625" bestFit="1" customWidth="1" style="105" min="1563" max="1564"/>
    <col width="8.875" bestFit="1" customWidth="1" style="105" min="1565" max="1565"/>
    <col width="5" customWidth="1" style="105" min="1566" max="1792"/>
    <col width="9.5" bestFit="1" customWidth="1" style="105" min="1793" max="1793"/>
    <col width="7.875" bestFit="1" customWidth="1" style="105" min="1794" max="1794"/>
    <col width="4.625" bestFit="1" customWidth="1" style="105" min="1795" max="1795"/>
    <col width="5.375" bestFit="1" customWidth="1" style="105" min="1796" max="1796"/>
    <col width="6.625" bestFit="1" customWidth="1" style="105" min="1797" max="1797"/>
    <col width="2.625" bestFit="1" customWidth="1" style="105" min="1798" max="1798"/>
    <col width="4.875" bestFit="1" customWidth="1" style="105" min="1799" max="1800"/>
    <col width="4.5" bestFit="1" customWidth="1" style="105" min="1801" max="1801"/>
    <col width="4.375" bestFit="1" customWidth="1" style="105" min="1802" max="1802"/>
    <col width="2.875" bestFit="1" customWidth="1" style="105" min="1803" max="1803"/>
    <col width="8.375" bestFit="1" customWidth="1" style="105" min="1804" max="1804"/>
    <col width="7.625" bestFit="1" customWidth="1" style="105" min="1805" max="1805"/>
    <col width="5.875" bestFit="1" customWidth="1" style="105" min="1806" max="1806"/>
    <col width="3.75" bestFit="1" customWidth="1" style="105" min="1807" max="1807"/>
    <col width="4.75" bestFit="1" customWidth="1" style="105" min="1808" max="1808"/>
    <col width="13.125" bestFit="1" customWidth="1" style="105" min="1809" max="1809"/>
    <col width="2.875" bestFit="1" customWidth="1" style="105" min="1810" max="1810"/>
    <col width="4.5" bestFit="1" customWidth="1" style="105" min="1811" max="1811"/>
    <col width="5.25" bestFit="1" customWidth="1" style="105" min="1812" max="1812"/>
    <col width="5.375" bestFit="1" customWidth="1" style="105" min="1813" max="1813"/>
    <col width="7.25" bestFit="1" customWidth="1" style="105" min="1814" max="1814"/>
    <col width="26" bestFit="1" customWidth="1" style="105" min="1815" max="1815"/>
    <col width="8.25" bestFit="1" customWidth="1" style="105" min="1816" max="1816"/>
    <col width="24.375" bestFit="1" customWidth="1" style="105" min="1817" max="1818"/>
    <col width="8.625" bestFit="1" customWidth="1" style="105" min="1819" max="1820"/>
    <col width="8.875" bestFit="1" customWidth="1" style="105" min="1821" max="1821"/>
    <col width="5" customWidth="1" style="105" min="1822" max="2048"/>
    <col width="9.5" bestFit="1" customWidth="1" style="105" min="2049" max="2049"/>
    <col width="7.875" bestFit="1" customWidth="1" style="105" min="2050" max="2050"/>
    <col width="4.625" bestFit="1" customWidth="1" style="105" min="2051" max="2051"/>
    <col width="5.375" bestFit="1" customWidth="1" style="105" min="2052" max="2052"/>
    <col width="6.625" bestFit="1" customWidth="1" style="105" min="2053" max="2053"/>
    <col width="2.625" bestFit="1" customWidth="1" style="105" min="2054" max="2054"/>
    <col width="4.875" bestFit="1" customWidth="1" style="105" min="2055" max="2056"/>
    <col width="4.5" bestFit="1" customWidth="1" style="105" min="2057" max="2057"/>
    <col width="4.375" bestFit="1" customWidth="1" style="105" min="2058" max="2058"/>
    <col width="2.875" bestFit="1" customWidth="1" style="105" min="2059" max="2059"/>
    <col width="8.375" bestFit="1" customWidth="1" style="105" min="2060" max="2060"/>
    <col width="7.625" bestFit="1" customWidth="1" style="105" min="2061" max="2061"/>
    <col width="5.875" bestFit="1" customWidth="1" style="105" min="2062" max="2062"/>
    <col width="3.75" bestFit="1" customWidth="1" style="105" min="2063" max="2063"/>
    <col width="4.75" bestFit="1" customWidth="1" style="105" min="2064" max="2064"/>
    <col width="13.125" bestFit="1" customWidth="1" style="105" min="2065" max="2065"/>
    <col width="2.875" bestFit="1" customWidth="1" style="105" min="2066" max="2066"/>
    <col width="4.5" bestFit="1" customWidth="1" style="105" min="2067" max="2067"/>
    <col width="5.25" bestFit="1" customWidth="1" style="105" min="2068" max="2068"/>
    <col width="5.375" bestFit="1" customWidth="1" style="105" min="2069" max="2069"/>
    <col width="7.25" bestFit="1" customWidth="1" style="105" min="2070" max="2070"/>
    <col width="26" bestFit="1" customWidth="1" style="105" min="2071" max="2071"/>
    <col width="8.25" bestFit="1" customWidth="1" style="105" min="2072" max="2072"/>
    <col width="24.375" bestFit="1" customWidth="1" style="105" min="2073" max="2074"/>
    <col width="8.625" bestFit="1" customWidth="1" style="105" min="2075" max="2076"/>
    <col width="8.875" bestFit="1" customWidth="1" style="105" min="2077" max="2077"/>
    <col width="5" customWidth="1" style="105" min="2078" max="2304"/>
    <col width="9.5" bestFit="1" customWidth="1" style="105" min="2305" max="2305"/>
    <col width="7.875" bestFit="1" customWidth="1" style="105" min="2306" max="2306"/>
    <col width="4.625" bestFit="1" customWidth="1" style="105" min="2307" max="2307"/>
    <col width="5.375" bestFit="1" customWidth="1" style="105" min="2308" max="2308"/>
    <col width="6.625" bestFit="1" customWidth="1" style="105" min="2309" max="2309"/>
    <col width="2.625" bestFit="1" customWidth="1" style="105" min="2310" max="2310"/>
    <col width="4.875" bestFit="1" customWidth="1" style="105" min="2311" max="2312"/>
    <col width="4.5" bestFit="1" customWidth="1" style="105" min="2313" max="2313"/>
    <col width="4.375" bestFit="1" customWidth="1" style="105" min="2314" max="2314"/>
    <col width="2.875" bestFit="1" customWidth="1" style="105" min="2315" max="2315"/>
    <col width="8.375" bestFit="1" customWidth="1" style="105" min="2316" max="2316"/>
    <col width="7.625" bestFit="1" customWidth="1" style="105" min="2317" max="2317"/>
    <col width="5.875" bestFit="1" customWidth="1" style="105" min="2318" max="2318"/>
    <col width="3.75" bestFit="1" customWidth="1" style="105" min="2319" max="2319"/>
    <col width="4.75" bestFit="1" customWidth="1" style="105" min="2320" max="2320"/>
    <col width="13.125" bestFit="1" customWidth="1" style="105" min="2321" max="2321"/>
    <col width="2.875" bestFit="1" customWidth="1" style="105" min="2322" max="2322"/>
    <col width="4.5" bestFit="1" customWidth="1" style="105" min="2323" max="2323"/>
    <col width="5.25" bestFit="1" customWidth="1" style="105" min="2324" max="2324"/>
    <col width="5.375" bestFit="1" customWidth="1" style="105" min="2325" max="2325"/>
    <col width="7.25" bestFit="1" customWidth="1" style="105" min="2326" max="2326"/>
    <col width="26" bestFit="1" customWidth="1" style="105" min="2327" max="2327"/>
    <col width="8.25" bestFit="1" customWidth="1" style="105" min="2328" max="2328"/>
    <col width="24.375" bestFit="1" customWidth="1" style="105" min="2329" max="2330"/>
    <col width="8.625" bestFit="1" customWidth="1" style="105" min="2331" max="2332"/>
    <col width="8.875" bestFit="1" customWidth="1" style="105" min="2333" max="2333"/>
    <col width="5" customWidth="1" style="105" min="2334" max="2560"/>
    <col width="9.5" bestFit="1" customWidth="1" style="105" min="2561" max="2561"/>
    <col width="7.875" bestFit="1" customWidth="1" style="105" min="2562" max="2562"/>
    <col width="4.625" bestFit="1" customWidth="1" style="105" min="2563" max="2563"/>
    <col width="5.375" bestFit="1" customWidth="1" style="105" min="2564" max="2564"/>
    <col width="6.625" bestFit="1" customWidth="1" style="105" min="2565" max="2565"/>
    <col width="2.625" bestFit="1" customWidth="1" style="105" min="2566" max="2566"/>
    <col width="4.875" bestFit="1" customWidth="1" style="105" min="2567" max="2568"/>
    <col width="4.5" bestFit="1" customWidth="1" style="105" min="2569" max="2569"/>
    <col width="4.375" bestFit="1" customWidth="1" style="105" min="2570" max="2570"/>
    <col width="2.875" bestFit="1" customWidth="1" style="105" min="2571" max="2571"/>
    <col width="8.375" bestFit="1" customWidth="1" style="105" min="2572" max="2572"/>
    <col width="7.625" bestFit="1" customWidth="1" style="105" min="2573" max="2573"/>
    <col width="5.875" bestFit="1" customWidth="1" style="105" min="2574" max="2574"/>
    <col width="3.75" bestFit="1" customWidth="1" style="105" min="2575" max="2575"/>
    <col width="4.75" bestFit="1" customWidth="1" style="105" min="2576" max="2576"/>
    <col width="13.125" bestFit="1" customWidth="1" style="105" min="2577" max="2577"/>
    <col width="2.875" bestFit="1" customWidth="1" style="105" min="2578" max="2578"/>
    <col width="4.5" bestFit="1" customWidth="1" style="105" min="2579" max="2579"/>
    <col width="5.25" bestFit="1" customWidth="1" style="105" min="2580" max="2580"/>
    <col width="5.375" bestFit="1" customWidth="1" style="105" min="2581" max="2581"/>
    <col width="7.25" bestFit="1" customWidth="1" style="105" min="2582" max="2582"/>
    <col width="26" bestFit="1" customWidth="1" style="105" min="2583" max="2583"/>
    <col width="8.25" bestFit="1" customWidth="1" style="105" min="2584" max="2584"/>
    <col width="24.375" bestFit="1" customWidth="1" style="105" min="2585" max="2586"/>
    <col width="8.625" bestFit="1" customWidth="1" style="105" min="2587" max="2588"/>
    <col width="8.875" bestFit="1" customWidth="1" style="105" min="2589" max="2589"/>
    <col width="5" customWidth="1" style="105" min="2590" max="2816"/>
    <col width="9.5" bestFit="1" customWidth="1" style="105" min="2817" max="2817"/>
    <col width="7.875" bestFit="1" customWidth="1" style="105" min="2818" max="2818"/>
    <col width="4.625" bestFit="1" customWidth="1" style="105" min="2819" max="2819"/>
    <col width="5.375" bestFit="1" customWidth="1" style="105" min="2820" max="2820"/>
    <col width="6.625" bestFit="1" customWidth="1" style="105" min="2821" max="2821"/>
    <col width="2.625" bestFit="1" customWidth="1" style="105" min="2822" max="2822"/>
    <col width="4.875" bestFit="1" customWidth="1" style="105" min="2823" max="2824"/>
    <col width="4.5" bestFit="1" customWidth="1" style="105" min="2825" max="2825"/>
    <col width="4.375" bestFit="1" customWidth="1" style="105" min="2826" max="2826"/>
    <col width="2.875" bestFit="1" customWidth="1" style="105" min="2827" max="2827"/>
    <col width="8.375" bestFit="1" customWidth="1" style="105" min="2828" max="2828"/>
    <col width="7.625" bestFit="1" customWidth="1" style="105" min="2829" max="2829"/>
    <col width="5.875" bestFit="1" customWidth="1" style="105" min="2830" max="2830"/>
    <col width="3.75" bestFit="1" customWidth="1" style="105" min="2831" max="2831"/>
    <col width="4.75" bestFit="1" customWidth="1" style="105" min="2832" max="2832"/>
    <col width="13.125" bestFit="1" customWidth="1" style="105" min="2833" max="2833"/>
    <col width="2.875" bestFit="1" customWidth="1" style="105" min="2834" max="2834"/>
    <col width="4.5" bestFit="1" customWidth="1" style="105" min="2835" max="2835"/>
    <col width="5.25" bestFit="1" customWidth="1" style="105" min="2836" max="2836"/>
    <col width="5.375" bestFit="1" customWidth="1" style="105" min="2837" max="2837"/>
    <col width="7.25" bestFit="1" customWidth="1" style="105" min="2838" max="2838"/>
    <col width="26" bestFit="1" customWidth="1" style="105" min="2839" max="2839"/>
    <col width="8.25" bestFit="1" customWidth="1" style="105" min="2840" max="2840"/>
    <col width="24.375" bestFit="1" customWidth="1" style="105" min="2841" max="2842"/>
    <col width="8.625" bestFit="1" customWidth="1" style="105" min="2843" max="2844"/>
    <col width="8.875" bestFit="1" customWidth="1" style="105" min="2845" max="2845"/>
    <col width="5" customWidth="1" style="105" min="2846" max="3072"/>
    <col width="9.5" bestFit="1" customWidth="1" style="105" min="3073" max="3073"/>
    <col width="7.875" bestFit="1" customWidth="1" style="105" min="3074" max="3074"/>
    <col width="4.625" bestFit="1" customWidth="1" style="105" min="3075" max="3075"/>
    <col width="5.375" bestFit="1" customWidth="1" style="105" min="3076" max="3076"/>
    <col width="6.625" bestFit="1" customWidth="1" style="105" min="3077" max="3077"/>
    <col width="2.625" bestFit="1" customWidth="1" style="105" min="3078" max="3078"/>
    <col width="4.875" bestFit="1" customWidth="1" style="105" min="3079" max="3080"/>
    <col width="4.5" bestFit="1" customWidth="1" style="105" min="3081" max="3081"/>
    <col width="4.375" bestFit="1" customWidth="1" style="105" min="3082" max="3082"/>
    <col width="2.875" bestFit="1" customWidth="1" style="105" min="3083" max="3083"/>
    <col width="8.375" bestFit="1" customWidth="1" style="105" min="3084" max="3084"/>
    <col width="7.625" bestFit="1" customWidth="1" style="105" min="3085" max="3085"/>
    <col width="5.875" bestFit="1" customWidth="1" style="105" min="3086" max="3086"/>
    <col width="3.75" bestFit="1" customWidth="1" style="105" min="3087" max="3087"/>
    <col width="4.75" bestFit="1" customWidth="1" style="105" min="3088" max="3088"/>
    <col width="13.125" bestFit="1" customWidth="1" style="105" min="3089" max="3089"/>
    <col width="2.875" bestFit="1" customWidth="1" style="105" min="3090" max="3090"/>
    <col width="4.5" bestFit="1" customWidth="1" style="105" min="3091" max="3091"/>
    <col width="5.25" bestFit="1" customWidth="1" style="105" min="3092" max="3092"/>
    <col width="5.375" bestFit="1" customWidth="1" style="105" min="3093" max="3093"/>
    <col width="7.25" bestFit="1" customWidth="1" style="105" min="3094" max="3094"/>
    <col width="26" bestFit="1" customWidth="1" style="105" min="3095" max="3095"/>
    <col width="8.25" bestFit="1" customWidth="1" style="105" min="3096" max="3096"/>
    <col width="24.375" bestFit="1" customWidth="1" style="105" min="3097" max="3098"/>
    <col width="8.625" bestFit="1" customWidth="1" style="105" min="3099" max="3100"/>
    <col width="8.875" bestFit="1" customWidth="1" style="105" min="3101" max="3101"/>
    <col width="5" customWidth="1" style="105" min="3102" max="3328"/>
    <col width="9.5" bestFit="1" customWidth="1" style="105" min="3329" max="3329"/>
    <col width="7.875" bestFit="1" customWidth="1" style="105" min="3330" max="3330"/>
    <col width="4.625" bestFit="1" customWidth="1" style="105" min="3331" max="3331"/>
    <col width="5.375" bestFit="1" customWidth="1" style="105" min="3332" max="3332"/>
    <col width="6.625" bestFit="1" customWidth="1" style="105" min="3333" max="3333"/>
    <col width="2.625" bestFit="1" customWidth="1" style="105" min="3334" max="3334"/>
    <col width="4.875" bestFit="1" customWidth="1" style="105" min="3335" max="3336"/>
    <col width="4.5" bestFit="1" customWidth="1" style="105" min="3337" max="3337"/>
    <col width="4.375" bestFit="1" customWidth="1" style="105" min="3338" max="3338"/>
    <col width="2.875" bestFit="1" customWidth="1" style="105" min="3339" max="3339"/>
    <col width="8.375" bestFit="1" customWidth="1" style="105" min="3340" max="3340"/>
    <col width="7.625" bestFit="1" customWidth="1" style="105" min="3341" max="3341"/>
    <col width="5.875" bestFit="1" customWidth="1" style="105" min="3342" max="3342"/>
    <col width="3.75" bestFit="1" customWidth="1" style="105" min="3343" max="3343"/>
    <col width="4.75" bestFit="1" customWidth="1" style="105" min="3344" max="3344"/>
    <col width="13.125" bestFit="1" customWidth="1" style="105" min="3345" max="3345"/>
    <col width="2.875" bestFit="1" customWidth="1" style="105" min="3346" max="3346"/>
    <col width="4.5" bestFit="1" customWidth="1" style="105" min="3347" max="3347"/>
    <col width="5.25" bestFit="1" customWidth="1" style="105" min="3348" max="3348"/>
    <col width="5.375" bestFit="1" customWidth="1" style="105" min="3349" max="3349"/>
    <col width="7.25" bestFit="1" customWidth="1" style="105" min="3350" max="3350"/>
    <col width="26" bestFit="1" customWidth="1" style="105" min="3351" max="3351"/>
    <col width="8.25" bestFit="1" customWidth="1" style="105" min="3352" max="3352"/>
    <col width="24.375" bestFit="1" customWidth="1" style="105" min="3353" max="3354"/>
    <col width="8.625" bestFit="1" customWidth="1" style="105" min="3355" max="3356"/>
    <col width="8.875" bestFit="1" customWidth="1" style="105" min="3357" max="3357"/>
    <col width="5" customWidth="1" style="105" min="3358" max="3584"/>
    <col width="9.5" bestFit="1" customWidth="1" style="105" min="3585" max="3585"/>
    <col width="7.875" bestFit="1" customWidth="1" style="105" min="3586" max="3586"/>
    <col width="4.625" bestFit="1" customWidth="1" style="105" min="3587" max="3587"/>
    <col width="5.375" bestFit="1" customWidth="1" style="105" min="3588" max="3588"/>
    <col width="6.625" bestFit="1" customWidth="1" style="105" min="3589" max="3589"/>
    <col width="2.625" bestFit="1" customWidth="1" style="105" min="3590" max="3590"/>
    <col width="4.875" bestFit="1" customWidth="1" style="105" min="3591" max="3592"/>
    <col width="4.5" bestFit="1" customWidth="1" style="105" min="3593" max="3593"/>
    <col width="4.375" bestFit="1" customWidth="1" style="105" min="3594" max="3594"/>
    <col width="2.875" bestFit="1" customWidth="1" style="105" min="3595" max="3595"/>
    <col width="8.375" bestFit="1" customWidth="1" style="105" min="3596" max="3596"/>
    <col width="7.625" bestFit="1" customWidth="1" style="105" min="3597" max="3597"/>
    <col width="5.875" bestFit="1" customWidth="1" style="105" min="3598" max="3598"/>
    <col width="3.75" bestFit="1" customWidth="1" style="105" min="3599" max="3599"/>
    <col width="4.75" bestFit="1" customWidth="1" style="105" min="3600" max="3600"/>
    <col width="13.125" bestFit="1" customWidth="1" style="105" min="3601" max="3601"/>
    <col width="2.875" bestFit="1" customWidth="1" style="105" min="3602" max="3602"/>
    <col width="4.5" bestFit="1" customWidth="1" style="105" min="3603" max="3603"/>
    <col width="5.25" bestFit="1" customWidth="1" style="105" min="3604" max="3604"/>
    <col width="5.375" bestFit="1" customWidth="1" style="105" min="3605" max="3605"/>
    <col width="7.25" bestFit="1" customWidth="1" style="105" min="3606" max="3606"/>
    <col width="26" bestFit="1" customWidth="1" style="105" min="3607" max="3607"/>
    <col width="8.25" bestFit="1" customWidth="1" style="105" min="3608" max="3608"/>
    <col width="24.375" bestFit="1" customWidth="1" style="105" min="3609" max="3610"/>
    <col width="8.625" bestFit="1" customWidth="1" style="105" min="3611" max="3612"/>
    <col width="8.875" bestFit="1" customWidth="1" style="105" min="3613" max="3613"/>
    <col width="5" customWidth="1" style="105" min="3614" max="3840"/>
    <col width="9.5" bestFit="1" customWidth="1" style="105" min="3841" max="3841"/>
    <col width="7.875" bestFit="1" customWidth="1" style="105" min="3842" max="3842"/>
    <col width="4.625" bestFit="1" customWidth="1" style="105" min="3843" max="3843"/>
    <col width="5.375" bestFit="1" customWidth="1" style="105" min="3844" max="3844"/>
    <col width="6.625" bestFit="1" customWidth="1" style="105" min="3845" max="3845"/>
    <col width="2.625" bestFit="1" customWidth="1" style="105" min="3846" max="3846"/>
    <col width="4.875" bestFit="1" customWidth="1" style="105" min="3847" max="3848"/>
    <col width="4.5" bestFit="1" customWidth="1" style="105" min="3849" max="3849"/>
    <col width="4.375" bestFit="1" customWidth="1" style="105" min="3850" max="3850"/>
    <col width="2.875" bestFit="1" customWidth="1" style="105" min="3851" max="3851"/>
    <col width="8.375" bestFit="1" customWidth="1" style="105" min="3852" max="3852"/>
    <col width="7.625" bestFit="1" customWidth="1" style="105" min="3853" max="3853"/>
    <col width="5.875" bestFit="1" customWidth="1" style="105" min="3854" max="3854"/>
    <col width="3.75" bestFit="1" customWidth="1" style="105" min="3855" max="3855"/>
    <col width="4.75" bestFit="1" customWidth="1" style="105" min="3856" max="3856"/>
    <col width="13.125" bestFit="1" customWidth="1" style="105" min="3857" max="3857"/>
    <col width="2.875" bestFit="1" customWidth="1" style="105" min="3858" max="3858"/>
    <col width="4.5" bestFit="1" customWidth="1" style="105" min="3859" max="3859"/>
    <col width="5.25" bestFit="1" customWidth="1" style="105" min="3860" max="3860"/>
    <col width="5.375" bestFit="1" customWidth="1" style="105" min="3861" max="3861"/>
    <col width="7.25" bestFit="1" customWidth="1" style="105" min="3862" max="3862"/>
    <col width="26" bestFit="1" customWidth="1" style="105" min="3863" max="3863"/>
    <col width="8.25" bestFit="1" customWidth="1" style="105" min="3864" max="3864"/>
    <col width="24.375" bestFit="1" customWidth="1" style="105" min="3865" max="3866"/>
    <col width="8.625" bestFit="1" customWidth="1" style="105" min="3867" max="3868"/>
    <col width="8.875" bestFit="1" customWidth="1" style="105" min="3869" max="3869"/>
    <col width="5" customWidth="1" style="105" min="3870" max="4096"/>
    <col width="9.5" bestFit="1" customWidth="1" style="105" min="4097" max="4097"/>
    <col width="7.875" bestFit="1" customWidth="1" style="105" min="4098" max="4098"/>
    <col width="4.625" bestFit="1" customWidth="1" style="105" min="4099" max="4099"/>
    <col width="5.375" bestFit="1" customWidth="1" style="105" min="4100" max="4100"/>
    <col width="6.625" bestFit="1" customWidth="1" style="105" min="4101" max="4101"/>
    <col width="2.625" bestFit="1" customWidth="1" style="105" min="4102" max="4102"/>
    <col width="4.875" bestFit="1" customWidth="1" style="105" min="4103" max="4104"/>
    <col width="4.5" bestFit="1" customWidth="1" style="105" min="4105" max="4105"/>
    <col width="4.375" bestFit="1" customWidth="1" style="105" min="4106" max="4106"/>
    <col width="2.875" bestFit="1" customWidth="1" style="105" min="4107" max="4107"/>
    <col width="8.375" bestFit="1" customWidth="1" style="105" min="4108" max="4108"/>
    <col width="7.625" bestFit="1" customWidth="1" style="105" min="4109" max="4109"/>
    <col width="5.875" bestFit="1" customWidth="1" style="105" min="4110" max="4110"/>
    <col width="3.75" bestFit="1" customWidth="1" style="105" min="4111" max="4111"/>
    <col width="4.75" bestFit="1" customWidth="1" style="105" min="4112" max="4112"/>
    <col width="13.125" bestFit="1" customWidth="1" style="105" min="4113" max="4113"/>
    <col width="2.875" bestFit="1" customWidth="1" style="105" min="4114" max="4114"/>
    <col width="4.5" bestFit="1" customWidth="1" style="105" min="4115" max="4115"/>
    <col width="5.25" bestFit="1" customWidth="1" style="105" min="4116" max="4116"/>
    <col width="5.375" bestFit="1" customWidth="1" style="105" min="4117" max="4117"/>
    <col width="7.25" bestFit="1" customWidth="1" style="105" min="4118" max="4118"/>
    <col width="26" bestFit="1" customWidth="1" style="105" min="4119" max="4119"/>
    <col width="8.25" bestFit="1" customWidth="1" style="105" min="4120" max="4120"/>
    <col width="24.375" bestFit="1" customWidth="1" style="105" min="4121" max="4122"/>
    <col width="8.625" bestFit="1" customWidth="1" style="105" min="4123" max="4124"/>
    <col width="8.875" bestFit="1" customWidth="1" style="105" min="4125" max="4125"/>
    <col width="5" customWidth="1" style="105" min="4126" max="4352"/>
    <col width="9.5" bestFit="1" customWidth="1" style="105" min="4353" max="4353"/>
    <col width="7.875" bestFit="1" customWidth="1" style="105" min="4354" max="4354"/>
    <col width="4.625" bestFit="1" customWidth="1" style="105" min="4355" max="4355"/>
    <col width="5.375" bestFit="1" customWidth="1" style="105" min="4356" max="4356"/>
    <col width="6.625" bestFit="1" customWidth="1" style="105" min="4357" max="4357"/>
    <col width="2.625" bestFit="1" customWidth="1" style="105" min="4358" max="4358"/>
    <col width="4.875" bestFit="1" customWidth="1" style="105" min="4359" max="4360"/>
    <col width="4.5" bestFit="1" customWidth="1" style="105" min="4361" max="4361"/>
    <col width="4.375" bestFit="1" customWidth="1" style="105" min="4362" max="4362"/>
    <col width="2.875" bestFit="1" customWidth="1" style="105" min="4363" max="4363"/>
    <col width="8.375" bestFit="1" customWidth="1" style="105" min="4364" max="4364"/>
    <col width="7.625" bestFit="1" customWidth="1" style="105" min="4365" max="4365"/>
    <col width="5.875" bestFit="1" customWidth="1" style="105" min="4366" max="4366"/>
    <col width="3.75" bestFit="1" customWidth="1" style="105" min="4367" max="4367"/>
    <col width="4.75" bestFit="1" customWidth="1" style="105" min="4368" max="4368"/>
    <col width="13.125" bestFit="1" customWidth="1" style="105" min="4369" max="4369"/>
    <col width="2.875" bestFit="1" customWidth="1" style="105" min="4370" max="4370"/>
    <col width="4.5" bestFit="1" customWidth="1" style="105" min="4371" max="4371"/>
    <col width="5.25" bestFit="1" customWidth="1" style="105" min="4372" max="4372"/>
    <col width="5.375" bestFit="1" customWidth="1" style="105" min="4373" max="4373"/>
    <col width="7.25" bestFit="1" customWidth="1" style="105" min="4374" max="4374"/>
    <col width="26" bestFit="1" customWidth="1" style="105" min="4375" max="4375"/>
    <col width="8.25" bestFit="1" customWidth="1" style="105" min="4376" max="4376"/>
    <col width="24.375" bestFit="1" customWidth="1" style="105" min="4377" max="4378"/>
    <col width="8.625" bestFit="1" customWidth="1" style="105" min="4379" max="4380"/>
    <col width="8.875" bestFit="1" customWidth="1" style="105" min="4381" max="4381"/>
    <col width="5" customWidth="1" style="105" min="4382" max="4608"/>
    <col width="9.5" bestFit="1" customWidth="1" style="105" min="4609" max="4609"/>
    <col width="7.875" bestFit="1" customWidth="1" style="105" min="4610" max="4610"/>
    <col width="4.625" bestFit="1" customWidth="1" style="105" min="4611" max="4611"/>
    <col width="5.375" bestFit="1" customWidth="1" style="105" min="4612" max="4612"/>
    <col width="6.625" bestFit="1" customWidth="1" style="105" min="4613" max="4613"/>
    <col width="2.625" bestFit="1" customWidth="1" style="105" min="4614" max="4614"/>
    <col width="4.875" bestFit="1" customWidth="1" style="105" min="4615" max="4616"/>
    <col width="4.5" bestFit="1" customWidth="1" style="105" min="4617" max="4617"/>
    <col width="4.375" bestFit="1" customWidth="1" style="105" min="4618" max="4618"/>
    <col width="2.875" bestFit="1" customWidth="1" style="105" min="4619" max="4619"/>
    <col width="8.375" bestFit="1" customWidth="1" style="105" min="4620" max="4620"/>
    <col width="7.625" bestFit="1" customWidth="1" style="105" min="4621" max="4621"/>
    <col width="5.875" bestFit="1" customWidth="1" style="105" min="4622" max="4622"/>
    <col width="3.75" bestFit="1" customWidth="1" style="105" min="4623" max="4623"/>
    <col width="4.75" bestFit="1" customWidth="1" style="105" min="4624" max="4624"/>
    <col width="13.125" bestFit="1" customWidth="1" style="105" min="4625" max="4625"/>
    <col width="2.875" bestFit="1" customWidth="1" style="105" min="4626" max="4626"/>
    <col width="4.5" bestFit="1" customWidth="1" style="105" min="4627" max="4627"/>
    <col width="5.25" bestFit="1" customWidth="1" style="105" min="4628" max="4628"/>
    <col width="5.375" bestFit="1" customWidth="1" style="105" min="4629" max="4629"/>
    <col width="7.25" bestFit="1" customWidth="1" style="105" min="4630" max="4630"/>
    <col width="26" bestFit="1" customWidth="1" style="105" min="4631" max="4631"/>
    <col width="8.25" bestFit="1" customWidth="1" style="105" min="4632" max="4632"/>
    <col width="24.375" bestFit="1" customWidth="1" style="105" min="4633" max="4634"/>
    <col width="8.625" bestFit="1" customWidth="1" style="105" min="4635" max="4636"/>
    <col width="8.875" bestFit="1" customWidth="1" style="105" min="4637" max="4637"/>
    <col width="5" customWidth="1" style="105" min="4638" max="4864"/>
    <col width="9.5" bestFit="1" customWidth="1" style="105" min="4865" max="4865"/>
    <col width="7.875" bestFit="1" customWidth="1" style="105" min="4866" max="4866"/>
    <col width="4.625" bestFit="1" customWidth="1" style="105" min="4867" max="4867"/>
    <col width="5.375" bestFit="1" customWidth="1" style="105" min="4868" max="4868"/>
    <col width="6.625" bestFit="1" customWidth="1" style="105" min="4869" max="4869"/>
    <col width="2.625" bestFit="1" customWidth="1" style="105" min="4870" max="4870"/>
    <col width="4.875" bestFit="1" customWidth="1" style="105" min="4871" max="4872"/>
    <col width="4.5" bestFit="1" customWidth="1" style="105" min="4873" max="4873"/>
    <col width="4.375" bestFit="1" customWidth="1" style="105" min="4874" max="4874"/>
    <col width="2.875" bestFit="1" customWidth="1" style="105" min="4875" max="4875"/>
    <col width="8.375" bestFit="1" customWidth="1" style="105" min="4876" max="4876"/>
    <col width="7.625" bestFit="1" customWidth="1" style="105" min="4877" max="4877"/>
    <col width="5.875" bestFit="1" customWidth="1" style="105" min="4878" max="4878"/>
    <col width="3.75" bestFit="1" customWidth="1" style="105" min="4879" max="4879"/>
    <col width="4.75" bestFit="1" customWidth="1" style="105" min="4880" max="4880"/>
    <col width="13.125" bestFit="1" customWidth="1" style="105" min="4881" max="4881"/>
    <col width="2.875" bestFit="1" customWidth="1" style="105" min="4882" max="4882"/>
    <col width="4.5" bestFit="1" customWidth="1" style="105" min="4883" max="4883"/>
    <col width="5.25" bestFit="1" customWidth="1" style="105" min="4884" max="4884"/>
    <col width="5.375" bestFit="1" customWidth="1" style="105" min="4885" max="4885"/>
    <col width="7.25" bestFit="1" customWidth="1" style="105" min="4886" max="4886"/>
    <col width="26" bestFit="1" customWidth="1" style="105" min="4887" max="4887"/>
    <col width="8.25" bestFit="1" customWidth="1" style="105" min="4888" max="4888"/>
    <col width="24.375" bestFit="1" customWidth="1" style="105" min="4889" max="4890"/>
    <col width="8.625" bestFit="1" customWidth="1" style="105" min="4891" max="4892"/>
    <col width="8.875" bestFit="1" customWidth="1" style="105" min="4893" max="4893"/>
    <col width="5" customWidth="1" style="105" min="4894" max="5120"/>
    <col width="9.5" bestFit="1" customWidth="1" style="105" min="5121" max="5121"/>
    <col width="7.875" bestFit="1" customWidth="1" style="105" min="5122" max="5122"/>
    <col width="4.625" bestFit="1" customWidth="1" style="105" min="5123" max="5123"/>
    <col width="5.375" bestFit="1" customWidth="1" style="105" min="5124" max="5124"/>
    <col width="6.625" bestFit="1" customWidth="1" style="105" min="5125" max="5125"/>
    <col width="2.625" bestFit="1" customWidth="1" style="105" min="5126" max="5126"/>
    <col width="4.875" bestFit="1" customWidth="1" style="105" min="5127" max="5128"/>
    <col width="4.5" bestFit="1" customWidth="1" style="105" min="5129" max="5129"/>
    <col width="4.375" bestFit="1" customWidth="1" style="105" min="5130" max="5130"/>
    <col width="2.875" bestFit="1" customWidth="1" style="105" min="5131" max="5131"/>
    <col width="8.375" bestFit="1" customWidth="1" style="105" min="5132" max="5132"/>
    <col width="7.625" bestFit="1" customWidth="1" style="105" min="5133" max="5133"/>
    <col width="5.875" bestFit="1" customWidth="1" style="105" min="5134" max="5134"/>
    <col width="3.75" bestFit="1" customWidth="1" style="105" min="5135" max="5135"/>
    <col width="4.75" bestFit="1" customWidth="1" style="105" min="5136" max="5136"/>
    <col width="13.125" bestFit="1" customWidth="1" style="105" min="5137" max="5137"/>
    <col width="2.875" bestFit="1" customWidth="1" style="105" min="5138" max="5138"/>
    <col width="4.5" bestFit="1" customWidth="1" style="105" min="5139" max="5139"/>
    <col width="5.25" bestFit="1" customWidth="1" style="105" min="5140" max="5140"/>
    <col width="5.375" bestFit="1" customWidth="1" style="105" min="5141" max="5141"/>
    <col width="7.25" bestFit="1" customWidth="1" style="105" min="5142" max="5142"/>
    <col width="26" bestFit="1" customWidth="1" style="105" min="5143" max="5143"/>
    <col width="8.25" bestFit="1" customWidth="1" style="105" min="5144" max="5144"/>
    <col width="24.375" bestFit="1" customWidth="1" style="105" min="5145" max="5146"/>
    <col width="8.625" bestFit="1" customWidth="1" style="105" min="5147" max="5148"/>
    <col width="8.875" bestFit="1" customWidth="1" style="105" min="5149" max="5149"/>
    <col width="5" customWidth="1" style="105" min="5150" max="5376"/>
    <col width="9.5" bestFit="1" customWidth="1" style="105" min="5377" max="5377"/>
    <col width="7.875" bestFit="1" customWidth="1" style="105" min="5378" max="5378"/>
    <col width="4.625" bestFit="1" customWidth="1" style="105" min="5379" max="5379"/>
    <col width="5.375" bestFit="1" customWidth="1" style="105" min="5380" max="5380"/>
    <col width="6.625" bestFit="1" customWidth="1" style="105" min="5381" max="5381"/>
    <col width="2.625" bestFit="1" customWidth="1" style="105" min="5382" max="5382"/>
    <col width="4.875" bestFit="1" customWidth="1" style="105" min="5383" max="5384"/>
    <col width="4.5" bestFit="1" customWidth="1" style="105" min="5385" max="5385"/>
    <col width="4.375" bestFit="1" customWidth="1" style="105" min="5386" max="5386"/>
    <col width="2.875" bestFit="1" customWidth="1" style="105" min="5387" max="5387"/>
    <col width="8.375" bestFit="1" customWidth="1" style="105" min="5388" max="5388"/>
    <col width="7.625" bestFit="1" customWidth="1" style="105" min="5389" max="5389"/>
    <col width="5.875" bestFit="1" customWidth="1" style="105" min="5390" max="5390"/>
    <col width="3.75" bestFit="1" customWidth="1" style="105" min="5391" max="5391"/>
    <col width="4.75" bestFit="1" customWidth="1" style="105" min="5392" max="5392"/>
    <col width="13.125" bestFit="1" customWidth="1" style="105" min="5393" max="5393"/>
    <col width="2.875" bestFit="1" customWidth="1" style="105" min="5394" max="5394"/>
    <col width="4.5" bestFit="1" customWidth="1" style="105" min="5395" max="5395"/>
    <col width="5.25" bestFit="1" customWidth="1" style="105" min="5396" max="5396"/>
    <col width="5.375" bestFit="1" customWidth="1" style="105" min="5397" max="5397"/>
    <col width="7.25" bestFit="1" customWidth="1" style="105" min="5398" max="5398"/>
    <col width="26" bestFit="1" customWidth="1" style="105" min="5399" max="5399"/>
    <col width="8.25" bestFit="1" customWidth="1" style="105" min="5400" max="5400"/>
    <col width="24.375" bestFit="1" customWidth="1" style="105" min="5401" max="5402"/>
    <col width="8.625" bestFit="1" customWidth="1" style="105" min="5403" max="5404"/>
    <col width="8.875" bestFit="1" customWidth="1" style="105" min="5405" max="5405"/>
    <col width="5" customWidth="1" style="105" min="5406" max="5632"/>
    <col width="9.5" bestFit="1" customWidth="1" style="105" min="5633" max="5633"/>
    <col width="7.875" bestFit="1" customWidth="1" style="105" min="5634" max="5634"/>
    <col width="4.625" bestFit="1" customWidth="1" style="105" min="5635" max="5635"/>
    <col width="5.375" bestFit="1" customWidth="1" style="105" min="5636" max="5636"/>
    <col width="6.625" bestFit="1" customWidth="1" style="105" min="5637" max="5637"/>
    <col width="2.625" bestFit="1" customWidth="1" style="105" min="5638" max="5638"/>
    <col width="4.875" bestFit="1" customWidth="1" style="105" min="5639" max="5640"/>
    <col width="4.5" bestFit="1" customWidth="1" style="105" min="5641" max="5641"/>
    <col width="4.375" bestFit="1" customWidth="1" style="105" min="5642" max="5642"/>
    <col width="2.875" bestFit="1" customWidth="1" style="105" min="5643" max="5643"/>
    <col width="8.375" bestFit="1" customWidth="1" style="105" min="5644" max="5644"/>
    <col width="7.625" bestFit="1" customWidth="1" style="105" min="5645" max="5645"/>
    <col width="5.875" bestFit="1" customWidth="1" style="105" min="5646" max="5646"/>
    <col width="3.75" bestFit="1" customWidth="1" style="105" min="5647" max="5647"/>
    <col width="4.75" bestFit="1" customWidth="1" style="105" min="5648" max="5648"/>
    <col width="13.125" bestFit="1" customWidth="1" style="105" min="5649" max="5649"/>
    <col width="2.875" bestFit="1" customWidth="1" style="105" min="5650" max="5650"/>
    <col width="4.5" bestFit="1" customWidth="1" style="105" min="5651" max="5651"/>
    <col width="5.25" bestFit="1" customWidth="1" style="105" min="5652" max="5652"/>
    <col width="5.375" bestFit="1" customWidth="1" style="105" min="5653" max="5653"/>
    <col width="7.25" bestFit="1" customWidth="1" style="105" min="5654" max="5654"/>
    <col width="26" bestFit="1" customWidth="1" style="105" min="5655" max="5655"/>
    <col width="8.25" bestFit="1" customWidth="1" style="105" min="5656" max="5656"/>
    <col width="24.375" bestFit="1" customWidth="1" style="105" min="5657" max="5658"/>
    <col width="8.625" bestFit="1" customWidth="1" style="105" min="5659" max="5660"/>
    <col width="8.875" bestFit="1" customWidth="1" style="105" min="5661" max="5661"/>
    <col width="5" customWidth="1" style="105" min="5662" max="5888"/>
    <col width="9.5" bestFit="1" customWidth="1" style="105" min="5889" max="5889"/>
    <col width="7.875" bestFit="1" customWidth="1" style="105" min="5890" max="5890"/>
    <col width="4.625" bestFit="1" customWidth="1" style="105" min="5891" max="5891"/>
    <col width="5.375" bestFit="1" customWidth="1" style="105" min="5892" max="5892"/>
    <col width="6.625" bestFit="1" customWidth="1" style="105" min="5893" max="5893"/>
    <col width="2.625" bestFit="1" customWidth="1" style="105" min="5894" max="5894"/>
    <col width="4.875" bestFit="1" customWidth="1" style="105" min="5895" max="5896"/>
    <col width="4.5" bestFit="1" customWidth="1" style="105" min="5897" max="5897"/>
    <col width="4.375" bestFit="1" customWidth="1" style="105" min="5898" max="5898"/>
    <col width="2.875" bestFit="1" customWidth="1" style="105" min="5899" max="5899"/>
    <col width="8.375" bestFit="1" customWidth="1" style="105" min="5900" max="5900"/>
    <col width="7.625" bestFit="1" customWidth="1" style="105" min="5901" max="5901"/>
    <col width="5.875" bestFit="1" customWidth="1" style="105" min="5902" max="5902"/>
    <col width="3.75" bestFit="1" customWidth="1" style="105" min="5903" max="5903"/>
    <col width="4.75" bestFit="1" customWidth="1" style="105" min="5904" max="5904"/>
    <col width="13.125" bestFit="1" customWidth="1" style="105" min="5905" max="5905"/>
    <col width="2.875" bestFit="1" customWidth="1" style="105" min="5906" max="5906"/>
    <col width="4.5" bestFit="1" customWidth="1" style="105" min="5907" max="5907"/>
    <col width="5.25" bestFit="1" customWidth="1" style="105" min="5908" max="5908"/>
    <col width="5.375" bestFit="1" customWidth="1" style="105" min="5909" max="5909"/>
    <col width="7.25" bestFit="1" customWidth="1" style="105" min="5910" max="5910"/>
    <col width="26" bestFit="1" customWidth="1" style="105" min="5911" max="5911"/>
    <col width="8.25" bestFit="1" customWidth="1" style="105" min="5912" max="5912"/>
    <col width="24.375" bestFit="1" customWidth="1" style="105" min="5913" max="5914"/>
    <col width="8.625" bestFit="1" customWidth="1" style="105" min="5915" max="5916"/>
    <col width="8.875" bestFit="1" customWidth="1" style="105" min="5917" max="5917"/>
    <col width="5" customWidth="1" style="105" min="5918" max="6144"/>
    <col width="9.5" bestFit="1" customWidth="1" style="105" min="6145" max="6145"/>
    <col width="7.875" bestFit="1" customWidth="1" style="105" min="6146" max="6146"/>
    <col width="4.625" bestFit="1" customWidth="1" style="105" min="6147" max="6147"/>
    <col width="5.375" bestFit="1" customWidth="1" style="105" min="6148" max="6148"/>
    <col width="6.625" bestFit="1" customWidth="1" style="105" min="6149" max="6149"/>
    <col width="2.625" bestFit="1" customWidth="1" style="105" min="6150" max="6150"/>
    <col width="4.875" bestFit="1" customWidth="1" style="105" min="6151" max="6152"/>
    <col width="4.5" bestFit="1" customWidth="1" style="105" min="6153" max="6153"/>
    <col width="4.375" bestFit="1" customWidth="1" style="105" min="6154" max="6154"/>
    <col width="2.875" bestFit="1" customWidth="1" style="105" min="6155" max="6155"/>
    <col width="8.375" bestFit="1" customWidth="1" style="105" min="6156" max="6156"/>
    <col width="7.625" bestFit="1" customWidth="1" style="105" min="6157" max="6157"/>
    <col width="5.875" bestFit="1" customWidth="1" style="105" min="6158" max="6158"/>
    <col width="3.75" bestFit="1" customWidth="1" style="105" min="6159" max="6159"/>
    <col width="4.75" bestFit="1" customWidth="1" style="105" min="6160" max="6160"/>
    <col width="13.125" bestFit="1" customWidth="1" style="105" min="6161" max="6161"/>
    <col width="2.875" bestFit="1" customWidth="1" style="105" min="6162" max="6162"/>
    <col width="4.5" bestFit="1" customWidth="1" style="105" min="6163" max="6163"/>
    <col width="5.25" bestFit="1" customWidth="1" style="105" min="6164" max="6164"/>
    <col width="5.375" bestFit="1" customWidth="1" style="105" min="6165" max="6165"/>
    <col width="7.25" bestFit="1" customWidth="1" style="105" min="6166" max="6166"/>
    <col width="26" bestFit="1" customWidth="1" style="105" min="6167" max="6167"/>
    <col width="8.25" bestFit="1" customWidth="1" style="105" min="6168" max="6168"/>
    <col width="24.375" bestFit="1" customWidth="1" style="105" min="6169" max="6170"/>
    <col width="8.625" bestFit="1" customWidth="1" style="105" min="6171" max="6172"/>
    <col width="8.875" bestFit="1" customWidth="1" style="105" min="6173" max="6173"/>
    <col width="5" customWidth="1" style="105" min="6174" max="6400"/>
    <col width="9.5" bestFit="1" customWidth="1" style="105" min="6401" max="6401"/>
    <col width="7.875" bestFit="1" customWidth="1" style="105" min="6402" max="6402"/>
    <col width="4.625" bestFit="1" customWidth="1" style="105" min="6403" max="6403"/>
    <col width="5.375" bestFit="1" customWidth="1" style="105" min="6404" max="6404"/>
    <col width="6.625" bestFit="1" customWidth="1" style="105" min="6405" max="6405"/>
    <col width="2.625" bestFit="1" customWidth="1" style="105" min="6406" max="6406"/>
    <col width="4.875" bestFit="1" customWidth="1" style="105" min="6407" max="6408"/>
    <col width="4.5" bestFit="1" customWidth="1" style="105" min="6409" max="6409"/>
    <col width="4.375" bestFit="1" customWidth="1" style="105" min="6410" max="6410"/>
    <col width="2.875" bestFit="1" customWidth="1" style="105" min="6411" max="6411"/>
    <col width="8.375" bestFit="1" customWidth="1" style="105" min="6412" max="6412"/>
    <col width="7.625" bestFit="1" customWidth="1" style="105" min="6413" max="6413"/>
    <col width="5.875" bestFit="1" customWidth="1" style="105" min="6414" max="6414"/>
    <col width="3.75" bestFit="1" customWidth="1" style="105" min="6415" max="6415"/>
    <col width="4.75" bestFit="1" customWidth="1" style="105" min="6416" max="6416"/>
    <col width="13.125" bestFit="1" customWidth="1" style="105" min="6417" max="6417"/>
    <col width="2.875" bestFit="1" customWidth="1" style="105" min="6418" max="6418"/>
    <col width="4.5" bestFit="1" customWidth="1" style="105" min="6419" max="6419"/>
    <col width="5.25" bestFit="1" customWidth="1" style="105" min="6420" max="6420"/>
    <col width="5.375" bestFit="1" customWidth="1" style="105" min="6421" max="6421"/>
    <col width="7.25" bestFit="1" customWidth="1" style="105" min="6422" max="6422"/>
    <col width="26" bestFit="1" customWidth="1" style="105" min="6423" max="6423"/>
    <col width="8.25" bestFit="1" customWidth="1" style="105" min="6424" max="6424"/>
    <col width="24.375" bestFit="1" customWidth="1" style="105" min="6425" max="6426"/>
    <col width="8.625" bestFit="1" customWidth="1" style="105" min="6427" max="6428"/>
    <col width="8.875" bestFit="1" customWidth="1" style="105" min="6429" max="6429"/>
    <col width="5" customWidth="1" style="105" min="6430" max="6656"/>
    <col width="9.5" bestFit="1" customWidth="1" style="105" min="6657" max="6657"/>
    <col width="7.875" bestFit="1" customWidth="1" style="105" min="6658" max="6658"/>
    <col width="4.625" bestFit="1" customWidth="1" style="105" min="6659" max="6659"/>
    <col width="5.375" bestFit="1" customWidth="1" style="105" min="6660" max="6660"/>
    <col width="6.625" bestFit="1" customWidth="1" style="105" min="6661" max="6661"/>
    <col width="2.625" bestFit="1" customWidth="1" style="105" min="6662" max="6662"/>
    <col width="4.875" bestFit="1" customWidth="1" style="105" min="6663" max="6664"/>
    <col width="4.5" bestFit="1" customWidth="1" style="105" min="6665" max="6665"/>
    <col width="4.375" bestFit="1" customWidth="1" style="105" min="6666" max="6666"/>
    <col width="2.875" bestFit="1" customWidth="1" style="105" min="6667" max="6667"/>
    <col width="8.375" bestFit="1" customWidth="1" style="105" min="6668" max="6668"/>
    <col width="7.625" bestFit="1" customWidth="1" style="105" min="6669" max="6669"/>
    <col width="5.875" bestFit="1" customWidth="1" style="105" min="6670" max="6670"/>
    <col width="3.75" bestFit="1" customWidth="1" style="105" min="6671" max="6671"/>
    <col width="4.75" bestFit="1" customWidth="1" style="105" min="6672" max="6672"/>
    <col width="13.125" bestFit="1" customWidth="1" style="105" min="6673" max="6673"/>
    <col width="2.875" bestFit="1" customWidth="1" style="105" min="6674" max="6674"/>
    <col width="4.5" bestFit="1" customWidth="1" style="105" min="6675" max="6675"/>
    <col width="5.25" bestFit="1" customWidth="1" style="105" min="6676" max="6676"/>
    <col width="5.375" bestFit="1" customWidth="1" style="105" min="6677" max="6677"/>
    <col width="7.25" bestFit="1" customWidth="1" style="105" min="6678" max="6678"/>
    <col width="26" bestFit="1" customWidth="1" style="105" min="6679" max="6679"/>
    <col width="8.25" bestFit="1" customWidth="1" style="105" min="6680" max="6680"/>
    <col width="24.375" bestFit="1" customWidth="1" style="105" min="6681" max="6682"/>
    <col width="8.625" bestFit="1" customWidth="1" style="105" min="6683" max="6684"/>
    <col width="8.875" bestFit="1" customWidth="1" style="105" min="6685" max="6685"/>
    <col width="5" customWidth="1" style="105" min="6686" max="6912"/>
    <col width="9.5" bestFit="1" customWidth="1" style="105" min="6913" max="6913"/>
    <col width="7.875" bestFit="1" customWidth="1" style="105" min="6914" max="6914"/>
    <col width="4.625" bestFit="1" customWidth="1" style="105" min="6915" max="6915"/>
    <col width="5.375" bestFit="1" customWidth="1" style="105" min="6916" max="6916"/>
    <col width="6.625" bestFit="1" customWidth="1" style="105" min="6917" max="6917"/>
    <col width="2.625" bestFit="1" customWidth="1" style="105" min="6918" max="6918"/>
    <col width="4.875" bestFit="1" customWidth="1" style="105" min="6919" max="6920"/>
    <col width="4.5" bestFit="1" customWidth="1" style="105" min="6921" max="6921"/>
    <col width="4.375" bestFit="1" customWidth="1" style="105" min="6922" max="6922"/>
    <col width="2.875" bestFit="1" customWidth="1" style="105" min="6923" max="6923"/>
    <col width="8.375" bestFit="1" customWidth="1" style="105" min="6924" max="6924"/>
    <col width="7.625" bestFit="1" customWidth="1" style="105" min="6925" max="6925"/>
    <col width="5.875" bestFit="1" customWidth="1" style="105" min="6926" max="6926"/>
    <col width="3.75" bestFit="1" customWidth="1" style="105" min="6927" max="6927"/>
    <col width="4.75" bestFit="1" customWidth="1" style="105" min="6928" max="6928"/>
    <col width="13.125" bestFit="1" customWidth="1" style="105" min="6929" max="6929"/>
    <col width="2.875" bestFit="1" customWidth="1" style="105" min="6930" max="6930"/>
    <col width="4.5" bestFit="1" customWidth="1" style="105" min="6931" max="6931"/>
    <col width="5.25" bestFit="1" customWidth="1" style="105" min="6932" max="6932"/>
    <col width="5.375" bestFit="1" customWidth="1" style="105" min="6933" max="6933"/>
    <col width="7.25" bestFit="1" customWidth="1" style="105" min="6934" max="6934"/>
    <col width="26" bestFit="1" customWidth="1" style="105" min="6935" max="6935"/>
    <col width="8.25" bestFit="1" customWidth="1" style="105" min="6936" max="6936"/>
    <col width="24.375" bestFit="1" customWidth="1" style="105" min="6937" max="6938"/>
    <col width="8.625" bestFit="1" customWidth="1" style="105" min="6939" max="6940"/>
    <col width="8.875" bestFit="1" customWidth="1" style="105" min="6941" max="6941"/>
    <col width="5" customWidth="1" style="105" min="6942" max="7168"/>
    <col width="9.5" bestFit="1" customWidth="1" style="105" min="7169" max="7169"/>
    <col width="7.875" bestFit="1" customWidth="1" style="105" min="7170" max="7170"/>
    <col width="4.625" bestFit="1" customWidth="1" style="105" min="7171" max="7171"/>
    <col width="5.375" bestFit="1" customWidth="1" style="105" min="7172" max="7172"/>
    <col width="6.625" bestFit="1" customWidth="1" style="105" min="7173" max="7173"/>
    <col width="2.625" bestFit="1" customWidth="1" style="105" min="7174" max="7174"/>
    <col width="4.875" bestFit="1" customWidth="1" style="105" min="7175" max="7176"/>
    <col width="4.5" bestFit="1" customWidth="1" style="105" min="7177" max="7177"/>
    <col width="4.375" bestFit="1" customWidth="1" style="105" min="7178" max="7178"/>
    <col width="2.875" bestFit="1" customWidth="1" style="105" min="7179" max="7179"/>
    <col width="8.375" bestFit="1" customWidth="1" style="105" min="7180" max="7180"/>
    <col width="7.625" bestFit="1" customWidth="1" style="105" min="7181" max="7181"/>
    <col width="5.875" bestFit="1" customWidth="1" style="105" min="7182" max="7182"/>
    <col width="3.75" bestFit="1" customWidth="1" style="105" min="7183" max="7183"/>
    <col width="4.75" bestFit="1" customWidth="1" style="105" min="7184" max="7184"/>
    <col width="13.125" bestFit="1" customWidth="1" style="105" min="7185" max="7185"/>
    <col width="2.875" bestFit="1" customWidth="1" style="105" min="7186" max="7186"/>
    <col width="4.5" bestFit="1" customWidth="1" style="105" min="7187" max="7187"/>
    <col width="5.25" bestFit="1" customWidth="1" style="105" min="7188" max="7188"/>
    <col width="5.375" bestFit="1" customWidth="1" style="105" min="7189" max="7189"/>
    <col width="7.25" bestFit="1" customWidth="1" style="105" min="7190" max="7190"/>
    <col width="26" bestFit="1" customWidth="1" style="105" min="7191" max="7191"/>
    <col width="8.25" bestFit="1" customWidth="1" style="105" min="7192" max="7192"/>
    <col width="24.375" bestFit="1" customWidth="1" style="105" min="7193" max="7194"/>
    <col width="8.625" bestFit="1" customWidth="1" style="105" min="7195" max="7196"/>
    <col width="8.875" bestFit="1" customWidth="1" style="105" min="7197" max="7197"/>
    <col width="5" customWidth="1" style="105" min="7198" max="7424"/>
    <col width="9.5" bestFit="1" customWidth="1" style="105" min="7425" max="7425"/>
    <col width="7.875" bestFit="1" customWidth="1" style="105" min="7426" max="7426"/>
    <col width="4.625" bestFit="1" customWidth="1" style="105" min="7427" max="7427"/>
    <col width="5.375" bestFit="1" customWidth="1" style="105" min="7428" max="7428"/>
    <col width="6.625" bestFit="1" customWidth="1" style="105" min="7429" max="7429"/>
    <col width="2.625" bestFit="1" customWidth="1" style="105" min="7430" max="7430"/>
    <col width="4.875" bestFit="1" customWidth="1" style="105" min="7431" max="7432"/>
    <col width="4.5" bestFit="1" customWidth="1" style="105" min="7433" max="7433"/>
    <col width="4.375" bestFit="1" customWidth="1" style="105" min="7434" max="7434"/>
    <col width="2.875" bestFit="1" customWidth="1" style="105" min="7435" max="7435"/>
    <col width="8.375" bestFit="1" customWidth="1" style="105" min="7436" max="7436"/>
    <col width="7.625" bestFit="1" customWidth="1" style="105" min="7437" max="7437"/>
    <col width="5.875" bestFit="1" customWidth="1" style="105" min="7438" max="7438"/>
    <col width="3.75" bestFit="1" customWidth="1" style="105" min="7439" max="7439"/>
    <col width="4.75" bestFit="1" customWidth="1" style="105" min="7440" max="7440"/>
    <col width="13.125" bestFit="1" customWidth="1" style="105" min="7441" max="7441"/>
    <col width="2.875" bestFit="1" customWidth="1" style="105" min="7442" max="7442"/>
    <col width="4.5" bestFit="1" customWidth="1" style="105" min="7443" max="7443"/>
    <col width="5.25" bestFit="1" customWidth="1" style="105" min="7444" max="7444"/>
    <col width="5.375" bestFit="1" customWidth="1" style="105" min="7445" max="7445"/>
    <col width="7.25" bestFit="1" customWidth="1" style="105" min="7446" max="7446"/>
    <col width="26" bestFit="1" customWidth="1" style="105" min="7447" max="7447"/>
    <col width="8.25" bestFit="1" customWidth="1" style="105" min="7448" max="7448"/>
    <col width="24.375" bestFit="1" customWidth="1" style="105" min="7449" max="7450"/>
    <col width="8.625" bestFit="1" customWidth="1" style="105" min="7451" max="7452"/>
    <col width="8.875" bestFit="1" customWidth="1" style="105" min="7453" max="7453"/>
    <col width="5" customWidth="1" style="105" min="7454" max="7680"/>
    <col width="9.5" bestFit="1" customWidth="1" style="105" min="7681" max="7681"/>
    <col width="7.875" bestFit="1" customWidth="1" style="105" min="7682" max="7682"/>
    <col width="4.625" bestFit="1" customWidth="1" style="105" min="7683" max="7683"/>
    <col width="5.375" bestFit="1" customWidth="1" style="105" min="7684" max="7684"/>
    <col width="6.625" bestFit="1" customWidth="1" style="105" min="7685" max="7685"/>
    <col width="2.625" bestFit="1" customWidth="1" style="105" min="7686" max="7686"/>
    <col width="4.875" bestFit="1" customWidth="1" style="105" min="7687" max="7688"/>
    <col width="4.5" bestFit="1" customWidth="1" style="105" min="7689" max="7689"/>
    <col width="4.375" bestFit="1" customWidth="1" style="105" min="7690" max="7690"/>
    <col width="2.875" bestFit="1" customWidth="1" style="105" min="7691" max="7691"/>
    <col width="8.375" bestFit="1" customWidth="1" style="105" min="7692" max="7692"/>
    <col width="7.625" bestFit="1" customWidth="1" style="105" min="7693" max="7693"/>
    <col width="5.875" bestFit="1" customWidth="1" style="105" min="7694" max="7694"/>
    <col width="3.75" bestFit="1" customWidth="1" style="105" min="7695" max="7695"/>
    <col width="4.75" bestFit="1" customWidth="1" style="105" min="7696" max="7696"/>
    <col width="13.125" bestFit="1" customWidth="1" style="105" min="7697" max="7697"/>
    <col width="2.875" bestFit="1" customWidth="1" style="105" min="7698" max="7698"/>
    <col width="4.5" bestFit="1" customWidth="1" style="105" min="7699" max="7699"/>
    <col width="5.25" bestFit="1" customWidth="1" style="105" min="7700" max="7700"/>
    <col width="5.375" bestFit="1" customWidth="1" style="105" min="7701" max="7701"/>
    <col width="7.25" bestFit="1" customWidth="1" style="105" min="7702" max="7702"/>
    <col width="26" bestFit="1" customWidth="1" style="105" min="7703" max="7703"/>
    <col width="8.25" bestFit="1" customWidth="1" style="105" min="7704" max="7704"/>
    <col width="24.375" bestFit="1" customWidth="1" style="105" min="7705" max="7706"/>
    <col width="8.625" bestFit="1" customWidth="1" style="105" min="7707" max="7708"/>
    <col width="8.875" bestFit="1" customWidth="1" style="105" min="7709" max="7709"/>
    <col width="5" customWidth="1" style="105" min="7710" max="7936"/>
    <col width="9.5" bestFit="1" customWidth="1" style="105" min="7937" max="7937"/>
    <col width="7.875" bestFit="1" customWidth="1" style="105" min="7938" max="7938"/>
    <col width="4.625" bestFit="1" customWidth="1" style="105" min="7939" max="7939"/>
    <col width="5.375" bestFit="1" customWidth="1" style="105" min="7940" max="7940"/>
    <col width="6.625" bestFit="1" customWidth="1" style="105" min="7941" max="7941"/>
    <col width="2.625" bestFit="1" customWidth="1" style="105" min="7942" max="7942"/>
    <col width="4.875" bestFit="1" customWidth="1" style="105" min="7943" max="7944"/>
    <col width="4.5" bestFit="1" customWidth="1" style="105" min="7945" max="7945"/>
    <col width="4.375" bestFit="1" customWidth="1" style="105" min="7946" max="7946"/>
    <col width="2.875" bestFit="1" customWidth="1" style="105" min="7947" max="7947"/>
    <col width="8.375" bestFit="1" customWidth="1" style="105" min="7948" max="7948"/>
    <col width="7.625" bestFit="1" customWidth="1" style="105" min="7949" max="7949"/>
    <col width="5.875" bestFit="1" customWidth="1" style="105" min="7950" max="7950"/>
    <col width="3.75" bestFit="1" customWidth="1" style="105" min="7951" max="7951"/>
    <col width="4.75" bestFit="1" customWidth="1" style="105" min="7952" max="7952"/>
    <col width="13.125" bestFit="1" customWidth="1" style="105" min="7953" max="7953"/>
    <col width="2.875" bestFit="1" customWidth="1" style="105" min="7954" max="7954"/>
    <col width="4.5" bestFit="1" customWidth="1" style="105" min="7955" max="7955"/>
    <col width="5.25" bestFit="1" customWidth="1" style="105" min="7956" max="7956"/>
    <col width="5.375" bestFit="1" customWidth="1" style="105" min="7957" max="7957"/>
    <col width="7.25" bestFit="1" customWidth="1" style="105" min="7958" max="7958"/>
    <col width="26" bestFit="1" customWidth="1" style="105" min="7959" max="7959"/>
    <col width="8.25" bestFit="1" customWidth="1" style="105" min="7960" max="7960"/>
    <col width="24.375" bestFit="1" customWidth="1" style="105" min="7961" max="7962"/>
    <col width="8.625" bestFit="1" customWidth="1" style="105" min="7963" max="7964"/>
    <col width="8.875" bestFit="1" customWidth="1" style="105" min="7965" max="7965"/>
    <col width="5" customWidth="1" style="105" min="7966" max="8192"/>
    <col width="9.5" bestFit="1" customWidth="1" style="105" min="8193" max="8193"/>
    <col width="7.875" bestFit="1" customWidth="1" style="105" min="8194" max="8194"/>
    <col width="4.625" bestFit="1" customWidth="1" style="105" min="8195" max="8195"/>
    <col width="5.375" bestFit="1" customWidth="1" style="105" min="8196" max="8196"/>
    <col width="6.625" bestFit="1" customWidth="1" style="105" min="8197" max="8197"/>
    <col width="2.625" bestFit="1" customWidth="1" style="105" min="8198" max="8198"/>
    <col width="4.875" bestFit="1" customWidth="1" style="105" min="8199" max="8200"/>
    <col width="4.5" bestFit="1" customWidth="1" style="105" min="8201" max="8201"/>
    <col width="4.375" bestFit="1" customWidth="1" style="105" min="8202" max="8202"/>
    <col width="2.875" bestFit="1" customWidth="1" style="105" min="8203" max="8203"/>
    <col width="8.375" bestFit="1" customWidth="1" style="105" min="8204" max="8204"/>
    <col width="7.625" bestFit="1" customWidth="1" style="105" min="8205" max="8205"/>
    <col width="5.875" bestFit="1" customWidth="1" style="105" min="8206" max="8206"/>
    <col width="3.75" bestFit="1" customWidth="1" style="105" min="8207" max="8207"/>
    <col width="4.75" bestFit="1" customWidth="1" style="105" min="8208" max="8208"/>
    <col width="13.125" bestFit="1" customWidth="1" style="105" min="8209" max="8209"/>
    <col width="2.875" bestFit="1" customWidth="1" style="105" min="8210" max="8210"/>
    <col width="4.5" bestFit="1" customWidth="1" style="105" min="8211" max="8211"/>
    <col width="5.25" bestFit="1" customWidth="1" style="105" min="8212" max="8212"/>
    <col width="5.375" bestFit="1" customWidth="1" style="105" min="8213" max="8213"/>
    <col width="7.25" bestFit="1" customWidth="1" style="105" min="8214" max="8214"/>
    <col width="26" bestFit="1" customWidth="1" style="105" min="8215" max="8215"/>
    <col width="8.25" bestFit="1" customWidth="1" style="105" min="8216" max="8216"/>
    <col width="24.375" bestFit="1" customWidth="1" style="105" min="8217" max="8218"/>
    <col width="8.625" bestFit="1" customWidth="1" style="105" min="8219" max="8220"/>
    <col width="8.875" bestFit="1" customWidth="1" style="105" min="8221" max="8221"/>
    <col width="5" customWidth="1" style="105" min="8222" max="8448"/>
    <col width="9.5" bestFit="1" customWidth="1" style="105" min="8449" max="8449"/>
    <col width="7.875" bestFit="1" customWidth="1" style="105" min="8450" max="8450"/>
    <col width="4.625" bestFit="1" customWidth="1" style="105" min="8451" max="8451"/>
    <col width="5.375" bestFit="1" customWidth="1" style="105" min="8452" max="8452"/>
    <col width="6.625" bestFit="1" customWidth="1" style="105" min="8453" max="8453"/>
    <col width="2.625" bestFit="1" customWidth="1" style="105" min="8454" max="8454"/>
    <col width="4.875" bestFit="1" customWidth="1" style="105" min="8455" max="8456"/>
    <col width="4.5" bestFit="1" customWidth="1" style="105" min="8457" max="8457"/>
    <col width="4.375" bestFit="1" customWidth="1" style="105" min="8458" max="8458"/>
    <col width="2.875" bestFit="1" customWidth="1" style="105" min="8459" max="8459"/>
    <col width="8.375" bestFit="1" customWidth="1" style="105" min="8460" max="8460"/>
    <col width="7.625" bestFit="1" customWidth="1" style="105" min="8461" max="8461"/>
    <col width="5.875" bestFit="1" customWidth="1" style="105" min="8462" max="8462"/>
    <col width="3.75" bestFit="1" customWidth="1" style="105" min="8463" max="8463"/>
    <col width="4.75" bestFit="1" customWidth="1" style="105" min="8464" max="8464"/>
    <col width="13.125" bestFit="1" customWidth="1" style="105" min="8465" max="8465"/>
    <col width="2.875" bestFit="1" customWidth="1" style="105" min="8466" max="8466"/>
    <col width="4.5" bestFit="1" customWidth="1" style="105" min="8467" max="8467"/>
    <col width="5.25" bestFit="1" customWidth="1" style="105" min="8468" max="8468"/>
    <col width="5.375" bestFit="1" customWidth="1" style="105" min="8469" max="8469"/>
    <col width="7.25" bestFit="1" customWidth="1" style="105" min="8470" max="8470"/>
    <col width="26" bestFit="1" customWidth="1" style="105" min="8471" max="8471"/>
    <col width="8.25" bestFit="1" customWidth="1" style="105" min="8472" max="8472"/>
    <col width="24.375" bestFit="1" customWidth="1" style="105" min="8473" max="8474"/>
    <col width="8.625" bestFit="1" customWidth="1" style="105" min="8475" max="8476"/>
    <col width="8.875" bestFit="1" customWidth="1" style="105" min="8477" max="8477"/>
    <col width="5" customWidth="1" style="105" min="8478" max="8704"/>
    <col width="9.5" bestFit="1" customWidth="1" style="105" min="8705" max="8705"/>
    <col width="7.875" bestFit="1" customWidth="1" style="105" min="8706" max="8706"/>
    <col width="4.625" bestFit="1" customWidth="1" style="105" min="8707" max="8707"/>
    <col width="5.375" bestFit="1" customWidth="1" style="105" min="8708" max="8708"/>
    <col width="6.625" bestFit="1" customWidth="1" style="105" min="8709" max="8709"/>
    <col width="2.625" bestFit="1" customWidth="1" style="105" min="8710" max="8710"/>
    <col width="4.875" bestFit="1" customWidth="1" style="105" min="8711" max="8712"/>
    <col width="4.5" bestFit="1" customWidth="1" style="105" min="8713" max="8713"/>
    <col width="4.375" bestFit="1" customWidth="1" style="105" min="8714" max="8714"/>
    <col width="2.875" bestFit="1" customWidth="1" style="105" min="8715" max="8715"/>
    <col width="8.375" bestFit="1" customWidth="1" style="105" min="8716" max="8716"/>
    <col width="7.625" bestFit="1" customWidth="1" style="105" min="8717" max="8717"/>
    <col width="5.875" bestFit="1" customWidth="1" style="105" min="8718" max="8718"/>
    <col width="3.75" bestFit="1" customWidth="1" style="105" min="8719" max="8719"/>
    <col width="4.75" bestFit="1" customWidth="1" style="105" min="8720" max="8720"/>
    <col width="13.125" bestFit="1" customWidth="1" style="105" min="8721" max="8721"/>
    <col width="2.875" bestFit="1" customWidth="1" style="105" min="8722" max="8722"/>
    <col width="4.5" bestFit="1" customWidth="1" style="105" min="8723" max="8723"/>
    <col width="5.25" bestFit="1" customWidth="1" style="105" min="8724" max="8724"/>
    <col width="5.375" bestFit="1" customWidth="1" style="105" min="8725" max="8725"/>
    <col width="7.25" bestFit="1" customWidth="1" style="105" min="8726" max="8726"/>
    <col width="26" bestFit="1" customWidth="1" style="105" min="8727" max="8727"/>
    <col width="8.25" bestFit="1" customWidth="1" style="105" min="8728" max="8728"/>
    <col width="24.375" bestFit="1" customWidth="1" style="105" min="8729" max="8730"/>
    <col width="8.625" bestFit="1" customWidth="1" style="105" min="8731" max="8732"/>
    <col width="8.875" bestFit="1" customWidth="1" style="105" min="8733" max="8733"/>
    <col width="5" customWidth="1" style="105" min="8734" max="8960"/>
    <col width="9.5" bestFit="1" customWidth="1" style="105" min="8961" max="8961"/>
    <col width="7.875" bestFit="1" customWidth="1" style="105" min="8962" max="8962"/>
    <col width="4.625" bestFit="1" customWidth="1" style="105" min="8963" max="8963"/>
    <col width="5.375" bestFit="1" customWidth="1" style="105" min="8964" max="8964"/>
    <col width="6.625" bestFit="1" customWidth="1" style="105" min="8965" max="8965"/>
    <col width="2.625" bestFit="1" customWidth="1" style="105" min="8966" max="8966"/>
    <col width="4.875" bestFit="1" customWidth="1" style="105" min="8967" max="8968"/>
    <col width="4.5" bestFit="1" customWidth="1" style="105" min="8969" max="8969"/>
    <col width="4.375" bestFit="1" customWidth="1" style="105" min="8970" max="8970"/>
    <col width="2.875" bestFit="1" customWidth="1" style="105" min="8971" max="8971"/>
    <col width="8.375" bestFit="1" customWidth="1" style="105" min="8972" max="8972"/>
    <col width="7.625" bestFit="1" customWidth="1" style="105" min="8973" max="8973"/>
    <col width="5.875" bestFit="1" customWidth="1" style="105" min="8974" max="8974"/>
    <col width="3.75" bestFit="1" customWidth="1" style="105" min="8975" max="8975"/>
    <col width="4.75" bestFit="1" customWidth="1" style="105" min="8976" max="8976"/>
    <col width="13.125" bestFit="1" customWidth="1" style="105" min="8977" max="8977"/>
    <col width="2.875" bestFit="1" customWidth="1" style="105" min="8978" max="8978"/>
    <col width="4.5" bestFit="1" customWidth="1" style="105" min="8979" max="8979"/>
    <col width="5.25" bestFit="1" customWidth="1" style="105" min="8980" max="8980"/>
    <col width="5.375" bestFit="1" customWidth="1" style="105" min="8981" max="8981"/>
    <col width="7.25" bestFit="1" customWidth="1" style="105" min="8982" max="8982"/>
    <col width="26" bestFit="1" customWidth="1" style="105" min="8983" max="8983"/>
    <col width="8.25" bestFit="1" customWidth="1" style="105" min="8984" max="8984"/>
    <col width="24.375" bestFit="1" customWidth="1" style="105" min="8985" max="8986"/>
    <col width="8.625" bestFit="1" customWidth="1" style="105" min="8987" max="8988"/>
    <col width="8.875" bestFit="1" customWidth="1" style="105" min="8989" max="8989"/>
    <col width="5" customWidth="1" style="105" min="8990" max="9216"/>
    <col width="9.5" bestFit="1" customWidth="1" style="105" min="9217" max="9217"/>
    <col width="7.875" bestFit="1" customWidth="1" style="105" min="9218" max="9218"/>
    <col width="4.625" bestFit="1" customWidth="1" style="105" min="9219" max="9219"/>
    <col width="5.375" bestFit="1" customWidth="1" style="105" min="9220" max="9220"/>
    <col width="6.625" bestFit="1" customWidth="1" style="105" min="9221" max="9221"/>
    <col width="2.625" bestFit="1" customWidth="1" style="105" min="9222" max="9222"/>
    <col width="4.875" bestFit="1" customWidth="1" style="105" min="9223" max="9224"/>
    <col width="4.5" bestFit="1" customWidth="1" style="105" min="9225" max="9225"/>
    <col width="4.375" bestFit="1" customWidth="1" style="105" min="9226" max="9226"/>
    <col width="2.875" bestFit="1" customWidth="1" style="105" min="9227" max="9227"/>
    <col width="8.375" bestFit="1" customWidth="1" style="105" min="9228" max="9228"/>
    <col width="7.625" bestFit="1" customWidth="1" style="105" min="9229" max="9229"/>
    <col width="5.875" bestFit="1" customWidth="1" style="105" min="9230" max="9230"/>
    <col width="3.75" bestFit="1" customWidth="1" style="105" min="9231" max="9231"/>
    <col width="4.75" bestFit="1" customWidth="1" style="105" min="9232" max="9232"/>
    <col width="13.125" bestFit="1" customWidth="1" style="105" min="9233" max="9233"/>
    <col width="2.875" bestFit="1" customWidth="1" style="105" min="9234" max="9234"/>
    <col width="4.5" bestFit="1" customWidth="1" style="105" min="9235" max="9235"/>
    <col width="5.25" bestFit="1" customWidth="1" style="105" min="9236" max="9236"/>
    <col width="5.375" bestFit="1" customWidth="1" style="105" min="9237" max="9237"/>
    <col width="7.25" bestFit="1" customWidth="1" style="105" min="9238" max="9238"/>
    <col width="26" bestFit="1" customWidth="1" style="105" min="9239" max="9239"/>
    <col width="8.25" bestFit="1" customWidth="1" style="105" min="9240" max="9240"/>
    <col width="24.375" bestFit="1" customWidth="1" style="105" min="9241" max="9242"/>
    <col width="8.625" bestFit="1" customWidth="1" style="105" min="9243" max="9244"/>
    <col width="8.875" bestFit="1" customWidth="1" style="105" min="9245" max="9245"/>
    <col width="5" customWidth="1" style="105" min="9246" max="9472"/>
    <col width="9.5" bestFit="1" customWidth="1" style="105" min="9473" max="9473"/>
    <col width="7.875" bestFit="1" customWidth="1" style="105" min="9474" max="9474"/>
    <col width="4.625" bestFit="1" customWidth="1" style="105" min="9475" max="9475"/>
    <col width="5.375" bestFit="1" customWidth="1" style="105" min="9476" max="9476"/>
    <col width="6.625" bestFit="1" customWidth="1" style="105" min="9477" max="9477"/>
    <col width="2.625" bestFit="1" customWidth="1" style="105" min="9478" max="9478"/>
    <col width="4.875" bestFit="1" customWidth="1" style="105" min="9479" max="9480"/>
    <col width="4.5" bestFit="1" customWidth="1" style="105" min="9481" max="9481"/>
    <col width="4.375" bestFit="1" customWidth="1" style="105" min="9482" max="9482"/>
    <col width="2.875" bestFit="1" customWidth="1" style="105" min="9483" max="9483"/>
    <col width="8.375" bestFit="1" customWidth="1" style="105" min="9484" max="9484"/>
    <col width="7.625" bestFit="1" customWidth="1" style="105" min="9485" max="9485"/>
    <col width="5.875" bestFit="1" customWidth="1" style="105" min="9486" max="9486"/>
    <col width="3.75" bestFit="1" customWidth="1" style="105" min="9487" max="9487"/>
    <col width="4.75" bestFit="1" customWidth="1" style="105" min="9488" max="9488"/>
    <col width="13.125" bestFit="1" customWidth="1" style="105" min="9489" max="9489"/>
    <col width="2.875" bestFit="1" customWidth="1" style="105" min="9490" max="9490"/>
    <col width="4.5" bestFit="1" customWidth="1" style="105" min="9491" max="9491"/>
    <col width="5.25" bestFit="1" customWidth="1" style="105" min="9492" max="9492"/>
    <col width="5.375" bestFit="1" customWidth="1" style="105" min="9493" max="9493"/>
    <col width="7.25" bestFit="1" customWidth="1" style="105" min="9494" max="9494"/>
    <col width="26" bestFit="1" customWidth="1" style="105" min="9495" max="9495"/>
    <col width="8.25" bestFit="1" customWidth="1" style="105" min="9496" max="9496"/>
    <col width="24.375" bestFit="1" customWidth="1" style="105" min="9497" max="9498"/>
    <col width="8.625" bestFit="1" customWidth="1" style="105" min="9499" max="9500"/>
    <col width="8.875" bestFit="1" customWidth="1" style="105" min="9501" max="9501"/>
    <col width="5" customWidth="1" style="105" min="9502" max="9728"/>
    <col width="9.5" bestFit="1" customWidth="1" style="105" min="9729" max="9729"/>
    <col width="7.875" bestFit="1" customWidth="1" style="105" min="9730" max="9730"/>
    <col width="4.625" bestFit="1" customWidth="1" style="105" min="9731" max="9731"/>
    <col width="5.375" bestFit="1" customWidth="1" style="105" min="9732" max="9732"/>
    <col width="6.625" bestFit="1" customWidth="1" style="105" min="9733" max="9733"/>
    <col width="2.625" bestFit="1" customWidth="1" style="105" min="9734" max="9734"/>
    <col width="4.875" bestFit="1" customWidth="1" style="105" min="9735" max="9736"/>
    <col width="4.5" bestFit="1" customWidth="1" style="105" min="9737" max="9737"/>
    <col width="4.375" bestFit="1" customWidth="1" style="105" min="9738" max="9738"/>
    <col width="2.875" bestFit="1" customWidth="1" style="105" min="9739" max="9739"/>
    <col width="8.375" bestFit="1" customWidth="1" style="105" min="9740" max="9740"/>
    <col width="7.625" bestFit="1" customWidth="1" style="105" min="9741" max="9741"/>
    <col width="5.875" bestFit="1" customWidth="1" style="105" min="9742" max="9742"/>
    <col width="3.75" bestFit="1" customWidth="1" style="105" min="9743" max="9743"/>
    <col width="4.75" bestFit="1" customWidth="1" style="105" min="9744" max="9744"/>
    <col width="13.125" bestFit="1" customWidth="1" style="105" min="9745" max="9745"/>
    <col width="2.875" bestFit="1" customWidth="1" style="105" min="9746" max="9746"/>
    <col width="4.5" bestFit="1" customWidth="1" style="105" min="9747" max="9747"/>
    <col width="5.25" bestFit="1" customWidth="1" style="105" min="9748" max="9748"/>
    <col width="5.375" bestFit="1" customWidth="1" style="105" min="9749" max="9749"/>
    <col width="7.25" bestFit="1" customWidth="1" style="105" min="9750" max="9750"/>
    <col width="26" bestFit="1" customWidth="1" style="105" min="9751" max="9751"/>
    <col width="8.25" bestFit="1" customWidth="1" style="105" min="9752" max="9752"/>
    <col width="24.375" bestFit="1" customWidth="1" style="105" min="9753" max="9754"/>
    <col width="8.625" bestFit="1" customWidth="1" style="105" min="9755" max="9756"/>
    <col width="8.875" bestFit="1" customWidth="1" style="105" min="9757" max="9757"/>
    <col width="5" customWidth="1" style="105" min="9758" max="9984"/>
    <col width="9.5" bestFit="1" customWidth="1" style="105" min="9985" max="9985"/>
    <col width="7.875" bestFit="1" customWidth="1" style="105" min="9986" max="9986"/>
    <col width="4.625" bestFit="1" customWidth="1" style="105" min="9987" max="9987"/>
    <col width="5.375" bestFit="1" customWidth="1" style="105" min="9988" max="9988"/>
    <col width="6.625" bestFit="1" customWidth="1" style="105" min="9989" max="9989"/>
    <col width="2.625" bestFit="1" customWidth="1" style="105" min="9990" max="9990"/>
    <col width="4.875" bestFit="1" customWidth="1" style="105" min="9991" max="9992"/>
    <col width="4.5" bestFit="1" customWidth="1" style="105" min="9993" max="9993"/>
    <col width="4.375" bestFit="1" customWidth="1" style="105" min="9994" max="9994"/>
    <col width="2.875" bestFit="1" customWidth="1" style="105" min="9995" max="9995"/>
    <col width="8.375" bestFit="1" customWidth="1" style="105" min="9996" max="9996"/>
    <col width="7.625" bestFit="1" customWidth="1" style="105" min="9997" max="9997"/>
    <col width="5.875" bestFit="1" customWidth="1" style="105" min="9998" max="9998"/>
    <col width="3.75" bestFit="1" customWidth="1" style="105" min="9999" max="9999"/>
    <col width="4.75" bestFit="1" customWidth="1" style="105" min="10000" max="10000"/>
    <col width="13.125" bestFit="1" customWidth="1" style="105" min="10001" max="10001"/>
    <col width="2.875" bestFit="1" customWidth="1" style="105" min="10002" max="10002"/>
    <col width="4.5" bestFit="1" customWidth="1" style="105" min="10003" max="10003"/>
    <col width="5.25" bestFit="1" customWidth="1" style="105" min="10004" max="10004"/>
    <col width="5.375" bestFit="1" customWidth="1" style="105" min="10005" max="10005"/>
    <col width="7.25" bestFit="1" customWidth="1" style="105" min="10006" max="10006"/>
    <col width="26" bestFit="1" customWidth="1" style="105" min="10007" max="10007"/>
    <col width="8.25" bestFit="1" customWidth="1" style="105" min="10008" max="10008"/>
    <col width="24.375" bestFit="1" customWidth="1" style="105" min="10009" max="10010"/>
    <col width="8.625" bestFit="1" customWidth="1" style="105" min="10011" max="10012"/>
    <col width="8.875" bestFit="1" customWidth="1" style="105" min="10013" max="10013"/>
    <col width="5" customWidth="1" style="105" min="10014" max="10240"/>
    <col width="9.5" bestFit="1" customWidth="1" style="105" min="10241" max="10241"/>
    <col width="7.875" bestFit="1" customWidth="1" style="105" min="10242" max="10242"/>
    <col width="4.625" bestFit="1" customWidth="1" style="105" min="10243" max="10243"/>
    <col width="5.375" bestFit="1" customWidth="1" style="105" min="10244" max="10244"/>
    <col width="6.625" bestFit="1" customWidth="1" style="105" min="10245" max="10245"/>
    <col width="2.625" bestFit="1" customWidth="1" style="105" min="10246" max="10246"/>
    <col width="4.875" bestFit="1" customWidth="1" style="105" min="10247" max="10248"/>
    <col width="4.5" bestFit="1" customWidth="1" style="105" min="10249" max="10249"/>
    <col width="4.375" bestFit="1" customWidth="1" style="105" min="10250" max="10250"/>
    <col width="2.875" bestFit="1" customWidth="1" style="105" min="10251" max="10251"/>
    <col width="8.375" bestFit="1" customWidth="1" style="105" min="10252" max="10252"/>
    <col width="7.625" bestFit="1" customWidth="1" style="105" min="10253" max="10253"/>
    <col width="5.875" bestFit="1" customWidth="1" style="105" min="10254" max="10254"/>
    <col width="3.75" bestFit="1" customWidth="1" style="105" min="10255" max="10255"/>
    <col width="4.75" bestFit="1" customWidth="1" style="105" min="10256" max="10256"/>
    <col width="13.125" bestFit="1" customWidth="1" style="105" min="10257" max="10257"/>
    <col width="2.875" bestFit="1" customWidth="1" style="105" min="10258" max="10258"/>
    <col width="4.5" bestFit="1" customWidth="1" style="105" min="10259" max="10259"/>
    <col width="5.25" bestFit="1" customWidth="1" style="105" min="10260" max="10260"/>
    <col width="5.375" bestFit="1" customWidth="1" style="105" min="10261" max="10261"/>
    <col width="7.25" bestFit="1" customWidth="1" style="105" min="10262" max="10262"/>
    <col width="26" bestFit="1" customWidth="1" style="105" min="10263" max="10263"/>
    <col width="8.25" bestFit="1" customWidth="1" style="105" min="10264" max="10264"/>
    <col width="24.375" bestFit="1" customWidth="1" style="105" min="10265" max="10266"/>
    <col width="8.625" bestFit="1" customWidth="1" style="105" min="10267" max="10268"/>
    <col width="8.875" bestFit="1" customWidth="1" style="105" min="10269" max="10269"/>
    <col width="5" customWidth="1" style="105" min="10270" max="10496"/>
    <col width="9.5" bestFit="1" customWidth="1" style="105" min="10497" max="10497"/>
    <col width="7.875" bestFit="1" customWidth="1" style="105" min="10498" max="10498"/>
    <col width="4.625" bestFit="1" customWidth="1" style="105" min="10499" max="10499"/>
    <col width="5.375" bestFit="1" customWidth="1" style="105" min="10500" max="10500"/>
    <col width="6.625" bestFit="1" customWidth="1" style="105" min="10501" max="10501"/>
    <col width="2.625" bestFit="1" customWidth="1" style="105" min="10502" max="10502"/>
    <col width="4.875" bestFit="1" customWidth="1" style="105" min="10503" max="10504"/>
    <col width="4.5" bestFit="1" customWidth="1" style="105" min="10505" max="10505"/>
    <col width="4.375" bestFit="1" customWidth="1" style="105" min="10506" max="10506"/>
    <col width="2.875" bestFit="1" customWidth="1" style="105" min="10507" max="10507"/>
    <col width="8.375" bestFit="1" customWidth="1" style="105" min="10508" max="10508"/>
    <col width="7.625" bestFit="1" customWidth="1" style="105" min="10509" max="10509"/>
    <col width="5.875" bestFit="1" customWidth="1" style="105" min="10510" max="10510"/>
    <col width="3.75" bestFit="1" customWidth="1" style="105" min="10511" max="10511"/>
    <col width="4.75" bestFit="1" customWidth="1" style="105" min="10512" max="10512"/>
    <col width="13.125" bestFit="1" customWidth="1" style="105" min="10513" max="10513"/>
    <col width="2.875" bestFit="1" customWidth="1" style="105" min="10514" max="10514"/>
    <col width="4.5" bestFit="1" customWidth="1" style="105" min="10515" max="10515"/>
    <col width="5.25" bestFit="1" customWidth="1" style="105" min="10516" max="10516"/>
    <col width="5.375" bestFit="1" customWidth="1" style="105" min="10517" max="10517"/>
    <col width="7.25" bestFit="1" customWidth="1" style="105" min="10518" max="10518"/>
    <col width="26" bestFit="1" customWidth="1" style="105" min="10519" max="10519"/>
    <col width="8.25" bestFit="1" customWidth="1" style="105" min="10520" max="10520"/>
    <col width="24.375" bestFit="1" customWidth="1" style="105" min="10521" max="10522"/>
    <col width="8.625" bestFit="1" customWidth="1" style="105" min="10523" max="10524"/>
    <col width="8.875" bestFit="1" customWidth="1" style="105" min="10525" max="10525"/>
    <col width="5" customWidth="1" style="105" min="10526" max="10752"/>
    <col width="9.5" bestFit="1" customWidth="1" style="105" min="10753" max="10753"/>
    <col width="7.875" bestFit="1" customWidth="1" style="105" min="10754" max="10754"/>
    <col width="4.625" bestFit="1" customWidth="1" style="105" min="10755" max="10755"/>
    <col width="5.375" bestFit="1" customWidth="1" style="105" min="10756" max="10756"/>
    <col width="6.625" bestFit="1" customWidth="1" style="105" min="10757" max="10757"/>
    <col width="2.625" bestFit="1" customWidth="1" style="105" min="10758" max="10758"/>
    <col width="4.875" bestFit="1" customWidth="1" style="105" min="10759" max="10760"/>
    <col width="4.5" bestFit="1" customWidth="1" style="105" min="10761" max="10761"/>
    <col width="4.375" bestFit="1" customWidth="1" style="105" min="10762" max="10762"/>
    <col width="2.875" bestFit="1" customWidth="1" style="105" min="10763" max="10763"/>
    <col width="8.375" bestFit="1" customWidth="1" style="105" min="10764" max="10764"/>
    <col width="7.625" bestFit="1" customWidth="1" style="105" min="10765" max="10765"/>
    <col width="5.875" bestFit="1" customWidth="1" style="105" min="10766" max="10766"/>
    <col width="3.75" bestFit="1" customWidth="1" style="105" min="10767" max="10767"/>
    <col width="4.75" bestFit="1" customWidth="1" style="105" min="10768" max="10768"/>
    <col width="13.125" bestFit="1" customWidth="1" style="105" min="10769" max="10769"/>
    <col width="2.875" bestFit="1" customWidth="1" style="105" min="10770" max="10770"/>
    <col width="4.5" bestFit="1" customWidth="1" style="105" min="10771" max="10771"/>
    <col width="5.25" bestFit="1" customWidth="1" style="105" min="10772" max="10772"/>
    <col width="5.375" bestFit="1" customWidth="1" style="105" min="10773" max="10773"/>
    <col width="7.25" bestFit="1" customWidth="1" style="105" min="10774" max="10774"/>
    <col width="26" bestFit="1" customWidth="1" style="105" min="10775" max="10775"/>
    <col width="8.25" bestFit="1" customWidth="1" style="105" min="10776" max="10776"/>
    <col width="24.375" bestFit="1" customWidth="1" style="105" min="10777" max="10778"/>
    <col width="8.625" bestFit="1" customWidth="1" style="105" min="10779" max="10780"/>
    <col width="8.875" bestFit="1" customWidth="1" style="105" min="10781" max="10781"/>
    <col width="5" customWidth="1" style="105" min="10782" max="11008"/>
    <col width="9.5" bestFit="1" customWidth="1" style="105" min="11009" max="11009"/>
    <col width="7.875" bestFit="1" customWidth="1" style="105" min="11010" max="11010"/>
    <col width="4.625" bestFit="1" customWidth="1" style="105" min="11011" max="11011"/>
    <col width="5.375" bestFit="1" customWidth="1" style="105" min="11012" max="11012"/>
    <col width="6.625" bestFit="1" customWidth="1" style="105" min="11013" max="11013"/>
    <col width="2.625" bestFit="1" customWidth="1" style="105" min="11014" max="11014"/>
    <col width="4.875" bestFit="1" customWidth="1" style="105" min="11015" max="11016"/>
    <col width="4.5" bestFit="1" customWidth="1" style="105" min="11017" max="11017"/>
    <col width="4.375" bestFit="1" customWidth="1" style="105" min="11018" max="11018"/>
    <col width="2.875" bestFit="1" customWidth="1" style="105" min="11019" max="11019"/>
    <col width="8.375" bestFit="1" customWidth="1" style="105" min="11020" max="11020"/>
    <col width="7.625" bestFit="1" customWidth="1" style="105" min="11021" max="11021"/>
    <col width="5.875" bestFit="1" customWidth="1" style="105" min="11022" max="11022"/>
    <col width="3.75" bestFit="1" customWidth="1" style="105" min="11023" max="11023"/>
    <col width="4.75" bestFit="1" customWidth="1" style="105" min="11024" max="11024"/>
    <col width="13.125" bestFit="1" customWidth="1" style="105" min="11025" max="11025"/>
    <col width="2.875" bestFit="1" customWidth="1" style="105" min="11026" max="11026"/>
    <col width="4.5" bestFit="1" customWidth="1" style="105" min="11027" max="11027"/>
    <col width="5.25" bestFit="1" customWidth="1" style="105" min="11028" max="11028"/>
    <col width="5.375" bestFit="1" customWidth="1" style="105" min="11029" max="11029"/>
    <col width="7.25" bestFit="1" customWidth="1" style="105" min="11030" max="11030"/>
    <col width="26" bestFit="1" customWidth="1" style="105" min="11031" max="11031"/>
    <col width="8.25" bestFit="1" customWidth="1" style="105" min="11032" max="11032"/>
    <col width="24.375" bestFit="1" customWidth="1" style="105" min="11033" max="11034"/>
    <col width="8.625" bestFit="1" customWidth="1" style="105" min="11035" max="11036"/>
    <col width="8.875" bestFit="1" customWidth="1" style="105" min="11037" max="11037"/>
    <col width="5" customWidth="1" style="105" min="11038" max="11264"/>
    <col width="9.5" bestFit="1" customWidth="1" style="105" min="11265" max="11265"/>
    <col width="7.875" bestFit="1" customWidth="1" style="105" min="11266" max="11266"/>
    <col width="4.625" bestFit="1" customWidth="1" style="105" min="11267" max="11267"/>
    <col width="5.375" bestFit="1" customWidth="1" style="105" min="11268" max="11268"/>
    <col width="6.625" bestFit="1" customWidth="1" style="105" min="11269" max="11269"/>
    <col width="2.625" bestFit="1" customWidth="1" style="105" min="11270" max="11270"/>
    <col width="4.875" bestFit="1" customWidth="1" style="105" min="11271" max="11272"/>
    <col width="4.5" bestFit="1" customWidth="1" style="105" min="11273" max="11273"/>
    <col width="4.375" bestFit="1" customWidth="1" style="105" min="11274" max="11274"/>
    <col width="2.875" bestFit="1" customWidth="1" style="105" min="11275" max="11275"/>
    <col width="8.375" bestFit="1" customWidth="1" style="105" min="11276" max="11276"/>
    <col width="7.625" bestFit="1" customWidth="1" style="105" min="11277" max="11277"/>
    <col width="5.875" bestFit="1" customWidth="1" style="105" min="11278" max="11278"/>
    <col width="3.75" bestFit="1" customWidth="1" style="105" min="11279" max="11279"/>
    <col width="4.75" bestFit="1" customWidth="1" style="105" min="11280" max="11280"/>
    <col width="13.125" bestFit="1" customWidth="1" style="105" min="11281" max="11281"/>
    <col width="2.875" bestFit="1" customWidth="1" style="105" min="11282" max="11282"/>
    <col width="4.5" bestFit="1" customWidth="1" style="105" min="11283" max="11283"/>
    <col width="5.25" bestFit="1" customWidth="1" style="105" min="11284" max="11284"/>
    <col width="5.375" bestFit="1" customWidth="1" style="105" min="11285" max="11285"/>
    <col width="7.25" bestFit="1" customWidth="1" style="105" min="11286" max="11286"/>
    <col width="26" bestFit="1" customWidth="1" style="105" min="11287" max="11287"/>
    <col width="8.25" bestFit="1" customWidth="1" style="105" min="11288" max="11288"/>
    <col width="24.375" bestFit="1" customWidth="1" style="105" min="11289" max="11290"/>
    <col width="8.625" bestFit="1" customWidth="1" style="105" min="11291" max="11292"/>
    <col width="8.875" bestFit="1" customWidth="1" style="105" min="11293" max="11293"/>
    <col width="5" customWidth="1" style="105" min="11294" max="11520"/>
    <col width="9.5" bestFit="1" customWidth="1" style="105" min="11521" max="11521"/>
    <col width="7.875" bestFit="1" customWidth="1" style="105" min="11522" max="11522"/>
    <col width="4.625" bestFit="1" customWidth="1" style="105" min="11523" max="11523"/>
    <col width="5.375" bestFit="1" customWidth="1" style="105" min="11524" max="11524"/>
    <col width="6.625" bestFit="1" customWidth="1" style="105" min="11525" max="11525"/>
    <col width="2.625" bestFit="1" customWidth="1" style="105" min="11526" max="11526"/>
    <col width="4.875" bestFit="1" customWidth="1" style="105" min="11527" max="11528"/>
    <col width="4.5" bestFit="1" customWidth="1" style="105" min="11529" max="11529"/>
    <col width="4.375" bestFit="1" customWidth="1" style="105" min="11530" max="11530"/>
    <col width="2.875" bestFit="1" customWidth="1" style="105" min="11531" max="11531"/>
    <col width="8.375" bestFit="1" customWidth="1" style="105" min="11532" max="11532"/>
    <col width="7.625" bestFit="1" customWidth="1" style="105" min="11533" max="11533"/>
    <col width="5.875" bestFit="1" customWidth="1" style="105" min="11534" max="11534"/>
    <col width="3.75" bestFit="1" customWidth="1" style="105" min="11535" max="11535"/>
    <col width="4.75" bestFit="1" customWidth="1" style="105" min="11536" max="11536"/>
    <col width="13.125" bestFit="1" customWidth="1" style="105" min="11537" max="11537"/>
    <col width="2.875" bestFit="1" customWidth="1" style="105" min="11538" max="11538"/>
    <col width="4.5" bestFit="1" customWidth="1" style="105" min="11539" max="11539"/>
    <col width="5.25" bestFit="1" customWidth="1" style="105" min="11540" max="11540"/>
    <col width="5.375" bestFit="1" customWidth="1" style="105" min="11541" max="11541"/>
    <col width="7.25" bestFit="1" customWidth="1" style="105" min="11542" max="11542"/>
    <col width="26" bestFit="1" customWidth="1" style="105" min="11543" max="11543"/>
    <col width="8.25" bestFit="1" customWidth="1" style="105" min="11544" max="11544"/>
    <col width="24.375" bestFit="1" customWidth="1" style="105" min="11545" max="11546"/>
    <col width="8.625" bestFit="1" customWidth="1" style="105" min="11547" max="11548"/>
    <col width="8.875" bestFit="1" customWidth="1" style="105" min="11549" max="11549"/>
    <col width="5" customWidth="1" style="105" min="11550" max="11776"/>
    <col width="9.5" bestFit="1" customWidth="1" style="105" min="11777" max="11777"/>
    <col width="7.875" bestFit="1" customWidth="1" style="105" min="11778" max="11778"/>
    <col width="4.625" bestFit="1" customWidth="1" style="105" min="11779" max="11779"/>
    <col width="5.375" bestFit="1" customWidth="1" style="105" min="11780" max="11780"/>
    <col width="6.625" bestFit="1" customWidth="1" style="105" min="11781" max="11781"/>
    <col width="2.625" bestFit="1" customWidth="1" style="105" min="11782" max="11782"/>
    <col width="4.875" bestFit="1" customWidth="1" style="105" min="11783" max="11784"/>
    <col width="4.5" bestFit="1" customWidth="1" style="105" min="11785" max="11785"/>
    <col width="4.375" bestFit="1" customWidth="1" style="105" min="11786" max="11786"/>
    <col width="2.875" bestFit="1" customWidth="1" style="105" min="11787" max="11787"/>
    <col width="8.375" bestFit="1" customWidth="1" style="105" min="11788" max="11788"/>
    <col width="7.625" bestFit="1" customWidth="1" style="105" min="11789" max="11789"/>
    <col width="5.875" bestFit="1" customWidth="1" style="105" min="11790" max="11790"/>
    <col width="3.75" bestFit="1" customWidth="1" style="105" min="11791" max="11791"/>
    <col width="4.75" bestFit="1" customWidth="1" style="105" min="11792" max="11792"/>
    <col width="13.125" bestFit="1" customWidth="1" style="105" min="11793" max="11793"/>
    <col width="2.875" bestFit="1" customWidth="1" style="105" min="11794" max="11794"/>
    <col width="4.5" bestFit="1" customWidth="1" style="105" min="11795" max="11795"/>
    <col width="5.25" bestFit="1" customWidth="1" style="105" min="11796" max="11796"/>
    <col width="5.375" bestFit="1" customWidth="1" style="105" min="11797" max="11797"/>
    <col width="7.25" bestFit="1" customWidth="1" style="105" min="11798" max="11798"/>
    <col width="26" bestFit="1" customWidth="1" style="105" min="11799" max="11799"/>
    <col width="8.25" bestFit="1" customWidth="1" style="105" min="11800" max="11800"/>
    <col width="24.375" bestFit="1" customWidth="1" style="105" min="11801" max="11802"/>
    <col width="8.625" bestFit="1" customWidth="1" style="105" min="11803" max="11804"/>
    <col width="8.875" bestFit="1" customWidth="1" style="105" min="11805" max="11805"/>
    <col width="5" customWidth="1" style="105" min="11806" max="12032"/>
    <col width="9.5" bestFit="1" customWidth="1" style="105" min="12033" max="12033"/>
    <col width="7.875" bestFit="1" customWidth="1" style="105" min="12034" max="12034"/>
    <col width="4.625" bestFit="1" customWidth="1" style="105" min="12035" max="12035"/>
    <col width="5.375" bestFit="1" customWidth="1" style="105" min="12036" max="12036"/>
    <col width="6.625" bestFit="1" customWidth="1" style="105" min="12037" max="12037"/>
    <col width="2.625" bestFit="1" customWidth="1" style="105" min="12038" max="12038"/>
    <col width="4.875" bestFit="1" customWidth="1" style="105" min="12039" max="12040"/>
    <col width="4.5" bestFit="1" customWidth="1" style="105" min="12041" max="12041"/>
    <col width="4.375" bestFit="1" customWidth="1" style="105" min="12042" max="12042"/>
    <col width="2.875" bestFit="1" customWidth="1" style="105" min="12043" max="12043"/>
    <col width="8.375" bestFit="1" customWidth="1" style="105" min="12044" max="12044"/>
    <col width="7.625" bestFit="1" customWidth="1" style="105" min="12045" max="12045"/>
    <col width="5.875" bestFit="1" customWidth="1" style="105" min="12046" max="12046"/>
    <col width="3.75" bestFit="1" customWidth="1" style="105" min="12047" max="12047"/>
    <col width="4.75" bestFit="1" customWidth="1" style="105" min="12048" max="12048"/>
    <col width="13.125" bestFit="1" customWidth="1" style="105" min="12049" max="12049"/>
    <col width="2.875" bestFit="1" customWidth="1" style="105" min="12050" max="12050"/>
    <col width="4.5" bestFit="1" customWidth="1" style="105" min="12051" max="12051"/>
    <col width="5.25" bestFit="1" customWidth="1" style="105" min="12052" max="12052"/>
    <col width="5.375" bestFit="1" customWidth="1" style="105" min="12053" max="12053"/>
    <col width="7.25" bestFit="1" customWidth="1" style="105" min="12054" max="12054"/>
    <col width="26" bestFit="1" customWidth="1" style="105" min="12055" max="12055"/>
    <col width="8.25" bestFit="1" customWidth="1" style="105" min="12056" max="12056"/>
    <col width="24.375" bestFit="1" customWidth="1" style="105" min="12057" max="12058"/>
    <col width="8.625" bestFit="1" customWidth="1" style="105" min="12059" max="12060"/>
    <col width="8.875" bestFit="1" customWidth="1" style="105" min="12061" max="12061"/>
    <col width="5" customWidth="1" style="105" min="12062" max="12288"/>
    <col width="9.5" bestFit="1" customWidth="1" style="105" min="12289" max="12289"/>
    <col width="7.875" bestFit="1" customWidth="1" style="105" min="12290" max="12290"/>
    <col width="4.625" bestFit="1" customWidth="1" style="105" min="12291" max="12291"/>
    <col width="5.375" bestFit="1" customWidth="1" style="105" min="12292" max="12292"/>
    <col width="6.625" bestFit="1" customWidth="1" style="105" min="12293" max="12293"/>
    <col width="2.625" bestFit="1" customWidth="1" style="105" min="12294" max="12294"/>
    <col width="4.875" bestFit="1" customWidth="1" style="105" min="12295" max="12296"/>
    <col width="4.5" bestFit="1" customWidth="1" style="105" min="12297" max="12297"/>
    <col width="4.375" bestFit="1" customWidth="1" style="105" min="12298" max="12298"/>
    <col width="2.875" bestFit="1" customWidth="1" style="105" min="12299" max="12299"/>
    <col width="8.375" bestFit="1" customWidth="1" style="105" min="12300" max="12300"/>
    <col width="7.625" bestFit="1" customWidth="1" style="105" min="12301" max="12301"/>
    <col width="5.875" bestFit="1" customWidth="1" style="105" min="12302" max="12302"/>
    <col width="3.75" bestFit="1" customWidth="1" style="105" min="12303" max="12303"/>
    <col width="4.75" bestFit="1" customWidth="1" style="105" min="12304" max="12304"/>
    <col width="13.125" bestFit="1" customWidth="1" style="105" min="12305" max="12305"/>
    <col width="2.875" bestFit="1" customWidth="1" style="105" min="12306" max="12306"/>
    <col width="4.5" bestFit="1" customWidth="1" style="105" min="12307" max="12307"/>
    <col width="5.25" bestFit="1" customWidth="1" style="105" min="12308" max="12308"/>
    <col width="5.375" bestFit="1" customWidth="1" style="105" min="12309" max="12309"/>
    <col width="7.25" bestFit="1" customWidth="1" style="105" min="12310" max="12310"/>
    <col width="26" bestFit="1" customWidth="1" style="105" min="12311" max="12311"/>
    <col width="8.25" bestFit="1" customWidth="1" style="105" min="12312" max="12312"/>
    <col width="24.375" bestFit="1" customWidth="1" style="105" min="12313" max="12314"/>
    <col width="8.625" bestFit="1" customWidth="1" style="105" min="12315" max="12316"/>
    <col width="8.875" bestFit="1" customWidth="1" style="105" min="12317" max="12317"/>
    <col width="5" customWidth="1" style="105" min="12318" max="12544"/>
    <col width="9.5" bestFit="1" customWidth="1" style="105" min="12545" max="12545"/>
    <col width="7.875" bestFit="1" customWidth="1" style="105" min="12546" max="12546"/>
    <col width="4.625" bestFit="1" customWidth="1" style="105" min="12547" max="12547"/>
    <col width="5.375" bestFit="1" customWidth="1" style="105" min="12548" max="12548"/>
    <col width="6.625" bestFit="1" customWidth="1" style="105" min="12549" max="12549"/>
    <col width="2.625" bestFit="1" customWidth="1" style="105" min="12550" max="12550"/>
    <col width="4.875" bestFit="1" customWidth="1" style="105" min="12551" max="12552"/>
    <col width="4.5" bestFit="1" customWidth="1" style="105" min="12553" max="12553"/>
    <col width="4.375" bestFit="1" customWidth="1" style="105" min="12554" max="12554"/>
    <col width="2.875" bestFit="1" customWidth="1" style="105" min="12555" max="12555"/>
    <col width="8.375" bestFit="1" customWidth="1" style="105" min="12556" max="12556"/>
    <col width="7.625" bestFit="1" customWidth="1" style="105" min="12557" max="12557"/>
    <col width="5.875" bestFit="1" customWidth="1" style="105" min="12558" max="12558"/>
    <col width="3.75" bestFit="1" customWidth="1" style="105" min="12559" max="12559"/>
    <col width="4.75" bestFit="1" customWidth="1" style="105" min="12560" max="12560"/>
    <col width="13.125" bestFit="1" customWidth="1" style="105" min="12561" max="12561"/>
    <col width="2.875" bestFit="1" customWidth="1" style="105" min="12562" max="12562"/>
    <col width="4.5" bestFit="1" customWidth="1" style="105" min="12563" max="12563"/>
    <col width="5.25" bestFit="1" customWidth="1" style="105" min="12564" max="12564"/>
    <col width="5.375" bestFit="1" customWidth="1" style="105" min="12565" max="12565"/>
    <col width="7.25" bestFit="1" customWidth="1" style="105" min="12566" max="12566"/>
    <col width="26" bestFit="1" customWidth="1" style="105" min="12567" max="12567"/>
    <col width="8.25" bestFit="1" customWidth="1" style="105" min="12568" max="12568"/>
    <col width="24.375" bestFit="1" customWidth="1" style="105" min="12569" max="12570"/>
    <col width="8.625" bestFit="1" customWidth="1" style="105" min="12571" max="12572"/>
    <col width="8.875" bestFit="1" customWidth="1" style="105" min="12573" max="12573"/>
    <col width="5" customWidth="1" style="105" min="12574" max="12800"/>
    <col width="9.5" bestFit="1" customWidth="1" style="105" min="12801" max="12801"/>
    <col width="7.875" bestFit="1" customWidth="1" style="105" min="12802" max="12802"/>
    <col width="4.625" bestFit="1" customWidth="1" style="105" min="12803" max="12803"/>
    <col width="5.375" bestFit="1" customWidth="1" style="105" min="12804" max="12804"/>
    <col width="6.625" bestFit="1" customWidth="1" style="105" min="12805" max="12805"/>
    <col width="2.625" bestFit="1" customWidth="1" style="105" min="12806" max="12806"/>
    <col width="4.875" bestFit="1" customWidth="1" style="105" min="12807" max="12808"/>
    <col width="4.5" bestFit="1" customWidth="1" style="105" min="12809" max="12809"/>
    <col width="4.375" bestFit="1" customWidth="1" style="105" min="12810" max="12810"/>
    <col width="2.875" bestFit="1" customWidth="1" style="105" min="12811" max="12811"/>
    <col width="8.375" bestFit="1" customWidth="1" style="105" min="12812" max="12812"/>
    <col width="7.625" bestFit="1" customWidth="1" style="105" min="12813" max="12813"/>
    <col width="5.875" bestFit="1" customWidth="1" style="105" min="12814" max="12814"/>
    <col width="3.75" bestFit="1" customWidth="1" style="105" min="12815" max="12815"/>
    <col width="4.75" bestFit="1" customWidth="1" style="105" min="12816" max="12816"/>
    <col width="13.125" bestFit="1" customWidth="1" style="105" min="12817" max="12817"/>
    <col width="2.875" bestFit="1" customWidth="1" style="105" min="12818" max="12818"/>
    <col width="4.5" bestFit="1" customWidth="1" style="105" min="12819" max="12819"/>
    <col width="5.25" bestFit="1" customWidth="1" style="105" min="12820" max="12820"/>
    <col width="5.375" bestFit="1" customWidth="1" style="105" min="12821" max="12821"/>
    <col width="7.25" bestFit="1" customWidth="1" style="105" min="12822" max="12822"/>
    <col width="26" bestFit="1" customWidth="1" style="105" min="12823" max="12823"/>
    <col width="8.25" bestFit="1" customWidth="1" style="105" min="12824" max="12824"/>
    <col width="24.375" bestFit="1" customWidth="1" style="105" min="12825" max="12826"/>
    <col width="8.625" bestFit="1" customWidth="1" style="105" min="12827" max="12828"/>
    <col width="8.875" bestFit="1" customWidth="1" style="105" min="12829" max="12829"/>
    <col width="5" customWidth="1" style="105" min="12830" max="13056"/>
    <col width="9.5" bestFit="1" customWidth="1" style="105" min="13057" max="13057"/>
    <col width="7.875" bestFit="1" customWidth="1" style="105" min="13058" max="13058"/>
    <col width="4.625" bestFit="1" customWidth="1" style="105" min="13059" max="13059"/>
    <col width="5.375" bestFit="1" customWidth="1" style="105" min="13060" max="13060"/>
    <col width="6.625" bestFit="1" customWidth="1" style="105" min="13061" max="13061"/>
    <col width="2.625" bestFit="1" customWidth="1" style="105" min="13062" max="13062"/>
    <col width="4.875" bestFit="1" customWidth="1" style="105" min="13063" max="13064"/>
    <col width="4.5" bestFit="1" customWidth="1" style="105" min="13065" max="13065"/>
    <col width="4.375" bestFit="1" customWidth="1" style="105" min="13066" max="13066"/>
    <col width="2.875" bestFit="1" customWidth="1" style="105" min="13067" max="13067"/>
    <col width="8.375" bestFit="1" customWidth="1" style="105" min="13068" max="13068"/>
    <col width="7.625" bestFit="1" customWidth="1" style="105" min="13069" max="13069"/>
    <col width="5.875" bestFit="1" customWidth="1" style="105" min="13070" max="13070"/>
    <col width="3.75" bestFit="1" customWidth="1" style="105" min="13071" max="13071"/>
    <col width="4.75" bestFit="1" customWidth="1" style="105" min="13072" max="13072"/>
    <col width="13.125" bestFit="1" customWidth="1" style="105" min="13073" max="13073"/>
    <col width="2.875" bestFit="1" customWidth="1" style="105" min="13074" max="13074"/>
    <col width="4.5" bestFit="1" customWidth="1" style="105" min="13075" max="13075"/>
    <col width="5.25" bestFit="1" customWidth="1" style="105" min="13076" max="13076"/>
    <col width="5.375" bestFit="1" customWidth="1" style="105" min="13077" max="13077"/>
    <col width="7.25" bestFit="1" customWidth="1" style="105" min="13078" max="13078"/>
    <col width="26" bestFit="1" customWidth="1" style="105" min="13079" max="13079"/>
    <col width="8.25" bestFit="1" customWidth="1" style="105" min="13080" max="13080"/>
    <col width="24.375" bestFit="1" customWidth="1" style="105" min="13081" max="13082"/>
    <col width="8.625" bestFit="1" customWidth="1" style="105" min="13083" max="13084"/>
    <col width="8.875" bestFit="1" customWidth="1" style="105" min="13085" max="13085"/>
    <col width="5" customWidth="1" style="105" min="13086" max="13312"/>
    <col width="9.5" bestFit="1" customWidth="1" style="105" min="13313" max="13313"/>
    <col width="7.875" bestFit="1" customWidth="1" style="105" min="13314" max="13314"/>
    <col width="4.625" bestFit="1" customWidth="1" style="105" min="13315" max="13315"/>
    <col width="5.375" bestFit="1" customWidth="1" style="105" min="13316" max="13316"/>
    <col width="6.625" bestFit="1" customWidth="1" style="105" min="13317" max="13317"/>
    <col width="2.625" bestFit="1" customWidth="1" style="105" min="13318" max="13318"/>
    <col width="4.875" bestFit="1" customWidth="1" style="105" min="13319" max="13320"/>
    <col width="4.5" bestFit="1" customWidth="1" style="105" min="13321" max="13321"/>
    <col width="4.375" bestFit="1" customWidth="1" style="105" min="13322" max="13322"/>
    <col width="2.875" bestFit="1" customWidth="1" style="105" min="13323" max="13323"/>
    <col width="8.375" bestFit="1" customWidth="1" style="105" min="13324" max="13324"/>
    <col width="7.625" bestFit="1" customWidth="1" style="105" min="13325" max="13325"/>
    <col width="5.875" bestFit="1" customWidth="1" style="105" min="13326" max="13326"/>
    <col width="3.75" bestFit="1" customWidth="1" style="105" min="13327" max="13327"/>
    <col width="4.75" bestFit="1" customWidth="1" style="105" min="13328" max="13328"/>
    <col width="13.125" bestFit="1" customWidth="1" style="105" min="13329" max="13329"/>
    <col width="2.875" bestFit="1" customWidth="1" style="105" min="13330" max="13330"/>
    <col width="4.5" bestFit="1" customWidth="1" style="105" min="13331" max="13331"/>
    <col width="5.25" bestFit="1" customWidth="1" style="105" min="13332" max="13332"/>
    <col width="5.375" bestFit="1" customWidth="1" style="105" min="13333" max="13333"/>
    <col width="7.25" bestFit="1" customWidth="1" style="105" min="13334" max="13334"/>
    <col width="26" bestFit="1" customWidth="1" style="105" min="13335" max="13335"/>
    <col width="8.25" bestFit="1" customWidth="1" style="105" min="13336" max="13336"/>
    <col width="24.375" bestFit="1" customWidth="1" style="105" min="13337" max="13338"/>
    <col width="8.625" bestFit="1" customWidth="1" style="105" min="13339" max="13340"/>
    <col width="8.875" bestFit="1" customWidth="1" style="105" min="13341" max="13341"/>
    <col width="5" customWidth="1" style="105" min="13342" max="13568"/>
    <col width="9.5" bestFit="1" customWidth="1" style="105" min="13569" max="13569"/>
    <col width="7.875" bestFit="1" customWidth="1" style="105" min="13570" max="13570"/>
    <col width="4.625" bestFit="1" customWidth="1" style="105" min="13571" max="13571"/>
    <col width="5.375" bestFit="1" customWidth="1" style="105" min="13572" max="13572"/>
    <col width="6.625" bestFit="1" customWidth="1" style="105" min="13573" max="13573"/>
    <col width="2.625" bestFit="1" customWidth="1" style="105" min="13574" max="13574"/>
    <col width="4.875" bestFit="1" customWidth="1" style="105" min="13575" max="13576"/>
    <col width="4.5" bestFit="1" customWidth="1" style="105" min="13577" max="13577"/>
    <col width="4.375" bestFit="1" customWidth="1" style="105" min="13578" max="13578"/>
    <col width="2.875" bestFit="1" customWidth="1" style="105" min="13579" max="13579"/>
    <col width="8.375" bestFit="1" customWidth="1" style="105" min="13580" max="13580"/>
    <col width="7.625" bestFit="1" customWidth="1" style="105" min="13581" max="13581"/>
    <col width="5.875" bestFit="1" customWidth="1" style="105" min="13582" max="13582"/>
    <col width="3.75" bestFit="1" customWidth="1" style="105" min="13583" max="13583"/>
    <col width="4.75" bestFit="1" customWidth="1" style="105" min="13584" max="13584"/>
    <col width="13.125" bestFit="1" customWidth="1" style="105" min="13585" max="13585"/>
    <col width="2.875" bestFit="1" customWidth="1" style="105" min="13586" max="13586"/>
    <col width="4.5" bestFit="1" customWidth="1" style="105" min="13587" max="13587"/>
    <col width="5.25" bestFit="1" customWidth="1" style="105" min="13588" max="13588"/>
    <col width="5.375" bestFit="1" customWidth="1" style="105" min="13589" max="13589"/>
    <col width="7.25" bestFit="1" customWidth="1" style="105" min="13590" max="13590"/>
    <col width="26" bestFit="1" customWidth="1" style="105" min="13591" max="13591"/>
    <col width="8.25" bestFit="1" customWidth="1" style="105" min="13592" max="13592"/>
    <col width="24.375" bestFit="1" customWidth="1" style="105" min="13593" max="13594"/>
    <col width="8.625" bestFit="1" customWidth="1" style="105" min="13595" max="13596"/>
    <col width="8.875" bestFit="1" customWidth="1" style="105" min="13597" max="13597"/>
    <col width="5" customWidth="1" style="105" min="13598" max="13824"/>
    <col width="9.5" bestFit="1" customWidth="1" style="105" min="13825" max="13825"/>
    <col width="7.875" bestFit="1" customWidth="1" style="105" min="13826" max="13826"/>
    <col width="4.625" bestFit="1" customWidth="1" style="105" min="13827" max="13827"/>
    <col width="5.375" bestFit="1" customWidth="1" style="105" min="13828" max="13828"/>
    <col width="6.625" bestFit="1" customWidth="1" style="105" min="13829" max="13829"/>
    <col width="2.625" bestFit="1" customWidth="1" style="105" min="13830" max="13830"/>
    <col width="4.875" bestFit="1" customWidth="1" style="105" min="13831" max="13832"/>
    <col width="4.5" bestFit="1" customWidth="1" style="105" min="13833" max="13833"/>
    <col width="4.375" bestFit="1" customWidth="1" style="105" min="13834" max="13834"/>
    <col width="2.875" bestFit="1" customWidth="1" style="105" min="13835" max="13835"/>
    <col width="8.375" bestFit="1" customWidth="1" style="105" min="13836" max="13836"/>
    <col width="7.625" bestFit="1" customWidth="1" style="105" min="13837" max="13837"/>
    <col width="5.875" bestFit="1" customWidth="1" style="105" min="13838" max="13838"/>
    <col width="3.75" bestFit="1" customWidth="1" style="105" min="13839" max="13839"/>
    <col width="4.75" bestFit="1" customWidth="1" style="105" min="13840" max="13840"/>
    <col width="13.125" bestFit="1" customWidth="1" style="105" min="13841" max="13841"/>
    <col width="2.875" bestFit="1" customWidth="1" style="105" min="13842" max="13842"/>
    <col width="4.5" bestFit="1" customWidth="1" style="105" min="13843" max="13843"/>
    <col width="5.25" bestFit="1" customWidth="1" style="105" min="13844" max="13844"/>
    <col width="5.375" bestFit="1" customWidth="1" style="105" min="13845" max="13845"/>
    <col width="7.25" bestFit="1" customWidth="1" style="105" min="13846" max="13846"/>
    <col width="26" bestFit="1" customWidth="1" style="105" min="13847" max="13847"/>
    <col width="8.25" bestFit="1" customWidth="1" style="105" min="13848" max="13848"/>
    <col width="24.375" bestFit="1" customWidth="1" style="105" min="13849" max="13850"/>
    <col width="8.625" bestFit="1" customWidth="1" style="105" min="13851" max="13852"/>
    <col width="8.875" bestFit="1" customWidth="1" style="105" min="13853" max="13853"/>
    <col width="5" customWidth="1" style="105" min="13854" max="14080"/>
    <col width="9.5" bestFit="1" customWidth="1" style="105" min="14081" max="14081"/>
    <col width="7.875" bestFit="1" customWidth="1" style="105" min="14082" max="14082"/>
    <col width="4.625" bestFit="1" customWidth="1" style="105" min="14083" max="14083"/>
    <col width="5.375" bestFit="1" customWidth="1" style="105" min="14084" max="14084"/>
    <col width="6.625" bestFit="1" customWidth="1" style="105" min="14085" max="14085"/>
    <col width="2.625" bestFit="1" customWidth="1" style="105" min="14086" max="14086"/>
    <col width="4.875" bestFit="1" customWidth="1" style="105" min="14087" max="14088"/>
    <col width="4.5" bestFit="1" customWidth="1" style="105" min="14089" max="14089"/>
    <col width="4.375" bestFit="1" customWidth="1" style="105" min="14090" max="14090"/>
    <col width="2.875" bestFit="1" customWidth="1" style="105" min="14091" max="14091"/>
    <col width="8.375" bestFit="1" customWidth="1" style="105" min="14092" max="14092"/>
    <col width="7.625" bestFit="1" customWidth="1" style="105" min="14093" max="14093"/>
    <col width="5.875" bestFit="1" customWidth="1" style="105" min="14094" max="14094"/>
    <col width="3.75" bestFit="1" customWidth="1" style="105" min="14095" max="14095"/>
    <col width="4.75" bestFit="1" customWidth="1" style="105" min="14096" max="14096"/>
    <col width="13.125" bestFit="1" customWidth="1" style="105" min="14097" max="14097"/>
    <col width="2.875" bestFit="1" customWidth="1" style="105" min="14098" max="14098"/>
    <col width="4.5" bestFit="1" customWidth="1" style="105" min="14099" max="14099"/>
    <col width="5.25" bestFit="1" customWidth="1" style="105" min="14100" max="14100"/>
    <col width="5.375" bestFit="1" customWidth="1" style="105" min="14101" max="14101"/>
    <col width="7.25" bestFit="1" customWidth="1" style="105" min="14102" max="14102"/>
    <col width="26" bestFit="1" customWidth="1" style="105" min="14103" max="14103"/>
    <col width="8.25" bestFit="1" customWidth="1" style="105" min="14104" max="14104"/>
    <col width="24.375" bestFit="1" customWidth="1" style="105" min="14105" max="14106"/>
    <col width="8.625" bestFit="1" customWidth="1" style="105" min="14107" max="14108"/>
    <col width="8.875" bestFit="1" customWidth="1" style="105" min="14109" max="14109"/>
    <col width="5" customWidth="1" style="105" min="14110" max="14336"/>
    <col width="9.5" bestFit="1" customWidth="1" style="105" min="14337" max="14337"/>
    <col width="7.875" bestFit="1" customWidth="1" style="105" min="14338" max="14338"/>
    <col width="4.625" bestFit="1" customWidth="1" style="105" min="14339" max="14339"/>
    <col width="5.375" bestFit="1" customWidth="1" style="105" min="14340" max="14340"/>
    <col width="6.625" bestFit="1" customWidth="1" style="105" min="14341" max="14341"/>
    <col width="2.625" bestFit="1" customWidth="1" style="105" min="14342" max="14342"/>
    <col width="4.875" bestFit="1" customWidth="1" style="105" min="14343" max="14344"/>
    <col width="4.5" bestFit="1" customWidth="1" style="105" min="14345" max="14345"/>
    <col width="4.375" bestFit="1" customWidth="1" style="105" min="14346" max="14346"/>
    <col width="2.875" bestFit="1" customWidth="1" style="105" min="14347" max="14347"/>
    <col width="8.375" bestFit="1" customWidth="1" style="105" min="14348" max="14348"/>
    <col width="7.625" bestFit="1" customWidth="1" style="105" min="14349" max="14349"/>
    <col width="5.875" bestFit="1" customWidth="1" style="105" min="14350" max="14350"/>
    <col width="3.75" bestFit="1" customWidth="1" style="105" min="14351" max="14351"/>
    <col width="4.75" bestFit="1" customWidth="1" style="105" min="14352" max="14352"/>
    <col width="13.125" bestFit="1" customWidth="1" style="105" min="14353" max="14353"/>
    <col width="2.875" bestFit="1" customWidth="1" style="105" min="14354" max="14354"/>
    <col width="4.5" bestFit="1" customWidth="1" style="105" min="14355" max="14355"/>
    <col width="5.25" bestFit="1" customWidth="1" style="105" min="14356" max="14356"/>
    <col width="5.375" bestFit="1" customWidth="1" style="105" min="14357" max="14357"/>
    <col width="7.25" bestFit="1" customWidth="1" style="105" min="14358" max="14358"/>
    <col width="26" bestFit="1" customWidth="1" style="105" min="14359" max="14359"/>
    <col width="8.25" bestFit="1" customWidth="1" style="105" min="14360" max="14360"/>
    <col width="24.375" bestFit="1" customWidth="1" style="105" min="14361" max="14362"/>
    <col width="8.625" bestFit="1" customWidth="1" style="105" min="14363" max="14364"/>
    <col width="8.875" bestFit="1" customWidth="1" style="105" min="14365" max="14365"/>
    <col width="5" customWidth="1" style="105" min="14366" max="14592"/>
    <col width="9.5" bestFit="1" customWidth="1" style="105" min="14593" max="14593"/>
    <col width="7.875" bestFit="1" customWidth="1" style="105" min="14594" max="14594"/>
    <col width="4.625" bestFit="1" customWidth="1" style="105" min="14595" max="14595"/>
    <col width="5.375" bestFit="1" customWidth="1" style="105" min="14596" max="14596"/>
    <col width="6.625" bestFit="1" customWidth="1" style="105" min="14597" max="14597"/>
    <col width="2.625" bestFit="1" customWidth="1" style="105" min="14598" max="14598"/>
    <col width="4.875" bestFit="1" customWidth="1" style="105" min="14599" max="14600"/>
    <col width="4.5" bestFit="1" customWidth="1" style="105" min="14601" max="14601"/>
    <col width="4.375" bestFit="1" customWidth="1" style="105" min="14602" max="14602"/>
    <col width="2.875" bestFit="1" customWidth="1" style="105" min="14603" max="14603"/>
    <col width="8.375" bestFit="1" customWidth="1" style="105" min="14604" max="14604"/>
    <col width="7.625" bestFit="1" customWidth="1" style="105" min="14605" max="14605"/>
    <col width="5.875" bestFit="1" customWidth="1" style="105" min="14606" max="14606"/>
    <col width="3.75" bestFit="1" customWidth="1" style="105" min="14607" max="14607"/>
    <col width="4.75" bestFit="1" customWidth="1" style="105" min="14608" max="14608"/>
    <col width="13.125" bestFit="1" customWidth="1" style="105" min="14609" max="14609"/>
    <col width="2.875" bestFit="1" customWidth="1" style="105" min="14610" max="14610"/>
    <col width="4.5" bestFit="1" customWidth="1" style="105" min="14611" max="14611"/>
    <col width="5.25" bestFit="1" customWidth="1" style="105" min="14612" max="14612"/>
    <col width="5.375" bestFit="1" customWidth="1" style="105" min="14613" max="14613"/>
    <col width="7.25" bestFit="1" customWidth="1" style="105" min="14614" max="14614"/>
    <col width="26" bestFit="1" customWidth="1" style="105" min="14615" max="14615"/>
    <col width="8.25" bestFit="1" customWidth="1" style="105" min="14616" max="14616"/>
    <col width="24.375" bestFit="1" customWidth="1" style="105" min="14617" max="14618"/>
    <col width="8.625" bestFit="1" customWidth="1" style="105" min="14619" max="14620"/>
    <col width="8.875" bestFit="1" customWidth="1" style="105" min="14621" max="14621"/>
    <col width="5" customWidth="1" style="105" min="14622" max="14848"/>
    <col width="9.5" bestFit="1" customWidth="1" style="105" min="14849" max="14849"/>
    <col width="7.875" bestFit="1" customWidth="1" style="105" min="14850" max="14850"/>
    <col width="4.625" bestFit="1" customWidth="1" style="105" min="14851" max="14851"/>
    <col width="5.375" bestFit="1" customWidth="1" style="105" min="14852" max="14852"/>
    <col width="6.625" bestFit="1" customWidth="1" style="105" min="14853" max="14853"/>
    <col width="2.625" bestFit="1" customWidth="1" style="105" min="14854" max="14854"/>
    <col width="4.875" bestFit="1" customWidth="1" style="105" min="14855" max="14856"/>
    <col width="4.5" bestFit="1" customWidth="1" style="105" min="14857" max="14857"/>
    <col width="4.375" bestFit="1" customWidth="1" style="105" min="14858" max="14858"/>
    <col width="2.875" bestFit="1" customWidth="1" style="105" min="14859" max="14859"/>
    <col width="8.375" bestFit="1" customWidth="1" style="105" min="14860" max="14860"/>
    <col width="7.625" bestFit="1" customWidth="1" style="105" min="14861" max="14861"/>
    <col width="5.875" bestFit="1" customWidth="1" style="105" min="14862" max="14862"/>
    <col width="3.75" bestFit="1" customWidth="1" style="105" min="14863" max="14863"/>
    <col width="4.75" bestFit="1" customWidth="1" style="105" min="14864" max="14864"/>
    <col width="13.125" bestFit="1" customWidth="1" style="105" min="14865" max="14865"/>
    <col width="2.875" bestFit="1" customWidth="1" style="105" min="14866" max="14866"/>
    <col width="4.5" bestFit="1" customWidth="1" style="105" min="14867" max="14867"/>
    <col width="5.25" bestFit="1" customWidth="1" style="105" min="14868" max="14868"/>
    <col width="5.375" bestFit="1" customWidth="1" style="105" min="14869" max="14869"/>
    <col width="7.25" bestFit="1" customWidth="1" style="105" min="14870" max="14870"/>
    <col width="26" bestFit="1" customWidth="1" style="105" min="14871" max="14871"/>
    <col width="8.25" bestFit="1" customWidth="1" style="105" min="14872" max="14872"/>
    <col width="24.375" bestFit="1" customWidth="1" style="105" min="14873" max="14874"/>
    <col width="8.625" bestFit="1" customWidth="1" style="105" min="14875" max="14876"/>
    <col width="8.875" bestFit="1" customWidth="1" style="105" min="14877" max="14877"/>
    <col width="5" customWidth="1" style="105" min="14878" max="15104"/>
    <col width="9.5" bestFit="1" customWidth="1" style="105" min="15105" max="15105"/>
    <col width="7.875" bestFit="1" customWidth="1" style="105" min="15106" max="15106"/>
    <col width="4.625" bestFit="1" customWidth="1" style="105" min="15107" max="15107"/>
    <col width="5.375" bestFit="1" customWidth="1" style="105" min="15108" max="15108"/>
    <col width="6.625" bestFit="1" customWidth="1" style="105" min="15109" max="15109"/>
    <col width="2.625" bestFit="1" customWidth="1" style="105" min="15110" max="15110"/>
    <col width="4.875" bestFit="1" customWidth="1" style="105" min="15111" max="15112"/>
    <col width="4.5" bestFit="1" customWidth="1" style="105" min="15113" max="15113"/>
    <col width="4.375" bestFit="1" customWidth="1" style="105" min="15114" max="15114"/>
    <col width="2.875" bestFit="1" customWidth="1" style="105" min="15115" max="15115"/>
    <col width="8.375" bestFit="1" customWidth="1" style="105" min="15116" max="15116"/>
    <col width="7.625" bestFit="1" customWidth="1" style="105" min="15117" max="15117"/>
    <col width="5.875" bestFit="1" customWidth="1" style="105" min="15118" max="15118"/>
    <col width="3.75" bestFit="1" customWidth="1" style="105" min="15119" max="15119"/>
    <col width="4.75" bestFit="1" customWidth="1" style="105" min="15120" max="15120"/>
    <col width="13.125" bestFit="1" customWidth="1" style="105" min="15121" max="15121"/>
    <col width="2.875" bestFit="1" customWidth="1" style="105" min="15122" max="15122"/>
    <col width="4.5" bestFit="1" customWidth="1" style="105" min="15123" max="15123"/>
    <col width="5.25" bestFit="1" customWidth="1" style="105" min="15124" max="15124"/>
    <col width="5.375" bestFit="1" customWidth="1" style="105" min="15125" max="15125"/>
    <col width="7.25" bestFit="1" customWidth="1" style="105" min="15126" max="15126"/>
    <col width="26" bestFit="1" customWidth="1" style="105" min="15127" max="15127"/>
    <col width="8.25" bestFit="1" customWidth="1" style="105" min="15128" max="15128"/>
    <col width="24.375" bestFit="1" customWidth="1" style="105" min="15129" max="15130"/>
    <col width="8.625" bestFit="1" customWidth="1" style="105" min="15131" max="15132"/>
    <col width="8.875" bestFit="1" customWidth="1" style="105" min="15133" max="15133"/>
    <col width="5" customWidth="1" style="105" min="15134" max="15360"/>
    <col width="9.5" bestFit="1" customWidth="1" style="105" min="15361" max="15361"/>
    <col width="7.875" bestFit="1" customWidth="1" style="105" min="15362" max="15362"/>
    <col width="4.625" bestFit="1" customWidth="1" style="105" min="15363" max="15363"/>
    <col width="5.375" bestFit="1" customWidth="1" style="105" min="15364" max="15364"/>
    <col width="6.625" bestFit="1" customWidth="1" style="105" min="15365" max="15365"/>
    <col width="2.625" bestFit="1" customWidth="1" style="105" min="15366" max="15366"/>
    <col width="4.875" bestFit="1" customWidth="1" style="105" min="15367" max="15368"/>
    <col width="4.5" bestFit="1" customWidth="1" style="105" min="15369" max="15369"/>
    <col width="4.375" bestFit="1" customWidth="1" style="105" min="15370" max="15370"/>
    <col width="2.875" bestFit="1" customWidth="1" style="105" min="15371" max="15371"/>
    <col width="8.375" bestFit="1" customWidth="1" style="105" min="15372" max="15372"/>
    <col width="7.625" bestFit="1" customWidth="1" style="105" min="15373" max="15373"/>
    <col width="5.875" bestFit="1" customWidth="1" style="105" min="15374" max="15374"/>
    <col width="3.75" bestFit="1" customWidth="1" style="105" min="15375" max="15375"/>
    <col width="4.75" bestFit="1" customWidth="1" style="105" min="15376" max="15376"/>
    <col width="13.125" bestFit="1" customWidth="1" style="105" min="15377" max="15377"/>
    <col width="2.875" bestFit="1" customWidth="1" style="105" min="15378" max="15378"/>
    <col width="4.5" bestFit="1" customWidth="1" style="105" min="15379" max="15379"/>
    <col width="5.25" bestFit="1" customWidth="1" style="105" min="15380" max="15380"/>
    <col width="5.375" bestFit="1" customWidth="1" style="105" min="15381" max="15381"/>
    <col width="7.25" bestFit="1" customWidth="1" style="105" min="15382" max="15382"/>
    <col width="26" bestFit="1" customWidth="1" style="105" min="15383" max="15383"/>
    <col width="8.25" bestFit="1" customWidth="1" style="105" min="15384" max="15384"/>
    <col width="24.375" bestFit="1" customWidth="1" style="105" min="15385" max="15386"/>
    <col width="8.625" bestFit="1" customWidth="1" style="105" min="15387" max="15388"/>
    <col width="8.875" bestFit="1" customWidth="1" style="105" min="15389" max="15389"/>
    <col width="5" customWidth="1" style="105" min="15390" max="15616"/>
    <col width="9.5" bestFit="1" customWidth="1" style="105" min="15617" max="15617"/>
    <col width="7.875" bestFit="1" customWidth="1" style="105" min="15618" max="15618"/>
    <col width="4.625" bestFit="1" customWidth="1" style="105" min="15619" max="15619"/>
    <col width="5.375" bestFit="1" customWidth="1" style="105" min="15620" max="15620"/>
    <col width="6.625" bestFit="1" customWidth="1" style="105" min="15621" max="15621"/>
    <col width="2.625" bestFit="1" customWidth="1" style="105" min="15622" max="15622"/>
    <col width="4.875" bestFit="1" customWidth="1" style="105" min="15623" max="15624"/>
    <col width="4.5" bestFit="1" customWidth="1" style="105" min="15625" max="15625"/>
    <col width="4.375" bestFit="1" customWidth="1" style="105" min="15626" max="15626"/>
    <col width="2.875" bestFit="1" customWidth="1" style="105" min="15627" max="15627"/>
    <col width="8.375" bestFit="1" customWidth="1" style="105" min="15628" max="15628"/>
    <col width="7.625" bestFit="1" customWidth="1" style="105" min="15629" max="15629"/>
    <col width="5.875" bestFit="1" customWidth="1" style="105" min="15630" max="15630"/>
    <col width="3.75" bestFit="1" customWidth="1" style="105" min="15631" max="15631"/>
    <col width="4.75" bestFit="1" customWidth="1" style="105" min="15632" max="15632"/>
    <col width="13.125" bestFit="1" customWidth="1" style="105" min="15633" max="15633"/>
    <col width="2.875" bestFit="1" customWidth="1" style="105" min="15634" max="15634"/>
    <col width="4.5" bestFit="1" customWidth="1" style="105" min="15635" max="15635"/>
    <col width="5.25" bestFit="1" customWidth="1" style="105" min="15636" max="15636"/>
    <col width="5.375" bestFit="1" customWidth="1" style="105" min="15637" max="15637"/>
    <col width="7.25" bestFit="1" customWidth="1" style="105" min="15638" max="15638"/>
    <col width="26" bestFit="1" customWidth="1" style="105" min="15639" max="15639"/>
    <col width="8.25" bestFit="1" customWidth="1" style="105" min="15640" max="15640"/>
    <col width="24.375" bestFit="1" customWidth="1" style="105" min="15641" max="15642"/>
    <col width="8.625" bestFit="1" customWidth="1" style="105" min="15643" max="15644"/>
    <col width="8.875" bestFit="1" customWidth="1" style="105" min="15645" max="15645"/>
    <col width="5" customWidth="1" style="105" min="15646" max="15872"/>
    <col width="9.5" bestFit="1" customWidth="1" style="105" min="15873" max="15873"/>
    <col width="7.875" bestFit="1" customWidth="1" style="105" min="15874" max="15874"/>
    <col width="4.625" bestFit="1" customWidth="1" style="105" min="15875" max="15875"/>
    <col width="5.375" bestFit="1" customWidth="1" style="105" min="15876" max="15876"/>
    <col width="6.625" bestFit="1" customWidth="1" style="105" min="15877" max="15877"/>
    <col width="2.625" bestFit="1" customWidth="1" style="105" min="15878" max="15878"/>
    <col width="4.875" bestFit="1" customWidth="1" style="105" min="15879" max="15880"/>
    <col width="4.5" bestFit="1" customWidth="1" style="105" min="15881" max="15881"/>
    <col width="4.375" bestFit="1" customWidth="1" style="105" min="15882" max="15882"/>
    <col width="2.875" bestFit="1" customWidth="1" style="105" min="15883" max="15883"/>
    <col width="8.375" bestFit="1" customWidth="1" style="105" min="15884" max="15884"/>
    <col width="7.625" bestFit="1" customWidth="1" style="105" min="15885" max="15885"/>
    <col width="5.875" bestFit="1" customWidth="1" style="105" min="15886" max="15886"/>
    <col width="3.75" bestFit="1" customWidth="1" style="105" min="15887" max="15887"/>
    <col width="4.75" bestFit="1" customWidth="1" style="105" min="15888" max="15888"/>
    <col width="13.125" bestFit="1" customWidth="1" style="105" min="15889" max="15889"/>
    <col width="2.875" bestFit="1" customWidth="1" style="105" min="15890" max="15890"/>
    <col width="4.5" bestFit="1" customWidth="1" style="105" min="15891" max="15891"/>
    <col width="5.25" bestFit="1" customWidth="1" style="105" min="15892" max="15892"/>
    <col width="5.375" bestFit="1" customWidth="1" style="105" min="15893" max="15893"/>
    <col width="7.25" bestFit="1" customWidth="1" style="105" min="15894" max="15894"/>
    <col width="26" bestFit="1" customWidth="1" style="105" min="15895" max="15895"/>
    <col width="8.25" bestFit="1" customWidth="1" style="105" min="15896" max="15896"/>
    <col width="24.375" bestFit="1" customWidth="1" style="105" min="15897" max="15898"/>
    <col width="8.625" bestFit="1" customWidth="1" style="105" min="15899" max="15900"/>
    <col width="8.875" bestFit="1" customWidth="1" style="105" min="15901" max="15901"/>
    <col width="5" customWidth="1" style="105" min="15902" max="16128"/>
    <col width="9.5" bestFit="1" customWidth="1" style="105" min="16129" max="16129"/>
    <col width="7.875" bestFit="1" customWidth="1" style="105" min="16130" max="16130"/>
    <col width="4.625" bestFit="1" customWidth="1" style="105" min="16131" max="16131"/>
    <col width="5.375" bestFit="1" customWidth="1" style="105" min="16132" max="16132"/>
    <col width="6.625" bestFit="1" customWidth="1" style="105" min="16133" max="16133"/>
    <col width="2.625" bestFit="1" customWidth="1" style="105" min="16134" max="16134"/>
    <col width="4.875" bestFit="1" customWidth="1" style="105" min="16135" max="16136"/>
    <col width="4.5" bestFit="1" customWidth="1" style="105" min="16137" max="16137"/>
    <col width="4.375" bestFit="1" customWidth="1" style="105" min="16138" max="16138"/>
    <col width="2.875" bestFit="1" customWidth="1" style="105" min="16139" max="16139"/>
    <col width="8.375" bestFit="1" customWidth="1" style="105" min="16140" max="16140"/>
    <col width="7.625" bestFit="1" customWidth="1" style="105" min="16141" max="16141"/>
    <col width="5.875" bestFit="1" customWidth="1" style="105" min="16142" max="16142"/>
    <col width="3.75" bestFit="1" customWidth="1" style="105" min="16143" max="16143"/>
    <col width="4.75" bestFit="1" customWidth="1" style="105" min="16144" max="16144"/>
    <col width="13.125" bestFit="1" customWidth="1" style="105" min="16145" max="16145"/>
    <col width="2.875" bestFit="1" customWidth="1" style="105" min="16146" max="16146"/>
    <col width="4.5" bestFit="1" customWidth="1" style="105" min="16147" max="16147"/>
    <col width="5.25" bestFit="1" customWidth="1" style="105" min="16148" max="16148"/>
    <col width="5.375" bestFit="1" customWidth="1" style="105" min="16149" max="16149"/>
    <col width="7.25" bestFit="1" customWidth="1" style="105" min="16150" max="16150"/>
    <col width="26" bestFit="1" customWidth="1" style="105" min="16151" max="16151"/>
    <col width="8.25" bestFit="1" customWidth="1" style="105" min="16152" max="16152"/>
    <col width="24.375" bestFit="1" customWidth="1" style="105" min="16153" max="16154"/>
    <col width="8.625" bestFit="1" customWidth="1" style="105" min="16155" max="16156"/>
    <col width="8.875" bestFit="1" customWidth="1" style="105" min="16157" max="16157"/>
    <col width="5" customWidth="1" style="105" min="16158" max="16384"/>
  </cols>
  <sheetData>
    <row r="1" ht="14.25" customHeight="1">
      <c r="A1" s="121" t="inlineStr">
        <is>
          <t>Container No.</t>
        </is>
      </c>
      <c r="B1" s="121" t="inlineStr">
        <is>
          <t>EQ Date</t>
        </is>
      </c>
      <c r="C1" s="121" t="inlineStr">
        <is>
          <t>Vessel</t>
        </is>
      </c>
      <c r="D1" s="121" t="inlineStr">
        <is>
          <t>Voyage</t>
        </is>
      </c>
      <c r="E1" s="121" t="inlineStr">
        <is>
          <t>Type Size</t>
        </is>
      </c>
      <c r="F1" s="121" t="inlineStr">
        <is>
          <t>CD</t>
        </is>
      </c>
      <c r="G1" s="121" t="inlineStr">
        <is>
          <t>R.C.V</t>
        </is>
      </c>
      <c r="H1" s="121" t="inlineStr">
        <is>
          <t>P.O.L</t>
        </is>
      </c>
      <c r="I1" s="121" t="inlineStr">
        <is>
          <t>P.O.D</t>
        </is>
      </c>
      <c r="J1" s="121" t="inlineStr">
        <is>
          <t>D.L.V</t>
        </is>
      </c>
      <c r="K1" s="121" t="inlineStr">
        <is>
          <t>F/E</t>
        </is>
      </c>
      <c r="L1" s="121" t="inlineStr">
        <is>
          <t>LEASE_TYPE</t>
        </is>
      </c>
      <c r="M1" s="121" t="inlineStr">
        <is>
          <t>Move Code</t>
        </is>
      </c>
      <c r="N1" s="121" t="inlineStr">
        <is>
          <t>Location</t>
        </is>
      </c>
      <c r="O1" s="121" t="inlineStr">
        <is>
          <t>Area</t>
        </is>
      </c>
      <c r="P1" s="121" t="inlineStr">
        <is>
          <t>Nation</t>
        </is>
      </c>
      <c r="Q1" s="121" t="inlineStr">
        <is>
          <t>Booking No.</t>
        </is>
      </c>
      <c r="R1" s="121" t="inlineStr">
        <is>
          <t>T/S</t>
        </is>
      </c>
      <c r="S1" s="121" t="inlineStr">
        <is>
          <t>S.O.C</t>
        </is>
      </c>
      <c r="T1" s="121" t="inlineStr">
        <is>
          <t>Service</t>
        </is>
      </c>
      <c r="U1" s="121" t="inlineStr">
        <is>
          <t>Remark</t>
        </is>
      </c>
      <c r="V1" s="121" t="inlineStr">
        <is>
          <t>Auth. No.</t>
        </is>
      </c>
      <c r="W1" s="121" t="inlineStr">
        <is>
          <t>Shipper</t>
        </is>
      </c>
      <c r="X1" s="121" t="inlineStr">
        <is>
          <t>PreVSLMove</t>
        </is>
      </c>
      <c r="Y1" s="121" t="inlineStr">
        <is>
          <t>Consignee</t>
        </is>
      </c>
      <c r="Z1" s="121" t="inlineStr">
        <is>
          <t>Notify</t>
        </is>
      </c>
      <c r="AA1" s="121" t="inlineStr">
        <is>
          <t>CNTR WGT.</t>
        </is>
      </c>
      <c r="AB1" s="121" t="inlineStr">
        <is>
          <t>L-Wharf(B/L)</t>
        </is>
      </c>
      <c r="AC1" s="121" t="inlineStr">
        <is>
          <t>D-Wharf(B/L)</t>
        </is>
      </c>
    </row>
    <row r="2">
      <c r="A2" s="122" t="inlineStr">
        <is>
          <t>BEAU2480647</t>
        </is>
      </c>
      <c r="B2" s="122" t="inlineStr">
        <is>
          <t>2026-10-12</t>
        </is>
      </c>
      <c r="C2" s="122" t="inlineStr">
        <is>
          <t>SWAT</t>
        </is>
      </c>
      <c r="D2" s="122" t="inlineStr">
        <is>
          <t>2610N</t>
        </is>
      </c>
      <c r="E2" s="122" t="inlineStr">
        <is>
          <t>22GP</t>
        </is>
      </c>
      <c r="F2" s="122" t="inlineStr">
        <is>
          <t>SD</t>
        </is>
      </c>
      <c r="G2" s="122" t="inlineStr">
        <is>
          <t>THLCH</t>
        </is>
      </c>
      <c r="H2" s="122" t="inlineStr">
        <is>
          <t>THLCH</t>
        </is>
      </c>
      <c r="I2" s="122" t="inlineStr">
        <is>
          <t>KRPUS</t>
        </is>
      </c>
      <c r="J2" s="122" t="inlineStr">
        <is>
          <t>JPTOS</t>
        </is>
      </c>
      <c r="K2" s="122" t="inlineStr">
        <is>
          <t>F</t>
        </is>
      </c>
      <c r="L2" s="122" t="inlineStr">
        <is>
          <t>L/T</t>
        </is>
      </c>
      <c r="M2" s="122" t="inlineStr">
        <is>
          <t>VFL</t>
        </is>
      </c>
      <c r="N2" s="122" t="inlineStr">
        <is>
          <t>LCH04</t>
        </is>
      </c>
      <c r="O2" s="122" t="inlineStr">
        <is>
          <t>LCH</t>
        </is>
      </c>
      <c r="P2" s="122" t="inlineStr">
        <is>
          <t>TH</t>
        </is>
      </c>
      <c r="Q2" s="122" t="inlineStr">
        <is>
          <t>HASLS22260902438</t>
        </is>
      </c>
      <c r="R2" s="122" t="inlineStr">
        <is>
          <t>Y</t>
        </is>
      </c>
      <c r="S2" s="122" t="inlineStr">
        <is>
          <t>N</t>
        </is>
      </c>
      <c r="T2" s="122" t="inlineStr">
        <is>
          <t>KTS</t>
        </is>
      </c>
      <c r="V2" s="122" t="inlineStr">
        <is>
          <t>SHA16L07</t>
        </is>
      </c>
      <c r="W2" s="122" t="inlineStr">
        <is>
          <t>DELTA DAIKI METAL (THAILAND)</t>
        </is>
      </c>
      <c r="X2" s="122" t="inlineStr">
        <is>
          <t>VED</t>
        </is>
      </c>
      <c r="Y2" s="122" t="inlineStr">
        <is>
          <t>DAIKI ALUMINIUM INDUSTRY</t>
        </is>
      </c>
      <c r="Z2" s="122" t="inlineStr">
        <is>
          <t>DAIKI ALUMINIUM INDUSTRY</t>
        </is>
      </c>
      <c r="AA2" s="122" t="n">
        <v>25278.5</v>
      </c>
      <c r="AB2" s="122" t="inlineStr">
        <is>
          <t>LCH04</t>
        </is>
      </c>
      <c r="AC2" s="122" t="inlineStr">
        <is>
          <t>TOS01</t>
        </is>
      </c>
    </row>
    <row r="3">
      <c r="A3" s="122" t="inlineStr">
        <is>
          <t>BEAU2513118</t>
        </is>
      </c>
      <c r="B3" s="122" t="inlineStr">
        <is>
          <t>2026-10-12</t>
        </is>
      </c>
      <c r="C3" s="122" t="inlineStr">
        <is>
          <t>SWAT</t>
        </is>
      </c>
      <c r="D3" s="122" t="inlineStr">
        <is>
          <t>2610N</t>
        </is>
      </c>
      <c r="E3" s="122" t="inlineStr">
        <is>
          <t>22GP</t>
        </is>
      </c>
      <c r="F3" s="122" t="inlineStr">
        <is>
          <t>SD</t>
        </is>
      </c>
      <c r="G3" s="122" t="inlineStr">
        <is>
          <t>THLCH</t>
        </is>
      </c>
      <c r="H3" s="122" t="inlineStr">
        <is>
          <t>THLCH</t>
        </is>
      </c>
      <c r="I3" s="122" t="inlineStr">
        <is>
          <t>KRPUS</t>
        </is>
      </c>
      <c r="J3" s="122" t="inlineStr">
        <is>
          <t>JPTOS</t>
        </is>
      </c>
      <c r="K3" s="122" t="inlineStr">
        <is>
          <t>F</t>
        </is>
      </c>
      <c r="L3" s="122" t="inlineStr">
        <is>
          <t>L/T</t>
        </is>
      </c>
      <c r="M3" s="122" t="inlineStr">
        <is>
          <t>VFL</t>
        </is>
      </c>
      <c r="N3" s="122" t="inlineStr">
        <is>
          <t>LCH04</t>
        </is>
      </c>
      <c r="O3" s="122" t="inlineStr">
        <is>
          <t>LCH</t>
        </is>
      </c>
      <c r="P3" s="122" t="inlineStr">
        <is>
          <t>TH</t>
        </is>
      </c>
      <c r="Q3" s="122" t="inlineStr">
        <is>
          <t>HASLS22260902438</t>
        </is>
      </c>
      <c r="R3" s="122" t="inlineStr">
        <is>
          <t>Y</t>
        </is>
      </c>
      <c r="S3" s="122" t="inlineStr">
        <is>
          <t>N</t>
        </is>
      </c>
      <c r="T3" s="122" t="inlineStr">
        <is>
          <t>KTS</t>
        </is>
      </c>
      <c r="V3" s="122" t="inlineStr">
        <is>
          <t>TAO16L04</t>
        </is>
      </c>
      <c r="W3" s="122" t="inlineStr">
        <is>
          <t>DELTA DAIKI METAL (THAILAND)</t>
        </is>
      </c>
      <c r="X3" s="122" t="inlineStr">
        <is>
          <t>VED</t>
        </is>
      </c>
      <c r="Y3" s="122" t="inlineStr">
        <is>
          <t>DAIKI ALUMINIUM INDUSTRY</t>
        </is>
      </c>
      <c r="Z3" s="122" t="inlineStr">
        <is>
          <t>DAIKI ALUMINIUM INDUSTRY</t>
        </is>
      </c>
      <c r="AA3" s="122" t="n">
        <v>24659.5</v>
      </c>
      <c r="AB3" s="122" t="inlineStr">
        <is>
          <t>LCH04</t>
        </is>
      </c>
      <c r="AC3" s="122" t="inlineStr">
        <is>
          <t>TOS01</t>
        </is>
      </c>
    </row>
    <row r="4">
      <c r="A4" s="122" t="inlineStr">
        <is>
          <t>BMOU2948199</t>
        </is>
      </c>
      <c r="B4" s="122" t="inlineStr">
        <is>
          <t>2026-10-12</t>
        </is>
      </c>
      <c r="C4" s="122" t="inlineStr">
        <is>
          <t>SWAT</t>
        </is>
      </c>
      <c r="D4" s="122" t="inlineStr">
        <is>
          <t>2610N</t>
        </is>
      </c>
      <c r="E4" s="122" t="inlineStr">
        <is>
          <t>22GP</t>
        </is>
      </c>
      <c r="F4" s="122" t="inlineStr">
        <is>
          <t>SD</t>
        </is>
      </c>
      <c r="G4" s="122" t="inlineStr">
        <is>
          <t>THLCH</t>
        </is>
      </c>
      <c r="H4" s="122" t="inlineStr">
        <is>
          <t>THLCH</t>
        </is>
      </c>
      <c r="I4" s="122" t="inlineStr">
        <is>
          <t>KRPUS</t>
        </is>
      </c>
      <c r="J4" s="122" t="inlineStr">
        <is>
          <t>JPTOS</t>
        </is>
      </c>
      <c r="K4" s="122" t="inlineStr">
        <is>
          <t>F</t>
        </is>
      </c>
      <c r="L4" s="122" t="inlineStr">
        <is>
          <t>ONE</t>
        </is>
      </c>
      <c r="M4" s="122" t="inlineStr">
        <is>
          <t>VFL</t>
        </is>
      </c>
      <c r="N4" s="122" t="inlineStr">
        <is>
          <t>LCH04</t>
        </is>
      </c>
      <c r="O4" s="122" t="inlineStr">
        <is>
          <t>LCH</t>
        </is>
      </c>
      <c r="P4" s="122" t="inlineStr">
        <is>
          <t>TH</t>
        </is>
      </c>
      <c r="Q4" s="122" t="inlineStr">
        <is>
          <t>HASLS22260902438</t>
        </is>
      </c>
      <c r="R4" s="122" t="inlineStr">
        <is>
          <t>Y</t>
        </is>
      </c>
      <c r="S4" s="122" t="inlineStr">
        <is>
          <t>N</t>
        </is>
      </c>
      <c r="T4" s="122" t="inlineStr">
        <is>
          <t>KTS</t>
        </is>
      </c>
      <c r="V4" s="122" t="inlineStr">
        <is>
          <t>K0120021</t>
        </is>
      </c>
      <c r="W4" s="122" t="inlineStr">
        <is>
          <t>DELTA DAIKI METAL (THAILAND)</t>
        </is>
      </c>
      <c r="X4" s="122" t="inlineStr">
        <is>
          <t>VFD</t>
        </is>
      </c>
      <c r="Y4" s="122" t="inlineStr">
        <is>
          <t>DAIKI ALUMINIUM INDUSTRY</t>
        </is>
      </c>
      <c r="Z4" s="122" t="inlineStr">
        <is>
          <t>DAIKI ALUMINIUM INDUSTRY</t>
        </is>
      </c>
      <c r="AA4" s="122" t="n">
        <v>25260</v>
      </c>
      <c r="AB4" s="122" t="inlineStr">
        <is>
          <t>LCH04</t>
        </is>
      </c>
      <c r="AC4" s="122" t="inlineStr">
        <is>
          <t>TOS01</t>
        </is>
      </c>
    </row>
    <row r="5">
      <c r="A5" s="122" t="inlineStr">
        <is>
          <t>GLDU5657410</t>
        </is>
      </c>
      <c r="B5" s="122" t="inlineStr">
        <is>
          <t>2026-10-12</t>
        </is>
      </c>
      <c r="C5" s="122" t="inlineStr">
        <is>
          <t>SWAT</t>
        </is>
      </c>
      <c r="D5" s="122" t="inlineStr">
        <is>
          <t>2610N</t>
        </is>
      </c>
      <c r="E5" s="122" t="inlineStr">
        <is>
          <t>22GP</t>
        </is>
      </c>
      <c r="F5" s="122" t="inlineStr">
        <is>
          <t>SD</t>
        </is>
      </c>
      <c r="G5" s="122" t="inlineStr">
        <is>
          <t>THLCH</t>
        </is>
      </c>
      <c r="H5" s="122" t="inlineStr">
        <is>
          <t>THLCH</t>
        </is>
      </c>
      <c r="I5" s="122" t="inlineStr">
        <is>
          <t>HKHKG</t>
        </is>
      </c>
      <c r="J5" s="122" t="inlineStr">
        <is>
          <t>CNNAH</t>
        </is>
      </c>
      <c r="K5" s="122" t="inlineStr">
        <is>
          <t>F</t>
        </is>
      </c>
      <c r="L5" s="122" t="inlineStr">
        <is>
          <t>ONE</t>
        </is>
      </c>
      <c r="M5" s="122" t="inlineStr">
        <is>
          <t>VFL</t>
        </is>
      </c>
      <c r="N5" s="122" t="inlineStr">
        <is>
          <t>LCH04</t>
        </is>
      </c>
      <c r="O5" s="122" t="inlineStr">
        <is>
          <t>LCH</t>
        </is>
      </c>
      <c r="P5" s="122" t="inlineStr">
        <is>
          <t>TH</t>
        </is>
      </c>
      <c r="Q5" s="122" t="inlineStr">
        <is>
          <t>HASLS22261000190</t>
        </is>
      </c>
      <c r="R5" s="122" t="inlineStr">
        <is>
          <t>N</t>
        </is>
      </c>
      <c r="S5" s="122" t="inlineStr">
        <is>
          <t>N</t>
        </is>
      </c>
      <c r="T5" s="122" t="inlineStr">
        <is>
          <t>KTS</t>
        </is>
      </c>
      <c r="V5" s="122" t="inlineStr">
        <is>
          <t>K0119033</t>
        </is>
      </c>
      <c r="W5" s="122" t="inlineStr">
        <is>
          <t>HANWEI TRADING CO.,LTD.</t>
        </is>
      </c>
      <c r="X5" s="122" t="inlineStr">
        <is>
          <t>VED</t>
        </is>
      </c>
      <c r="Y5" s="122" t="inlineStr">
        <is>
          <t>QINGYUAN MINGDA METAL CO.,LTD.</t>
        </is>
      </c>
      <c r="Z5" s="122" t="inlineStr">
        <is>
          <t>HOP CHUNG METAL CO., LIMITED</t>
        </is>
      </c>
      <c r="AA5" s="122" t="n">
        <v>25000</v>
      </c>
      <c r="AB5" s="122" t="inlineStr">
        <is>
          <t>LCH04</t>
        </is>
      </c>
      <c r="AC5" s="122" t="inlineStr">
        <is>
          <t>HKG03</t>
        </is>
      </c>
    </row>
    <row r="6">
      <c r="A6" s="122" t="inlineStr">
        <is>
          <t>HLHU8405871</t>
        </is>
      </c>
      <c r="B6" s="122" t="inlineStr">
        <is>
          <t>2026-10-12</t>
        </is>
      </c>
      <c r="C6" s="122" t="inlineStr">
        <is>
          <t>SWAT</t>
        </is>
      </c>
      <c r="D6" s="122" t="inlineStr">
        <is>
          <t>2610N</t>
        </is>
      </c>
      <c r="E6" s="122" t="inlineStr">
        <is>
          <t>45GP</t>
        </is>
      </c>
      <c r="F6" s="122" t="inlineStr">
        <is>
          <t>SD</t>
        </is>
      </c>
      <c r="G6" s="122" t="inlineStr">
        <is>
          <t>THLCH</t>
        </is>
      </c>
      <c r="H6" s="122" t="inlineStr">
        <is>
          <t>THLCH</t>
        </is>
      </c>
      <c r="I6" s="122" t="inlineStr">
        <is>
          <t>KRPUS</t>
        </is>
      </c>
      <c r="J6" s="122" t="inlineStr">
        <is>
          <t>JPTAK</t>
        </is>
      </c>
      <c r="K6" s="122" t="inlineStr">
        <is>
          <t>F</t>
        </is>
      </c>
      <c r="L6" s="122" t="inlineStr">
        <is>
          <t>OWN</t>
        </is>
      </c>
      <c r="M6" s="122" t="inlineStr">
        <is>
          <t>VFL</t>
        </is>
      </c>
      <c r="N6" s="122" t="inlineStr">
        <is>
          <t>LCH04</t>
        </is>
      </c>
      <c r="O6" s="122" t="inlineStr">
        <is>
          <t>LCH</t>
        </is>
      </c>
      <c r="P6" s="122" t="inlineStr">
        <is>
          <t>TH</t>
        </is>
      </c>
      <c r="Q6" s="122" t="inlineStr">
        <is>
          <t>HASLS22260900756</t>
        </is>
      </c>
      <c r="R6" s="122" t="inlineStr">
        <is>
          <t>Y</t>
        </is>
      </c>
      <c r="S6" s="122" t="inlineStr">
        <is>
          <t>N</t>
        </is>
      </c>
      <c r="T6" s="122" t="inlineStr">
        <is>
          <t>KTS</t>
        </is>
      </c>
      <c r="V6" s="122" t="inlineStr">
        <is>
          <t>C0124001</t>
        </is>
      </c>
      <c r="W6" s="122" t="inlineStr">
        <is>
          <t>SIAM POLYETHYLENE CO., LTD.</t>
        </is>
      </c>
      <c r="X6" s="122" t="inlineStr">
        <is>
          <t>VFD</t>
        </is>
      </c>
      <c r="Y6" s="122" t="inlineStr">
        <is>
          <t>TOYOTSU CHEMIPLAS CORPORATION</t>
        </is>
      </c>
      <c r="Z6" s="122" t="inlineStr">
        <is>
          <t>TOYOTSU LOGISTICS SERVICE CO., LTD.</t>
        </is>
      </c>
      <c r="AA6" s="122" t="n">
        <v>25933.5</v>
      </c>
      <c r="AB6" s="122" t="inlineStr">
        <is>
          <t>LCH04</t>
        </is>
      </c>
      <c r="AC6" s="122" t="inlineStr">
        <is>
          <t>TAK01</t>
        </is>
      </c>
    </row>
    <row r="7">
      <c r="A7" s="122" t="inlineStr">
        <is>
          <t>HLHU8491951</t>
        </is>
      </c>
      <c r="B7" s="122" t="inlineStr">
        <is>
          <t>2026-10-12</t>
        </is>
      </c>
      <c r="C7" s="122" t="inlineStr">
        <is>
          <t>SWAT</t>
        </is>
      </c>
      <c r="D7" s="122" t="inlineStr">
        <is>
          <t>2610N</t>
        </is>
      </c>
      <c r="E7" s="122" t="inlineStr">
        <is>
          <t>45GP</t>
        </is>
      </c>
      <c r="F7" s="122" t="inlineStr">
        <is>
          <t>SD</t>
        </is>
      </c>
      <c r="G7" s="122" t="inlineStr">
        <is>
          <t>THLCH</t>
        </is>
      </c>
      <c r="H7" s="122" t="inlineStr">
        <is>
          <t>THLCH</t>
        </is>
      </c>
      <c r="I7" s="122" t="inlineStr">
        <is>
          <t>KRPUS</t>
        </is>
      </c>
      <c r="J7" s="122" t="inlineStr">
        <is>
          <t>JPTAK</t>
        </is>
      </c>
      <c r="K7" s="122" t="inlineStr">
        <is>
          <t>F</t>
        </is>
      </c>
      <c r="L7" s="122" t="inlineStr">
        <is>
          <t>OWN</t>
        </is>
      </c>
      <c r="M7" s="122" t="inlineStr">
        <is>
          <t>VFL</t>
        </is>
      </c>
      <c r="N7" s="122" t="inlineStr">
        <is>
          <t>LCH04</t>
        </is>
      </c>
      <c r="O7" s="122" t="inlineStr">
        <is>
          <t>LCH</t>
        </is>
      </c>
      <c r="P7" s="122" t="inlineStr">
        <is>
          <t>TH</t>
        </is>
      </c>
      <c r="Q7" s="122" t="inlineStr">
        <is>
          <t>HASLS22260900756</t>
        </is>
      </c>
      <c r="R7" s="122" t="inlineStr">
        <is>
          <t>Y</t>
        </is>
      </c>
      <c r="S7" s="122" t="inlineStr">
        <is>
          <t>N</t>
        </is>
      </c>
      <c r="T7" s="122" t="inlineStr">
        <is>
          <t>KTS</t>
        </is>
      </c>
      <c r="V7" s="122" t="inlineStr">
        <is>
          <t>C0524001</t>
        </is>
      </c>
      <c r="W7" s="122" t="inlineStr">
        <is>
          <t>SIAM POLYETHYLENE CO., LTD.</t>
        </is>
      </c>
      <c r="X7" s="122" t="inlineStr">
        <is>
          <t>VFD</t>
        </is>
      </c>
      <c r="Y7" s="122" t="inlineStr">
        <is>
          <t>TOYOTSU CHEMIPLAS CORPORATION</t>
        </is>
      </c>
      <c r="Z7" s="122" t="inlineStr">
        <is>
          <t>TOYOTSU LOGISTICS SERVICE CO., LTD.</t>
        </is>
      </c>
      <c r="AA7" s="122" t="n">
        <v>25933.5</v>
      </c>
      <c r="AB7" s="122" t="inlineStr">
        <is>
          <t>LCH04</t>
        </is>
      </c>
      <c r="AC7" s="122" t="inlineStr">
        <is>
          <t>TAK01</t>
        </is>
      </c>
    </row>
    <row r="8">
      <c r="A8" s="122" t="inlineStr">
        <is>
          <t>KMLU2800320</t>
        </is>
      </c>
      <c r="B8" s="122" t="inlineStr">
        <is>
          <t>2026-10-12</t>
        </is>
      </c>
      <c r="C8" s="122" t="inlineStr">
        <is>
          <t>SWAT</t>
        </is>
      </c>
      <c r="D8" s="122" t="inlineStr">
        <is>
          <t>2610N</t>
        </is>
      </c>
      <c r="E8" s="122" t="inlineStr">
        <is>
          <t>22GP</t>
        </is>
      </c>
      <c r="F8" s="122" t="inlineStr">
        <is>
          <t>SD</t>
        </is>
      </c>
      <c r="G8" s="122" t="inlineStr">
        <is>
          <t>THLCH</t>
        </is>
      </c>
      <c r="H8" s="122" t="inlineStr">
        <is>
          <t>THLCH</t>
        </is>
      </c>
      <c r="I8" s="122" t="inlineStr">
        <is>
          <t>TWKEL</t>
        </is>
      </c>
      <c r="J8" s="122" t="inlineStr">
        <is>
          <t>TWKEL</t>
        </is>
      </c>
      <c r="K8" s="122" t="inlineStr">
        <is>
          <t>F</t>
        </is>
      </c>
      <c r="L8" s="122" t="inlineStr">
        <is>
          <t>ONE</t>
        </is>
      </c>
      <c r="M8" s="122" t="inlineStr">
        <is>
          <t>VFL</t>
        </is>
      </c>
      <c r="N8" s="122" t="inlineStr">
        <is>
          <t>LCH04</t>
        </is>
      </c>
      <c r="O8" s="122" t="inlineStr">
        <is>
          <t>LCH</t>
        </is>
      </c>
      <c r="P8" s="122" t="inlineStr">
        <is>
          <t>TH</t>
        </is>
      </c>
      <c r="Q8" s="122" t="inlineStr">
        <is>
          <t>HASLS22260901340</t>
        </is>
      </c>
      <c r="R8" s="122" t="inlineStr">
        <is>
          <t>N</t>
        </is>
      </c>
      <c r="S8" s="122" t="inlineStr">
        <is>
          <t>N</t>
        </is>
      </c>
      <c r="T8" s="122" t="inlineStr">
        <is>
          <t>KTS</t>
        </is>
      </c>
      <c r="V8" s="122" t="inlineStr">
        <is>
          <t>K0120021</t>
        </is>
      </c>
      <c r="W8" s="122" t="inlineStr">
        <is>
          <t>ORIENTAL COPPER CO., LTD.</t>
        </is>
      </c>
      <c r="X8" s="122" t="inlineStr">
        <is>
          <t>VED</t>
        </is>
      </c>
      <c r="Y8" s="122" t="inlineStr">
        <is>
          <t>WITTY MATE CORPORATION</t>
        </is>
      </c>
      <c r="Z8" s="122" t="inlineStr">
        <is>
          <t>WITTY MATE CORPORATION</t>
        </is>
      </c>
      <c r="AA8" s="122" t="n">
        <v>18091.5</v>
      </c>
      <c r="AB8" s="122" t="inlineStr">
        <is>
          <t>LCH04</t>
        </is>
      </c>
      <c r="AC8" s="122" t="inlineStr">
        <is>
          <t>KEL02</t>
        </is>
      </c>
    </row>
    <row r="9">
      <c r="A9" s="122" t="inlineStr">
        <is>
          <t>SKHU8917094</t>
        </is>
      </c>
      <c r="B9" s="122" t="inlineStr">
        <is>
          <t>2026-10-12</t>
        </is>
      </c>
      <c r="C9" s="122" t="inlineStr">
        <is>
          <t>SWAT</t>
        </is>
      </c>
      <c r="D9" s="122" t="inlineStr">
        <is>
          <t>2610N</t>
        </is>
      </c>
      <c r="E9" s="122" t="inlineStr">
        <is>
          <t>45GP</t>
        </is>
      </c>
      <c r="F9" s="122" t="inlineStr">
        <is>
          <t>SD</t>
        </is>
      </c>
      <c r="G9" s="122" t="inlineStr">
        <is>
          <t>THLCH</t>
        </is>
      </c>
      <c r="H9" s="122" t="inlineStr">
        <is>
          <t>THLCH</t>
        </is>
      </c>
      <c r="I9" s="122" t="inlineStr">
        <is>
          <t>TWKEL</t>
        </is>
      </c>
      <c r="J9" s="122" t="inlineStr">
        <is>
          <t>TWKEL</t>
        </is>
      </c>
      <c r="K9" s="122" t="inlineStr">
        <is>
          <t>F</t>
        </is>
      </c>
      <c r="L9" s="122" t="inlineStr">
        <is>
          <t>ONE</t>
        </is>
      </c>
      <c r="M9" s="122" t="inlineStr">
        <is>
          <t>VFL</t>
        </is>
      </c>
      <c r="N9" s="122" t="inlineStr">
        <is>
          <t>LCH04</t>
        </is>
      </c>
      <c r="O9" s="122" t="inlineStr">
        <is>
          <t>LCH</t>
        </is>
      </c>
      <c r="P9" s="122" t="inlineStr">
        <is>
          <t>TH</t>
        </is>
      </c>
      <c r="Q9" s="122" t="inlineStr">
        <is>
          <t>HASLS22260901169</t>
        </is>
      </c>
      <c r="R9" s="122" t="inlineStr">
        <is>
          <t>N</t>
        </is>
      </c>
      <c r="S9" s="122" t="inlineStr">
        <is>
          <t>N</t>
        </is>
      </c>
      <c r="T9" s="122" t="inlineStr">
        <is>
          <t>KTS</t>
        </is>
      </c>
      <c r="V9" s="122" t="inlineStr">
        <is>
          <t>K0120023</t>
        </is>
      </c>
      <c r="W9" s="122" t="inlineStr">
        <is>
          <t>KURARAY GC ADVANCED MATERIALS</t>
        </is>
      </c>
      <c r="X9" s="122" t="inlineStr">
        <is>
          <t>VFD</t>
        </is>
      </c>
      <c r="Y9" s="122" t="inlineStr">
        <is>
          <t>TO THE ORDER OF CHANG HWA</t>
        </is>
      </c>
      <c r="Z9" s="122" t="inlineStr">
        <is>
          <t>HO TAI INDUSTRIAL CO., LTD.</t>
        </is>
      </c>
      <c r="AA9" s="122" t="n">
        <v>15039.36</v>
      </c>
      <c r="AB9" s="122" t="inlineStr">
        <is>
          <t>LCH04</t>
        </is>
      </c>
      <c r="AC9" s="122" t="inlineStr">
        <is>
          <t>KEL02</t>
        </is>
      </c>
    </row>
    <row r="10">
      <c r="A10" s="122" t="inlineStr">
        <is>
          <t>SKHU9416651</t>
        </is>
      </c>
      <c r="B10" s="122" t="inlineStr">
        <is>
          <t>2026-10-12</t>
        </is>
      </c>
      <c r="C10" s="122" t="inlineStr">
        <is>
          <t>SWAT</t>
        </is>
      </c>
      <c r="D10" s="122" t="inlineStr">
        <is>
          <t>2610N</t>
        </is>
      </c>
      <c r="E10" s="122" t="inlineStr">
        <is>
          <t>45GP</t>
        </is>
      </c>
      <c r="F10" s="122" t="inlineStr">
        <is>
          <t>SD</t>
        </is>
      </c>
      <c r="G10" s="122" t="inlineStr">
        <is>
          <t>THLCH</t>
        </is>
      </c>
      <c r="H10" s="122" t="inlineStr">
        <is>
          <t>THLCH</t>
        </is>
      </c>
      <c r="I10" s="122" t="inlineStr">
        <is>
          <t>TWKEL</t>
        </is>
      </c>
      <c r="J10" s="122" t="inlineStr">
        <is>
          <t>TWKEL</t>
        </is>
      </c>
      <c r="K10" s="122" t="inlineStr">
        <is>
          <t>F</t>
        </is>
      </c>
      <c r="L10" s="122" t="inlineStr">
        <is>
          <t>ONE</t>
        </is>
      </c>
      <c r="M10" s="122" t="inlineStr">
        <is>
          <t>VFL</t>
        </is>
      </c>
      <c r="N10" s="122" t="inlineStr">
        <is>
          <t>LCH04</t>
        </is>
      </c>
      <c r="O10" s="122" t="inlineStr">
        <is>
          <t>LCH</t>
        </is>
      </c>
      <c r="P10" s="122" t="inlineStr">
        <is>
          <t>TH</t>
        </is>
      </c>
      <c r="Q10" s="122" t="inlineStr">
        <is>
          <t>HASLS22260900220</t>
        </is>
      </c>
      <c r="R10" s="122" t="inlineStr">
        <is>
          <t>N</t>
        </is>
      </c>
      <c r="S10" s="122" t="inlineStr">
        <is>
          <t>N</t>
        </is>
      </c>
      <c r="T10" s="122" t="inlineStr">
        <is>
          <t>KTS</t>
        </is>
      </c>
      <c r="V10" s="122" t="inlineStr">
        <is>
          <t>K0120023</t>
        </is>
      </c>
      <c r="W10" s="122" t="inlineStr">
        <is>
          <t>BDP ASIA-PACIFIC LTD</t>
        </is>
      </c>
      <c r="X10" s="122" t="inlineStr">
        <is>
          <t>VFD</t>
        </is>
      </c>
      <c r="Y10" s="122" t="inlineStr">
        <is>
          <t>BDP ASIA PACIFIC PTE LTD,</t>
        </is>
      </c>
      <c r="Z10" s="122" t="inlineStr">
        <is>
          <t>BDP ASIA PACIFIC PTE LTD,</t>
        </is>
      </c>
      <c r="AA10" s="122" t="n">
        <v>5028.5</v>
      </c>
      <c r="AB10" s="122" t="inlineStr">
        <is>
          <t>LCH04</t>
        </is>
      </c>
      <c r="AC10" s="122" t="inlineStr">
        <is>
          <t>KEL02</t>
        </is>
      </c>
    </row>
    <row r="11">
      <c r="A11" s="122" t="inlineStr">
        <is>
          <t>SKLU0574680</t>
        </is>
      </c>
      <c r="B11" s="122" t="inlineStr">
        <is>
          <t>2026-10-12</t>
        </is>
      </c>
      <c r="C11" s="122" t="inlineStr">
        <is>
          <t>SWAT</t>
        </is>
      </c>
      <c r="D11" s="122" t="inlineStr">
        <is>
          <t>2610N</t>
        </is>
      </c>
      <c r="E11" s="122" t="inlineStr">
        <is>
          <t>22GP</t>
        </is>
      </c>
      <c r="F11" s="122" t="inlineStr">
        <is>
          <t>SD</t>
        </is>
      </c>
      <c r="G11" s="122" t="inlineStr">
        <is>
          <t>THLCH</t>
        </is>
      </c>
      <c r="H11" s="122" t="inlineStr">
        <is>
          <t>THLCH</t>
        </is>
      </c>
      <c r="I11" s="122" t="inlineStr">
        <is>
          <t>HKHKG</t>
        </is>
      </c>
      <c r="J11" s="122" t="inlineStr">
        <is>
          <t>HKHKG</t>
        </is>
      </c>
      <c r="K11" s="122" t="inlineStr">
        <is>
          <t>F</t>
        </is>
      </c>
      <c r="L11" s="122" t="inlineStr">
        <is>
          <t>ONE</t>
        </is>
      </c>
      <c r="M11" s="122" t="inlineStr">
        <is>
          <t>VFL</t>
        </is>
      </c>
      <c r="N11" s="122" t="inlineStr">
        <is>
          <t>LCH04</t>
        </is>
      </c>
      <c r="O11" s="122" t="inlineStr">
        <is>
          <t>LCH</t>
        </is>
      </c>
      <c r="P11" s="122" t="inlineStr">
        <is>
          <t>TH</t>
        </is>
      </c>
      <c r="Q11" s="122" t="inlineStr">
        <is>
          <t>HASLS22260900495</t>
        </is>
      </c>
      <c r="R11" s="122" t="inlineStr">
        <is>
          <t>N</t>
        </is>
      </c>
      <c r="S11" s="122" t="inlineStr">
        <is>
          <t>N</t>
        </is>
      </c>
      <c r="T11" s="122" t="inlineStr">
        <is>
          <t>KTS</t>
        </is>
      </c>
      <c r="V11" s="122" t="inlineStr">
        <is>
          <t>K0120021</t>
        </is>
      </c>
      <c r="W11" s="122" t="inlineStr">
        <is>
          <t>KWE-KINTETSU WORLD EXPRESS</t>
        </is>
      </c>
      <c r="X11" s="122" t="inlineStr">
        <is>
          <t>VFD</t>
        </is>
      </c>
      <c r="Y11" s="122" t="inlineStr">
        <is>
          <t>KINTETSU WORLD EXPRESS (HK) LIMITED</t>
        </is>
      </c>
      <c r="Z11" s="122" t="inlineStr">
        <is>
          <t>KINTETSU WORLD EXPRESS (HK) LIMITED</t>
        </is>
      </c>
      <c r="AA11" s="122" t="n">
        <v>3170.94</v>
      </c>
      <c r="AB11" s="122" t="inlineStr">
        <is>
          <t>LCH04</t>
        </is>
      </c>
      <c r="AC11" s="122" t="inlineStr">
        <is>
          <t>HKG03</t>
        </is>
      </c>
    </row>
    <row r="12">
      <c r="A12" s="122" t="inlineStr">
        <is>
          <t>SKLU0586300</t>
        </is>
      </c>
      <c r="B12" s="122" t="inlineStr">
        <is>
          <t>2026-10-12</t>
        </is>
      </c>
      <c r="C12" s="122" t="inlineStr">
        <is>
          <t>SWAT</t>
        </is>
      </c>
      <c r="D12" s="122" t="inlineStr">
        <is>
          <t>2610N</t>
        </is>
      </c>
      <c r="E12" s="122" t="inlineStr">
        <is>
          <t>22GP</t>
        </is>
      </c>
      <c r="F12" s="122" t="inlineStr">
        <is>
          <t>SD</t>
        </is>
      </c>
      <c r="G12" s="122" t="inlineStr">
        <is>
          <t>THLCH</t>
        </is>
      </c>
      <c r="H12" s="122" t="inlineStr">
        <is>
          <t>THLCH</t>
        </is>
      </c>
      <c r="I12" s="122" t="inlineStr">
        <is>
          <t>KRPUS</t>
        </is>
      </c>
      <c r="J12" s="122" t="inlineStr">
        <is>
          <t>JPTOS</t>
        </is>
      </c>
      <c r="K12" s="122" t="inlineStr">
        <is>
          <t>F</t>
        </is>
      </c>
      <c r="L12" s="122" t="inlineStr">
        <is>
          <t>ONE</t>
        </is>
      </c>
      <c r="M12" s="122" t="inlineStr">
        <is>
          <t>VFL</t>
        </is>
      </c>
      <c r="N12" s="122" t="inlineStr">
        <is>
          <t>LCH04</t>
        </is>
      </c>
      <c r="O12" s="122" t="inlineStr">
        <is>
          <t>LCH</t>
        </is>
      </c>
      <c r="P12" s="122" t="inlineStr">
        <is>
          <t>TH</t>
        </is>
      </c>
      <c r="Q12" s="122" t="inlineStr">
        <is>
          <t>HASLS22260902438</t>
        </is>
      </c>
      <c r="R12" s="122" t="inlineStr">
        <is>
          <t>Y</t>
        </is>
      </c>
      <c r="S12" s="122" t="inlineStr">
        <is>
          <t>N</t>
        </is>
      </c>
      <c r="T12" s="122" t="inlineStr">
        <is>
          <t>KTS</t>
        </is>
      </c>
      <c r="V12" s="122" t="inlineStr">
        <is>
          <t>K0120021</t>
        </is>
      </c>
      <c r="W12" s="122" t="inlineStr">
        <is>
          <t>DELTA DAIKI METAL (THAILAND)</t>
        </is>
      </c>
      <c r="X12" s="122" t="inlineStr">
        <is>
          <t>VFD</t>
        </is>
      </c>
      <c r="Y12" s="122" t="inlineStr">
        <is>
          <t>DAIKI ALUMINIUM INDUSTRY</t>
        </is>
      </c>
      <c r="Z12" s="122" t="inlineStr">
        <is>
          <t>DAIKI ALUMINIUM INDUSTRY</t>
        </is>
      </c>
      <c r="AA12" s="122" t="n">
        <v>25238</v>
      </c>
      <c r="AB12" s="122" t="inlineStr">
        <is>
          <t>LCH04</t>
        </is>
      </c>
      <c r="AC12" s="122" t="inlineStr">
        <is>
          <t>TOS01</t>
        </is>
      </c>
    </row>
    <row r="13">
      <c r="A13" s="122" t="inlineStr">
        <is>
          <t>SKLU0731840</t>
        </is>
      </c>
      <c r="B13" s="122" t="inlineStr">
        <is>
          <t>2026-10-12</t>
        </is>
      </c>
      <c r="C13" s="122" t="inlineStr">
        <is>
          <t>SWAT</t>
        </is>
      </c>
      <c r="D13" s="122" t="inlineStr">
        <is>
          <t>2610N</t>
        </is>
      </c>
      <c r="E13" s="122" t="inlineStr">
        <is>
          <t>22GP</t>
        </is>
      </c>
      <c r="F13" s="122" t="inlineStr">
        <is>
          <t>SD</t>
        </is>
      </c>
      <c r="G13" s="122" t="inlineStr">
        <is>
          <t>THLCH</t>
        </is>
      </c>
      <c r="H13" s="122" t="inlineStr">
        <is>
          <t>THLCH</t>
        </is>
      </c>
      <c r="I13" s="122" t="inlineStr">
        <is>
          <t>HKHKG</t>
        </is>
      </c>
      <c r="J13" s="122" t="inlineStr">
        <is>
          <t>CNNAH</t>
        </is>
      </c>
      <c r="K13" s="122" t="inlineStr">
        <is>
          <t>F</t>
        </is>
      </c>
      <c r="L13" s="122" t="inlineStr">
        <is>
          <t>ONE</t>
        </is>
      </c>
      <c r="M13" s="122" t="inlineStr">
        <is>
          <t>VFL</t>
        </is>
      </c>
      <c r="N13" s="122" t="inlineStr">
        <is>
          <t>LCH04</t>
        </is>
      </c>
      <c r="O13" s="122" t="inlineStr">
        <is>
          <t>LCH</t>
        </is>
      </c>
      <c r="P13" s="122" t="inlineStr">
        <is>
          <t>TH</t>
        </is>
      </c>
      <c r="Q13" s="122" t="inlineStr">
        <is>
          <t>HASLS22261000204</t>
        </is>
      </c>
      <c r="R13" s="122" t="inlineStr">
        <is>
          <t>N</t>
        </is>
      </c>
      <c r="S13" s="122" t="inlineStr">
        <is>
          <t>N</t>
        </is>
      </c>
      <c r="T13" s="122" t="inlineStr">
        <is>
          <t>KTS</t>
        </is>
      </c>
      <c r="V13" s="122" t="inlineStr">
        <is>
          <t>K0120021</t>
        </is>
      </c>
      <c r="W13" s="122" t="inlineStr">
        <is>
          <t>HANWEI TRADING CO.,LTD.</t>
        </is>
      </c>
      <c r="X13" s="122" t="inlineStr">
        <is>
          <t>VFD</t>
        </is>
      </c>
      <c r="Y13" s="122" t="inlineStr">
        <is>
          <t>LONGYAN XINGCHENGXIN ELECTRONIC</t>
        </is>
      </c>
      <c r="Z13" s="122" t="inlineStr">
        <is>
          <t>SHENG ZHAN METAL CO., LTD.</t>
        </is>
      </c>
      <c r="AA13" s="122" t="n">
        <v>26470</v>
      </c>
      <c r="AB13" s="122" t="inlineStr">
        <is>
          <t>LCH04</t>
        </is>
      </c>
      <c r="AC13" s="122" t="inlineStr">
        <is>
          <t>HKG03</t>
        </is>
      </c>
    </row>
    <row r="14">
      <c r="A14" s="122" t="inlineStr">
        <is>
          <t>SKLU0737915</t>
        </is>
      </c>
      <c r="B14" s="122" t="inlineStr">
        <is>
          <t>2026-10-12</t>
        </is>
      </c>
      <c r="C14" s="122" t="inlineStr">
        <is>
          <t>SWAT</t>
        </is>
      </c>
      <c r="D14" s="122" t="inlineStr">
        <is>
          <t>2610N</t>
        </is>
      </c>
      <c r="E14" s="122" t="inlineStr">
        <is>
          <t>22GP</t>
        </is>
      </c>
      <c r="F14" s="122" t="inlineStr">
        <is>
          <t>SD</t>
        </is>
      </c>
      <c r="G14" s="122" t="inlineStr">
        <is>
          <t>THLCH</t>
        </is>
      </c>
      <c r="H14" s="122" t="inlineStr">
        <is>
          <t>THLCH</t>
        </is>
      </c>
      <c r="I14" s="122" t="inlineStr">
        <is>
          <t>HKHKG</t>
        </is>
      </c>
      <c r="J14" s="122" t="inlineStr">
        <is>
          <t>CNSUD</t>
        </is>
      </c>
      <c r="K14" s="122" t="inlineStr">
        <is>
          <t>F</t>
        </is>
      </c>
      <c r="L14" s="122" t="inlineStr">
        <is>
          <t>ONE</t>
        </is>
      </c>
      <c r="M14" s="122" t="inlineStr">
        <is>
          <t>VFL</t>
        </is>
      </c>
      <c r="N14" s="122" t="inlineStr">
        <is>
          <t>LCH04</t>
        </is>
      </c>
      <c r="O14" s="122" t="inlineStr">
        <is>
          <t>LCH</t>
        </is>
      </c>
      <c r="P14" s="122" t="inlineStr">
        <is>
          <t>TH</t>
        </is>
      </c>
      <c r="Q14" s="122" t="inlineStr">
        <is>
          <t>HASLS22260901481</t>
        </is>
      </c>
      <c r="R14" s="122" t="inlineStr">
        <is>
          <t>N</t>
        </is>
      </c>
      <c r="S14" s="122" t="inlineStr">
        <is>
          <t>N</t>
        </is>
      </c>
      <c r="T14" s="122" t="inlineStr">
        <is>
          <t>KTS</t>
        </is>
      </c>
      <c r="V14" s="122" t="inlineStr">
        <is>
          <t>K0120021</t>
        </is>
      </c>
      <c r="W14" s="122" t="inlineStr">
        <is>
          <t>OLIVER CO.,LTD.</t>
        </is>
      </c>
      <c r="X14" s="122" t="inlineStr">
        <is>
          <t>VED</t>
        </is>
      </c>
      <c r="Y14" s="122" t="inlineStr">
        <is>
          <t>QINGYUAN YILIN RENEWABLE</t>
        </is>
      </c>
      <c r="Z14" s="122" t="inlineStr">
        <is>
          <t>METAL FOREST INTERNATIONAL</t>
        </is>
      </c>
      <c r="AA14" s="122" t="n">
        <v>27445</v>
      </c>
      <c r="AB14" s="122" t="inlineStr">
        <is>
          <t>LCH04</t>
        </is>
      </c>
      <c r="AC14" s="122" t="inlineStr">
        <is>
          <t>HKG03</t>
        </is>
      </c>
    </row>
    <row r="15">
      <c r="A15" s="122" t="inlineStr">
        <is>
          <t>SKLU0740040</t>
        </is>
      </c>
      <c r="B15" s="122" t="inlineStr">
        <is>
          <t>2026-10-12</t>
        </is>
      </c>
      <c r="C15" s="122" t="inlineStr">
        <is>
          <t>SWAT</t>
        </is>
      </c>
      <c r="D15" s="122" t="inlineStr">
        <is>
          <t>2610N</t>
        </is>
      </c>
      <c r="E15" s="122" t="inlineStr">
        <is>
          <t>22GP</t>
        </is>
      </c>
      <c r="F15" s="122" t="inlineStr">
        <is>
          <t>SD</t>
        </is>
      </c>
      <c r="G15" s="122" t="inlineStr">
        <is>
          <t>THLCH</t>
        </is>
      </c>
      <c r="H15" s="122" t="inlineStr">
        <is>
          <t>THLCH</t>
        </is>
      </c>
      <c r="I15" s="122" t="inlineStr">
        <is>
          <t>TWKEL</t>
        </is>
      </c>
      <c r="J15" s="122" t="inlineStr">
        <is>
          <t>TWKEL</t>
        </is>
      </c>
      <c r="K15" s="122" t="inlineStr">
        <is>
          <t>F</t>
        </is>
      </c>
      <c r="L15" s="122" t="inlineStr">
        <is>
          <t>ONE</t>
        </is>
      </c>
      <c r="M15" s="122" t="inlineStr">
        <is>
          <t>VFL</t>
        </is>
      </c>
      <c r="N15" s="122" t="inlineStr">
        <is>
          <t>LCH04</t>
        </is>
      </c>
      <c r="O15" s="122" t="inlineStr">
        <is>
          <t>LCH</t>
        </is>
      </c>
      <c r="P15" s="122" t="inlineStr">
        <is>
          <t>TH</t>
        </is>
      </c>
      <c r="Q15" s="122" t="inlineStr">
        <is>
          <t>HASLS22260901339</t>
        </is>
      </c>
      <c r="R15" s="122" t="inlineStr">
        <is>
          <t>N</t>
        </is>
      </c>
      <c r="S15" s="122" t="inlineStr">
        <is>
          <t>N</t>
        </is>
      </c>
      <c r="T15" s="122" t="inlineStr">
        <is>
          <t>KTS</t>
        </is>
      </c>
      <c r="V15" s="122" t="inlineStr">
        <is>
          <t>K0120021</t>
        </is>
      </c>
      <c r="W15" s="122" t="inlineStr">
        <is>
          <t>ORIENTAL COPPER CO.,LTD</t>
        </is>
      </c>
      <c r="X15" s="122" t="inlineStr">
        <is>
          <t>VED</t>
        </is>
      </c>
      <c r="Y15" s="122" t="inlineStr">
        <is>
          <t>TO THE ORDER OF HUA NAN</t>
        </is>
      </c>
      <c r="Z15" s="122" t="inlineStr">
        <is>
          <t>TAIWAN BUSWAY CO., LTD.</t>
        </is>
      </c>
      <c r="AA15" s="122" t="n">
        <v>20359</v>
      </c>
      <c r="AB15" s="122" t="inlineStr">
        <is>
          <t>LCH04</t>
        </is>
      </c>
      <c r="AC15" s="122" t="inlineStr">
        <is>
          <t>KEL02</t>
        </is>
      </c>
    </row>
    <row r="16">
      <c r="A16" s="122" t="inlineStr">
        <is>
          <t>SKLU1434446</t>
        </is>
      </c>
      <c r="B16" s="122" t="inlineStr">
        <is>
          <t>2026-10-12</t>
        </is>
      </c>
      <c r="C16" s="122" t="inlineStr">
        <is>
          <t>SWAT</t>
        </is>
      </c>
      <c r="D16" s="122" t="inlineStr">
        <is>
          <t>2610N</t>
        </is>
      </c>
      <c r="E16" s="122" t="inlineStr">
        <is>
          <t>22GP</t>
        </is>
      </c>
      <c r="F16" s="122" t="inlineStr">
        <is>
          <t>SD</t>
        </is>
      </c>
      <c r="G16" s="122" t="inlineStr">
        <is>
          <t>THLCH</t>
        </is>
      </c>
      <c r="H16" s="122" t="inlineStr">
        <is>
          <t>THLCH</t>
        </is>
      </c>
      <c r="I16" s="122" t="inlineStr">
        <is>
          <t>TWKEL</t>
        </is>
      </c>
      <c r="J16" s="122" t="inlineStr">
        <is>
          <t>TWKEL</t>
        </is>
      </c>
      <c r="K16" s="122" t="inlineStr">
        <is>
          <t>F</t>
        </is>
      </c>
      <c r="L16" s="122" t="inlineStr">
        <is>
          <t>ONE</t>
        </is>
      </c>
      <c r="M16" s="122" t="inlineStr">
        <is>
          <t>VFL</t>
        </is>
      </c>
      <c r="N16" s="122" t="inlineStr">
        <is>
          <t>LCH04</t>
        </is>
      </c>
      <c r="O16" s="122" t="inlineStr">
        <is>
          <t>LCH</t>
        </is>
      </c>
      <c r="P16" s="122" t="inlineStr">
        <is>
          <t>TH</t>
        </is>
      </c>
      <c r="Q16" s="122" t="inlineStr">
        <is>
          <t>HASLS22260901339</t>
        </is>
      </c>
      <c r="R16" s="122" t="inlineStr">
        <is>
          <t>N</t>
        </is>
      </c>
      <c r="S16" s="122" t="inlineStr">
        <is>
          <t>N</t>
        </is>
      </c>
      <c r="T16" s="122" t="inlineStr">
        <is>
          <t>KTS</t>
        </is>
      </c>
      <c r="V16" s="122" t="inlineStr">
        <is>
          <t>K0120021</t>
        </is>
      </c>
      <c r="W16" s="122" t="inlineStr">
        <is>
          <t>ORIENTAL COPPER CO.,LTD</t>
        </is>
      </c>
      <c r="X16" s="122" t="inlineStr">
        <is>
          <t>VED</t>
        </is>
      </c>
      <c r="Y16" s="122" t="inlineStr">
        <is>
          <t>TO THE ORDER OF HUA NAN</t>
        </is>
      </c>
      <c r="Z16" s="122" t="inlineStr">
        <is>
          <t>TAIWAN BUSWAY CO., LTD.</t>
        </is>
      </c>
      <c r="AA16" s="122" t="n">
        <v>20713.5</v>
      </c>
      <c r="AB16" s="122" t="inlineStr">
        <is>
          <t>LCH04</t>
        </is>
      </c>
      <c r="AC16" s="122" t="inlineStr">
        <is>
          <t>KEL02</t>
        </is>
      </c>
    </row>
    <row r="17">
      <c r="A17" s="122" t="inlineStr">
        <is>
          <t>SKLU1520760</t>
        </is>
      </c>
      <c r="B17" s="122" t="inlineStr">
        <is>
          <t>2026-10-12</t>
        </is>
      </c>
      <c r="C17" s="122" t="inlineStr">
        <is>
          <t>SWAT</t>
        </is>
      </c>
      <c r="D17" s="122" t="inlineStr">
        <is>
          <t>2610N</t>
        </is>
      </c>
      <c r="E17" s="122" t="inlineStr">
        <is>
          <t>22GP</t>
        </is>
      </c>
      <c r="F17" s="122" t="inlineStr">
        <is>
          <t>SD</t>
        </is>
      </c>
      <c r="G17" s="122" t="inlineStr">
        <is>
          <t>THLCH</t>
        </is>
      </c>
      <c r="H17" s="122" t="inlineStr">
        <is>
          <t>THLCH</t>
        </is>
      </c>
      <c r="I17" s="122" t="inlineStr">
        <is>
          <t>CNSHK</t>
        </is>
      </c>
      <c r="J17" s="122" t="inlineStr">
        <is>
          <t>CNSHK</t>
        </is>
      </c>
      <c r="K17" s="122" t="inlineStr">
        <is>
          <t>F</t>
        </is>
      </c>
      <c r="L17" s="122" t="inlineStr">
        <is>
          <t>ONE</t>
        </is>
      </c>
      <c r="M17" s="122" t="inlineStr">
        <is>
          <t>VFL</t>
        </is>
      </c>
      <c r="N17" s="122" t="inlineStr">
        <is>
          <t>LCH04</t>
        </is>
      </c>
      <c r="O17" s="122" t="inlineStr">
        <is>
          <t>LCH</t>
        </is>
      </c>
      <c r="P17" s="122" t="inlineStr">
        <is>
          <t>TH</t>
        </is>
      </c>
      <c r="Q17" s="122" t="inlineStr">
        <is>
          <t>HASLS22260900459</t>
        </is>
      </c>
      <c r="R17" s="122" t="inlineStr">
        <is>
          <t>N</t>
        </is>
      </c>
      <c r="S17" s="122" t="inlineStr">
        <is>
          <t>N</t>
        </is>
      </c>
      <c r="T17" s="122" t="inlineStr">
        <is>
          <t>KTS</t>
        </is>
      </c>
      <c r="V17" s="122" t="inlineStr">
        <is>
          <t>K0120021</t>
        </is>
      </c>
      <c r="W17" s="122" t="inlineStr">
        <is>
          <t>THAI POLYCARBONATE CO.,LTD.</t>
        </is>
      </c>
      <c r="X17" s="122" t="inlineStr">
        <is>
          <t>VED</t>
        </is>
      </c>
      <c r="Y17" s="122" t="inlineStr">
        <is>
          <t>SHENG CHANG HONG TRADING</t>
        </is>
      </c>
      <c r="Z17" s="122" t="inlineStr">
        <is>
          <t>SHENG CHANG HONG TRADING</t>
        </is>
      </c>
      <c r="AA17" s="122" t="n">
        <v>16432</v>
      </c>
      <c r="AB17" s="122" t="inlineStr">
        <is>
          <t>LCH04</t>
        </is>
      </c>
      <c r="AC17" s="122" t="inlineStr">
        <is>
          <t>SHE04</t>
        </is>
      </c>
    </row>
    <row r="18">
      <c r="A18" s="122" t="inlineStr">
        <is>
          <t>SKLU1572229</t>
        </is>
      </c>
      <c r="B18" s="122" t="inlineStr">
        <is>
          <t>2026-10-12</t>
        </is>
      </c>
      <c r="C18" s="122" t="inlineStr">
        <is>
          <t>SWAT</t>
        </is>
      </c>
      <c r="D18" s="122" t="inlineStr">
        <is>
          <t>2610N</t>
        </is>
      </c>
      <c r="E18" s="122" t="inlineStr">
        <is>
          <t>22GP</t>
        </is>
      </c>
      <c r="F18" s="122" t="inlineStr">
        <is>
          <t>SD</t>
        </is>
      </c>
      <c r="G18" s="122" t="inlineStr">
        <is>
          <t>THLCH</t>
        </is>
      </c>
      <c r="H18" s="122" t="inlineStr">
        <is>
          <t>THLCH</t>
        </is>
      </c>
      <c r="I18" s="122" t="inlineStr">
        <is>
          <t>KRPUS</t>
        </is>
      </c>
      <c r="J18" s="122" t="inlineStr">
        <is>
          <t>JPNGO</t>
        </is>
      </c>
      <c r="K18" s="122" t="inlineStr">
        <is>
          <t>F</t>
        </is>
      </c>
      <c r="L18" s="122" t="inlineStr">
        <is>
          <t>ONE</t>
        </is>
      </c>
      <c r="M18" s="122" t="inlineStr">
        <is>
          <t>VFL</t>
        </is>
      </c>
      <c r="N18" s="122" t="inlineStr">
        <is>
          <t>LCH04</t>
        </is>
      </c>
      <c r="O18" s="122" t="inlineStr">
        <is>
          <t>LCH</t>
        </is>
      </c>
      <c r="P18" s="122" t="inlineStr">
        <is>
          <t>TH</t>
        </is>
      </c>
      <c r="Q18" s="122" t="inlineStr">
        <is>
          <t>HASLS22260901258</t>
        </is>
      </c>
      <c r="R18" s="122" t="inlineStr">
        <is>
          <t>Y</t>
        </is>
      </c>
      <c r="S18" s="122" t="inlineStr">
        <is>
          <t>N</t>
        </is>
      </c>
      <c r="T18" s="122" t="inlineStr">
        <is>
          <t>KTS</t>
        </is>
      </c>
      <c r="V18" s="122" t="inlineStr">
        <is>
          <t>K0120021</t>
        </is>
      </c>
      <c r="W18" s="122" t="inlineStr">
        <is>
          <t>SIAM POLYETHYLENE CO., LTD.</t>
        </is>
      </c>
      <c r="X18" s="122" t="inlineStr">
        <is>
          <t>ONL</t>
        </is>
      </c>
      <c r="Y18" s="122" t="inlineStr">
        <is>
          <t>DOW CHEMICAL JAPAN LIMITED</t>
        </is>
      </c>
      <c r="Z18" s="122" t="inlineStr">
        <is>
          <t>THE SHIBUSAWA WAREHOUSE CO., LTD.</t>
        </is>
      </c>
      <c r="AA18" s="122" t="n">
        <v>16930</v>
      </c>
      <c r="AB18" s="122" t="inlineStr">
        <is>
          <t>LCH04</t>
        </is>
      </c>
      <c r="AC18" s="122" t="inlineStr">
        <is>
          <t>NGO01</t>
        </is>
      </c>
    </row>
    <row r="19">
      <c r="A19" s="122" t="inlineStr">
        <is>
          <t>SKLU1804582</t>
        </is>
      </c>
      <c r="B19" s="122" t="inlineStr">
        <is>
          <t>2026-10-12</t>
        </is>
      </c>
      <c r="C19" s="122" t="inlineStr">
        <is>
          <t>SWAT</t>
        </is>
      </c>
      <c r="D19" s="122" t="inlineStr">
        <is>
          <t>2610N</t>
        </is>
      </c>
      <c r="E19" s="122" t="inlineStr">
        <is>
          <t>22GP</t>
        </is>
      </c>
      <c r="F19" s="122" t="inlineStr">
        <is>
          <t>SD</t>
        </is>
      </c>
      <c r="G19" s="122" t="inlineStr">
        <is>
          <t>THLCH</t>
        </is>
      </c>
      <c r="H19" s="122" t="inlineStr">
        <is>
          <t>THLCH</t>
        </is>
      </c>
      <c r="I19" s="122" t="inlineStr">
        <is>
          <t>KRPUS</t>
        </is>
      </c>
      <c r="J19" s="122" t="inlineStr">
        <is>
          <t>JPTOS</t>
        </is>
      </c>
      <c r="K19" s="122" t="inlineStr">
        <is>
          <t>F</t>
        </is>
      </c>
      <c r="L19" s="122" t="inlineStr">
        <is>
          <t>ONE</t>
        </is>
      </c>
      <c r="M19" s="122" t="inlineStr">
        <is>
          <t>VFL</t>
        </is>
      </c>
      <c r="N19" s="122" t="inlineStr">
        <is>
          <t>LCH04</t>
        </is>
      </c>
      <c r="O19" s="122" t="inlineStr">
        <is>
          <t>LCH</t>
        </is>
      </c>
      <c r="P19" s="122" t="inlineStr">
        <is>
          <t>TH</t>
        </is>
      </c>
      <c r="Q19" s="122" t="inlineStr">
        <is>
          <t>HASLS22260902438</t>
        </is>
      </c>
      <c r="R19" s="122" t="inlineStr">
        <is>
          <t>Y</t>
        </is>
      </c>
      <c r="S19" s="122" t="inlineStr">
        <is>
          <t>N</t>
        </is>
      </c>
      <c r="T19" s="122" t="inlineStr">
        <is>
          <t>KTS</t>
        </is>
      </c>
      <c r="V19" s="122" t="inlineStr">
        <is>
          <t>K0120021</t>
        </is>
      </c>
      <c r="W19" s="122" t="inlineStr">
        <is>
          <t>DELTA DAIKI METAL (THAILAND)</t>
        </is>
      </c>
      <c r="X19" s="122" t="inlineStr">
        <is>
          <t>VED</t>
        </is>
      </c>
      <c r="Y19" s="122" t="inlineStr">
        <is>
          <t>DAIKI ALUMINIUM INDUSTRY</t>
        </is>
      </c>
      <c r="Z19" s="122" t="inlineStr">
        <is>
          <t>DAIKI ALUMINIUM INDUSTRY</t>
        </is>
      </c>
      <c r="AA19" s="122" t="n">
        <v>24986</v>
      </c>
      <c r="AB19" s="122" t="inlineStr">
        <is>
          <t>LCH04</t>
        </is>
      </c>
      <c r="AC19" s="122" t="inlineStr">
        <is>
          <t>TOS01</t>
        </is>
      </c>
    </row>
    <row r="20">
      <c r="A20" s="122" t="inlineStr">
        <is>
          <t>SKLU1902193</t>
        </is>
      </c>
      <c r="B20" s="122" t="inlineStr">
        <is>
          <t>2026-10-12</t>
        </is>
      </c>
      <c r="C20" s="122" t="inlineStr">
        <is>
          <t>SWAT</t>
        </is>
      </c>
      <c r="D20" s="122" t="inlineStr">
        <is>
          <t>2610N</t>
        </is>
      </c>
      <c r="E20" s="122" t="inlineStr">
        <is>
          <t>22GP</t>
        </is>
      </c>
      <c r="F20" s="122" t="inlineStr">
        <is>
          <t>SD</t>
        </is>
      </c>
      <c r="G20" s="122" t="inlineStr">
        <is>
          <t>THLCH</t>
        </is>
      </c>
      <c r="H20" s="122" t="inlineStr">
        <is>
          <t>THLCH</t>
        </is>
      </c>
      <c r="I20" s="122" t="inlineStr">
        <is>
          <t>CNSHK</t>
        </is>
      </c>
      <c r="J20" s="122" t="inlineStr">
        <is>
          <t>CNSHK</t>
        </is>
      </c>
      <c r="K20" s="122" t="inlineStr">
        <is>
          <t>F</t>
        </is>
      </c>
      <c r="L20" s="122" t="inlineStr">
        <is>
          <t>ONE</t>
        </is>
      </c>
      <c r="M20" s="122" t="inlineStr">
        <is>
          <t>VFL</t>
        </is>
      </c>
      <c r="N20" s="122" t="inlineStr">
        <is>
          <t>LCH04</t>
        </is>
      </c>
      <c r="O20" s="122" t="inlineStr">
        <is>
          <t>LCH</t>
        </is>
      </c>
      <c r="P20" s="122" t="inlineStr">
        <is>
          <t>TH</t>
        </is>
      </c>
      <c r="Q20" s="122" t="inlineStr">
        <is>
          <t>HASLS22260900906</t>
        </is>
      </c>
      <c r="R20" s="122" t="inlineStr">
        <is>
          <t>N</t>
        </is>
      </c>
      <c r="S20" s="122" t="inlineStr">
        <is>
          <t>N</t>
        </is>
      </c>
      <c r="T20" s="122" t="inlineStr">
        <is>
          <t>KTS</t>
        </is>
      </c>
      <c r="V20" s="122" t="inlineStr">
        <is>
          <t>K0120021</t>
        </is>
      </c>
      <c r="W20" s="122" t="inlineStr">
        <is>
          <t>THAI POLYACETAL CO.,LTD.</t>
        </is>
      </c>
      <c r="X20" s="122" t="inlineStr">
        <is>
          <t>VED</t>
        </is>
      </c>
      <c r="Y20" s="122" t="inlineStr">
        <is>
          <t>SHENG CHANG HONG TRADING</t>
        </is>
      </c>
      <c r="Z20" s="122" t="inlineStr">
        <is>
          <t>SHENG CHANG HONG TRADING</t>
        </is>
      </c>
      <c r="AA20" s="122" t="n">
        <v>17443</v>
      </c>
      <c r="AB20" s="122" t="inlineStr">
        <is>
          <t>LCH04</t>
        </is>
      </c>
      <c r="AC20" s="122" t="inlineStr">
        <is>
          <t>SHE04</t>
        </is>
      </c>
    </row>
    <row r="21">
      <c r="A21" s="122" t="inlineStr">
        <is>
          <t>SKLU1943905</t>
        </is>
      </c>
      <c r="B21" s="122" t="inlineStr">
        <is>
          <t>2026-10-12</t>
        </is>
      </c>
      <c r="C21" s="122" t="inlineStr">
        <is>
          <t>SWAT</t>
        </is>
      </c>
      <c r="D21" s="122" t="inlineStr">
        <is>
          <t>2610N</t>
        </is>
      </c>
      <c r="E21" s="122" t="inlineStr">
        <is>
          <t>22GP</t>
        </is>
      </c>
      <c r="F21" s="122" t="inlineStr">
        <is>
          <t>SD</t>
        </is>
      </c>
      <c r="G21" s="122" t="inlineStr">
        <is>
          <t>THLCH</t>
        </is>
      </c>
      <c r="H21" s="122" t="inlineStr">
        <is>
          <t>THLCH</t>
        </is>
      </c>
      <c r="I21" s="122" t="inlineStr">
        <is>
          <t>CNSHK</t>
        </is>
      </c>
      <c r="J21" s="122" t="inlineStr">
        <is>
          <t>CNSHK</t>
        </is>
      </c>
      <c r="K21" s="122" t="inlineStr">
        <is>
          <t>F</t>
        </is>
      </c>
      <c r="L21" s="122" t="inlineStr">
        <is>
          <t>ONE</t>
        </is>
      </c>
      <c r="M21" s="122" t="inlineStr">
        <is>
          <t>VFL</t>
        </is>
      </c>
      <c r="N21" s="122" t="inlineStr">
        <is>
          <t>LCH04</t>
        </is>
      </c>
      <c r="O21" s="122" t="inlineStr">
        <is>
          <t>LCH</t>
        </is>
      </c>
      <c r="P21" s="122" t="inlineStr">
        <is>
          <t>TH</t>
        </is>
      </c>
      <c r="Q21" s="122" t="inlineStr">
        <is>
          <t>HASLS22260900459</t>
        </is>
      </c>
      <c r="R21" s="122" t="inlineStr">
        <is>
          <t>N</t>
        </is>
      </c>
      <c r="S21" s="122" t="inlineStr">
        <is>
          <t>N</t>
        </is>
      </c>
      <c r="T21" s="122" t="inlineStr">
        <is>
          <t>KTS</t>
        </is>
      </c>
      <c r="V21" s="122" t="inlineStr">
        <is>
          <t>K0120021</t>
        </is>
      </c>
      <c r="W21" s="122" t="inlineStr">
        <is>
          <t>THAI POLYCARBONATE CO.,LTD.</t>
        </is>
      </c>
      <c r="X21" s="122" t="inlineStr">
        <is>
          <t>VED</t>
        </is>
      </c>
      <c r="Y21" s="122" t="inlineStr">
        <is>
          <t>SHENG CHANG HONG TRADING</t>
        </is>
      </c>
      <c r="Z21" s="122" t="inlineStr">
        <is>
          <t>SHENG CHANG HONG TRADING</t>
        </is>
      </c>
      <c r="AA21" s="122" t="n">
        <v>16432</v>
      </c>
      <c r="AB21" s="122" t="inlineStr">
        <is>
          <t>LCH04</t>
        </is>
      </c>
      <c r="AC21" s="122" t="inlineStr">
        <is>
          <t>SHE04</t>
        </is>
      </c>
    </row>
    <row r="22">
      <c r="A22" s="122" t="inlineStr">
        <is>
          <t>SKLU1964889</t>
        </is>
      </c>
      <c r="B22" s="122" t="inlineStr">
        <is>
          <t>2026-10-12</t>
        </is>
      </c>
      <c r="C22" s="122" t="inlineStr">
        <is>
          <t>SWAT</t>
        </is>
      </c>
      <c r="D22" s="122" t="inlineStr">
        <is>
          <t>2610N</t>
        </is>
      </c>
      <c r="E22" s="122" t="inlineStr">
        <is>
          <t>22GP</t>
        </is>
      </c>
      <c r="F22" s="122" t="inlineStr">
        <is>
          <t>SD</t>
        </is>
      </c>
      <c r="G22" s="122" t="inlineStr">
        <is>
          <t>THLCH</t>
        </is>
      </c>
      <c r="H22" s="122" t="inlineStr">
        <is>
          <t>THLCH</t>
        </is>
      </c>
      <c r="I22" s="122" t="inlineStr">
        <is>
          <t>CNSHK</t>
        </is>
      </c>
      <c r="J22" s="122" t="inlineStr">
        <is>
          <t>CNSHK</t>
        </is>
      </c>
      <c r="K22" s="122" t="inlineStr">
        <is>
          <t>F</t>
        </is>
      </c>
      <c r="L22" s="122" t="inlineStr">
        <is>
          <t>ONE</t>
        </is>
      </c>
      <c r="M22" s="122" t="inlineStr">
        <is>
          <t>VFL</t>
        </is>
      </c>
      <c r="N22" s="122" t="inlineStr">
        <is>
          <t>LCH04</t>
        </is>
      </c>
      <c r="O22" s="122" t="inlineStr">
        <is>
          <t>LCH</t>
        </is>
      </c>
      <c r="P22" s="122" t="inlineStr">
        <is>
          <t>TH</t>
        </is>
      </c>
      <c r="Q22" s="122" t="inlineStr">
        <is>
          <t>HASLS22260900459</t>
        </is>
      </c>
      <c r="R22" s="122" t="inlineStr">
        <is>
          <t>N</t>
        </is>
      </c>
      <c r="S22" s="122" t="inlineStr">
        <is>
          <t>N</t>
        </is>
      </c>
      <c r="T22" s="122" t="inlineStr">
        <is>
          <t>KTS</t>
        </is>
      </c>
      <c r="V22" s="122" t="inlineStr">
        <is>
          <t>K0120021</t>
        </is>
      </c>
      <c r="W22" s="122" t="inlineStr">
        <is>
          <t>THAI POLYCARBONATE CO.,LTD.</t>
        </is>
      </c>
      <c r="X22" s="122" t="inlineStr">
        <is>
          <t>VFD</t>
        </is>
      </c>
      <c r="Y22" s="122" t="inlineStr">
        <is>
          <t>SHENG CHANG HONG TRADING</t>
        </is>
      </c>
      <c r="Z22" s="122" t="inlineStr">
        <is>
          <t>SHENG CHANG HONG TRADING</t>
        </is>
      </c>
      <c r="AA22" s="122" t="n">
        <v>16432</v>
      </c>
      <c r="AB22" s="122" t="inlineStr">
        <is>
          <t>LCH04</t>
        </is>
      </c>
      <c r="AC22" s="122" t="inlineStr">
        <is>
          <t>SHE04</t>
        </is>
      </c>
    </row>
    <row r="23">
      <c r="A23" s="122" t="inlineStr">
        <is>
          <t>SKLU1979467</t>
        </is>
      </c>
      <c r="B23" s="122" t="inlineStr">
        <is>
          <t>2026-10-12</t>
        </is>
      </c>
      <c r="C23" s="122" t="inlineStr">
        <is>
          <t>SWAT</t>
        </is>
      </c>
      <c r="D23" s="122" t="inlineStr">
        <is>
          <t>2610N</t>
        </is>
      </c>
      <c r="E23" s="122" t="inlineStr">
        <is>
          <t>22GP</t>
        </is>
      </c>
      <c r="F23" s="122" t="inlineStr">
        <is>
          <t>SD</t>
        </is>
      </c>
      <c r="G23" s="122" t="inlineStr">
        <is>
          <t>THLCH</t>
        </is>
      </c>
      <c r="H23" s="122" t="inlineStr">
        <is>
          <t>THLCH</t>
        </is>
      </c>
      <c r="I23" s="122" t="inlineStr">
        <is>
          <t>CNSHK</t>
        </is>
      </c>
      <c r="J23" s="122" t="inlineStr">
        <is>
          <t>CNSHK</t>
        </is>
      </c>
      <c r="K23" s="122" t="inlineStr">
        <is>
          <t>F</t>
        </is>
      </c>
      <c r="L23" s="122" t="inlineStr">
        <is>
          <t>ONE</t>
        </is>
      </c>
      <c r="M23" s="122" t="inlineStr">
        <is>
          <t>VFL</t>
        </is>
      </c>
      <c r="N23" s="122" t="inlineStr">
        <is>
          <t>LCH04</t>
        </is>
      </c>
      <c r="O23" s="122" t="inlineStr">
        <is>
          <t>LCH</t>
        </is>
      </c>
      <c r="P23" s="122" t="inlineStr">
        <is>
          <t>TH</t>
        </is>
      </c>
      <c r="Q23" s="122" t="inlineStr">
        <is>
          <t>HASLS22260900459</t>
        </is>
      </c>
      <c r="R23" s="122" t="inlineStr">
        <is>
          <t>N</t>
        </is>
      </c>
      <c r="S23" s="122" t="inlineStr">
        <is>
          <t>N</t>
        </is>
      </c>
      <c r="T23" s="122" t="inlineStr">
        <is>
          <t>KTS</t>
        </is>
      </c>
      <c r="V23" s="122" t="inlineStr">
        <is>
          <t>K0120021</t>
        </is>
      </c>
      <c r="W23" s="122" t="inlineStr">
        <is>
          <t>THAI POLYCARBONATE CO.,LTD.</t>
        </is>
      </c>
      <c r="X23" s="122" t="inlineStr">
        <is>
          <t>VFD</t>
        </is>
      </c>
      <c r="Y23" s="122" t="inlineStr">
        <is>
          <t>SHENG CHANG HONG TRADING</t>
        </is>
      </c>
      <c r="Z23" s="122" t="inlineStr">
        <is>
          <t>SHENG CHANG HONG TRADING</t>
        </is>
      </c>
      <c r="AA23" s="122" t="n">
        <v>16432</v>
      </c>
      <c r="AB23" s="122" t="inlineStr">
        <is>
          <t>LCH04</t>
        </is>
      </c>
      <c r="AC23" s="122" t="inlineStr">
        <is>
          <t>SHE04</t>
        </is>
      </c>
    </row>
    <row r="24">
      <c r="A24" s="122" t="inlineStr">
        <is>
          <t>SKLU2016327</t>
        </is>
      </c>
      <c r="B24" s="122" t="inlineStr">
        <is>
          <t>2026-10-12</t>
        </is>
      </c>
      <c r="C24" s="122" t="inlineStr">
        <is>
          <t>SWAT</t>
        </is>
      </c>
      <c r="D24" s="122" t="inlineStr">
        <is>
          <t>2610N</t>
        </is>
      </c>
      <c r="E24" s="122" t="inlineStr">
        <is>
          <t>22GP</t>
        </is>
      </c>
      <c r="F24" s="122" t="inlineStr">
        <is>
          <t>SD</t>
        </is>
      </c>
      <c r="G24" s="122" t="inlineStr">
        <is>
          <t>THLCH</t>
        </is>
      </c>
      <c r="H24" s="122" t="inlineStr">
        <is>
          <t>THLCH</t>
        </is>
      </c>
      <c r="I24" s="122" t="inlineStr">
        <is>
          <t>KRPUS</t>
        </is>
      </c>
      <c r="J24" s="122" t="inlineStr">
        <is>
          <t>JPTOS</t>
        </is>
      </c>
      <c r="K24" s="122" t="inlineStr">
        <is>
          <t>F</t>
        </is>
      </c>
      <c r="L24" s="122" t="inlineStr">
        <is>
          <t>ONE</t>
        </is>
      </c>
      <c r="M24" s="122" t="inlineStr">
        <is>
          <t>VFL</t>
        </is>
      </c>
      <c r="N24" s="122" t="inlineStr">
        <is>
          <t>LCH04</t>
        </is>
      </c>
      <c r="O24" s="122" t="inlineStr">
        <is>
          <t>LCH</t>
        </is>
      </c>
      <c r="P24" s="122" t="inlineStr">
        <is>
          <t>TH</t>
        </is>
      </c>
      <c r="Q24" s="122" t="inlineStr">
        <is>
          <t>HASLS22260902438</t>
        </is>
      </c>
      <c r="R24" s="122" t="inlineStr">
        <is>
          <t>Y</t>
        </is>
      </c>
      <c r="S24" s="122" t="inlineStr">
        <is>
          <t>N</t>
        </is>
      </c>
      <c r="T24" s="122" t="inlineStr">
        <is>
          <t>KTS</t>
        </is>
      </c>
      <c r="V24" s="122" t="inlineStr">
        <is>
          <t>K0120021</t>
        </is>
      </c>
      <c r="W24" s="122" t="inlineStr">
        <is>
          <t>DELTA DAIKI METAL (THAILAND)</t>
        </is>
      </c>
      <c r="X24" s="122" t="inlineStr">
        <is>
          <t>VFD</t>
        </is>
      </c>
      <c r="Y24" s="122" t="inlineStr">
        <is>
          <t>DAIKI ALUMINIUM INDUSTRY</t>
        </is>
      </c>
      <c r="Z24" s="122" t="inlineStr">
        <is>
          <t>DAIKI ALUMINIUM INDUSTRY</t>
        </is>
      </c>
      <c r="AA24" s="122" t="n">
        <v>24818.5</v>
      </c>
      <c r="AB24" s="122" t="inlineStr">
        <is>
          <t>LCH04</t>
        </is>
      </c>
      <c r="AC24" s="122" t="inlineStr">
        <is>
          <t>TOS01</t>
        </is>
      </c>
    </row>
    <row r="25">
      <c r="A25" s="122" t="inlineStr">
        <is>
          <t>SKLU2115850</t>
        </is>
      </c>
      <c r="B25" s="122" t="inlineStr">
        <is>
          <t>2026-10-12</t>
        </is>
      </c>
      <c r="C25" s="122" t="inlineStr">
        <is>
          <t>SWAT</t>
        </is>
      </c>
      <c r="D25" s="122" t="inlineStr">
        <is>
          <t>2610N</t>
        </is>
      </c>
      <c r="E25" s="122" t="inlineStr">
        <is>
          <t>22GP</t>
        </is>
      </c>
      <c r="F25" s="122" t="inlineStr">
        <is>
          <t>SD</t>
        </is>
      </c>
      <c r="G25" s="122" t="inlineStr">
        <is>
          <t>THLCH</t>
        </is>
      </c>
      <c r="H25" s="122" t="inlineStr">
        <is>
          <t>THLCH</t>
        </is>
      </c>
      <c r="I25" s="122" t="inlineStr">
        <is>
          <t>CNSHK</t>
        </is>
      </c>
      <c r="J25" s="122" t="inlineStr">
        <is>
          <t>CNSHK</t>
        </is>
      </c>
      <c r="K25" s="122" t="inlineStr">
        <is>
          <t>F</t>
        </is>
      </c>
      <c r="L25" s="122" t="inlineStr">
        <is>
          <t>ONE</t>
        </is>
      </c>
      <c r="M25" s="122" t="inlineStr">
        <is>
          <t>VFL</t>
        </is>
      </c>
      <c r="N25" s="122" t="inlineStr">
        <is>
          <t>LCH04</t>
        </is>
      </c>
      <c r="O25" s="122" t="inlineStr">
        <is>
          <t>LCH</t>
        </is>
      </c>
      <c r="P25" s="122" t="inlineStr">
        <is>
          <t>TH</t>
        </is>
      </c>
      <c r="Q25" s="122" t="inlineStr">
        <is>
          <t>HASLS22260900459</t>
        </is>
      </c>
      <c r="R25" s="122" t="inlineStr">
        <is>
          <t>N</t>
        </is>
      </c>
      <c r="S25" s="122" t="inlineStr">
        <is>
          <t>N</t>
        </is>
      </c>
      <c r="T25" s="122" t="inlineStr">
        <is>
          <t>KTS</t>
        </is>
      </c>
      <c r="V25" s="122" t="inlineStr">
        <is>
          <t>K0120021</t>
        </is>
      </c>
      <c r="W25" s="122" t="inlineStr">
        <is>
          <t>THAI POLYCARBONATE CO.,LTD.</t>
        </is>
      </c>
      <c r="X25" s="122" t="inlineStr">
        <is>
          <t>VED</t>
        </is>
      </c>
      <c r="Y25" s="122" t="inlineStr">
        <is>
          <t>SHENG CHANG HONG TRADING</t>
        </is>
      </c>
      <c r="Z25" s="122" t="inlineStr">
        <is>
          <t>SHENG CHANG HONG TRADING</t>
        </is>
      </c>
      <c r="AA25" s="122" t="n">
        <v>16432</v>
      </c>
      <c r="AB25" s="122" t="inlineStr">
        <is>
          <t>LCH04</t>
        </is>
      </c>
      <c r="AC25" s="122" t="inlineStr">
        <is>
          <t>SHE04</t>
        </is>
      </c>
    </row>
    <row r="26">
      <c r="A26" s="122" t="inlineStr">
        <is>
          <t>SKLU2300210</t>
        </is>
      </c>
      <c r="B26" s="122" t="inlineStr">
        <is>
          <t>2026-10-12</t>
        </is>
      </c>
      <c r="C26" s="122" t="inlineStr">
        <is>
          <t>SWAT</t>
        </is>
      </c>
      <c r="D26" s="122" t="inlineStr">
        <is>
          <t>2610N</t>
        </is>
      </c>
      <c r="E26" s="122" t="inlineStr">
        <is>
          <t>22GP</t>
        </is>
      </c>
      <c r="F26" s="122" t="inlineStr">
        <is>
          <t>SD</t>
        </is>
      </c>
      <c r="G26" s="122" t="inlineStr">
        <is>
          <t>THLCH</t>
        </is>
      </c>
      <c r="H26" s="122" t="inlineStr">
        <is>
          <t>THLCH</t>
        </is>
      </c>
      <c r="I26" s="122" t="inlineStr">
        <is>
          <t>TWKEL</t>
        </is>
      </c>
      <c r="J26" s="122" t="inlineStr">
        <is>
          <t>TWKEL</t>
        </is>
      </c>
      <c r="K26" s="122" t="inlineStr">
        <is>
          <t>F</t>
        </is>
      </c>
      <c r="L26" s="122" t="inlineStr">
        <is>
          <t>ONE</t>
        </is>
      </c>
      <c r="M26" s="122" t="inlineStr">
        <is>
          <t>VFL</t>
        </is>
      </c>
      <c r="N26" s="122" t="inlineStr">
        <is>
          <t>LCH04</t>
        </is>
      </c>
      <c r="O26" s="122" t="inlineStr">
        <is>
          <t>LCH</t>
        </is>
      </c>
      <c r="P26" s="122" t="inlineStr">
        <is>
          <t>TH</t>
        </is>
      </c>
      <c r="Q26" s="122" t="inlineStr">
        <is>
          <t>HASLS22261000076</t>
        </is>
      </c>
      <c r="R26" s="122" t="inlineStr">
        <is>
          <t>N</t>
        </is>
      </c>
      <c r="S26" s="122" t="inlineStr">
        <is>
          <t>N</t>
        </is>
      </c>
      <c r="T26" s="122" t="inlineStr">
        <is>
          <t>KTS</t>
        </is>
      </c>
      <c r="V26" s="122" t="inlineStr">
        <is>
          <t>K0120021</t>
        </is>
      </c>
      <c r="W26" s="122" t="inlineStr">
        <is>
          <t>UBE CHEMICALS (ASIA) PUBLIC</t>
        </is>
      </c>
      <c r="X26" s="122" t="inlineStr">
        <is>
          <t>VED</t>
        </is>
      </c>
      <c r="Y26" s="122" t="inlineStr">
        <is>
          <t>FULLESTY CORPORATION</t>
        </is>
      </c>
      <c r="Z26" s="122" t="inlineStr">
        <is>
          <t>FULLESTY CORPORATION</t>
        </is>
      </c>
      <c r="AA26" s="122" t="n">
        <v>13096</v>
      </c>
      <c r="AB26" s="122" t="inlineStr">
        <is>
          <t>LCH04</t>
        </is>
      </c>
      <c r="AC26" s="122" t="inlineStr">
        <is>
          <t>KEL02</t>
        </is>
      </c>
    </row>
    <row r="27">
      <c r="A27" s="122" t="inlineStr">
        <is>
          <t>SKLU2323724</t>
        </is>
      </c>
      <c r="B27" s="122" t="inlineStr">
        <is>
          <t>2026-10-12</t>
        </is>
      </c>
      <c r="C27" s="122" t="inlineStr">
        <is>
          <t>SWAT</t>
        </is>
      </c>
      <c r="D27" s="122" t="inlineStr">
        <is>
          <t>2610N</t>
        </is>
      </c>
      <c r="E27" s="122" t="inlineStr">
        <is>
          <t>22GP</t>
        </is>
      </c>
      <c r="F27" s="122" t="inlineStr">
        <is>
          <t>SD</t>
        </is>
      </c>
      <c r="G27" s="122" t="inlineStr">
        <is>
          <t>THLCH</t>
        </is>
      </c>
      <c r="H27" s="122" t="inlineStr">
        <is>
          <t>THLCH</t>
        </is>
      </c>
      <c r="I27" s="122" t="inlineStr">
        <is>
          <t>TWKEL</t>
        </is>
      </c>
      <c r="J27" s="122" t="inlineStr">
        <is>
          <t>TWKEL</t>
        </is>
      </c>
      <c r="K27" s="122" t="inlineStr">
        <is>
          <t>F</t>
        </is>
      </c>
      <c r="L27" s="122" t="inlineStr">
        <is>
          <t>ONE</t>
        </is>
      </c>
      <c r="M27" s="122" t="inlineStr">
        <is>
          <t>VFL</t>
        </is>
      </c>
      <c r="N27" s="122" t="inlineStr">
        <is>
          <t>LCH04</t>
        </is>
      </c>
      <c r="O27" s="122" t="inlineStr">
        <is>
          <t>LCH</t>
        </is>
      </c>
      <c r="P27" s="122" t="inlineStr">
        <is>
          <t>TH</t>
        </is>
      </c>
      <c r="Q27" s="122" t="inlineStr">
        <is>
          <t>HASLS22260802276</t>
        </is>
      </c>
      <c r="R27" s="122" t="inlineStr">
        <is>
          <t>N</t>
        </is>
      </c>
      <c r="S27" s="122" t="inlineStr">
        <is>
          <t>N</t>
        </is>
      </c>
      <c r="T27" s="122" t="inlineStr">
        <is>
          <t>KTS</t>
        </is>
      </c>
      <c r="V27" s="122" t="inlineStr">
        <is>
          <t>K0120021</t>
        </is>
      </c>
      <c r="W27" s="122" t="inlineStr">
        <is>
          <t>L.LIGHTING GLASS CO., LTD.</t>
        </is>
      </c>
      <c r="X27" s="122" t="inlineStr">
        <is>
          <t>VFD</t>
        </is>
      </c>
      <c r="Y27" s="122" t="inlineStr">
        <is>
          <t>TENG YUAN CO., LTD.</t>
        </is>
      </c>
      <c r="Z27" s="122" t="inlineStr">
        <is>
          <t>TENG YUAN CO., LTD.</t>
        </is>
      </c>
      <c r="AA27" s="122" t="n">
        <v>12378.5</v>
      </c>
      <c r="AB27" s="122" t="inlineStr">
        <is>
          <t>LCH04</t>
        </is>
      </c>
      <c r="AC27" s="122" t="inlineStr">
        <is>
          <t>KEL02</t>
        </is>
      </c>
    </row>
    <row r="28">
      <c r="A28" s="122" t="inlineStr">
        <is>
          <t>SKRU9908013</t>
        </is>
      </c>
      <c r="B28" s="122" t="inlineStr">
        <is>
          <t>2026-10-12</t>
        </is>
      </c>
      <c r="C28" s="122" t="inlineStr">
        <is>
          <t>SWAT</t>
        </is>
      </c>
      <c r="D28" s="122" t="inlineStr">
        <is>
          <t>2610N</t>
        </is>
      </c>
      <c r="E28" s="122" t="inlineStr">
        <is>
          <t>45RE</t>
        </is>
      </c>
      <c r="F28" s="122" t="inlineStr">
        <is>
          <t>SD</t>
        </is>
      </c>
      <c r="G28" s="122" t="inlineStr">
        <is>
          <t>THLCH</t>
        </is>
      </c>
      <c r="H28" s="122" t="inlineStr">
        <is>
          <t>THLCH</t>
        </is>
      </c>
      <c r="I28" s="122" t="inlineStr">
        <is>
          <t>KRPUS</t>
        </is>
      </c>
      <c r="J28" s="122" t="inlineStr">
        <is>
          <t>KRPUS</t>
        </is>
      </c>
      <c r="K28" s="122" t="inlineStr">
        <is>
          <t>F</t>
        </is>
      </c>
      <c r="L28" s="122" t="inlineStr">
        <is>
          <t>ONE</t>
        </is>
      </c>
      <c r="M28" s="122" t="inlineStr">
        <is>
          <t>VFL</t>
        </is>
      </c>
      <c r="N28" s="122" t="inlineStr">
        <is>
          <t>LCH04</t>
        </is>
      </c>
      <c r="O28" s="122" t="inlineStr">
        <is>
          <t>LCH</t>
        </is>
      </c>
      <c r="P28" s="122" t="inlineStr">
        <is>
          <t>TH</t>
        </is>
      </c>
      <c r="Q28" s="122" t="inlineStr">
        <is>
          <t>HASLS22260902538</t>
        </is>
      </c>
      <c r="R28" s="122" t="inlineStr">
        <is>
          <t>N</t>
        </is>
      </c>
      <c r="S28" s="122" t="inlineStr">
        <is>
          <t>N</t>
        </is>
      </c>
      <c r="T28" s="122" t="inlineStr">
        <is>
          <t>KTS</t>
        </is>
      </c>
      <c r="V28" s="122" t="inlineStr">
        <is>
          <t>K0120025</t>
        </is>
      </c>
      <c r="W28" s="122" t="inlineStr">
        <is>
          <t>SAHA FARMS INTERNATIONAL CO.,LTD.</t>
        </is>
      </c>
      <c r="X28" s="122" t="inlineStr">
        <is>
          <t>VFD</t>
        </is>
      </c>
      <c r="Y28" s="122" t="inlineStr">
        <is>
          <t>TO THE ORDER OF KOOKMIN BANK</t>
        </is>
      </c>
      <c r="Z28" s="122" t="inlineStr">
        <is>
          <t>TMC.</t>
        </is>
      </c>
      <c r="AA28" s="122" t="n">
        <v>18760.25</v>
      </c>
      <c r="AB28" s="122" t="inlineStr">
        <is>
          <t>LCH04</t>
        </is>
      </c>
      <c r="AC28" s="122" t="inlineStr">
        <is>
          <t>PUSH4</t>
        </is>
      </c>
    </row>
    <row r="29">
      <c r="A29" s="122" t="inlineStr">
        <is>
          <t>UETU2424695</t>
        </is>
      </c>
      <c r="B29" s="122" t="inlineStr">
        <is>
          <t>2026-10-12</t>
        </is>
      </c>
      <c r="C29" s="122" t="inlineStr">
        <is>
          <t>SWAT</t>
        </is>
      </c>
      <c r="D29" s="122" t="inlineStr">
        <is>
          <t>2610N</t>
        </is>
      </c>
      <c r="E29" s="122" t="inlineStr">
        <is>
          <t>22GP</t>
        </is>
      </c>
      <c r="F29" s="122" t="inlineStr">
        <is>
          <t>SD</t>
        </is>
      </c>
      <c r="G29" s="122" t="inlineStr">
        <is>
          <t>THLCH</t>
        </is>
      </c>
      <c r="H29" s="122" t="inlineStr">
        <is>
          <t>THLCH</t>
        </is>
      </c>
      <c r="I29" s="122" t="inlineStr">
        <is>
          <t>HKHKG</t>
        </is>
      </c>
      <c r="J29" s="122" t="inlineStr">
        <is>
          <t>CNSUD</t>
        </is>
      </c>
      <c r="K29" s="122" t="inlineStr">
        <is>
          <t>F</t>
        </is>
      </c>
      <c r="L29" s="122" t="inlineStr">
        <is>
          <t>L/T</t>
        </is>
      </c>
      <c r="M29" s="122" t="inlineStr">
        <is>
          <t>VFL</t>
        </is>
      </c>
      <c r="N29" s="122" t="inlineStr">
        <is>
          <t>LCH04</t>
        </is>
      </c>
      <c r="O29" s="122" t="inlineStr">
        <is>
          <t>LCH</t>
        </is>
      </c>
      <c r="P29" s="122" t="inlineStr">
        <is>
          <t>TH</t>
        </is>
      </c>
      <c r="Q29" s="122" t="inlineStr">
        <is>
          <t>HASLS22260901481</t>
        </is>
      </c>
      <c r="R29" s="122" t="inlineStr">
        <is>
          <t>N</t>
        </is>
      </c>
      <c r="S29" s="122" t="inlineStr">
        <is>
          <t>N</t>
        </is>
      </c>
      <c r="T29" s="122" t="inlineStr">
        <is>
          <t>KTS</t>
        </is>
      </c>
      <c r="V29" s="122" t="inlineStr">
        <is>
          <t>TSN16L02</t>
        </is>
      </c>
      <c r="W29" s="122" t="inlineStr">
        <is>
          <t>OLIVER CO.,LTD.</t>
        </is>
      </c>
      <c r="X29" s="122" t="inlineStr">
        <is>
          <t>VFD</t>
        </is>
      </c>
      <c r="Y29" s="122" t="inlineStr">
        <is>
          <t>QINGYUAN YILIN RENEWABLE</t>
        </is>
      </c>
      <c r="Z29" s="122" t="inlineStr">
        <is>
          <t>METAL FOREST INTERNATIONAL</t>
        </is>
      </c>
      <c r="AA29" s="122" t="n">
        <v>27445</v>
      </c>
      <c r="AB29" s="122" t="inlineStr">
        <is>
          <t>LCH04</t>
        </is>
      </c>
      <c r="AC29" s="122" t="inlineStr">
        <is>
          <t>HKG03</t>
        </is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</sheetData>
  <autoFilter ref="A1:Z1633">
    <filterColumn colId="2" hiddenButton="0" showButton="1">
      <filters>
        <filter val="SKWD"/>
      </filters>
    </filterColumn>
    <sortState ref="A2:Z10">
      <sortCondition ref="Q1:Q1633"/>
    </sortState>
  </autoFilter>
  <conditionalFormatting sqref="A64440:A1048576">
    <cfRule type="duplicateValues" priority="2" dxfId="4"/>
  </conditionalFormatting>
  <conditionalFormatting sqref="A1:IV1">
    <cfRule type="duplicateValues" priority="1" dxfId="1" stopIfTrue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17"/>
  <sheetViews>
    <sheetView tabSelected="0" workbookViewId="0">
      <selection activeCell="K11" sqref="K11"/>
    </sheetView>
  </sheetViews>
  <sheetFormatPr baseColWidth="8" defaultRowHeight="12.95" customHeight="1"/>
  <cols>
    <col width="13.125" bestFit="1" customWidth="1" style="105" min="1" max="1"/>
    <col width="10.875" bestFit="1" customWidth="1" style="105" min="2" max="2"/>
    <col width="4.625" bestFit="1" customWidth="1" style="105" min="3" max="3"/>
    <col width="7" bestFit="1" customWidth="1" style="105" min="4" max="4"/>
    <col width="5.125" bestFit="1" customWidth="1" style="105" min="5" max="5"/>
    <col width="3.25" bestFit="1" customWidth="1" style="105" min="6" max="10"/>
    <col width="3.5" bestFit="1" customWidth="1" style="105" min="11" max="11"/>
    <col width="3.375" bestFit="1" customWidth="1" style="105" min="12" max="13"/>
    <col width="4.625" bestFit="1" customWidth="1" style="105" min="14" max="14"/>
    <col width="4.875" bestFit="1" customWidth="1" style="105" min="15" max="15"/>
    <col width="5.25" bestFit="1" customWidth="1" style="105" min="16" max="16"/>
    <col width="4.875" bestFit="1" customWidth="1" style="105" min="17" max="17"/>
    <col width="7.875" bestFit="1" customWidth="1" style="105" min="18" max="18"/>
    <col width="4.375" bestFit="1" customWidth="1" style="105" min="19" max="19"/>
    <col width="5.5" bestFit="1" customWidth="1" style="105" min="20" max="20"/>
    <col width="5.75" bestFit="1" customWidth="1" style="105" min="21" max="21"/>
    <col width="7.875" bestFit="1" customWidth="1" style="105" min="22" max="22"/>
    <col width="5.125" bestFit="1" customWidth="1" style="105" min="23" max="23"/>
    <col width="4.625" bestFit="1" customWidth="1" style="105" min="24" max="24"/>
    <col width="7.875" bestFit="1" customWidth="1" style="105" min="25" max="25"/>
    <col width="6.125" bestFit="1" customWidth="1" style="105" min="26" max="26"/>
    <col width="32.375" bestFit="1" customWidth="1" style="105" min="27" max="27"/>
    <col width="32.875" bestFit="1" customWidth="1" style="105" min="28" max="28"/>
    <col width="8.625" bestFit="1" customWidth="1" style="105" min="29" max="29"/>
    <col width="9.375" bestFit="1" customWidth="1" style="105" min="30" max="30"/>
    <col width="9.25" bestFit="1" customWidth="1" style="105" min="31" max="31"/>
    <col width="2.5" bestFit="1" customWidth="1" style="105" min="32" max="32"/>
    <col width="3.25" bestFit="1" customWidth="1" style="105" min="33" max="33"/>
    <col width="3.375" bestFit="1" customWidth="1" style="105" min="34" max="35"/>
    <col width="6.25" bestFit="1" customWidth="1" style="105" min="36" max="36"/>
    <col width="8.25" bestFit="1" customWidth="1" style="105" min="37" max="37"/>
    <col width="6.875" bestFit="1" customWidth="1" style="105" min="38" max="38"/>
    <col width="6.375" bestFit="1" customWidth="1" style="105" min="39" max="39"/>
    <col width="19.625" bestFit="1" customWidth="1" style="105" min="40" max="40"/>
    <col width="34.5" bestFit="1" customWidth="1" style="105" min="41" max="41"/>
    <col width="6.25" bestFit="1" customWidth="1" style="105" min="42" max="42"/>
    <col width="7.125" bestFit="1" customWidth="1" style="105" min="43" max="43"/>
    <col width="5.875" bestFit="1" customWidth="1" style="105" min="44" max="44"/>
    <col width="29.625" bestFit="1" customWidth="1" style="105" min="45" max="45"/>
    <col width="5.875" bestFit="1" customWidth="1" style="105" min="46" max="46"/>
    <col width="3.75" bestFit="1" customWidth="1" style="105" min="47" max="47"/>
    <col width="6.25" bestFit="1" customWidth="1" style="105" min="48" max="48"/>
    <col width="6.875" bestFit="1" customWidth="1" style="105" min="49" max="49"/>
    <col width="6.75" bestFit="1" customWidth="1" style="105" min="50" max="50"/>
    <col width="5.875" bestFit="1" customWidth="1" style="105" min="51" max="51"/>
    <col width="108.375" bestFit="1" customWidth="1" style="105" min="52" max="52"/>
    <col width="104.125" bestFit="1" customWidth="1" style="105" min="53" max="53"/>
    <col width="7" bestFit="1" customWidth="1" style="105" min="54" max="54"/>
    <col width="7.875" bestFit="1" customWidth="1" style="105" min="55" max="55"/>
    <col width="8.5" bestFit="1" customWidth="1" style="105" min="56" max="56"/>
    <col width="4.75" bestFit="1" customWidth="1" style="105" min="57" max="57"/>
    <col width="37.375" bestFit="1" customWidth="1" style="105" min="58" max="58"/>
    <col width="6.875" bestFit="1" customWidth="1" style="105" min="59" max="59"/>
    <col width="7.875" bestFit="1" customWidth="1" style="105" min="60" max="60"/>
    <col width="7.75" bestFit="1" customWidth="1" style="105" min="61" max="61"/>
    <col width="8" bestFit="1" customWidth="1" style="105" min="62" max="62"/>
    <col width="4.75" bestFit="1" customWidth="1" style="105" min="63" max="63"/>
    <col width="7.875" bestFit="1" customWidth="1" style="105" min="64" max="64"/>
    <col width="4" bestFit="1" customWidth="1" style="105" min="65" max="76"/>
    <col width="3.75" bestFit="1" customWidth="1" style="105" min="77" max="77"/>
    <col width="4" bestFit="1" customWidth="1" style="105" min="78" max="78"/>
    <col width="3.625" bestFit="1" customWidth="1" style="105" min="79" max="79"/>
    <col width="9.875" bestFit="1" customWidth="1" style="105" min="80" max="80"/>
    <col width="5" bestFit="1" customWidth="1" style="105" min="81" max="81"/>
    <col width="7.125" bestFit="1" customWidth="1" style="105" min="82" max="82"/>
    <col width="9.375" bestFit="1" customWidth="1" style="105" min="83" max="83"/>
    <col width="17.5" bestFit="1" customWidth="1" style="105" min="84" max="84"/>
    <col width="7.375" bestFit="1" customWidth="1" style="105" min="85" max="85"/>
    <col width="5.75" bestFit="1" customWidth="1" style="105" min="86" max="86"/>
    <col width="31.25" bestFit="1" customWidth="1" style="105" min="87" max="87"/>
    <col width="26" bestFit="1" customWidth="1" style="105" min="88" max="88"/>
    <col width="24.375" bestFit="1" customWidth="1" style="105" min="89" max="90"/>
    <col width="6.375" bestFit="1" customWidth="1" style="105" min="91" max="91"/>
    <col width="9.875" bestFit="1" customWidth="1" style="105" min="92" max="93"/>
    <col width="28.875" bestFit="1" customWidth="1" style="105" min="94" max="94"/>
    <col width="9.75" bestFit="1" customWidth="1" style="105" min="95" max="95"/>
    <col width="12.625" bestFit="1" customWidth="1" style="105" min="96" max="96"/>
    <col width="32.375" bestFit="1" customWidth="1" style="105" min="97" max="97"/>
    <col width="3.375" bestFit="1" customWidth="1" style="105" min="98" max="98"/>
    <col width="8" bestFit="1" customWidth="1" style="105" min="99" max="99"/>
    <col width="5.625" bestFit="1" customWidth="1" style="105" min="100" max="100"/>
    <col width="7.875" bestFit="1" customWidth="1" style="105" min="101" max="101"/>
    <col width="6" bestFit="1" customWidth="1" style="105" min="102" max="102"/>
    <col width="11.25" bestFit="1" customWidth="1" style="105" min="103" max="103"/>
    <col width="9" customWidth="1" style="105" min="104" max="256"/>
    <col width="13.125" bestFit="1" customWidth="1" style="105" min="257" max="257"/>
    <col width="10.875" bestFit="1" customWidth="1" style="105" min="258" max="258"/>
    <col width="4.625" bestFit="1" customWidth="1" style="105" min="259" max="259"/>
    <col width="7" bestFit="1" customWidth="1" style="105" min="260" max="260"/>
    <col width="5.125" bestFit="1" customWidth="1" style="105" min="261" max="261"/>
    <col width="3.25" bestFit="1" customWidth="1" style="105" min="262" max="266"/>
    <col width="3.5" bestFit="1" customWidth="1" style="105" min="267" max="267"/>
    <col width="3.375" bestFit="1" customWidth="1" style="105" min="268" max="269"/>
    <col width="4.625" bestFit="1" customWidth="1" style="105" min="270" max="270"/>
    <col width="4.875" bestFit="1" customWidth="1" style="105" min="271" max="271"/>
    <col width="5.25" bestFit="1" customWidth="1" style="105" min="272" max="272"/>
    <col width="4.875" bestFit="1" customWidth="1" style="105" min="273" max="273"/>
    <col width="7.875" bestFit="1" customWidth="1" style="105" min="274" max="274"/>
    <col width="4.375" bestFit="1" customWidth="1" style="105" min="275" max="275"/>
    <col width="5.5" bestFit="1" customWidth="1" style="105" min="276" max="276"/>
    <col width="5.75" bestFit="1" customWidth="1" style="105" min="277" max="277"/>
    <col width="7.875" bestFit="1" customWidth="1" style="105" min="278" max="278"/>
    <col width="5.125" bestFit="1" customWidth="1" style="105" min="279" max="279"/>
    <col width="4.625" bestFit="1" customWidth="1" style="105" min="280" max="280"/>
    <col width="7.875" bestFit="1" customWidth="1" style="105" min="281" max="281"/>
    <col width="6.125" bestFit="1" customWidth="1" style="105" min="282" max="282"/>
    <col width="32.375" bestFit="1" customWidth="1" style="105" min="283" max="283"/>
    <col width="32.875" bestFit="1" customWidth="1" style="105" min="284" max="284"/>
    <col width="8.625" bestFit="1" customWidth="1" style="105" min="285" max="285"/>
    <col width="9.375" bestFit="1" customWidth="1" style="105" min="286" max="286"/>
    <col width="9.25" bestFit="1" customWidth="1" style="105" min="287" max="287"/>
    <col width="2.5" bestFit="1" customWidth="1" style="105" min="288" max="288"/>
    <col width="3.25" bestFit="1" customWidth="1" style="105" min="289" max="289"/>
    <col width="3.375" bestFit="1" customWidth="1" style="105" min="290" max="291"/>
    <col width="6.25" bestFit="1" customWidth="1" style="105" min="292" max="292"/>
    <col width="8.25" bestFit="1" customWidth="1" style="105" min="293" max="293"/>
    <col width="6.875" bestFit="1" customWidth="1" style="105" min="294" max="294"/>
    <col width="6.375" bestFit="1" customWidth="1" style="105" min="295" max="295"/>
    <col width="19.625" bestFit="1" customWidth="1" style="105" min="296" max="296"/>
    <col width="34.5" bestFit="1" customWidth="1" style="105" min="297" max="297"/>
    <col width="6.25" bestFit="1" customWidth="1" style="105" min="298" max="298"/>
    <col width="7.125" bestFit="1" customWidth="1" style="105" min="299" max="299"/>
    <col width="5.875" bestFit="1" customWidth="1" style="105" min="300" max="300"/>
    <col width="29.625" bestFit="1" customWidth="1" style="105" min="301" max="301"/>
    <col width="5.875" bestFit="1" customWidth="1" style="105" min="302" max="302"/>
    <col width="3.75" bestFit="1" customWidth="1" style="105" min="303" max="303"/>
    <col width="6.25" bestFit="1" customWidth="1" style="105" min="304" max="304"/>
    <col width="6.875" bestFit="1" customWidth="1" style="105" min="305" max="305"/>
    <col width="6.75" bestFit="1" customWidth="1" style="105" min="306" max="306"/>
    <col width="5.875" bestFit="1" customWidth="1" style="105" min="307" max="307"/>
    <col width="108.375" bestFit="1" customWidth="1" style="105" min="308" max="308"/>
    <col width="104.125" bestFit="1" customWidth="1" style="105" min="309" max="309"/>
    <col width="7" bestFit="1" customWidth="1" style="105" min="310" max="310"/>
    <col width="7.875" bestFit="1" customWidth="1" style="105" min="311" max="311"/>
    <col width="8.5" bestFit="1" customWidth="1" style="105" min="312" max="312"/>
    <col width="4.75" bestFit="1" customWidth="1" style="105" min="313" max="313"/>
    <col width="37.375" bestFit="1" customWidth="1" style="105" min="314" max="314"/>
    <col width="6.875" bestFit="1" customWidth="1" style="105" min="315" max="315"/>
    <col width="7.875" bestFit="1" customWidth="1" style="105" min="316" max="316"/>
    <col width="7.75" bestFit="1" customWidth="1" style="105" min="317" max="317"/>
    <col width="8" bestFit="1" customWidth="1" style="105" min="318" max="318"/>
    <col width="4.75" bestFit="1" customWidth="1" style="105" min="319" max="319"/>
    <col width="7.875" bestFit="1" customWidth="1" style="105" min="320" max="320"/>
    <col width="4" bestFit="1" customWidth="1" style="105" min="321" max="332"/>
    <col width="3.75" bestFit="1" customWidth="1" style="105" min="333" max="333"/>
    <col width="4" bestFit="1" customWidth="1" style="105" min="334" max="334"/>
    <col width="3.625" bestFit="1" customWidth="1" style="105" min="335" max="335"/>
    <col width="9.875" bestFit="1" customWidth="1" style="105" min="336" max="336"/>
    <col width="5" bestFit="1" customWidth="1" style="105" min="337" max="337"/>
    <col width="7.125" bestFit="1" customWidth="1" style="105" min="338" max="338"/>
    <col width="9.375" bestFit="1" customWidth="1" style="105" min="339" max="339"/>
    <col width="17.5" bestFit="1" customWidth="1" style="105" min="340" max="340"/>
    <col width="7.375" bestFit="1" customWidth="1" style="105" min="341" max="341"/>
    <col width="5.75" bestFit="1" customWidth="1" style="105" min="342" max="342"/>
    <col width="31.25" bestFit="1" customWidth="1" style="105" min="343" max="343"/>
    <col width="26" bestFit="1" customWidth="1" style="105" min="344" max="344"/>
    <col width="24.375" bestFit="1" customWidth="1" style="105" min="345" max="346"/>
    <col width="6.375" bestFit="1" customWidth="1" style="105" min="347" max="347"/>
    <col width="9.875" bestFit="1" customWidth="1" style="105" min="348" max="349"/>
    <col width="28.875" bestFit="1" customWidth="1" style="105" min="350" max="350"/>
    <col width="9.75" bestFit="1" customWidth="1" style="105" min="351" max="351"/>
    <col width="12.625" bestFit="1" customWidth="1" style="105" min="352" max="352"/>
    <col width="32.375" bestFit="1" customWidth="1" style="105" min="353" max="353"/>
    <col width="3.375" bestFit="1" customWidth="1" style="105" min="354" max="354"/>
    <col width="8" bestFit="1" customWidth="1" style="105" min="355" max="355"/>
    <col width="5.625" bestFit="1" customWidth="1" style="105" min="356" max="356"/>
    <col width="7.875" bestFit="1" customWidth="1" style="105" min="357" max="357"/>
    <col width="6" bestFit="1" customWidth="1" style="105" min="358" max="358"/>
    <col width="11.25" bestFit="1" customWidth="1" style="105" min="359" max="359"/>
    <col width="9" customWidth="1" style="105" min="360" max="512"/>
    <col width="13.125" bestFit="1" customWidth="1" style="105" min="513" max="513"/>
    <col width="10.875" bestFit="1" customWidth="1" style="105" min="514" max="514"/>
    <col width="4.625" bestFit="1" customWidth="1" style="105" min="515" max="515"/>
    <col width="7" bestFit="1" customWidth="1" style="105" min="516" max="516"/>
    <col width="5.125" bestFit="1" customWidth="1" style="105" min="517" max="517"/>
    <col width="3.25" bestFit="1" customWidth="1" style="105" min="518" max="522"/>
    <col width="3.5" bestFit="1" customWidth="1" style="105" min="523" max="523"/>
    <col width="3.375" bestFit="1" customWidth="1" style="105" min="524" max="525"/>
    <col width="4.625" bestFit="1" customWidth="1" style="105" min="526" max="526"/>
    <col width="4.875" bestFit="1" customWidth="1" style="105" min="527" max="527"/>
    <col width="5.25" bestFit="1" customWidth="1" style="105" min="528" max="528"/>
    <col width="4.875" bestFit="1" customWidth="1" style="105" min="529" max="529"/>
    <col width="7.875" bestFit="1" customWidth="1" style="105" min="530" max="530"/>
    <col width="4.375" bestFit="1" customWidth="1" style="105" min="531" max="531"/>
    <col width="5.5" bestFit="1" customWidth="1" style="105" min="532" max="532"/>
    <col width="5.75" bestFit="1" customWidth="1" style="105" min="533" max="533"/>
    <col width="7.875" bestFit="1" customWidth="1" style="105" min="534" max="534"/>
    <col width="5.125" bestFit="1" customWidth="1" style="105" min="535" max="535"/>
    <col width="4.625" bestFit="1" customWidth="1" style="105" min="536" max="536"/>
    <col width="7.875" bestFit="1" customWidth="1" style="105" min="537" max="537"/>
    <col width="6.125" bestFit="1" customWidth="1" style="105" min="538" max="538"/>
    <col width="32.375" bestFit="1" customWidth="1" style="105" min="539" max="539"/>
    <col width="32.875" bestFit="1" customWidth="1" style="105" min="540" max="540"/>
    <col width="8.625" bestFit="1" customWidth="1" style="105" min="541" max="541"/>
    <col width="9.375" bestFit="1" customWidth="1" style="105" min="542" max="542"/>
    <col width="9.25" bestFit="1" customWidth="1" style="105" min="543" max="543"/>
    <col width="2.5" bestFit="1" customWidth="1" style="105" min="544" max="544"/>
    <col width="3.25" bestFit="1" customWidth="1" style="105" min="545" max="545"/>
    <col width="3.375" bestFit="1" customWidth="1" style="105" min="546" max="547"/>
    <col width="6.25" bestFit="1" customWidth="1" style="105" min="548" max="548"/>
    <col width="8.25" bestFit="1" customWidth="1" style="105" min="549" max="549"/>
    <col width="6.875" bestFit="1" customWidth="1" style="105" min="550" max="550"/>
    <col width="6.375" bestFit="1" customWidth="1" style="105" min="551" max="551"/>
    <col width="19.625" bestFit="1" customWidth="1" style="105" min="552" max="552"/>
    <col width="34.5" bestFit="1" customWidth="1" style="105" min="553" max="553"/>
    <col width="6.25" bestFit="1" customWidth="1" style="105" min="554" max="554"/>
    <col width="7.125" bestFit="1" customWidth="1" style="105" min="555" max="555"/>
    <col width="5.875" bestFit="1" customWidth="1" style="105" min="556" max="556"/>
    <col width="29.625" bestFit="1" customWidth="1" style="105" min="557" max="557"/>
    <col width="5.875" bestFit="1" customWidth="1" style="105" min="558" max="558"/>
    <col width="3.75" bestFit="1" customWidth="1" style="105" min="559" max="559"/>
    <col width="6.25" bestFit="1" customWidth="1" style="105" min="560" max="560"/>
    <col width="6.875" bestFit="1" customWidth="1" style="105" min="561" max="561"/>
    <col width="6.75" bestFit="1" customWidth="1" style="105" min="562" max="562"/>
    <col width="5.875" bestFit="1" customWidth="1" style="105" min="563" max="563"/>
    <col width="108.375" bestFit="1" customWidth="1" style="105" min="564" max="564"/>
    <col width="104.125" bestFit="1" customWidth="1" style="105" min="565" max="565"/>
    <col width="7" bestFit="1" customWidth="1" style="105" min="566" max="566"/>
    <col width="7.875" bestFit="1" customWidth="1" style="105" min="567" max="567"/>
    <col width="8.5" bestFit="1" customWidth="1" style="105" min="568" max="568"/>
    <col width="4.75" bestFit="1" customWidth="1" style="105" min="569" max="569"/>
    <col width="37.375" bestFit="1" customWidth="1" style="105" min="570" max="570"/>
    <col width="6.875" bestFit="1" customWidth="1" style="105" min="571" max="571"/>
    <col width="7.875" bestFit="1" customWidth="1" style="105" min="572" max="572"/>
    <col width="7.75" bestFit="1" customWidth="1" style="105" min="573" max="573"/>
    <col width="8" bestFit="1" customWidth="1" style="105" min="574" max="574"/>
    <col width="4.75" bestFit="1" customWidth="1" style="105" min="575" max="575"/>
    <col width="7.875" bestFit="1" customWidth="1" style="105" min="576" max="576"/>
    <col width="4" bestFit="1" customWidth="1" style="105" min="577" max="588"/>
    <col width="3.75" bestFit="1" customWidth="1" style="105" min="589" max="589"/>
    <col width="4" bestFit="1" customWidth="1" style="105" min="590" max="590"/>
    <col width="3.625" bestFit="1" customWidth="1" style="105" min="591" max="591"/>
    <col width="9.875" bestFit="1" customWidth="1" style="105" min="592" max="592"/>
    <col width="5" bestFit="1" customWidth="1" style="105" min="593" max="593"/>
    <col width="7.125" bestFit="1" customWidth="1" style="105" min="594" max="594"/>
    <col width="9.375" bestFit="1" customWidth="1" style="105" min="595" max="595"/>
    <col width="17.5" bestFit="1" customWidth="1" style="105" min="596" max="596"/>
    <col width="7.375" bestFit="1" customWidth="1" style="105" min="597" max="597"/>
    <col width="5.75" bestFit="1" customWidth="1" style="105" min="598" max="598"/>
    <col width="31.25" bestFit="1" customWidth="1" style="105" min="599" max="599"/>
    <col width="26" bestFit="1" customWidth="1" style="105" min="600" max="600"/>
    <col width="24.375" bestFit="1" customWidth="1" style="105" min="601" max="602"/>
    <col width="6.375" bestFit="1" customWidth="1" style="105" min="603" max="603"/>
    <col width="9.875" bestFit="1" customWidth="1" style="105" min="604" max="605"/>
    <col width="28.875" bestFit="1" customWidth="1" style="105" min="606" max="606"/>
    <col width="9.75" bestFit="1" customWidth="1" style="105" min="607" max="607"/>
    <col width="12.625" bestFit="1" customWidth="1" style="105" min="608" max="608"/>
    <col width="32.375" bestFit="1" customWidth="1" style="105" min="609" max="609"/>
    <col width="3.375" bestFit="1" customWidth="1" style="105" min="610" max="610"/>
    <col width="8" bestFit="1" customWidth="1" style="105" min="611" max="611"/>
    <col width="5.625" bestFit="1" customWidth="1" style="105" min="612" max="612"/>
    <col width="7.875" bestFit="1" customWidth="1" style="105" min="613" max="613"/>
    <col width="6" bestFit="1" customWidth="1" style="105" min="614" max="614"/>
    <col width="11.25" bestFit="1" customWidth="1" style="105" min="615" max="615"/>
    <col width="9" customWidth="1" style="105" min="616" max="768"/>
    <col width="13.125" bestFit="1" customWidth="1" style="105" min="769" max="769"/>
    <col width="10.875" bestFit="1" customWidth="1" style="105" min="770" max="770"/>
    <col width="4.625" bestFit="1" customWidth="1" style="105" min="771" max="771"/>
    <col width="7" bestFit="1" customWidth="1" style="105" min="772" max="772"/>
    <col width="5.125" bestFit="1" customWidth="1" style="105" min="773" max="773"/>
    <col width="3.25" bestFit="1" customWidth="1" style="105" min="774" max="778"/>
    <col width="3.5" bestFit="1" customWidth="1" style="105" min="779" max="779"/>
    <col width="3.375" bestFit="1" customWidth="1" style="105" min="780" max="781"/>
    <col width="4.625" bestFit="1" customWidth="1" style="105" min="782" max="782"/>
    <col width="4.875" bestFit="1" customWidth="1" style="105" min="783" max="783"/>
    <col width="5.25" bestFit="1" customWidth="1" style="105" min="784" max="784"/>
    <col width="4.875" bestFit="1" customWidth="1" style="105" min="785" max="785"/>
    <col width="7.875" bestFit="1" customWidth="1" style="105" min="786" max="786"/>
    <col width="4.375" bestFit="1" customWidth="1" style="105" min="787" max="787"/>
    <col width="5.5" bestFit="1" customWidth="1" style="105" min="788" max="788"/>
    <col width="5.75" bestFit="1" customWidth="1" style="105" min="789" max="789"/>
    <col width="7.875" bestFit="1" customWidth="1" style="105" min="790" max="790"/>
    <col width="5.125" bestFit="1" customWidth="1" style="105" min="791" max="791"/>
    <col width="4.625" bestFit="1" customWidth="1" style="105" min="792" max="792"/>
    <col width="7.875" bestFit="1" customWidth="1" style="105" min="793" max="793"/>
    <col width="6.125" bestFit="1" customWidth="1" style="105" min="794" max="794"/>
    <col width="32.375" bestFit="1" customWidth="1" style="105" min="795" max="795"/>
    <col width="32.875" bestFit="1" customWidth="1" style="105" min="796" max="796"/>
    <col width="8.625" bestFit="1" customWidth="1" style="105" min="797" max="797"/>
    <col width="9.375" bestFit="1" customWidth="1" style="105" min="798" max="798"/>
    <col width="9.25" bestFit="1" customWidth="1" style="105" min="799" max="799"/>
    <col width="2.5" bestFit="1" customWidth="1" style="105" min="800" max="800"/>
    <col width="3.25" bestFit="1" customWidth="1" style="105" min="801" max="801"/>
    <col width="3.375" bestFit="1" customWidth="1" style="105" min="802" max="803"/>
    <col width="6.25" bestFit="1" customWidth="1" style="105" min="804" max="804"/>
    <col width="8.25" bestFit="1" customWidth="1" style="105" min="805" max="805"/>
    <col width="6.875" bestFit="1" customWidth="1" style="105" min="806" max="806"/>
    <col width="6.375" bestFit="1" customWidth="1" style="105" min="807" max="807"/>
    <col width="19.625" bestFit="1" customWidth="1" style="105" min="808" max="808"/>
    <col width="34.5" bestFit="1" customWidth="1" style="105" min="809" max="809"/>
    <col width="6.25" bestFit="1" customWidth="1" style="105" min="810" max="810"/>
    <col width="7.125" bestFit="1" customWidth="1" style="105" min="811" max="811"/>
    <col width="5.875" bestFit="1" customWidth="1" style="105" min="812" max="812"/>
    <col width="29.625" bestFit="1" customWidth="1" style="105" min="813" max="813"/>
    <col width="5.875" bestFit="1" customWidth="1" style="105" min="814" max="814"/>
    <col width="3.75" bestFit="1" customWidth="1" style="105" min="815" max="815"/>
    <col width="6.25" bestFit="1" customWidth="1" style="105" min="816" max="816"/>
    <col width="6.875" bestFit="1" customWidth="1" style="105" min="817" max="817"/>
    <col width="6.75" bestFit="1" customWidth="1" style="105" min="818" max="818"/>
    <col width="5.875" bestFit="1" customWidth="1" style="105" min="819" max="819"/>
    <col width="108.375" bestFit="1" customWidth="1" style="105" min="820" max="820"/>
    <col width="104.125" bestFit="1" customWidth="1" style="105" min="821" max="821"/>
    <col width="7" bestFit="1" customWidth="1" style="105" min="822" max="822"/>
    <col width="7.875" bestFit="1" customWidth="1" style="105" min="823" max="823"/>
    <col width="8.5" bestFit="1" customWidth="1" style="105" min="824" max="824"/>
    <col width="4.75" bestFit="1" customWidth="1" style="105" min="825" max="825"/>
    <col width="37.375" bestFit="1" customWidth="1" style="105" min="826" max="826"/>
    <col width="6.875" bestFit="1" customWidth="1" style="105" min="827" max="827"/>
    <col width="7.875" bestFit="1" customWidth="1" style="105" min="828" max="828"/>
    <col width="7.75" bestFit="1" customWidth="1" style="105" min="829" max="829"/>
    <col width="8" bestFit="1" customWidth="1" style="105" min="830" max="830"/>
    <col width="4.75" bestFit="1" customWidth="1" style="105" min="831" max="831"/>
    <col width="7.875" bestFit="1" customWidth="1" style="105" min="832" max="832"/>
    <col width="4" bestFit="1" customWidth="1" style="105" min="833" max="844"/>
    <col width="3.75" bestFit="1" customWidth="1" style="105" min="845" max="845"/>
    <col width="4" bestFit="1" customWidth="1" style="105" min="846" max="846"/>
    <col width="3.625" bestFit="1" customWidth="1" style="105" min="847" max="847"/>
    <col width="9.875" bestFit="1" customWidth="1" style="105" min="848" max="848"/>
    <col width="5" bestFit="1" customWidth="1" style="105" min="849" max="849"/>
    <col width="7.125" bestFit="1" customWidth="1" style="105" min="850" max="850"/>
    <col width="9.375" bestFit="1" customWidth="1" style="105" min="851" max="851"/>
    <col width="17.5" bestFit="1" customWidth="1" style="105" min="852" max="852"/>
    <col width="7.375" bestFit="1" customWidth="1" style="105" min="853" max="853"/>
    <col width="5.75" bestFit="1" customWidth="1" style="105" min="854" max="854"/>
    <col width="31.25" bestFit="1" customWidth="1" style="105" min="855" max="855"/>
    <col width="26" bestFit="1" customWidth="1" style="105" min="856" max="856"/>
    <col width="24.375" bestFit="1" customWidth="1" style="105" min="857" max="858"/>
    <col width="6.375" bestFit="1" customWidth="1" style="105" min="859" max="859"/>
    <col width="9.875" bestFit="1" customWidth="1" style="105" min="860" max="861"/>
    <col width="28.875" bestFit="1" customWidth="1" style="105" min="862" max="862"/>
    <col width="9.75" bestFit="1" customWidth="1" style="105" min="863" max="863"/>
    <col width="12.625" bestFit="1" customWidth="1" style="105" min="864" max="864"/>
    <col width="32.375" bestFit="1" customWidth="1" style="105" min="865" max="865"/>
    <col width="3.375" bestFit="1" customWidth="1" style="105" min="866" max="866"/>
    <col width="8" bestFit="1" customWidth="1" style="105" min="867" max="867"/>
    <col width="5.625" bestFit="1" customWidth="1" style="105" min="868" max="868"/>
    <col width="7.875" bestFit="1" customWidth="1" style="105" min="869" max="869"/>
    <col width="6" bestFit="1" customWidth="1" style="105" min="870" max="870"/>
    <col width="11.25" bestFit="1" customWidth="1" style="105" min="871" max="871"/>
    <col width="9" customWidth="1" style="105" min="872" max="1024"/>
    <col width="13.125" bestFit="1" customWidth="1" style="105" min="1025" max="1025"/>
    <col width="10.875" bestFit="1" customWidth="1" style="105" min="1026" max="1026"/>
    <col width="4.625" bestFit="1" customWidth="1" style="105" min="1027" max="1027"/>
    <col width="7" bestFit="1" customWidth="1" style="105" min="1028" max="1028"/>
    <col width="5.125" bestFit="1" customWidth="1" style="105" min="1029" max="1029"/>
    <col width="3.25" bestFit="1" customWidth="1" style="105" min="1030" max="1034"/>
    <col width="3.5" bestFit="1" customWidth="1" style="105" min="1035" max="1035"/>
    <col width="3.375" bestFit="1" customWidth="1" style="105" min="1036" max="1037"/>
    <col width="4.625" bestFit="1" customWidth="1" style="105" min="1038" max="1038"/>
    <col width="4.875" bestFit="1" customWidth="1" style="105" min="1039" max="1039"/>
    <col width="5.25" bestFit="1" customWidth="1" style="105" min="1040" max="1040"/>
    <col width="4.875" bestFit="1" customWidth="1" style="105" min="1041" max="1041"/>
    <col width="7.875" bestFit="1" customWidth="1" style="105" min="1042" max="1042"/>
    <col width="4.375" bestFit="1" customWidth="1" style="105" min="1043" max="1043"/>
    <col width="5.5" bestFit="1" customWidth="1" style="105" min="1044" max="1044"/>
    <col width="5.75" bestFit="1" customWidth="1" style="105" min="1045" max="1045"/>
    <col width="7.875" bestFit="1" customWidth="1" style="105" min="1046" max="1046"/>
    <col width="5.125" bestFit="1" customWidth="1" style="105" min="1047" max="1047"/>
    <col width="4.625" bestFit="1" customWidth="1" style="105" min="1048" max="1048"/>
    <col width="7.875" bestFit="1" customWidth="1" style="105" min="1049" max="1049"/>
    <col width="6.125" bestFit="1" customWidth="1" style="105" min="1050" max="1050"/>
    <col width="32.375" bestFit="1" customWidth="1" style="105" min="1051" max="1051"/>
    <col width="32.875" bestFit="1" customWidth="1" style="105" min="1052" max="1052"/>
    <col width="8.625" bestFit="1" customWidth="1" style="105" min="1053" max="1053"/>
    <col width="9.375" bestFit="1" customWidth="1" style="105" min="1054" max="1054"/>
    <col width="9.25" bestFit="1" customWidth="1" style="105" min="1055" max="1055"/>
    <col width="2.5" bestFit="1" customWidth="1" style="105" min="1056" max="1056"/>
    <col width="3.25" bestFit="1" customWidth="1" style="105" min="1057" max="1057"/>
    <col width="3.375" bestFit="1" customWidth="1" style="105" min="1058" max="1059"/>
    <col width="6.25" bestFit="1" customWidth="1" style="105" min="1060" max="1060"/>
    <col width="8.25" bestFit="1" customWidth="1" style="105" min="1061" max="1061"/>
    <col width="6.875" bestFit="1" customWidth="1" style="105" min="1062" max="1062"/>
    <col width="6.375" bestFit="1" customWidth="1" style="105" min="1063" max="1063"/>
    <col width="19.625" bestFit="1" customWidth="1" style="105" min="1064" max="1064"/>
    <col width="34.5" bestFit="1" customWidth="1" style="105" min="1065" max="1065"/>
    <col width="6.25" bestFit="1" customWidth="1" style="105" min="1066" max="1066"/>
    <col width="7.125" bestFit="1" customWidth="1" style="105" min="1067" max="1067"/>
    <col width="5.875" bestFit="1" customWidth="1" style="105" min="1068" max="1068"/>
    <col width="29.625" bestFit="1" customWidth="1" style="105" min="1069" max="1069"/>
    <col width="5.875" bestFit="1" customWidth="1" style="105" min="1070" max="1070"/>
    <col width="3.75" bestFit="1" customWidth="1" style="105" min="1071" max="1071"/>
    <col width="6.25" bestFit="1" customWidth="1" style="105" min="1072" max="1072"/>
    <col width="6.875" bestFit="1" customWidth="1" style="105" min="1073" max="1073"/>
    <col width="6.75" bestFit="1" customWidth="1" style="105" min="1074" max="1074"/>
    <col width="5.875" bestFit="1" customWidth="1" style="105" min="1075" max="1075"/>
    <col width="108.375" bestFit="1" customWidth="1" style="105" min="1076" max="1076"/>
    <col width="104.125" bestFit="1" customWidth="1" style="105" min="1077" max="1077"/>
    <col width="7" bestFit="1" customWidth="1" style="105" min="1078" max="1078"/>
    <col width="7.875" bestFit="1" customWidth="1" style="105" min="1079" max="1079"/>
    <col width="8.5" bestFit="1" customWidth="1" style="105" min="1080" max="1080"/>
    <col width="4.75" bestFit="1" customWidth="1" style="105" min="1081" max="1081"/>
    <col width="37.375" bestFit="1" customWidth="1" style="105" min="1082" max="1082"/>
    <col width="6.875" bestFit="1" customWidth="1" style="105" min="1083" max="1083"/>
    <col width="7.875" bestFit="1" customWidth="1" style="105" min="1084" max="1084"/>
    <col width="7.75" bestFit="1" customWidth="1" style="105" min="1085" max="1085"/>
    <col width="8" bestFit="1" customWidth="1" style="105" min="1086" max="1086"/>
    <col width="4.75" bestFit="1" customWidth="1" style="105" min="1087" max="1087"/>
    <col width="7.875" bestFit="1" customWidth="1" style="105" min="1088" max="1088"/>
    <col width="4" bestFit="1" customWidth="1" style="105" min="1089" max="1100"/>
    <col width="3.75" bestFit="1" customWidth="1" style="105" min="1101" max="1101"/>
    <col width="4" bestFit="1" customWidth="1" style="105" min="1102" max="1102"/>
    <col width="3.625" bestFit="1" customWidth="1" style="105" min="1103" max="1103"/>
    <col width="9.875" bestFit="1" customWidth="1" style="105" min="1104" max="1104"/>
    <col width="5" bestFit="1" customWidth="1" style="105" min="1105" max="1105"/>
    <col width="7.125" bestFit="1" customWidth="1" style="105" min="1106" max="1106"/>
    <col width="9.375" bestFit="1" customWidth="1" style="105" min="1107" max="1107"/>
    <col width="17.5" bestFit="1" customWidth="1" style="105" min="1108" max="1108"/>
    <col width="7.375" bestFit="1" customWidth="1" style="105" min="1109" max="1109"/>
    <col width="5.75" bestFit="1" customWidth="1" style="105" min="1110" max="1110"/>
    <col width="31.25" bestFit="1" customWidth="1" style="105" min="1111" max="1111"/>
    <col width="26" bestFit="1" customWidth="1" style="105" min="1112" max="1112"/>
    <col width="24.375" bestFit="1" customWidth="1" style="105" min="1113" max="1114"/>
    <col width="6.375" bestFit="1" customWidth="1" style="105" min="1115" max="1115"/>
    <col width="9.875" bestFit="1" customWidth="1" style="105" min="1116" max="1117"/>
    <col width="28.875" bestFit="1" customWidth="1" style="105" min="1118" max="1118"/>
    <col width="9.75" bestFit="1" customWidth="1" style="105" min="1119" max="1119"/>
    <col width="12.625" bestFit="1" customWidth="1" style="105" min="1120" max="1120"/>
    <col width="32.375" bestFit="1" customWidth="1" style="105" min="1121" max="1121"/>
    <col width="3.375" bestFit="1" customWidth="1" style="105" min="1122" max="1122"/>
    <col width="8" bestFit="1" customWidth="1" style="105" min="1123" max="1123"/>
    <col width="5.625" bestFit="1" customWidth="1" style="105" min="1124" max="1124"/>
    <col width="7.875" bestFit="1" customWidth="1" style="105" min="1125" max="1125"/>
    <col width="6" bestFit="1" customWidth="1" style="105" min="1126" max="1126"/>
    <col width="11.25" bestFit="1" customWidth="1" style="105" min="1127" max="1127"/>
    <col width="9" customWidth="1" style="105" min="1128" max="1280"/>
    <col width="13.125" bestFit="1" customWidth="1" style="105" min="1281" max="1281"/>
    <col width="10.875" bestFit="1" customWidth="1" style="105" min="1282" max="1282"/>
    <col width="4.625" bestFit="1" customWidth="1" style="105" min="1283" max="1283"/>
    <col width="7" bestFit="1" customWidth="1" style="105" min="1284" max="1284"/>
    <col width="5.125" bestFit="1" customWidth="1" style="105" min="1285" max="1285"/>
    <col width="3.25" bestFit="1" customWidth="1" style="105" min="1286" max="1290"/>
    <col width="3.5" bestFit="1" customWidth="1" style="105" min="1291" max="1291"/>
    <col width="3.375" bestFit="1" customWidth="1" style="105" min="1292" max="1293"/>
    <col width="4.625" bestFit="1" customWidth="1" style="105" min="1294" max="1294"/>
    <col width="4.875" bestFit="1" customWidth="1" style="105" min="1295" max="1295"/>
    <col width="5.25" bestFit="1" customWidth="1" style="105" min="1296" max="1296"/>
    <col width="4.875" bestFit="1" customWidth="1" style="105" min="1297" max="1297"/>
    <col width="7.875" bestFit="1" customWidth="1" style="105" min="1298" max="1298"/>
    <col width="4.375" bestFit="1" customWidth="1" style="105" min="1299" max="1299"/>
    <col width="5.5" bestFit="1" customWidth="1" style="105" min="1300" max="1300"/>
    <col width="5.75" bestFit="1" customWidth="1" style="105" min="1301" max="1301"/>
    <col width="7.875" bestFit="1" customWidth="1" style="105" min="1302" max="1302"/>
    <col width="5.125" bestFit="1" customWidth="1" style="105" min="1303" max="1303"/>
    <col width="4.625" bestFit="1" customWidth="1" style="105" min="1304" max="1304"/>
    <col width="7.875" bestFit="1" customWidth="1" style="105" min="1305" max="1305"/>
    <col width="6.125" bestFit="1" customWidth="1" style="105" min="1306" max="1306"/>
    <col width="32.375" bestFit="1" customWidth="1" style="105" min="1307" max="1307"/>
    <col width="32.875" bestFit="1" customWidth="1" style="105" min="1308" max="1308"/>
    <col width="8.625" bestFit="1" customWidth="1" style="105" min="1309" max="1309"/>
    <col width="9.375" bestFit="1" customWidth="1" style="105" min="1310" max="1310"/>
    <col width="9.25" bestFit="1" customWidth="1" style="105" min="1311" max="1311"/>
    <col width="2.5" bestFit="1" customWidth="1" style="105" min="1312" max="1312"/>
    <col width="3.25" bestFit="1" customWidth="1" style="105" min="1313" max="1313"/>
    <col width="3.375" bestFit="1" customWidth="1" style="105" min="1314" max="1315"/>
    <col width="6.25" bestFit="1" customWidth="1" style="105" min="1316" max="1316"/>
    <col width="8.25" bestFit="1" customWidth="1" style="105" min="1317" max="1317"/>
    <col width="6.875" bestFit="1" customWidth="1" style="105" min="1318" max="1318"/>
    <col width="6.375" bestFit="1" customWidth="1" style="105" min="1319" max="1319"/>
    <col width="19.625" bestFit="1" customWidth="1" style="105" min="1320" max="1320"/>
    <col width="34.5" bestFit="1" customWidth="1" style="105" min="1321" max="1321"/>
    <col width="6.25" bestFit="1" customWidth="1" style="105" min="1322" max="1322"/>
    <col width="7.125" bestFit="1" customWidth="1" style="105" min="1323" max="1323"/>
    <col width="5.875" bestFit="1" customWidth="1" style="105" min="1324" max="1324"/>
    <col width="29.625" bestFit="1" customWidth="1" style="105" min="1325" max="1325"/>
    <col width="5.875" bestFit="1" customWidth="1" style="105" min="1326" max="1326"/>
    <col width="3.75" bestFit="1" customWidth="1" style="105" min="1327" max="1327"/>
    <col width="6.25" bestFit="1" customWidth="1" style="105" min="1328" max="1328"/>
    <col width="6.875" bestFit="1" customWidth="1" style="105" min="1329" max="1329"/>
    <col width="6.75" bestFit="1" customWidth="1" style="105" min="1330" max="1330"/>
    <col width="5.875" bestFit="1" customWidth="1" style="105" min="1331" max="1331"/>
    <col width="108.375" bestFit="1" customWidth="1" style="105" min="1332" max="1332"/>
    <col width="104.125" bestFit="1" customWidth="1" style="105" min="1333" max="1333"/>
    <col width="7" bestFit="1" customWidth="1" style="105" min="1334" max="1334"/>
    <col width="7.875" bestFit="1" customWidth="1" style="105" min="1335" max="1335"/>
    <col width="8.5" bestFit="1" customWidth="1" style="105" min="1336" max="1336"/>
    <col width="4.75" bestFit="1" customWidth="1" style="105" min="1337" max="1337"/>
    <col width="37.375" bestFit="1" customWidth="1" style="105" min="1338" max="1338"/>
    <col width="6.875" bestFit="1" customWidth="1" style="105" min="1339" max="1339"/>
    <col width="7.875" bestFit="1" customWidth="1" style="105" min="1340" max="1340"/>
    <col width="7.75" bestFit="1" customWidth="1" style="105" min="1341" max="1341"/>
    <col width="8" bestFit="1" customWidth="1" style="105" min="1342" max="1342"/>
    <col width="4.75" bestFit="1" customWidth="1" style="105" min="1343" max="1343"/>
    <col width="7.875" bestFit="1" customWidth="1" style="105" min="1344" max="1344"/>
    <col width="4" bestFit="1" customWidth="1" style="105" min="1345" max="1356"/>
    <col width="3.75" bestFit="1" customWidth="1" style="105" min="1357" max="1357"/>
    <col width="4" bestFit="1" customWidth="1" style="105" min="1358" max="1358"/>
    <col width="3.625" bestFit="1" customWidth="1" style="105" min="1359" max="1359"/>
    <col width="9.875" bestFit="1" customWidth="1" style="105" min="1360" max="1360"/>
    <col width="5" bestFit="1" customWidth="1" style="105" min="1361" max="1361"/>
    <col width="7.125" bestFit="1" customWidth="1" style="105" min="1362" max="1362"/>
    <col width="9.375" bestFit="1" customWidth="1" style="105" min="1363" max="1363"/>
    <col width="17.5" bestFit="1" customWidth="1" style="105" min="1364" max="1364"/>
    <col width="7.375" bestFit="1" customWidth="1" style="105" min="1365" max="1365"/>
    <col width="5.75" bestFit="1" customWidth="1" style="105" min="1366" max="1366"/>
    <col width="31.25" bestFit="1" customWidth="1" style="105" min="1367" max="1367"/>
    <col width="26" bestFit="1" customWidth="1" style="105" min="1368" max="1368"/>
    <col width="24.375" bestFit="1" customWidth="1" style="105" min="1369" max="1370"/>
    <col width="6.375" bestFit="1" customWidth="1" style="105" min="1371" max="1371"/>
    <col width="9.875" bestFit="1" customWidth="1" style="105" min="1372" max="1373"/>
    <col width="28.875" bestFit="1" customWidth="1" style="105" min="1374" max="1374"/>
    <col width="9.75" bestFit="1" customWidth="1" style="105" min="1375" max="1375"/>
    <col width="12.625" bestFit="1" customWidth="1" style="105" min="1376" max="1376"/>
    <col width="32.375" bestFit="1" customWidth="1" style="105" min="1377" max="1377"/>
    <col width="3.375" bestFit="1" customWidth="1" style="105" min="1378" max="1378"/>
    <col width="8" bestFit="1" customWidth="1" style="105" min="1379" max="1379"/>
    <col width="5.625" bestFit="1" customWidth="1" style="105" min="1380" max="1380"/>
    <col width="7.875" bestFit="1" customWidth="1" style="105" min="1381" max="1381"/>
    <col width="6" bestFit="1" customWidth="1" style="105" min="1382" max="1382"/>
    <col width="11.25" bestFit="1" customWidth="1" style="105" min="1383" max="1383"/>
    <col width="9" customWidth="1" style="105" min="1384" max="1536"/>
    <col width="13.125" bestFit="1" customWidth="1" style="105" min="1537" max="1537"/>
    <col width="10.875" bestFit="1" customWidth="1" style="105" min="1538" max="1538"/>
    <col width="4.625" bestFit="1" customWidth="1" style="105" min="1539" max="1539"/>
    <col width="7" bestFit="1" customWidth="1" style="105" min="1540" max="1540"/>
    <col width="5.125" bestFit="1" customWidth="1" style="105" min="1541" max="1541"/>
    <col width="3.25" bestFit="1" customWidth="1" style="105" min="1542" max="1546"/>
    <col width="3.5" bestFit="1" customWidth="1" style="105" min="1547" max="1547"/>
    <col width="3.375" bestFit="1" customWidth="1" style="105" min="1548" max="1549"/>
    <col width="4.625" bestFit="1" customWidth="1" style="105" min="1550" max="1550"/>
    <col width="4.875" bestFit="1" customWidth="1" style="105" min="1551" max="1551"/>
    <col width="5.25" bestFit="1" customWidth="1" style="105" min="1552" max="1552"/>
    <col width="4.875" bestFit="1" customWidth="1" style="105" min="1553" max="1553"/>
    <col width="7.875" bestFit="1" customWidth="1" style="105" min="1554" max="1554"/>
    <col width="4.375" bestFit="1" customWidth="1" style="105" min="1555" max="1555"/>
    <col width="5.5" bestFit="1" customWidth="1" style="105" min="1556" max="1556"/>
    <col width="5.75" bestFit="1" customWidth="1" style="105" min="1557" max="1557"/>
    <col width="7.875" bestFit="1" customWidth="1" style="105" min="1558" max="1558"/>
    <col width="5.125" bestFit="1" customWidth="1" style="105" min="1559" max="1559"/>
    <col width="4.625" bestFit="1" customWidth="1" style="105" min="1560" max="1560"/>
    <col width="7.875" bestFit="1" customWidth="1" style="105" min="1561" max="1561"/>
    <col width="6.125" bestFit="1" customWidth="1" style="105" min="1562" max="1562"/>
    <col width="32.375" bestFit="1" customWidth="1" style="105" min="1563" max="1563"/>
    <col width="32.875" bestFit="1" customWidth="1" style="105" min="1564" max="1564"/>
    <col width="8.625" bestFit="1" customWidth="1" style="105" min="1565" max="1565"/>
    <col width="9.375" bestFit="1" customWidth="1" style="105" min="1566" max="1566"/>
    <col width="9.25" bestFit="1" customWidth="1" style="105" min="1567" max="1567"/>
    <col width="2.5" bestFit="1" customWidth="1" style="105" min="1568" max="1568"/>
    <col width="3.25" bestFit="1" customWidth="1" style="105" min="1569" max="1569"/>
    <col width="3.375" bestFit="1" customWidth="1" style="105" min="1570" max="1571"/>
    <col width="6.25" bestFit="1" customWidth="1" style="105" min="1572" max="1572"/>
    <col width="8.25" bestFit="1" customWidth="1" style="105" min="1573" max="1573"/>
    <col width="6.875" bestFit="1" customWidth="1" style="105" min="1574" max="1574"/>
    <col width="6.375" bestFit="1" customWidth="1" style="105" min="1575" max="1575"/>
    <col width="19.625" bestFit="1" customWidth="1" style="105" min="1576" max="1576"/>
    <col width="34.5" bestFit="1" customWidth="1" style="105" min="1577" max="1577"/>
    <col width="6.25" bestFit="1" customWidth="1" style="105" min="1578" max="1578"/>
    <col width="7.125" bestFit="1" customWidth="1" style="105" min="1579" max="1579"/>
    <col width="5.875" bestFit="1" customWidth="1" style="105" min="1580" max="1580"/>
    <col width="29.625" bestFit="1" customWidth="1" style="105" min="1581" max="1581"/>
    <col width="5.875" bestFit="1" customWidth="1" style="105" min="1582" max="1582"/>
    <col width="3.75" bestFit="1" customWidth="1" style="105" min="1583" max="1583"/>
    <col width="6.25" bestFit="1" customWidth="1" style="105" min="1584" max="1584"/>
    <col width="6.875" bestFit="1" customWidth="1" style="105" min="1585" max="1585"/>
    <col width="6.75" bestFit="1" customWidth="1" style="105" min="1586" max="1586"/>
    <col width="5.875" bestFit="1" customWidth="1" style="105" min="1587" max="1587"/>
    <col width="108.375" bestFit="1" customWidth="1" style="105" min="1588" max="1588"/>
    <col width="104.125" bestFit="1" customWidth="1" style="105" min="1589" max="1589"/>
    <col width="7" bestFit="1" customWidth="1" style="105" min="1590" max="1590"/>
    <col width="7.875" bestFit="1" customWidth="1" style="105" min="1591" max="1591"/>
    <col width="8.5" bestFit="1" customWidth="1" style="105" min="1592" max="1592"/>
    <col width="4.75" bestFit="1" customWidth="1" style="105" min="1593" max="1593"/>
    <col width="37.375" bestFit="1" customWidth="1" style="105" min="1594" max="1594"/>
    <col width="6.875" bestFit="1" customWidth="1" style="105" min="1595" max="1595"/>
    <col width="7.875" bestFit="1" customWidth="1" style="105" min="1596" max="1596"/>
    <col width="7.75" bestFit="1" customWidth="1" style="105" min="1597" max="1597"/>
    <col width="8" bestFit="1" customWidth="1" style="105" min="1598" max="1598"/>
    <col width="4.75" bestFit="1" customWidth="1" style="105" min="1599" max="1599"/>
    <col width="7.875" bestFit="1" customWidth="1" style="105" min="1600" max="1600"/>
    <col width="4" bestFit="1" customWidth="1" style="105" min="1601" max="1612"/>
    <col width="3.75" bestFit="1" customWidth="1" style="105" min="1613" max="1613"/>
    <col width="4" bestFit="1" customWidth="1" style="105" min="1614" max="1614"/>
    <col width="3.625" bestFit="1" customWidth="1" style="105" min="1615" max="1615"/>
    <col width="9.875" bestFit="1" customWidth="1" style="105" min="1616" max="1616"/>
    <col width="5" bestFit="1" customWidth="1" style="105" min="1617" max="1617"/>
    <col width="7.125" bestFit="1" customWidth="1" style="105" min="1618" max="1618"/>
    <col width="9.375" bestFit="1" customWidth="1" style="105" min="1619" max="1619"/>
    <col width="17.5" bestFit="1" customWidth="1" style="105" min="1620" max="1620"/>
    <col width="7.375" bestFit="1" customWidth="1" style="105" min="1621" max="1621"/>
    <col width="5.75" bestFit="1" customWidth="1" style="105" min="1622" max="1622"/>
    <col width="31.25" bestFit="1" customWidth="1" style="105" min="1623" max="1623"/>
    <col width="26" bestFit="1" customWidth="1" style="105" min="1624" max="1624"/>
    <col width="24.375" bestFit="1" customWidth="1" style="105" min="1625" max="1626"/>
    <col width="6.375" bestFit="1" customWidth="1" style="105" min="1627" max="1627"/>
    <col width="9.875" bestFit="1" customWidth="1" style="105" min="1628" max="1629"/>
    <col width="28.875" bestFit="1" customWidth="1" style="105" min="1630" max="1630"/>
    <col width="9.75" bestFit="1" customWidth="1" style="105" min="1631" max="1631"/>
    <col width="12.625" bestFit="1" customWidth="1" style="105" min="1632" max="1632"/>
    <col width="32.375" bestFit="1" customWidth="1" style="105" min="1633" max="1633"/>
    <col width="3.375" bestFit="1" customWidth="1" style="105" min="1634" max="1634"/>
    <col width="8" bestFit="1" customWidth="1" style="105" min="1635" max="1635"/>
    <col width="5.625" bestFit="1" customWidth="1" style="105" min="1636" max="1636"/>
    <col width="7.875" bestFit="1" customWidth="1" style="105" min="1637" max="1637"/>
    <col width="6" bestFit="1" customWidth="1" style="105" min="1638" max="1638"/>
    <col width="11.25" bestFit="1" customWidth="1" style="105" min="1639" max="1639"/>
    <col width="9" customWidth="1" style="105" min="1640" max="1792"/>
    <col width="13.125" bestFit="1" customWidth="1" style="105" min="1793" max="1793"/>
    <col width="10.875" bestFit="1" customWidth="1" style="105" min="1794" max="1794"/>
    <col width="4.625" bestFit="1" customWidth="1" style="105" min="1795" max="1795"/>
    <col width="7" bestFit="1" customWidth="1" style="105" min="1796" max="1796"/>
    <col width="5.125" bestFit="1" customWidth="1" style="105" min="1797" max="1797"/>
    <col width="3.25" bestFit="1" customWidth="1" style="105" min="1798" max="1802"/>
    <col width="3.5" bestFit="1" customWidth="1" style="105" min="1803" max="1803"/>
    <col width="3.375" bestFit="1" customWidth="1" style="105" min="1804" max="1805"/>
    <col width="4.625" bestFit="1" customWidth="1" style="105" min="1806" max="1806"/>
    <col width="4.875" bestFit="1" customWidth="1" style="105" min="1807" max="1807"/>
    <col width="5.25" bestFit="1" customWidth="1" style="105" min="1808" max="1808"/>
    <col width="4.875" bestFit="1" customWidth="1" style="105" min="1809" max="1809"/>
    <col width="7.875" bestFit="1" customWidth="1" style="105" min="1810" max="1810"/>
    <col width="4.375" bestFit="1" customWidth="1" style="105" min="1811" max="1811"/>
    <col width="5.5" bestFit="1" customWidth="1" style="105" min="1812" max="1812"/>
    <col width="5.75" bestFit="1" customWidth="1" style="105" min="1813" max="1813"/>
    <col width="7.875" bestFit="1" customWidth="1" style="105" min="1814" max="1814"/>
    <col width="5.125" bestFit="1" customWidth="1" style="105" min="1815" max="1815"/>
    <col width="4.625" bestFit="1" customWidth="1" style="105" min="1816" max="1816"/>
    <col width="7.875" bestFit="1" customWidth="1" style="105" min="1817" max="1817"/>
    <col width="6.125" bestFit="1" customWidth="1" style="105" min="1818" max="1818"/>
    <col width="32.375" bestFit="1" customWidth="1" style="105" min="1819" max="1819"/>
    <col width="32.875" bestFit="1" customWidth="1" style="105" min="1820" max="1820"/>
    <col width="8.625" bestFit="1" customWidth="1" style="105" min="1821" max="1821"/>
    <col width="9.375" bestFit="1" customWidth="1" style="105" min="1822" max="1822"/>
    <col width="9.25" bestFit="1" customWidth="1" style="105" min="1823" max="1823"/>
    <col width="2.5" bestFit="1" customWidth="1" style="105" min="1824" max="1824"/>
    <col width="3.25" bestFit="1" customWidth="1" style="105" min="1825" max="1825"/>
    <col width="3.375" bestFit="1" customWidth="1" style="105" min="1826" max="1827"/>
    <col width="6.25" bestFit="1" customWidth="1" style="105" min="1828" max="1828"/>
    <col width="8.25" bestFit="1" customWidth="1" style="105" min="1829" max="1829"/>
    <col width="6.875" bestFit="1" customWidth="1" style="105" min="1830" max="1830"/>
    <col width="6.375" bestFit="1" customWidth="1" style="105" min="1831" max="1831"/>
    <col width="19.625" bestFit="1" customWidth="1" style="105" min="1832" max="1832"/>
    <col width="34.5" bestFit="1" customWidth="1" style="105" min="1833" max="1833"/>
    <col width="6.25" bestFit="1" customWidth="1" style="105" min="1834" max="1834"/>
    <col width="7.125" bestFit="1" customWidth="1" style="105" min="1835" max="1835"/>
    <col width="5.875" bestFit="1" customWidth="1" style="105" min="1836" max="1836"/>
    <col width="29.625" bestFit="1" customWidth="1" style="105" min="1837" max="1837"/>
    <col width="5.875" bestFit="1" customWidth="1" style="105" min="1838" max="1838"/>
    <col width="3.75" bestFit="1" customWidth="1" style="105" min="1839" max="1839"/>
    <col width="6.25" bestFit="1" customWidth="1" style="105" min="1840" max="1840"/>
    <col width="6.875" bestFit="1" customWidth="1" style="105" min="1841" max="1841"/>
    <col width="6.75" bestFit="1" customWidth="1" style="105" min="1842" max="1842"/>
    <col width="5.875" bestFit="1" customWidth="1" style="105" min="1843" max="1843"/>
    <col width="108.375" bestFit="1" customWidth="1" style="105" min="1844" max="1844"/>
    <col width="104.125" bestFit="1" customWidth="1" style="105" min="1845" max="1845"/>
    <col width="7" bestFit="1" customWidth="1" style="105" min="1846" max="1846"/>
    <col width="7.875" bestFit="1" customWidth="1" style="105" min="1847" max="1847"/>
    <col width="8.5" bestFit="1" customWidth="1" style="105" min="1848" max="1848"/>
    <col width="4.75" bestFit="1" customWidth="1" style="105" min="1849" max="1849"/>
    <col width="37.375" bestFit="1" customWidth="1" style="105" min="1850" max="1850"/>
    <col width="6.875" bestFit="1" customWidth="1" style="105" min="1851" max="1851"/>
    <col width="7.875" bestFit="1" customWidth="1" style="105" min="1852" max="1852"/>
    <col width="7.75" bestFit="1" customWidth="1" style="105" min="1853" max="1853"/>
    <col width="8" bestFit="1" customWidth="1" style="105" min="1854" max="1854"/>
    <col width="4.75" bestFit="1" customWidth="1" style="105" min="1855" max="1855"/>
    <col width="7.875" bestFit="1" customWidth="1" style="105" min="1856" max="1856"/>
    <col width="4" bestFit="1" customWidth="1" style="105" min="1857" max="1868"/>
    <col width="3.75" bestFit="1" customWidth="1" style="105" min="1869" max="1869"/>
    <col width="4" bestFit="1" customWidth="1" style="105" min="1870" max="1870"/>
    <col width="3.625" bestFit="1" customWidth="1" style="105" min="1871" max="1871"/>
    <col width="9.875" bestFit="1" customWidth="1" style="105" min="1872" max="1872"/>
    <col width="5" bestFit="1" customWidth="1" style="105" min="1873" max="1873"/>
    <col width="7.125" bestFit="1" customWidth="1" style="105" min="1874" max="1874"/>
    <col width="9.375" bestFit="1" customWidth="1" style="105" min="1875" max="1875"/>
    <col width="17.5" bestFit="1" customWidth="1" style="105" min="1876" max="1876"/>
    <col width="7.375" bestFit="1" customWidth="1" style="105" min="1877" max="1877"/>
    <col width="5.75" bestFit="1" customWidth="1" style="105" min="1878" max="1878"/>
    <col width="31.25" bestFit="1" customWidth="1" style="105" min="1879" max="1879"/>
    <col width="26" bestFit="1" customWidth="1" style="105" min="1880" max="1880"/>
    <col width="24.375" bestFit="1" customWidth="1" style="105" min="1881" max="1882"/>
    <col width="6.375" bestFit="1" customWidth="1" style="105" min="1883" max="1883"/>
    <col width="9.875" bestFit="1" customWidth="1" style="105" min="1884" max="1885"/>
    <col width="28.875" bestFit="1" customWidth="1" style="105" min="1886" max="1886"/>
    <col width="9.75" bestFit="1" customWidth="1" style="105" min="1887" max="1887"/>
    <col width="12.625" bestFit="1" customWidth="1" style="105" min="1888" max="1888"/>
    <col width="32.375" bestFit="1" customWidth="1" style="105" min="1889" max="1889"/>
    <col width="3.375" bestFit="1" customWidth="1" style="105" min="1890" max="1890"/>
    <col width="8" bestFit="1" customWidth="1" style="105" min="1891" max="1891"/>
    <col width="5.625" bestFit="1" customWidth="1" style="105" min="1892" max="1892"/>
    <col width="7.875" bestFit="1" customWidth="1" style="105" min="1893" max="1893"/>
    <col width="6" bestFit="1" customWidth="1" style="105" min="1894" max="1894"/>
    <col width="11.25" bestFit="1" customWidth="1" style="105" min="1895" max="1895"/>
    <col width="9" customWidth="1" style="105" min="1896" max="2048"/>
    <col width="13.125" bestFit="1" customWidth="1" style="105" min="2049" max="2049"/>
    <col width="10.875" bestFit="1" customWidth="1" style="105" min="2050" max="2050"/>
    <col width="4.625" bestFit="1" customWidth="1" style="105" min="2051" max="2051"/>
    <col width="7" bestFit="1" customWidth="1" style="105" min="2052" max="2052"/>
    <col width="5.125" bestFit="1" customWidth="1" style="105" min="2053" max="2053"/>
    <col width="3.25" bestFit="1" customWidth="1" style="105" min="2054" max="2058"/>
    <col width="3.5" bestFit="1" customWidth="1" style="105" min="2059" max="2059"/>
    <col width="3.375" bestFit="1" customWidth="1" style="105" min="2060" max="2061"/>
    <col width="4.625" bestFit="1" customWidth="1" style="105" min="2062" max="2062"/>
    <col width="4.875" bestFit="1" customWidth="1" style="105" min="2063" max="2063"/>
    <col width="5.25" bestFit="1" customWidth="1" style="105" min="2064" max="2064"/>
    <col width="4.875" bestFit="1" customWidth="1" style="105" min="2065" max="2065"/>
    <col width="7.875" bestFit="1" customWidth="1" style="105" min="2066" max="2066"/>
    <col width="4.375" bestFit="1" customWidth="1" style="105" min="2067" max="2067"/>
    <col width="5.5" bestFit="1" customWidth="1" style="105" min="2068" max="2068"/>
    <col width="5.75" bestFit="1" customWidth="1" style="105" min="2069" max="2069"/>
    <col width="7.875" bestFit="1" customWidth="1" style="105" min="2070" max="2070"/>
    <col width="5.125" bestFit="1" customWidth="1" style="105" min="2071" max="2071"/>
    <col width="4.625" bestFit="1" customWidth="1" style="105" min="2072" max="2072"/>
    <col width="7.875" bestFit="1" customWidth="1" style="105" min="2073" max="2073"/>
    <col width="6.125" bestFit="1" customWidth="1" style="105" min="2074" max="2074"/>
    <col width="32.375" bestFit="1" customWidth="1" style="105" min="2075" max="2075"/>
    <col width="32.875" bestFit="1" customWidth="1" style="105" min="2076" max="2076"/>
    <col width="8.625" bestFit="1" customWidth="1" style="105" min="2077" max="2077"/>
    <col width="9.375" bestFit="1" customWidth="1" style="105" min="2078" max="2078"/>
    <col width="9.25" bestFit="1" customWidth="1" style="105" min="2079" max="2079"/>
    <col width="2.5" bestFit="1" customWidth="1" style="105" min="2080" max="2080"/>
    <col width="3.25" bestFit="1" customWidth="1" style="105" min="2081" max="2081"/>
    <col width="3.375" bestFit="1" customWidth="1" style="105" min="2082" max="2083"/>
    <col width="6.25" bestFit="1" customWidth="1" style="105" min="2084" max="2084"/>
    <col width="8.25" bestFit="1" customWidth="1" style="105" min="2085" max="2085"/>
    <col width="6.875" bestFit="1" customWidth="1" style="105" min="2086" max="2086"/>
    <col width="6.375" bestFit="1" customWidth="1" style="105" min="2087" max="2087"/>
    <col width="19.625" bestFit="1" customWidth="1" style="105" min="2088" max="2088"/>
    <col width="34.5" bestFit="1" customWidth="1" style="105" min="2089" max="2089"/>
    <col width="6.25" bestFit="1" customWidth="1" style="105" min="2090" max="2090"/>
    <col width="7.125" bestFit="1" customWidth="1" style="105" min="2091" max="2091"/>
    <col width="5.875" bestFit="1" customWidth="1" style="105" min="2092" max="2092"/>
    <col width="29.625" bestFit="1" customWidth="1" style="105" min="2093" max="2093"/>
    <col width="5.875" bestFit="1" customWidth="1" style="105" min="2094" max="2094"/>
    <col width="3.75" bestFit="1" customWidth="1" style="105" min="2095" max="2095"/>
    <col width="6.25" bestFit="1" customWidth="1" style="105" min="2096" max="2096"/>
    <col width="6.875" bestFit="1" customWidth="1" style="105" min="2097" max="2097"/>
    <col width="6.75" bestFit="1" customWidth="1" style="105" min="2098" max="2098"/>
    <col width="5.875" bestFit="1" customWidth="1" style="105" min="2099" max="2099"/>
    <col width="108.375" bestFit="1" customWidth="1" style="105" min="2100" max="2100"/>
    <col width="104.125" bestFit="1" customWidth="1" style="105" min="2101" max="2101"/>
    <col width="7" bestFit="1" customWidth="1" style="105" min="2102" max="2102"/>
    <col width="7.875" bestFit="1" customWidth="1" style="105" min="2103" max="2103"/>
    <col width="8.5" bestFit="1" customWidth="1" style="105" min="2104" max="2104"/>
    <col width="4.75" bestFit="1" customWidth="1" style="105" min="2105" max="2105"/>
    <col width="37.375" bestFit="1" customWidth="1" style="105" min="2106" max="2106"/>
    <col width="6.875" bestFit="1" customWidth="1" style="105" min="2107" max="2107"/>
    <col width="7.875" bestFit="1" customWidth="1" style="105" min="2108" max="2108"/>
    <col width="7.75" bestFit="1" customWidth="1" style="105" min="2109" max="2109"/>
    <col width="8" bestFit="1" customWidth="1" style="105" min="2110" max="2110"/>
    <col width="4.75" bestFit="1" customWidth="1" style="105" min="2111" max="2111"/>
    <col width="7.875" bestFit="1" customWidth="1" style="105" min="2112" max="2112"/>
    <col width="4" bestFit="1" customWidth="1" style="105" min="2113" max="2124"/>
    <col width="3.75" bestFit="1" customWidth="1" style="105" min="2125" max="2125"/>
    <col width="4" bestFit="1" customWidth="1" style="105" min="2126" max="2126"/>
    <col width="3.625" bestFit="1" customWidth="1" style="105" min="2127" max="2127"/>
    <col width="9.875" bestFit="1" customWidth="1" style="105" min="2128" max="2128"/>
    <col width="5" bestFit="1" customWidth="1" style="105" min="2129" max="2129"/>
    <col width="7.125" bestFit="1" customWidth="1" style="105" min="2130" max="2130"/>
    <col width="9.375" bestFit="1" customWidth="1" style="105" min="2131" max="2131"/>
    <col width="17.5" bestFit="1" customWidth="1" style="105" min="2132" max="2132"/>
    <col width="7.375" bestFit="1" customWidth="1" style="105" min="2133" max="2133"/>
    <col width="5.75" bestFit="1" customWidth="1" style="105" min="2134" max="2134"/>
    <col width="31.25" bestFit="1" customWidth="1" style="105" min="2135" max="2135"/>
    <col width="26" bestFit="1" customWidth="1" style="105" min="2136" max="2136"/>
    <col width="24.375" bestFit="1" customWidth="1" style="105" min="2137" max="2138"/>
    <col width="6.375" bestFit="1" customWidth="1" style="105" min="2139" max="2139"/>
    <col width="9.875" bestFit="1" customWidth="1" style="105" min="2140" max="2141"/>
    <col width="28.875" bestFit="1" customWidth="1" style="105" min="2142" max="2142"/>
    <col width="9.75" bestFit="1" customWidth="1" style="105" min="2143" max="2143"/>
    <col width="12.625" bestFit="1" customWidth="1" style="105" min="2144" max="2144"/>
    <col width="32.375" bestFit="1" customWidth="1" style="105" min="2145" max="2145"/>
    <col width="3.375" bestFit="1" customWidth="1" style="105" min="2146" max="2146"/>
    <col width="8" bestFit="1" customWidth="1" style="105" min="2147" max="2147"/>
    <col width="5.625" bestFit="1" customWidth="1" style="105" min="2148" max="2148"/>
    <col width="7.875" bestFit="1" customWidth="1" style="105" min="2149" max="2149"/>
    <col width="6" bestFit="1" customWidth="1" style="105" min="2150" max="2150"/>
    <col width="11.25" bestFit="1" customWidth="1" style="105" min="2151" max="2151"/>
    <col width="9" customWidth="1" style="105" min="2152" max="2304"/>
    <col width="13.125" bestFit="1" customWidth="1" style="105" min="2305" max="2305"/>
    <col width="10.875" bestFit="1" customWidth="1" style="105" min="2306" max="2306"/>
    <col width="4.625" bestFit="1" customWidth="1" style="105" min="2307" max="2307"/>
    <col width="7" bestFit="1" customWidth="1" style="105" min="2308" max="2308"/>
    <col width="5.125" bestFit="1" customWidth="1" style="105" min="2309" max="2309"/>
    <col width="3.25" bestFit="1" customWidth="1" style="105" min="2310" max="2314"/>
    <col width="3.5" bestFit="1" customWidth="1" style="105" min="2315" max="2315"/>
    <col width="3.375" bestFit="1" customWidth="1" style="105" min="2316" max="2317"/>
    <col width="4.625" bestFit="1" customWidth="1" style="105" min="2318" max="2318"/>
    <col width="4.875" bestFit="1" customWidth="1" style="105" min="2319" max="2319"/>
    <col width="5.25" bestFit="1" customWidth="1" style="105" min="2320" max="2320"/>
    <col width="4.875" bestFit="1" customWidth="1" style="105" min="2321" max="2321"/>
    <col width="7.875" bestFit="1" customWidth="1" style="105" min="2322" max="2322"/>
    <col width="4.375" bestFit="1" customWidth="1" style="105" min="2323" max="2323"/>
    <col width="5.5" bestFit="1" customWidth="1" style="105" min="2324" max="2324"/>
    <col width="5.75" bestFit="1" customWidth="1" style="105" min="2325" max="2325"/>
    <col width="7.875" bestFit="1" customWidth="1" style="105" min="2326" max="2326"/>
    <col width="5.125" bestFit="1" customWidth="1" style="105" min="2327" max="2327"/>
    <col width="4.625" bestFit="1" customWidth="1" style="105" min="2328" max="2328"/>
    <col width="7.875" bestFit="1" customWidth="1" style="105" min="2329" max="2329"/>
    <col width="6.125" bestFit="1" customWidth="1" style="105" min="2330" max="2330"/>
    <col width="32.375" bestFit="1" customWidth="1" style="105" min="2331" max="2331"/>
    <col width="32.875" bestFit="1" customWidth="1" style="105" min="2332" max="2332"/>
    <col width="8.625" bestFit="1" customWidth="1" style="105" min="2333" max="2333"/>
    <col width="9.375" bestFit="1" customWidth="1" style="105" min="2334" max="2334"/>
    <col width="9.25" bestFit="1" customWidth="1" style="105" min="2335" max="2335"/>
    <col width="2.5" bestFit="1" customWidth="1" style="105" min="2336" max="2336"/>
    <col width="3.25" bestFit="1" customWidth="1" style="105" min="2337" max="2337"/>
    <col width="3.375" bestFit="1" customWidth="1" style="105" min="2338" max="2339"/>
    <col width="6.25" bestFit="1" customWidth="1" style="105" min="2340" max="2340"/>
    <col width="8.25" bestFit="1" customWidth="1" style="105" min="2341" max="2341"/>
    <col width="6.875" bestFit="1" customWidth="1" style="105" min="2342" max="2342"/>
    <col width="6.375" bestFit="1" customWidth="1" style="105" min="2343" max="2343"/>
    <col width="19.625" bestFit="1" customWidth="1" style="105" min="2344" max="2344"/>
    <col width="34.5" bestFit="1" customWidth="1" style="105" min="2345" max="2345"/>
    <col width="6.25" bestFit="1" customWidth="1" style="105" min="2346" max="2346"/>
    <col width="7.125" bestFit="1" customWidth="1" style="105" min="2347" max="2347"/>
    <col width="5.875" bestFit="1" customWidth="1" style="105" min="2348" max="2348"/>
    <col width="29.625" bestFit="1" customWidth="1" style="105" min="2349" max="2349"/>
    <col width="5.875" bestFit="1" customWidth="1" style="105" min="2350" max="2350"/>
    <col width="3.75" bestFit="1" customWidth="1" style="105" min="2351" max="2351"/>
    <col width="6.25" bestFit="1" customWidth="1" style="105" min="2352" max="2352"/>
    <col width="6.875" bestFit="1" customWidth="1" style="105" min="2353" max="2353"/>
    <col width="6.75" bestFit="1" customWidth="1" style="105" min="2354" max="2354"/>
    <col width="5.875" bestFit="1" customWidth="1" style="105" min="2355" max="2355"/>
    <col width="108.375" bestFit="1" customWidth="1" style="105" min="2356" max="2356"/>
    <col width="104.125" bestFit="1" customWidth="1" style="105" min="2357" max="2357"/>
    <col width="7" bestFit="1" customWidth="1" style="105" min="2358" max="2358"/>
    <col width="7.875" bestFit="1" customWidth="1" style="105" min="2359" max="2359"/>
    <col width="8.5" bestFit="1" customWidth="1" style="105" min="2360" max="2360"/>
    <col width="4.75" bestFit="1" customWidth="1" style="105" min="2361" max="2361"/>
    <col width="37.375" bestFit="1" customWidth="1" style="105" min="2362" max="2362"/>
    <col width="6.875" bestFit="1" customWidth="1" style="105" min="2363" max="2363"/>
    <col width="7.875" bestFit="1" customWidth="1" style="105" min="2364" max="2364"/>
    <col width="7.75" bestFit="1" customWidth="1" style="105" min="2365" max="2365"/>
    <col width="8" bestFit="1" customWidth="1" style="105" min="2366" max="2366"/>
    <col width="4.75" bestFit="1" customWidth="1" style="105" min="2367" max="2367"/>
    <col width="7.875" bestFit="1" customWidth="1" style="105" min="2368" max="2368"/>
    <col width="4" bestFit="1" customWidth="1" style="105" min="2369" max="2380"/>
    <col width="3.75" bestFit="1" customWidth="1" style="105" min="2381" max="2381"/>
    <col width="4" bestFit="1" customWidth="1" style="105" min="2382" max="2382"/>
    <col width="3.625" bestFit="1" customWidth="1" style="105" min="2383" max="2383"/>
    <col width="9.875" bestFit="1" customWidth="1" style="105" min="2384" max="2384"/>
    <col width="5" bestFit="1" customWidth="1" style="105" min="2385" max="2385"/>
    <col width="7.125" bestFit="1" customWidth="1" style="105" min="2386" max="2386"/>
    <col width="9.375" bestFit="1" customWidth="1" style="105" min="2387" max="2387"/>
    <col width="17.5" bestFit="1" customWidth="1" style="105" min="2388" max="2388"/>
    <col width="7.375" bestFit="1" customWidth="1" style="105" min="2389" max="2389"/>
    <col width="5.75" bestFit="1" customWidth="1" style="105" min="2390" max="2390"/>
    <col width="31.25" bestFit="1" customWidth="1" style="105" min="2391" max="2391"/>
    <col width="26" bestFit="1" customWidth="1" style="105" min="2392" max="2392"/>
    <col width="24.375" bestFit="1" customWidth="1" style="105" min="2393" max="2394"/>
    <col width="6.375" bestFit="1" customWidth="1" style="105" min="2395" max="2395"/>
    <col width="9.875" bestFit="1" customWidth="1" style="105" min="2396" max="2397"/>
    <col width="28.875" bestFit="1" customWidth="1" style="105" min="2398" max="2398"/>
    <col width="9.75" bestFit="1" customWidth="1" style="105" min="2399" max="2399"/>
    <col width="12.625" bestFit="1" customWidth="1" style="105" min="2400" max="2400"/>
    <col width="32.375" bestFit="1" customWidth="1" style="105" min="2401" max="2401"/>
    <col width="3.375" bestFit="1" customWidth="1" style="105" min="2402" max="2402"/>
    <col width="8" bestFit="1" customWidth="1" style="105" min="2403" max="2403"/>
    <col width="5.625" bestFit="1" customWidth="1" style="105" min="2404" max="2404"/>
    <col width="7.875" bestFit="1" customWidth="1" style="105" min="2405" max="2405"/>
    <col width="6" bestFit="1" customWidth="1" style="105" min="2406" max="2406"/>
    <col width="11.25" bestFit="1" customWidth="1" style="105" min="2407" max="2407"/>
    <col width="9" customWidth="1" style="105" min="2408" max="2560"/>
    <col width="13.125" bestFit="1" customWidth="1" style="105" min="2561" max="2561"/>
    <col width="10.875" bestFit="1" customWidth="1" style="105" min="2562" max="2562"/>
    <col width="4.625" bestFit="1" customWidth="1" style="105" min="2563" max="2563"/>
    <col width="7" bestFit="1" customWidth="1" style="105" min="2564" max="2564"/>
    <col width="5.125" bestFit="1" customWidth="1" style="105" min="2565" max="2565"/>
    <col width="3.25" bestFit="1" customWidth="1" style="105" min="2566" max="2570"/>
    <col width="3.5" bestFit="1" customWidth="1" style="105" min="2571" max="2571"/>
    <col width="3.375" bestFit="1" customWidth="1" style="105" min="2572" max="2573"/>
    <col width="4.625" bestFit="1" customWidth="1" style="105" min="2574" max="2574"/>
    <col width="4.875" bestFit="1" customWidth="1" style="105" min="2575" max="2575"/>
    <col width="5.25" bestFit="1" customWidth="1" style="105" min="2576" max="2576"/>
    <col width="4.875" bestFit="1" customWidth="1" style="105" min="2577" max="2577"/>
    <col width="7.875" bestFit="1" customWidth="1" style="105" min="2578" max="2578"/>
    <col width="4.375" bestFit="1" customWidth="1" style="105" min="2579" max="2579"/>
    <col width="5.5" bestFit="1" customWidth="1" style="105" min="2580" max="2580"/>
    <col width="5.75" bestFit="1" customWidth="1" style="105" min="2581" max="2581"/>
    <col width="7.875" bestFit="1" customWidth="1" style="105" min="2582" max="2582"/>
    <col width="5.125" bestFit="1" customWidth="1" style="105" min="2583" max="2583"/>
    <col width="4.625" bestFit="1" customWidth="1" style="105" min="2584" max="2584"/>
    <col width="7.875" bestFit="1" customWidth="1" style="105" min="2585" max="2585"/>
    <col width="6.125" bestFit="1" customWidth="1" style="105" min="2586" max="2586"/>
    <col width="32.375" bestFit="1" customWidth="1" style="105" min="2587" max="2587"/>
    <col width="32.875" bestFit="1" customWidth="1" style="105" min="2588" max="2588"/>
    <col width="8.625" bestFit="1" customWidth="1" style="105" min="2589" max="2589"/>
    <col width="9.375" bestFit="1" customWidth="1" style="105" min="2590" max="2590"/>
    <col width="9.25" bestFit="1" customWidth="1" style="105" min="2591" max="2591"/>
    <col width="2.5" bestFit="1" customWidth="1" style="105" min="2592" max="2592"/>
    <col width="3.25" bestFit="1" customWidth="1" style="105" min="2593" max="2593"/>
    <col width="3.375" bestFit="1" customWidth="1" style="105" min="2594" max="2595"/>
    <col width="6.25" bestFit="1" customWidth="1" style="105" min="2596" max="2596"/>
    <col width="8.25" bestFit="1" customWidth="1" style="105" min="2597" max="2597"/>
    <col width="6.875" bestFit="1" customWidth="1" style="105" min="2598" max="2598"/>
    <col width="6.375" bestFit="1" customWidth="1" style="105" min="2599" max="2599"/>
    <col width="19.625" bestFit="1" customWidth="1" style="105" min="2600" max="2600"/>
    <col width="34.5" bestFit="1" customWidth="1" style="105" min="2601" max="2601"/>
    <col width="6.25" bestFit="1" customWidth="1" style="105" min="2602" max="2602"/>
    <col width="7.125" bestFit="1" customWidth="1" style="105" min="2603" max="2603"/>
    <col width="5.875" bestFit="1" customWidth="1" style="105" min="2604" max="2604"/>
    <col width="29.625" bestFit="1" customWidth="1" style="105" min="2605" max="2605"/>
    <col width="5.875" bestFit="1" customWidth="1" style="105" min="2606" max="2606"/>
    <col width="3.75" bestFit="1" customWidth="1" style="105" min="2607" max="2607"/>
    <col width="6.25" bestFit="1" customWidth="1" style="105" min="2608" max="2608"/>
    <col width="6.875" bestFit="1" customWidth="1" style="105" min="2609" max="2609"/>
    <col width="6.75" bestFit="1" customWidth="1" style="105" min="2610" max="2610"/>
    <col width="5.875" bestFit="1" customWidth="1" style="105" min="2611" max="2611"/>
    <col width="108.375" bestFit="1" customWidth="1" style="105" min="2612" max="2612"/>
    <col width="104.125" bestFit="1" customWidth="1" style="105" min="2613" max="2613"/>
    <col width="7" bestFit="1" customWidth="1" style="105" min="2614" max="2614"/>
    <col width="7.875" bestFit="1" customWidth="1" style="105" min="2615" max="2615"/>
    <col width="8.5" bestFit="1" customWidth="1" style="105" min="2616" max="2616"/>
    <col width="4.75" bestFit="1" customWidth="1" style="105" min="2617" max="2617"/>
    <col width="37.375" bestFit="1" customWidth="1" style="105" min="2618" max="2618"/>
    <col width="6.875" bestFit="1" customWidth="1" style="105" min="2619" max="2619"/>
    <col width="7.875" bestFit="1" customWidth="1" style="105" min="2620" max="2620"/>
    <col width="7.75" bestFit="1" customWidth="1" style="105" min="2621" max="2621"/>
    <col width="8" bestFit="1" customWidth="1" style="105" min="2622" max="2622"/>
    <col width="4.75" bestFit="1" customWidth="1" style="105" min="2623" max="2623"/>
    <col width="7.875" bestFit="1" customWidth="1" style="105" min="2624" max="2624"/>
    <col width="4" bestFit="1" customWidth="1" style="105" min="2625" max="2636"/>
    <col width="3.75" bestFit="1" customWidth="1" style="105" min="2637" max="2637"/>
    <col width="4" bestFit="1" customWidth="1" style="105" min="2638" max="2638"/>
    <col width="3.625" bestFit="1" customWidth="1" style="105" min="2639" max="2639"/>
    <col width="9.875" bestFit="1" customWidth="1" style="105" min="2640" max="2640"/>
    <col width="5" bestFit="1" customWidth="1" style="105" min="2641" max="2641"/>
    <col width="7.125" bestFit="1" customWidth="1" style="105" min="2642" max="2642"/>
    <col width="9.375" bestFit="1" customWidth="1" style="105" min="2643" max="2643"/>
    <col width="17.5" bestFit="1" customWidth="1" style="105" min="2644" max="2644"/>
    <col width="7.375" bestFit="1" customWidth="1" style="105" min="2645" max="2645"/>
    <col width="5.75" bestFit="1" customWidth="1" style="105" min="2646" max="2646"/>
    <col width="31.25" bestFit="1" customWidth="1" style="105" min="2647" max="2647"/>
    <col width="26" bestFit="1" customWidth="1" style="105" min="2648" max="2648"/>
    <col width="24.375" bestFit="1" customWidth="1" style="105" min="2649" max="2650"/>
    <col width="6.375" bestFit="1" customWidth="1" style="105" min="2651" max="2651"/>
    <col width="9.875" bestFit="1" customWidth="1" style="105" min="2652" max="2653"/>
    <col width="28.875" bestFit="1" customWidth="1" style="105" min="2654" max="2654"/>
    <col width="9.75" bestFit="1" customWidth="1" style="105" min="2655" max="2655"/>
    <col width="12.625" bestFit="1" customWidth="1" style="105" min="2656" max="2656"/>
    <col width="32.375" bestFit="1" customWidth="1" style="105" min="2657" max="2657"/>
    <col width="3.375" bestFit="1" customWidth="1" style="105" min="2658" max="2658"/>
    <col width="8" bestFit="1" customWidth="1" style="105" min="2659" max="2659"/>
    <col width="5.625" bestFit="1" customWidth="1" style="105" min="2660" max="2660"/>
    <col width="7.875" bestFit="1" customWidth="1" style="105" min="2661" max="2661"/>
    <col width="6" bestFit="1" customWidth="1" style="105" min="2662" max="2662"/>
    <col width="11.25" bestFit="1" customWidth="1" style="105" min="2663" max="2663"/>
    <col width="9" customWidth="1" style="105" min="2664" max="2816"/>
    <col width="13.125" bestFit="1" customWidth="1" style="105" min="2817" max="2817"/>
    <col width="10.875" bestFit="1" customWidth="1" style="105" min="2818" max="2818"/>
    <col width="4.625" bestFit="1" customWidth="1" style="105" min="2819" max="2819"/>
    <col width="7" bestFit="1" customWidth="1" style="105" min="2820" max="2820"/>
    <col width="5.125" bestFit="1" customWidth="1" style="105" min="2821" max="2821"/>
    <col width="3.25" bestFit="1" customWidth="1" style="105" min="2822" max="2826"/>
    <col width="3.5" bestFit="1" customWidth="1" style="105" min="2827" max="2827"/>
    <col width="3.375" bestFit="1" customWidth="1" style="105" min="2828" max="2829"/>
    <col width="4.625" bestFit="1" customWidth="1" style="105" min="2830" max="2830"/>
    <col width="4.875" bestFit="1" customWidth="1" style="105" min="2831" max="2831"/>
    <col width="5.25" bestFit="1" customWidth="1" style="105" min="2832" max="2832"/>
    <col width="4.875" bestFit="1" customWidth="1" style="105" min="2833" max="2833"/>
    <col width="7.875" bestFit="1" customWidth="1" style="105" min="2834" max="2834"/>
    <col width="4.375" bestFit="1" customWidth="1" style="105" min="2835" max="2835"/>
    <col width="5.5" bestFit="1" customWidth="1" style="105" min="2836" max="2836"/>
    <col width="5.75" bestFit="1" customWidth="1" style="105" min="2837" max="2837"/>
    <col width="7.875" bestFit="1" customWidth="1" style="105" min="2838" max="2838"/>
    <col width="5.125" bestFit="1" customWidth="1" style="105" min="2839" max="2839"/>
    <col width="4.625" bestFit="1" customWidth="1" style="105" min="2840" max="2840"/>
    <col width="7.875" bestFit="1" customWidth="1" style="105" min="2841" max="2841"/>
    <col width="6.125" bestFit="1" customWidth="1" style="105" min="2842" max="2842"/>
    <col width="32.375" bestFit="1" customWidth="1" style="105" min="2843" max="2843"/>
    <col width="32.875" bestFit="1" customWidth="1" style="105" min="2844" max="2844"/>
    <col width="8.625" bestFit="1" customWidth="1" style="105" min="2845" max="2845"/>
    <col width="9.375" bestFit="1" customWidth="1" style="105" min="2846" max="2846"/>
    <col width="9.25" bestFit="1" customWidth="1" style="105" min="2847" max="2847"/>
    <col width="2.5" bestFit="1" customWidth="1" style="105" min="2848" max="2848"/>
    <col width="3.25" bestFit="1" customWidth="1" style="105" min="2849" max="2849"/>
    <col width="3.375" bestFit="1" customWidth="1" style="105" min="2850" max="2851"/>
    <col width="6.25" bestFit="1" customWidth="1" style="105" min="2852" max="2852"/>
    <col width="8.25" bestFit="1" customWidth="1" style="105" min="2853" max="2853"/>
    <col width="6.875" bestFit="1" customWidth="1" style="105" min="2854" max="2854"/>
    <col width="6.375" bestFit="1" customWidth="1" style="105" min="2855" max="2855"/>
    <col width="19.625" bestFit="1" customWidth="1" style="105" min="2856" max="2856"/>
    <col width="34.5" bestFit="1" customWidth="1" style="105" min="2857" max="2857"/>
    <col width="6.25" bestFit="1" customWidth="1" style="105" min="2858" max="2858"/>
    <col width="7.125" bestFit="1" customWidth="1" style="105" min="2859" max="2859"/>
    <col width="5.875" bestFit="1" customWidth="1" style="105" min="2860" max="2860"/>
    <col width="29.625" bestFit="1" customWidth="1" style="105" min="2861" max="2861"/>
    <col width="5.875" bestFit="1" customWidth="1" style="105" min="2862" max="2862"/>
    <col width="3.75" bestFit="1" customWidth="1" style="105" min="2863" max="2863"/>
    <col width="6.25" bestFit="1" customWidth="1" style="105" min="2864" max="2864"/>
    <col width="6.875" bestFit="1" customWidth="1" style="105" min="2865" max="2865"/>
    <col width="6.75" bestFit="1" customWidth="1" style="105" min="2866" max="2866"/>
    <col width="5.875" bestFit="1" customWidth="1" style="105" min="2867" max="2867"/>
    <col width="108.375" bestFit="1" customWidth="1" style="105" min="2868" max="2868"/>
    <col width="104.125" bestFit="1" customWidth="1" style="105" min="2869" max="2869"/>
    <col width="7" bestFit="1" customWidth="1" style="105" min="2870" max="2870"/>
    <col width="7.875" bestFit="1" customWidth="1" style="105" min="2871" max="2871"/>
    <col width="8.5" bestFit="1" customWidth="1" style="105" min="2872" max="2872"/>
    <col width="4.75" bestFit="1" customWidth="1" style="105" min="2873" max="2873"/>
    <col width="37.375" bestFit="1" customWidth="1" style="105" min="2874" max="2874"/>
    <col width="6.875" bestFit="1" customWidth="1" style="105" min="2875" max="2875"/>
    <col width="7.875" bestFit="1" customWidth="1" style="105" min="2876" max="2876"/>
    <col width="7.75" bestFit="1" customWidth="1" style="105" min="2877" max="2877"/>
    <col width="8" bestFit="1" customWidth="1" style="105" min="2878" max="2878"/>
    <col width="4.75" bestFit="1" customWidth="1" style="105" min="2879" max="2879"/>
    <col width="7.875" bestFit="1" customWidth="1" style="105" min="2880" max="2880"/>
    <col width="4" bestFit="1" customWidth="1" style="105" min="2881" max="2892"/>
    <col width="3.75" bestFit="1" customWidth="1" style="105" min="2893" max="2893"/>
    <col width="4" bestFit="1" customWidth="1" style="105" min="2894" max="2894"/>
    <col width="3.625" bestFit="1" customWidth="1" style="105" min="2895" max="2895"/>
    <col width="9.875" bestFit="1" customWidth="1" style="105" min="2896" max="2896"/>
    <col width="5" bestFit="1" customWidth="1" style="105" min="2897" max="2897"/>
    <col width="7.125" bestFit="1" customWidth="1" style="105" min="2898" max="2898"/>
    <col width="9.375" bestFit="1" customWidth="1" style="105" min="2899" max="2899"/>
    <col width="17.5" bestFit="1" customWidth="1" style="105" min="2900" max="2900"/>
    <col width="7.375" bestFit="1" customWidth="1" style="105" min="2901" max="2901"/>
    <col width="5.75" bestFit="1" customWidth="1" style="105" min="2902" max="2902"/>
    <col width="31.25" bestFit="1" customWidth="1" style="105" min="2903" max="2903"/>
    <col width="26" bestFit="1" customWidth="1" style="105" min="2904" max="2904"/>
    <col width="24.375" bestFit="1" customWidth="1" style="105" min="2905" max="2906"/>
    <col width="6.375" bestFit="1" customWidth="1" style="105" min="2907" max="2907"/>
    <col width="9.875" bestFit="1" customWidth="1" style="105" min="2908" max="2909"/>
    <col width="28.875" bestFit="1" customWidth="1" style="105" min="2910" max="2910"/>
    <col width="9.75" bestFit="1" customWidth="1" style="105" min="2911" max="2911"/>
    <col width="12.625" bestFit="1" customWidth="1" style="105" min="2912" max="2912"/>
    <col width="32.375" bestFit="1" customWidth="1" style="105" min="2913" max="2913"/>
    <col width="3.375" bestFit="1" customWidth="1" style="105" min="2914" max="2914"/>
    <col width="8" bestFit="1" customWidth="1" style="105" min="2915" max="2915"/>
    <col width="5.625" bestFit="1" customWidth="1" style="105" min="2916" max="2916"/>
    <col width="7.875" bestFit="1" customWidth="1" style="105" min="2917" max="2917"/>
    <col width="6" bestFit="1" customWidth="1" style="105" min="2918" max="2918"/>
    <col width="11.25" bestFit="1" customWidth="1" style="105" min="2919" max="2919"/>
    <col width="9" customWidth="1" style="105" min="2920" max="3072"/>
    <col width="13.125" bestFit="1" customWidth="1" style="105" min="3073" max="3073"/>
    <col width="10.875" bestFit="1" customWidth="1" style="105" min="3074" max="3074"/>
    <col width="4.625" bestFit="1" customWidth="1" style="105" min="3075" max="3075"/>
    <col width="7" bestFit="1" customWidth="1" style="105" min="3076" max="3076"/>
    <col width="5.125" bestFit="1" customWidth="1" style="105" min="3077" max="3077"/>
    <col width="3.25" bestFit="1" customWidth="1" style="105" min="3078" max="3082"/>
    <col width="3.5" bestFit="1" customWidth="1" style="105" min="3083" max="3083"/>
    <col width="3.375" bestFit="1" customWidth="1" style="105" min="3084" max="3085"/>
    <col width="4.625" bestFit="1" customWidth="1" style="105" min="3086" max="3086"/>
    <col width="4.875" bestFit="1" customWidth="1" style="105" min="3087" max="3087"/>
    <col width="5.25" bestFit="1" customWidth="1" style="105" min="3088" max="3088"/>
    <col width="4.875" bestFit="1" customWidth="1" style="105" min="3089" max="3089"/>
    <col width="7.875" bestFit="1" customWidth="1" style="105" min="3090" max="3090"/>
    <col width="4.375" bestFit="1" customWidth="1" style="105" min="3091" max="3091"/>
    <col width="5.5" bestFit="1" customWidth="1" style="105" min="3092" max="3092"/>
    <col width="5.75" bestFit="1" customWidth="1" style="105" min="3093" max="3093"/>
    <col width="7.875" bestFit="1" customWidth="1" style="105" min="3094" max="3094"/>
    <col width="5.125" bestFit="1" customWidth="1" style="105" min="3095" max="3095"/>
    <col width="4.625" bestFit="1" customWidth="1" style="105" min="3096" max="3096"/>
    <col width="7.875" bestFit="1" customWidth="1" style="105" min="3097" max="3097"/>
    <col width="6.125" bestFit="1" customWidth="1" style="105" min="3098" max="3098"/>
    <col width="32.375" bestFit="1" customWidth="1" style="105" min="3099" max="3099"/>
    <col width="32.875" bestFit="1" customWidth="1" style="105" min="3100" max="3100"/>
    <col width="8.625" bestFit="1" customWidth="1" style="105" min="3101" max="3101"/>
    <col width="9.375" bestFit="1" customWidth="1" style="105" min="3102" max="3102"/>
    <col width="9.25" bestFit="1" customWidth="1" style="105" min="3103" max="3103"/>
    <col width="2.5" bestFit="1" customWidth="1" style="105" min="3104" max="3104"/>
    <col width="3.25" bestFit="1" customWidth="1" style="105" min="3105" max="3105"/>
    <col width="3.375" bestFit="1" customWidth="1" style="105" min="3106" max="3107"/>
    <col width="6.25" bestFit="1" customWidth="1" style="105" min="3108" max="3108"/>
    <col width="8.25" bestFit="1" customWidth="1" style="105" min="3109" max="3109"/>
    <col width="6.875" bestFit="1" customWidth="1" style="105" min="3110" max="3110"/>
    <col width="6.375" bestFit="1" customWidth="1" style="105" min="3111" max="3111"/>
    <col width="19.625" bestFit="1" customWidth="1" style="105" min="3112" max="3112"/>
    <col width="34.5" bestFit="1" customWidth="1" style="105" min="3113" max="3113"/>
    <col width="6.25" bestFit="1" customWidth="1" style="105" min="3114" max="3114"/>
    <col width="7.125" bestFit="1" customWidth="1" style="105" min="3115" max="3115"/>
    <col width="5.875" bestFit="1" customWidth="1" style="105" min="3116" max="3116"/>
    <col width="29.625" bestFit="1" customWidth="1" style="105" min="3117" max="3117"/>
    <col width="5.875" bestFit="1" customWidth="1" style="105" min="3118" max="3118"/>
    <col width="3.75" bestFit="1" customWidth="1" style="105" min="3119" max="3119"/>
    <col width="6.25" bestFit="1" customWidth="1" style="105" min="3120" max="3120"/>
    <col width="6.875" bestFit="1" customWidth="1" style="105" min="3121" max="3121"/>
    <col width="6.75" bestFit="1" customWidth="1" style="105" min="3122" max="3122"/>
    <col width="5.875" bestFit="1" customWidth="1" style="105" min="3123" max="3123"/>
    <col width="108.375" bestFit="1" customWidth="1" style="105" min="3124" max="3124"/>
    <col width="104.125" bestFit="1" customWidth="1" style="105" min="3125" max="3125"/>
    <col width="7" bestFit="1" customWidth="1" style="105" min="3126" max="3126"/>
    <col width="7.875" bestFit="1" customWidth="1" style="105" min="3127" max="3127"/>
    <col width="8.5" bestFit="1" customWidth="1" style="105" min="3128" max="3128"/>
    <col width="4.75" bestFit="1" customWidth="1" style="105" min="3129" max="3129"/>
    <col width="37.375" bestFit="1" customWidth="1" style="105" min="3130" max="3130"/>
    <col width="6.875" bestFit="1" customWidth="1" style="105" min="3131" max="3131"/>
    <col width="7.875" bestFit="1" customWidth="1" style="105" min="3132" max="3132"/>
    <col width="7.75" bestFit="1" customWidth="1" style="105" min="3133" max="3133"/>
    <col width="8" bestFit="1" customWidth="1" style="105" min="3134" max="3134"/>
    <col width="4.75" bestFit="1" customWidth="1" style="105" min="3135" max="3135"/>
    <col width="7.875" bestFit="1" customWidth="1" style="105" min="3136" max="3136"/>
    <col width="4" bestFit="1" customWidth="1" style="105" min="3137" max="3148"/>
    <col width="3.75" bestFit="1" customWidth="1" style="105" min="3149" max="3149"/>
    <col width="4" bestFit="1" customWidth="1" style="105" min="3150" max="3150"/>
    <col width="3.625" bestFit="1" customWidth="1" style="105" min="3151" max="3151"/>
    <col width="9.875" bestFit="1" customWidth="1" style="105" min="3152" max="3152"/>
    <col width="5" bestFit="1" customWidth="1" style="105" min="3153" max="3153"/>
    <col width="7.125" bestFit="1" customWidth="1" style="105" min="3154" max="3154"/>
    <col width="9.375" bestFit="1" customWidth="1" style="105" min="3155" max="3155"/>
    <col width="17.5" bestFit="1" customWidth="1" style="105" min="3156" max="3156"/>
    <col width="7.375" bestFit="1" customWidth="1" style="105" min="3157" max="3157"/>
    <col width="5.75" bestFit="1" customWidth="1" style="105" min="3158" max="3158"/>
    <col width="31.25" bestFit="1" customWidth="1" style="105" min="3159" max="3159"/>
    <col width="26" bestFit="1" customWidth="1" style="105" min="3160" max="3160"/>
    <col width="24.375" bestFit="1" customWidth="1" style="105" min="3161" max="3162"/>
    <col width="6.375" bestFit="1" customWidth="1" style="105" min="3163" max="3163"/>
    <col width="9.875" bestFit="1" customWidth="1" style="105" min="3164" max="3165"/>
    <col width="28.875" bestFit="1" customWidth="1" style="105" min="3166" max="3166"/>
    <col width="9.75" bestFit="1" customWidth="1" style="105" min="3167" max="3167"/>
    <col width="12.625" bestFit="1" customWidth="1" style="105" min="3168" max="3168"/>
    <col width="32.375" bestFit="1" customWidth="1" style="105" min="3169" max="3169"/>
    <col width="3.375" bestFit="1" customWidth="1" style="105" min="3170" max="3170"/>
    <col width="8" bestFit="1" customWidth="1" style="105" min="3171" max="3171"/>
    <col width="5.625" bestFit="1" customWidth="1" style="105" min="3172" max="3172"/>
    <col width="7.875" bestFit="1" customWidth="1" style="105" min="3173" max="3173"/>
    <col width="6" bestFit="1" customWidth="1" style="105" min="3174" max="3174"/>
    <col width="11.25" bestFit="1" customWidth="1" style="105" min="3175" max="3175"/>
    <col width="9" customWidth="1" style="105" min="3176" max="3328"/>
    <col width="13.125" bestFit="1" customWidth="1" style="105" min="3329" max="3329"/>
    <col width="10.875" bestFit="1" customWidth="1" style="105" min="3330" max="3330"/>
    <col width="4.625" bestFit="1" customWidth="1" style="105" min="3331" max="3331"/>
    <col width="7" bestFit="1" customWidth="1" style="105" min="3332" max="3332"/>
    <col width="5.125" bestFit="1" customWidth="1" style="105" min="3333" max="3333"/>
    <col width="3.25" bestFit="1" customWidth="1" style="105" min="3334" max="3338"/>
    <col width="3.5" bestFit="1" customWidth="1" style="105" min="3339" max="3339"/>
    <col width="3.375" bestFit="1" customWidth="1" style="105" min="3340" max="3341"/>
    <col width="4.625" bestFit="1" customWidth="1" style="105" min="3342" max="3342"/>
    <col width="4.875" bestFit="1" customWidth="1" style="105" min="3343" max="3343"/>
    <col width="5.25" bestFit="1" customWidth="1" style="105" min="3344" max="3344"/>
    <col width="4.875" bestFit="1" customWidth="1" style="105" min="3345" max="3345"/>
    <col width="7.875" bestFit="1" customWidth="1" style="105" min="3346" max="3346"/>
    <col width="4.375" bestFit="1" customWidth="1" style="105" min="3347" max="3347"/>
    <col width="5.5" bestFit="1" customWidth="1" style="105" min="3348" max="3348"/>
    <col width="5.75" bestFit="1" customWidth="1" style="105" min="3349" max="3349"/>
    <col width="7.875" bestFit="1" customWidth="1" style="105" min="3350" max="3350"/>
    <col width="5.125" bestFit="1" customWidth="1" style="105" min="3351" max="3351"/>
    <col width="4.625" bestFit="1" customWidth="1" style="105" min="3352" max="3352"/>
    <col width="7.875" bestFit="1" customWidth="1" style="105" min="3353" max="3353"/>
    <col width="6.125" bestFit="1" customWidth="1" style="105" min="3354" max="3354"/>
    <col width="32.375" bestFit="1" customWidth="1" style="105" min="3355" max="3355"/>
    <col width="32.875" bestFit="1" customWidth="1" style="105" min="3356" max="3356"/>
    <col width="8.625" bestFit="1" customWidth="1" style="105" min="3357" max="3357"/>
    <col width="9.375" bestFit="1" customWidth="1" style="105" min="3358" max="3358"/>
    <col width="9.25" bestFit="1" customWidth="1" style="105" min="3359" max="3359"/>
    <col width="2.5" bestFit="1" customWidth="1" style="105" min="3360" max="3360"/>
    <col width="3.25" bestFit="1" customWidth="1" style="105" min="3361" max="3361"/>
    <col width="3.375" bestFit="1" customWidth="1" style="105" min="3362" max="3363"/>
    <col width="6.25" bestFit="1" customWidth="1" style="105" min="3364" max="3364"/>
    <col width="8.25" bestFit="1" customWidth="1" style="105" min="3365" max="3365"/>
    <col width="6.875" bestFit="1" customWidth="1" style="105" min="3366" max="3366"/>
    <col width="6.375" bestFit="1" customWidth="1" style="105" min="3367" max="3367"/>
    <col width="19.625" bestFit="1" customWidth="1" style="105" min="3368" max="3368"/>
    <col width="34.5" bestFit="1" customWidth="1" style="105" min="3369" max="3369"/>
    <col width="6.25" bestFit="1" customWidth="1" style="105" min="3370" max="3370"/>
    <col width="7.125" bestFit="1" customWidth="1" style="105" min="3371" max="3371"/>
    <col width="5.875" bestFit="1" customWidth="1" style="105" min="3372" max="3372"/>
    <col width="29.625" bestFit="1" customWidth="1" style="105" min="3373" max="3373"/>
    <col width="5.875" bestFit="1" customWidth="1" style="105" min="3374" max="3374"/>
    <col width="3.75" bestFit="1" customWidth="1" style="105" min="3375" max="3375"/>
    <col width="6.25" bestFit="1" customWidth="1" style="105" min="3376" max="3376"/>
    <col width="6.875" bestFit="1" customWidth="1" style="105" min="3377" max="3377"/>
    <col width="6.75" bestFit="1" customWidth="1" style="105" min="3378" max="3378"/>
    <col width="5.875" bestFit="1" customWidth="1" style="105" min="3379" max="3379"/>
    <col width="108.375" bestFit="1" customWidth="1" style="105" min="3380" max="3380"/>
    <col width="104.125" bestFit="1" customWidth="1" style="105" min="3381" max="3381"/>
    <col width="7" bestFit="1" customWidth="1" style="105" min="3382" max="3382"/>
    <col width="7.875" bestFit="1" customWidth="1" style="105" min="3383" max="3383"/>
    <col width="8.5" bestFit="1" customWidth="1" style="105" min="3384" max="3384"/>
    <col width="4.75" bestFit="1" customWidth="1" style="105" min="3385" max="3385"/>
    <col width="37.375" bestFit="1" customWidth="1" style="105" min="3386" max="3386"/>
    <col width="6.875" bestFit="1" customWidth="1" style="105" min="3387" max="3387"/>
    <col width="7.875" bestFit="1" customWidth="1" style="105" min="3388" max="3388"/>
    <col width="7.75" bestFit="1" customWidth="1" style="105" min="3389" max="3389"/>
    <col width="8" bestFit="1" customWidth="1" style="105" min="3390" max="3390"/>
    <col width="4.75" bestFit="1" customWidth="1" style="105" min="3391" max="3391"/>
    <col width="7.875" bestFit="1" customWidth="1" style="105" min="3392" max="3392"/>
    <col width="4" bestFit="1" customWidth="1" style="105" min="3393" max="3404"/>
    <col width="3.75" bestFit="1" customWidth="1" style="105" min="3405" max="3405"/>
    <col width="4" bestFit="1" customWidth="1" style="105" min="3406" max="3406"/>
    <col width="3.625" bestFit="1" customWidth="1" style="105" min="3407" max="3407"/>
    <col width="9.875" bestFit="1" customWidth="1" style="105" min="3408" max="3408"/>
    <col width="5" bestFit="1" customWidth="1" style="105" min="3409" max="3409"/>
    <col width="7.125" bestFit="1" customWidth="1" style="105" min="3410" max="3410"/>
    <col width="9.375" bestFit="1" customWidth="1" style="105" min="3411" max="3411"/>
    <col width="17.5" bestFit="1" customWidth="1" style="105" min="3412" max="3412"/>
    <col width="7.375" bestFit="1" customWidth="1" style="105" min="3413" max="3413"/>
    <col width="5.75" bestFit="1" customWidth="1" style="105" min="3414" max="3414"/>
    <col width="31.25" bestFit="1" customWidth="1" style="105" min="3415" max="3415"/>
    <col width="26" bestFit="1" customWidth="1" style="105" min="3416" max="3416"/>
    <col width="24.375" bestFit="1" customWidth="1" style="105" min="3417" max="3418"/>
    <col width="6.375" bestFit="1" customWidth="1" style="105" min="3419" max="3419"/>
    <col width="9.875" bestFit="1" customWidth="1" style="105" min="3420" max="3421"/>
    <col width="28.875" bestFit="1" customWidth="1" style="105" min="3422" max="3422"/>
    <col width="9.75" bestFit="1" customWidth="1" style="105" min="3423" max="3423"/>
    <col width="12.625" bestFit="1" customWidth="1" style="105" min="3424" max="3424"/>
    <col width="32.375" bestFit="1" customWidth="1" style="105" min="3425" max="3425"/>
    <col width="3.375" bestFit="1" customWidth="1" style="105" min="3426" max="3426"/>
    <col width="8" bestFit="1" customWidth="1" style="105" min="3427" max="3427"/>
    <col width="5.625" bestFit="1" customWidth="1" style="105" min="3428" max="3428"/>
    <col width="7.875" bestFit="1" customWidth="1" style="105" min="3429" max="3429"/>
    <col width="6" bestFit="1" customWidth="1" style="105" min="3430" max="3430"/>
    <col width="11.25" bestFit="1" customWidth="1" style="105" min="3431" max="3431"/>
    <col width="9" customWidth="1" style="105" min="3432" max="3584"/>
    <col width="13.125" bestFit="1" customWidth="1" style="105" min="3585" max="3585"/>
    <col width="10.875" bestFit="1" customWidth="1" style="105" min="3586" max="3586"/>
    <col width="4.625" bestFit="1" customWidth="1" style="105" min="3587" max="3587"/>
    <col width="7" bestFit="1" customWidth="1" style="105" min="3588" max="3588"/>
    <col width="5.125" bestFit="1" customWidth="1" style="105" min="3589" max="3589"/>
    <col width="3.25" bestFit="1" customWidth="1" style="105" min="3590" max="3594"/>
    <col width="3.5" bestFit="1" customWidth="1" style="105" min="3595" max="3595"/>
    <col width="3.375" bestFit="1" customWidth="1" style="105" min="3596" max="3597"/>
    <col width="4.625" bestFit="1" customWidth="1" style="105" min="3598" max="3598"/>
    <col width="4.875" bestFit="1" customWidth="1" style="105" min="3599" max="3599"/>
    <col width="5.25" bestFit="1" customWidth="1" style="105" min="3600" max="3600"/>
    <col width="4.875" bestFit="1" customWidth="1" style="105" min="3601" max="3601"/>
    <col width="7.875" bestFit="1" customWidth="1" style="105" min="3602" max="3602"/>
    <col width="4.375" bestFit="1" customWidth="1" style="105" min="3603" max="3603"/>
    <col width="5.5" bestFit="1" customWidth="1" style="105" min="3604" max="3604"/>
    <col width="5.75" bestFit="1" customWidth="1" style="105" min="3605" max="3605"/>
    <col width="7.875" bestFit="1" customWidth="1" style="105" min="3606" max="3606"/>
    <col width="5.125" bestFit="1" customWidth="1" style="105" min="3607" max="3607"/>
    <col width="4.625" bestFit="1" customWidth="1" style="105" min="3608" max="3608"/>
    <col width="7.875" bestFit="1" customWidth="1" style="105" min="3609" max="3609"/>
    <col width="6.125" bestFit="1" customWidth="1" style="105" min="3610" max="3610"/>
    <col width="32.375" bestFit="1" customWidth="1" style="105" min="3611" max="3611"/>
    <col width="32.875" bestFit="1" customWidth="1" style="105" min="3612" max="3612"/>
    <col width="8.625" bestFit="1" customWidth="1" style="105" min="3613" max="3613"/>
    <col width="9.375" bestFit="1" customWidth="1" style="105" min="3614" max="3614"/>
    <col width="9.25" bestFit="1" customWidth="1" style="105" min="3615" max="3615"/>
    <col width="2.5" bestFit="1" customWidth="1" style="105" min="3616" max="3616"/>
    <col width="3.25" bestFit="1" customWidth="1" style="105" min="3617" max="3617"/>
    <col width="3.375" bestFit="1" customWidth="1" style="105" min="3618" max="3619"/>
    <col width="6.25" bestFit="1" customWidth="1" style="105" min="3620" max="3620"/>
    <col width="8.25" bestFit="1" customWidth="1" style="105" min="3621" max="3621"/>
    <col width="6.875" bestFit="1" customWidth="1" style="105" min="3622" max="3622"/>
    <col width="6.375" bestFit="1" customWidth="1" style="105" min="3623" max="3623"/>
    <col width="19.625" bestFit="1" customWidth="1" style="105" min="3624" max="3624"/>
    <col width="34.5" bestFit="1" customWidth="1" style="105" min="3625" max="3625"/>
    <col width="6.25" bestFit="1" customWidth="1" style="105" min="3626" max="3626"/>
    <col width="7.125" bestFit="1" customWidth="1" style="105" min="3627" max="3627"/>
    <col width="5.875" bestFit="1" customWidth="1" style="105" min="3628" max="3628"/>
    <col width="29.625" bestFit="1" customWidth="1" style="105" min="3629" max="3629"/>
    <col width="5.875" bestFit="1" customWidth="1" style="105" min="3630" max="3630"/>
    <col width="3.75" bestFit="1" customWidth="1" style="105" min="3631" max="3631"/>
    <col width="6.25" bestFit="1" customWidth="1" style="105" min="3632" max="3632"/>
    <col width="6.875" bestFit="1" customWidth="1" style="105" min="3633" max="3633"/>
    <col width="6.75" bestFit="1" customWidth="1" style="105" min="3634" max="3634"/>
    <col width="5.875" bestFit="1" customWidth="1" style="105" min="3635" max="3635"/>
    <col width="108.375" bestFit="1" customWidth="1" style="105" min="3636" max="3636"/>
    <col width="104.125" bestFit="1" customWidth="1" style="105" min="3637" max="3637"/>
    <col width="7" bestFit="1" customWidth="1" style="105" min="3638" max="3638"/>
    <col width="7.875" bestFit="1" customWidth="1" style="105" min="3639" max="3639"/>
    <col width="8.5" bestFit="1" customWidth="1" style="105" min="3640" max="3640"/>
    <col width="4.75" bestFit="1" customWidth="1" style="105" min="3641" max="3641"/>
    <col width="37.375" bestFit="1" customWidth="1" style="105" min="3642" max="3642"/>
    <col width="6.875" bestFit="1" customWidth="1" style="105" min="3643" max="3643"/>
    <col width="7.875" bestFit="1" customWidth="1" style="105" min="3644" max="3644"/>
    <col width="7.75" bestFit="1" customWidth="1" style="105" min="3645" max="3645"/>
    <col width="8" bestFit="1" customWidth="1" style="105" min="3646" max="3646"/>
    <col width="4.75" bestFit="1" customWidth="1" style="105" min="3647" max="3647"/>
    <col width="7.875" bestFit="1" customWidth="1" style="105" min="3648" max="3648"/>
    <col width="4" bestFit="1" customWidth="1" style="105" min="3649" max="3660"/>
    <col width="3.75" bestFit="1" customWidth="1" style="105" min="3661" max="3661"/>
    <col width="4" bestFit="1" customWidth="1" style="105" min="3662" max="3662"/>
    <col width="3.625" bestFit="1" customWidth="1" style="105" min="3663" max="3663"/>
    <col width="9.875" bestFit="1" customWidth="1" style="105" min="3664" max="3664"/>
    <col width="5" bestFit="1" customWidth="1" style="105" min="3665" max="3665"/>
    <col width="7.125" bestFit="1" customWidth="1" style="105" min="3666" max="3666"/>
    <col width="9.375" bestFit="1" customWidth="1" style="105" min="3667" max="3667"/>
    <col width="17.5" bestFit="1" customWidth="1" style="105" min="3668" max="3668"/>
    <col width="7.375" bestFit="1" customWidth="1" style="105" min="3669" max="3669"/>
    <col width="5.75" bestFit="1" customWidth="1" style="105" min="3670" max="3670"/>
    <col width="31.25" bestFit="1" customWidth="1" style="105" min="3671" max="3671"/>
    <col width="26" bestFit="1" customWidth="1" style="105" min="3672" max="3672"/>
    <col width="24.375" bestFit="1" customWidth="1" style="105" min="3673" max="3674"/>
    <col width="6.375" bestFit="1" customWidth="1" style="105" min="3675" max="3675"/>
    <col width="9.875" bestFit="1" customWidth="1" style="105" min="3676" max="3677"/>
    <col width="28.875" bestFit="1" customWidth="1" style="105" min="3678" max="3678"/>
    <col width="9.75" bestFit="1" customWidth="1" style="105" min="3679" max="3679"/>
    <col width="12.625" bestFit="1" customWidth="1" style="105" min="3680" max="3680"/>
    <col width="32.375" bestFit="1" customWidth="1" style="105" min="3681" max="3681"/>
    <col width="3.375" bestFit="1" customWidth="1" style="105" min="3682" max="3682"/>
    <col width="8" bestFit="1" customWidth="1" style="105" min="3683" max="3683"/>
    <col width="5.625" bestFit="1" customWidth="1" style="105" min="3684" max="3684"/>
    <col width="7.875" bestFit="1" customWidth="1" style="105" min="3685" max="3685"/>
    <col width="6" bestFit="1" customWidth="1" style="105" min="3686" max="3686"/>
    <col width="11.25" bestFit="1" customWidth="1" style="105" min="3687" max="3687"/>
    <col width="9" customWidth="1" style="105" min="3688" max="3840"/>
    <col width="13.125" bestFit="1" customWidth="1" style="105" min="3841" max="3841"/>
    <col width="10.875" bestFit="1" customWidth="1" style="105" min="3842" max="3842"/>
    <col width="4.625" bestFit="1" customWidth="1" style="105" min="3843" max="3843"/>
    <col width="7" bestFit="1" customWidth="1" style="105" min="3844" max="3844"/>
    <col width="5.125" bestFit="1" customWidth="1" style="105" min="3845" max="3845"/>
    <col width="3.25" bestFit="1" customWidth="1" style="105" min="3846" max="3850"/>
    <col width="3.5" bestFit="1" customWidth="1" style="105" min="3851" max="3851"/>
    <col width="3.375" bestFit="1" customWidth="1" style="105" min="3852" max="3853"/>
    <col width="4.625" bestFit="1" customWidth="1" style="105" min="3854" max="3854"/>
    <col width="4.875" bestFit="1" customWidth="1" style="105" min="3855" max="3855"/>
    <col width="5.25" bestFit="1" customWidth="1" style="105" min="3856" max="3856"/>
    <col width="4.875" bestFit="1" customWidth="1" style="105" min="3857" max="3857"/>
    <col width="7.875" bestFit="1" customWidth="1" style="105" min="3858" max="3858"/>
    <col width="4.375" bestFit="1" customWidth="1" style="105" min="3859" max="3859"/>
    <col width="5.5" bestFit="1" customWidth="1" style="105" min="3860" max="3860"/>
    <col width="5.75" bestFit="1" customWidth="1" style="105" min="3861" max="3861"/>
    <col width="7.875" bestFit="1" customWidth="1" style="105" min="3862" max="3862"/>
    <col width="5.125" bestFit="1" customWidth="1" style="105" min="3863" max="3863"/>
    <col width="4.625" bestFit="1" customWidth="1" style="105" min="3864" max="3864"/>
    <col width="7.875" bestFit="1" customWidth="1" style="105" min="3865" max="3865"/>
    <col width="6.125" bestFit="1" customWidth="1" style="105" min="3866" max="3866"/>
    <col width="32.375" bestFit="1" customWidth="1" style="105" min="3867" max="3867"/>
    <col width="32.875" bestFit="1" customWidth="1" style="105" min="3868" max="3868"/>
    <col width="8.625" bestFit="1" customWidth="1" style="105" min="3869" max="3869"/>
    <col width="9.375" bestFit="1" customWidth="1" style="105" min="3870" max="3870"/>
    <col width="9.25" bestFit="1" customWidth="1" style="105" min="3871" max="3871"/>
    <col width="2.5" bestFit="1" customWidth="1" style="105" min="3872" max="3872"/>
    <col width="3.25" bestFit="1" customWidth="1" style="105" min="3873" max="3873"/>
    <col width="3.375" bestFit="1" customWidth="1" style="105" min="3874" max="3875"/>
    <col width="6.25" bestFit="1" customWidth="1" style="105" min="3876" max="3876"/>
    <col width="8.25" bestFit="1" customWidth="1" style="105" min="3877" max="3877"/>
    <col width="6.875" bestFit="1" customWidth="1" style="105" min="3878" max="3878"/>
    <col width="6.375" bestFit="1" customWidth="1" style="105" min="3879" max="3879"/>
    <col width="19.625" bestFit="1" customWidth="1" style="105" min="3880" max="3880"/>
    <col width="34.5" bestFit="1" customWidth="1" style="105" min="3881" max="3881"/>
    <col width="6.25" bestFit="1" customWidth="1" style="105" min="3882" max="3882"/>
    <col width="7.125" bestFit="1" customWidth="1" style="105" min="3883" max="3883"/>
    <col width="5.875" bestFit="1" customWidth="1" style="105" min="3884" max="3884"/>
    <col width="29.625" bestFit="1" customWidth="1" style="105" min="3885" max="3885"/>
    <col width="5.875" bestFit="1" customWidth="1" style="105" min="3886" max="3886"/>
    <col width="3.75" bestFit="1" customWidth="1" style="105" min="3887" max="3887"/>
    <col width="6.25" bestFit="1" customWidth="1" style="105" min="3888" max="3888"/>
    <col width="6.875" bestFit="1" customWidth="1" style="105" min="3889" max="3889"/>
    <col width="6.75" bestFit="1" customWidth="1" style="105" min="3890" max="3890"/>
    <col width="5.875" bestFit="1" customWidth="1" style="105" min="3891" max="3891"/>
    <col width="108.375" bestFit="1" customWidth="1" style="105" min="3892" max="3892"/>
    <col width="104.125" bestFit="1" customWidth="1" style="105" min="3893" max="3893"/>
    <col width="7" bestFit="1" customWidth="1" style="105" min="3894" max="3894"/>
    <col width="7.875" bestFit="1" customWidth="1" style="105" min="3895" max="3895"/>
    <col width="8.5" bestFit="1" customWidth="1" style="105" min="3896" max="3896"/>
    <col width="4.75" bestFit="1" customWidth="1" style="105" min="3897" max="3897"/>
    <col width="37.375" bestFit="1" customWidth="1" style="105" min="3898" max="3898"/>
    <col width="6.875" bestFit="1" customWidth="1" style="105" min="3899" max="3899"/>
    <col width="7.875" bestFit="1" customWidth="1" style="105" min="3900" max="3900"/>
    <col width="7.75" bestFit="1" customWidth="1" style="105" min="3901" max="3901"/>
    <col width="8" bestFit="1" customWidth="1" style="105" min="3902" max="3902"/>
    <col width="4.75" bestFit="1" customWidth="1" style="105" min="3903" max="3903"/>
    <col width="7.875" bestFit="1" customWidth="1" style="105" min="3904" max="3904"/>
    <col width="4" bestFit="1" customWidth="1" style="105" min="3905" max="3916"/>
    <col width="3.75" bestFit="1" customWidth="1" style="105" min="3917" max="3917"/>
    <col width="4" bestFit="1" customWidth="1" style="105" min="3918" max="3918"/>
    <col width="3.625" bestFit="1" customWidth="1" style="105" min="3919" max="3919"/>
    <col width="9.875" bestFit="1" customWidth="1" style="105" min="3920" max="3920"/>
    <col width="5" bestFit="1" customWidth="1" style="105" min="3921" max="3921"/>
    <col width="7.125" bestFit="1" customWidth="1" style="105" min="3922" max="3922"/>
    <col width="9.375" bestFit="1" customWidth="1" style="105" min="3923" max="3923"/>
    <col width="17.5" bestFit="1" customWidth="1" style="105" min="3924" max="3924"/>
    <col width="7.375" bestFit="1" customWidth="1" style="105" min="3925" max="3925"/>
    <col width="5.75" bestFit="1" customWidth="1" style="105" min="3926" max="3926"/>
    <col width="31.25" bestFit="1" customWidth="1" style="105" min="3927" max="3927"/>
    <col width="26" bestFit="1" customWidth="1" style="105" min="3928" max="3928"/>
    <col width="24.375" bestFit="1" customWidth="1" style="105" min="3929" max="3930"/>
    <col width="6.375" bestFit="1" customWidth="1" style="105" min="3931" max="3931"/>
    <col width="9.875" bestFit="1" customWidth="1" style="105" min="3932" max="3933"/>
    <col width="28.875" bestFit="1" customWidth="1" style="105" min="3934" max="3934"/>
    <col width="9.75" bestFit="1" customWidth="1" style="105" min="3935" max="3935"/>
    <col width="12.625" bestFit="1" customWidth="1" style="105" min="3936" max="3936"/>
    <col width="32.375" bestFit="1" customWidth="1" style="105" min="3937" max="3937"/>
    <col width="3.375" bestFit="1" customWidth="1" style="105" min="3938" max="3938"/>
    <col width="8" bestFit="1" customWidth="1" style="105" min="3939" max="3939"/>
    <col width="5.625" bestFit="1" customWidth="1" style="105" min="3940" max="3940"/>
    <col width="7.875" bestFit="1" customWidth="1" style="105" min="3941" max="3941"/>
    <col width="6" bestFit="1" customWidth="1" style="105" min="3942" max="3942"/>
    <col width="11.25" bestFit="1" customWidth="1" style="105" min="3943" max="3943"/>
    <col width="9" customWidth="1" style="105" min="3944" max="4096"/>
    <col width="13.125" bestFit="1" customWidth="1" style="105" min="4097" max="4097"/>
    <col width="10.875" bestFit="1" customWidth="1" style="105" min="4098" max="4098"/>
    <col width="4.625" bestFit="1" customWidth="1" style="105" min="4099" max="4099"/>
    <col width="7" bestFit="1" customWidth="1" style="105" min="4100" max="4100"/>
    <col width="5.125" bestFit="1" customWidth="1" style="105" min="4101" max="4101"/>
    <col width="3.25" bestFit="1" customWidth="1" style="105" min="4102" max="4106"/>
    <col width="3.5" bestFit="1" customWidth="1" style="105" min="4107" max="4107"/>
    <col width="3.375" bestFit="1" customWidth="1" style="105" min="4108" max="4109"/>
    <col width="4.625" bestFit="1" customWidth="1" style="105" min="4110" max="4110"/>
    <col width="4.875" bestFit="1" customWidth="1" style="105" min="4111" max="4111"/>
    <col width="5.25" bestFit="1" customWidth="1" style="105" min="4112" max="4112"/>
    <col width="4.875" bestFit="1" customWidth="1" style="105" min="4113" max="4113"/>
    <col width="7.875" bestFit="1" customWidth="1" style="105" min="4114" max="4114"/>
    <col width="4.375" bestFit="1" customWidth="1" style="105" min="4115" max="4115"/>
    <col width="5.5" bestFit="1" customWidth="1" style="105" min="4116" max="4116"/>
    <col width="5.75" bestFit="1" customWidth="1" style="105" min="4117" max="4117"/>
    <col width="7.875" bestFit="1" customWidth="1" style="105" min="4118" max="4118"/>
    <col width="5.125" bestFit="1" customWidth="1" style="105" min="4119" max="4119"/>
    <col width="4.625" bestFit="1" customWidth="1" style="105" min="4120" max="4120"/>
    <col width="7.875" bestFit="1" customWidth="1" style="105" min="4121" max="4121"/>
    <col width="6.125" bestFit="1" customWidth="1" style="105" min="4122" max="4122"/>
    <col width="32.375" bestFit="1" customWidth="1" style="105" min="4123" max="4123"/>
    <col width="32.875" bestFit="1" customWidth="1" style="105" min="4124" max="4124"/>
    <col width="8.625" bestFit="1" customWidth="1" style="105" min="4125" max="4125"/>
    <col width="9.375" bestFit="1" customWidth="1" style="105" min="4126" max="4126"/>
    <col width="9.25" bestFit="1" customWidth="1" style="105" min="4127" max="4127"/>
    <col width="2.5" bestFit="1" customWidth="1" style="105" min="4128" max="4128"/>
    <col width="3.25" bestFit="1" customWidth="1" style="105" min="4129" max="4129"/>
    <col width="3.375" bestFit="1" customWidth="1" style="105" min="4130" max="4131"/>
    <col width="6.25" bestFit="1" customWidth="1" style="105" min="4132" max="4132"/>
    <col width="8.25" bestFit="1" customWidth="1" style="105" min="4133" max="4133"/>
    <col width="6.875" bestFit="1" customWidth="1" style="105" min="4134" max="4134"/>
    <col width="6.375" bestFit="1" customWidth="1" style="105" min="4135" max="4135"/>
    <col width="19.625" bestFit="1" customWidth="1" style="105" min="4136" max="4136"/>
    <col width="34.5" bestFit="1" customWidth="1" style="105" min="4137" max="4137"/>
    <col width="6.25" bestFit="1" customWidth="1" style="105" min="4138" max="4138"/>
    <col width="7.125" bestFit="1" customWidth="1" style="105" min="4139" max="4139"/>
    <col width="5.875" bestFit="1" customWidth="1" style="105" min="4140" max="4140"/>
    <col width="29.625" bestFit="1" customWidth="1" style="105" min="4141" max="4141"/>
    <col width="5.875" bestFit="1" customWidth="1" style="105" min="4142" max="4142"/>
    <col width="3.75" bestFit="1" customWidth="1" style="105" min="4143" max="4143"/>
    <col width="6.25" bestFit="1" customWidth="1" style="105" min="4144" max="4144"/>
    <col width="6.875" bestFit="1" customWidth="1" style="105" min="4145" max="4145"/>
    <col width="6.75" bestFit="1" customWidth="1" style="105" min="4146" max="4146"/>
    <col width="5.875" bestFit="1" customWidth="1" style="105" min="4147" max="4147"/>
    <col width="108.375" bestFit="1" customWidth="1" style="105" min="4148" max="4148"/>
    <col width="104.125" bestFit="1" customWidth="1" style="105" min="4149" max="4149"/>
    <col width="7" bestFit="1" customWidth="1" style="105" min="4150" max="4150"/>
    <col width="7.875" bestFit="1" customWidth="1" style="105" min="4151" max="4151"/>
    <col width="8.5" bestFit="1" customWidth="1" style="105" min="4152" max="4152"/>
    <col width="4.75" bestFit="1" customWidth="1" style="105" min="4153" max="4153"/>
    <col width="37.375" bestFit="1" customWidth="1" style="105" min="4154" max="4154"/>
    <col width="6.875" bestFit="1" customWidth="1" style="105" min="4155" max="4155"/>
    <col width="7.875" bestFit="1" customWidth="1" style="105" min="4156" max="4156"/>
    <col width="7.75" bestFit="1" customWidth="1" style="105" min="4157" max="4157"/>
    <col width="8" bestFit="1" customWidth="1" style="105" min="4158" max="4158"/>
    <col width="4.75" bestFit="1" customWidth="1" style="105" min="4159" max="4159"/>
    <col width="7.875" bestFit="1" customWidth="1" style="105" min="4160" max="4160"/>
    <col width="4" bestFit="1" customWidth="1" style="105" min="4161" max="4172"/>
    <col width="3.75" bestFit="1" customWidth="1" style="105" min="4173" max="4173"/>
    <col width="4" bestFit="1" customWidth="1" style="105" min="4174" max="4174"/>
    <col width="3.625" bestFit="1" customWidth="1" style="105" min="4175" max="4175"/>
    <col width="9.875" bestFit="1" customWidth="1" style="105" min="4176" max="4176"/>
    <col width="5" bestFit="1" customWidth="1" style="105" min="4177" max="4177"/>
    <col width="7.125" bestFit="1" customWidth="1" style="105" min="4178" max="4178"/>
    <col width="9.375" bestFit="1" customWidth="1" style="105" min="4179" max="4179"/>
    <col width="17.5" bestFit="1" customWidth="1" style="105" min="4180" max="4180"/>
    <col width="7.375" bestFit="1" customWidth="1" style="105" min="4181" max="4181"/>
    <col width="5.75" bestFit="1" customWidth="1" style="105" min="4182" max="4182"/>
    <col width="31.25" bestFit="1" customWidth="1" style="105" min="4183" max="4183"/>
    <col width="26" bestFit="1" customWidth="1" style="105" min="4184" max="4184"/>
    <col width="24.375" bestFit="1" customWidth="1" style="105" min="4185" max="4186"/>
    <col width="6.375" bestFit="1" customWidth="1" style="105" min="4187" max="4187"/>
    <col width="9.875" bestFit="1" customWidth="1" style="105" min="4188" max="4189"/>
    <col width="28.875" bestFit="1" customWidth="1" style="105" min="4190" max="4190"/>
    <col width="9.75" bestFit="1" customWidth="1" style="105" min="4191" max="4191"/>
    <col width="12.625" bestFit="1" customWidth="1" style="105" min="4192" max="4192"/>
    <col width="32.375" bestFit="1" customWidth="1" style="105" min="4193" max="4193"/>
    <col width="3.375" bestFit="1" customWidth="1" style="105" min="4194" max="4194"/>
    <col width="8" bestFit="1" customWidth="1" style="105" min="4195" max="4195"/>
    <col width="5.625" bestFit="1" customWidth="1" style="105" min="4196" max="4196"/>
    <col width="7.875" bestFit="1" customWidth="1" style="105" min="4197" max="4197"/>
    <col width="6" bestFit="1" customWidth="1" style="105" min="4198" max="4198"/>
    <col width="11.25" bestFit="1" customWidth="1" style="105" min="4199" max="4199"/>
    <col width="9" customWidth="1" style="105" min="4200" max="4352"/>
    <col width="13.125" bestFit="1" customWidth="1" style="105" min="4353" max="4353"/>
    <col width="10.875" bestFit="1" customWidth="1" style="105" min="4354" max="4354"/>
    <col width="4.625" bestFit="1" customWidth="1" style="105" min="4355" max="4355"/>
    <col width="7" bestFit="1" customWidth="1" style="105" min="4356" max="4356"/>
    <col width="5.125" bestFit="1" customWidth="1" style="105" min="4357" max="4357"/>
    <col width="3.25" bestFit="1" customWidth="1" style="105" min="4358" max="4362"/>
    <col width="3.5" bestFit="1" customWidth="1" style="105" min="4363" max="4363"/>
    <col width="3.375" bestFit="1" customWidth="1" style="105" min="4364" max="4365"/>
    <col width="4.625" bestFit="1" customWidth="1" style="105" min="4366" max="4366"/>
    <col width="4.875" bestFit="1" customWidth="1" style="105" min="4367" max="4367"/>
    <col width="5.25" bestFit="1" customWidth="1" style="105" min="4368" max="4368"/>
    <col width="4.875" bestFit="1" customWidth="1" style="105" min="4369" max="4369"/>
    <col width="7.875" bestFit="1" customWidth="1" style="105" min="4370" max="4370"/>
    <col width="4.375" bestFit="1" customWidth="1" style="105" min="4371" max="4371"/>
    <col width="5.5" bestFit="1" customWidth="1" style="105" min="4372" max="4372"/>
    <col width="5.75" bestFit="1" customWidth="1" style="105" min="4373" max="4373"/>
    <col width="7.875" bestFit="1" customWidth="1" style="105" min="4374" max="4374"/>
    <col width="5.125" bestFit="1" customWidth="1" style="105" min="4375" max="4375"/>
    <col width="4.625" bestFit="1" customWidth="1" style="105" min="4376" max="4376"/>
    <col width="7.875" bestFit="1" customWidth="1" style="105" min="4377" max="4377"/>
    <col width="6.125" bestFit="1" customWidth="1" style="105" min="4378" max="4378"/>
    <col width="32.375" bestFit="1" customWidth="1" style="105" min="4379" max="4379"/>
    <col width="32.875" bestFit="1" customWidth="1" style="105" min="4380" max="4380"/>
    <col width="8.625" bestFit="1" customWidth="1" style="105" min="4381" max="4381"/>
    <col width="9.375" bestFit="1" customWidth="1" style="105" min="4382" max="4382"/>
    <col width="9.25" bestFit="1" customWidth="1" style="105" min="4383" max="4383"/>
    <col width="2.5" bestFit="1" customWidth="1" style="105" min="4384" max="4384"/>
    <col width="3.25" bestFit="1" customWidth="1" style="105" min="4385" max="4385"/>
    <col width="3.375" bestFit="1" customWidth="1" style="105" min="4386" max="4387"/>
    <col width="6.25" bestFit="1" customWidth="1" style="105" min="4388" max="4388"/>
    <col width="8.25" bestFit="1" customWidth="1" style="105" min="4389" max="4389"/>
    <col width="6.875" bestFit="1" customWidth="1" style="105" min="4390" max="4390"/>
    <col width="6.375" bestFit="1" customWidth="1" style="105" min="4391" max="4391"/>
    <col width="19.625" bestFit="1" customWidth="1" style="105" min="4392" max="4392"/>
    <col width="34.5" bestFit="1" customWidth="1" style="105" min="4393" max="4393"/>
    <col width="6.25" bestFit="1" customWidth="1" style="105" min="4394" max="4394"/>
    <col width="7.125" bestFit="1" customWidth="1" style="105" min="4395" max="4395"/>
    <col width="5.875" bestFit="1" customWidth="1" style="105" min="4396" max="4396"/>
    <col width="29.625" bestFit="1" customWidth="1" style="105" min="4397" max="4397"/>
    <col width="5.875" bestFit="1" customWidth="1" style="105" min="4398" max="4398"/>
    <col width="3.75" bestFit="1" customWidth="1" style="105" min="4399" max="4399"/>
    <col width="6.25" bestFit="1" customWidth="1" style="105" min="4400" max="4400"/>
    <col width="6.875" bestFit="1" customWidth="1" style="105" min="4401" max="4401"/>
    <col width="6.75" bestFit="1" customWidth="1" style="105" min="4402" max="4402"/>
    <col width="5.875" bestFit="1" customWidth="1" style="105" min="4403" max="4403"/>
    <col width="108.375" bestFit="1" customWidth="1" style="105" min="4404" max="4404"/>
    <col width="104.125" bestFit="1" customWidth="1" style="105" min="4405" max="4405"/>
    <col width="7" bestFit="1" customWidth="1" style="105" min="4406" max="4406"/>
    <col width="7.875" bestFit="1" customWidth="1" style="105" min="4407" max="4407"/>
    <col width="8.5" bestFit="1" customWidth="1" style="105" min="4408" max="4408"/>
    <col width="4.75" bestFit="1" customWidth="1" style="105" min="4409" max="4409"/>
    <col width="37.375" bestFit="1" customWidth="1" style="105" min="4410" max="4410"/>
    <col width="6.875" bestFit="1" customWidth="1" style="105" min="4411" max="4411"/>
    <col width="7.875" bestFit="1" customWidth="1" style="105" min="4412" max="4412"/>
    <col width="7.75" bestFit="1" customWidth="1" style="105" min="4413" max="4413"/>
    <col width="8" bestFit="1" customWidth="1" style="105" min="4414" max="4414"/>
    <col width="4.75" bestFit="1" customWidth="1" style="105" min="4415" max="4415"/>
    <col width="7.875" bestFit="1" customWidth="1" style="105" min="4416" max="4416"/>
    <col width="4" bestFit="1" customWidth="1" style="105" min="4417" max="4428"/>
    <col width="3.75" bestFit="1" customWidth="1" style="105" min="4429" max="4429"/>
    <col width="4" bestFit="1" customWidth="1" style="105" min="4430" max="4430"/>
    <col width="3.625" bestFit="1" customWidth="1" style="105" min="4431" max="4431"/>
    <col width="9.875" bestFit="1" customWidth="1" style="105" min="4432" max="4432"/>
    <col width="5" bestFit="1" customWidth="1" style="105" min="4433" max="4433"/>
    <col width="7.125" bestFit="1" customWidth="1" style="105" min="4434" max="4434"/>
    <col width="9.375" bestFit="1" customWidth="1" style="105" min="4435" max="4435"/>
    <col width="17.5" bestFit="1" customWidth="1" style="105" min="4436" max="4436"/>
    <col width="7.375" bestFit="1" customWidth="1" style="105" min="4437" max="4437"/>
    <col width="5.75" bestFit="1" customWidth="1" style="105" min="4438" max="4438"/>
    <col width="31.25" bestFit="1" customWidth="1" style="105" min="4439" max="4439"/>
    <col width="26" bestFit="1" customWidth="1" style="105" min="4440" max="4440"/>
    <col width="24.375" bestFit="1" customWidth="1" style="105" min="4441" max="4442"/>
    <col width="6.375" bestFit="1" customWidth="1" style="105" min="4443" max="4443"/>
    <col width="9.875" bestFit="1" customWidth="1" style="105" min="4444" max="4445"/>
    <col width="28.875" bestFit="1" customWidth="1" style="105" min="4446" max="4446"/>
    <col width="9.75" bestFit="1" customWidth="1" style="105" min="4447" max="4447"/>
    <col width="12.625" bestFit="1" customWidth="1" style="105" min="4448" max="4448"/>
    <col width="32.375" bestFit="1" customWidth="1" style="105" min="4449" max="4449"/>
    <col width="3.375" bestFit="1" customWidth="1" style="105" min="4450" max="4450"/>
    <col width="8" bestFit="1" customWidth="1" style="105" min="4451" max="4451"/>
    <col width="5.625" bestFit="1" customWidth="1" style="105" min="4452" max="4452"/>
    <col width="7.875" bestFit="1" customWidth="1" style="105" min="4453" max="4453"/>
    <col width="6" bestFit="1" customWidth="1" style="105" min="4454" max="4454"/>
    <col width="11.25" bestFit="1" customWidth="1" style="105" min="4455" max="4455"/>
    <col width="9" customWidth="1" style="105" min="4456" max="4608"/>
    <col width="13.125" bestFit="1" customWidth="1" style="105" min="4609" max="4609"/>
    <col width="10.875" bestFit="1" customWidth="1" style="105" min="4610" max="4610"/>
    <col width="4.625" bestFit="1" customWidth="1" style="105" min="4611" max="4611"/>
    <col width="7" bestFit="1" customWidth="1" style="105" min="4612" max="4612"/>
    <col width="5.125" bestFit="1" customWidth="1" style="105" min="4613" max="4613"/>
    <col width="3.25" bestFit="1" customWidth="1" style="105" min="4614" max="4618"/>
    <col width="3.5" bestFit="1" customWidth="1" style="105" min="4619" max="4619"/>
    <col width="3.375" bestFit="1" customWidth="1" style="105" min="4620" max="4621"/>
    <col width="4.625" bestFit="1" customWidth="1" style="105" min="4622" max="4622"/>
    <col width="4.875" bestFit="1" customWidth="1" style="105" min="4623" max="4623"/>
    <col width="5.25" bestFit="1" customWidth="1" style="105" min="4624" max="4624"/>
    <col width="4.875" bestFit="1" customWidth="1" style="105" min="4625" max="4625"/>
    <col width="7.875" bestFit="1" customWidth="1" style="105" min="4626" max="4626"/>
    <col width="4.375" bestFit="1" customWidth="1" style="105" min="4627" max="4627"/>
    <col width="5.5" bestFit="1" customWidth="1" style="105" min="4628" max="4628"/>
    <col width="5.75" bestFit="1" customWidth="1" style="105" min="4629" max="4629"/>
    <col width="7.875" bestFit="1" customWidth="1" style="105" min="4630" max="4630"/>
    <col width="5.125" bestFit="1" customWidth="1" style="105" min="4631" max="4631"/>
    <col width="4.625" bestFit="1" customWidth="1" style="105" min="4632" max="4632"/>
    <col width="7.875" bestFit="1" customWidth="1" style="105" min="4633" max="4633"/>
    <col width="6.125" bestFit="1" customWidth="1" style="105" min="4634" max="4634"/>
    <col width="32.375" bestFit="1" customWidth="1" style="105" min="4635" max="4635"/>
    <col width="32.875" bestFit="1" customWidth="1" style="105" min="4636" max="4636"/>
    <col width="8.625" bestFit="1" customWidth="1" style="105" min="4637" max="4637"/>
    <col width="9.375" bestFit="1" customWidth="1" style="105" min="4638" max="4638"/>
    <col width="9.25" bestFit="1" customWidth="1" style="105" min="4639" max="4639"/>
    <col width="2.5" bestFit="1" customWidth="1" style="105" min="4640" max="4640"/>
    <col width="3.25" bestFit="1" customWidth="1" style="105" min="4641" max="4641"/>
    <col width="3.375" bestFit="1" customWidth="1" style="105" min="4642" max="4643"/>
    <col width="6.25" bestFit="1" customWidth="1" style="105" min="4644" max="4644"/>
    <col width="8.25" bestFit="1" customWidth="1" style="105" min="4645" max="4645"/>
    <col width="6.875" bestFit="1" customWidth="1" style="105" min="4646" max="4646"/>
    <col width="6.375" bestFit="1" customWidth="1" style="105" min="4647" max="4647"/>
    <col width="19.625" bestFit="1" customWidth="1" style="105" min="4648" max="4648"/>
    <col width="34.5" bestFit="1" customWidth="1" style="105" min="4649" max="4649"/>
    <col width="6.25" bestFit="1" customWidth="1" style="105" min="4650" max="4650"/>
    <col width="7.125" bestFit="1" customWidth="1" style="105" min="4651" max="4651"/>
    <col width="5.875" bestFit="1" customWidth="1" style="105" min="4652" max="4652"/>
    <col width="29.625" bestFit="1" customWidth="1" style="105" min="4653" max="4653"/>
    <col width="5.875" bestFit="1" customWidth="1" style="105" min="4654" max="4654"/>
    <col width="3.75" bestFit="1" customWidth="1" style="105" min="4655" max="4655"/>
    <col width="6.25" bestFit="1" customWidth="1" style="105" min="4656" max="4656"/>
    <col width="6.875" bestFit="1" customWidth="1" style="105" min="4657" max="4657"/>
    <col width="6.75" bestFit="1" customWidth="1" style="105" min="4658" max="4658"/>
    <col width="5.875" bestFit="1" customWidth="1" style="105" min="4659" max="4659"/>
    <col width="108.375" bestFit="1" customWidth="1" style="105" min="4660" max="4660"/>
    <col width="104.125" bestFit="1" customWidth="1" style="105" min="4661" max="4661"/>
    <col width="7" bestFit="1" customWidth="1" style="105" min="4662" max="4662"/>
    <col width="7.875" bestFit="1" customWidth="1" style="105" min="4663" max="4663"/>
    <col width="8.5" bestFit="1" customWidth="1" style="105" min="4664" max="4664"/>
    <col width="4.75" bestFit="1" customWidth="1" style="105" min="4665" max="4665"/>
    <col width="37.375" bestFit="1" customWidth="1" style="105" min="4666" max="4666"/>
    <col width="6.875" bestFit="1" customWidth="1" style="105" min="4667" max="4667"/>
    <col width="7.875" bestFit="1" customWidth="1" style="105" min="4668" max="4668"/>
    <col width="7.75" bestFit="1" customWidth="1" style="105" min="4669" max="4669"/>
    <col width="8" bestFit="1" customWidth="1" style="105" min="4670" max="4670"/>
    <col width="4.75" bestFit="1" customWidth="1" style="105" min="4671" max="4671"/>
    <col width="7.875" bestFit="1" customWidth="1" style="105" min="4672" max="4672"/>
    <col width="4" bestFit="1" customWidth="1" style="105" min="4673" max="4684"/>
    <col width="3.75" bestFit="1" customWidth="1" style="105" min="4685" max="4685"/>
    <col width="4" bestFit="1" customWidth="1" style="105" min="4686" max="4686"/>
    <col width="3.625" bestFit="1" customWidth="1" style="105" min="4687" max="4687"/>
    <col width="9.875" bestFit="1" customWidth="1" style="105" min="4688" max="4688"/>
    <col width="5" bestFit="1" customWidth="1" style="105" min="4689" max="4689"/>
    <col width="7.125" bestFit="1" customWidth="1" style="105" min="4690" max="4690"/>
    <col width="9.375" bestFit="1" customWidth="1" style="105" min="4691" max="4691"/>
    <col width="17.5" bestFit="1" customWidth="1" style="105" min="4692" max="4692"/>
    <col width="7.375" bestFit="1" customWidth="1" style="105" min="4693" max="4693"/>
    <col width="5.75" bestFit="1" customWidth="1" style="105" min="4694" max="4694"/>
    <col width="31.25" bestFit="1" customWidth="1" style="105" min="4695" max="4695"/>
    <col width="26" bestFit="1" customWidth="1" style="105" min="4696" max="4696"/>
    <col width="24.375" bestFit="1" customWidth="1" style="105" min="4697" max="4698"/>
    <col width="6.375" bestFit="1" customWidth="1" style="105" min="4699" max="4699"/>
    <col width="9.875" bestFit="1" customWidth="1" style="105" min="4700" max="4701"/>
    <col width="28.875" bestFit="1" customWidth="1" style="105" min="4702" max="4702"/>
    <col width="9.75" bestFit="1" customWidth="1" style="105" min="4703" max="4703"/>
    <col width="12.625" bestFit="1" customWidth="1" style="105" min="4704" max="4704"/>
    <col width="32.375" bestFit="1" customWidth="1" style="105" min="4705" max="4705"/>
    <col width="3.375" bestFit="1" customWidth="1" style="105" min="4706" max="4706"/>
    <col width="8" bestFit="1" customWidth="1" style="105" min="4707" max="4707"/>
    <col width="5.625" bestFit="1" customWidth="1" style="105" min="4708" max="4708"/>
    <col width="7.875" bestFit="1" customWidth="1" style="105" min="4709" max="4709"/>
    <col width="6" bestFit="1" customWidth="1" style="105" min="4710" max="4710"/>
    <col width="11.25" bestFit="1" customWidth="1" style="105" min="4711" max="4711"/>
    <col width="9" customWidth="1" style="105" min="4712" max="4864"/>
    <col width="13.125" bestFit="1" customWidth="1" style="105" min="4865" max="4865"/>
    <col width="10.875" bestFit="1" customWidth="1" style="105" min="4866" max="4866"/>
    <col width="4.625" bestFit="1" customWidth="1" style="105" min="4867" max="4867"/>
    <col width="7" bestFit="1" customWidth="1" style="105" min="4868" max="4868"/>
    <col width="5.125" bestFit="1" customWidth="1" style="105" min="4869" max="4869"/>
    <col width="3.25" bestFit="1" customWidth="1" style="105" min="4870" max="4874"/>
    <col width="3.5" bestFit="1" customWidth="1" style="105" min="4875" max="4875"/>
    <col width="3.375" bestFit="1" customWidth="1" style="105" min="4876" max="4877"/>
    <col width="4.625" bestFit="1" customWidth="1" style="105" min="4878" max="4878"/>
    <col width="4.875" bestFit="1" customWidth="1" style="105" min="4879" max="4879"/>
    <col width="5.25" bestFit="1" customWidth="1" style="105" min="4880" max="4880"/>
    <col width="4.875" bestFit="1" customWidth="1" style="105" min="4881" max="4881"/>
    <col width="7.875" bestFit="1" customWidth="1" style="105" min="4882" max="4882"/>
    <col width="4.375" bestFit="1" customWidth="1" style="105" min="4883" max="4883"/>
    <col width="5.5" bestFit="1" customWidth="1" style="105" min="4884" max="4884"/>
    <col width="5.75" bestFit="1" customWidth="1" style="105" min="4885" max="4885"/>
    <col width="7.875" bestFit="1" customWidth="1" style="105" min="4886" max="4886"/>
    <col width="5.125" bestFit="1" customWidth="1" style="105" min="4887" max="4887"/>
    <col width="4.625" bestFit="1" customWidth="1" style="105" min="4888" max="4888"/>
    <col width="7.875" bestFit="1" customWidth="1" style="105" min="4889" max="4889"/>
    <col width="6.125" bestFit="1" customWidth="1" style="105" min="4890" max="4890"/>
    <col width="32.375" bestFit="1" customWidth="1" style="105" min="4891" max="4891"/>
    <col width="32.875" bestFit="1" customWidth="1" style="105" min="4892" max="4892"/>
    <col width="8.625" bestFit="1" customWidth="1" style="105" min="4893" max="4893"/>
    <col width="9.375" bestFit="1" customWidth="1" style="105" min="4894" max="4894"/>
    <col width="9.25" bestFit="1" customWidth="1" style="105" min="4895" max="4895"/>
    <col width="2.5" bestFit="1" customWidth="1" style="105" min="4896" max="4896"/>
    <col width="3.25" bestFit="1" customWidth="1" style="105" min="4897" max="4897"/>
    <col width="3.375" bestFit="1" customWidth="1" style="105" min="4898" max="4899"/>
    <col width="6.25" bestFit="1" customWidth="1" style="105" min="4900" max="4900"/>
    <col width="8.25" bestFit="1" customWidth="1" style="105" min="4901" max="4901"/>
    <col width="6.875" bestFit="1" customWidth="1" style="105" min="4902" max="4902"/>
    <col width="6.375" bestFit="1" customWidth="1" style="105" min="4903" max="4903"/>
    <col width="19.625" bestFit="1" customWidth="1" style="105" min="4904" max="4904"/>
    <col width="34.5" bestFit="1" customWidth="1" style="105" min="4905" max="4905"/>
    <col width="6.25" bestFit="1" customWidth="1" style="105" min="4906" max="4906"/>
    <col width="7.125" bestFit="1" customWidth="1" style="105" min="4907" max="4907"/>
    <col width="5.875" bestFit="1" customWidth="1" style="105" min="4908" max="4908"/>
    <col width="29.625" bestFit="1" customWidth="1" style="105" min="4909" max="4909"/>
    <col width="5.875" bestFit="1" customWidth="1" style="105" min="4910" max="4910"/>
    <col width="3.75" bestFit="1" customWidth="1" style="105" min="4911" max="4911"/>
    <col width="6.25" bestFit="1" customWidth="1" style="105" min="4912" max="4912"/>
    <col width="6.875" bestFit="1" customWidth="1" style="105" min="4913" max="4913"/>
    <col width="6.75" bestFit="1" customWidth="1" style="105" min="4914" max="4914"/>
    <col width="5.875" bestFit="1" customWidth="1" style="105" min="4915" max="4915"/>
    <col width="108.375" bestFit="1" customWidth="1" style="105" min="4916" max="4916"/>
    <col width="104.125" bestFit="1" customWidth="1" style="105" min="4917" max="4917"/>
    <col width="7" bestFit="1" customWidth="1" style="105" min="4918" max="4918"/>
    <col width="7.875" bestFit="1" customWidth="1" style="105" min="4919" max="4919"/>
    <col width="8.5" bestFit="1" customWidth="1" style="105" min="4920" max="4920"/>
    <col width="4.75" bestFit="1" customWidth="1" style="105" min="4921" max="4921"/>
    <col width="37.375" bestFit="1" customWidth="1" style="105" min="4922" max="4922"/>
    <col width="6.875" bestFit="1" customWidth="1" style="105" min="4923" max="4923"/>
    <col width="7.875" bestFit="1" customWidth="1" style="105" min="4924" max="4924"/>
    <col width="7.75" bestFit="1" customWidth="1" style="105" min="4925" max="4925"/>
    <col width="8" bestFit="1" customWidth="1" style="105" min="4926" max="4926"/>
    <col width="4.75" bestFit="1" customWidth="1" style="105" min="4927" max="4927"/>
    <col width="7.875" bestFit="1" customWidth="1" style="105" min="4928" max="4928"/>
    <col width="4" bestFit="1" customWidth="1" style="105" min="4929" max="4940"/>
    <col width="3.75" bestFit="1" customWidth="1" style="105" min="4941" max="4941"/>
    <col width="4" bestFit="1" customWidth="1" style="105" min="4942" max="4942"/>
    <col width="3.625" bestFit="1" customWidth="1" style="105" min="4943" max="4943"/>
    <col width="9.875" bestFit="1" customWidth="1" style="105" min="4944" max="4944"/>
    <col width="5" bestFit="1" customWidth="1" style="105" min="4945" max="4945"/>
    <col width="7.125" bestFit="1" customWidth="1" style="105" min="4946" max="4946"/>
    <col width="9.375" bestFit="1" customWidth="1" style="105" min="4947" max="4947"/>
    <col width="17.5" bestFit="1" customWidth="1" style="105" min="4948" max="4948"/>
    <col width="7.375" bestFit="1" customWidth="1" style="105" min="4949" max="4949"/>
    <col width="5.75" bestFit="1" customWidth="1" style="105" min="4950" max="4950"/>
    <col width="31.25" bestFit="1" customWidth="1" style="105" min="4951" max="4951"/>
    <col width="26" bestFit="1" customWidth="1" style="105" min="4952" max="4952"/>
    <col width="24.375" bestFit="1" customWidth="1" style="105" min="4953" max="4954"/>
    <col width="6.375" bestFit="1" customWidth="1" style="105" min="4955" max="4955"/>
    <col width="9.875" bestFit="1" customWidth="1" style="105" min="4956" max="4957"/>
    <col width="28.875" bestFit="1" customWidth="1" style="105" min="4958" max="4958"/>
    <col width="9.75" bestFit="1" customWidth="1" style="105" min="4959" max="4959"/>
    <col width="12.625" bestFit="1" customWidth="1" style="105" min="4960" max="4960"/>
    <col width="32.375" bestFit="1" customWidth="1" style="105" min="4961" max="4961"/>
    <col width="3.375" bestFit="1" customWidth="1" style="105" min="4962" max="4962"/>
    <col width="8" bestFit="1" customWidth="1" style="105" min="4963" max="4963"/>
    <col width="5.625" bestFit="1" customWidth="1" style="105" min="4964" max="4964"/>
    <col width="7.875" bestFit="1" customWidth="1" style="105" min="4965" max="4965"/>
    <col width="6" bestFit="1" customWidth="1" style="105" min="4966" max="4966"/>
    <col width="11.25" bestFit="1" customWidth="1" style="105" min="4967" max="4967"/>
    <col width="9" customWidth="1" style="105" min="4968" max="5120"/>
    <col width="13.125" bestFit="1" customWidth="1" style="105" min="5121" max="5121"/>
    <col width="10.875" bestFit="1" customWidth="1" style="105" min="5122" max="5122"/>
    <col width="4.625" bestFit="1" customWidth="1" style="105" min="5123" max="5123"/>
    <col width="7" bestFit="1" customWidth="1" style="105" min="5124" max="5124"/>
    <col width="5.125" bestFit="1" customWidth="1" style="105" min="5125" max="5125"/>
    <col width="3.25" bestFit="1" customWidth="1" style="105" min="5126" max="5130"/>
    <col width="3.5" bestFit="1" customWidth="1" style="105" min="5131" max="5131"/>
    <col width="3.375" bestFit="1" customWidth="1" style="105" min="5132" max="5133"/>
    <col width="4.625" bestFit="1" customWidth="1" style="105" min="5134" max="5134"/>
    <col width="4.875" bestFit="1" customWidth="1" style="105" min="5135" max="5135"/>
    <col width="5.25" bestFit="1" customWidth="1" style="105" min="5136" max="5136"/>
    <col width="4.875" bestFit="1" customWidth="1" style="105" min="5137" max="5137"/>
    <col width="7.875" bestFit="1" customWidth="1" style="105" min="5138" max="5138"/>
    <col width="4.375" bestFit="1" customWidth="1" style="105" min="5139" max="5139"/>
    <col width="5.5" bestFit="1" customWidth="1" style="105" min="5140" max="5140"/>
    <col width="5.75" bestFit="1" customWidth="1" style="105" min="5141" max="5141"/>
    <col width="7.875" bestFit="1" customWidth="1" style="105" min="5142" max="5142"/>
    <col width="5.125" bestFit="1" customWidth="1" style="105" min="5143" max="5143"/>
    <col width="4.625" bestFit="1" customWidth="1" style="105" min="5144" max="5144"/>
    <col width="7.875" bestFit="1" customWidth="1" style="105" min="5145" max="5145"/>
    <col width="6.125" bestFit="1" customWidth="1" style="105" min="5146" max="5146"/>
    <col width="32.375" bestFit="1" customWidth="1" style="105" min="5147" max="5147"/>
    <col width="32.875" bestFit="1" customWidth="1" style="105" min="5148" max="5148"/>
    <col width="8.625" bestFit="1" customWidth="1" style="105" min="5149" max="5149"/>
    <col width="9.375" bestFit="1" customWidth="1" style="105" min="5150" max="5150"/>
    <col width="9.25" bestFit="1" customWidth="1" style="105" min="5151" max="5151"/>
    <col width="2.5" bestFit="1" customWidth="1" style="105" min="5152" max="5152"/>
    <col width="3.25" bestFit="1" customWidth="1" style="105" min="5153" max="5153"/>
    <col width="3.375" bestFit="1" customWidth="1" style="105" min="5154" max="5155"/>
    <col width="6.25" bestFit="1" customWidth="1" style="105" min="5156" max="5156"/>
    <col width="8.25" bestFit="1" customWidth="1" style="105" min="5157" max="5157"/>
    <col width="6.875" bestFit="1" customWidth="1" style="105" min="5158" max="5158"/>
    <col width="6.375" bestFit="1" customWidth="1" style="105" min="5159" max="5159"/>
    <col width="19.625" bestFit="1" customWidth="1" style="105" min="5160" max="5160"/>
    <col width="34.5" bestFit="1" customWidth="1" style="105" min="5161" max="5161"/>
    <col width="6.25" bestFit="1" customWidth="1" style="105" min="5162" max="5162"/>
    <col width="7.125" bestFit="1" customWidth="1" style="105" min="5163" max="5163"/>
    <col width="5.875" bestFit="1" customWidth="1" style="105" min="5164" max="5164"/>
    <col width="29.625" bestFit="1" customWidth="1" style="105" min="5165" max="5165"/>
    <col width="5.875" bestFit="1" customWidth="1" style="105" min="5166" max="5166"/>
    <col width="3.75" bestFit="1" customWidth="1" style="105" min="5167" max="5167"/>
    <col width="6.25" bestFit="1" customWidth="1" style="105" min="5168" max="5168"/>
    <col width="6.875" bestFit="1" customWidth="1" style="105" min="5169" max="5169"/>
    <col width="6.75" bestFit="1" customWidth="1" style="105" min="5170" max="5170"/>
    <col width="5.875" bestFit="1" customWidth="1" style="105" min="5171" max="5171"/>
    <col width="108.375" bestFit="1" customWidth="1" style="105" min="5172" max="5172"/>
    <col width="104.125" bestFit="1" customWidth="1" style="105" min="5173" max="5173"/>
    <col width="7" bestFit="1" customWidth="1" style="105" min="5174" max="5174"/>
    <col width="7.875" bestFit="1" customWidth="1" style="105" min="5175" max="5175"/>
    <col width="8.5" bestFit="1" customWidth="1" style="105" min="5176" max="5176"/>
    <col width="4.75" bestFit="1" customWidth="1" style="105" min="5177" max="5177"/>
    <col width="37.375" bestFit="1" customWidth="1" style="105" min="5178" max="5178"/>
    <col width="6.875" bestFit="1" customWidth="1" style="105" min="5179" max="5179"/>
    <col width="7.875" bestFit="1" customWidth="1" style="105" min="5180" max="5180"/>
    <col width="7.75" bestFit="1" customWidth="1" style="105" min="5181" max="5181"/>
    <col width="8" bestFit="1" customWidth="1" style="105" min="5182" max="5182"/>
    <col width="4.75" bestFit="1" customWidth="1" style="105" min="5183" max="5183"/>
    <col width="7.875" bestFit="1" customWidth="1" style="105" min="5184" max="5184"/>
    <col width="4" bestFit="1" customWidth="1" style="105" min="5185" max="5196"/>
    <col width="3.75" bestFit="1" customWidth="1" style="105" min="5197" max="5197"/>
    <col width="4" bestFit="1" customWidth="1" style="105" min="5198" max="5198"/>
    <col width="3.625" bestFit="1" customWidth="1" style="105" min="5199" max="5199"/>
    <col width="9.875" bestFit="1" customWidth="1" style="105" min="5200" max="5200"/>
    <col width="5" bestFit="1" customWidth="1" style="105" min="5201" max="5201"/>
    <col width="7.125" bestFit="1" customWidth="1" style="105" min="5202" max="5202"/>
    <col width="9.375" bestFit="1" customWidth="1" style="105" min="5203" max="5203"/>
    <col width="17.5" bestFit="1" customWidth="1" style="105" min="5204" max="5204"/>
    <col width="7.375" bestFit="1" customWidth="1" style="105" min="5205" max="5205"/>
    <col width="5.75" bestFit="1" customWidth="1" style="105" min="5206" max="5206"/>
    <col width="31.25" bestFit="1" customWidth="1" style="105" min="5207" max="5207"/>
    <col width="26" bestFit="1" customWidth="1" style="105" min="5208" max="5208"/>
    <col width="24.375" bestFit="1" customWidth="1" style="105" min="5209" max="5210"/>
    <col width="6.375" bestFit="1" customWidth="1" style="105" min="5211" max="5211"/>
    <col width="9.875" bestFit="1" customWidth="1" style="105" min="5212" max="5213"/>
    <col width="28.875" bestFit="1" customWidth="1" style="105" min="5214" max="5214"/>
    <col width="9.75" bestFit="1" customWidth="1" style="105" min="5215" max="5215"/>
    <col width="12.625" bestFit="1" customWidth="1" style="105" min="5216" max="5216"/>
    <col width="32.375" bestFit="1" customWidth="1" style="105" min="5217" max="5217"/>
    <col width="3.375" bestFit="1" customWidth="1" style="105" min="5218" max="5218"/>
    <col width="8" bestFit="1" customWidth="1" style="105" min="5219" max="5219"/>
    <col width="5.625" bestFit="1" customWidth="1" style="105" min="5220" max="5220"/>
    <col width="7.875" bestFit="1" customWidth="1" style="105" min="5221" max="5221"/>
    <col width="6" bestFit="1" customWidth="1" style="105" min="5222" max="5222"/>
    <col width="11.25" bestFit="1" customWidth="1" style="105" min="5223" max="5223"/>
    <col width="9" customWidth="1" style="105" min="5224" max="5376"/>
    <col width="13.125" bestFit="1" customWidth="1" style="105" min="5377" max="5377"/>
    <col width="10.875" bestFit="1" customWidth="1" style="105" min="5378" max="5378"/>
    <col width="4.625" bestFit="1" customWidth="1" style="105" min="5379" max="5379"/>
    <col width="7" bestFit="1" customWidth="1" style="105" min="5380" max="5380"/>
    <col width="5.125" bestFit="1" customWidth="1" style="105" min="5381" max="5381"/>
    <col width="3.25" bestFit="1" customWidth="1" style="105" min="5382" max="5386"/>
    <col width="3.5" bestFit="1" customWidth="1" style="105" min="5387" max="5387"/>
    <col width="3.375" bestFit="1" customWidth="1" style="105" min="5388" max="5389"/>
    <col width="4.625" bestFit="1" customWidth="1" style="105" min="5390" max="5390"/>
    <col width="4.875" bestFit="1" customWidth="1" style="105" min="5391" max="5391"/>
    <col width="5.25" bestFit="1" customWidth="1" style="105" min="5392" max="5392"/>
    <col width="4.875" bestFit="1" customWidth="1" style="105" min="5393" max="5393"/>
    <col width="7.875" bestFit="1" customWidth="1" style="105" min="5394" max="5394"/>
    <col width="4.375" bestFit="1" customWidth="1" style="105" min="5395" max="5395"/>
    <col width="5.5" bestFit="1" customWidth="1" style="105" min="5396" max="5396"/>
    <col width="5.75" bestFit="1" customWidth="1" style="105" min="5397" max="5397"/>
    <col width="7.875" bestFit="1" customWidth="1" style="105" min="5398" max="5398"/>
    <col width="5.125" bestFit="1" customWidth="1" style="105" min="5399" max="5399"/>
    <col width="4.625" bestFit="1" customWidth="1" style="105" min="5400" max="5400"/>
    <col width="7.875" bestFit="1" customWidth="1" style="105" min="5401" max="5401"/>
    <col width="6.125" bestFit="1" customWidth="1" style="105" min="5402" max="5402"/>
    <col width="32.375" bestFit="1" customWidth="1" style="105" min="5403" max="5403"/>
    <col width="32.875" bestFit="1" customWidth="1" style="105" min="5404" max="5404"/>
    <col width="8.625" bestFit="1" customWidth="1" style="105" min="5405" max="5405"/>
    <col width="9.375" bestFit="1" customWidth="1" style="105" min="5406" max="5406"/>
    <col width="9.25" bestFit="1" customWidth="1" style="105" min="5407" max="5407"/>
    <col width="2.5" bestFit="1" customWidth="1" style="105" min="5408" max="5408"/>
    <col width="3.25" bestFit="1" customWidth="1" style="105" min="5409" max="5409"/>
    <col width="3.375" bestFit="1" customWidth="1" style="105" min="5410" max="5411"/>
    <col width="6.25" bestFit="1" customWidth="1" style="105" min="5412" max="5412"/>
    <col width="8.25" bestFit="1" customWidth="1" style="105" min="5413" max="5413"/>
    <col width="6.875" bestFit="1" customWidth="1" style="105" min="5414" max="5414"/>
    <col width="6.375" bestFit="1" customWidth="1" style="105" min="5415" max="5415"/>
    <col width="19.625" bestFit="1" customWidth="1" style="105" min="5416" max="5416"/>
    <col width="34.5" bestFit="1" customWidth="1" style="105" min="5417" max="5417"/>
    <col width="6.25" bestFit="1" customWidth="1" style="105" min="5418" max="5418"/>
    <col width="7.125" bestFit="1" customWidth="1" style="105" min="5419" max="5419"/>
    <col width="5.875" bestFit="1" customWidth="1" style="105" min="5420" max="5420"/>
    <col width="29.625" bestFit="1" customWidth="1" style="105" min="5421" max="5421"/>
    <col width="5.875" bestFit="1" customWidth="1" style="105" min="5422" max="5422"/>
    <col width="3.75" bestFit="1" customWidth="1" style="105" min="5423" max="5423"/>
    <col width="6.25" bestFit="1" customWidth="1" style="105" min="5424" max="5424"/>
    <col width="6.875" bestFit="1" customWidth="1" style="105" min="5425" max="5425"/>
    <col width="6.75" bestFit="1" customWidth="1" style="105" min="5426" max="5426"/>
    <col width="5.875" bestFit="1" customWidth="1" style="105" min="5427" max="5427"/>
    <col width="108.375" bestFit="1" customWidth="1" style="105" min="5428" max="5428"/>
    <col width="104.125" bestFit="1" customWidth="1" style="105" min="5429" max="5429"/>
    <col width="7" bestFit="1" customWidth="1" style="105" min="5430" max="5430"/>
    <col width="7.875" bestFit="1" customWidth="1" style="105" min="5431" max="5431"/>
    <col width="8.5" bestFit="1" customWidth="1" style="105" min="5432" max="5432"/>
    <col width="4.75" bestFit="1" customWidth="1" style="105" min="5433" max="5433"/>
    <col width="37.375" bestFit="1" customWidth="1" style="105" min="5434" max="5434"/>
    <col width="6.875" bestFit="1" customWidth="1" style="105" min="5435" max="5435"/>
    <col width="7.875" bestFit="1" customWidth="1" style="105" min="5436" max="5436"/>
    <col width="7.75" bestFit="1" customWidth="1" style="105" min="5437" max="5437"/>
    <col width="8" bestFit="1" customWidth="1" style="105" min="5438" max="5438"/>
    <col width="4.75" bestFit="1" customWidth="1" style="105" min="5439" max="5439"/>
    <col width="7.875" bestFit="1" customWidth="1" style="105" min="5440" max="5440"/>
    <col width="4" bestFit="1" customWidth="1" style="105" min="5441" max="5452"/>
    <col width="3.75" bestFit="1" customWidth="1" style="105" min="5453" max="5453"/>
    <col width="4" bestFit="1" customWidth="1" style="105" min="5454" max="5454"/>
    <col width="3.625" bestFit="1" customWidth="1" style="105" min="5455" max="5455"/>
    <col width="9.875" bestFit="1" customWidth="1" style="105" min="5456" max="5456"/>
    <col width="5" bestFit="1" customWidth="1" style="105" min="5457" max="5457"/>
    <col width="7.125" bestFit="1" customWidth="1" style="105" min="5458" max="5458"/>
    <col width="9.375" bestFit="1" customWidth="1" style="105" min="5459" max="5459"/>
    <col width="17.5" bestFit="1" customWidth="1" style="105" min="5460" max="5460"/>
    <col width="7.375" bestFit="1" customWidth="1" style="105" min="5461" max="5461"/>
    <col width="5.75" bestFit="1" customWidth="1" style="105" min="5462" max="5462"/>
    <col width="31.25" bestFit="1" customWidth="1" style="105" min="5463" max="5463"/>
    <col width="26" bestFit="1" customWidth="1" style="105" min="5464" max="5464"/>
    <col width="24.375" bestFit="1" customWidth="1" style="105" min="5465" max="5466"/>
    <col width="6.375" bestFit="1" customWidth="1" style="105" min="5467" max="5467"/>
    <col width="9.875" bestFit="1" customWidth="1" style="105" min="5468" max="5469"/>
    <col width="28.875" bestFit="1" customWidth="1" style="105" min="5470" max="5470"/>
    <col width="9.75" bestFit="1" customWidth="1" style="105" min="5471" max="5471"/>
    <col width="12.625" bestFit="1" customWidth="1" style="105" min="5472" max="5472"/>
    <col width="32.375" bestFit="1" customWidth="1" style="105" min="5473" max="5473"/>
    <col width="3.375" bestFit="1" customWidth="1" style="105" min="5474" max="5474"/>
    <col width="8" bestFit="1" customWidth="1" style="105" min="5475" max="5475"/>
    <col width="5.625" bestFit="1" customWidth="1" style="105" min="5476" max="5476"/>
    <col width="7.875" bestFit="1" customWidth="1" style="105" min="5477" max="5477"/>
    <col width="6" bestFit="1" customWidth="1" style="105" min="5478" max="5478"/>
    <col width="11.25" bestFit="1" customWidth="1" style="105" min="5479" max="5479"/>
    <col width="9" customWidth="1" style="105" min="5480" max="5632"/>
    <col width="13.125" bestFit="1" customWidth="1" style="105" min="5633" max="5633"/>
    <col width="10.875" bestFit="1" customWidth="1" style="105" min="5634" max="5634"/>
    <col width="4.625" bestFit="1" customWidth="1" style="105" min="5635" max="5635"/>
    <col width="7" bestFit="1" customWidth="1" style="105" min="5636" max="5636"/>
    <col width="5.125" bestFit="1" customWidth="1" style="105" min="5637" max="5637"/>
    <col width="3.25" bestFit="1" customWidth="1" style="105" min="5638" max="5642"/>
    <col width="3.5" bestFit="1" customWidth="1" style="105" min="5643" max="5643"/>
    <col width="3.375" bestFit="1" customWidth="1" style="105" min="5644" max="5645"/>
    <col width="4.625" bestFit="1" customWidth="1" style="105" min="5646" max="5646"/>
    <col width="4.875" bestFit="1" customWidth="1" style="105" min="5647" max="5647"/>
    <col width="5.25" bestFit="1" customWidth="1" style="105" min="5648" max="5648"/>
    <col width="4.875" bestFit="1" customWidth="1" style="105" min="5649" max="5649"/>
    <col width="7.875" bestFit="1" customWidth="1" style="105" min="5650" max="5650"/>
    <col width="4.375" bestFit="1" customWidth="1" style="105" min="5651" max="5651"/>
    <col width="5.5" bestFit="1" customWidth="1" style="105" min="5652" max="5652"/>
    <col width="5.75" bestFit="1" customWidth="1" style="105" min="5653" max="5653"/>
    <col width="7.875" bestFit="1" customWidth="1" style="105" min="5654" max="5654"/>
    <col width="5.125" bestFit="1" customWidth="1" style="105" min="5655" max="5655"/>
    <col width="4.625" bestFit="1" customWidth="1" style="105" min="5656" max="5656"/>
    <col width="7.875" bestFit="1" customWidth="1" style="105" min="5657" max="5657"/>
    <col width="6.125" bestFit="1" customWidth="1" style="105" min="5658" max="5658"/>
    <col width="32.375" bestFit="1" customWidth="1" style="105" min="5659" max="5659"/>
    <col width="32.875" bestFit="1" customWidth="1" style="105" min="5660" max="5660"/>
    <col width="8.625" bestFit="1" customWidth="1" style="105" min="5661" max="5661"/>
    <col width="9.375" bestFit="1" customWidth="1" style="105" min="5662" max="5662"/>
    <col width="9.25" bestFit="1" customWidth="1" style="105" min="5663" max="5663"/>
    <col width="2.5" bestFit="1" customWidth="1" style="105" min="5664" max="5664"/>
    <col width="3.25" bestFit="1" customWidth="1" style="105" min="5665" max="5665"/>
    <col width="3.375" bestFit="1" customWidth="1" style="105" min="5666" max="5667"/>
    <col width="6.25" bestFit="1" customWidth="1" style="105" min="5668" max="5668"/>
    <col width="8.25" bestFit="1" customWidth="1" style="105" min="5669" max="5669"/>
    <col width="6.875" bestFit="1" customWidth="1" style="105" min="5670" max="5670"/>
    <col width="6.375" bestFit="1" customWidth="1" style="105" min="5671" max="5671"/>
    <col width="19.625" bestFit="1" customWidth="1" style="105" min="5672" max="5672"/>
    <col width="34.5" bestFit="1" customWidth="1" style="105" min="5673" max="5673"/>
    <col width="6.25" bestFit="1" customWidth="1" style="105" min="5674" max="5674"/>
    <col width="7.125" bestFit="1" customWidth="1" style="105" min="5675" max="5675"/>
    <col width="5.875" bestFit="1" customWidth="1" style="105" min="5676" max="5676"/>
    <col width="29.625" bestFit="1" customWidth="1" style="105" min="5677" max="5677"/>
    <col width="5.875" bestFit="1" customWidth="1" style="105" min="5678" max="5678"/>
    <col width="3.75" bestFit="1" customWidth="1" style="105" min="5679" max="5679"/>
    <col width="6.25" bestFit="1" customWidth="1" style="105" min="5680" max="5680"/>
    <col width="6.875" bestFit="1" customWidth="1" style="105" min="5681" max="5681"/>
    <col width="6.75" bestFit="1" customWidth="1" style="105" min="5682" max="5682"/>
    <col width="5.875" bestFit="1" customWidth="1" style="105" min="5683" max="5683"/>
    <col width="108.375" bestFit="1" customWidth="1" style="105" min="5684" max="5684"/>
    <col width="104.125" bestFit="1" customWidth="1" style="105" min="5685" max="5685"/>
    <col width="7" bestFit="1" customWidth="1" style="105" min="5686" max="5686"/>
    <col width="7.875" bestFit="1" customWidth="1" style="105" min="5687" max="5687"/>
    <col width="8.5" bestFit="1" customWidth="1" style="105" min="5688" max="5688"/>
    <col width="4.75" bestFit="1" customWidth="1" style="105" min="5689" max="5689"/>
    <col width="37.375" bestFit="1" customWidth="1" style="105" min="5690" max="5690"/>
    <col width="6.875" bestFit="1" customWidth="1" style="105" min="5691" max="5691"/>
    <col width="7.875" bestFit="1" customWidth="1" style="105" min="5692" max="5692"/>
    <col width="7.75" bestFit="1" customWidth="1" style="105" min="5693" max="5693"/>
    <col width="8" bestFit="1" customWidth="1" style="105" min="5694" max="5694"/>
    <col width="4.75" bestFit="1" customWidth="1" style="105" min="5695" max="5695"/>
    <col width="7.875" bestFit="1" customWidth="1" style="105" min="5696" max="5696"/>
    <col width="4" bestFit="1" customWidth="1" style="105" min="5697" max="5708"/>
    <col width="3.75" bestFit="1" customWidth="1" style="105" min="5709" max="5709"/>
    <col width="4" bestFit="1" customWidth="1" style="105" min="5710" max="5710"/>
    <col width="3.625" bestFit="1" customWidth="1" style="105" min="5711" max="5711"/>
    <col width="9.875" bestFit="1" customWidth="1" style="105" min="5712" max="5712"/>
    <col width="5" bestFit="1" customWidth="1" style="105" min="5713" max="5713"/>
    <col width="7.125" bestFit="1" customWidth="1" style="105" min="5714" max="5714"/>
    <col width="9.375" bestFit="1" customWidth="1" style="105" min="5715" max="5715"/>
    <col width="17.5" bestFit="1" customWidth="1" style="105" min="5716" max="5716"/>
    <col width="7.375" bestFit="1" customWidth="1" style="105" min="5717" max="5717"/>
    <col width="5.75" bestFit="1" customWidth="1" style="105" min="5718" max="5718"/>
    <col width="31.25" bestFit="1" customWidth="1" style="105" min="5719" max="5719"/>
    <col width="26" bestFit="1" customWidth="1" style="105" min="5720" max="5720"/>
    <col width="24.375" bestFit="1" customWidth="1" style="105" min="5721" max="5722"/>
    <col width="6.375" bestFit="1" customWidth="1" style="105" min="5723" max="5723"/>
    <col width="9.875" bestFit="1" customWidth="1" style="105" min="5724" max="5725"/>
    <col width="28.875" bestFit="1" customWidth="1" style="105" min="5726" max="5726"/>
    <col width="9.75" bestFit="1" customWidth="1" style="105" min="5727" max="5727"/>
    <col width="12.625" bestFit="1" customWidth="1" style="105" min="5728" max="5728"/>
    <col width="32.375" bestFit="1" customWidth="1" style="105" min="5729" max="5729"/>
    <col width="3.375" bestFit="1" customWidth="1" style="105" min="5730" max="5730"/>
    <col width="8" bestFit="1" customWidth="1" style="105" min="5731" max="5731"/>
    <col width="5.625" bestFit="1" customWidth="1" style="105" min="5732" max="5732"/>
    <col width="7.875" bestFit="1" customWidth="1" style="105" min="5733" max="5733"/>
    <col width="6" bestFit="1" customWidth="1" style="105" min="5734" max="5734"/>
    <col width="11.25" bestFit="1" customWidth="1" style="105" min="5735" max="5735"/>
    <col width="9" customWidth="1" style="105" min="5736" max="5888"/>
    <col width="13.125" bestFit="1" customWidth="1" style="105" min="5889" max="5889"/>
    <col width="10.875" bestFit="1" customWidth="1" style="105" min="5890" max="5890"/>
    <col width="4.625" bestFit="1" customWidth="1" style="105" min="5891" max="5891"/>
    <col width="7" bestFit="1" customWidth="1" style="105" min="5892" max="5892"/>
    <col width="5.125" bestFit="1" customWidth="1" style="105" min="5893" max="5893"/>
    <col width="3.25" bestFit="1" customWidth="1" style="105" min="5894" max="5898"/>
    <col width="3.5" bestFit="1" customWidth="1" style="105" min="5899" max="5899"/>
    <col width="3.375" bestFit="1" customWidth="1" style="105" min="5900" max="5901"/>
    <col width="4.625" bestFit="1" customWidth="1" style="105" min="5902" max="5902"/>
    <col width="4.875" bestFit="1" customWidth="1" style="105" min="5903" max="5903"/>
    <col width="5.25" bestFit="1" customWidth="1" style="105" min="5904" max="5904"/>
    <col width="4.875" bestFit="1" customWidth="1" style="105" min="5905" max="5905"/>
    <col width="7.875" bestFit="1" customWidth="1" style="105" min="5906" max="5906"/>
    <col width="4.375" bestFit="1" customWidth="1" style="105" min="5907" max="5907"/>
    <col width="5.5" bestFit="1" customWidth="1" style="105" min="5908" max="5908"/>
    <col width="5.75" bestFit="1" customWidth="1" style="105" min="5909" max="5909"/>
    <col width="7.875" bestFit="1" customWidth="1" style="105" min="5910" max="5910"/>
    <col width="5.125" bestFit="1" customWidth="1" style="105" min="5911" max="5911"/>
    <col width="4.625" bestFit="1" customWidth="1" style="105" min="5912" max="5912"/>
    <col width="7.875" bestFit="1" customWidth="1" style="105" min="5913" max="5913"/>
    <col width="6.125" bestFit="1" customWidth="1" style="105" min="5914" max="5914"/>
    <col width="32.375" bestFit="1" customWidth="1" style="105" min="5915" max="5915"/>
    <col width="32.875" bestFit="1" customWidth="1" style="105" min="5916" max="5916"/>
    <col width="8.625" bestFit="1" customWidth="1" style="105" min="5917" max="5917"/>
    <col width="9.375" bestFit="1" customWidth="1" style="105" min="5918" max="5918"/>
    <col width="9.25" bestFit="1" customWidth="1" style="105" min="5919" max="5919"/>
    <col width="2.5" bestFit="1" customWidth="1" style="105" min="5920" max="5920"/>
    <col width="3.25" bestFit="1" customWidth="1" style="105" min="5921" max="5921"/>
    <col width="3.375" bestFit="1" customWidth="1" style="105" min="5922" max="5923"/>
    <col width="6.25" bestFit="1" customWidth="1" style="105" min="5924" max="5924"/>
    <col width="8.25" bestFit="1" customWidth="1" style="105" min="5925" max="5925"/>
    <col width="6.875" bestFit="1" customWidth="1" style="105" min="5926" max="5926"/>
    <col width="6.375" bestFit="1" customWidth="1" style="105" min="5927" max="5927"/>
    <col width="19.625" bestFit="1" customWidth="1" style="105" min="5928" max="5928"/>
    <col width="34.5" bestFit="1" customWidth="1" style="105" min="5929" max="5929"/>
    <col width="6.25" bestFit="1" customWidth="1" style="105" min="5930" max="5930"/>
    <col width="7.125" bestFit="1" customWidth="1" style="105" min="5931" max="5931"/>
    <col width="5.875" bestFit="1" customWidth="1" style="105" min="5932" max="5932"/>
    <col width="29.625" bestFit="1" customWidth="1" style="105" min="5933" max="5933"/>
    <col width="5.875" bestFit="1" customWidth="1" style="105" min="5934" max="5934"/>
    <col width="3.75" bestFit="1" customWidth="1" style="105" min="5935" max="5935"/>
    <col width="6.25" bestFit="1" customWidth="1" style="105" min="5936" max="5936"/>
    <col width="6.875" bestFit="1" customWidth="1" style="105" min="5937" max="5937"/>
    <col width="6.75" bestFit="1" customWidth="1" style="105" min="5938" max="5938"/>
    <col width="5.875" bestFit="1" customWidth="1" style="105" min="5939" max="5939"/>
    <col width="108.375" bestFit="1" customWidth="1" style="105" min="5940" max="5940"/>
    <col width="104.125" bestFit="1" customWidth="1" style="105" min="5941" max="5941"/>
    <col width="7" bestFit="1" customWidth="1" style="105" min="5942" max="5942"/>
    <col width="7.875" bestFit="1" customWidth="1" style="105" min="5943" max="5943"/>
    <col width="8.5" bestFit="1" customWidth="1" style="105" min="5944" max="5944"/>
    <col width="4.75" bestFit="1" customWidth="1" style="105" min="5945" max="5945"/>
    <col width="37.375" bestFit="1" customWidth="1" style="105" min="5946" max="5946"/>
    <col width="6.875" bestFit="1" customWidth="1" style="105" min="5947" max="5947"/>
    <col width="7.875" bestFit="1" customWidth="1" style="105" min="5948" max="5948"/>
    <col width="7.75" bestFit="1" customWidth="1" style="105" min="5949" max="5949"/>
    <col width="8" bestFit="1" customWidth="1" style="105" min="5950" max="5950"/>
    <col width="4.75" bestFit="1" customWidth="1" style="105" min="5951" max="5951"/>
    <col width="7.875" bestFit="1" customWidth="1" style="105" min="5952" max="5952"/>
    <col width="4" bestFit="1" customWidth="1" style="105" min="5953" max="5964"/>
    <col width="3.75" bestFit="1" customWidth="1" style="105" min="5965" max="5965"/>
    <col width="4" bestFit="1" customWidth="1" style="105" min="5966" max="5966"/>
    <col width="3.625" bestFit="1" customWidth="1" style="105" min="5967" max="5967"/>
    <col width="9.875" bestFit="1" customWidth="1" style="105" min="5968" max="5968"/>
    <col width="5" bestFit="1" customWidth="1" style="105" min="5969" max="5969"/>
    <col width="7.125" bestFit="1" customWidth="1" style="105" min="5970" max="5970"/>
    <col width="9.375" bestFit="1" customWidth="1" style="105" min="5971" max="5971"/>
    <col width="17.5" bestFit="1" customWidth="1" style="105" min="5972" max="5972"/>
    <col width="7.375" bestFit="1" customWidth="1" style="105" min="5973" max="5973"/>
    <col width="5.75" bestFit="1" customWidth="1" style="105" min="5974" max="5974"/>
    <col width="31.25" bestFit="1" customWidth="1" style="105" min="5975" max="5975"/>
    <col width="26" bestFit="1" customWidth="1" style="105" min="5976" max="5976"/>
    <col width="24.375" bestFit="1" customWidth="1" style="105" min="5977" max="5978"/>
    <col width="6.375" bestFit="1" customWidth="1" style="105" min="5979" max="5979"/>
    <col width="9.875" bestFit="1" customWidth="1" style="105" min="5980" max="5981"/>
    <col width="28.875" bestFit="1" customWidth="1" style="105" min="5982" max="5982"/>
    <col width="9.75" bestFit="1" customWidth="1" style="105" min="5983" max="5983"/>
    <col width="12.625" bestFit="1" customWidth="1" style="105" min="5984" max="5984"/>
    <col width="32.375" bestFit="1" customWidth="1" style="105" min="5985" max="5985"/>
    <col width="3.375" bestFit="1" customWidth="1" style="105" min="5986" max="5986"/>
    <col width="8" bestFit="1" customWidth="1" style="105" min="5987" max="5987"/>
    <col width="5.625" bestFit="1" customWidth="1" style="105" min="5988" max="5988"/>
    <col width="7.875" bestFit="1" customWidth="1" style="105" min="5989" max="5989"/>
    <col width="6" bestFit="1" customWidth="1" style="105" min="5990" max="5990"/>
    <col width="11.25" bestFit="1" customWidth="1" style="105" min="5991" max="5991"/>
    <col width="9" customWidth="1" style="105" min="5992" max="6144"/>
    <col width="13.125" bestFit="1" customWidth="1" style="105" min="6145" max="6145"/>
    <col width="10.875" bestFit="1" customWidth="1" style="105" min="6146" max="6146"/>
    <col width="4.625" bestFit="1" customWidth="1" style="105" min="6147" max="6147"/>
    <col width="7" bestFit="1" customWidth="1" style="105" min="6148" max="6148"/>
    <col width="5.125" bestFit="1" customWidth="1" style="105" min="6149" max="6149"/>
    <col width="3.25" bestFit="1" customWidth="1" style="105" min="6150" max="6154"/>
    <col width="3.5" bestFit="1" customWidth="1" style="105" min="6155" max="6155"/>
    <col width="3.375" bestFit="1" customWidth="1" style="105" min="6156" max="6157"/>
    <col width="4.625" bestFit="1" customWidth="1" style="105" min="6158" max="6158"/>
    <col width="4.875" bestFit="1" customWidth="1" style="105" min="6159" max="6159"/>
    <col width="5.25" bestFit="1" customWidth="1" style="105" min="6160" max="6160"/>
    <col width="4.875" bestFit="1" customWidth="1" style="105" min="6161" max="6161"/>
    <col width="7.875" bestFit="1" customWidth="1" style="105" min="6162" max="6162"/>
    <col width="4.375" bestFit="1" customWidth="1" style="105" min="6163" max="6163"/>
    <col width="5.5" bestFit="1" customWidth="1" style="105" min="6164" max="6164"/>
    <col width="5.75" bestFit="1" customWidth="1" style="105" min="6165" max="6165"/>
    <col width="7.875" bestFit="1" customWidth="1" style="105" min="6166" max="6166"/>
    <col width="5.125" bestFit="1" customWidth="1" style="105" min="6167" max="6167"/>
    <col width="4.625" bestFit="1" customWidth="1" style="105" min="6168" max="6168"/>
    <col width="7.875" bestFit="1" customWidth="1" style="105" min="6169" max="6169"/>
    <col width="6.125" bestFit="1" customWidth="1" style="105" min="6170" max="6170"/>
    <col width="32.375" bestFit="1" customWidth="1" style="105" min="6171" max="6171"/>
    <col width="32.875" bestFit="1" customWidth="1" style="105" min="6172" max="6172"/>
    <col width="8.625" bestFit="1" customWidth="1" style="105" min="6173" max="6173"/>
    <col width="9.375" bestFit="1" customWidth="1" style="105" min="6174" max="6174"/>
    <col width="9.25" bestFit="1" customWidth="1" style="105" min="6175" max="6175"/>
    <col width="2.5" bestFit="1" customWidth="1" style="105" min="6176" max="6176"/>
    <col width="3.25" bestFit="1" customWidth="1" style="105" min="6177" max="6177"/>
    <col width="3.375" bestFit="1" customWidth="1" style="105" min="6178" max="6179"/>
    <col width="6.25" bestFit="1" customWidth="1" style="105" min="6180" max="6180"/>
    <col width="8.25" bestFit="1" customWidth="1" style="105" min="6181" max="6181"/>
    <col width="6.875" bestFit="1" customWidth="1" style="105" min="6182" max="6182"/>
    <col width="6.375" bestFit="1" customWidth="1" style="105" min="6183" max="6183"/>
    <col width="19.625" bestFit="1" customWidth="1" style="105" min="6184" max="6184"/>
    <col width="34.5" bestFit="1" customWidth="1" style="105" min="6185" max="6185"/>
    <col width="6.25" bestFit="1" customWidth="1" style="105" min="6186" max="6186"/>
    <col width="7.125" bestFit="1" customWidth="1" style="105" min="6187" max="6187"/>
    <col width="5.875" bestFit="1" customWidth="1" style="105" min="6188" max="6188"/>
    <col width="29.625" bestFit="1" customWidth="1" style="105" min="6189" max="6189"/>
    <col width="5.875" bestFit="1" customWidth="1" style="105" min="6190" max="6190"/>
    <col width="3.75" bestFit="1" customWidth="1" style="105" min="6191" max="6191"/>
    <col width="6.25" bestFit="1" customWidth="1" style="105" min="6192" max="6192"/>
    <col width="6.875" bestFit="1" customWidth="1" style="105" min="6193" max="6193"/>
    <col width="6.75" bestFit="1" customWidth="1" style="105" min="6194" max="6194"/>
    <col width="5.875" bestFit="1" customWidth="1" style="105" min="6195" max="6195"/>
    <col width="108.375" bestFit="1" customWidth="1" style="105" min="6196" max="6196"/>
    <col width="104.125" bestFit="1" customWidth="1" style="105" min="6197" max="6197"/>
    <col width="7" bestFit="1" customWidth="1" style="105" min="6198" max="6198"/>
    <col width="7.875" bestFit="1" customWidth="1" style="105" min="6199" max="6199"/>
    <col width="8.5" bestFit="1" customWidth="1" style="105" min="6200" max="6200"/>
    <col width="4.75" bestFit="1" customWidth="1" style="105" min="6201" max="6201"/>
    <col width="37.375" bestFit="1" customWidth="1" style="105" min="6202" max="6202"/>
    <col width="6.875" bestFit="1" customWidth="1" style="105" min="6203" max="6203"/>
    <col width="7.875" bestFit="1" customWidth="1" style="105" min="6204" max="6204"/>
    <col width="7.75" bestFit="1" customWidth="1" style="105" min="6205" max="6205"/>
    <col width="8" bestFit="1" customWidth="1" style="105" min="6206" max="6206"/>
    <col width="4.75" bestFit="1" customWidth="1" style="105" min="6207" max="6207"/>
    <col width="7.875" bestFit="1" customWidth="1" style="105" min="6208" max="6208"/>
    <col width="4" bestFit="1" customWidth="1" style="105" min="6209" max="6220"/>
    <col width="3.75" bestFit="1" customWidth="1" style="105" min="6221" max="6221"/>
    <col width="4" bestFit="1" customWidth="1" style="105" min="6222" max="6222"/>
    <col width="3.625" bestFit="1" customWidth="1" style="105" min="6223" max="6223"/>
    <col width="9.875" bestFit="1" customWidth="1" style="105" min="6224" max="6224"/>
    <col width="5" bestFit="1" customWidth="1" style="105" min="6225" max="6225"/>
    <col width="7.125" bestFit="1" customWidth="1" style="105" min="6226" max="6226"/>
    <col width="9.375" bestFit="1" customWidth="1" style="105" min="6227" max="6227"/>
    <col width="17.5" bestFit="1" customWidth="1" style="105" min="6228" max="6228"/>
    <col width="7.375" bestFit="1" customWidth="1" style="105" min="6229" max="6229"/>
    <col width="5.75" bestFit="1" customWidth="1" style="105" min="6230" max="6230"/>
    <col width="31.25" bestFit="1" customWidth="1" style="105" min="6231" max="6231"/>
    <col width="26" bestFit="1" customWidth="1" style="105" min="6232" max="6232"/>
    <col width="24.375" bestFit="1" customWidth="1" style="105" min="6233" max="6234"/>
    <col width="6.375" bestFit="1" customWidth="1" style="105" min="6235" max="6235"/>
    <col width="9.875" bestFit="1" customWidth="1" style="105" min="6236" max="6237"/>
    <col width="28.875" bestFit="1" customWidth="1" style="105" min="6238" max="6238"/>
    <col width="9.75" bestFit="1" customWidth="1" style="105" min="6239" max="6239"/>
    <col width="12.625" bestFit="1" customWidth="1" style="105" min="6240" max="6240"/>
    <col width="32.375" bestFit="1" customWidth="1" style="105" min="6241" max="6241"/>
    <col width="3.375" bestFit="1" customWidth="1" style="105" min="6242" max="6242"/>
    <col width="8" bestFit="1" customWidth="1" style="105" min="6243" max="6243"/>
    <col width="5.625" bestFit="1" customWidth="1" style="105" min="6244" max="6244"/>
    <col width="7.875" bestFit="1" customWidth="1" style="105" min="6245" max="6245"/>
    <col width="6" bestFit="1" customWidth="1" style="105" min="6246" max="6246"/>
    <col width="11.25" bestFit="1" customWidth="1" style="105" min="6247" max="6247"/>
    <col width="9" customWidth="1" style="105" min="6248" max="6400"/>
    <col width="13.125" bestFit="1" customWidth="1" style="105" min="6401" max="6401"/>
    <col width="10.875" bestFit="1" customWidth="1" style="105" min="6402" max="6402"/>
    <col width="4.625" bestFit="1" customWidth="1" style="105" min="6403" max="6403"/>
    <col width="7" bestFit="1" customWidth="1" style="105" min="6404" max="6404"/>
    <col width="5.125" bestFit="1" customWidth="1" style="105" min="6405" max="6405"/>
    <col width="3.25" bestFit="1" customWidth="1" style="105" min="6406" max="6410"/>
    <col width="3.5" bestFit="1" customWidth="1" style="105" min="6411" max="6411"/>
    <col width="3.375" bestFit="1" customWidth="1" style="105" min="6412" max="6413"/>
    <col width="4.625" bestFit="1" customWidth="1" style="105" min="6414" max="6414"/>
    <col width="4.875" bestFit="1" customWidth="1" style="105" min="6415" max="6415"/>
    <col width="5.25" bestFit="1" customWidth="1" style="105" min="6416" max="6416"/>
    <col width="4.875" bestFit="1" customWidth="1" style="105" min="6417" max="6417"/>
    <col width="7.875" bestFit="1" customWidth="1" style="105" min="6418" max="6418"/>
    <col width="4.375" bestFit="1" customWidth="1" style="105" min="6419" max="6419"/>
    <col width="5.5" bestFit="1" customWidth="1" style="105" min="6420" max="6420"/>
    <col width="5.75" bestFit="1" customWidth="1" style="105" min="6421" max="6421"/>
    <col width="7.875" bestFit="1" customWidth="1" style="105" min="6422" max="6422"/>
    <col width="5.125" bestFit="1" customWidth="1" style="105" min="6423" max="6423"/>
    <col width="4.625" bestFit="1" customWidth="1" style="105" min="6424" max="6424"/>
    <col width="7.875" bestFit="1" customWidth="1" style="105" min="6425" max="6425"/>
    <col width="6.125" bestFit="1" customWidth="1" style="105" min="6426" max="6426"/>
    <col width="32.375" bestFit="1" customWidth="1" style="105" min="6427" max="6427"/>
    <col width="32.875" bestFit="1" customWidth="1" style="105" min="6428" max="6428"/>
    <col width="8.625" bestFit="1" customWidth="1" style="105" min="6429" max="6429"/>
    <col width="9.375" bestFit="1" customWidth="1" style="105" min="6430" max="6430"/>
    <col width="9.25" bestFit="1" customWidth="1" style="105" min="6431" max="6431"/>
    <col width="2.5" bestFit="1" customWidth="1" style="105" min="6432" max="6432"/>
    <col width="3.25" bestFit="1" customWidth="1" style="105" min="6433" max="6433"/>
    <col width="3.375" bestFit="1" customWidth="1" style="105" min="6434" max="6435"/>
    <col width="6.25" bestFit="1" customWidth="1" style="105" min="6436" max="6436"/>
    <col width="8.25" bestFit="1" customWidth="1" style="105" min="6437" max="6437"/>
    <col width="6.875" bestFit="1" customWidth="1" style="105" min="6438" max="6438"/>
    <col width="6.375" bestFit="1" customWidth="1" style="105" min="6439" max="6439"/>
    <col width="19.625" bestFit="1" customWidth="1" style="105" min="6440" max="6440"/>
    <col width="34.5" bestFit="1" customWidth="1" style="105" min="6441" max="6441"/>
    <col width="6.25" bestFit="1" customWidth="1" style="105" min="6442" max="6442"/>
    <col width="7.125" bestFit="1" customWidth="1" style="105" min="6443" max="6443"/>
    <col width="5.875" bestFit="1" customWidth="1" style="105" min="6444" max="6444"/>
    <col width="29.625" bestFit="1" customWidth="1" style="105" min="6445" max="6445"/>
    <col width="5.875" bestFit="1" customWidth="1" style="105" min="6446" max="6446"/>
    <col width="3.75" bestFit="1" customWidth="1" style="105" min="6447" max="6447"/>
    <col width="6.25" bestFit="1" customWidth="1" style="105" min="6448" max="6448"/>
    <col width="6.875" bestFit="1" customWidth="1" style="105" min="6449" max="6449"/>
    <col width="6.75" bestFit="1" customWidth="1" style="105" min="6450" max="6450"/>
    <col width="5.875" bestFit="1" customWidth="1" style="105" min="6451" max="6451"/>
    <col width="108.375" bestFit="1" customWidth="1" style="105" min="6452" max="6452"/>
    <col width="104.125" bestFit="1" customWidth="1" style="105" min="6453" max="6453"/>
    <col width="7" bestFit="1" customWidth="1" style="105" min="6454" max="6454"/>
    <col width="7.875" bestFit="1" customWidth="1" style="105" min="6455" max="6455"/>
    <col width="8.5" bestFit="1" customWidth="1" style="105" min="6456" max="6456"/>
    <col width="4.75" bestFit="1" customWidth="1" style="105" min="6457" max="6457"/>
    <col width="37.375" bestFit="1" customWidth="1" style="105" min="6458" max="6458"/>
    <col width="6.875" bestFit="1" customWidth="1" style="105" min="6459" max="6459"/>
    <col width="7.875" bestFit="1" customWidth="1" style="105" min="6460" max="6460"/>
    <col width="7.75" bestFit="1" customWidth="1" style="105" min="6461" max="6461"/>
    <col width="8" bestFit="1" customWidth="1" style="105" min="6462" max="6462"/>
    <col width="4.75" bestFit="1" customWidth="1" style="105" min="6463" max="6463"/>
    <col width="7.875" bestFit="1" customWidth="1" style="105" min="6464" max="6464"/>
    <col width="4" bestFit="1" customWidth="1" style="105" min="6465" max="6476"/>
    <col width="3.75" bestFit="1" customWidth="1" style="105" min="6477" max="6477"/>
    <col width="4" bestFit="1" customWidth="1" style="105" min="6478" max="6478"/>
    <col width="3.625" bestFit="1" customWidth="1" style="105" min="6479" max="6479"/>
    <col width="9.875" bestFit="1" customWidth="1" style="105" min="6480" max="6480"/>
    <col width="5" bestFit="1" customWidth="1" style="105" min="6481" max="6481"/>
    <col width="7.125" bestFit="1" customWidth="1" style="105" min="6482" max="6482"/>
    <col width="9.375" bestFit="1" customWidth="1" style="105" min="6483" max="6483"/>
    <col width="17.5" bestFit="1" customWidth="1" style="105" min="6484" max="6484"/>
    <col width="7.375" bestFit="1" customWidth="1" style="105" min="6485" max="6485"/>
    <col width="5.75" bestFit="1" customWidth="1" style="105" min="6486" max="6486"/>
    <col width="31.25" bestFit="1" customWidth="1" style="105" min="6487" max="6487"/>
    <col width="26" bestFit="1" customWidth="1" style="105" min="6488" max="6488"/>
    <col width="24.375" bestFit="1" customWidth="1" style="105" min="6489" max="6490"/>
    <col width="6.375" bestFit="1" customWidth="1" style="105" min="6491" max="6491"/>
    <col width="9.875" bestFit="1" customWidth="1" style="105" min="6492" max="6493"/>
    <col width="28.875" bestFit="1" customWidth="1" style="105" min="6494" max="6494"/>
    <col width="9.75" bestFit="1" customWidth="1" style="105" min="6495" max="6495"/>
    <col width="12.625" bestFit="1" customWidth="1" style="105" min="6496" max="6496"/>
    <col width="32.375" bestFit="1" customWidth="1" style="105" min="6497" max="6497"/>
    <col width="3.375" bestFit="1" customWidth="1" style="105" min="6498" max="6498"/>
    <col width="8" bestFit="1" customWidth="1" style="105" min="6499" max="6499"/>
    <col width="5.625" bestFit="1" customWidth="1" style="105" min="6500" max="6500"/>
    <col width="7.875" bestFit="1" customWidth="1" style="105" min="6501" max="6501"/>
    <col width="6" bestFit="1" customWidth="1" style="105" min="6502" max="6502"/>
    <col width="11.25" bestFit="1" customWidth="1" style="105" min="6503" max="6503"/>
    <col width="9" customWidth="1" style="105" min="6504" max="6656"/>
    <col width="13.125" bestFit="1" customWidth="1" style="105" min="6657" max="6657"/>
    <col width="10.875" bestFit="1" customWidth="1" style="105" min="6658" max="6658"/>
    <col width="4.625" bestFit="1" customWidth="1" style="105" min="6659" max="6659"/>
    <col width="7" bestFit="1" customWidth="1" style="105" min="6660" max="6660"/>
    <col width="5.125" bestFit="1" customWidth="1" style="105" min="6661" max="6661"/>
    <col width="3.25" bestFit="1" customWidth="1" style="105" min="6662" max="6666"/>
    <col width="3.5" bestFit="1" customWidth="1" style="105" min="6667" max="6667"/>
    <col width="3.375" bestFit="1" customWidth="1" style="105" min="6668" max="6669"/>
    <col width="4.625" bestFit="1" customWidth="1" style="105" min="6670" max="6670"/>
    <col width="4.875" bestFit="1" customWidth="1" style="105" min="6671" max="6671"/>
    <col width="5.25" bestFit="1" customWidth="1" style="105" min="6672" max="6672"/>
    <col width="4.875" bestFit="1" customWidth="1" style="105" min="6673" max="6673"/>
    <col width="7.875" bestFit="1" customWidth="1" style="105" min="6674" max="6674"/>
    <col width="4.375" bestFit="1" customWidth="1" style="105" min="6675" max="6675"/>
    <col width="5.5" bestFit="1" customWidth="1" style="105" min="6676" max="6676"/>
    <col width="5.75" bestFit="1" customWidth="1" style="105" min="6677" max="6677"/>
    <col width="7.875" bestFit="1" customWidth="1" style="105" min="6678" max="6678"/>
    <col width="5.125" bestFit="1" customWidth="1" style="105" min="6679" max="6679"/>
    <col width="4.625" bestFit="1" customWidth="1" style="105" min="6680" max="6680"/>
    <col width="7.875" bestFit="1" customWidth="1" style="105" min="6681" max="6681"/>
    <col width="6.125" bestFit="1" customWidth="1" style="105" min="6682" max="6682"/>
    <col width="32.375" bestFit="1" customWidth="1" style="105" min="6683" max="6683"/>
    <col width="32.875" bestFit="1" customWidth="1" style="105" min="6684" max="6684"/>
    <col width="8.625" bestFit="1" customWidth="1" style="105" min="6685" max="6685"/>
    <col width="9.375" bestFit="1" customWidth="1" style="105" min="6686" max="6686"/>
    <col width="9.25" bestFit="1" customWidth="1" style="105" min="6687" max="6687"/>
    <col width="2.5" bestFit="1" customWidth="1" style="105" min="6688" max="6688"/>
    <col width="3.25" bestFit="1" customWidth="1" style="105" min="6689" max="6689"/>
    <col width="3.375" bestFit="1" customWidth="1" style="105" min="6690" max="6691"/>
    <col width="6.25" bestFit="1" customWidth="1" style="105" min="6692" max="6692"/>
    <col width="8.25" bestFit="1" customWidth="1" style="105" min="6693" max="6693"/>
    <col width="6.875" bestFit="1" customWidth="1" style="105" min="6694" max="6694"/>
    <col width="6.375" bestFit="1" customWidth="1" style="105" min="6695" max="6695"/>
    <col width="19.625" bestFit="1" customWidth="1" style="105" min="6696" max="6696"/>
    <col width="34.5" bestFit="1" customWidth="1" style="105" min="6697" max="6697"/>
    <col width="6.25" bestFit="1" customWidth="1" style="105" min="6698" max="6698"/>
    <col width="7.125" bestFit="1" customWidth="1" style="105" min="6699" max="6699"/>
    <col width="5.875" bestFit="1" customWidth="1" style="105" min="6700" max="6700"/>
    <col width="29.625" bestFit="1" customWidth="1" style="105" min="6701" max="6701"/>
    <col width="5.875" bestFit="1" customWidth="1" style="105" min="6702" max="6702"/>
    <col width="3.75" bestFit="1" customWidth="1" style="105" min="6703" max="6703"/>
    <col width="6.25" bestFit="1" customWidth="1" style="105" min="6704" max="6704"/>
    <col width="6.875" bestFit="1" customWidth="1" style="105" min="6705" max="6705"/>
    <col width="6.75" bestFit="1" customWidth="1" style="105" min="6706" max="6706"/>
    <col width="5.875" bestFit="1" customWidth="1" style="105" min="6707" max="6707"/>
    <col width="108.375" bestFit="1" customWidth="1" style="105" min="6708" max="6708"/>
    <col width="104.125" bestFit="1" customWidth="1" style="105" min="6709" max="6709"/>
    <col width="7" bestFit="1" customWidth="1" style="105" min="6710" max="6710"/>
    <col width="7.875" bestFit="1" customWidth="1" style="105" min="6711" max="6711"/>
    <col width="8.5" bestFit="1" customWidth="1" style="105" min="6712" max="6712"/>
    <col width="4.75" bestFit="1" customWidth="1" style="105" min="6713" max="6713"/>
    <col width="37.375" bestFit="1" customWidth="1" style="105" min="6714" max="6714"/>
    <col width="6.875" bestFit="1" customWidth="1" style="105" min="6715" max="6715"/>
    <col width="7.875" bestFit="1" customWidth="1" style="105" min="6716" max="6716"/>
    <col width="7.75" bestFit="1" customWidth="1" style="105" min="6717" max="6717"/>
    <col width="8" bestFit="1" customWidth="1" style="105" min="6718" max="6718"/>
    <col width="4.75" bestFit="1" customWidth="1" style="105" min="6719" max="6719"/>
    <col width="7.875" bestFit="1" customWidth="1" style="105" min="6720" max="6720"/>
    <col width="4" bestFit="1" customWidth="1" style="105" min="6721" max="6732"/>
    <col width="3.75" bestFit="1" customWidth="1" style="105" min="6733" max="6733"/>
    <col width="4" bestFit="1" customWidth="1" style="105" min="6734" max="6734"/>
    <col width="3.625" bestFit="1" customWidth="1" style="105" min="6735" max="6735"/>
    <col width="9.875" bestFit="1" customWidth="1" style="105" min="6736" max="6736"/>
    <col width="5" bestFit="1" customWidth="1" style="105" min="6737" max="6737"/>
    <col width="7.125" bestFit="1" customWidth="1" style="105" min="6738" max="6738"/>
    <col width="9.375" bestFit="1" customWidth="1" style="105" min="6739" max="6739"/>
    <col width="17.5" bestFit="1" customWidth="1" style="105" min="6740" max="6740"/>
    <col width="7.375" bestFit="1" customWidth="1" style="105" min="6741" max="6741"/>
    <col width="5.75" bestFit="1" customWidth="1" style="105" min="6742" max="6742"/>
    <col width="31.25" bestFit="1" customWidth="1" style="105" min="6743" max="6743"/>
    <col width="26" bestFit="1" customWidth="1" style="105" min="6744" max="6744"/>
    <col width="24.375" bestFit="1" customWidth="1" style="105" min="6745" max="6746"/>
    <col width="6.375" bestFit="1" customWidth="1" style="105" min="6747" max="6747"/>
    <col width="9.875" bestFit="1" customWidth="1" style="105" min="6748" max="6749"/>
    <col width="28.875" bestFit="1" customWidth="1" style="105" min="6750" max="6750"/>
    <col width="9.75" bestFit="1" customWidth="1" style="105" min="6751" max="6751"/>
    <col width="12.625" bestFit="1" customWidth="1" style="105" min="6752" max="6752"/>
    <col width="32.375" bestFit="1" customWidth="1" style="105" min="6753" max="6753"/>
    <col width="3.375" bestFit="1" customWidth="1" style="105" min="6754" max="6754"/>
    <col width="8" bestFit="1" customWidth="1" style="105" min="6755" max="6755"/>
    <col width="5.625" bestFit="1" customWidth="1" style="105" min="6756" max="6756"/>
    <col width="7.875" bestFit="1" customWidth="1" style="105" min="6757" max="6757"/>
    <col width="6" bestFit="1" customWidth="1" style="105" min="6758" max="6758"/>
    <col width="11.25" bestFit="1" customWidth="1" style="105" min="6759" max="6759"/>
    <col width="9" customWidth="1" style="105" min="6760" max="6912"/>
    <col width="13.125" bestFit="1" customWidth="1" style="105" min="6913" max="6913"/>
    <col width="10.875" bestFit="1" customWidth="1" style="105" min="6914" max="6914"/>
    <col width="4.625" bestFit="1" customWidth="1" style="105" min="6915" max="6915"/>
    <col width="7" bestFit="1" customWidth="1" style="105" min="6916" max="6916"/>
    <col width="5.125" bestFit="1" customWidth="1" style="105" min="6917" max="6917"/>
    <col width="3.25" bestFit="1" customWidth="1" style="105" min="6918" max="6922"/>
    <col width="3.5" bestFit="1" customWidth="1" style="105" min="6923" max="6923"/>
    <col width="3.375" bestFit="1" customWidth="1" style="105" min="6924" max="6925"/>
    <col width="4.625" bestFit="1" customWidth="1" style="105" min="6926" max="6926"/>
    <col width="4.875" bestFit="1" customWidth="1" style="105" min="6927" max="6927"/>
    <col width="5.25" bestFit="1" customWidth="1" style="105" min="6928" max="6928"/>
    <col width="4.875" bestFit="1" customWidth="1" style="105" min="6929" max="6929"/>
    <col width="7.875" bestFit="1" customWidth="1" style="105" min="6930" max="6930"/>
    <col width="4.375" bestFit="1" customWidth="1" style="105" min="6931" max="6931"/>
    <col width="5.5" bestFit="1" customWidth="1" style="105" min="6932" max="6932"/>
    <col width="5.75" bestFit="1" customWidth="1" style="105" min="6933" max="6933"/>
    <col width="7.875" bestFit="1" customWidth="1" style="105" min="6934" max="6934"/>
    <col width="5.125" bestFit="1" customWidth="1" style="105" min="6935" max="6935"/>
    <col width="4.625" bestFit="1" customWidth="1" style="105" min="6936" max="6936"/>
    <col width="7.875" bestFit="1" customWidth="1" style="105" min="6937" max="6937"/>
    <col width="6.125" bestFit="1" customWidth="1" style="105" min="6938" max="6938"/>
    <col width="32.375" bestFit="1" customWidth="1" style="105" min="6939" max="6939"/>
    <col width="32.875" bestFit="1" customWidth="1" style="105" min="6940" max="6940"/>
    <col width="8.625" bestFit="1" customWidth="1" style="105" min="6941" max="6941"/>
    <col width="9.375" bestFit="1" customWidth="1" style="105" min="6942" max="6942"/>
    <col width="9.25" bestFit="1" customWidth="1" style="105" min="6943" max="6943"/>
    <col width="2.5" bestFit="1" customWidth="1" style="105" min="6944" max="6944"/>
    <col width="3.25" bestFit="1" customWidth="1" style="105" min="6945" max="6945"/>
    <col width="3.375" bestFit="1" customWidth="1" style="105" min="6946" max="6947"/>
    <col width="6.25" bestFit="1" customWidth="1" style="105" min="6948" max="6948"/>
    <col width="8.25" bestFit="1" customWidth="1" style="105" min="6949" max="6949"/>
    <col width="6.875" bestFit="1" customWidth="1" style="105" min="6950" max="6950"/>
    <col width="6.375" bestFit="1" customWidth="1" style="105" min="6951" max="6951"/>
    <col width="19.625" bestFit="1" customWidth="1" style="105" min="6952" max="6952"/>
    <col width="34.5" bestFit="1" customWidth="1" style="105" min="6953" max="6953"/>
    <col width="6.25" bestFit="1" customWidth="1" style="105" min="6954" max="6954"/>
    <col width="7.125" bestFit="1" customWidth="1" style="105" min="6955" max="6955"/>
    <col width="5.875" bestFit="1" customWidth="1" style="105" min="6956" max="6956"/>
    <col width="29.625" bestFit="1" customWidth="1" style="105" min="6957" max="6957"/>
    <col width="5.875" bestFit="1" customWidth="1" style="105" min="6958" max="6958"/>
    <col width="3.75" bestFit="1" customWidth="1" style="105" min="6959" max="6959"/>
    <col width="6.25" bestFit="1" customWidth="1" style="105" min="6960" max="6960"/>
    <col width="6.875" bestFit="1" customWidth="1" style="105" min="6961" max="6961"/>
    <col width="6.75" bestFit="1" customWidth="1" style="105" min="6962" max="6962"/>
    <col width="5.875" bestFit="1" customWidth="1" style="105" min="6963" max="6963"/>
    <col width="108.375" bestFit="1" customWidth="1" style="105" min="6964" max="6964"/>
    <col width="104.125" bestFit="1" customWidth="1" style="105" min="6965" max="6965"/>
    <col width="7" bestFit="1" customWidth="1" style="105" min="6966" max="6966"/>
    <col width="7.875" bestFit="1" customWidth="1" style="105" min="6967" max="6967"/>
    <col width="8.5" bestFit="1" customWidth="1" style="105" min="6968" max="6968"/>
    <col width="4.75" bestFit="1" customWidth="1" style="105" min="6969" max="6969"/>
    <col width="37.375" bestFit="1" customWidth="1" style="105" min="6970" max="6970"/>
    <col width="6.875" bestFit="1" customWidth="1" style="105" min="6971" max="6971"/>
    <col width="7.875" bestFit="1" customWidth="1" style="105" min="6972" max="6972"/>
    <col width="7.75" bestFit="1" customWidth="1" style="105" min="6973" max="6973"/>
    <col width="8" bestFit="1" customWidth="1" style="105" min="6974" max="6974"/>
    <col width="4.75" bestFit="1" customWidth="1" style="105" min="6975" max="6975"/>
    <col width="7.875" bestFit="1" customWidth="1" style="105" min="6976" max="6976"/>
    <col width="4" bestFit="1" customWidth="1" style="105" min="6977" max="6988"/>
    <col width="3.75" bestFit="1" customWidth="1" style="105" min="6989" max="6989"/>
    <col width="4" bestFit="1" customWidth="1" style="105" min="6990" max="6990"/>
    <col width="3.625" bestFit="1" customWidth="1" style="105" min="6991" max="6991"/>
    <col width="9.875" bestFit="1" customWidth="1" style="105" min="6992" max="6992"/>
    <col width="5" bestFit="1" customWidth="1" style="105" min="6993" max="6993"/>
    <col width="7.125" bestFit="1" customWidth="1" style="105" min="6994" max="6994"/>
    <col width="9.375" bestFit="1" customWidth="1" style="105" min="6995" max="6995"/>
    <col width="17.5" bestFit="1" customWidth="1" style="105" min="6996" max="6996"/>
    <col width="7.375" bestFit="1" customWidth="1" style="105" min="6997" max="6997"/>
    <col width="5.75" bestFit="1" customWidth="1" style="105" min="6998" max="6998"/>
    <col width="31.25" bestFit="1" customWidth="1" style="105" min="6999" max="6999"/>
    <col width="26" bestFit="1" customWidth="1" style="105" min="7000" max="7000"/>
    <col width="24.375" bestFit="1" customWidth="1" style="105" min="7001" max="7002"/>
    <col width="6.375" bestFit="1" customWidth="1" style="105" min="7003" max="7003"/>
    <col width="9.875" bestFit="1" customWidth="1" style="105" min="7004" max="7005"/>
    <col width="28.875" bestFit="1" customWidth="1" style="105" min="7006" max="7006"/>
    <col width="9.75" bestFit="1" customWidth="1" style="105" min="7007" max="7007"/>
    <col width="12.625" bestFit="1" customWidth="1" style="105" min="7008" max="7008"/>
    <col width="32.375" bestFit="1" customWidth="1" style="105" min="7009" max="7009"/>
    <col width="3.375" bestFit="1" customWidth="1" style="105" min="7010" max="7010"/>
    <col width="8" bestFit="1" customWidth="1" style="105" min="7011" max="7011"/>
    <col width="5.625" bestFit="1" customWidth="1" style="105" min="7012" max="7012"/>
    <col width="7.875" bestFit="1" customWidth="1" style="105" min="7013" max="7013"/>
    <col width="6" bestFit="1" customWidth="1" style="105" min="7014" max="7014"/>
    <col width="11.25" bestFit="1" customWidth="1" style="105" min="7015" max="7015"/>
    <col width="9" customWidth="1" style="105" min="7016" max="7168"/>
    <col width="13.125" bestFit="1" customWidth="1" style="105" min="7169" max="7169"/>
    <col width="10.875" bestFit="1" customWidth="1" style="105" min="7170" max="7170"/>
    <col width="4.625" bestFit="1" customWidth="1" style="105" min="7171" max="7171"/>
    <col width="7" bestFit="1" customWidth="1" style="105" min="7172" max="7172"/>
    <col width="5.125" bestFit="1" customWidth="1" style="105" min="7173" max="7173"/>
    <col width="3.25" bestFit="1" customWidth="1" style="105" min="7174" max="7178"/>
    <col width="3.5" bestFit="1" customWidth="1" style="105" min="7179" max="7179"/>
    <col width="3.375" bestFit="1" customWidth="1" style="105" min="7180" max="7181"/>
    <col width="4.625" bestFit="1" customWidth="1" style="105" min="7182" max="7182"/>
    <col width="4.875" bestFit="1" customWidth="1" style="105" min="7183" max="7183"/>
    <col width="5.25" bestFit="1" customWidth="1" style="105" min="7184" max="7184"/>
    <col width="4.875" bestFit="1" customWidth="1" style="105" min="7185" max="7185"/>
    <col width="7.875" bestFit="1" customWidth="1" style="105" min="7186" max="7186"/>
    <col width="4.375" bestFit="1" customWidth="1" style="105" min="7187" max="7187"/>
    <col width="5.5" bestFit="1" customWidth="1" style="105" min="7188" max="7188"/>
    <col width="5.75" bestFit="1" customWidth="1" style="105" min="7189" max="7189"/>
    <col width="7.875" bestFit="1" customWidth="1" style="105" min="7190" max="7190"/>
    <col width="5.125" bestFit="1" customWidth="1" style="105" min="7191" max="7191"/>
    <col width="4.625" bestFit="1" customWidth="1" style="105" min="7192" max="7192"/>
    <col width="7.875" bestFit="1" customWidth="1" style="105" min="7193" max="7193"/>
    <col width="6.125" bestFit="1" customWidth="1" style="105" min="7194" max="7194"/>
    <col width="32.375" bestFit="1" customWidth="1" style="105" min="7195" max="7195"/>
    <col width="32.875" bestFit="1" customWidth="1" style="105" min="7196" max="7196"/>
    <col width="8.625" bestFit="1" customWidth="1" style="105" min="7197" max="7197"/>
    <col width="9.375" bestFit="1" customWidth="1" style="105" min="7198" max="7198"/>
    <col width="9.25" bestFit="1" customWidth="1" style="105" min="7199" max="7199"/>
    <col width="2.5" bestFit="1" customWidth="1" style="105" min="7200" max="7200"/>
    <col width="3.25" bestFit="1" customWidth="1" style="105" min="7201" max="7201"/>
    <col width="3.375" bestFit="1" customWidth="1" style="105" min="7202" max="7203"/>
    <col width="6.25" bestFit="1" customWidth="1" style="105" min="7204" max="7204"/>
    <col width="8.25" bestFit="1" customWidth="1" style="105" min="7205" max="7205"/>
    <col width="6.875" bestFit="1" customWidth="1" style="105" min="7206" max="7206"/>
    <col width="6.375" bestFit="1" customWidth="1" style="105" min="7207" max="7207"/>
    <col width="19.625" bestFit="1" customWidth="1" style="105" min="7208" max="7208"/>
    <col width="34.5" bestFit="1" customWidth="1" style="105" min="7209" max="7209"/>
    <col width="6.25" bestFit="1" customWidth="1" style="105" min="7210" max="7210"/>
    <col width="7.125" bestFit="1" customWidth="1" style="105" min="7211" max="7211"/>
    <col width="5.875" bestFit="1" customWidth="1" style="105" min="7212" max="7212"/>
    <col width="29.625" bestFit="1" customWidth="1" style="105" min="7213" max="7213"/>
    <col width="5.875" bestFit="1" customWidth="1" style="105" min="7214" max="7214"/>
    <col width="3.75" bestFit="1" customWidth="1" style="105" min="7215" max="7215"/>
    <col width="6.25" bestFit="1" customWidth="1" style="105" min="7216" max="7216"/>
    <col width="6.875" bestFit="1" customWidth="1" style="105" min="7217" max="7217"/>
    <col width="6.75" bestFit="1" customWidth="1" style="105" min="7218" max="7218"/>
    <col width="5.875" bestFit="1" customWidth="1" style="105" min="7219" max="7219"/>
    <col width="108.375" bestFit="1" customWidth="1" style="105" min="7220" max="7220"/>
    <col width="104.125" bestFit="1" customWidth="1" style="105" min="7221" max="7221"/>
    <col width="7" bestFit="1" customWidth="1" style="105" min="7222" max="7222"/>
    <col width="7.875" bestFit="1" customWidth="1" style="105" min="7223" max="7223"/>
    <col width="8.5" bestFit="1" customWidth="1" style="105" min="7224" max="7224"/>
    <col width="4.75" bestFit="1" customWidth="1" style="105" min="7225" max="7225"/>
    <col width="37.375" bestFit="1" customWidth="1" style="105" min="7226" max="7226"/>
    <col width="6.875" bestFit="1" customWidth="1" style="105" min="7227" max="7227"/>
    <col width="7.875" bestFit="1" customWidth="1" style="105" min="7228" max="7228"/>
    <col width="7.75" bestFit="1" customWidth="1" style="105" min="7229" max="7229"/>
    <col width="8" bestFit="1" customWidth="1" style="105" min="7230" max="7230"/>
    <col width="4.75" bestFit="1" customWidth="1" style="105" min="7231" max="7231"/>
    <col width="7.875" bestFit="1" customWidth="1" style="105" min="7232" max="7232"/>
    <col width="4" bestFit="1" customWidth="1" style="105" min="7233" max="7244"/>
    <col width="3.75" bestFit="1" customWidth="1" style="105" min="7245" max="7245"/>
    <col width="4" bestFit="1" customWidth="1" style="105" min="7246" max="7246"/>
    <col width="3.625" bestFit="1" customWidth="1" style="105" min="7247" max="7247"/>
    <col width="9.875" bestFit="1" customWidth="1" style="105" min="7248" max="7248"/>
    <col width="5" bestFit="1" customWidth="1" style="105" min="7249" max="7249"/>
    <col width="7.125" bestFit="1" customWidth="1" style="105" min="7250" max="7250"/>
    <col width="9.375" bestFit="1" customWidth="1" style="105" min="7251" max="7251"/>
    <col width="17.5" bestFit="1" customWidth="1" style="105" min="7252" max="7252"/>
    <col width="7.375" bestFit="1" customWidth="1" style="105" min="7253" max="7253"/>
    <col width="5.75" bestFit="1" customWidth="1" style="105" min="7254" max="7254"/>
    <col width="31.25" bestFit="1" customWidth="1" style="105" min="7255" max="7255"/>
    <col width="26" bestFit="1" customWidth="1" style="105" min="7256" max="7256"/>
    <col width="24.375" bestFit="1" customWidth="1" style="105" min="7257" max="7258"/>
    <col width="6.375" bestFit="1" customWidth="1" style="105" min="7259" max="7259"/>
    <col width="9.875" bestFit="1" customWidth="1" style="105" min="7260" max="7261"/>
    <col width="28.875" bestFit="1" customWidth="1" style="105" min="7262" max="7262"/>
    <col width="9.75" bestFit="1" customWidth="1" style="105" min="7263" max="7263"/>
    <col width="12.625" bestFit="1" customWidth="1" style="105" min="7264" max="7264"/>
    <col width="32.375" bestFit="1" customWidth="1" style="105" min="7265" max="7265"/>
    <col width="3.375" bestFit="1" customWidth="1" style="105" min="7266" max="7266"/>
    <col width="8" bestFit="1" customWidth="1" style="105" min="7267" max="7267"/>
    <col width="5.625" bestFit="1" customWidth="1" style="105" min="7268" max="7268"/>
    <col width="7.875" bestFit="1" customWidth="1" style="105" min="7269" max="7269"/>
    <col width="6" bestFit="1" customWidth="1" style="105" min="7270" max="7270"/>
    <col width="11.25" bestFit="1" customWidth="1" style="105" min="7271" max="7271"/>
    <col width="9" customWidth="1" style="105" min="7272" max="7424"/>
    <col width="13.125" bestFit="1" customWidth="1" style="105" min="7425" max="7425"/>
    <col width="10.875" bestFit="1" customWidth="1" style="105" min="7426" max="7426"/>
    <col width="4.625" bestFit="1" customWidth="1" style="105" min="7427" max="7427"/>
    <col width="7" bestFit="1" customWidth="1" style="105" min="7428" max="7428"/>
    <col width="5.125" bestFit="1" customWidth="1" style="105" min="7429" max="7429"/>
    <col width="3.25" bestFit="1" customWidth="1" style="105" min="7430" max="7434"/>
    <col width="3.5" bestFit="1" customWidth="1" style="105" min="7435" max="7435"/>
    <col width="3.375" bestFit="1" customWidth="1" style="105" min="7436" max="7437"/>
    <col width="4.625" bestFit="1" customWidth="1" style="105" min="7438" max="7438"/>
    <col width="4.875" bestFit="1" customWidth="1" style="105" min="7439" max="7439"/>
    <col width="5.25" bestFit="1" customWidth="1" style="105" min="7440" max="7440"/>
    <col width="4.875" bestFit="1" customWidth="1" style="105" min="7441" max="7441"/>
    <col width="7.875" bestFit="1" customWidth="1" style="105" min="7442" max="7442"/>
    <col width="4.375" bestFit="1" customWidth="1" style="105" min="7443" max="7443"/>
    <col width="5.5" bestFit="1" customWidth="1" style="105" min="7444" max="7444"/>
    <col width="5.75" bestFit="1" customWidth="1" style="105" min="7445" max="7445"/>
    <col width="7.875" bestFit="1" customWidth="1" style="105" min="7446" max="7446"/>
    <col width="5.125" bestFit="1" customWidth="1" style="105" min="7447" max="7447"/>
    <col width="4.625" bestFit="1" customWidth="1" style="105" min="7448" max="7448"/>
    <col width="7.875" bestFit="1" customWidth="1" style="105" min="7449" max="7449"/>
    <col width="6.125" bestFit="1" customWidth="1" style="105" min="7450" max="7450"/>
    <col width="32.375" bestFit="1" customWidth="1" style="105" min="7451" max="7451"/>
    <col width="32.875" bestFit="1" customWidth="1" style="105" min="7452" max="7452"/>
    <col width="8.625" bestFit="1" customWidth="1" style="105" min="7453" max="7453"/>
    <col width="9.375" bestFit="1" customWidth="1" style="105" min="7454" max="7454"/>
    <col width="9.25" bestFit="1" customWidth="1" style="105" min="7455" max="7455"/>
    <col width="2.5" bestFit="1" customWidth="1" style="105" min="7456" max="7456"/>
    <col width="3.25" bestFit="1" customWidth="1" style="105" min="7457" max="7457"/>
    <col width="3.375" bestFit="1" customWidth="1" style="105" min="7458" max="7459"/>
    <col width="6.25" bestFit="1" customWidth="1" style="105" min="7460" max="7460"/>
    <col width="8.25" bestFit="1" customWidth="1" style="105" min="7461" max="7461"/>
    <col width="6.875" bestFit="1" customWidth="1" style="105" min="7462" max="7462"/>
    <col width="6.375" bestFit="1" customWidth="1" style="105" min="7463" max="7463"/>
    <col width="19.625" bestFit="1" customWidth="1" style="105" min="7464" max="7464"/>
    <col width="34.5" bestFit="1" customWidth="1" style="105" min="7465" max="7465"/>
    <col width="6.25" bestFit="1" customWidth="1" style="105" min="7466" max="7466"/>
    <col width="7.125" bestFit="1" customWidth="1" style="105" min="7467" max="7467"/>
    <col width="5.875" bestFit="1" customWidth="1" style="105" min="7468" max="7468"/>
    <col width="29.625" bestFit="1" customWidth="1" style="105" min="7469" max="7469"/>
    <col width="5.875" bestFit="1" customWidth="1" style="105" min="7470" max="7470"/>
    <col width="3.75" bestFit="1" customWidth="1" style="105" min="7471" max="7471"/>
    <col width="6.25" bestFit="1" customWidth="1" style="105" min="7472" max="7472"/>
    <col width="6.875" bestFit="1" customWidth="1" style="105" min="7473" max="7473"/>
    <col width="6.75" bestFit="1" customWidth="1" style="105" min="7474" max="7474"/>
    <col width="5.875" bestFit="1" customWidth="1" style="105" min="7475" max="7475"/>
    <col width="108.375" bestFit="1" customWidth="1" style="105" min="7476" max="7476"/>
    <col width="104.125" bestFit="1" customWidth="1" style="105" min="7477" max="7477"/>
    <col width="7" bestFit="1" customWidth="1" style="105" min="7478" max="7478"/>
    <col width="7.875" bestFit="1" customWidth="1" style="105" min="7479" max="7479"/>
    <col width="8.5" bestFit="1" customWidth="1" style="105" min="7480" max="7480"/>
    <col width="4.75" bestFit="1" customWidth="1" style="105" min="7481" max="7481"/>
    <col width="37.375" bestFit="1" customWidth="1" style="105" min="7482" max="7482"/>
    <col width="6.875" bestFit="1" customWidth="1" style="105" min="7483" max="7483"/>
    <col width="7.875" bestFit="1" customWidth="1" style="105" min="7484" max="7484"/>
    <col width="7.75" bestFit="1" customWidth="1" style="105" min="7485" max="7485"/>
    <col width="8" bestFit="1" customWidth="1" style="105" min="7486" max="7486"/>
    <col width="4.75" bestFit="1" customWidth="1" style="105" min="7487" max="7487"/>
    <col width="7.875" bestFit="1" customWidth="1" style="105" min="7488" max="7488"/>
    <col width="4" bestFit="1" customWidth="1" style="105" min="7489" max="7500"/>
    <col width="3.75" bestFit="1" customWidth="1" style="105" min="7501" max="7501"/>
    <col width="4" bestFit="1" customWidth="1" style="105" min="7502" max="7502"/>
    <col width="3.625" bestFit="1" customWidth="1" style="105" min="7503" max="7503"/>
    <col width="9.875" bestFit="1" customWidth="1" style="105" min="7504" max="7504"/>
    <col width="5" bestFit="1" customWidth="1" style="105" min="7505" max="7505"/>
    <col width="7.125" bestFit="1" customWidth="1" style="105" min="7506" max="7506"/>
    <col width="9.375" bestFit="1" customWidth="1" style="105" min="7507" max="7507"/>
    <col width="17.5" bestFit="1" customWidth="1" style="105" min="7508" max="7508"/>
    <col width="7.375" bestFit="1" customWidth="1" style="105" min="7509" max="7509"/>
    <col width="5.75" bestFit="1" customWidth="1" style="105" min="7510" max="7510"/>
    <col width="31.25" bestFit="1" customWidth="1" style="105" min="7511" max="7511"/>
    <col width="26" bestFit="1" customWidth="1" style="105" min="7512" max="7512"/>
    <col width="24.375" bestFit="1" customWidth="1" style="105" min="7513" max="7514"/>
    <col width="6.375" bestFit="1" customWidth="1" style="105" min="7515" max="7515"/>
    <col width="9.875" bestFit="1" customWidth="1" style="105" min="7516" max="7517"/>
    <col width="28.875" bestFit="1" customWidth="1" style="105" min="7518" max="7518"/>
    <col width="9.75" bestFit="1" customWidth="1" style="105" min="7519" max="7519"/>
    <col width="12.625" bestFit="1" customWidth="1" style="105" min="7520" max="7520"/>
    <col width="32.375" bestFit="1" customWidth="1" style="105" min="7521" max="7521"/>
    <col width="3.375" bestFit="1" customWidth="1" style="105" min="7522" max="7522"/>
    <col width="8" bestFit="1" customWidth="1" style="105" min="7523" max="7523"/>
    <col width="5.625" bestFit="1" customWidth="1" style="105" min="7524" max="7524"/>
    <col width="7.875" bestFit="1" customWidth="1" style="105" min="7525" max="7525"/>
    <col width="6" bestFit="1" customWidth="1" style="105" min="7526" max="7526"/>
    <col width="11.25" bestFit="1" customWidth="1" style="105" min="7527" max="7527"/>
    <col width="9" customWidth="1" style="105" min="7528" max="7680"/>
    <col width="13.125" bestFit="1" customWidth="1" style="105" min="7681" max="7681"/>
    <col width="10.875" bestFit="1" customWidth="1" style="105" min="7682" max="7682"/>
    <col width="4.625" bestFit="1" customWidth="1" style="105" min="7683" max="7683"/>
    <col width="7" bestFit="1" customWidth="1" style="105" min="7684" max="7684"/>
    <col width="5.125" bestFit="1" customWidth="1" style="105" min="7685" max="7685"/>
    <col width="3.25" bestFit="1" customWidth="1" style="105" min="7686" max="7690"/>
    <col width="3.5" bestFit="1" customWidth="1" style="105" min="7691" max="7691"/>
    <col width="3.375" bestFit="1" customWidth="1" style="105" min="7692" max="7693"/>
    <col width="4.625" bestFit="1" customWidth="1" style="105" min="7694" max="7694"/>
    <col width="4.875" bestFit="1" customWidth="1" style="105" min="7695" max="7695"/>
    <col width="5.25" bestFit="1" customWidth="1" style="105" min="7696" max="7696"/>
    <col width="4.875" bestFit="1" customWidth="1" style="105" min="7697" max="7697"/>
    <col width="7.875" bestFit="1" customWidth="1" style="105" min="7698" max="7698"/>
    <col width="4.375" bestFit="1" customWidth="1" style="105" min="7699" max="7699"/>
    <col width="5.5" bestFit="1" customWidth="1" style="105" min="7700" max="7700"/>
    <col width="5.75" bestFit="1" customWidth="1" style="105" min="7701" max="7701"/>
    <col width="7.875" bestFit="1" customWidth="1" style="105" min="7702" max="7702"/>
    <col width="5.125" bestFit="1" customWidth="1" style="105" min="7703" max="7703"/>
    <col width="4.625" bestFit="1" customWidth="1" style="105" min="7704" max="7704"/>
    <col width="7.875" bestFit="1" customWidth="1" style="105" min="7705" max="7705"/>
    <col width="6.125" bestFit="1" customWidth="1" style="105" min="7706" max="7706"/>
    <col width="32.375" bestFit="1" customWidth="1" style="105" min="7707" max="7707"/>
    <col width="32.875" bestFit="1" customWidth="1" style="105" min="7708" max="7708"/>
    <col width="8.625" bestFit="1" customWidth="1" style="105" min="7709" max="7709"/>
    <col width="9.375" bestFit="1" customWidth="1" style="105" min="7710" max="7710"/>
    <col width="9.25" bestFit="1" customWidth="1" style="105" min="7711" max="7711"/>
    <col width="2.5" bestFit="1" customWidth="1" style="105" min="7712" max="7712"/>
    <col width="3.25" bestFit="1" customWidth="1" style="105" min="7713" max="7713"/>
    <col width="3.375" bestFit="1" customWidth="1" style="105" min="7714" max="7715"/>
    <col width="6.25" bestFit="1" customWidth="1" style="105" min="7716" max="7716"/>
    <col width="8.25" bestFit="1" customWidth="1" style="105" min="7717" max="7717"/>
    <col width="6.875" bestFit="1" customWidth="1" style="105" min="7718" max="7718"/>
    <col width="6.375" bestFit="1" customWidth="1" style="105" min="7719" max="7719"/>
    <col width="19.625" bestFit="1" customWidth="1" style="105" min="7720" max="7720"/>
    <col width="34.5" bestFit="1" customWidth="1" style="105" min="7721" max="7721"/>
    <col width="6.25" bestFit="1" customWidth="1" style="105" min="7722" max="7722"/>
    <col width="7.125" bestFit="1" customWidth="1" style="105" min="7723" max="7723"/>
    <col width="5.875" bestFit="1" customWidth="1" style="105" min="7724" max="7724"/>
    <col width="29.625" bestFit="1" customWidth="1" style="105" min="7725" max="7725"/>
    <col width="5.875" bestFit="1" customWidth="1" style="105" min="7726" max="7726"/>
    <col width="3.75" bestFit="1" customWidth="1" style="105" min="7727" max="7727"/>
    <col width="6.25" bestFit="1" customWidth="1" style="105" min="7728" max="7728"/>
    <col width="6.875" bestFit="1" customWidth="1" style="105" min="7729" max="7729"/>
    <col width="6.75" bestFit="1" customWidth="1" style="105" min="7730" max="7730"/>
    <col width="5.875" bestFit="1" customWidth="1" style="105" min="7731" max="7731"/>
    <col width="108.375" bestFit="1" customWidth="1" style="105" min="7732" max="7732"/>
    <col width="104.125" bestFit="1" customWidth="1" style="105" min="7733" max="7733"/>
    <col width="7" bestFit="1" customWidth="1" style="105" min="7734" max="7734"/>
    <col width="7.875" bestFit="1" customWidth="1" style="105" min="7735" max="7735"/>
    <col width="8.5" bestFit="1" customWidth="1" style="105" min="7736" max="7736"/>
    <col width="4.75" bestFit="1" customWidth="1" style="105" min="7737" max="7737"/>
    <col width="37.375" bestFit="1" customWidth="1" style="105" min="7738" max="7738"/>
    <col width="6.875" bestFit="1" customWidth="1" style="105" min="7739" max="7739"/>
    <col width="7.875" bestFit="1" customWidth="1" style="105" min="7740" max="7740"/>
    <col width="7.75" bestFit="1" customWidth="1" style="105" min="7741" max="7741"/>
    <col width="8" bestFit="1" customWidth="1" style="105" min="7742" max="7742"/>
    <col width="4.75" bestFit="1" customWidth="1" style="105" min="7743" max="7743"/>
    <col width="7.875" bestFit="1" customWidth="1" style="105" min="7744" max="7744"/>
    <col width="4" bestFit="1" customWidth="1" style="105" min="7745" max="7756"/>
    <col width="3.75" bestFit="1" customWidth="1" style="105" min="7757" max="7757"/>
    <col width="4" bestFit="1" customWidth="1" style="105" min="7758" max="7758"/>
    <col width="3.625" bestFit="1" customWidth="1" style="105" min="7759" max="7759"/>
    <col width="9.875" bestFit="1" customWidth="1" style="105" min="7760" max="7760"/>
    <col width="5" bestFit="1" customWidth="1" style="105" min="7761" max="7761"/>
    <col width="7.125" bestFit="1" customWidth="1" style="105" min="7762" max="7762"/>
    <col width="9.375" bestFit="1" customWidth="1" style="105" min="7763" max="7763"/>
    <col width="17.5" bestFit="1" customWidth="1" style="105" min="7764" max="7764"/>
    <col width="7.375" bestFit="1" customWidth="1" style="105" min="7765" max="7765"/>
    <col width="5.75" bestFit="1" customWidth="1" style="105" min="7766" max="7766"/>
    <col width="31.25" bestFit="1" customWidth="1" style="105" min="7767" max="7767"/>
    <col width="26" bestFit="1" customWidth="1" style="105" min="7768" max="7768"/>
    <col width="24.375" bestFit="1" customWidth="1" style="105" min="7769" max="7770"/>
    <col width="6.375" bestFit="1" customWidth="1" style="105" min="7771" max="7771"/>
    <col width="9.875" bestFit="1" customWidth="1" style="105" min="7772" max="7773"/>
    <col width="28.875" bestFit="1" customWidth="1" style="105" min="7774" max="7774"/>
    <col width="9.75" bestFit="1" customWidth="1" style="105" min="7775" max="7775"/>
    <col width="12.625" bestFit="1" customWidth="1" style="105" min="7776" max="7776"/>
    <col width="32.375" bestFit="1" customWidth="1" style="105" min="7777" max="7777"/>
    <col width="3.375" bestFit="1" customWidth="1" style="105" min="7778" max="7778"/>
    <col width="8" bestFit="1" customWidth="1" style="105" min="7779" max="7779"/>
    <col width="5.625" bestFit="1" customWidth="1" style="105" min="7780" max="7780"/>
    <col width="7.875" bestFit="1" customWidth="1" style="105" min="7781" max="7781"/>
    <col width="6" bestFit="1" customWidth="1" style="105" min="7782" max="7782"/>
    <col width="11.25" bestFit="1" customWidth="1" style="105" min="7783" max="7783"/>
    <col width="9" customWidth="1" style="105" min="7784" max="7936"/>
    <col width="13.125" bestFit="1" customWidth="1" style="105" min="7937" max="7937"/>
    <col width="10.875" bestFit="1" customWidth="1" style="105" min="7938" max="7938"/>
    <col width="4.625" bestFit="1" customWidth="1" style="105" min="7939" max="7939"/>
    <col width="7" bestFit="1" customWidth="1" style="105" min="7940" max="7940"/>
    <col width="5.125" bestFit="1" customWidth="1" style="105" min="7941" max="7941"/>
    <col width="3.25" bestFit="1" customWidth="1" style="105" min="7942" max="7946"/>
    <col width="3.5" bestFit="1" customWidth="1" style="105" min="7947" max="7947"/>
    <col width="3.375" bestFit="1" customWidth="1" style="105" min="7948" max="7949"/>
    <col width="4.625" bestFit="1" customWidth="1" style="105" min="7950" max="7950"/>
    <col width="4.875" bestFit="1" customWidth="1" style="105" min="7951" max="7951"/>
    <col width="5.25" bestFit="1" customWidth="1" style="105" min="7952" max="7952"/>
    <col width="4.875" bestFit="1" customWidth="1" style="105" min="7953" max="7953"/>
    <col width="7.875" bestFit="1" customWidth="1" style="105" min="7954" max="7954"/>
    <col width="4.375" bestFit="1" customWidth="1" style="105" min="7955" max="7955"/>
    <col width="5.5" bestFit="1" customWidth="1" style="105" min="7956" max="7956"/>
    <col width="5.75" bestFit="1" customWidth="1" style="105" min="7957" max="7957"/>
    <col width="7.875" bestFit="1" customWidth="1" style="105" min="7958" max="7958"/>
    <col width="5.125" bestFit="1" customWidth="1" style="105" min="7959" max="7959"/>
    <col width="4.625" bestFit="1" customWidth="1" style="105" min="7960" max="7960"/>
    <col width="7.875" bestFit="1" customWidth="1" style="105" min="7961" max="7961"/>
    <col width="6.125" bestFit="1" customWidth="1" style="105" min="7962" max="7962"/>
    <col width="32.375" bestFit="1" customWidth="1" style="105" min="7963" max="7963"/>
    <col width="32.875" bestFit="1" customWidth="1" style="105" min="7964" max="7964"/>
    <col width="8.625" bestFit="1" customWidth="1" style="105" min="7965" max="7965"/>
    <col width="9.375" bestFit="1" customWidth="1" style="105" min="7966" max="7966"/>
    <col width="9.25" bestFit="1" customWidth="1" style="105" min="7967" max="7967"/>
    <col width="2.5" bestFit="1" customWidth="1" style="105" min="7968" max="7968"/>
    <col width="3.25" bestFit="1" customWidth="1" style="105" min="7969" max="7969"/>
    <col width="3.375" bestFit="1" customWidth="1" style="105" min="7970" max="7971"/>
    <col width="6.25" bestFit="1" customWidth="1" style="105" min="7972" max="7972"/>
    <col width="8.25" bestFit="1" customWidth="1" style="105" min="7973" max="7973"/>
    <col width="6.875" bestFit="1" customWidth="1" style="105" min="7974" max="7974"/>
    <col width="6.375" bestFit="1" customWidth="1" style="105" min="7975" max="7975"/>
    <col width="19.625" bestFit="1" customWidth="1" style="105" min="7976" max="7976"/>
    <col width="34.5" bestFit="1" customWidth="1" style="105" min="7977" max="7977"/>
    <col width="6.25" bestFit="1" customWidth="1" style="105" min="7978" max="7978"/>
    <col width="7.125" bestFit="1" customWidth="1" style="105" min="7979" max="7979"/>
    <col width="5.875" bestFit="1" customWidth="1" style="105" min="7980" max="7980"/>
    <col width="29.625" bestFit="1" customWidth="1" style="105" min="7981" max="7981"/>
    <col width="5.875" bestFit="1" customWidth="1" style="105" min="7982" max="7982"/>
    <col width="3.75" bestFit="1" customWidth="1" style="105" min="7983" max="7983"/>
    <col width="6.25" bestFit="1" customWidth="1" style="105" min="7984" max="7984"/>
    <col width="6.875" bestFit="1" customWidth="1" style="105" min="7985" max="7985"/>
    <col width="6.75" bestFit="1" customWidth="1" style="105" min="7986" max="7986"/>
    <col width="5.875" bestFit="1" customWidth="1" style="105" min="7987" max="7987"/>
    <col width="108.375" bestFit="1" customWidth="1" style="105" min="7988" max="7988"/>
    <col width="104.125" bestFit="1" customWidth="1" style="105" min="7989" max="7989"/>
    <col width="7" bestFit="1" customWidth="1" style="105" min="7990" max="7990"/>
    <col width="7.875" bestFit="1" customWidth="1" style="105" min="7991" max="7991"/>
    <col width="8.5" bestFit="1" customWidth="1" style="105" min="7992" max="7992"/>
    <col width="4.75" bestFit="1" customWidth="1" style="105" min="7993" max="7993"/>
    <col width="37.375" bestFit="1" customWidth="1" style="105" min="7994" max="7994"/>
    <col width="6.875" bestFit="1" customWidth="1" style="105" min="7995" max="7995"/>
    <col width="7.875" bestFit="1" customWidth="1" style="105" min="7996" max="7996"/>
    <col width="7.75" bestFit="1" customWidth="1" style="105" min="7997" max="7997"/>
    <col width="8" bestFit="1" customWidth="1" style="105" min="7998" max="7998"/>
    <col width="4.75" bestFit="1" customWidth="1" style="105" min="7999" max="7999"/>
    <col width="7.875" bestFit="1" customWidth="1" style="105" min="8000" max="8000"/>
    <col width="4" bestFit="1" customWidth="1" style="105" min="8001" max="8012"/>
    <col width="3.75" bestFit="1" customWidth="1" style="105" min="8013" max="8013"/>
    <col width="4" bestFit="1" customWidth="1" style="105" min="8014" max="8014"/>
    <col width="3.625" bestFit="1" customWidth="1" style="105" min="8015" max="8015"/>
    <col width="9.875" bestFit="1" customWidth="1" style="105" min="8016" max="8016"/>
    <col width="5" bestFit="1" customWidth="1" style="105" min="8017" max="8017"/>
    <col width="7.125" bestFit="1" customWidth="1" style="105" min="8018" max="8018"/>
    <col width="9.375" bestFit="1" customWidth="1" style="105" min="8019" max="8019"/>
    <col width="17.5" bestFit="1" customWidth="1" style="105" min="8020" max="8020"/>
    <col width="7.375" bestFit="1" customWidth="1" style="105" min="8021" max="8021"/>
    <col width="5.75" bestFit="1" customWidth="1" style="105" min="8022" max="8022"/>
    <col width="31.25" bestFit="1" customWidth="1" style="105" min="8023" max="8023"/>
    <col width="26" bestFit="1" customWidth="1" style="105" min="8024" max="8024"/>
    <col width="24.375" bestFit="1" customWidth="1" style="105" min="8025" max="8026"/>
    <col width="6.375" bestFit="1" customWidth="1" style="105" min="8027" max="8027"/>
    <col width="9.875" bestFit="1" customWidth="1" style="105" min="8028" max="8029"/>
    <col width="28.875" bestFit="1" customWidth="1" style="105" min="8030" max="8030"/>
    <col width="9.75" bestFit="1" customWidth="1" style="105" min="8031" max="8031"/>
    <col width="12.625" bestFit="1" customWidth="1" style="105" min="8032" max="8032"/>
    <col width="32.375" bestFit="1" customWidth="1" style="105" min="8033" max="8033"/>
    <col width="3.375" bestFit="1" customWidth="1" style="105" min="8034" max="8034"/>
    <col width="8" bestFit="1" customWidth="1" style="105" min="8035" max="8035"/>
    <col width="5.625" bestFit="1" customWidth="1" style="105" min="8036" max="8036"/>
    <col width="7.875" bestFit="1" customWidth="1" style="105" min="8037" max="8037"/>
    <col width="6" bestFit="1" customWidth="1" style="105" min="8038" max="8038"/>
    <col width="11.25" bestFit="1" customWidth="1" style="105" min="8039" max="8039"/>
    <col width="9" customWidth="1" style="105" min="8040" max="8192"/>
    <col width="13.125" bestFit="1" customWidth="1" style="105" min="8193" max="8193"/>
    <col width="10.875" bestFit="1" customWidth="1" style="105" min="8194" max="8194"/>
    <col width="4.625" bestFit="1" customWidth="1" style="105" min="8195" max="8195"/>
    <col width="7" bestFit="1" customWidth="1" style="105" min="8196" max="8196"/>
    <col width="5.125" bestFit="1" customWidth="1" style="105" min="8197" max="8197"/>
    <col width="3.25" bestFit="1" customWidth="1" style="105" min="8198" max="8202"/>
    <col width="3.5" bestFit="1" customWidth="1" style="105" min="8203" max="8203"/>
    <col width="3.375" bestFit="1" customWidth="1" style="105" min="8204" max="8205"/>
    <col width="4.625" bestFit="1" customWidth="1" style="105" min="8206" max="8206"/>
    <col width="4.875" bestFit="1" customWidth="1" style="105" min="8207" max="8207"/>
    <col width="5.25" bestFit="1" customWidth="1" style="105" min="8208" max="8208"/>
    <col width="4.875" bestFit="1" customWidth="1" style="105" min="8209" max="8209"/>
    <col width="7.875" bestFit="1" customWidth="1" style="105" min="8210" max="8210"/>
    <col width="4.375" bestFit="1" customWidth="1" style="105" min="8211" max="8211"/>
    <col width="5.5" bestFit="1" customWidth="1" style="105" min="8212" max="8212"/>
    <col width="5.75" bestFit="1" customWidth="1" style="105" min="8213" max="8213"/>
    <col width="7.875" bestFit="1" customWidth="1" style="105" min="8214" max="8214"/>
    <col width="5.125" bestFit="1" customWidth="1" style="105" min="8215" max="8215"/>
    <col width="4.625" bestFit="1" customWidth="1" style="105" min="8216" max="8216"/>
    <col width="7.875" bestFit="1" customWidth="1" style="105" min="8217" max="8217"/>
    <col width="6.125" bestFit="1" customWidth="1" style="105" min="8218" max="8218"/>
    <col width="32.375" bestFit="1" customWidth="1" style="105" min="8219" max="8219"/>
    <col width="32.875" bestFit="1" customWidth="1" style="105" min="8220" max="8220"/>
    <col width="8.625" bestFit="1" customWidth="1" style="105" min="8221" max="8221"/>
    <col width="9.375" bestFit="1" customWidth="1" style="105" min="8222" max="8222"/>
    <col width="9.25" bestFit="1" customWidth="1" style="105" min="8223" max="8223"/>
    <col width="2.5" bestFit="1" customWidth="1" style="105" min="8224" max="8224"/>
    <col width="3.25" bestFit="1" customWidth="1" style="105" min="8225" max="8225"/>
    <col width="3.375" bestFit="1" customWidth="1" style="105" min="8226" max="8227"/>
    <col width="6.25" bestFit="1" customWidth="1" style="105" min="8228" max="8228"/>
    <col width="8.25" bestFit="1" customWidth="1" style="105" min="8229" max="8229"/>
    <col width="6.875" bestFit="1" customWidth="1" style="105" min="8230" max="8230"/>
    <col width="6.375" bestFit="1" customWidth="1" style="105" min="8231" max="8231"/>
    <col width="19.625" bestFit="1" customWidth="1" style="105" min="8232" max="8232"/>
    <col width="34.5" bestFit="1" customWidth="1" style="105" min="8233" max="8233"/>
    <col width="6.25" bestFit="1" customWidth="1" style="105" min="8234" max="8234"/>
    <col width="7.125" bestFit="1" customWidth="1" style="105" min="8235" max="8235"/>
    <col width="5.875" bestFit="1" customWidth="1" style="105" min="8236" max="8236"/>
    <col width="29.625" bestFit="1" customWidth="1" style="105" min="8237" max="8237"/>
    <col width="5.875" bestFit="1" customWidth="1" style="105" min="8238" max="8238"/>
    <col width="3.75" bestFit="1" customWidth="1" style="105" min="8239" max="8239"/>
    <col width="6.25" bestFit="1" customWidth="1" style="105" min="8240" max="8240"/>
    <col width="6.875" bestFit="1" customWidth="1" style="105" min="8241" max="8241"/>
    <col width="6.75" bestFit="1" customWidth="1" style="105" min="8242" max="8242"/>
    <col width="5.875" bestFit="1" customWidth="1" style="105" min="8243" max="8243"/>
    <col width="108.375" bestFit="1" customWidth="1" style="105" min="8244" max="8244"/>
    <col width="104.125" bestFit="1" customWidth="1" style="105" min="8245" max="8245"/>
    <col width="7" bestFit="1" customWidth="1" style="105" min="8246" max="8246"/>
    <col width="7.875" bestFit="1" customWidth="1" style="105" min="8247" max="8247"/>
    <col width="8.5" bestFit="1" customWidth="1" style="105" min="8248" max="8248"/>
    <col width="4.75" bestFit="1" customWidth="1" style="105" min="8249" max="8249"/>
    <col width="37.375" bestFit="1" customWidth="1" style="105" min="8250" max="8250"/>
    <col width="6.875" bestFit="1" customWidth="1" style="105" min="8251" max="8251"/>
    <col width="7.875" bestFit="1" customWidth="1" style="105" min="8252" max="8252"/>
    <col width="7.75" bestFit="1" customWidth="1" style="105" min="8253" max="8253"/>
    <col width="8" bestFit="1" customWidth="1" style="105" min="8254" max="8254"/>
    <col width="4.75" bestFit="1" customWidth="1" style="105" min="8255" max="8255"/>
    <col width="7.875" bestFit="1" customWidth="1" style="105" min="8256" max="8256"/>
    <col width="4" bestFit="1" customWidth="1" style="105" min="8257" max="8268"/>
    <col width="3.75" bestFit="1" customWidth="1" style="105" min="8269" max="8269"/>
    <col width="4" bestFit="1" customWidth="1" style="105" min="8270" max="8270"/>
    <col width="3.625" bestFit="1" customWidth="1" style="105" min="8271" max="8271"/>
    <col width="9.875" bestFit="1" customWidth="1" style="105" min="8272" max="8272"/>
    <col width="5" bestFit="1" customWidth="1" style="105" min="8273" max="8273"/>
    <col width="7.125" bestFit="1" customWidth="1" style="105" min="8274" max="8274"/>
    <col width="9.375" bestFit="1" customWidth="1" style="105" min="8275" max="8275"/>
    <col width="17.5" bestFit="1" customWidth="1" style="105" min="8276" max="8276"/>
    <col width="7.375" bestFit="1" customWidth="1" style="105" min="8277" max="8277"/>
    <col width="5.75" bestFit="1" customWidth="1" style="105" min="8278" max="8278"/>
    <col width="31.25" bestFit="1" customWidth="1" style="105" min="8279" max="8279"/>
    <col width="26" bestFit="1" customWidth="1" style="105" min="8280" max="8280"/>
    <col width="24.375" bestFit="1" customWidth="1" style="105" min="8281" max="8282"/>
    <col width="6.375" bestFit="1" customWidth="1" style="105" min="8283" max="8283"/>
    <col width="9.875" bestFit="1" customWidth="1" style="105" min="8284" max="8285"/>
    <col width="28.875" bestFit="1" customWidth="1" style="105" min="8286" max="8286"/>
    <col width="9.75" bestFit="1" customWidth="1" style="105" min="8287" max="8287"/>
    <col width="12.625" bestFit="1" customWidth="1" style="105" min="8288" max="8288"/>
    <col width="32.375" bestFit="1" customWidth="1" style="105" min="8289" max="8289"/>
    <col width="3.375" bestFit="1" customWidth="1" style="105" min="8290" max="8290"/>
    <col width="8" bestFit="1" customWidth="1" style="105" min="8291" max="8291"/>
    <col width="5.625" bestFit="1" customWidth="1" style="105" min="8292" max="8292"/>
    <col width="7.875" bestFit="1" customWidth="1" style="105" min="8293" max="8293"/>
    <col width="6" bestFit="1" customWidth="1" style="105" min="8294" max="8294"/>
    <col width="11.25" bestFit="1" customWidth="1" style="105" min="8295" max="8295"/>
    <col width="9" customWidth="1" style="105" min="8296" max="8448"/>
    <col width="13.125" bestFit="1" customWidth="1" style="105" min="8449" max="8449"/>
    <col width="10.875" bestFit="1" customWidth="1" style="105" min="8450" max="8450"/>
    <col width="4.625" bestFit="1" customWidth="1" style="105" min="8451" max="8451"/>
    <col width="7" bestFit="1" customWidth="1" style="105" min="8452" max="8452"/>
    <col width="5.125" bestFit="1" customWidth="1" style="105" min="8453" max="8453"/>
    <col width="3.25" bestFit="1" customWidth="1" style="105" min="8454" max="8458"/>
    <col width="3.5" bestFit="1" customWidth="1" style="105" min="8459" max="8459"/>
    <col width="3.375" bestFit="1" customWidth="1" style="105" min="8460" max="8461"/>
    <col width="4.625" bestFit="1" customWidth="1" style="105" min="8462" max="8462"/>
    <col width="4.875" bestFit="1" customWidth="1" style="105" min="8463" max="8463"/>
    <col width="5.25" bestFit="1" customWidth="1" style="105" min="8464" max="8464"/>
    <col width="4.875" bestFit="1" customWidth="1" style="105" min="8465" max="8465"/>
    <col width="7.875" bestFit="1" customWidth="1" style="105" min="8466" max="8466"/>
    <col width="4.375" bestFit="1" customWidth="1" style="105" min="8467" max="8467"/>
    <col width="5.5" bestFit="1" customWidth="1" style="105" min="8468" max="8468"/>
    <col width="5.75" bestFit="1" customWidth="1" style="105" min="8469" max="8469"/>
    <col width="7.875" bestFit="1" customWidth="1" style="105" min="8470" max="8470"/>
    <col width="5.125" bestFit="1" customWidth="1" style="105" min="8471" max="8471"/>
    <col width="4.625" bestFit="1" customWidth="1" style="105" min="8472" max="8472"/>
    <col width="7.875" bestFit="1" customWidth="1" style="105" min="8473" max="8473"/>
    <col width="6.125" bestFit="1" customWidth="1" style="105" min="8474" max="8474"/>
    <col width="32.375" bestFit="1" customWidth="1" style="105" min="8475" max="8475"/>
    <col width="32.875" bestFit="1" customWidth="1" style="105" min="8476" max="8476"/>
    <col width="8.625" bestFit="1" customWidth="1" style="105" min="8477" max="8477"/>
    <col width="9.375" bestFit="1" customWidth="1" style="105" min="8478" max="8478"/>
    <col width="9.25" bestFit="1" customWidth="1" style="105" min="8479" max="8479"/>
    <col width="2.5" bestFit="1" customWidth="1" style="105" min="8480" max="8480"/>
    <col width="3.25" bestFit="1" customWidth="1" style="105" min="8481" max="8481"/>
    <col width="3.375" bestFit="1" customWidth="1" style="105" min="8482" max="8483"/>
    <col width="6.25" bestFit="1" customWidth="1" style="105" min="8484" max="8484"/>
    <col width="8.25" bestFit="1" customWidth="1" style="105" min="8485" max="8485"/>
    <col width="6.875" bestFit="1" customWidth="1" style="105" min="8486" max="8486"/>
    <col width="6.375" bestFit="1" customWidth="1" style="105" min="8487" max="8487"/>
    <col width="19.625" bestFit="1" customWidth="1" style="105" min="8488" max="8488"/>
    <col width="34.5" bestFit="1" customWidth="1" style="105" min="8489" max="8489"/>
    <col width="6.25" bestFit="1" customWidth="1" style="105" min="8490" max="8490"/>
    <col width="7.125" bestFit="1" customWidth="1" style="105" min="8491" max="8491"/>
    <col width="5.875" bestFit="1" customWidth="1" style="105" min="8492" max="8492"/>
    <col width="29.625" bestFit="1" customWidth="1" style="105" min="8493" max="8493"/>
    <col width="5.875" bestFit="1" customWidth="1" style="105" min="8494" max="8494"/>
    <col width="3.75" bestFit="1" customWidth="1" style="105" min="8495" max="8495"/>
    <col width="6.25" bestFit="1" customWidth="1" style="105" min="8496" max="8496"/>
    <col width="6.875" bestFit="1" customWidth="1" style="105" min="8497" max="8497"/>
    <col width="6.75" bestFit="1" customWidth="1" style="105" min="8498" max="8498"/>
    <col width="5.875" bestFit="1" customWidth="1" style="105" min="8499" max="8499"/>
    <col width="108.375" bestFit="1" customWidth="1" style="105" min="8500" max="8500"/>
    <col width="104.125" bestFit="1" customWidth="1" style="105" min="8501" max="8501"/>
    <col width="7" bestFit="1" customWidth="1" style="105" min="8502" max="8502"/>
    <col width="7.875" bestFit="1" customWidth="1" style="105" min="8503" max="8503"/>
    <col width="8.5" bestFit="1" customWidth="1" style="105" min="8504" max="8504"/>
    <col width="4.75" bestFit="1" customWidth="1" style="105" min="8505" max="8505"/>
    <col width="37.375" bestFit="1" customWidth="1" style="105" min="8506" max="8506"/>
    <col width="6.875" bestFit="1" customWidth="1" style="105" min="8507" max="8507"/>
    <col width="7.875" bestFit="1" customWidth="1" style="105" min="8508" max="8508"/>
    <col width="7.75" bestFit="1" customWidth="1" style="105" min="8509" max="8509"/>
    <col width="8" bestFit="1" customWidth="1" style="105" min="8510" max="8510"/>
    <col width="4.75" bestFit="1" customWidth="1" style="105" min="8511" max="8511"/>
    <col width="7.875" bestFit="1" customWidth="1" style="105" min="8512" max="8512"/>
    <col width="4" bestFit="1" customWidth="1" style="105" min="8513" max="8524"/>
    <col width="3.75" bestFit="1" customWidth="1" style="105" min="8525" max="8525"/>
    <col width="4" bestFit="1" customWidth="1" style="105" min="8526" max="8526"/>
    <col width="3.625" bestFit="1" customWidth="1" style="105" min="8527" max="8527"/>
    <col width="9.875" bestFit="1" customWidth="1" style="105" min="8528" max="8528"/>
    <col width="5" bestFit="1" customWidth="1" style="105" min="8529" max="8529"/>
    <col width="7.125" bestFit="1" customWidth="1" style="105" min="8530" max="8530"/>
    <col width="9.375" bestFit="1" customWidth="1" style="105" min="8531" max="8531"/>
    <col width="17.5" bestFit="1" customWidth="1" style="105" min="8532" max="8532"/>
    <col width="7.375" bestFit="1" customWidth="1" style="105" min="8533" max="8533"/>
    <col width="5.75" bestFit="1" customWidth="1" style="105" min="8534" max="8534"/>
    <col width="31.25" bestFit="1" customWidth="1" style="105" min="8535" max="8535"/>
    <col width="26" bestFit="1" customWidth="1" style="105" min="8536" max="8536"/>
    <col width="24.375" bestFit="1" customWidth="1" style="105" min="8537" max="8538"/>
    <col width="6.375" bestFit="1" customWidth="1" style="105" min="8539" max="8539"/>
    <col width="9.875" bestFit="1" customWidth="1" style="105" min="8540" max="8541"/>
    <col width="28.875" bestFit="1" customWidth="1" style="105" min="8542" max="8542"/>
    <col width="9.75" bestFit="1" customWidth="1" style="105" min="8543" max="8543"/>
    <col width="12.625" bestFit="1" customWidth="1" style="105" min="8544" max="8544"/>
    <col width="32.375" bestFit="1" customWidth="1" style="105" min="8545" max="8545"/>
    <col width="3.375" bestFit="1" customWidth="1" style="105" min="8546" max="8546"/>
    <col width="8" bestFit="1" customWidth="1" style="105" min="8547" max="8547"/>
    <col width="5.625" bestFit="1" customWidth="1" style="105" min="8548" max="8548"/>
    <col width="7.875" bestFit="1" customWidth="1" style="105" min="8549" max="8549"/>
    <col width="6" bestFit="1" customWidth="1" style="105" min="8550" max="8550"/>
    <col width="11.25" bestFit="1" customWidth="1" style="105" min="8551" max="8551"/>
    <col width="9" customWidth="1" style="105" min="8552" max="8704"/>
    <col width="13.125" bestFit="1" customWidth="1" style="105" min="8705" max="8705"/>
    <col width="10.875" bestFit="1" customWidth="1" style="105" min="8706" max="8706"/>
    <col width="4.625" bestFit="1" customWidth="1" style="105" min="8707" max="8707"/>
    <col width="7" bestFit="1" customWidth="1" style="105" min="8708" max="8708"/>
    <col width="5.125" bestFit="1" customWidth="1" style="105" min="8709" max="8709"/>
    <col width="3.25" bestFit="1" customWidth="1" style="105" min="8710" max="8714"/>
    <col width="3.5" bestFit="1" customWidth="1" style="105" min="8715" max="8715"/>
    <col width="3.375" bestFit="1" customWidth="1" style="105" min="8716" max="8717"/>
    <col width="4.625" bestFit="1" customWidth="1" style="105" min="8718" max="8718"/>
    <col width="4.875" bestFit="1" customWidth="1" style="105" min="8719" max="8719"/>
    <col width="5.25" bestFit="1" customWidth="1" style="105" min="8720" max="8720"/>
    <col width="4.875" bestFit="1" customWidth="1" style="105" min="8721" max="8721"/>
    <col width="7.875" bestFit="1" customWidth="1" style="105" min="8722" max="8722"/>
    <col width="4.375" bestFit="1" customWidth="1" style="105" min="8723" max="8723"/>
    <col width="5.5" bestFit="1" customWidth="1" style="105" min="8724" max="8724"/>
    <col width="5.75" bestFit="1" customWidth="1" style="105" min="8725" max="8725"/>
    <col width="7.875" bestFit="1" customWidth="1" style="105" min="8726" max="8726"/>
    <col width="5.125" bestFit="1" customWidth="1" style="105" min="8727" max="8727"/>
    <col width="4.625" bestFit="1" customWidth="1" style="105" min="8728" max="8728"/>
    <col width="7.875" bestFit="1" customWidth="1" style="105" min="8729" max="8729"/>
    <col width="6.125" bestFit="1" customWidth="1" style="105" min="8730" max="8730"/>
    <col width="32.375" bestFit="1" customWidth="1" style="105" min="8731" max="8731"/>
    <col width="32.875" bestFit="1" customWidth="1" style="105" min="8732" max="8732"/>
    <col width="8.625" bestFit="1" customWidth="1" style="105" min="8733" max="8733"/>
    <col width="9.375" bestFit="1" customWidth="1" style="105" min="8734" max="8734"/>
    <col width="9.25" bestFit="1" customWidth="1" style="105" min="8735" max="8735"/>
    <col width="2.5" bestFit="1" customWidth="1" style="105" min="8736" max="8736"/>
    <col width="3.25" bestFit="1" customWidth="1" style="105" min="8737" max="8737"/>
    <col width="3.375" bestFit="1" customWidth="1" style="105" min="8738" max="8739"/>
    <col width="6.25" bestFit="1" customWidth="1" style="105" min="8740" max="8740"/>
    <col width="8.25" bestFit="1" customWidth="1" style="105" min="8741" max="8741"/>
    <col width="6.875" bestFit="1" customWidth="1" style="105" min="8742" max="8742"/>
    <col width="6.375" bestFit="1" customWidth="1" style="105" min="8743" max="8743"/>
    <col width="19.625" bestFit="1" customWidth="1" style="105" min="8744" max="8744"/>
    <col width="34.5" bestFit="1" customWidth="1" style="105" min="8745" max="8745"/>
    <col width="6.25" bestFit="1" customWidth="1" style="105" min="8746" max="8746"/>
    <col width="7.125" bestFit="1" customWidth="1" style="105" min="8747" max="8747"/>
    <col width="5.875" bestFit="1" customWidth="1" style="105" min="8748" max="8748"/>
    <col width="29.625" bestFit="1" customWidth="1" style="105" min="8749" max="8749"/>
    <col width="5.875" bestFit="1" customWidth="1" style="105" min="8750" max="8750"/>
    <col width="3.75" bestFit="1" customWidth="1" style="105" min="8751" max="8751"/>
    <col width="6.25" bestFit="1" customWidth="1" style="105" min="8752" max="8752"/>
    <col width="6.875" bestFit="1" customWidth="1" style="105" min="8753" max="8753"/>
    <col width="6.75" bestFit="1" customWidth="1" style="105" min="8754" max="8754"/>
    <col width="5.875" bestFit="1" customWidth="1" style="105" min="8755" max="8755"/>
    <col width="108.375" bestFit="1" customWidth="1" style="105" min="8756" max="8756"/>
    <col width="104.125" bestFit="1" customWidth="1" style="105" min="8757" max="8757"/>
    <col width="7" bestFit="1" customWidth="1" style="105" min="8758" max="8758"/>
    <col width="7.875" bestFit="1" customWidth="1" style="105" min="8759" max="8759"/>
    <col width="8.5" bestFit="1" customWidth="1" style="105" min="8760" max="8760"/>
    <col width="4.75" bestFit="1" customWidth="1" style="105" min="8761" max="8761"/>
    <col width="37.375" bestFit="1" customWidth="1" style="105" min="8762" max="8762"/>
    <col width="6.875" bestFit="1" customWidth="1" style="105" min="8763" max="8763"/>
    <col width="7.875" bestFit="1" customWidth="1" style="105" min="8764" max="8764"/>
    <col width="7.75" bestFit="1" customWidth="1" style="105" min="8765" max="8765"/>
    <col width="8" bestFit="1" customWidth="1" style="105" min="8766" max="8766"/>
    <col width="4.75" bestFit="1" customWidth="1" style="105" min="8767" max="8767"/>
    <col width="7.875" bestFit="1" customWidth="1" style="105" min="8768" max="8768"/>
    <col width="4" bestFit="1" customWidth="1" style="105" min="8769" max="8780"/>
    <col width="3.75" bestFit="1" customWidth="1" style="105" min="8781" max="8781"/>
    <col width="4" bestFit="1" customWidth="1" style="105" min="8782" max="8782"/>
    <col width="3.625" bestFit="1" customWidth="1" style="105" min="8783" max="8783"/>
    <col width="9.875" bestFit="1" customWidth="1" style="105" min="8784" max="8784"/>
    <col width="5" bestFit="1" customWidth="1" style="105" min="8785" max="8785"/>
    <col width="7.125" bestFit="1" customWidth="1" style="105" min="8786" max="8786"/>
    <col width="9.375" bestFit="1" customWidth="1" style="105" min="8787" max="8787"/>
    <col width="17.5" bestFit="1" customWidth="1" style="105" min="8788" max="8788"/>
    <col width="7.375" bestFit="1" customWidth="1" style="105" min="8789" max="8789"/>
    <col width="5.75" bestFit="1" customWidth="1" style="105" min="8790" max="8790"/>
    <col width="31.25" bestFit="1" customWidth="1" style="105" min="8791" max="8791"/>
    <col width="26" bestFit="1" customWidth="1" style="105" min="8792" max="8792"/>
    <col width="24.375" bestFit="1" customWidth="1" style="105" min="8793" max="8794"/>
    <col width="6.375" bestFit="1" customWidth="1" style="105" min="8795" max="8795"/>
    <col width="9.875" bestFit="1" customWidth="1" style="105" min="8796" max="8797"/>
    <col width="28.875" bestFit="1" customWidth="1" style="105" min="8798" max="8798"/>
    <col width="9.75" bestFit="1" customWidth="1" style="105" min="8799" max="8799"/>
    <col width="12.625" bestFit="1" customWidth="1" style="105" min="8800" max="8800"/>
    <col width="32.375" bestFit="1" customWidth="1" style="105" min="8801" max="8801"/>
    <col width="3.375" bestFit="1" customWidth="1" style="105" min="8802" max="8802"/>
    <col width="8" bestFit="1" customWidth="1" style="105" min="8803" max="8803"/>
    <col width="5.625" bestFit="1" customWidth="1" style="105" min="8804" max="8804"/>
    <col width="7.875" bestFit="1" customWidth="1" style="105" min="8805" max="8805"/>
    <col width="6" bestFit="1" customWidth="1" style="105" min="8806" max="8806"/>
    <col width="11.25" bestFit="1" customWidth="1" style="105" min="8807" max="8807"/>
    <col width="9" customWidth="1" style="105" min="8808" max="8960"/>
    <col width="13.125" bestFit="1" customWidth="1" style="105" min="8961" max="8961"/>
    <col width="10.875" bestFit="1" customWidth="1" style="105" min="8962" max="8962"/>
    <col width="4.625" bestFit="1" customWidth="1" style="105" min="8963" max="8963"/>
    <col width="7" bestFit="1" customWidth="1" style="105" min="8964" max="8964"/>
    <col width="5.125" bestFit="1" customWidth="1" style="105" min="8965" max="8965"/>
    <col width="3.25" bestFit="1" customWidth="1" style="105" min="8966" max="8970"/>
    <col width="3.5" bestFit="1" customWidth="1" style="105" min="8971" max="8971"/>
    <col width="3.375" bestFit="1" customWidth="1" style="105" min="8972" max="8973"/>
    <col width="4.625" bestFit="1" customWidth="1" style="105" min="8974" max="8974"/>
    <col width="4.875" bestFit="1" customWidth="1" style="105" min="8975" max="8975"/>
    <col width="5.25" bestFit="1" customWidth="1" style="105" min="8976" max="8976"/>
    <col width="4.875" bestFit="1" customWidth="1" style="105" min="8977" max="8977"/>
    <col width="7.875" bestFit="1" customWidth="1" style="105" min="8978" max="8978"/>
    <col width="4.375" bestFit="1" customWidth="1" style="105" min="8979" max="8979"/>
    <col width="5.5" bestFit="1" customWidth="1" style="105" min="8980" max="8980"/>
    <col width="5.75" bestFit="1" customWidth="1" style="105" min="8981" max="8981"/>
    <col width="7.875" bestFit="1" customWidth="1" style="105" min="8982" max="8982"/>
    <col width="5.125" bestFit="1" customWidth="1" style="105" min="8983" max="8983"/>
    <col width="4.625" bestFit="1" customWidth="1" style="105" min="8984" max="8984"/>
    <col width="7.875" bestFit="1" customWidth="1" style="105" min="8985" max="8985"/>
    <col width="6.125" bestFit="1" customWidth="1" style="105" min="8986" max="8986"/>
    <col width="32.375" bestFit="1" customWidth="1" style="105" min="8987" max="8987"/>
    <col width="32.875" bestFit="1" customWidth="1" style="105" min="8988" max="8988"/>
    <col width="8.625" bestFit="1" customWidth="1" style="105" min="8989" max="8989"/>
    <col width="9.375" bestFit="1" customWidth="1" style="105" min="8990" max="8990"/>
    <col width="9.25" bestFit="1" customWidth="1" style="105" min="8991" max="8991"/>
    <col width="2.5" bestFit="1" customWidth="1" style="105" min="8992" max="8992"/>
    <col width="3.25" bestFit="1" customWidth="1" style="105" min="8993" max="8993"/>
    <col width="3.375" bestFit="1" customWidth="1" style="105" min="8994" max="8995"/>
    <col width="6.25" bestFit="1" customWidth="1" style="105" min="8996" max="8996"/>
    <col width="8.25" bestFit="1" customWidth="1" style="105" min="8997" max="8997"/>
    <col width="6.875" bestFit="1" customWidth="1" style="105" min="8998" max="8998"/>
    <col width="6.375" bestFit="1" customWidth="1" style="105" min="8999" max="8999"/>
    <col width="19.625" bestFit="1" customWidth="1" style="105" min="9000" max="9000"/>
    <col width="34.5" bestFit="1" customWidth="1" style="105" min="9001" max="9001"/>
    <col width="6.25" bestFit="1" customWidth="1" style="105" min="9002" max="9002"/>
    <col width="7.125" bestFit="1" customWidth="1" style="105" min="9003" max="9003"/>
    <col width="5.875" bestFit="1" customWidth="1" style="105" min="9004" max="9004"/>
    <col width="29.625" bestFit="1" customWidth="1" style="105" min="9005" max="9005"/>
    <col width="5.875" bestFit="1" customWidth="1" style="105" min="9006" max="9006"/>
    <col width="3.75" bestFit="1" customWidth="1" style="105" min="9007" max="9007"/>
    <col width="6.25" bestFit="1" customWidth="1" style="105" min="9008" max="9008"/>
    <col width="6.875" bestFit="1" customWidth="1" style="105" min="9009" max="9009"/>
    <col width="6.75" bestFit="1" customWidth="1" style="105" min="9010" max="9010"/>
    <col width="5.875" bestFit="1" customWidth="1" style="105" min="9011" max="9011"/>
    <col width="108.375" bestFit="1" customWidth="1" style="105" min="9012" max="9012"/>
    <col width="104.125" bestFit="1" customWidth="1" style="105" min="9013" max="9013"/>
    <col width="7" bestFit="1" customWidth="1" style="105" min="9014" max="9014"/>
    <col width="7.875" bestFit="1" customWidth="1" style="105" min="9015" max="9015"/>
    <col width="8.5" bestFit="1" customWidth="1" style="105" min="9016" max="9016"/>
    <col width="4.75" bestFit="1" customWidth="1" style="105" min="9017" max="9017"/>
    <col width="37.375" bestFit="1" customWidth="1" style="105" min="9018" max="9018"/>
    <col width="6.875" bestFit="1" customWidth="1" style="105" min="9019" max="9019"/>
    <col width="7.875" bestFit="1" customWidth="1" style="105" min="9020" max="9020"/>
    <col width="7.75" bestFit="1" customWidth="1" style="105" min="9021" max="9021"/>
    <col width="8" bestFit="1" customWidth="1" style="105" min="9022" max="9022"/>
    <col width="4.75" bestFit="1" customWidth="1" style="105" min="9023" max="9023"/>
    <col width="7.875" bestFit="1" customWidth="1" style="105" min="9024" max="9024"/>
    <col width="4" bestFit="1" customWidth="1" style="105" min="9025" max="9036"/>
    <col width="3.75" bestFit="1" customWidth="1" style="105" min="9037" max="9037"/>
    <col width="4" bestFit="1" customWidth="1" style="105" min="9038" max="9038"/>
    <col width="3.625" bestFit="1" customWidth="1" style="105" min="9039" max="9039"/>
    <col width="9.875" bestFit="1" customWidth="1" style="105" min="9040" max="9040"/>
    <col width="5" bestFit="1" customWidth="1" style="105" min="9041" max="9041"/>
    <col width="7.125" bestFit="1" customWidth="1" style="105" min="9042" max="9042"/>
    <col width="9.375" bestFit="1" customWidth="1" style="105" min="9043" max="9043"/>
    <col width="17.5" bestFit="1" customWidth="1" style="105" min="9044" max="9044"/>
    <col width="7.375" bestFit="1" customWidth="1" style="105" min="9045" max="9045"/>
    <col width="5.75" bestFit="1" customWidth="1" style="105" min="9046" max="9046"/>
    <col width="31.25" bestFit="1" customWidth="1" style="105" min="9047" max="9047"/>
    <col width="26" bestFit="1" customWidth="1" style="105" min="9048" max="9048"/>
    <col width="24.375" bestFit="1" customWidth="1" style="105" min="9049" max="9050"/>
    <col width="6.375" bestFit="1" customWidth="1" style="105" min="9051" max="9051"/>
    <col width="9.875" bestFit="1" customWidth="1" style="105" min="9052" max="9053"/>
    <col width="28.875" bestFit="1" customWidth="1" style="105" min="9054" max="9054"/>
    <col width="9.75" bestFit="1" customWidth="1" style="105" min="9055" max="9055"/>
    <col width="12.625" bestFit="1" customWidth="1" style="105" min="9056" max="9056"/>
    <col width="32.375" bestFit="1" customWidth="1" style="105" min="9057" max="9057"/>
    <col width="3.375" bestFit="1" customWidth="1" style="105" min="9058" max="9058"/>
    <col width="8" bestFit="1" customWidth="1" style="105" min="9059" max="9059"/>
    <col width="5.625" bestFit="1" customWidth="1" style="105" min="9060" max="9060"/>
    <col width="7.875" bestFit="1" customWidth="1" style="105" min="9061" max="9061"/>
    <col width="6" bestFit="1" customWidth="1" style="105" min="9062" max="9062"/>
    <col width="11.25" bestFit="1" customWidth="1" style="105" min="9063" max="9063"/>
    <col width="9" customWidth="1" style="105" min="9064" max="9216"/>
    <col width="13.125" bestFit="1" customWidth="1" style="105" min="9217" max="9217"/>
    <col width="10.875" bestFit="1" customWidth="1" style="105" min="9218" max="9218"/>
    <col width="4.625" bestFit="1" customWidth="1" style="105" min="9219" max="9219"/>
    <col width="7" bestFit="1" customWidth="1" style="105" min="9220" max="9220"/>
    <col width="5.125" bestFit="1" customWidth="1" style="105" min="9221" max="9221"/>
    <col width="3.25" bestFit="1" customWidth="1" style="105" min="9222" max="9226"/>
    <col width="3.5" bestFit="1" customWidth="1" style="105" min="9227" max="9227"/>
    <col width="3.375" bestFit="1" customWidth="1" style="105" min="9228" max="9229"/>
    <col width="4.625" bestFit="1" customWidth="1" style="105" min="9230" max="9230"/>
    <col width="4.875" bestFit="1" customWidth="1" style="105" min="9231" max="9231"/>
    <col width="5.25" bestFit="1" customWidth="1" style="105" min="9232" max="9232"/>
    <col width="4.875" bestFit="1" customWidth="1" style="105" min="9233" max="9233"/>
    <col width="7.875" bestFit="1" customWidth="1" style="105" min="9234" max="9234"/>
    <col width="4.375" bestFit="1" customWidth="1" style="105" min="9235" max="9235"/>
    <col width="5.5" bestFit="1" customWidth="1" style="105" min="9236" max="9236"/>
    <col width="5.75" bestFit="1" customWidth="1" style="105" min="9237" max="9237"/>
    <col width="7.875" bestFit="1" customWidth="1" style="105" min="9238" max="9238"/>
    <col width="5.125" bestFit="1" customWidth="1" style="105" min="9239" max="9239"/>
    <col width="4.625" bestFit="1" customWidth="1" style="105" min="9240" max="9240"/>
    <col width="7.875" bestFit="1" customWidth="1" style="105" min="9241" max="9241"/>
    <col width="6.125" bestFit="1" customWidth="1" style="105" min="9242" max="9242"/>
    <col width="32.375" bestFit="1" customWidth="1" style="105" min="9243" max="9243"/>
    <col width="32.875" bestFit="1" customWidth="1" style="105" min="9244" max="9244"/>
    <col width="8.625" bestFit="1" customWidth="1" style="105" min="9245" max="9245"/>
    <col width="9.375" bestFit="1" customWidth="1" style="105" min="9246" max="9246"/>
    <col width="9.25" bestFit="1" customWidth="1" style="105" min="9247" max="9247"/>
    <col width="2.5" bestFit="1" customWidth="1" style="105" min="9248" max="9248"/>
    <col width="3.25" bestFit="1" customWidth="1" style="105" min="9249" max="9249"/>
    <col width="3.375" bestFit="1" customWidth="1" style="105" min="9250" max="9251"/>
    <col width="6.25" bestFit="1" customWidth="1" style="105" min="9252" max="9252"/>
    <col width="8.25" bestFit="1" customWidth="1" style="105" min="9253" max="9253"/>
    <col width="6.875" bestFit="1" customWidth="1" style="105" min="9254" max="9254"/>
    <col width="6.375" bestFit="1" customWidth="1" style="105" min="9255" max="9255"/>
    <col width="19.625" bestFit="1" customWidth="1" style="105" min="9256" max="9256"/>
    <col width="34.5" bestFit="1" customWidth="1" style="105" min="9257" max="9257"/>
    <col width="6.25" bestFit="1" customWidth="1" style="105" min="9258" max="9258"/>
    <col width="7.125" bestFit="1" customWidth="1" style="105" min="9259" max="9259"/>
    <col width="5.875" bestFit="1" customWidth="1" style="105" min="9260" max="9260"/>
    <col width="29.625" bestFit="1" customWidth="1" style="105" min="9261" max="9261"/>
    <col width="5.875" bestFit="1" customWidth="1" style="105" min="9262" max="9262"/>
    <col width="3.75" bestFit="1" customWidth="1" style="105" min="9263" max="9263"/>
    <col width="6.25" bestFit="1" customWidth="1" style="105" min="9264" max="9264"/>
    <col width="6.875" bestFit="1" customWidth="1" style="105" min="9265" max="9265"/>
    <col width="6.75" bestFit="1" customWidth="1" style="105" min="9266" max="9266"/>
    <col width="5.875" bestFit="1" customWidth="1" style="105" min="9267" max="9267"/>
    <col width="108.375" bestFit="1" customWidth="1" style="105" min="9268" max="9268"/>
    <col width="104.125" bestFit="1" customWidth="1" style="105" min="9269" max="9269"/>
    <col width="7" bestFit="1" customWidth="1" style="105" min="9270" max="9270"/>
    <col width="7.875" bestFit="1" customWidth="1" style="105" min="9271" max="9271"/>
    <col width="8.5" bestFit="1" customWidth="1" style="105" min="9272" max="9272"/>
    <col width="4.75" bestFit="1" customWidth="1" style="105" min="9273" max="9273"/>
    <col width="37.375" bestFit="1" customWidth="1" style="105" min="9274" max="9274"/>
    <col width="6.875" bestFit="1" customWidth="1" style="105" min="9275" max="9275"/>
    <col width="7.875" bestFit="1" customWidth="1" style="105" min="9276" max="9276"/>
    <col width="7.75" bestFit="1" customWidth="1" style="105" min="9277" max="9277"/>
    <col width="8" bestFit="1" customWidth="1" style="105" min="9278" max="9278"/>
    <col width="4.75" bestFit="1" customWidth="1" style="105" min="9279" max="9279"/>
    <col width="7.875" bestFit="1" customWidth="1" style="105" min="9280" max="9280"/>
    <col width="4" bestFit="1" customWidth="1" style="105" min="9281" max="9292"/>
    <col width="3.75" bestFit="1" customWidth="1" style="105" min="9293" max="9293"/>
    <col width="4" bestFit="1" customWidth="1" style="105" min="9294" max="9294"/>
    <col width="3.625" bestFit="1" customWidth="1" style="105" min="9295" max="9295"/>
    <col width="9.875" bestFit="1" customWidth="1" style="105" min="9296" max="9296"/>
    <col width="5" bestFit="1" customWidth="1" style="105" min="9297" max="9297"/>
    <col width="7.125" bestFit="1" customWidth="1" style="105" min="9298" max="9298"/>
    <col width="9.375" bestFit="1" customWidth="1" style="105" min="9299" max="9299"/>
    <col width="17.5" bestFit="1" customWidth="1" style="105" min="9300" max="9300"/>
    <col width="7.375" bestFit="1" customWidth="1" style="105" min="9301" max="9301"/>
    <col width="5.75" bestFit="1" customWidth="1" style="105" min="9302" max="9302"/>
    <col width="31.25" bestFit="1" customWidth="1" style="105" min="9303" max="9303"/>
    <col width="26" bestFit="1" customWidth="1" style="105" min="9304" max="9304"/>
    <col width="24.375" bestFit="1" customWidth="1" style="105" min="9305" max="9306"/>
    <col width="6.375" bestFit="1" customWidth="1" style="105" min="9307" max="9307"/>
    <col width="9.875" bestFit="1" customWidth="1" style="105" min="9308" max="9309"/>
    <col width="28.875" bestFit="1" customWidth="1" style="105" min="9310" max="9310"/>
    <col width="9.75" bestFit="1" customWidth="1" style="105" min="9311" max="9311"/>
    <col width="12.625" bestFit="1" customWidth="1" style="105" min="9312" max="9312"/>
    <col width="32.375" bestFit="1" customWidth="1" style="105" min="9313" max="9313"/>
    <col width="3.375" bestFit="1" customWidth="1" style="105" min="9314" max="9314"/>
    <col width="8" bestFit="1" customWidth="1" style="105" min="9315" max="9315"/>
    <col width="5.625" bestFit="1" customWidth="1" style="105" min="9316" max="9316"/>
    <col width="7.875" bestFit="1" customWidth="1" style="105" min="9317" max="9317"/>
    <col width="6" bestFit="1" customWidth="1" style="105" min="9318" max="9318"/>
    <col width="11.25" bestFit="1" customWidth="1" style="105" min="9319" max="9319"/>
    <col width="9" customWidth="1" style="105" min="9320" max="9472"/>
    <col width="13.125" bestFit="1" customWidth="1" style="105" min="9473" max="9473"/>
    <col width="10.875" bestFit="1" customWidth="1" style="105" min="9474" max="9474"/>
    <col width="4.625" bestFit="1" customWidth="1" style="105" min="9475" max="9475"/>
    <col width="7" bestFit="1" customWidth="1" style="105" min="9476" max="9476"/>
    <col width="5.125" bestFit="1" customWidth="1" style="105" min="9477" max="9477"/>
    <col width="3.25" bestFit="1" customWidth="1" style="105" min="9478" max="9482"/>
    <col width="3.5" bestFit="1" customWidth="1" style="105" min="9483" max="9483"/>
    <col width="3.375" bestFit="1" customWidth="1" style="105" min="9484" max="9485"/>
    <col width="4.625" bestFit="1" customWidth="1" style="105" min="9486" max="9486"/>
    <col width="4.875" bestFit="1" customWidth="1" style="105" min="9487" max="9487"/>
    <col width="5.25" bestFit="1" customWidth="1" style="105" min="9488" max="9488"/>
    <col width="4.875" bestFit="1" customWidth="1" style="105" min="9489" max="9489"/>
    <col width="7.875" bestFit="1" customWidth="1" style="105" min="9490" max="9490"/>
    <col width="4.375" bestFit="1" customWidth="1" style="105" min="9491" max="9491"/>
    <col width="5.5" bestFit="1" customWidth="1" style="105" min="9492" max="9492"/>
    <col width="5.75" bestFit="1" customWidth="1" style="105" min="9493" max="9493"/>
    <col width="7.875" bestFit="1" customWidth="1" style="105" min="9494" max="9494"/>
    <col width="5.125" bestFit="1" customWidth="1" style="105" min="9495" max="9495"/>
    <col width="4.625" bestFit="1" customWidth="1" style="105" min="9496" max="9496"/>
    <col width="7.875" bestFit="1" customWidth="1" style="105" min="9497" max="9497"/>
    <col width="6.125" bestFit="1" customWidth="1" style="105" min="9498" max="9498"/>
    <col width="32.375" bestFit="1" customWidth="1" style="105" min="9499" max="9499"/>
    <col width="32.875" bestFit="1" customWidth="1" style="105" min="9500" max="9500"/>
    <col width="8.625" bestFit="1" customWidth="1" style="105" min="9501" max="9501"/>
    <col width="9.375" bestFit="1" customWidth="1" style="105" min="9502" max="9502"/>
    <col width="9.25" bestFit="1" customWidth="1" style="105" min="9503" max="9503"/>
    <col width="2.5" bestFit="1" customWidth="1" style="105" min="9504" max="9504"/>
    <col width="3.25" bestFit="1" customWidth="1" style="105" min="9505" max="9505"/>
    <col width="3.375" bestFit="1" customWidth="1" style="105" min="9506" max="9507"/>
    <col width="6.25" bestFit="1" customWidth="1" style="105" min="9508" max="9508"/>
    <col width="8.25" bestFit="1" customWidth="1" style="105" min="9509" max="9509"/>
    <col width="6.875" bestFit="1" customWidth="1" style="105" min="9510" max="9510"/>
    <col width="6.375" bestFit="1" customWidth="1" style="105" min="9511" max="9511"/>
    <col width="19.625" bestFit="1" customWidth="1" style="105" min="9512" max="9512"/>
    <col width="34.5" bestFit="1" customWidth="1" style="105" min="9513" max="9513"/>
    <col width="6.25" bestFit="1" customWidth="1" style="105" min="9514" max="9514"/>
    <col width="7.125" bestFit="1" customWidth="1" style="105" min="9515" max="9515"/>
    <col width="5.875" bestFit="1" customWidth="1" style="105" min="9516" max="9516"/>
    <col width="29.625" bestFit="1" customWidth="1" style="105" min="9517" max="9517"/>
    <col width="5.875" bestFit="1" customWidth="1" style="105" min="9518" max="9518"/>
    <col width="3.75" bestFit="1" customWidth="1" style="105" min="9519" max="9519"/>
    <col width="6.25" bestFit="1" customWidth="1" style="105" min="9520" max="9520"/>
    <col width="6.875" bestFit="1" customWidth="1" style="105" min="9521" max="9521"/>
    <col width="6.75" bestFit="1" customWidth="1" style="105" min="9522" max="9522"/>
    <col width="5.875" bestFit="1" customWidth="1" style="105" min="9523" max="9523"/>
    <col width="108.375" bestFit="1" customWidth="1" style="105" min="9524" max="9524"/>
    <col width="104.125" bestFit="1" customWidth="1" style="105" min="9525" max="9525"/>
    <col width="7" bestFit="1" customWidth="1" style="105" min="9526" max="9526"/>
    <col width="7.875" bestFit="1" customWidth="1" style="105" min="9527" max="9527"/>
    <col width="8.5" bestFit="1" customWidth="1" style="105" min="9528" max="9528"/>
    <col width="4.75" bestFit="1" customWidth="1" style="105" min="9529" max="9529"/>
    <col width="37.375" bestFit="1" customWidth="1" style="105" min="9530" max="9530"/>
    <col width="6.875" bestFit="1" customWidth="1" style="105" min="9531" max="9531"/>
    <col width="7.875" bestFit="1" customWidth="1" style="105" min="9532" max="9532"/>
    <col width="7.75" bestFit="1" customWidth="1" style="105" min="9533" max="9533"/>
    <col width="8" bestFit="1" customWidth="1" style="105" min="9534" max="9534"/>
    <col width="4.75" bestFit="1" customWidth="1" style="105" min="9535" max="9535"/>
    <col width="7.875" bestFit="1" customWidth="1" style="105" min="9536" max="9536"/>
    <col width="4" bestFit="1" customWidth="1" style="105" min="9537" max="9548"/>
    <col width="3.75" bestFit="1" customWidth="1" style="105" min="9549" max="9549"/>
    <col width="4" bestFit="1" customWidth="1" style="105" min="9550" max="9550"/>
    <col width="3.625" bestFit="1" customWidth="1" style="105" min="9551" max="9551"/>
    <col width="9.875" bestFit="1" customWidth="1" style="105" min="9552" max="9552"/>
    <col width="5" bestFit="1" customWidth="1" style="105" min="9553" max="9553"/>
    <col width="7.125" bestFit="1" customWidth="1" style="105" min="9554" max="9554"/>
    <col width="9.375" bestFit="1" customWidth="1" style="105" min="9555" max="9555"/>
    <col width="17.5" bestFit="1" customWidth="1" style="105" min="9556" max="9556"/>
    <col width="7.375" bestFit="1" customWidth="1" style="105" min="9557" max="9557"/>
    <col width="5.75" bestFit="1" customWidth="1" style="105" min="9558" max="9558"/>
    <col width="31.25" bestFit="1" customWidth="1" style="105" min="9559" max="9559"/>
    <col width="26" bestFit="1" customWidth="1" style="105" min="9560" max="9560"/>
    <col width="24.375" bestFit="1" customWidth="1" style="105" min="9561" max="9562"/>
    <col width="6.375" bestFit="1" customWidth="1" style="105" min="9563" max="9563"/>
    <col width="9.875" bestFit="1" customWidth="1" style="105" min="9564" max="9565"/>
    <col width="28.875" bestFit="1" customWidth="1" style="105" min="9566" max="9566"/>
    <col width="9.75" bestFit="1" customWidth="1" style="105" min="9567" max="9567"/>
    <col width="12.625" bestFit="1" customWidth="1" style="105" min="9568" max="9568"/>
    <col width="32.375" bestFit="1" customWidth="1" style="105" min="9569" max="9569"/>
    <col width="3.375" bestFit="1" customWidth="1" style="105" min="9570" max="9570"/>
    <col width="8" bestFit="1" customWidth="1" style="105" min="9571" max="9571"/>
    <col width="5.625" bestFit="1" customWidth="1" style="105" min="9572" max="9572"/>
    <col width="7.875" bestFit="1" customWidth="1" style="105" min="9573" max="9573"/>
    <col width="6" bestFit="1" customWidth="1" style="105" min="9574" max="9574"/>
    <col width="11.25" bestFit="1" customWidth="1" style="105" min="9575" max="9575"/>
    <col width="9" customWidth="1" style="105" min="9576" max="9728"/>
    <col width="13.125" bestFit="1" customWidth="1" style="105" min="9729" max="9729"/>
    <col width="10.875" bestFit="1" customWidth="1" style="105" min="9730" max="9730"/>
    <col width="4.625" bestFit="1" customWidth="1" style="105" min="9731" max="9731"/>
    <col width="7" bestFit="1" customWidth="1" style="105" min="9732" max="9732"/>
    <col width="5.125" bestFit="1" customWidth="1" style="105" min="9733" max="9733"/>
    <col width="3.25" bestFit="1" customWidth="1" style="105" min="9734" max="9738"/>
    <col width="3.5" bestFit="1" customWidth="1" style="105" min="9739" max="9739"/>
    <col width="3.375" bestFit="1" customWidth="1" style="105" min="9740" max="9741"/>
    <col width="4.625" bestFit="1" customWidth="1" style="105" min="9742" max="9742"/>
    <col width="4.875" bestFit="1" customWidth="1" style="105" min="9743" max="9743"/>
    <col width="5.25" bestFit="1" customWidth="1" style="105" min="9744" max="9744"/>
    <col width="4.875" bestFit="1" customWidth="1" style="105" min="9745" max="9745"/>
    <col width="7.875" bestFit="1" customWidth="1" style="105" min="9746" max="9746"/>
    <col width="4.375" bestFit="1" customWidth="1" style="105" min="9747" max="9747"/>
    <col width="5.5" bestFit="1" customWidth="1" style="105" min="9748" max="9748"/>
    <col width="5.75" bestFit="1" customWidth="1" style="105" min="9749" max="9749"/>
    <col width="7.875" bestFit="1" customWidth="1" style="105" min="9750" max="9750"/>
    <col width="5.125" bestFit="1" customWidth="1" style="105" min="9751" max="9751"/>
    <col width="4.625" bestFit="1" customWidth="1" style="105" min="9752" max="9752"/>
    <col width="7.875" bestFit="1" customWidth="1" style="105" min="9753" max="9753"/>
    <col width="6.125" bestFit="1" customWidth="1" style="105" min="9754" max="9754"/>
    <col width="32.375" bestFit="1" customWidth="1" style="105" min="9755" max="9755"/>
    <col width="32.875" bestFit="1" customWidth="1" style="105" min="9756" max="9756"/>
    <col width="8.625" bestFit="1" customWidth="1" style="105" min="9757" max="9757"/>
    <col width="9.375" bestFit="1" customWidth="1" style="105" min="9758" max="9758"/>
    <col width="9.25" bestFit="1" customWidth="1" style="105" min="9759" max="9759"/>
    <col width="2.5" bestFit="1" customWidth="1" style="105" min="9760" max="9760"/>
    <col width="3.25" bestFit="1" customWidth="1" style="105" min="9761" max="9761"/>
    <col width="3.375" bestFit="1" customWidth="1" style="105" min="9762" max="9763"/>
    <col width="6.25" bestFit="1" customWidth="1" style="105" min="9764" max="9764"/>
    <col width="8.25" bestFit="1" customWidth="1" style="105" min="9765" max="9765"/>
    <col width="6.875" bestFit="1" customWidth="1" style="105" min="9766" max="9766"/>
    <col width="6.375" bestFit="1" customWidth="1" style="105" min="9767" max="9767"/>
    <col width="19.625" bestFit="1" customWidth="1" style="105" min="9768" max="9768"/>
    <col width="34.5" bestFit="1" customWidth="1" style="105" min="9769" max="9769"/>
    <col width="6.25" bestFit="1" customWidth="1" style="105" min="9770" max="9770"/>
    <col width="7.125" bestFit="1" customWidth="1" style="105" min="9771" max="9771"/>
    <col width="5.875" bestFit="1" customWidth="1" style="105" min="9772" max="9772"/>
    <col width="29.625" bestFit="1" customWidth="1" style="105" min="9773" max="9773"/>
    <col width="5.875" bestFit="1" customWidth="1" style="105" min="9774" max="9774"/>
    <col width="3.75" bestFit="1" customWidth="1" style="105" min="9775" max="9775"/>
    <col width="6.25" bestFit="1" customWidth="1" style="105" min="9776" max="9776"/>
    <col width="6.875" bestFit="1" customWidth="1" style="105" min="9777" max="9777"/>
    <col width="6.75" bestFit="1" customWidth="1" style="105" min="9778" max="9778"/>
    <col width="5.875" bestFit="1" customWidth="1" style="105" min="9779" max="9779"/>
    <col width="108.375" bestFit="1" customWidth="1" style="105" min="9780" max="9780"/>
    <col width="104.125" bestFit="1" customWidth="1" style="105" min="9781" max="9781"/>
    <col width="7" bestFit="1" customWidth="1" style="105" min="9782" max="9782"/>
    <col width="7.875" bestFit="1" customWidth="1" style="105" min="9783" max="9783"/>
    <col width="8.5" bestFit="1" customWidth="1" style="105" min="9784" max="9784"/>
    <col width="4.75" bestFit="1" customWidth="1" style="105" min="9785" max="9785"/>
    <col width="37.375" bestFit="1" customWidth="1" style="105" min="9786" max="9786"/>
    <col width="6.875" bestFit="1" customWidth="1" style="105" min="9787" max="9787"/>
    <col width="7.875" bestFit="1" customWidth="1" style="105" min="9788" max="9788"/>
    <col width="7.75" bestFit="1" customWidth="1" style="105" min="9789" max="9789"/>
    <col width="8" bestFit="1" customWidth="1" style="105" min="9790" max="9790"/>
    <col width="4.75" bestFit="1" customWidth="1" style="105" min="9791" max="9791"/>
    <col width="7.875" bestFit="1" customWidth="1" style="105" min="9792" max="9792"/>
    <col width="4" bestFit="1" customWidth="1" style="105" min="9793" max="9804"/>
    <col width="3.75" bestFit="1" customWidth="1" style="105" min="9805" max="9805"/>
    <col width="4" bestFit="1" customWidth="1" style="105" min="9806" max="9806"/>
    <col width="3.625" bestFit="1" customWidth="1" style="105" min="9807" max="9807"/>
    <col width="9.875" bestFit="1" customWidth="1" style="105" min="9808" max="9808"/>
    <col width="5" bestFit="1" customWidth="1" style="105" min="9809" max="9809"/>
    <col width="7.125" bestFit="1" customWidth="1" style="105" min="9810" max="9810"/>
    <col width="9.375" bestFit="1" customWidth="1" style="105" min="9811" max="9811"/>
    <col width="17.5" bestFit="1" customWidth="1" style="105" min="9812" max="9812"/>
    <col width="7.375" bestFit="1" customWidth="1" style="105" min="9813" max="9813"/>
    <col width="5.75" bestFit="1" customWidth="1" style="105" min="9814" max="9814"/>
    <col width="31.25" bestFit="1" customWidth="1" style="105" min="9815" max="9815"/>
    <col width="26" bestFit="1" customWidth="1" style="105" min="9816" max="9816"/>
    <col width="24.375" bestFit="1" customWidth="1" style="105" min="9817" max="9818"/>
    <col width="6.375" bestFit="1" customWidth="1" style="105" min="9819" max="9819"/>
    <col width="9.875" bestFit="1" customWidth="1" style="105" min="9820" max="9821"/>
    <col width="28.875" bestFit="1" customWidth="1" style="105" min="9822" max="9822"/>
    <col width="9.75" bestFit="1" customWidth="1" style="105" min="9823" max="9823"/>
    <col width="12.625" bestFit="1" customWidth="1" style="105" min="9824" max="9824"/>
    <col width="32.375" bestFit="1" customWidth="1" style="105" min="9825" max="9825"/>
    <col width="3.375" bestFit="1" customWidth="1" style="105" min="9826" max="9826"/>
    <col width="8" bestFit="1" customWidth="1" style="105" min="9827" max="9827"/>
    <col width="5.625" bestFit="1" customWidth="1" style="105" min="9828" max="9828"/>
    <col width="7.875" bestFit="1" customWidth="1" style="105" min="9829" max="9829"/>
    <col width="6" bestFit="1" customWidth="1" style="105" min="9830" max="9830"/>
    <col width="11.25" bestFit="1" customWidth="1" style="105" min="9831" max="9831"/>
    <col width="9" customWidth="1" style="105" min="9832" max="9984"/>
    <col width="13.125" bestFit="1" customWidth="1" style="105" min="9985" max="9985"/>
    <col width="10.875" bestFit="1" customWidth="1" style="105" min="9986" max="9986"/>
    <col width="4.625" bestFit="1" customWidth="1" style="105" min="9987" max="9987"/>
    <col width="7" bestFit="1" customWidth="1" style="105" min="9988" max="9988"/>
    <col width="5.125" bestFit="1" customWidth="1" style="105" min="9989" max="9989"/>
    <col width="3.25" bestFit="1" customWidth="1" style="105" min="9990" max="9994"/>
    <col width="3.5" bestFit="1" customWidth="1" style="105" min="9995" max="9995"/>
    <col width="3.375" bestFit="1" customWidth="1" style="105" min="9996" max="9997"/>
    <col width="4.625" bestFit="1" customWidth="1" style="105" min="9998" max="9998"/>
    <col width="4.875" bestFit="1" customWidth="1" style="105" min="9999" max="9999"/>
    <col width="5.25" bestFit="1" customWidth="1" style="105" min="10000" max="10000"/>
    <col width="4.875" bestFit="1" customWidth="1" style="105" min="10001" max="10001"/>
    <col width="7.875" bestFit="1" customWidth="1" style="105" min="10002" max="10002"/>
    <col width="4.375" bestFit="1" customWidth="1" style="105" min="10003" max="10003"/>
    <col width="5.5" bestFit="1" customWidth="1" style="105" min="10004" max="10004"/>
    <col width="5.75" bestFit="1" customWidth="1" style="105" min="10005" max="10005"/>
    <col width="7.875" bestFit="1" customWidth="1" style="105" min="10006" max="10006"/>
    <col width="5.125" bestFit="1" customWidth="1" style="105" min="10007" max="10007"/>
    <col width="4.625" bestFit="1" customWidth="1" style="105" min="10008" max="10008"/>
    <col width="7.875" bestFit="1" customWidth="1" style="105" min="10009" max="10009"/>
    <col width="6.125" bestFit="1" customWidth="1" style="105" min="10010" max="10010"/>
    <col width="32.375" bestFit="1" customWidth="1" style="105" min="10011" max="10011"/>
    <col width="32.875" bestFit="1" customWidth="1" style="105" min="10012" max="10012"/>
    <col width="8.625" bestFit="1" customWidth="1" style="105" min="10013" max="10013"/>
    <col width="9.375" bestFit="1" customWidth="1" style="105" min="10014" max="10014"/>
    <col width="9.25" bestFit="1" customWidth="1" style="105" min="10015" max="10015"/>
    <col width="2.5" bestFit="1" customWidth="1" style="105" min="10016" max="10016"/>
    <col width="3.25" bestFit="1" customWidth="1" style="105" min="10017" max="10017"/>
    <col width="3.375" bestFit="1" customWidth="1" style="105" min="10018" max="10019"/>
    <col width="6.25" bestFit="1" customWidth="1" style="105" min="10020" max="10020"/>
    <col width="8.25" bestFit="1" customWidth="1" style="105" min="10021" max="10021"/>
    <col width="6.875" bestFit="1" customWidth="1" style="105" min="10022" max="10022"/>
    <col width="6.375" bestFit="1" customWidth="1" style="105" min="10023" max="10023"/>
    <col width="19.625" bestFit="1" customWidth="1" style="105" min="10024" max="10024"/>
    <col width="34.5" bestFit="1" customWidth="1" style="105" min="10025" max="10025"/>
    <col width="6.25" bestFit="1" customWidth="1" style="105" min="10026" max="10026"/>
    <col width="7.125" bestFit="1" customWidth="1" style="105" min="10027" max="10027"/>
    <col width="5.875" bestFit="1" customWidth="1" style="105" min="10028" max="10028"/>
    <col width="29.625" bestFit="1" customWidth="1" style="105" min="10029" max="10029"/>
    <col width="5.875" bestFit="1" customWidth="1" style="105" min="10030" max="10030"/>
    <col width="3.75" bestFit="1" customWidth="1" style="105" min="10031" max="10031"/>
    <col width="6.25" bestFit="1" customWidth="1" style="105" min="10032" max="10032"/>
    <col width="6.875" bestFit="1" customWidth="1" style="105" min="10033" max="10033"/>
    <col width="6.75" bestFit="1" customWidth="1" style="105" min="10034" max="10034"/>
    <col width="5.875" bestFit="1" customWidth="1" style="105" min="10035" max="10035"/>
    <col width="108.375" bestFit="1" customWidth="1" style="105" min="10036" max="10036"/>
    <col width="104.125" bestFit="1" customWidth="1" style="105" min="10037" max="10037"/>
    <col width="7" bestFit="1" customWidth="1" style="105" min="10038" max="10038"/>
    <col width="7.875" bestFit="1" customWidth="1" style="105" min="10039" max="10039"/>
    <col width="8.5" bestFit="1" customWidth="1" style="105" min="10040" max="10040"/>
    <col width="4.75" bestFit="1" customWidth="1" style="105" min="10041" max="10041"/>
    <col width="37.375" bestFit="1" customWidth="1" style="105" min="10042" max="10042"/>
    <col width="6.875" bestFit="1" customWidth="1" style="105" min="10043" max="10043"/>
    <col width="7.875" bestFit="1" customWidth="1" style="105" min="10044" max="10044"/>
    <col width="7.75" bestFit="1" customWidth="1" style="105" min="10045" max="10045"/>
    <col width="8" bestFit="1" customWidth="1" style="105" min="10046" max="10046"/>
    <col width="4.75" bestFit="1" customWidth="1" style="105" min="10047" max="10047"/>
    <col width="7.875" bestFit="1" customWidth="1" style="105" min="10048" max="10048"/>
    <col width="4" bestFit="1" customWidth="1" style="105" min="10049" max="10060"/>
    <col width="3.75" bestFit="1" customWidth="1" style="105" min="10061" max="10061"/>
    <col width="4" bestFit="1" customWidth="1" style="105" min="10062" max="10062"/>
    <col width="3.625" bestFit="1" customWidth="1" style="105" min="10063" max="10063"/>
    <col width="9.875" bestFit="1" customWidth="1" style="105" min="10064" max="10064"/>
    <col width="5" bestFit="1" customWidth="1" style="105" min="10065" max="10065"/>
    <col width="7.125" bestFit="1" customWidth="1" style="105" min="10066" max="10066"/>
    <col width="9.375" bestFit="1" customWidth="1" style="105" min="10067" max="10067"/>
    <col width="17.5" bestFit="1" customWidth="1" style="105" min="10068" max="10068"/>
    <col width="7.375" bestFit="1" customWidth="1" style="105" min="10069" max="10069"/>
    <col width="5.75" bestFit="1" customWidth="1" style="105" min="10070" max="10070"/>
    <col width="31.25" bestFit="1" customWidth="1" style="105" min="10071" max="10071"/>
    <col width="26" bestFit="1" customWidth="1" style="105" min="10072" max="10072"/>
    <col width="24.375" bestFit="1" customWidth="1" style="105" min="10073" max="10074"/>
    <col width="6.375" bestFit="1" customWidth="1" style="105" min="10075" max="10075"/>
    <col width="9.875" bestFit="1" customWidth="1" style="105" min="10076" max="10077"/>
    <col width="28.875" bestFit="1" customWidth="1" style="105" min="10078" max="10078"/>
    <col width="9.75" bestFit="1" customWidth="1" style="105" min="10079" max="10079"/>
    <col width="12.625" bestFit="1" customWidth="1" style="105" min="10080" max="10080"/>
    <col width="32.375" bestFit="1" customWidth="1" style="105" min="10081" max="10081"/>
    <col width="3.375" bestFit="1" customWidth="1" style="105" min="10082" max="10082"/>
    <col width="8" bestFit="1" customWidth="1" style="105" min="10083" max="10083"/>
    <col width="5.625" bestFit="1" customWidth="1" style="105" min="10084" max="10084"/>
    <col width="7.875" bestFit="1" customWidth="1" style="105" min="10085" max="10085"/>
    <col width="6" bestFit="1" customWidth="1" style="105" min="10086" max="10086"/>
    <col width="11.25" bestFit="1" customWidth="1" style="105" min="10087" max="10087"/>
    <col width="9" customWidth="1" style="105" min="10088" max="10240"/>
    <col width="13.125" bestFit="1" customWidth="1" style="105" min="10241" max="10241"/>
    <col width="10.875" bestFit="1" customWidth="1" style="105" min="10242" max="10242"/>
    <col width="4.625" bestFit="1" customWidth="1" style="105" min="10243" max="10243"/>
    <col width="7" bestFit="1" customWidth="1" style="105" min="10244" max="10244"/>
    <col width="5.125" bestFit="1" customWidth="1" style="105" min="10245" max="10245"/>
    <col width="3.25" bestFit="1" customWidth="1" style="105" min="10246" max="10250"/>
    <col width="3.5" bestFit="1" customWidth="1" style="105" min="10251" max="10251"/>
    <col width="3.375" bestFit="1" customWidth="1" style="105" min="10252" max="10253"/>
    <col width="4.625" bestFit="1" customWidth="1" style="105" min="10254" max="10254"/>
    <col width="4.875" bestFit="1" customWidth="1" style="105" min="10255" max="10255"/>
    <col width="5.25" bestFit="1" customWidth="1" style="105" min="10256" max="10256"/>
    <col width="4.875" bestFit="1" customWidth="1" style="105" min="10257" max="10257"/>
    <col width="7.875" bestFit="1" customWidth="1" style="105" min="10258" max="10258"/>
    <col width="4.375" bestFit="1" customWidth="1" style="105" min="10259" max="10259"/>
    <col width="5.5" bestFit="1" customWidth="1" style="105" min="10260" max="10260"/>
    <col width="5.75" bestFit="1" customWidth="1" style="105" min="10261" max="10261"/>
    <col width="7.875" bestFit="1" customWidth="1" style="105" min="10262" max="10262"/>
    <col width="5.125" bestFit="1" customWidth="1" style="105" min="10263" max="10263"/>
    <col width="4.625" bestFit="1" customWidth="1" style="105" min="10264" max="10264"/>
    <col width="7.875" bestFit="1" customWidth="1" style="105" min="10265" max="10265"/>
    <col width="6.125" bestFit="1" customWidth="1" style="105" min="10266" max="10266"/>
    <col width="32.375" bestFit="1" customWidth="1" style="105" min="10267" max="10267"/>
    <col width="32.875" bestFit="1" customWidth="1" style="105" min="10268" max="10268"/>
    <col width="8.625" bestFit="1" customWidth="1" style="105" min="10269" max="10269"/>
    <col width="9.375" bestFit="1" customWidth="1" style="105" min="10270" max="10270"/>
    <col width="9.25" bestFit="1" customWidth="1" style="105" min="10271" max="10271"/>
    <col width="2.5" bestFit="1" customWidth="1" style="105" min="10272" max="10272"/>
    <col width="3.25" bestFit="1" customWidth="1" style="105" min="10273" max="10273"/>
    <col width="3.375" bestFit="1" customWidth="1" style="105" min="10274" max="10275"/>
    <col width="6.25" bestFit="1" customWidth="1" style="105" min="10276" max="10276"/>
    <col width="8.25" bestFit="1" customWidth="1" style="105" min="10277" max="10277"/>
    <col width="6.875" bestFit="1" customWidth="1" style="105" min="10278" max="10278"/>
    <col width="6.375" bestFit="1" customWidth="1" style="105" min="10279" max="10279"/>
    <col width="19.625" bestFit="1" customWidth="1" style="105" min="10280" max="10280"/>
    <col width="34.5" bestFit="1" customWidth="1" style="105" min="10281" max="10281"/>
    <col width="6.25" bestFit="1" customWidth="1" style="105" min="10282" max="10282"/>
    <col width="7.125" bestFit="1" customWidth="1" style="105" min="10283" max="10283"/>
    <col width="5.875" bestFit="1" customWidth="1" style="105" min="10284" max="10284"/>
    <col width="29.625" bestFit="1" customWidth="1" style="105" min="10285" max="10285"/>
    <col width="5.875" bestFit="1" customWidth="1" style="105" min="10286" max="10286"/>
    <col width="3.75" bestFit="1" customWidth="1" style="105" min="10287" max="10287"/>
    <col width="6.25" bestFit="1" customWidth="1" style="105" min="10288" max="10288"/>
    <col width="6.875" bestFit="1" customWidth="1" style="105" min="10289" max="10289"/>
    <col width="6.75" bestFit="1" customWidth="1" style="105" min="10290" max="10290"/>
    <col width="5.875" bestFit="1" customWidth="1" style="105" min="10291" max="10291"/>
    <col width="108.375" bestFit="1" customWidth="1" style="105" min="10292" max="10292"/>
    <col width="104.125" bestFit="1" customWidth="1" style="105" min="10293" max="10293"/>
    <col width="7" bestFit="1" customWidth="1" style="105" min="10294" max="10294"/>
    <col width="7.875" bestFit="1" customWidth="1" style="105" min="10295" max="10295"/>
    <col width="8.5" bestFit="1" customWidth="1" style="105" min="10296" max="10296"/>
    <col width="4.75" bestFit="1" customWidth="1" style="105" min="10297" max="10297"/>
    <col width="37.375" bestFit="1" customWidth="1" style="105" min="10298" max="10298"/>
    <col width="6.875" bestFit="1" customWidth="1" style="105" min="10299" max="10299"/>
    <col width="7.875" bestFit="1" customWidth="1" style="105" min="10300" max="10300"/>
    <col width="7.75" bestFit="1" customWidth="1" style="105" min="10301" max="10301"/>
    <col width="8" bestFit="1" customWidth="1" style="105" min="10302" max="10302"/>
    <col width="4.75" bestFit="1" customWidth="1" style="105" min="10303" max="10303"/>
    <col width="7.875" bestFit="1" customWidth="1" style="105" min="10304" max="10304"/>
    <col width="4" bestFit="1" customWidth="1" style="105" min="10305" max="10316"/>
    <col width="3.75" bestFit="1" customWidth="1" style="105" min="10317" max="10317"/>
    <col width="4" bestFit="1" customWidth="1" style="105" min="10318" max="10318"/>
    <col width="3.625" bestFit="1" customWidth="1" style="105" min="10319" max="10319"/>
    <col width="9.875" bestFit="1" customWidth="1" style="105" min="10320" max="10320"/>
    <col width="5" bestFit="1" customWidth="1" style="105" min="10321" max="10321"/>
    <col width="7.125" bestFit="1" customWidth="1" style="105" min="10322" max="10322"/>
    <col width="9.375" bestFit="1" customWidth="1" style="105" min="10323" max="10323"/>
    <col width="17.5" bestFit="1" customWidth="1" style="105" min="10324" max="10324"/>
    <col width="7.375" bestFit="1" customWidth="1" style="105" min="10325" max="10325"/>
    <col width="5.75" bestFit="1" customWidth="1" style="105" min="10326" max="10326"/>
    <col width="31.25" bestFit="1" customWidth="1" style="105" min="10327" max="10327"/>
    <col width="26" bestFit="1" customWidth="1" style="105" min="10328" max="10328"/>
    <col width="24.375" bestFit="1" customWidth="1" style="105" min="10329" max="10330"/>
    <col width="6.375" bestFit="1" customWidth="1" style="105" min="10331" max="10331"/>
    <col width="9.875" bestFit="1" customWidth="1" style="105" min="10332" max="10333"/>
    <col width="28.875" bestFit="1" customWidth="1" style="105" min="10334" max="10334"/>
    <col width="9.75" bestFit="1" customWidth="1" style="105" min="10335" max="10335"/>
    <col width="12.625" bestFit="1" customWidth="1" style="105" min="10336" max="10336"/>
    <col width="32.375" bestFit="1" customWidth="1" style="105" min="10337" max="10337"/>
    <col width="3.375" bestFit="1" customWidth="1" style="105" min="10338" max="10338"/>
    <col width="8" bestFit="1" customWidth="1" style="105" min="10339" max="10339"/>
    <col width="5.625" bestFit="1" customWidth="1" style="105" min="10340" max="10340"/>
    <col width="7.875" bestFit="1" customWidth="1" style="105" min="10341" max="10341"/>
    <col width="6" bestFit="1" customWidth="1" style="105" min="10342" max="10342"/>
    <col width="11.25" bestFit="1" customWidth="1" style="105" min="10343" max="10343"/>
    <col width="9" customWidth="1" style="105" min="10344" max="10496"/>
    <col width="13.125" bestFit="1" customWidth="1" style="105" min="10497" max="10497"/>
    <col width="10.875" bestFit="1" customWidth="1" style="105" min="10498" max="10498"/>
    <col width="4.625" bestFit="1" customWidth="1" style="105" min="10499" max="10499"/>
    <col width="7" bestFit="1" customWidth="1" style="105" min="10500" max="10500"/>
    <col width="5.125" bestFit="1" customWidth="1" style="105" min="10501" max="10501"/>
    <col width="3.25" bestFit="1" customWidth="1" style="105" min="10502" max="10506"/>
    <col width="3.5" bestFit="1" customWidth="1" style="105" min="10507" max="10507"/>
    <col width="3.375" bestFit="1" customWidth="1" style="105" min="10508" max="10509"/>
    <col width="4.625" bestFit="1" customWidth="1" style="105" min="10510" max="10510"/>
    <col width="4.875" bestFit="1" customWidth="1" style="105" min="10511" max="10511"/>
    <col width="5.25" bestFit="1" customWidth="1" style="105" min="10512" max="10512"/>
    <col width="4.875" bestFit="1" customWidth="1" style="105" min="10513" max="10513"/>
    <col width="7.875" bestFit="1" customWidth="1" style="105" min="10514" max="10514"/>
    <col width="4.375" bestFit="1" customWidth="1" style="105" min="10515" max="10515"/>
    <col width="5.5" bestFit="1" customWidth="1" style="105" min="10516" max="10516"/>
    <col width="5.75" bestFit="1" customWidth="1" style="105" min="10517" max="10517"/>
    <col width="7.875" bestFit="1" customWidth="1" style="105" min="10518" max="10518"/>
    <col width="5.125" bestFit="1" customWidth="1" style="105" min="10519" max="10519"/>
    <col width="4.625" bestFit="1" customWidth="1" style="105" min="10520" max="10520"/>
    <col width="7.875" bestFit="1" customWidth="1" style="105" min="10521" max="10521"/>
    <col width="6.125" bestFit="1" customWidth="1" style="105" min="10522" max="10522"/>
    <col width="32.375" bestFit="1" customWidth="1" style="105" min="10523" max="10523"/>
    <col width="32.875" bestFit="1" customWidth="1" style="105" min="10524" max="10524"/>
    <col width="8.625" bestFit="1" customWidth="1" style="105" min="10525" max="10525"/>
    <col width="9.375" bestFit="1" customWidth="1" style="105" min="10526" max="10526"/>
    <col width="9.25" bestFit="1" customWidth="1" style="105" min="10527" max="10527"/>
    <col width="2.5" bestFit="1" customWidth="1" style="105" min="10528" max="10528"/>
    <col width="3.25" bestFit="1" customWidth="1" style="105" min="10529" max="10529"/>
    <col width="3.375" bestFit="1" customWidth="1" style="105" min="10530" max="10531"/>
    <col width="6.25" bestFit="1" customWidth="1" style="105" min="10532" max="10532"/>
    <col width="8.25" bestFit="1" customWidth="1" style="105" min="10533" max="10533"/>
    <col width="6.875" bestFit="1" customWidth="1" style="105" min="10534" max="10534"/>
    <col width="6.375" bestFit="1" customWidth="1" style="105" min="10535" max="10535"/>
    <col width="19.625" bestFit="1" customWidth="1" style="105" min="10536" max="10536"/>
    <col width="34.5" bestFit="1" customWidth="1" style="105" min="10537" max="10537"/>
    <col width="6.25" bestFit="1" customWidth="1" style="105" min="10538" max="10538"/>
    <col width="7.125" bestFit="1" customWidth="1" style="105" min="10539" max="10539"/>
    <col width="5.875" bestFit="1" customWidth="1" style="105" min="10540" max="10540"/>
    <col width="29.625" bestFit="1" customWidth="1" style="105" min="10541" max="10541"/>
    <col width="5.875" bestFit="1" customWidth="1" style="105" min="10542" max="10542"/>
    <col width="3.75" bestFit="1" customWidth="1" style="105" min="10543" max="10543"/>
    <col width="6.25" bestFit="1" customWidth="1" style="105" min="10544" max="10544"/>
    <col width="6.875" bestFit="1" customWidth="1" style="105" min="10545" max="10545"/>
    <col width="6.75" bestFit="1" customWidth="1" style="105" min="10546" max="10546"/>
    <col width="5.875" bestFit="1" customWidth="1" style="105" min="10547" max="10547"/>
    <col width="108.375" bestFit="1" customWidth="1" style="105" min="10548" max="10548"/>
    <col width="104.125" bestFit="1" customWidth="1" style="105" min="10549" max="10549"/>
    <col width="7" bestFit="1" customWidth="1" style="105" min="10550" max="10550"/>
    <col width="7.875" bestFit="1" customWidth="1" style="105" min="10551" max="10551"/>
    <col width="8.5" bestFit="1" customWidth="1" style="105" min="10552" max="10552"/>
    <col width="4.75" bestFit="1" customWidth="1" style="105" min="10553" max="10553"/>
    <col width="37.375" bestFit="1" customWidth="1" style="105" min="10554" max="10554"/>
    <col width="6.875" bestFit="1" customWidth="1" style="105" min="10555" max="10555"/>
    <col width="7.875" bestFit="1" customWidth="1" style="105" min="10556" max="10556"/>
    <col width="7.75" bestFit="1" customWidth="1" style="105" min="10557" max="10557"/>
    <col width="8" bestFit="1" customWidth="1" style="105" min="10558" max="10558"/>
    <col width="4.75" bestFit="1" customWidth="1" style="105" min="10559" max="10559"/>
    <col width="7.875" bestFit="1" customWidth="1" style="105" min="10560" max="10560"/>
    <col width="4" bestFit="1" customWidth="1" style="105" min="10561" max="10572"/>
    <col width="3.75" bestFit="1" customWidth="1" style="105" min="10573" max="10573"/>
    <col width="4" bestFit="1" customWidth="1" style="105" min="10574" max="10574"/>
    <col width="3.625" bestFit="1" customWidth="1" style="105" min="10575" max="10575"/>
    <col width="9.875" bestFit="1" customWidth="1" style="105" min="10576" max="10576"/>
    <col width="5" bestFit="1" customWidth="1" style="105" min="10577" max="10577"/>
    <col width="7.125" bestFit="1" customWidth="1" style="105" min="10578" max="10578"/>
    <col width="9.375" bestFit="1" customWidth="1" style="105" min="10579" max="10579"/>
    <col width="17.5" bestFit="1" customWidth="1" style="105" min="10580" max="10580"/>
    <col width="7.375" bestFit="1" customWidth="1" style="105" min="10581" max="10581"/>
    <col width="5.75" bestFit="1" customWidth="1" style="105" min="10582" max="10582"/>
    <col width="31.25" bestFit="1" customWidth="1" style="105" min="10583" max="10583"/>
    <col width="26" bestFit="1" customWidth="1" style="105" min="10584" max="10584"/>
    <col width="24.375" bestFit="1" customWidth="1" style="105" min="10585" max="10586"/>
    <col width="6.375" bestFit="1" customWidth="1" style="105" min="10587" max="10587"/>
    <col width="9.875" bestFit="1" customWidth="1" style="105" min="10588" max="10589"/>
    <col width="28.875" bestFit="1" customWidth="1" style="105" min="10590" max="10590"/>
    <col width="9.75" bestFit="1" customWidth="1" style="105" min="10591" max="10591"/>
    <col width="12.625" bestFit="1" customWidth="1" style="105" min="10592" max="10592"/>
    <col width="32.375" bestFit="1" customWidth="1" style="105" min="10593" max="10593"/>
    <col width="3.375" bestFit="1" customWidth="1" style="105" min="10594" max="10594"/>
    <col width="8" bestFit="1" customWidth="1" style="105" min="10595" max="10595"/>
    <col width="5.625" bestFit="1" customWidth="1" style="105" min="10596" max="10596"/>
    <col width="7.875" bestFit="1" customWidth="1" style="105" min="10597" max="10597"/>
    <col width="6" bestFit="1" customWidth="1" style="105" min="10598" max="10598"/>
    <col width="11.25" bestFit="1" customWidth="1" style="105" min="10599" max="10599"/>
    <col width="9" customWidth="1" style="105" min="10600" max="10752"/>
    <col width="13.125" bestFit="1" customWidth="1" style="105" min="10753" max="10753"/>
    <col width="10.875" bestFit="1" customWidth="1" style="105" min="10754" max="10754"/>
    <col width="4.625" bestFit="1" customWidth="1" style="105" min="10755" max="10755"/>
    <col width="7" bestFit="1" customWidth="1" style="105" min="10756" max="10756"/>
    <col width="5.125" bestFit="1" customWidth="1" style="105" min="10757" max="10757"/>
    <col width="3.25" bestFit="1" customWidth="1" style="105" min="10758" max="10762"/>
    <col width="3.5" bestFit="1" customWidth="1" style="105" min="10763" max="10763"/>
    <col width="3.375" bestFit="1" customWidth="1" style="105" min="10764" max="10765"/>
    <col width="4.625" bestFit="1" customWidth="1" style="105" min="10766" max="10766"/>
    <col width="4.875" bestFit="1" customWidth="1" style="105" min="10767" max="10767"/>
    <col width="5.25" bestFit="1" customWidth="1" style="105" min="10768" max="10768"/>
    <col width="4.875" bestFit="1" customWidth="1" style="105" min="10769" max="10769"/>
    <col width="7.875" bestFit="1" customWidth="1" style="105" min="10770" max="10770"/>
    <col width="4.375" bestFit="1" customWidth="1" style="105" min="10771" max="10771"/>
    <col width="5.5" bestFit="1" customWidth="1" style="105" min="10772" max="10772"/>
    <col width="5.75" bestFit="1" customWidth="1" style="105" min="10773" max="10773"/>
    <col width="7.875" bestFit="1" customWidth="1" style="105" min="10774" max="10774"/>
    <col width="5.125" bestFit="1" customWidth="1" style="105" min="10775" max="10775"/>
    <col width="4.625" bestFit="1" customWidth="1" style="105" min="10776" max="10776"/>
    <col width="7.875" bestFit="1" customWidth="1" style="105" min="10777" max="10777"/>
    <col width="6.125" bestFit="1" customWidth="1" style="105" min="10778" max="10778"/>
    <col width="32.375" bestFit="1" customWidth="1" style="105" min="10779" max="10779"/>
    <col width="32.875" bestFit="1" customWidth="1" style="105" min="10780" max="10780"/>
    <col width="8.625" bestFit="1" customWidth="1" style="105" min="10781" max="10781"/>
    <col width="9.375" bestFit="1" customWidth="1" style="105" min="10782" max="10782"/>
    <col width="9.25" bestFit="1" customWidth="1" style="105" min="10783" max="10783"/>
    <col width="2.5" bestFit="1" customWidth="1" style="105" min="10784" max="10784"/>
    <col width="3.25" bestFit="1" customWidth="1" style="105" min="10785" max="10785"/>
    <col width="3.375" bestFit="1" customWidth="1" style="105" min="10786" max="10787"/>
    <col width="6.25" bestFit="1" customWidth="1" style="105" min="10788" max="10788"/>
    <col width="8.25" bestFit="1" customWidth="1" style="105" min="10789" max="10789"/>
    <col width="6.875" bestFit="1" customWidth="1" style="105" min="10790" max="10790"/>
    <col width="6.375" bestFit="1" customWidth="1" style="105" min="10791" max="10791"/>
    <col width="19.625" bestFit="1" customWidth="1" style="105" min="10792" max="10792"/>
    <col width="34.5" bestFit="1" customWidth="1" style="105" min="10793" max="10793"/>
    <col width="6.25" bestFit="1" customWidth="1" style="105" min="10794" max="10794"/>
    <col width="7.125" bestFit="1" customWidth="1" style="105" min="10795" max="10795"/>
    <col width="5.875" bestFit="1" customWidth="1" style="105" min="10796" max="10796"/>
    <col width="29.625" bestFit="1" customWidth="1" style="105" min="10797" max="10797"/>
    <col width="5.875" bestFit="1" customWidth="1" style="105" min="10798" max="10798"/>
    <col width="3.75" bestFit="1" customWidth="1" style="105" min="10799" max="10799"/>
    <col width="6.25" bestFit="1" customWidth="1" style="105" min="10800" max="10800"/>
    <col width="6.875" bestFit="1" customWidth="1" style="105" min="10801" max="10801"/>
    <col width="6.75" bestFit="1" customWidth="1" style="105" min="10802" max="10802"/>
    <col width="5.875" bestFit="1" customWidth="1" style="105" min="10803" max="10803"/>
    <col width="108.375" bestFit="1" customWidth="1" style="105" min="10804" max="10804"/>
    <col width="104.125" bestFit="1" customWidth="1" style="105" min="10805" max="10805"/>
    <col width="7" bestFit="1" customWidth="1" style="105" min="10806" max="10806"/>
    <col width="7.875" bestFit="1" customWidth="1" style="105" min="10807" max="10807"/>
    <col width="8.5" bestFit="1" customWidth="1" style="105" min="10808" max="10808"/>
    <col width="4.75" bestFit="1" customWidth="1" style="105" min="10809" max="10809"/>
    <col width="37.375" bestFit="1" customWidth="1" style="105" min="10810" max="10810"/>
    <col width="6.875" bestFit="1" customWidth="1" style="105" min="10811" max="10811"/>
    <col width="7.875" bestFit="1" customWidth="1" style="105" min="10812" max="10812"/>
    <col width="7.75" bestFit="1" customWidth="1" style="105" min="10813" max="10813"/>
    <col width="8" bestFit="1" customWidth="1" style="105" min="10814" max="10814"/>
    <col width="4.75" bestFit="1" customWidth="1" style="105" min="10815" max="10815"/>
    <col width="7.875" bestFit="1" customWidth="1" style="105" min="10816" max="10816"/>
    <col width="4" bestFit="1" customWidth="1" style="105" min="10817" max="10828"/>
    <col width="3.75" bestFit="1" customWidth="1" style="105" min="10829" max="10829"/>
    <col width="4" bestFit="1" customWidth="1" style="105" min="10830" max="10830"/>
    <col width="3.625" bestFit="1" customWidth="1" style="105" min="10831" max="10831"/>
    <col width="9.875" bestFit="1" customWidth="1" style="105" min="10832" max="10832"/>
    <col width="5" bestFit="1" customWidth="1" style="105" min="10833" max="10833"/>
    <col width="7.125" bestFit="1" customWidth="1" style="105" min="10834" max="10834"/>
    <col width="9.375" bestFit="1" customWidth="1" style="105" min="10835" max="10835"/>
    <col width="17.5" bestFit="1" customWidth="1" style="105" min="10836" max="10836"/>
    <col width="7.375" bestFit="1" customWidth="1" style="105" min="10837" max="10837"/>
    <col width="5.75" bestFit="1" customWidth="1" style="105" min="10838" max="10838"/>
    <col width="31.25" bestFit="1" customWidth="1" style="105" min="10839" max="10839"/>
    <col width="26" bestFit="1" customWidth="1" style="105" min="10840" max="10840"/>
    <col width="24.375" bestFit="1" customWidth="1" style="105" min="10841" max="10842"/>
    <col width="6.375" bestFit="1" customWidth="1" style="105" min="10843" max="10843"/>
    <col width="9.875" bestFit="1" customWidth="1" style="105" min="10844" max="10845"/>
    <col width="28.875" bestFit="1" customWidth="1" style="105" min="10846" max="10846"/>
    <col width="9.75" bestFit="1" customWidth="1" style="105" min="10847" max="10847"/>
    <col width="12.625" bestFit="1" customWidth="1" style="105" min="10848" max="10848"/>
    <col width="32.375" bestFit="1" customWidth="1" style="105" min="10849" max="10849"/>
    <col width="3.375" bestFit="1" customWidth="1" style="105" min="10850" max="10850"/>
    <col width="8" bestFit="1" customWidth="1" style="105" min="10851" max="10851"/>
    <col width="5.625" bestFit="1" customWidth="1" style="105" min="10852" max="10852"/>
    <col width="7.875" bestFit="1" customWidth="1" style="105" min="10853" max="10853"/>
    <col width="6" bestFit="1" customWidth="1" style="105" min="10854" max="10854"/>
    <col width="11.25" bestFit="1" customWidth="1" style="105" min="10855" max="10855"/>
    <col width="9" customWidth="1" style="105" min="10856" max="11008"/>
    <col width="13.125" bestFit="1" customWidth="1" style="105" min="11009" max="11009"/>
    <col width="10.875" bestFit="1" customWidth="1" style="105" min="11010" max="11010"/>
    <col width="4.625" bestFit="1" customWidth="1" style="105" min="11011" max="11011"/>
    <col width="7" bestFit="1" customWidth="1" style="105" min="11012" max="11012"/>
    <col width="5.125" bestFit="1" customWidth="1" style="105" min="11013" max="11013"/>
    <col width="3.25" bestFit="1" customWidth="1" style="105" min="11014" max="11018"/>
    <col width="3.5" bestFit="1" customWidth="1" style="105" min="11019" max="11019"/>
    <col width="3.375" bestFit="1" customWidth="1" style="105" min="11020" max="11021"/>
    <col width="4.625" bestFit="1" customWidth="1" style="105" min="11022" max="11022"/>
    <col width="4.875" bestFit="1" customWidth="1" style="105" min="11023" max="11023"/>
    <col width="5.25" bestFit="1" customWidth="1" style="105" min="11024" max="11024"/>
    <col width="4.875" bestFit="1" customWidth="1" style="105" min="11025" max="11025"/>
    <col width="7.875" bestFit="1" customWidth="1" style="105" min="11026" max="11026"/>
    <col width="4.375" bestFit="1" customWidth="1" style="105" min="11027" max="11027"/>
    <col width="5.5" bestFit="1" customWidth="1" style="105" min="11028" max="11028"/>
    <col width="5.75" bestFit="1" customWidth="1" style="105" min="11029" max="11029"/>
    <col width="7.875" bestFit="1" customWidth="1" style="105" min="11030" max="11030"/>
    <col width="5.125" bestFit="1" customWidth="1" style="105" min="11031" max="11031"/>
    <col width="4.625" bestFit="1" customWidth="1" style="105" min="11032" max="11032"/>
    <col width="7.875" bestFit="1" customWidth="1" style="105" min="11033" max="11033"/>
    <col width="6.125" bestFit="1" customWidth="1" style="105" min="11034" max="11034"/>
    <col width="32.375" bestFit="1" customWidth="1" style="105" min="11035" max="11035"/>
    <col width="32.875" bestFit="1" customWidth="1" style="105" min="11036" max="11036"/>
    <col width="8.625" bestFit="1" customWidth="1" style="105" min="11037" max="11037"/>
    <col width="9.375" bestFit="1" customWidth="1" style="105" min="11038" max="11038"/>
    <col width="9.25" bestFit="1" customWidth="1" style="105" min="11039" max="11039"/>
    <col width="2.5" bestFit="1" customWidth="1" style="105" min="11040" max="11040"/>
    <col width="3.25" bestFit="1" customWidth="1" style="105" min="11041" max="11041"/>
    <col width="3.375" bestFit="1" customWidth="1" style="105" min="11042" max="11043"/>
    <col width="6.25" bestFit="1" customWidth="1" style="105" min="11044" max="11044"/>
    <col width="8.25" bestFit="1" customWidth="1" style="105" min="11045" max="11045"/>
    <col width="6.875" bestFit="1" customWidth="1" style="105" min="11046" max="11046"/>
    <col width="6.375" bestFit="1" customWidth="1" style="105" min="11047" max="11047"/>
    <col width="19.625" bestFit="1" customWidth="1" style="105" min="11048" max="11048"/>
    <col width="34.5" bestFit="1" customWidth="1" style="105" min="11049" max="11049"/>
    <col width="6.25" bestFit="1" customWidth="1" style="105" min="11050" max="11050"/>
    <col width="7.125" bestFit="1" customWidth="1" style="105" min="11051" max="11051"/>
    <col width="5.875" bestFit="1" customWidth="1" style="105" min="11052" max="11052"/>
    <col width="29.625" bestFit="1" customWidth="1" style="105" min="11053" max="11053"/>
    <col width="5.875" bestFit="1" customWidth="1" style="105" min="11054" max="11054"/>
    <col width="3.75" bestFit="1" customWidth="1" style="105" min="11055" max="11055"/>
    <col width="6.25" bestFit="1" customWidth="1" style="105" min="11056" max="11056"/>
    <col width="6.875" bestFit="1" customWidth="1" style="105" min="11057" max="11057"/>
    <col width="6.75" bestFit="1" customWidth="1" style="105" min="11058" max="11058"/>
    <col width="5.875" bestFit="1" customWidth="1" style="105" min="11059" max="11059"/>
    <col width="108.375" bestFit="1" customWidth="1" style="105" min="11060" max="11060"/>
    <col width="104.125" bestFit="1" customWidth="1" style="105" min="11061" max="11061"/>
    <col width="7" bestFit="1" customWidth="1" style="105" min="11062" max="11062"/>
    <col width="7.875" bestFit="1" customWidth="1" style="105" min="11063" max="11063"/>
    <col width="8.5" bestFit="1" customWidth="1" style="105" min="11064" max="11064"/>
    <col width="4.75" bestFit="1" customWidth="1" style="105" min="11065" max="11065"/>
    <col width="37.375" bestFit="1" customWidth="1" style="105" min="11066" max="11066"/>
    <col width="6.875" bestFit="1" customWidth="1" style="105" min="11067" max="11067"/>
    <col width="7.875" bestFit="1" customWidth="1" style="105" min="11068" max="11068"/>
    <col width="7.75" bestFit="1" customWidth="1" style="105" min="11069" max="11069"/>
    <col width="8" bestFit="1" customWidth="1" style="105" min="11070" max="11070"/>
    <col width="4.75" bestFit="1" customWidth="1" style="105" min="11071" max="11071"/>
    <col width="7.875" bestFit="1" customWidth="1" style="105" min="11072" max="11072"/>
    <col width="4" bestFit="1" customWidth="1" style="105" min="11073" max="11084"/>
    <col width="3.75" bestFit="1" customWidth="1" style="105" min="11085" max="11085"/>
    <col width="4" bestFit="1" customWidth="1" style="105" min="11086" max="11086"/>
    <col width="3.625" bestFit="1" customWidth="1" style="105" min="11087" max="11087"/>
    <col width="9.875" bestFit="1" customWidth="1" style="105" min="11088" max="11088"/>
    <col width="5" bestFit="1" customWidth="1" style="105" min="11089" max="11089"/>
    <col width="7.125" bestFit="1" customWidth="1" style="105" min="11090" max="11090"/>
    <col width="9.375" bestFit="1" customWidth="1" style="105" min="11091" max="11091"/>
    <col width="17.5" bestFit="1" customWidth="1" style="105" min="11092" max="11092"/>
    <col width="7.375" bestFit="1" customWidth="1" style="105" min="11093" max="11093"/>
    <col width="5.75" bestFit="1" customWidth="1" style="105" min="11094" max="11094"/>
    <col width="31.25" bestFit="1" customWidth="1" style="105" min="11095" max="11095"/>
    <col width="26" bestFit="1" customWidth="1" style="105" min="11096" max="11096"/>
    <col width="24.375" bestFit="1" customWidth="1" style="105" min="11097" max="11098"/>
    <col width="6.375" bestFit="1" customWidth="1" style="105" min="11099" max="11099"/>
    <col width="9.875" bestFit="1" customWidth="1" style="105" min="11100" max="11101"/>
    <col width="28.875" bestFit="1" customWidth="1" style="105" min="11102" max="11102"/>
    <col width="9.75" bestFit="1" customWidth="1" style="105" min="11103" max="11103"/>
    <col width="12.625" bestFit="1" customWidth="1" style="105" min="11104" max="11104"/>
    <col width="32.375" bestFit="1" customWidth="1" style="105" min="11105" max="11105"/>
    <col width="3.375" bestFit="1" customWidth="1" style="105" min="11106" max="11106"/>
    <col width="8" bestFit="1" customWidth="1" style="105" min="11107" max="11107"/>
    <col width="5.625" bestFit="1" customWidth="1" style="105" min="11108" max="11108"/>
    <col width="7.875" bestFit="1" customWidth="1" style="105" min="11109" max="11109"/>
    <col width="6" bestFit="1" customWidth="1" style="105" min="11110" max="11110"/>
    <col width="11.25" bestFit="1" customWidth="1" style="105" min="11111" max="11111"/>
    <col width="9" customWidth="1" style="105" min="11112" max="11264"/>
    <col width="13.125" bestFit="1" customWidth="1" style="105" min="11265" max="11265"/>
    <col width="10.875" bestFit="1" customWidth="1" style="105" min="11266" max="11266"/>
    <col width="4.625" bestFit="1" customWidth="1" style="105" min="11267" max="11267"/>
    <col width="7" bestFit="1" customWidth="1" style="105" min="11268" max="11268"/>
    <col width="5.125" bestFit="1" customWidth="1" style="105" min="11269" max="11269"/>
    <col width="3.25" bestFit="1" customWidth="1" style="105" min="11270" max="11274"/>
    <col width="3.5" bestFit="1" customWidth="1" style="105" min="11275" max="11275"/>
    <col width="3.375" bestFit="1" customWidth="1" style="105" min="11276" max="11277"/>
    <col width="4.625" bestFit="1" customWidth="1" style="105" min="11278" max="11278"/>
    <col width="4.875" bestFit="1" customWidth="1" style="105" min="11279" max="11279"/>
    <col width="5.25" bestFit="1" customWidth="1" style="105" min="11280" max="11280"/>
    <col width="4.875" bestFit="1" customWidth="1" style="105" min="11281" max="11281"/>
    <col width="7.875" bestFit="1" customWidth="1" style="105" min="11282" max="11282"/>
    <col width="4.375" bestFit="1" customWidth="1" style="105" min="11283" max="11283"/>
    <col width="5.5" bestFit="1" customWidth="1" style="105" min="11284" max="11284"/>
    <col width="5.75" bestFit="1" customWidth="1" style="105" min="11285" max="11285"/>
    <col width="7.875" bestFit="1" customWidth="1" style="105" min="11286" max="11286"/>
    <col width="5.125" bestFit="1" customWidth="1" style="105" min="11287" max="11287"/>
    <col width="4.625" bestFit="1" customWidth="1" style="105" min="11288" max="11288"/>
    <col width="7.875" bestFit="1" customWidth="1" style="105" min="11289" max="11289"/>
    <col width="6.125" bestFit="1" customWidth="1" style="105" min="11290" max="11290"/>
    <col width="32.375" bestFit="1" customWidth="1" style="105" min="11291" max="11291"/>
    <col width="32.875" bestFit="1" customWidth="1" style="105" min="11292" max="11292"/>
    <col width="8.625" bestFit="1" customWidth="1" style="105" min="11293" max="11293"/>
    <col width="9.375" bestFit="1" customWidth="1" style="105" min="11294" max="11294"/>
    <col width="9.25" bestFit="1" customWidth="1" style="105" min="11295" max="11295"/>
    <col width="2.5" bestFit="1" customWidth="1" style="105" min="11296" max="11296"/>
    <col width="3.25" bestFit="1" customWidth="1" style="105" min="11297" max="11297"/>
    <col width="3.375" bestFit="1" customWidth="1" style="105" min="11298" max="11299"/>
    <col width="6.25" bestFit="1" customWidth="1" style="105" min="11300" max="11300"/>
    <col width="8.25" bestFit="1" customWidth="1" style="105" min="11301" max="11301"/>
    <col width="6.875" bestFit="1" customWidth="1" style="105" min="11302" max="11302"/>
    <col width="6.375" bestFit="1" customWidth="1" style="105" min="11303" max="11303"/>
    <col width="19.625" bestFit="1" customWidth="1" style="105" min="11304" max="11304"/>
    <col width="34.5" bestFit="1" customWidth="1" style="105" min="11305" max="11305"/>
    <col width="6.25" bestFit="1" customWidth="1" style="105" min="11306" max="11306"/>
    <col width="7.125" bestFit="1" customWidth="1" style="105" min="11307" max="11307"/>
    <col width="5.875" bestFit="1" customWidth="1" style="105" min="11308" max="11308"/>
    <col width="29.625" bestFit="1" customWidth="1" style="105" min="11309" max="11309"/>
    <col width="5.875" bestFit="1" customWidth="1" style="105" min="11310" max="11310"/>
    <col width="3.75" bestFit="1" customWidth="1" style="105" min="11311" max="11311"/>
    <col width="6.25" bestFit="1" customWidth="1" style="105" min="11312" max="11312"/>
    <col width="6.875" bestFit="1" customWidth="1" style="105" min="11313" max="11313"/>
    <col width="6.75" bestFit="1" customWidth="1" style="105" min="11314" max="11314"/>
    <col width="5.875" bestFit="1" customWidth="1" style="105" min="11315" max="11315"/>
    <col width="108.375" bestFit="1" customWidth="1" style="105" min="11316" max="11316"/>
    <col width="104.125" bestFit="1" customWidth="1" style="105" min="11317" max="11317"/>
    <col width="7" bestFit="1" customWidth="1" style="105" min="11318" max="11318"/>
    <col width="7.875" bestFit="1" customWidth="1" style="105" min="11319" max="11319"/>
    <col width="8.5" bestFit="1" customWidth="1" style="105" min="11320" max="11320"/>
    <col width="4.75" bestFit="1" customWidth="1" style="105" min="11321" max="11321"/>
    <col width="37.375" bestFit="1" customWidth="1" style="105" min="11322" max="11322"/>
    <col width="6.875" bestFit="1" customWidth="1" style="105" min="11323" max="11323"/>
    <col width="7.875" bestFit="1" customWidth="1" style="105" min="11324" max="11324"/>
    <col width="7.75" bestFit="1" customWidth="1" style="105" min="11325" max="11325"/>
    <col width="8" bestFit="1" customWidth="1" style="105" min="11326" max="11326"/>
    <col width="4.75" bestFit="1" customWidth="1" style="105" min="11327" max="11327"/>
    <col width="7.875" bestFit="1" customWidth="1" style="105" min="11328" max="11328"/>
    <col width="4" bestFit="1" customWidth="1" style="105" min="11329" max="11340"/>
    <col width="3.75" bestFit="1" customWidth="1" style="105" min="11341" max="11341"/>
    <col width="4" bestFit="1" customWidth="1" style="105" min="11342" max="11342"/>
    <col width="3.625" bestFit="1" customWidth="1" style="105" min="11343" max="11343"/>
    <col width="9.875" bestFit="1" customWidth="1" style="105" min="11344" max="11344"/>
    <col width="5" bestFit="1" customWidth="1" style="105" min="11345" max="11345"/>
    <col width="7.125" bestFit="1" customWidth="1" style="105" min="11346" max="11346"/>
    <col width="9.375" bestFit="1" customWidth="1" style="105" min="11347" max="11347"/>
    <col width="17.5" bestFit="1" customWidth="1" style="105" min="11348" max="11348"/>
    <col width="7.375" bestFit="1" customWidth="1" style="105" min="11349" max="11349"/>
    <col width="5.75" bestFit="1" customWidth="1" style="105" min="11350" max="11350"/>
    <col width="31.25" bestFit="1" customWidth="1" style="105" min="11351" max="11351"/>
    <col width="26" bestFit="1" customWidth="1" style="105" min="11352" max="11352"/>
    <col width="24.375" bestFit="1" customWidth="1" style="105" min="11353" max="11354"/>
    <col width="6.375" bestFit="1" customWidth="1" style="105" min="11355" max="11355"/>
    <col width="9.875" bestFit="1" customWidth="1" style="105" min="11356" max="11357"/>
    <col width="28.875" bestFit="1" customWidth="1" style="105" min="11358" max="11358"/>
    <col width="9.75" bestFit="1" customWidth="1" style="105" min="11359" max="11359"/>
    <col width="12.625" bestFit="1" customWidth="1" style="105" min="11360" max="11360"/>
    <col width="32.375" bestFit="1" customWidth="1" style="105" min="11361" max="11361"/>
    <col width="3.375" bestFit="1" customWidth="1" style="105" min="11362" max="11362"/>
    <col width="8" bestFit="1" customWidth="1" style="105" min="11363" max="11363"/>
    <col width="5.625" bestFit="1" customWidth="1" style="105" min="11364" max="11364"/>
    <col width="7.875" bestFit="1" customWidth="1" style="105" min="11365" max="11365"/>
    <col width="6" bestFit="1" customWidth="1" style="105" min="11366" max="11366"/>
    <col width="11.25" bestFit="1" customWidth="1" style="105" min="11367" max="11367"/>
    <col width="9" customWidth="1" style="105" min="11368" max="11520"/>
    <col width="13.125" bestFit="1" customWidth="1" style="105" min="11521" max="11521"/>
    <col width="10.875" bestFit="1" customWidth="1" style="105" min="11522" max="11522"/>
    <col width="4.625" bestFit="1" customWidth="1" style="105" min="11523" max="11523"/>
    <col width="7" bestFit="1" customWidth="1" style="105" min="11524" max="11524"/>
    <col width="5.125" bestFit="1" customWidth="1" style="105" min="11525" max="11525"/>
    <col width="3.25" bestFit="1" customWidth="1" style="105" min="11526" max="11530"/>
    <col width="3.5" bestFit="1" customWidth="1" style="105" min="11531" max="11531"/>
    <col width="3.375" bestFit="1" customWidth="1" style="105" min="11532" max="11533"/>
    <col width="4.625" bestFit="1" customWidth="1" style="105" min="11534" max="11534"/>
    <col width="4.875" bestFit="1" customWidth="1" style="105" min="11535" max="11535"/>
    <col width="5.25" bestFit="1" customWidth="1" style="105" min="11536" max="11536"/>
    <col width="4.875" bestFit="1" customWidth="1" style="105" min="11537" max="11537"/>
    <col width="7.875" bestFit="1" customWidth="1" style="105" min="11538" max="11538"/>
    <col width="4.375" bestFit="1" customWidth="1" style="105" min="11539" max="11539"/>
    <col width="5.5" bestFit="1" customWidth="1" style="105" min="11540" max="11540"/>
    <col width="5.75" bestFit="1" customWidth="1" style="105" min="11541" max="11541"/>
    <col width="7.875" bestFit="1" customWidth="1" style="105" min="11542" max="11542"/>
    <col width="5.125" bestFit="1" customWidth="1" style="105" min="11543" max="11543"/>
    <col width="4.625" bestFit="1" customWidth="1" style="105" min="11544" max="11544"/>
    <col width="7.875" bestFit="1" customWidth="1" style="105" min="11545" max="11545"/>
    <col width="6.125" bestFit="1" customWidth="1" style="105" min="11546" max="11546"/>
    <col width="32.375" bestFit="1" customWidth="1" style="105" min="11547" max="11547"/>
    <col width="32.875" bestFit="1" customWidth="1" style="105" min="11548" max="11548"/>
    <col width="8.625" bestFit="1" customWidth="1" style="105" min="11549" max="11549"/>
    <col width="9.375" bestFit="1" customWidth="1" style="105" min="11550" max="11550"/>
    <col width="9.25" bestFit="1" customWidth="1" style="105" min="11551" max="11551"/>
    <col width="2.5" bestFit="1" customWidth="1" style="105" min="11552" max="11552"/>
    <col width="3.25" bestFit="1" customWidth="1" style="105" min="11553" max="11553"/>
    <col width="3.375" bestFit="1" customWidth="1" style="105" min="11554" max="11555"/>
    <col width="6.25" bestFit="1" customWidth="1" style="105" min="11556" max="11556"/>
    <col width="8.25" bestFit="1" customWidth="1" style="105" min="11557" max="11557"/>
    <col width="6.875" bestFit="1" customWidth="1" style="105" min="11558" max="11558"/>
    <col width="6.375" bestFit="1" customWidth="1" style="105" min="11559" max="11559"/>
    <col width="19.625" bestFit="1" customWidth="1" style="105" min="11560" max="11560"/>
    <col width="34.5" bestFit="1" customWidth="1" style="105" min="11561" max="11561"/>
    <col width="6.25" bestFit="1" customWidth="1" style="105" min="11562" max="11562"/>
    <col width="7.125" bestFit="1" customWidth="1" style="105" min="11563" max="11563"/>
    <col width="5.875" bestFit="1" customWidth="1" style="105" min="11564" max="11564"/>
    <col width="29.625" bestFit="1" customWidth="1" style="105" min="11565" max="11565"/>
    <col width="5.875" bestFit="1" customWidth="1" style="105" min="11566" max="11566"/>
    <col width="3.75" bestFit="1" customWidth="1" style="105" min="11567" max="11567"/>
    <col width="6.25" bestFit="1" customWidth="1" style="105" min="11568" max="11568"/>
    <col width="6.875" bestFit="1" customWidth="1" style="105" min="11569" max="11569"/>
    <col width="6.75" bestFit="1" customWidth="1" style="105" min="11570" max="11570"/>
    <col width="5.875" bestFit="1" customWidth="1" style="105" min="11571" max="11571"/>
    <col width="108.375" bestFit="1" customWidth="1" style="105" min="11572" max="11572"/>
    <col width="104.125" bestFit="1" customWidth="1" style="105" min="11573" max="11573"/>
    <col width="7" bestFit="1" customWidth="1" style="105" min="11574" max="11574"/>
    <col width="7.875" bestFit="1" customWidth="1" style="105" min="11575" max="11575"/>
    <col width="8.5" bestFit="1" customWidth="1" style="105" min="11576" max="11576"/>
    <col width="4.75" bestFit="1" customWidth="1" style="105" min="11577" max="11577"/>
    <col width="37.375" bestFit="1" customWidth="1" style="105" min="11578" max="11578"/>
    <col width="6.875" bestFit="1" customWidth="1" style="105" min="11579" max="11579"/>
    <col width="7.875" bestFit="1" customWidth="1" style="105" min="11580" max="11580"/>
    <col width="7.75" bestFit="1" customWidth="1" style="105" min="11581" max="11581"/>
    <col width="8" bestFit="1" customWidth="1" style="105" min="11582" max="11582"/>
    <col width="4.75" bestFit="1" customWidth="1" style="105" min="11583" max="11583"/>
    <col width="7.875" bestFit="1" customWidth="1" style="105" min="11584" max="11584"/>
    <col width="4" bestFit="1" customWidth="1" style="105" min="11585" max="11596"/>
    <col width="3.75" bestFit="1" customWidth="1" style="105" min="11597" max="11597"/>
    <col width="4" bestFit="1" customWidth="1" style="105" min="11598" max="11598"/>
    <col width="3.625" bestFit="1" customWidth="1" style="105" min="11599" max="11599"/>
    <col width="9.875" bestFit="1" customWidth="1" style="105" min="11600" max="11600"/>
    <col width="5" bestFit="1" customWidth="1" style="105" min="11601" max="11601"/>
    <col width="7.125" bestFit="1" customWidth="1" style="105" min="11602" max="11602"/>
    <col width="9.375" bestFit="1" customWidth="1" style="105" min="11603" max="11603"/>
    <col width="17.5" bestFit="1" customWidth="1" style="105" min="11604" max="11604"/>
    <col width="7.375" bestFit="1" customWidth="1" style="105" min="11605" max="11605"/>
    <col width="5.75" bestFit="1" customWidth="1" style="105" min="11606" max="11606"/>
    <col width="31.25" bestFit="1" customWidth="1" style="105" min="11607" max="11607"/>
    <col width="26" bestFit="1" customWidth="1" style="105" min="11608" max="11608"/>
    <col width="24.375" bestFit="1" customWidth="1" style="105" min="11609" max="11610"/>
    <col width="6.375" bestFit="1" customWidth="1" style="105" min="11611" max="11611"/>
    <col width="9.875" bestFit="1" customWidth="1" style="105" min="11612" max="11613"/>
    <col width="28.875" bestFit="1" customWidth="1" style="105" min="11614" max="11614"/>
    <col width="9.75" bestFit="1" customWidth="1" style="105" min="11615" max="11615"/>
    <col width="12.625" bestFit="1" customWidth="1" style="105" min="11616" max="11616"/>
    <col width="32.375" bestFit="1" customWidth="1" style="105" min="11617" max="11617"/>
    <col width="3.375" bestFit="1" customWidth="1" style="105" min="11618" max="11618"/>
    <col width="8" bestFit="1" customWidth="1" style="105" min="11619" max="11619"/>
    <col width="5.625" bestFit="1" customWidth="1" style="105" min="11620" max="11620"/>
    <col width="7.875" bestFit="1" customWidth="1" style="105" min="11621" max="11621"/>
    <col width="6" bestFit="1" customWidth="1" style="105" min="11622" max="11622"/>
    <col width="11.25" bestFit="1" customWidth="1" style="105" min="11623" max="11623"/>
    <col width="9" customWidth="1" style="105" min="11624" max="11776"/>
    <col width="13.125" bestFit="1" customWidth="1" style="105" min="11777" max="11777"/>
    <col width="10.875" bestFit="1" customWidth="1" style="105" min="11778" max="11778"/>
    <col width="4.625" bestFit="1" customWidth="1" style="105" min="11779" max="11779"/>
    <col width="7" bestFit="1" customWidth="1" style="105" min="11780" max="11780"/>
    <col width="5.125" bestFit="1" customWidth="1" style="105" min="11781" max="11781"/>
    <col width="3.25" bestFit="1" customWidth="1" style="105" min="11782" max="11786"/>
    <col width="3.5" bestFit="1" customWidth="1" style="105" min="11787" max="11787"/>
    <col width="3.375" bestFit="1" customWidth="1" style="105" min="11788" max="11789"/>
    <col width="4.625" bestFit="1" customWidth="1" style="105" min="11790" max="11790"/>
    <col width="4.875" bestFit="1" customWidth="1" style="105" min="11791" max="11791"/>
    <col width="5.25" bestFit="1" customWidth="1" style="105" min="11792" max="11792"/>
    <col width="4.875" bestFit="1" customWidth="1" style="105" min="11793" max="11793"/>
    <col width="7.875" bestFit="1" customWidth="1" style="105" min="11794" max="11794"/>
    <col width="4.375" bestFit="1" customWidth="1" style="105" min="11795" max="11795"/>
    <col width="5.5" bestFit="1" customWidth="1" style="105" min="11796" max="11796"/>
    <col width="5.75" bestFit="1" customWidth="1" style="105" min="11797" max="11797"/>
    <col width="7.875" bestFit="1" customWidth="1" style="105" min="11798" max="11798"/>
    <col width="5.125" bestFit="1" customWidth="1" style="105" min="11799" max="11799"/>
    <col width="4.625" bestFit="1" customWidth="1" style="105" min="11800" max="11800"/>
    <col width="7.875" bestFit="1" customWidth="1" style="105" min="11801" max="11801"/>
    <col width="6.125" bestFit="1" customWidth="1" style="105" min="11802" max="11802"/>
    <col width="32.375" bestFit="1" customWidth="1" style="105" min="11803" max="11803"/>
    <col width="32.875" bestFit="1" customWidth="1" style="105" min="11804" max="11804"/>
    <col width="8.625" bestFit="1" customWidth="1" style="105" min="11805" max="11805"/>
    <col width="9.375" bestFit="1" customWidth="1" style="105" min="11806" max="11806"/>
    <col width="9.25" bestFit="1" customWidth="1" style="105" min="11807" max="11807"/>
    <col width="2.5" bestFit="1" customWidth="1" style="105" min="11808" max="11808"/>
    <col width="3.25" bestFit="1" customWidth="1" style="105" min="11809" max="11809"/>
    <col width="3.375" bestFit="1" customWidth="1" style="105" min="11810" max="11811"/>
    <col width="6.25" bestFit="1" customWidth="1" style="105" min="11812" max="11812"/>
    <col width="8.25" bestFit="1" customWidth="1" style="105" min="11813" max="11813"/>
    <col width="6.875" bestFit="1" customWidth="1" style="105" min="11814" max="11814"/>
    <col width="6.375" bestFit="1" customWidth="1" style="105" min="11815" max="11815"/>
    <col width="19.625" bestFit="1" customWidth="1" style="105" min="11816" max="11816"/>
    <col width="34.5" bestFit="1" customWidth="1" style="105" min="11817" max="11817"/>
    <col width="6.25" bestFit="1" customWidth="1" style="105" min="11818" max="11818"/>
    <col width="7.125" bestFit="1" customWidth="1" style="105" min="11819" max="11819"/>
    <col width="5.875" bestFit="1" customWidth="1" style="105" min="11820" max="11820"/>
    <col width="29.625" bestFit="1" customWidth="1" style="105" min="11821" max="11821"/>
    <col width="5.875" bestFit="1" customWidth="1" style="105" min="11822" max="11822"/>
    <col width="3.75" bestFit="1" customWidth="1" style="105" min="11823" max="11823"/>
    <col width="6.25" bestFit="1" customWidth="1" style="105" min="11824" max="11824"/>
    <col width="6.875" bestFit="1" customWidth="1" style="105" min="11825" max="11825"/>
    <col width="6.75" bestFit="1" customWidth="1" style="105" min="11826" max="11826"/>
    <col width="5.875" bestFit="1" customWidth="1" style="105" min="11827" max="11827"/>
    <col width="108.375" bestFit="1" customWidth="1" style="105" min="11828" max="11828"/>
    <col width="104.125" bestFit="1" customWidth="1" style="105" min="11829" max="11829"/>
    <col width="7" bestFit="1" customWidth="1" style="105" min="11830" max="11830"/>
    <col width="7.875" bestFit="1" customWidth="1" style="105" min="11831" max="11831"/>
    <col width="8.5" bestFit="1" customWidth="1" style="105" min="11832" max="11832"/>
    <col width="4.75" bestFit="1" customWidth="1" style="105" min="11833" max="11833"/>
    <col width="37.375" bestFit="1" customWidth="1" style="105" min="11834" max="11834"/>
    <col width="6.875" bestFit="1" customWidth="1" style="105" min="11835" max="11835"/>
    <col width="7.875" bestFit="1" customWidth="1" style="105" min="11836" max="11836"/>
    <col width="7.75" bestFit="1" customWidth="1" style="105" min="11837" max="11837"/>
    <col width="8" bestFit="1" customWidth="1" style="105" min="11838" max="11838"/>
    <col width="4.75" bestFit="1" customWidth="1" style="105" min="11839" max="11839"/>
    <col width="7.875" bestFit="1" customWidth="1" style="105" min="11840" max="11840"/>
    <col width="4" bestFit="1" customWidth="1" style="105" min="11841" max="11852"/>
    <col width="3.75" bestFit="1" customWidth="1" style="105" min="11853" max="11853"/>
    <col width="4" bestFit="1" customWidth="1" style="105" min="11854" max="11854"/>
    <col width="3.625" bestFit="1" customWidth="1" style="105" min="11855" max="11855"/>
    <col width="9.875" bestFit="1" customWidth="1" style="105" min="11856" max="11856"/>
    <col width="5" bestFit="1" customWidth="1" style="105" min="11857" max="11857"/>
    <col width="7.125" bestFit="1" customWidth="1" style="105" min="11858" max="11858"/>
    <col width="9.375" bestFit="1" customWidth="1" style="105" min="11859" max="11859"/>
    <col width="17.5" bestFit="1" customWidth="1" style="105" min="11860" max="11860"/>
    <col width="7.375" bestFit="1" customWidth="1" style="105" min="11861" max="11861"/>
    <col width="5.75" bestFit="1" customWidth="1" style="105" min="11862" max="11862"/>
    <col width="31.25" bestFit="1" customWidth="1" style="105" min="11863" max="11863"/>
    <col width="26" bestFit="1" customWidth="1" style="105" min="11864" max="11864"/>
    <col width="24.375" bestFit="1" customWidth="1" style="105" min="11865" max="11866"/>
    <col width="6.375" bestFit="1" customWidth="1" style="105" min="11867" max="11867"/>
    <col width="9.875" bestFit="1" customWidth="1" style="105" min="11868" max="11869"/>
    <col width="28.875" bestFit="1" customWidth="1" style="105" min="11870" max="11870"/>
    <col width="9.75" bestFit="1" customWidth="1" style="105" min="11871" max="11871"/>
    <col width="12.625" bestFit="1" customWidth="1" style="105" min="11872" max="11872"/>
    <col width="32.375" bestFit="1" customWidth="1" style="105" min="11873" max="11873"/>
    <col width="3.375" bestFit="1" customWidth="1" style="105" min="11874" max="11874"/>
    <col width="8" bestFit="1" customWidth="1" style="105" min="11875" max="11875"/>
    <col width="5.625" bestFit="1" customWidth="1" style="105" min="11876" max="11876"/>
    <col width="7.875" bestFit="1" customWidth="1" style="105" min="11877" max="11877"/>
    <col width="6" bestFit="1" customWidth="1" style="105" min="11878" max="11878"/>
    <col width="11.25" bestFit="1" customWidth="1" style="105" min="11879" max="11879"/>
    <col width="9" customWidth="1" style="105" min="11880" max="12032"/>
    <col width="13.125" bestFit="1" customWidth="1" style="105" min="12033" max="12033"/>
    <col width="10.875" bestFit="1" customWidth="1" style="105" min="12034" max="12034"/>
    <col width="4.625" bestFit="1" customWidth="1" style="105" min="12035" max="12035"/>
    <col width="7" bestFit="1" customWidth="1" style="105" min="12036" max="12036"/>
    <col width="5.125" bestFit="1" customWidth="1" style="105" min="12037" max="12037"/>
    <col width="3.25" bestFit="1" customWidth="1" style="105" min="12038" max="12042"/>
    <col width="3.5" bestFit="1" customWidth="1" style="105" min="12043" max="12043"/>
    <col width="3.375" bestFit="1" customWidth="1" style="105" min="12044" max="12045"/>
    <col width="4.625" bestFit="1" customWidth="1" style="105" min="12046" max="12046"/>
    <col width="4.875" bestFit="1" customWidth="1" style="105" min="12047" max="12047"/>
    <col width="5.25" bestFit="1" customWidth="1" style="105" min="12048" max="12048"/>
    <col width="4.875" bestFit="1" customWidth="1" style="105" min="12049" max="12049"/>
    <col width="7.875" bestFit="1" customWidth="1" style="105" min="12050" max="12050"/>
    <col width="4.375" bestFit="1" customWidth="1" style="105" min="12051" max="12051"/>
    <col width="5.5" bestFit="1" customWidth="1" style="105" min="12052" max="12052"/>
    <col width="5.75" bestFit="1" customWidth="1" style="105" min="12053" max="12053"/>
    <col width="7.875" bestFit="1" customWidth="1" style="105" min="12054" max="12054"/>
    <col width="5.125" bestFit="1" customWidth="1" style="105" min="12055" max="12055"/>
    <col width="4.625" bestFit="1" customWidth="1" style="105" min="12056" max="12056"/>
    <col width="7.875" bestFit="1" customWidth="1" style="105" min="12057" max="12057"/>
    <col width="6.125" bestFit="1" customWidth="1" style="105" min="12058" max="12058"/>
    <col width="32.375" bestFit="1" customWidth="1" style="105" min="12059" max="12059"/>
    <col width="32.875" bestFit="1" customWidth="1" style="105" min="12060" max="12060"/>
    <col width="8.625" bestFit="1" customWidth="1" style="105" min="12061" max="12061"/>
    <col width="9.375" bestFit="1" customWidth="1" style="105" min="12062" max="12062"/>
    <col width="9.25" bestFit="1" customWidth="1" style="105" min="12063" max="12063"/>
    <col width="2.5" bestFit="1" customWidth="1" style="105" min="12064" max="12064"/>
    <col width="3.25" bestFit="1" customWidth="1" style="105" min="12065" max="12065"/>
    <col width="3.375" bestFit="1" customWidth="1" style="105" min="12066" max="12067"/>
    <col width="6.25" bestFit="1" customWidth="1" style="105" min="12068" max="12068"/>
    <col width="8.25" bestFit="1" customWidth="1" style="105" min="12069" max="12069"/>
    <col width="6.875" bestFit="1" customWidth="1" style="105" min="12070" max="12070"/>
    <col width="6.375" bestFit="1" customWidth="1" style="105" min="12071" max="12071"/>
    <col width="19.625" bestFit="1" customWidth="1" style="105" min="12072" max="12072"/>
    <col width="34.5" bestFit="1" customWidth="1" style="105" min="12073" max="12073"/>
    <col width="6.25" bestFit="1" customWidth="1" style="105" min="12074" max="12074"/>
    <col width="7.125" bestFit="1" customWidth="1" style="105" min="12075" max="12075"/>
    <col width="5.875" bestFit="1" customWidth="1" style="105" min="12076" max="12076"/>
    <col width="29.625" bestFit="1" customWidth="1" style="105" min="12077" max="12077"/>
    <col width="5.875" bestFit="1" customWidth="1" style="105" min="12078" max="12078"/>
    <col width="3.75" bestFit="1" customWidth="1" style="105" min="12079" max="12079"/>
    <col width="6.25" bestFit="1" customWidth="1" style="105" min="12080" max="12080"/>
    <col width="6.875" bestFit="1" customWidth="1" style="105" min="12081" max="12081"/>
    <col width="6.75" bestFit="1" customWidth="1" style="105" min="12082" max="12082"/>
    <col width="5.875" bestFit="1" customWidth="1" style="105" min="12083" max="12083"/>
    <col width="108.375" bestFit="1" customWidth="1" style="105" min="12084" max="12084"/>
    <col width="104.125" bestFit="1" customWidth="1" style="105" min="12085" max="12085"/>
    <col width="7" bestFit="1" customWidth="1" style="105" min="12086" max="12086"/>
    <col width="7.875" bestFit="1" customWidth="1" style="105" min="12087" max="12087"/>
    <col width="8.5" bestFit="1" customWidth="1" style="105" min="12088" max="12088"/>
    <col width="4.75" bestFit="1" customWidth="1" style="105" min="12089" max="12089"/>
    <col width="37.375" bestFit="1" customWidth="1" style="105" min="12090" max="12090"/>
    <col width="6.875" bestFit="1" customWidth="1" style="105" min="12091" max="12091"/>
    <col width="7.875" bestFit="1" customWidth="1" style="105" min="12092" max="12092"/>
    <col width="7.75" bestFit="1" customWidth="1" style="105" min="12093" max="12093"/>
    <col width="8" bestFit="1" customWidth="1" style="105" min="12094" max="12094"/>
    <col width="4.75" bestFit="1" customWidth="1" style="105" min="12095" max="12095"/>
    <col width="7.875" bestFit="1" customWidth="1" style="105" min="12096" max="12096"/>
    <col width="4" bestFit="1" customWidth="1" style="105" min="12097" max="12108"/>
    <col width="3.75" bestFit="1" customWidth="1" style="105" min="12109" max="12109"/>
    <col width="4" bestFit="1" customWidth="1" style="105" min="12110" max="12110"/>
    <col width="3.625" bestFit="1" customWidth="1" style="105" min="12111" max="12111"/>
    <col width="9.875" bestFit="1" customWidth="1" style="105" min="12112" max="12112"/>
    <col width="5" bestFit="1" customWidth="1" style="105" min="12113" max="12113"/>
    <col width="7.125" bestFit="1" customWidth="1" style="105" min="12114" max="12114"/>
    <col width="9.375" bestFit="1" customWidth="1" style="105" min="12115" max="12115"/>
    <col width="17.5" bestFit="1" customWidth="1" style="105" min="12116" max="12116"/>
    <col width="7.375" bestFit="1" customWidth="1" style="105" min="12117" max="12117"/>
    <col width="5.75" bestFit="1" customWidth="1" style="105" min="12118" max="12118"/>
    <col width="31.25" bestFit="1" customWidth="1" style="105" min="12119" max="12119"/>
    <col width="26" bestFit="1" customWidth="1" style="105" min="12120" max="12120"/>
    <col width="24.375" bestFit="1" customWidth="1" style="105" min="12121" max="12122"/>
    <col width="6.375" bestFit="1" customWidth="1" style="105" min="12123" max="12123"/>
    <col width="9.875" bestFit="1" customWidth="1" style="105" min="12124" max="12125"/>
    <col width="28.875" bestFit="1" customWidth="1" style="105" min="12126" max="12126"/>
    <col width="9.75" bestFit="1" customWidth="1" style="105" min="12127" max="12127"/>
    <col width="12.625" bestFit="1" customWidth="1" style="105" min="12128" max="12128"/>
    <col width="32.375" bestFit="1" customWidth="1" style="105" min="12129" max="12129"/>
    <col width="3.375" bestFit="1" customWidth="1" style="105" min="12130" max="12130"/>
    <col width="8" bestFit="1" customWidth="1" style="105" min="12131" max="12131"/>
    <col width="5.625" bestFit="1" customWidth="1" style="105" min="12132" max="12132"/>
    <col width="7.875" bestFit="1" customWidth="1" style="105" min="12133" max="12133"/>
    <col width="6" bestFit="1" customWidth="1" style="105" min="12134" max="12134"/>
    <col width="11.25" bestFit="1" customWidth="1" style="105" min="12135" max="12135"/>
    <col width="9" customWidth="1" style="105" min="12136" max="12288"/>
    <col width="13.125" bestFit="1" customWidth="1" style="105" min="12289" max="12289"/>
    <col width="10.875" bestFit="1" customWidth="1" style="105" min="12290" max="12290"/>
    <col width="4.625" bestFit="1" customWidth="1" style="105" min="12291" max="12291"/>
    <col width="7" bestFit="1" customWidth="1" style="105" min="12292" max="12292"/>
    <col width="5.125" bestFit="1" customWidth="1" style="105" min="12293" max="12293"/>
    <col width="3.25" bestFit="1" customWidth="1" style="105" min="12294" max="12298"/>
    <col width="3.5" bestFit="1" customWidth="1" style="105" min="12299" max="12299"/>
    <col width="3.375" bestFit="1" customWidth="1" style="105" min="12300" max="12301"/>
    <col width="4.625" bestFit="1" customWidth="1" style="105" min="12302" max="12302"/>
    <col width="4.875" bestFit="1" customWidth="1" style="105" min="12303" max="12303"/>
    <col width="5.25" bestFit="1" customWidth="1" style="105" min="12304" max="12304"/>
    <col width="4.875" bestFit="1" customWidth="1" style="105" min="12305" max="12305"/>
    <col width="7.875" bestFit="1" customWidth="1" style="105" min="12306" max="12306"/>
    <col width="4.375" bestFit="1" customWidth="1" style="105" min="12307" max="12307"/>
    <col width="5.5" bestFit="1" customWidth="1" style="105" min="12308" max="12308"/>
    <col width="5.75" bestFit="1" customWidth="1" style="105" min="12309" max="12309"/>
    <col width="7.875" bestFit="1" customWidth="1" style="105" min="12310" max="12310"/>
    <col width="5.125" bestFit="1" customWidth="1" style="105" min="12311" max="12311"/>
    <col width="4.625" bestFit="1" customWidth="1" style="105" min="12312" max="12312"/>
    <col width="7.875" bestFit="1" customWidth="1" style="105" min="12313" max="12313"/>
    <col width="6.125" bestFit="1" customWidth="1" style="105" min="12314" max="12314"/>
    <col width="32.375" bestFit="1" customWidth="1" style="105" min="12315" max="12315"/>
    <col width="32.875" bestFit="1" customWidth="1" style="105" min="12316" max="12316"/>
    <col width="8.625" bestFit="1" customWidth="1" style="105" min="12317" max="12317"/>
    <col width="9.375" bestFit="1" customWidth="1" style="105" min="12318" max="12318"/>
    <col width="9.25" bestFit="1" customWidth="1" style="105" min="12319" max="12319"/>
    <col width="2.5" bestFit="1" customWidth="1" style="105" min="12320" max="12320"/>
    <col width="3.25" bestFit="1" customWidth="1" style="105" min="12321" max="12321"/>
    <col width="3.375" bestFit="1" customWidth="1" style="105" min="12322" max="12323"/>
    <col width="6.25" bestFit="1" customWidth="1" style="105" min="12324" max="12324"/>
    <col width="8.25" bestFit="1" customWidth="1" style="105" min="12325" max="12325"/>
    <col width="6.875" bestFit="1" customWidth="1" style="105" min="12326" max="12326"/>
    <col width="6.375" bestFit="1" customWidth="1" style="105" min="12327" max="12327"/>
    <col width="19.625" bestFit="1" customWidth="1" style="105" min="12328" max="12328"/>
    <col width="34.5" bestFit="1" customWidth="1" style="105" min="12329" max="12329"/>
    <col width="6.25" bestFit="1" customWidth="1" style="105" min="12330" max="12330"/>
    <col width="7.125" bestFit="1" customWidth="1" style="105" min="12331" max="12331"/>
    <col width="5.875" bestFit="1" customWidth="1" style="105" min="12332" max="12332"/>
    <col width="29.625" bestFit="1" customWidth="1" style="105" min="12333" max="12333"/>
    <col width="5.875" bestFit="1" customWidth="1" style="105" min="12334" max="12334"/>
    <col width="3.75" bestFit="1" customWidth="1" style="105" min="12335" max="12335"/>
    <col width="6.25" bestFit="1" customWidth="1" style="105" min="12336" max="12336"/>
    <col width="6.875" bestFit="1" customWidth="1" style="105" min="12337" max="12337"/>
    <col width="6.75" bestFit="1" customWidth="1" style="105" min="12338" max="12338"/>
    <col width="5.875" bestFit="1" customWidth="1" style="105" min="12339" max="12339"/>
    <col width="108.375" bestFit="1" customWidth="1" style="105" min="12340" max="12340"/>
    <col width="104.125" bestFit="1" customWidth="1" style="105" min="12341" max="12341"/>
    <col width="7" bestFit="1" customWidth="1" style="105" min="12342" max="12342"/>
    <col width="7.875" bestFit="1" customWidth="1" style="105" min="12343" max="12343"/>
    <col width="8.5" bestFit="1" customWidth="1" style="105" min="12344" max="12344"/>
    <col width="4.75" bestFit="1" customWidth="1" style="105" min="12345" max="12345"/>
    <col width="37.375" bestFit="1" customWidth="1" style="105" min="12346" max="12346"/>
    <col width="6.875" bestFit="1" customWidth="1" style="105" min="12347" max="12347"/>
    <col width="7.875" bestFit="1" customWidth="1" style="105" min="12348" max="12348"/>
    <col width="7.75" bestFit="1" customWidth="1" style="105" min="12349" max="12349"/>
    <col width="8" bestFit="1" customWidth="1" style="105" min="12350" max="12350"/>
    <col width="4.75" bestFit="1" customWidth="1" style="105" min="12351" max="12351"/>
    <col width="7.875" bestFit="1" customWidth="1" style="105" min="12352" max="12352"/>
    <col width="4" bestFit="1" customWidth="1" style="105" min="12353" max="12364"/>
    <col width="3.75" bestFit="1" customWidth="1" style="105" min="12365" max="12365"/>
    <col width="4" bestFit="1" customWidth="1" style="105" min="12366" max="12366"/>
    <col width="3.625" bestFit="1" customWidth="1" style="105" min="12367" max="12367"/>
    <col width="9.875" bestFit="1" customWidth="1" style="105" min="12368" max="12368"/>
    <col width="5" bestFit="1" customWidth="1" style="105" min="12369" max="12369"/>
    <col width="7.125" bestFit="1" customWidth="1" style="105" min="12370" max="12370"/>
    <col width="9.375" bestFit="1" customWidth="1" style="105" min="12371" max="12371"/>
    <col width="17.5" bestFit="1" customWidth="1" style="105" min="12372" max="12372"/>
    <col width="7.375" bestFit="1" customWidth="1" style="105" min="12373" max="12373"/>
    <col width="5.75" bestFit="1" customWidth="1" style="105" min="12374" max="12374"/>
    <col width="31.25" bestFit="1" customWidth="1" style="105" min="12375" max="12375"/>
    <col width="26" bestFit="1" customWidth="1" style="105" min="12376" max="12376"/>
    <col width="24.375" bestFit="1" customWidth="1" style="105" min="12377" max="12378"/>
    <col width="6.375" bestFit="1" customWidth="1" style="105" min="12379" max="12379"/>
    <col width="9.875" bestFit="1" customWidth="1" style="105" min="12380" max="12381"/>
    <col width="28.875" bestFit="1" customWidth="1" style="105" min="12382" max="12382"/>
    <col width="9.75" bestFit="1" customWidth="1" style="105" min="12383" max="12383"/>
    <col width="12.625" bestFit="1" customWidth="1" style="105" min="12384" max="12384"/>
    <col width="32.375" bestFit="1" customWidth="1" style="105" min="12385" max="12385"/>
    <col width="3.375" bestFit="1" customWidth="1" style="105" min="12386" max="12386"/>
    <col width="8" bestFit="1" customWidth="1" style="105" min="12387" max="12387"/>
    <col width="5.625" bestFit="1" customWidth="1" style="105" min="12388" max="12388"/>
    <col width="7.875" bestFit="1" customWidth="1" style="105" min="12389" max="12389"/>
    <col width="6" bestFit="1" customWidth="1" style="105" min="12390" max="12390"/>
    <col width="11.25" bestFit="1" customWidth="1" style="105" min="12391" max="12391"/>
    <col width="9" customWidth="1" style="105" min="12392" max="12544"/>
    <col width="13.125" bestFit="1" customWidth="1" style="105" min="12545" max="12545"/>
    <col width="10.875" bestFit="1" customWidth="1" style="105" min="12546" max="12546"/>
    <col width="4.625" bestFit="1" customWidth="1" style="105" min="12547" max="12547"/>
    <col width="7" bestFit="1" customWidth="1" style="105" min="12548" max="12548"/>
    <col width="5.125" bestFit="1" customWidth="1" style="105" min="12549" max="12549"/>
    <col width="3.25" bestFit="1" customWidth="1" style="105" min="12550" max="12554"/>
    <col width="3.5" bestFit="1" customWidth="1" style="105" min="12555" max="12555"/>
    <col width="3.375" bestFit="1" customWidth="1" style="105" min="12556" max="12557"/>
    <col width="4.625" bestFit="1" customWidth="1" style="105" min="12558" max="12558"/>
    <col width="4.875" bestFit="1" customWidth="1" style="105" min="12559" max="12559"/>
    <col width="5.25" bestFit="1" customWidth="1" style="105" min="12560" max="12560"/>
    <col width="4.875" bestFit="1" customWidth="1" style="105" min="12561" max="12561"/>
    <col width="7.875" bestFit="1" customWidth="1" style="105" min="12562" max="12562"/>
    <col width="4.375" bestFit="1" customWidth="1" style="105" min="12563" max="12563"/>
    <col width="5.5" bestFit="1" customWidth="1" style="105" min="12564" max="12564"/>
    <col width="5.75" bestFit="1" customWidth="1" style="105" min="12565" max="12565"/>
    <col width="7.875" bestFit="1" customWidth="1" style="105" min="12566" max="12566"/>
    <col width="5.125" bestFit="1" customWidth="1" style="105" min="12567" max="12567"/>
    <col width="4.625" bestFit="1" customWidth="1" style="105" min="12568" max="12568"/>
    <col width="7.875" bestFit="1" customWidth="1" style="105" min="12569" max="12569"/>
    <col width="6.125" bestFit="1" customWidth="1" style="105" min="12570" max="12570"/>
    <col width="32.375" bestFit="1" customWidth="1" style="105" min="12571" max="12571"/>
    <col width="32.875" bestFit="1" customWidth="1" style="105" min="12572" max="12572"/>
    <col width="8.625" bestFit="1" customWidth="1" style="105" min="12573" max="12573"/>
    <col width="9.375" bestFit="1" customWidth="1" style="105" min="12574" max="12574"/>
    <col width="9.25" bestFit="1" customWidth="1" style="105" min="12575" max="12575"/>
    <col width="2.5" bestFit="1" customWidth="1" style="105" min="12576" max="12576"/>
    <col width="3.25" bestFit="1" customWidth="1" style="105" min="12577" max="12577"/>
    <col width="3.375" bestFit="1" customWidth="1" style="105" min="12578" max="12579"/>
    <col width="6.25" bestFit="1" customWidth="1" style="105" min="12580" max="12580"/>
    <col width="8.25" bestFit="1" customWidth="1" style="105" min="12581" max="12581"/>
    <col width="6.875" bestFit="1" customWidth="1" style="105" min="12582" max="12582"/>
    <col width="6.375" bestFit="1" customWidth="1" style="105" min="12583" max="12583"/>
    <col width="19.625" bestFit="1" customWidth="1" style="105" min="12584" max="12584"/>
    <col width="34.5" bestFit="1" customWidth="1" style="105" min="12585" max="12585"/>
    <col width="6.25" bestFit="1" customWidth="1" style="105" min="12586" max="12586"/>
    <col width="7.125" bestFit="1" customWidth="1" style="105" min="12587" max="12587"/>
    <col width="5.875" bestFit="1" customWidth="1" style="105" min="12588" max="12588"/>
    <col width="29.625" bestFit="1" customWidth="1" style="105" min="12589" max="12589"/>
    <col width="5.875" bestFit="1" customWidth="1" style="105" min="12590" max="12590"/>
    <col width="3.75" bestFit="1" customWidth="1" style="105" min="12591" max="12591"/>
    <col width="6.25" bestFit="1" customWidth="1" style="105" min="12592" max="12592"/>
    <col width="6.875" bestFit="1" customWidth="1" style="105" min="12593" max="12593"/>
    <col width="6.75" bestFit="1" customWidth="1" style="105" min="12594" max="12594"/>
    <col width="5.875" bestFit="1" customWidth="1" style="105" min="12595" max="12595"/>
    <col width="108.375" bestFit="1" customWidth="1" style="105" min="12596" max="12596"/>
    <col width="104.125" bestFit="1" customWidth="1" style="105" min="12597" max="12597"/>
    <col width="7" bestFit="1" customWidth="1" style="105" min="12598" max="12598"/>
    <col width="7.875" bestFit="1" customWidth="1" style="105" min="12599" max="12599"/>
    <col width="8.5" bestFit="1" customWidth="1" style="105" min="12600" max="12600"/>
    <col width="4.75" bestFit="1" customWidth="1" style="105" min="12601" max="12601"/>
    <col width="37.375" bestFit="1" customWidth="1" style="105" min="12602" max="12602"/>
    <col width="6.875" bestFit="1" customWidth="1" style="105" min="12603" max="12603"/>
    <col width="7.875" bestFit="1" customWidth="1" style="105" min="12604" max="12604"/>
    <col width="7.75" bestFit="1" customWidth="1" style="105" min="12605" max="12605"/>
    <col width="8" bestFit="1" customWidth="1" style="105" min="12606" max="12606"/>
    <col width="4.75" bestFit="1" customWidth="1" style="105" min="12607" max="12607"/>
    <col width="7.875" bestFit="1" customWidth="1" style="105" min="12608" max="12608"/>
    <col width="4" bestFit="1" customWidth="1" style="105" min="12609" max="12620"/>
    <col width="3.75" bestFit="1" customWidth="1" style="105" min="12621" max="12621"/>
    <col width="4" bestFit="1" customWidth="1" style="105" min="12622" max="12622"/>
    <col width="3.625" bestFit="1" customWidth="1" style="105" min="12623" max="12623"/>
    <col width="9.875" bestFit="1" customWidth="1" style="105" min="12624" max="12624"/>
    <col width="5" bestFit="1" customWidth="1" style="105" min="12625" max="12625"/>
    <col width="7.125" bestFit="1" customWidth="1" style="105" min="12626" max="12626"/>
    <col width="9.375" bestFit="1" customWidth="1" style="105" min="12627" max="12627"/>
    <col width="17.5" bestFit="1" customWidth="1" style="105" min="12628" max="12628"/>
    <col width="7.375" bestFit="1" customWidth="1" style="105" min="12629" max="12629"/>
    <col width="5.75" bestFit="1" customWidth="1" style="105" min="12630" max="12630"/>
    <col width="31.25" bestFit="1" customWidth="1" style="105" min="12631" max="12631"/>
    <col width="26" bestFit="1" customWidth="1" style="105" min="12632" max="12632"/>
    <col width="24.375" bestFit="1" customWidth="1" style="105" min="12633" max="12634"/>
    <col width="6.375" bestFit="1" customWidth="1" style="105" min="12635" max="12635"/>
    <col width="9.875" bestFit="1" customWidth="1" style="105" min="12636" max="12637"/>
    <col width="28.875" bestFit="1" customWidth="1" style="105" min="12638" max="12638"/>
    <col width="9.75" bestFit="1" customWidth="1" style="105" min="12639" max="12639"/>
    <col width="12.625" bestFit="1" customWidth="1" style="105" min="12640" max="12640"/>
    <col width="32.375" bestFit="1" customWidth="1" style="105" min="12641" max="12641"/>
    <col width="3.375" bestFit="1" customWidth="1" style="105" min="12642" max="12642"/>
    <col width="8" bestFit="1" customWidth="1" style="105" min="12643" max="12643"/>
    <col width="5.625" bestFit="1" customWidth="1" style="105" min="12644" max="12644"/>
    <col width="7.875" bestFit="1" customWidth="1" style="105" min="12645" max="12645"/>
    <col width="6" bestFit="1" customWidth="1" style="105" min="12646" max="12646"/>
    <col width="11.25" bestFit="1" customWidth="1" style="105" min="12647" max="12647"/>
    <col width="9" customWidth="1" style="105" min="12648" max="12800"/>
    <col width="13.125" bestFit="1" customWidth="1" style="105" min="12801" max="12801"/>
    <col width="10.875" bestFit="1" customWidth="1" style="105" min="12802" max="12802"/>
    <col width="4.625" bestFit="1" customWidth="1" style="105" min="12803" max="12803"/>
    <col width="7" bestFit="1" customWidth="1" style="105" min="12804" max="12804"/>
    <col width="5.125" bestFit="1" customWidth="1" style="105" min="12805" max="12805"/>
    <col width="3.25" bestFit="1" customWidth="1" style="105" min="12806" max="12810"/>
    <col width="3.5" bestFit="1" customWidth="1" style="105" min="12811" max="12811"/>
    <col width="3.375" bestFit="1" customWidth="1" style="105" min="12812" max="12813"/>
    <col width="4.625" bestFit="1" customWidth="1" style="105" min="12814" max="12814"/>
    <col width="4.875" bestFit="1" customWidth="1" style="105" min="12815" max="12815"/>
    <col width="5.25" bestFit="1" customWidth="1" style="105" min="12816" max="12816"/>
    <col width="4.875" bestFit="1" customWidth="1" style="105" min="12817" max="12817"/>
    <col width="7.875" bestFit="1" customWidth="1" style="105" min="12818" max="12818"/>
    <col width="4.375" bestFit="1" customWidth="1" style="105" min="12819" max="12819"/>
    <col width="5.5" bestFit="1" customWidth="1" style="105" min="12820" max="12820"/>
    <col width="5.75" bestFit="1" customWidth="1" style="105" min="12821" max="12821"/>
    <col width="7.875" bestFit="1" customWidth="1" style="105" min="12822" max="12822"/>
    <col width="5.125" bestFit="1" customWidth="1" style="105" min="12823" max="12823"/>
    <col width="4.625" bestFit="1" customWidth="1" style="105" min="12824" max="12824"/>
    <col width="7.875" bestFit="1" customWidth="1" style="105" min="12825" max="12825"/>
    <col width="6.125" bestFit="1" customWidth="1" style="105" min="12826" max="12826"/>
    <col width="32.375" bestFit="1" customWidth="1" style="105" min="12827" max="12827"/>
    <col width="32.875" bestFit="1" customWidth="1" style="105" min="12828" max="12828"/>
    <col width="8.625" bestFit="1" customWidth="1" style="105" min="12829" max="12829"/>
    <col width="9.375" bestFit="1" customWidth="1" style="105" min="12830" max="12830"/>
    <col width="9.25" bestFit="1" customWidth="1" style="105" min="12831" max="12831"/>
    <col width="2.5" bestFit="1" customWidth="1" style="105" min="12832" max="12832"/>
    <col width="3.25" bestFit="1" customWidth="1" style="105" min="12833" max="12833"/>
    <col width="3.375" bestFit="1" customWidth="1" style="105" min="12834" max="12835"/>
    <col width="6.25" bestFit="1" customWidth="1" style="105" min="12836" max="12836"/>
    <col width="8.25" bestFit="1" customWidth="1" style="105" min="12837" max="12837"/>
    <col width="6.875" bestFit="1" customWidth="1" style="105" min="12838" max="12838"/>
    <col width="6.375" bestFit="1" customWidth="1" style="105" min="12839" max="12839"/>
    <col width="19.625" bestFit="1" customWidth="1" style="105" min="12840" max="12840"/>
    <col width="34.5" bestFit="1" customWidth="1" style="105" min="12841" max="12841"/>
    <col width="6.25" bestFit="1" customWidth="1" style="105" min="12842" max="12842"/>
    <col width="7.125" bestFit="1" customWidth="1" style="105" min="12843" max="12843"/>
    <col width="5.875" bestFit="1" customWidth="1" style="105" min="12844" max="12844"/>
    <col width="29.625" bestFit="1" customWidth="1" style="105" min="12845" max="12845"/>
    <col width="5.875" bestFit="1" customWidth="1" style="105" min="12846" max="12846"/>
    <col width="3.75" bestFit="1" customWidth="1" style="105" min="12847" max="12847"/>
    <col width="6.25" bestFit="1" customWidth="1" style="105" min="12848" max="12848"/>
    <col width="6.875" bestFit="1" customWidth="1" style="105" min="12849" max="12849"/>
    <col width="6.75" bestFit="1" customWidth="1" style="105" min="12850" max="12850"/>
    <col width="5.875" bestFit="1" customWidth="1" style="105" min="12851" max="12851"/>
    <col width="108.375" bestFit="1" customWidth="1" style="105" min="12852" max="12852"/>
    <col width="104.125" bestFit="1" customWidth="1" style="105" min="12853" max="12853"/>
    <col width="7" bestFit="1" customWidth="1" style="105" min="12854" max="12854"/>
    <col width="7.875" bestFit="1" customWidth="1" style="105" min="12855" max="12855"/>
    <col width="8.5" bestFit="1" customWidth="1" style="105" min="12856" max="12856"/>
    <col width="4.75" bestFit="1" customWidth="1" style="105" min="12857" max="12857"/>
    <col width="37.375" bestFit="1" customWidth="1" style="105" min="12858" max="12858"/>
    <col width="6.875" bestFit="1" customWidth="1" style="105" min="12859" max="12859"/>
    <col width="7.875" bestFit="1" customWidth="1" style="105" min="12860" max="12860"/>
    <col width="7.75" bestFit="1" customWidth="1" style="105" min="12861" max="12861"/>
    <col width="8" bestFit="1" customWidth="1" style="105" min="12862" max="12862"/>
    <col width="4.75" bestFit="1" customWidth="1" style="105" min="12863" max="12863"/>
    <col width="7.875" bestFit="1" customWidth="1" style="105" min="12864" max="12864"/>
    <col width="4" bestFit="1" customWidth="1" style="105" min="12865" max="12876"/>
    <col width="3.75" bestFit="1" customWidth="1" style="105" min="12877" max="12877"/>
    <col width="4" bestFit="1" customWidth="1" style="105" min="12878" max="12878"/>
    <col width="3.625" bestFit="1" customWidth="1" style="105" min="12879" max="12879"/>
    <col width="9.875" bestFit="1" customWidth="1" style="105" min="12880" max="12880"/>
    <col width="5" bestFit="1" customWidth="1" style="105" min="12881" max="12881"/>
    <col width="7.125" bestFit="1" customWidth="1" style="105" min="12882" max="12882"/>
    <col width="9.375" bestFit="1" customWidth="1" style="105" min="12883" max="12883"/>
    <col width="17.5" bestFit="1" customWidth="1" style="105" min="12884" max="12884"/>
    <col width="7.375" bestFit="1" customWidth="1" style="105" min="12885" max="12885"/>
    <col width="5.75" bestFit="1" customWidth="1" style="105" min="12886" max="12886"/>
    <col width="31.25" bestFit="1" customWidth="1" style="105" min="12887" max="12887"/>
    <col width="26" bestFit="1" customWidth="1" style="105" min="12888" max="12888"/>
    <col width="24.375" bestFit="1" customWidth="1" style="105" min="12889" max="12890"/>
    <col width="6.375" bestFit="1" customWidth="1" style="105" min="12891" max="12891"/>
    <col width="9.875" bestFit="1" customWidth="1" style="105" min="12892" max="12893"/>
    <col width="28.875" bestFit="1" customWidth="1" style="105" min="12894" max="12894"/>
    <col width="9.75" bestFit="1" customWidth="1" style="105" min="12895" max="12895"/>
    <col width="12.625" bestFit="1" customWidth="1" style="105" min="12896" max="12896"/>
    <col width="32.375" bestFit="1" customWidth="1" style="105" min="12897" max="12897"/>
    <col width="3.375" bestFit="1" customWidth="1" style="105" min="12898" max="12898"/>
    <col width="8" bestFit="1" customWidth="1" style="105" min="12899" max="12899"/>
    <col width="5.625" bestFit="1" customWidth="1" style="105" min="12900" max="12900"/>
    <col width="7.875" bestFit="1" customWidth="1" style="105" min="12901" max="12901"/>
    <col width="6" bestFit="1" customWidth="1" style="105" min="12902" max="12902"/>
    <col width="11.25" bestFit="1" customWidth="1" style="105" min="12903" max="12903"/>
    <col width="9" customWidth="1" style="105" min="12904" max="13056"/>
    <col width="13.125" bestFit="1" customWidth="1" style="105" min="13057" max="13057"/>
    <col width="10.875" bestFit="1" customWidth="1" style="105" min="13058" max="13058"/>
    <col width="4.625" bestFit="1" customWidth="1" style="105" min="13059" max="13059"/>
    <col width="7" bestFit="1" customWidth="1" style="105" min="13060" max="13060"/>
    <col width="5.125" bestFit="1" customWidth="1" style="105" min="13061" max="13061"/>
    <col width="3.25" bestFit="1" customWidth="1" style="105" min="13062" max="13066"/>
    <col width="3.5" bestFit="1" customWidth="1" style="105" min="13067" max="13067"/>
    <col width="3.375" bestFit="1" customWidth="1" style="105" min="13068" max="13069"/>
    <col width="4.625" bestFit="1" customWidth="1" style="105" min="13070" max="13070"/>
    <col width="4.875" bestFit="1" customWidth="1" style="105" min="13071" max="13071"/>
    <col width="5.25" bestFit="1" customWidth="1" style="105" min="13072" max="13072"/>
    <col width="4.875" bestFit="1" customWidth="1" style="105" min="13073" max="13073"/>
    <col width="7.875" bestFit="1" customWidth="1" style="105" min="13074" max="13074"/>
    <col width="4.375" bestFit="1" customWidth="1" style="105" min="13075" max="13075"/>
    <col width="5.5" bestFit="1" customWidth="1" style="105" min="13076" max="13076"/>
    <col width="5.75" bestFit="1" customWidth="1" style="105" min="13077" max="13077"/>
    <col width="7.875" bestFit="1" customWidth="1" style="105" min="13078" max="13078"/>
    <col width="5.125" bestFit="1" customWidth="1" style="105" min="13079" max="13079"/>
    <col width="4.625" bestFit="1" customWidth="1" style="105" min="13080" max="13080"/>
    <col width="7.875" bestFit="1" customWidth="1" style="105" min="13081" max="13081"/>
    <col width="6.125" bestFit="1" customWidth="1" style="105" min="13082" max="13082"/>
    <col width="32.375" bestFit="1" customWidth="1" style="105" min="13083" max="13083"/>
    <col width="32.875" bestFit="1" customWidth="1" style="105" min="13084" max="13084"/>
    <col width="8.625" bestFit="1" customWidth="1" style="105" min="13085" max="13085"/>
    <col width="9.375" bestFit="1" customWidth="1" style="105" min="13086" max="13086"/>
    <col width="9.25" bestFit="1" customWidth="1" style="105" min="13087" max="13087"/>
    <col width="2.5" bestFit="1" customWidth="1" style="105" min="13088" max="13088"/>
    <col width="3.25" bestFit="1" customWidth="1" style="105" min="13089" max="13089"/>
    <col width="3.375" bestFit="1" customWidth="1" style="105" min="13090" max="13091"/>
    <col width="6.25" bestFit="1" customWidth="1" style="105" min="13092" max="13092"/>
    <col width="8.25" bestFit="1" customWidth="1" style="105" min="13093" max="13093"/>
    <col width="6.875" bestFit="1" customWidth="1" style="105" min="13094" max="13094"/>
    <col width="6.375" bestFit="1" customWidth="1" style="105" min="13095" max="13095"/>
    <col width="19.625" bestFit="1" customWidth="1" style="105" min="13096" max="13096"/>
    <col width="34.5" bestFit="1" customWidth="1" style="105" min="13097" max="13097"/>
    <col width="6.25" bestFit="1" customWidth="1" style="105" min="13098" max="13098"/>
    <col width="7.125" bestFit="1" customWidth="1" style="105" min="13099" max="13099"/>
    <col width="5.875" bestFit="1" customWidth="1" style="105" min="13100" max="13100"/>
    <col width="29.625" bestFit="1" customWidth="1" style="105" min="13101" max="13101"/>
    <col width="5.875" bestFit="1" customWidth="1" style="105" min="13102" max="13102"/>
    <col width="3.75" bestFit="1" customWidth="1" style="105" min="13103" max="13103"/>
    <col width="6.25" bestFit="1" customWidth="1" style="105" min="13104" max="13104"/>
    <col width="6.875" bestFit="1" customWidth="1" style="105" min="13105" max="13105"/>
    <col width="6.75" bestFit="1" customWidth="1" style="105" min="13106" max="13106"/>
    <col width="5.875" bestFit="1" customWidth="1" style="105" min="13107" max="13107"/>
    <col width="108.375" bestFit="1" customWidth="1" style="105" min="13108" max="13108"/>
    <col width="104.125" bestFit="1" customWidth="1" style="105" min="13109" max="13109"/>
    <col width="7" bestFit="1" customWidth="1" style="105" min="13110" max="13110"/>
    <col width="7.875" bestFit="1" customWidth="1" style="105" min="13111" max="13111"/>
    <col width="8.5" bestFit="1" customWidth="1" style="105" min="13112" max="13112"/>
    <col width="4.75" bestFit="1" customWidth="1" style="105" min="13113" max="13113"/>
    <col width="37.375" bestFit="1" customWidth="1" style="105" min="13114" max="13114"/>
    <col width="6.875" bestFit="1" customWidth="1" style="105" min="13115" max="13115"/>
    <col width="7.875" bestFit="1" customWidth="1" style="105" min="13116" max="13116"/>
    <col width="7.75" bestFit="1" customWidth="1" style="105" min="13117" max="13117"/>
    <col width="8" bestFit="1" customWidth="1" style="105" min="13118" max="13118"/>
    <col width="4.75" bestFit="1" customWidth="1" style="105" min="13119" max="13119"/>
    <col width="7.875" bestFit="1" customWidth="1" style="105" min="13120" max="13120"/>
    <col width="4" bestFit="1" customWidth="1" style="105" min="13121" max="13132"/>
    <col width="3.75" bestFit="1" customWidth="1" style="105" min="13133" max="13133"/>
    <col width="4" bestFit="1" customWidth="1" style="105" min="13134" max="13134"/>
    <col width="3.625" bestFit="1" customWidth="1" style="105" min="13135" max="13135"/>
    <col width="9.875" bestFit="1" customWidth="1" style="105" min="13136" max="13136"/>
    <col width="5" bestFit="1" customWidth="1" style="105" min="13137" max="13137"/>
    <col width="7.125" bestFit="1" customWidth="1" style="105" min="13138" max="13138"/>
    <col width="9.375" bestFit="1" customWidth="1" style="105" min="13139" max="13139"/>
    <col width="17.5" bestFit="1" customWidth="1" style="105" min="13140" max="13140"/>
    <col width="7.375" bestFit="1" customWidth="1" style="105" min="13141" max="13141"/>
    <col width="5.75" bestFit="1" customWidth="1" style="105" min="13142" max="13142"/>
    <col width="31.25" bestFit="1" customWidth="1" style="105" min="13143" max="13143"/>
    <col width="26" bestFit="1" customWidth="1" style="105" min="13144" max="13144"/>
    <col width="24.375" bestFit="1" customWidth="1" style="105" min="13145" max="13146"/>
    <col width="6.375" bestFit="1" customWidth="1" style="105" min="13147" max="13147"/>
    <col width="9.875" bestFit="1" customWidth="1" style="105" min="13148" max="13149"/>
    <col width="28.875" bestFit="1" customWidth="1" style="105" min="13150" max="13150"/>
    <col width="9.75" bestFit="1" customWidth="1" style="105" min="13151" max="13151"/>
    <col width="12.625" bestFit="1" customWidth="1" style="105" min="13152" max="13152"/>
    <col width="32.375" bestFit="1" customWidth="1" style="105" min="13153" max="13153"/>
    <col width="3.375" bestFit="1" customWidth="1" style="105" min="13154" max="13154"/>
    <col width="8" bestFit="1" customWidth="1" style="105" min="13155" max="13155"/>
    <col width="5.625" bestFit="1" customWidth="1" style="105" min="13156" max="13156"/>
    <col width="7.875" bestFit="1" customWidth="1" style="105" min="13157" max="13157"/>
    <col width="6" bestFit="1" customWidth="1" style="105" min="13158" max="13158"/>
    <col width="11.25" bestFit="1" customWidth="1" style="105" min="13159" max="13159"/>
    <col width="9" customWidth="1" style="105" min="13160" max="13312"/>
    <col width="13.125" bestFit="1" customWidth="1" style="105" min="13313" max="13313"/>
    <col width="10.875" bestFit="1" customWidth="1" style="105" min="13314" max="13314"/>
    <col width="4.625" bestFit="1" customWidth="1" style="105" min="13315" max="13315"/>
    <col width="7" bestFit="1" customWidth="1" style="105" min="13316" max="13316"/>
    <col width="5.125" bestFit="1" customWidth="1" style="105" min="13317" max="13317"/>
    <col width="3.25" bestFit="1" customWidth="1" style="105" min="13318" max="13322"/>
    <col width="3.5" bestFit="1" customWidth="1" style="105" min="13323" max="13323"/>
    <col width="3.375" bestFit="1" customWidth="1" style="105" min="13324" max="13325"/>
    <col width="4.625" bestFit="1" customWidth="1" style="105" min="13326" max="13326"/>
    <col width="4.875" bestFit="1" customWidth="1" style="105" min="13327" max="13327"/>
    <col width="5.25" bestFit="1" customWidth="1" style="105" min="13328" max="13328"/>
    <col width="4.875" bestFit="1" customWidth="1" style="105" min="13329" max="13329"/>
    <col width="7.875" bestFit="1" customWidth="1" style="105" min="13330" max="13330"/>
    <col width="4.375" bestFit="1" customWidth="1" style="105" min="13331" max="13331"/>
    <col width="5.5" bestFit="1" customWidth="1" style="105" min="13332" max="13332"/>
    <col width="5.75" bestFit="1" customWidth="1" style="105" min="13333" max="13333"/>
    <col width="7.875" bestFit="1" customWidth="1" style="105" min="13334" max="13334"/>
    <col width="5.125" bestFit="1" customWidth="1" style="105" min="13335" max="13335"/>
    <col width="4.625" bestFit="1" customWidth="1" style="105" min="13336" max="13336"/>
    <col width="7.875" bestFit="1" customWidth="1" style="105" min="13337" max="13337"/>
    <col width="6.125" bestFit="1" customWidth="1" style="105" min="13338" max="13338"/>
    <col width="32.375" bestFit="1" customWidth="1" style="105" min="13339" max="13339"/>
    <col width="32.875" bestFit="1" customWidth="1" style="105" min="13340" max="13340"/>
    <col width="8.625" bestFit="1" customWidth="1" style="105" min="13341" max="13341"/>
    <col width="9.375" bestFit="1" customWidth="1" style="105" min="13342" max="13342"/>
    <col width="9.25" bestFit="1" customWidth="1" style="105" min="13343" max="13343"/>
    <col width="2.5" bestFit="1" customWidth="1" style="105" min="13344" max="13344"/>
    <col width="3.25" bestFit="1" customWidth="1" style="105" min="13345" max="13345"/>
    <col width="3.375" bestFit="1" customWidth="1" style="105" min="13346" max="13347"/>
    <col width="6.25" bestFit="1" customWidth="1" style="105" min="13348" max="13348"/>
    <col width="8.25" bestFit="1" customWidth="1" style="105" min="13349" max="13349"/>
    <col width="6.875" bestFit="1" customWidth="1" style="105" min="13350" max="13350"/>
    <col width="6.375" bestFit="1" customWidth="1" style="105" min="13351" max="13351"/>
    <col width="19.625" bestFit="1" customWidth="1" style="105" min="13352" max="13352"/>
    <col width="34.5" bestFit="1" customWidth="1" style="105" min="13353" max="13353"/>
    <col width="6.25" bestFit="1" customWidth="1" style="105" min="13354" max="13354"/>
    <col width="7.125" bestFit="1" customWidth="1" style="105" min="13355" max="13355"/>
    <col width="5.875" bestFit="1" customWidth="1" style="105" min="13356" max="13356"/>
    <col width="29.625" bestFit="1" customWidth="1" style="105" min="13357" max="13357"/>
    <col width="5.875" bestFit="1" customWidth="1" style="105" min="13358" max="13358"/>
    <col width="3.75" bestFit="1" customWidth="1" style="105" min="13359" max="13359"/>
    <col width="6.25" bestFit="1" customWidth="1" style="105" min="13360" max="13360"/>
    <col width="6.875" bestFit="1" customWidth="1" style="105" min="13361" max="13361"/>
    <col width="6.75" bestFit="1" customWidth="1" style="105" min="13362" max="13362"/>
    <col width="5.875" bestFit="1" customWidth="1" style="105" min="13363" max="13363"/>
    <col width="108.375" bestFit="1" customWidth="1" style="105" min="13364" max="13364"/>
    <col width="104.125" bestFit="1" customWidth="1" style="105" min="13365" max="13365"/>
    <col width="7" bestFit="1" customWidth="1" style="105" min="13366" max="13366"/>
    <col width="7.875" bestFit="1" customWidth="1" style="105" min="13367" max="13367"/>
    <col width="8.5" bestFit="1" customWidth="1" style="105" min="13368" max="13368"/>
    <col width="4.75" bestFit="1" customWidth="1" style="105" min="13369" max="13369"/>
    <col width="37.375" bestFit="1" customWidth="1" style="105" min="13370" max="13370"/>
    <col width="6.875" bestFit="1" customWidth="1" style="105" min="13371" max="13371"/>
    <col width="7.875" bestFit="1" customWidth="1" style="105" min="13372" max="13372"/>
    <col width="7.75" bestFit="1" customWidth="1" style="105" min="13373" max="13373"/>
    <col width="8" bestFit="1" customWidth="1" style="105" min="13374" max="13374"/>
    <col width="4.75" bestFit="1" customWidth="1" style="105" min="13375" max="13375"/>
    <col width="7.875" bestFit="1" customWidth="1" style="105" min="13376" max="13376"/>
    <col width="4" bestFit="1" customWidth="1" style="105" min="13377" max="13388"/>
    <col width="3.75" bestFit="1" customWidth="1" style="105" min="13389" max="13389"/>
    <col width="4" bestFit="1" customWidth="1" style="105" min="13390" max="13390"/>
    <col width="3.625" bestFit="1" customWidth="1" style="105" min="13391" max="13391"/>
    <col width="9.875" bestFit="1" customWidth="1" style="105" min="13392" max="13392"/>
    <col width="5" bestFit="1" customWidth="1" style="105" min="13393" max="13393"/>
    <col width="7.125" bestFit="1" customWidth="1" style="105" min="13394" max="13394"/>
    <col width="9.375" bestFit="1" customWidth="1" style="105" min="13395" max="13395"/>
    <col width="17.5" bestFit="1" customWidth="1" style="105" min="13396" max="13396"/>
    <col width="7.375" bestFit="1" customWidth="1" style="105" min="13397" max="13397"/>
    <col width="5.75" bestFit="1" customWidth="1" style="105" min="13398" max="13398"/>
    <col width="31.25" bestFit="1" customWidth="1" style="105" min="13399" max="13399"/>
    <col width="26" bestFit="1" customWidth="1" style="105" min="13400" max="13400"/>
    <col width="24.375" bestFit="1" customWidth="1" style="105" min="13401" max="13402"/>
    <col width="6.375" bestFit="1" customWidth="1" style="105" min="13403" max="13403"/>
    <col width="9.875" bestFit="1" customWidth="1" style="105" min="13404" max="13405"/>
    <col width="28.875" bestFit="1" customWidth="1" style="105" min="13406" max="13406"/>
    <col width="9.75" bestFit="1" customWidth="1" style="105" min="13407" max="13407"/>
    <col width="12.625" bestFit="1" customWidth="1" style="105" min="13408" max="13408"/>
    <col width="32.375" bestFit="1" customWidth="1" style="105" min="13409" max="13409"/>
    <col width="3.375" bestFit="1" customWidth="1" style="105" min="13410" max="13410"/>
    <col width="8" bestFit="1" customWidth="1" style="105" min="13411" max="13411"/>
    <col width="5.625" bestFit="1" customWidth="1" style="105" min="13412" max="13412"/>
    <col width="7.875" bestFit="1" customWidth="1" style="105" min="13413" max="13413"/>
    <col width="6" bestFit="1" customWidth="1" style="105" min="13414" max="13414"/>
    <col width="11.25" bestFit="1" customWidth="1" style="105" min="13415" max="13415"/>
    <col width="9" customWidth="1" style="105" min="13416" max="13568"/>
    <col width="13.125" bestFit="1" customWidth="1" style="105" min="13569" max="13569"/>
    <col width="10.875" bestFit="1" customWidth="1" style="105" min="13570" max="13570"/>
    <col width="4.625" bestFit="1" customWidth="1" style="105" min="13571" max="13571"/>
    <col width="7" bestFit="1" customWidth="1" style="105" min="13572" max="13572"/>
    <col width="5.125" bestFit="1" customWidth="1" style="105" min="13573" max="13573"/>
    <col width="3.25" bestFit="1" customWidth="1" style="105" min="13574" max="13578"/>
    <col width="3.5" bestFit="1" customWidth="1" style="105" min="13579" max="13579"/>
    <col width="3.375" bestFit="1" customWidth="1" style="105" min="13580" max="13581"/>
    <col width="4.625" bestFit="1" customWidth="1" style="105" min="13582" max="13582"/>
    <col width="4.875" bestFit="1" customWidth="1" style="105" min="13583" max="13583"/>
    <col width="5.25" bestFit="1" customWidth="1" style="105" min="13584" max="13584"/>
    <col width="4.875" bestFit="1" customWidth="1" style="105" min="13585" max="13585"/>
    <col width="7.875" bestFit="1" customWidth="1" style="105" min="13586" max="13586"/>
    <col width="4.375" bestFit="1" customWidth="1" style="105" min="13587" max="13587"/>
    <col width="5.5" bestFit="1" customWidth="1" style="105" min="13588" max="13588"/>
    <col width="5.75" bestFit="1" customWidth="1" style="105" min="13589" max="13589"/>
    <col width="7.875" bestFit="1" customWidth="1" style="105" min="13590" max="13590"/>
    <col width="5.125" bestFit="1" customWidth="1" style="105" min="13591" max="13591"/>
    <col width="4.625" bestFit="1" customWidth="1" style="105" min="13592" max="13592"/>
    <col width="7.875" bestFit="1" customWidth="1" style="105" min="13593" max="13593"/>
    <col width="6.125" bestFit="1" customWidth="1" style="105" min="13594" max="13594"/>
    <col width="32.375" bestFit="1" customWidth="1" style="105" min="13595" max="13595"/>
    <col width="32.875" bestFit="1" customWidth="1" style="105" min="13596" max="13596"/>
    <col width="8.625" bestFit="1" customWidth="1" style="105" min="13597" max="13597"/>
    <col width="9.375" bestFit="1" customWidth="1" style="105" min="13598" max="13598"/>
    <col width="9.25" bestFit="1" customWidth="1" style="105" min="13599" max="13599"/>
    <col width="2.5" bestFit="1" customWidth="1" style="105" min="13600" max="13600"/>
    <col width="3.25" bestFit="1" customWidth="1" style="105" min="13601" max="13601"/>
    <col width="3.375" bestFit="1" customWidth="1" style="105" min="13602" max="13603"/>
    <col width="6.25" bestFit="1" customWidth="1" style="105" min="13604" max="13604"/>
    <col width="8.25" bestFit="1" customWidth="1" style="105" min="13605" max="13605"/>
    <col width="6.875" bestFit="1" customWidth="1" style="105" min="13606" max="13606"/>
    <col width="6.375" bestFit="1" customWidth="1" style="105" min="13607" max="13607"/>
    <col width="19.625" bestFit="1" customWidth="1" style="105" min="13608" max="13608"/>
    <col width="34.5" bestFit="1" customWidth="1" style="105" min="13609" max="13609"/>
    <col width="6.25" bestFit="1" customWidth="1" style="105" min="13610" max="13610"/>
    <col width="7.125" bestFit="1" customWidth="1" style="105" min="13611" max="13611"/>
    <col width="5.875" bestFit="1" customWidth="1" style="105" min="13612" max="13612"/>
    <col width="29.625" bestFit="1" customWidth="1" style="105" min="13613" max="13613"/>
    <col width="5.875" bestFit="1" customWidth="1" style="105" min="13614" max="13614"/>
    <col width="3.75" bestFit="1" customWidth="1" style="105" min="13615" max="13615"/>
    <col width="6.25" bestFit="1" customWidth="1" style="105" min="13616" max="13616"/>
    <col width="6.875" bestFit="1" customWidth="1" style="105" min="13617" max="13617"/>
    <col width="6.75" bestFit="1" customWidth="1" style="105" min="13618" max="13618"/>
    <col width="5.875" bestFit="1" customWidth="1" style="105" min="13619" max="13619"/>
    <col width="108.375" bestFit="1" customWidth="1" style="105" min="13620" max="13620"/>
    <col width="104.125" bestFit="1" customWidth="1" style="105" min="13621" max="13621"/>
    <col width="7" bestFit="1" customWidth="1" style="105" min="13622" max="13622"/>
    <col width="7.875" bestFit="1" customWidth="1" style="105" min="13623" max="13623"/>
    <col width="8.5" bestFit="1" customWidth="1" style="105" min="13624" max="13624"/>
    <col width="4.75" bestFit="1" customWidth="1" style="105" min="13625" max="13625"/>
    <col width="37.375" bestFit="1" customWidth="1" style="105" min="13626" max="13626"/>
    <col width="6.875" bestFit="1" customWidth="1" style="105" min="13627" max="13627"/>
    <col width="7.875" bestFit="1" customWidth="1" style="105" min="13628" max="13628"/>
    <col width="7.75" bestFit="1" customWidth="1" style="105" min="13629" max="13629"/>
    <col width="8" bestFit="1" customWidth="1" style="105" min="13630" max="13630"/>
    <col width="4.75" bestFit="1" customWidth="1" style="105" min="13631" max="13631"/>
    <col width="7.875" bestFit="1" customWidth="1" style="105" min="13632" max="13632"/>
    <col width="4" bestFit="1" customWidth="1" style="105" min="13633" max="13644"/>
    <col width="3.75" bestFit="1" customWidth="1" style="105" min="13645" max="13645"/>
    <col width="4" bestFit="1" customWidth="1" style="105" min="13646" max="13646"/>
    <col width="3.625" bestFit="1" customWidth="1" style="105" min="13647" max="13647"/>
    <col width="9.875" bestFit="1" customWidth="1" style="105" min="13648" max="13648"/>
    <col width="5" bestFit="1" customWidth="1" style="105" min="13649" max="13649"/>
    <col width="7.125" bestFit="1" customWidth="1" style="105" min="13650" max="13650"/>
    <col width="9.375" bestFit="1" customWidth="1" style="105" min="13651" max="13651"/>
    <col width="17.5" bestFit="1" customWidth="1" style="105" min="13652" max="13652"/>
    <col width="7.375" bestFit="1" customWidth="1" style="105" min="13653" max="13653"/>
    <col width="5.75" bestFit="1" customWidth="1" style="105" min="13654" max="13654"/>
    <col width="31.25" bestFit="1" customWidth="1" style="105" min="13655" max="13655"/>
    <col width="26" bestFit="1" customWidth="1" style="105" min="13656" max="13656"/>
    <col width="24.375" bestFit="1" customWidth="1" style="105" min="13657" max="13658"/>
    <col width="6.375" bestFit="1" customWidth="1" style="105" min="13659" max="13659"/>
    <col width="9.875" bestFit="1" customWidth="1" style="105" min="13660" max="13661"/>
    <col width="28.875" bestFit="1" customWidth="1" style="105" min="13662" max="13662"/>
    <col width="9.75" bestFit="1" customWidth="1" style="105" min="13663" max="13663"/>
    <col width="12.625" bestFit="1" customWidth="1" style="105" min="13664" max="13664"/>
    <col width="32.375" bestFit="1" customWidth="1" style="105" min="13665" max="13665"/>
    <col width="3.375" bestFit="1" customWidth="1" style="105" min="13666" max="13666"/>
    <col width="8" bestFit="1" customWidth="1" style="105" min="13667" max="13667"/>
    <col width="5.625" bestFit="1" customWidth="1" style="105" min="13668" max="13668"/>
    <col width="7.875" bestFit="1" customWidth="1" style="105" min="13669" max="13669"/>
    <col width="6" bestFit="1" customWidth="1" style="105" min="13670" max="13670"/>
    <col width="11.25" bestFit="1" customWidth="1" style="105" min="13671" max="13671"/>
    <col width="9" customWidth="1" style="105" min="13672" max="13824"/>
    <col width="13.125" bestFit="1" customWidth="1" style="105" min="13825" max="13825"/>
    <col width="10.875" bestFit="1" customWidth="1" style="105" min="13826" max="13826"/>
    <col width="4.625" bestFit="1" customWidth="1" style="105" min="13827" max="13827"/>
    <col width="7" bestFit="1" customWidth="1" style="105" min="13828" max="13828"/>
    <col width="5.125" bestFit="1" customWidth="1" style="105" min="13829" max="13829"/>
    <col width="3.25" bestFit="1" customWidth="1" style="105" min="13830" max="13834"/>
    <col width="3.5" bestFit="1" customWidth="1" style="105" min="13835" max="13835"/>
    <col width="3.375" bestFit="1" customWidth="1" style="105" min="13836" max="13837"/>
    <col width="4.625" bestFit="1" customWidth="1" style="105" min="13838" max="13838"/>
    <col width="4.875" bestFit="1" customWidth="1" style="105" min="13839" max="13839"/>
    <col width="5.25" bestFit="1" customWidth="1" style="105" min="13840" max="13840"/>
    <col width="4.875" bestFit="1" customWidth="1" style="105" min="13841" max="13841"/>
    <col width="7.875" bestFit="1" customWidth="1" style="105" min="13842" max="13842"/>
    <col width="4.375" bestFit="1" customWidth="1" style="105" min="13843" max="13843"/>
    <col width="5.5" bestFit="1" customWidth="1" style="105" min="13844" max="13844"/>
    <col width="5.75" bestFit="1" customWidth="1" style="105" min="13845" max="13845"/>
    <col width="7.875" bestFit="1" customWidth="1" style="105" min="13846" max="13846"/>
    <col width="5.125" bestFit="1" customWidth="1" style="105" min="13847" max="13847"/>
    <col width="4.625" bestFit="1" customWidth="1" style="105" min="13848" max="13848"/>
    <col width="7.875" bestFit="1" customWidth="1" style="105" min="13849" max="13849"/>
    <col width="6.125" bestFit="1" customWidth="1" style="105" min="13850" max="13850"/>
    <col width="32.375" bestFit="1" customWidth="1" style="105" min="13851" max="13851"/>
    <col width="32.875" bestFit="1" customWidth="1" style="105" min="13852" max="13852"/>
    <col width="8.625" bestFit="1" customWidth="1" style="105" min="13853" max="13853"/>
    <col width="9.375" bestFit="1" customWidth="1" style="105" min="13854" max="13854"/>
    <col width="9.25" bestFit="1" customWidth="1" style="105" min="13855" max="13855"/>
    <col width="2.5" bestFit="1" customWidth="1" style="105" min="13856" max="13856"/>
    <col width="3.25" bestFit="1" customWidth="1" style="105" min="13857" max="13857"/>
    <col width="3.375" bestFit="1" customWidth="1" style="105" min="13858" max="13859"/>
    <col width="6.25" bestFit="1" customWidth="1" style="105" min="13860" max="13860"/>
    <col width="8.25" bestFit="1" customWidth="1" style="105" min="13861" max="13861"/>
    <col width="6.875" bestFit="1" customWidth="1" style="105" min="13862" max="13862"/>
    <col width="6.375" bestFit="1" customWidth="1" style="105" min="13863" max="13863"/>
    <col width="19.625" bestFit="1" customWidth="1" style="105" min="13864" max="13864"/>
    <col width="34.5" bestFit="1" customWidth="1" style="105" min="13865" max="13865"/>
    <col width="6.25" bestFit="1" customWidth="1" style="105" min="13866" max="13866"/>
    <col width="7.125" bestFit="1" customWidth="1" style="105" min="13867" max="13867"/>
    <col width="5.875" bestFit="1" customWidth="1" style="105" min="13868" max="13868"/>
    <col width="29.625" bestFit="1" customWidth="1" style="105" min="13869" max="13869"/>
    <col width="5.875" bestFit="1" customWidth="1" style="105" min="13870" max="13870"/>
    <col width="3.75" bestFit="1" customWidth="1" style="105" min="13871" max="13871"/>
    <col width="6.25" bestFit="1" customWidth="1" style="105" min="13872" max="13872"/>
    <col width="6.875" bestFit="1" customWidth="1" style="105" min="13873" max="13873"/>
    <col width="6.75" bestFit="1" customWidth="1" style="105" min="13874" max="13874"/>
    <col width="5.875" bestFit="1" customWidth="1" style="105" min="13875" max="13875"/>
    <col width="108.375" bestFit="1" customWidth="1" style="105" min="13876" max="13876"/>
    <col width="104.125" bestFit="1" customWidth="1" style="105" min="13877" max="13877"/>
    <col width="7" bestFit="1" customWidth="1" style="105" min="13878" max="13878"/>
    <col width="7.875" bestFit="1" customWidth="1" style="105" min="13879" max="13879"/>
    <col width="8.5" bestFit="1" customWidth="1" style="105" min="13880" max="13880"/>
    <col width="4.75" bestFit="1" customWidth="1" style="105" min="13881" max="13881"/>
    <col width="37.375" bestFit="1" customWidth="1" style="105" min="13882" max="13882"/>
    <col width="6.875" bestFit="1" customWidth="1" style="105" min="13883" max="13883"/>
    <col width="7.875" bestFit="1" customWidth="1" style="105" min="13884" max="13884"/>
    <col width="7.75" bestFit="1" customWidth="1" style="105" min="13885" max="13885"/>
    <col width="8" bestFit="1" customWidth="1" style="105" min="13886" max="13886"/>
    <col width="4.75" bestFit="1" customWidth="1" style="105" min="13887" max="13887"/>
    <col width="7.875" bestFit="1" customWidth="1" style="105" min="13888" max="13888"/>
    <col width="4" bestFit="1" customWidth="1" style="105" min="13889" max="13900"/>
    <col width="3.75" bestFit="1" customWidth="1" style="105" min="13901" max="13901"/>
    <col width="4" bestFit="1" customWidth="1" style="105" min="13902" max="13902"/>
    <col width="3.625" bestFit="1" customWidth="1" style="105" min="13903" max="13903"/>
    <col width="9.875" bestFit="1" customWidth="1" style="105" min="13904" max="13904"/>
    <col width="5" bestFit="1" customWidth="1" style="105" min="13905" max="13905"/>
    <col width="7.125" bestFit="1" customWidth="1" style="105" min="13906" max="13906"/>
    <col width="9.375" bestFit="1" customWidth="1" style="105" min="13907" max="13907"/>
    <col width="17.5" bestFit="1" customWidth="1" style="105" min="13908" max="13908"/>
    <col width="7.375" bestFit="1" customWidth="1" style="105" min="13909" max="13909"/>
    <col width="5.75" bestFit="1" customWidth="1" style="105" min="13910" max="13910"/>
    <col width="31.25" bestFit="1" customWidth="1" style="105" min="13911" max="13911"/>
    <col width="26" bestFit="1" customWidth="1" style="105" min="13912" max="13912"/>
    <col width="24.375" bestFit="1" customWidth="1" style="105" min="13913" max="13914"/>
    <col width="6.375" bestFit="1" customWidth="1" style="105" min="13915" max="13915"/>
    <col width="9.875" bestFit="1" customWidth="1" style="105" min="13916" max="13917"/>
    <col width="28.875" bestFit="1" customWidth="1" style="105" min="13918" max="13918"/>
    <col width="9.75" bestFit="1" customWidth="1" style="105" min="13919" max="13919"/>
    <col width="12.625" bestFit="1" customWidth="1" style="105" min="13920" max="13920"/>
    <col width="32.375" bestFit="1" customWidth="1" style="105" min="13921" max="13921"/>
    <col width="3.375" bestFit="1" customWidth="1" style="105" min="13922" max="13922"/>
    <col width="8" bestFit="1" customWidth="1" style="105" min="13923" max="13923"/>
    <col width="5.625" bestFit="1" customWidth="1" style="105" min="13924" max="13924"/>
    <col width="7.875" bestFit="1" customWidth="1" style="105" min="13925" max="13925"/>
    <col width="6" bestFit="1" customWidth="1" style="105" min="13926" max="13926"/>
    <col width="11.25" bestFit="1" customWidth="1" style="105" min="13927" max="13927"/>
    <col width="9" customWidth="1" style="105" min="13928" max="14080"/>
    <col width="13.125" bestFit="1" customWidth="1" style="105" min="14081" max="14081"/>
    <col width="10.875" bestFit="1" customWidth="1" style="105" min="14082" max="14082"/>
    <col width="4.625" bestFit="1" customWidth="1" style="105" min="14083" max="14083"/>
    <col width="7" bestFit="1" customWidth="1" style="105" min="14084" max="14084"/>
    <col width="5.125" bestFit="1" customWidth="1" style="105" min="14085" max="14085"/>
    <col width="3.25" bestFit="1" customWidth="1" style="105" min="14086" max="14090"/>
    <col width="3.5" bestFit="1" customWidth="1" style="105" min="14091" max="14091"/>
    <col width="3.375" bestFit="1" customWidth="1" style="105" min="14092" max="14093"/>
    <col width="4.625" bestFit="1" customWidth="1" style="105" min="14094" max="14094"/>
    <col width="4.875" bestFit="1" customWidth="1" style="105" min="14095" max="14095"/>
    <col width="5.25" bestFit="1" customWidth="1" style="105" min="14096" max="14096"/>
    <col width="4.875" bestFit="1" customWidth="1" style="105" min="14097" max="14097"/>
    <col width="7.875" bestFit="1" customWidth="1" style="105" min="14098" max="14098"/>
    <col width="4.375" bestFit="1" customWidth="1" style="105" min="14099" max="14099"/>
    <col width="5.5" bestFit="1" customWidth="1" style="105" min="14100" max="14100"/>
    <col width="5.75" bestFit="1" customWidth="1" style="105" min="14101" max="14101"/>
    <col width="7.875" bestFit="1" customWidth="1" style="105" min="14102" max="14102"/>
    <col width="5.125" bestFit="1" customWidth="1" style="105" min="14103" max="14103"/>
    <col width="4.625" bestFit="1" customWidth="1" style="105" min="14104" max="14104"/>
    <col width="7.875" bestFit="1" customWidth="1" style="105" min="14105" max="14105"/>
    <col width="6.125" bestFit="1" customWidth="1" style="105" min="14106" max="14106"/>
    <col width="32.375" bestFit="1" customWidth="1" style="105" min="14107" max="14107"/>
    <col width="32.875" bestFit="1" customWidth="1" style="105" min="14108" max="14108"/>
    <col width="8.625" bestFit="1" customWidth="1" style="105" min="14109" max="14109"/>
    <col width="9.375" bestFit="1" customWidth="1" style="105" min="14110" max="14110"/>
    <col width="9.25" bestFit="1" customWidth="1" style="105" min="14111" max="14111"/>
    <col width="2.5" bestFit="1" customWidth="1" style="105" min="14112" max="14112"/>
    <col width="3.25" bestFit="1" customWidth="1" style="105" min="14113" max="14113"/>
    <col width="3.375" bestFit="1" customWidth="1" style="105" min="14114" max="14115"/>
    <col width="6.25" bestFit="1" customWidth="1" style="105" min="14116" max="14116"/>
    <col width="8.25" bestFit="1" customWidth="1" style="105" min="14117" max="14117"/>
    <col width="6.875" bestFit="1" customWidth="1" style="105" min="14118" max="14118"/>
    <col width="6.375" bestFit="1" customWidth="1" style="105" min="14119" max="14119"/>
    <col width="19.625" bestFit="1" customWidth="1" style="105" min="14120" max="14120"/>
    <col width="34.5" bestFit="1" customWidth="1" style="105" min="14121" max="14121"/>
    <col width="6.25" bestFit="1" customWidth="1" style="105" min="14122" max="14122"/>
    <col width="7.125" bestFit="1" customWidth="1" style="105" min="14123" max="14123"/>
    <col width="5.875" bestFit="1" customWidth="1" style="105" min="14124" max="14124"/>
    <col width="29.625" bestFit="1" customWidth="1" style="105" min="14125" max="14125"/>
    <col width="5.875" bestFit="1" customWidth="1" style="105" min="14126" max="14126"/>
    <col width="3.75" bestFit="1" customWidth="1" style="105" min="14127" max="14127"/>
    <col width="6.25" bestFit="1" customWidth="1" style="105" min="14128" max="14128"/>
    <col width="6.875" bestFit="1" customWidth="1" style="105" min="14129" max="14129"/>
    <col width="6.75" bestFit="1" customWidth="1" style="105" min="14130" max="14130"/>
    <col width="5.875" bestFit="1" customWidth="1" style="105" min="14131" max="14131"/>
    <col width="108.375" bestFit="1" customWidth="1" style="105" min="14132" max="14132"/>
    <col width="104.125" bestFit="1" customWidth="1" style="105" min="14133" max="14133"/>
    <col width="7" bestFit="1" customWidth="1" style="105" min="14134" max="14134"/>
    <col width="7.875" bestFit="1" customWidth="1" style="105" min="14135" max="14135"/>
    <col width="8.5" bestFit="1" customWidth="1" style="105" min="14136" max="14136"/>
    <col width="4.75" bestFit="1" customWidth="1" style="105" min="14137" max="14137"/>
    <col width="37.375" bestFit="1" customWidth="1" style="105" min="14138" max="14138"/>
    <col width="6.875" bestFit="1" customWidth="1" style="105" min="14139" max="14139"/>
    <col width="7.875" bestFit="1" customWidth="1" style="105" min="14140" max="14140"/>
    <col width="7.75" bestFit="1" customWidth="1" style="105" min="14141" max="14141"/>
    <col width="8" bestFit="1" customWidth="1" style="105" min="14142" max="14142"/>
    <col width="4.75" bestFit="1" customWidth="1" style="105" min="14143" max="14143"/>
    <col width="7.875" bestFit="1" customWidth="1" style="105" min="14144" max="14144"/>
    <col width="4" bestFit="1" customWidth="1" style="105" min="14145" max="14156"/>
    <col width="3.75" bestFit="1" customWidth="1" style="105" min="14157" max="14157"/>
    <col width="4" bestFit="1" customWidth="1" style="105" min="14158" max="14158"/>
    <col width="3.625" bestFit="1" customWidth="1" style="105" min="14159" max="14159"/>
    <col width="9.875" bestFit="1" customWidth="1" style="105" min="14160" max="14160"/>
    <col width="5" bestFit="1" customWidth="1" style="105" min="14161" max="14161"/>
    <col width="7.125" bestFit="1" customWidth="1" style="105" min="14162" max="14162"/>
    <col width="9.375" bestFit="1" customWidth="1" style="105" min="14163" max="14163"/>
    <col width="17.5" bestFit="1" customWidth="1" style="105" min="14164" max="14164"/>
    <col width="7.375" bestFit="1" customWidth="1" style="105" min="14165" max="14165"/>
    <col width="5.75" bestFit="1" customWidth="1" style="105" min="14166" max="14166"/>
    <col width="31.25" bestFit="1" customWidth="1" style="105" min="14167" max="14167"/>
    <col width="26" bestFit="1" customWidth="1" style="105" min="14168" max="14168"/>
    <col width="24.375" bestFit="1" customWidth="1" style="105" min="14169" max="14170"/>
    <col width="6.375" bestFit="1" customWidth="1" style="105" min="14171" max="14171"/>
    <col width="9.875" bestFit="1" customWidth="1" style="105" min="14172" max="14173"/>
    <col width="28.875" bestFit="1" customWidth="1" style="105" min="14174" max="14174"/>
    <col width="9.75" bestFit="1" customWidth="1" style="105" min="14175" max="14175"/>
    <col width="12.625" bestFit="1" customWidth="1" style="105" min="14176" max="14176"/>
    <col width="32.375" bestFit="1" customWidth="1" style="105" min="14177" max="14177"/>
    <col width="3.375" bestFit="1" customWidth="1" style="105" min="14178" max="14178"/>
    <col width="8" bestFit="1" customWidth="1" style="105" min="14179" max="14179"/>
    <col width="5.625" bestFit="1" customWidth="1" style="105" min="14180" max="14180"/>
    <col width="7.875" bestFit="1" customWidth="1" style="105" min="14181" max="14181"/>
    <col width="6" bestFit="1" customWidth="1" style="105" min="14182" max="14182"/>
    <col width="11.25" bestFit="1" customWidth="1" style="105" min="14183" max="14183"/>
    <col width="9" customWidth="1" style="105" min="14184" max="14336"/>
    <col width="13.125" bestFit="1" customWidth="1" style="105" min="14337" max="14337"/>
    <col width="10.875" bestFit="1" customWidth="1" style="105" min="14338" max="14338"/>
    <col width="4.625" bestFit="1" customWidth="1" style="105" min="14339" max="14339"/>
    <col width="7" bestFit="1" customWidth="1" style="105" min="14340" max="14340"/>
    <col width="5.125" bestFit="1" customWidth="1" style="105" min="14341" max="14341"/>
    <col width="3.25" bestFit="1" customWidth="1" style="105" min="14342" max="14346"/>
    <col width="3.5" bestFit="1" customWidth="1" style="105" min="14347" max="14347"/>
    <col width="3.375" bestFit="1" customWidth="1" style="105" min="14348" max="14349"/>
    <col width="4.625" bestFit="1" customWidth="1" style="105" min="14350" max="14350"/>
    <col width="4.875" bestFit="1" customWidth="1" style="105" min="14351" max="14351"/>
    <col width="5.25" bestFit="1" customWidth="1" style="105" min="14352" max="14352"/>
    <col width="4.875" bestFit="1" customWidth="1" style="105" min="14353" max="14353"/>
    <col width="7.875" bestFit="1" customWidth="1" style="105" min="14354" max="14354"/>
    <col width="4.375" bestFit="1" customWidth="1" style="105" min="14355" max="14355"/>
    <col width="5.5" bestFit="1" customWidth="1" style="105" min="14356" max="14356"/>
    <col width="5.75" bestFit="1" customWidth="1" style="105" min="14357" max="14357"/>
    <col width="7.875" bestFit="1" customWidth="1" style="105" min="14358" max="14358"/>
    <col width="5.125" bestFit="1" customWidth="1" style="105" min="14359" max="14359"/>
    <col width="4.625" bestFit="1" customWidth="1" style="105" min="14360" max="14360"/>
    <col width="7.875" bestFit="1" customWidth="1" style="105" min="14361" max="14361"/>
    <col width="6.125" bestFit="1" customWidth="1" style="105" min="14362" max="14362"/>
    <col width="32.375" bestFit="1" customWidth="1" style="105" min="14363" max="14363"/>
    <col width="32.875" bestFit="1" customWidth="1" style="105" min="14364" max="14364"/>
    <col width="8.625" bestFit="1" customWidth="1" style="105" min="14365" max="14365"/>
    <col width="9.375" bestFit="1" customWidth="1" style="105" min="14366" max="14366"/>
    <col width="9.25" bestFit="1" customWidth="1" style="105" min="14367" max="14367"/>
    <col width="2.5" bestFit="1" customWidth="1" style="105" min="14368" max="14368"/>
    <col width="3.25" bestFit="1" customWidth="1" style="105" min="14369" max="14369"/>
    <col width="3.375" bestFit="1" customWidth="1" style="105" min="14370" max="14371"/>
    <col width="6.25" bestFit="1" customWidth="1" style="105" min="14372" max="14372"/>
    <col width="8.25" bestFit="1" customWidth="1" style="105" min="14373" max="14373"/>
    <col width="6.875" bestFit="1" customWidth="1" style="105" min="14374" max="14374"/>
    <col width="6.375" bestFit="1" customWidth="1" style="105" min="14375" max="14375"/>
    <col width="19.625" bestFit="1" customWidth="1" style="105" min="14376" max="14376"/>
    <col width="34.5" bestFit="1" customWidth="1" style="105" min="14377" max="14377"/>
    <col width="6.25" bestFit="1" customWidth="1" style="105" min="14378" max="14378"/>
    <col width="7.125" bestFit="1" customWidth="1" style="105" min="14379" max="14379"/>
    <col width="5.875" bestFit="1" customWidth="1" style="105" min="14380" max="14380"/>
    <col width="29.625" bestFit="1" customWidth="1" style="105" min="14381" max="14381"/>
    <col width="5.875" bestFit="1" customWidth="1" style="105" min="14382" max="14382"/>
    <col width="3.75" bestFit="1" customWidth="1" style="105" min="14383" max="14383"/>
    <col width="6.25" bestFit="1" customWidth="1" style="105" min="14384" max="14384"/>
    <col width="6.875" bestFit="1" customWidth="1" style="105" min="14385" max="14385"/>
    <col width="6.75" bestFit="1" customWidth="1" style="105" min="14386" max="14386"/>
    <col width="5.875" bestFit="1" customWidth="1" style="105" min="14387" max="14387"/>
    <col width="108.375" bestFit="1" customWidth="1" style="105" min="14388" max="14388"/>
    <col width="104.125" bestFit="1" customWidth="1" style="105" min="14389" max="14389"/>
    <col width="7" bestFit="1" customWidth="1" style="105" min="14390" max="14390"/>
    <col width="7.875" bestFit="1" customWidth="1" style="105" min="14391" max="14391"/>
    <col width="8.5" bestFit="1" customWidth="1" style="105" min="14392" max="14392"/>
    <col width="4.75" bestFit="1" customWidth="1" style="105" min="14393" max="14393"/>
    <col width="37.375" bestFit="1" customWidth="1" style="105" min="14394" max="14394"/>
    <col width="6.875" bestFit="1" customWidth="1" style="105" min="14395" max="14395"/>
    <col width="7.875" bestFit="1" customWidth="1" style="105" min="14396" max="14396"/>
    <col width="7.75" bestFit="1" customWidth="1" style="105" min="14397" max="14397"/>
    <col width="8" bestFit="1" customWidth="1" style="105" min="14398" max="14398"/>
    <col width="4.75" bestFit="1" customWidth="1" style="105" min="14399" max="14399"/>
    <col width="7.875" bestFit="1" customWidth="1" style="105" min="14400" max="14400"/>
    <col width="4" bestFit="1" customWidth="1" style="105" min="14401" max="14412"/>
    <col width="3.75" bestFit="1" customWidth="1" style="105" min="14413" max="14413"/>
    <col width="4" bestFit="1" customWidth="1" style="105" min="14414" max="14414"/>
    <col width="3.625" bestFit="1" customWidth="1" style="105" min="14415" max="14415"/>
    <col width="9.875" bestFit="1" customWidth="1" style="105" min="14416" max="14416"/>
    <col width="5" bestFit="1" customWidth="1" style="105" min="14417" max="14417"/>
    <col width="7.125" bestFit="1" customWidth="1" style="105" min="14418" max="14418"/>
    <col width="9.375" bestFit="1" customWidth="1" style="105" min="14419" max="14419"/>
    <col width="17.5" bestFit="1" customWidth="1" style="105" min="14420" max="14420"/>
    <col width="7.375" bestFit="1" customWidth="1" style="105" min="14421" max="14421"/>
    <col width="5.75" bestFit="1" customWidth="1" style="105" min="14422" max="14422"/>
    <col width="31.25" bestFit="1" customWidth="1" style="105" min="14423" max="14423"/>
    <col width="26" bestFit="1" customWidth="1" style="105" min="14424" max="14424"/>
    <col width="24.375" bestFit="1" customWidth="1" style="105" min="14425" max="14426"/>
    <col width="6.375" bestFit="1" customWidth="1" style="105" min="14427" max="14427"/>
    <col width="9.875" bestFit="1" customWidth="1" style="105" min="14428" max="14429"/>
    <col width="28.875" bestFit="1" customWidth="1" style="105" min="14430" max="14430"/>
    <col width="9.75" bestFit="1" customWidth="1" style="105" min="14431" max="14431"/>
    <col width="12.625" bestFit="1" customWidth="1" style="105" min="14432" max="14432"/>
    <col width="32.375" bestFit="1" customWidth="1" style="105" min="14433" max="14433"/>
    <col width="3.375" bestFit="1" customWidth="1" style="105" min="14434" max="14434"/>
    <col width="8" bestFit="1" customWidth="1" style="105" min="14435" max="14435"/>
    <col width="5.625" bestFit="1" customWidth="1" style="105" min="14436" max="14436"/>
    <col width="7.875" bestFit="1" customWidth="1" style="105" min="14437" max="14437"/>
    <col width="6" bestFit="1" customWidth="1" style="105" min="14438" max="14438"/>
    <col width="11.25" bestFit="1" customWidth="1" style="105" min="14439" max="14439"/>
    <col width="9" customWidth="1" style="105" min="14440" max="14592"/>
    <col width="13.125" bestFit="1" customWidth="1" style="105" min="14593" max="14593"/>
    <col width="10.875" bestFit="1" customWidth="1" style="105" min="14594" max="14594"/>
    <col width="4.625" bestFit="1" customWidth="1" style="105" min="14595" max="14595"/>
    <col width="7" bestFit="1" customWidth="1" style="105" min="14596" max="14596"/>
    <col width="5.125" bestFit="1" customWidth="1" style="105" min="14597" max="14597"/>
    <col width="3.25" bestFit="1" customWidth="1" style="105" min="14598" max="14602"/>
    <col width="3.5" bestFit="1" customWidth="1" style="105" min="14603" max="14603"/>
    <col width="3.375" bestFit="1" customWidth="1" style="105" min="14604" max="14605"/>
    <col width="4.625" bestFit="1" customWidth="1" style="105" min="14606" max="14606"/>
    <col width="4.875" bestFit="1" customWidth="1" style="105" min="14607" max="14607"/>
    <col width="5.25" bestFit="1" customWidth="1" style="105" min="14608" max="14608"/>
    <col width="4.875" bestFit="1" customWidth="1" style="105" min="14609" max="14609"/>
    <col width="7.875" bestFit="1" customWidth="1" style="105" min="14610" max="14610"/>
    <col width="4.375" bestFit="1" customWidth="1" style="105" min="14611" max="14611"/>
    <col width="5.5" bestFit="1" customWidth="1" style="105" min="14612" max="14612"/>
    <col width="5.75" bestFit="1" customWidth="1" style="105" min="14613" max="14613"/>
    <col width="7.875" bestFit="1" customWidth="1" style="105" min="14614" max="14614"/>
    <col width="5.125" bestFit="1" customWidth="1" style="105" min="14615" max="14615"/>
    <col width="4.625" bestFit="1" customWidth="1" style="105" min="14616" max="14616"/>
    <col width="7.875" bestFit="1" customWidth="1" style="105" min="14617" max="14617"/>
    <col width="6.125" bestFit="1" customWidth="1" style="105" min="14618" max="14618"/>
    <col width="32.375" bestFit="1" customWidth="1" style="105" min="14619" max="14619"/>
    <col width="32.875" bestFit="1" customWidth="1" style="105" min="14620" max="14620"/>
    <col width="8.625" bestFit="1" customWidth="1" style="105" min="14621" max="14621"/>
    <col width="9.375" bestFit="1" customWidth="1" style="105" min="14622" max="14622"/>
    <col width="9.25" bestFit="1" customWidth="1" style="105" min="14623" max="14623"/>
    <col width="2.5" bestFit="1" customWidth="1" style="105" min="14624" max="14624"/>
    <col width="3.25" bestFit="1" customWidth="1" style="105" min="14625" max="14625"/>
    <col width="3.375" bestFit="1" customWidth="1" style="105" min="14626" max="14627"/>
    <col width="6.25" bestFit="1" customWidth="1" style="105" min="14628" max="14628"/>
    <col width="8.25" bestFit="1" customWidth="1" style="105" min="14629" max="14629"/>
    <col width="6.875" bestFit="1" customWidth="1" style="105" min="14630" max="14630"/>
    <col width="6.375" bestFit="1" customWidth="1" style="105" min="14631" max="14631"/>
    <col width="19.625" bestFit="1" customWidth="1" style="105" min="14632" max="14632"/>
    <col width="34.5" bestFit="1" customWidth="1" style="105" min="14633" max="14633"/>
    <col width="6.25" bestFit="1" customWidth="1" style="105" min="14634" max="14634"/>
    <col width="7.125" bestFit="1" customWidth="1" style="105" min="14635" max="14635"/>
    <col width="5.875" bestFit="1" customWidth="1" style="105" min="14636" max="14636"/>
    <col width="29.625" bestFit="1" customWidth="1" style="105" min="14637" max="14637"/>
    <col width="5.875" bestFit="1" customWidth="1" style="105" min="14638" max="14638"/>
    <col width="3.75" bestFit="1" customWidth="1" style="105" min="14639" max="14639"/>
    <col width="6.25" bestFit="1" customWidth="1" style="105" min="14640" max="14640"/>
    <col width="6.875" bestFit="1" customWidth="1" style="105" min="14641" max="14641"/>
    <col width="6.75" bestFit="1" customWidth="1" style="105" min="14642" max="14642"/>
    <col width="5.875" bestFit="1" customWidth="1" style="105" min="14643" max="14643"/>
    <col width="108.375" bestFit="1" customWidth="1" style="105" min="14644" max="14644"/>
    <col width="104.125" bestFit="1" customWidth="1" style="105" min="14645" max="14645"/>
    <col width="7" bestFit="1" customWidth="1" style="105" min="14646" max="14646"/>
    <col width="7.875" bestFit="1" customWidth="1" style="105" min="14647" max="14647"/>
    <col width="8.5" bestFit="1" customWidth="1" style="105" min="14648" max="14648"/>
    <col width="4.75" bestFit="1" customWidth="1" style="105" min="14649" max="14649"/>
    <col width="37.375" bestFit="1" customWidth="1" style="105" min="14650" max="14650"/>
    <col width="6.875" bestFit="1" customWidth="1" style="105" min="14651" max="14651"/>
    <col width="7.875" bestFit="1" customWidth="1" style="105" min="14652" max="14652"/>
    <col width="7.75" bestFit="1" customWidth="1" style="105" min="14653" max="14653"/>
    <col width="8" bestFit="1" customWidth="1" style="105" min="14654" max="14654"/>
    <col width="4.75" bestFit="1" customWidth="1" style="105" min="14655" max="14655"/>
    <col width="7.875" bestFit="1" customWidth="1" style="105" min="14656" max="14656"/>
    <col width="4" bestFit="1" customWidth="1" style="105" min="14657" max="14668"/>
    <col width="3.75" bestFit="1" customWidth="1" style="105" min="14669" max="14669"/>
    <col width="4" bestFit="1" customWidth="1" style="105" min="14670" max="14670"/>
    <col width="3.625" bestFit="1" customWidth="1" style="105" min="14671" max="14671"/>
    <col width="9.875" bestFit="1" customWidth="1" style="105" min="14672" max="14672"/>
    <col width="5" bestFit="1" customWidth="1" style="105" min="14673" max="14673"/>
    <col width="7.125" bestFit="1" customWidth="1" style="105" min="14674" max="14674"/>
    <col width="9.375" bestFit="1" customWidth="1" style="105" min="14675" max="14675"/>
    <col width="17.5" bestFit="1" customWidth="1" style="105" min="14676" max="14676"/>
    <col width="7.375" bestFit="1" customWidth="1" style="105" min="14677" max="14677"/>
    <col width="5.75" bestFit="1" customWidth="1" style="105" min="14678" max="14678"/>
    <col width="31.25" bestFit="1" customWidth="1" style="105" min="14679" max="14679"/>
    <col width="26" bestFit="1" customWidth="1" style="105" min="14680" max="14680"/>
    <col width="24.375" bestFit="1" customWidth="1" style="105" min="14681" max="14682"/>
    <col width="6.375" bestFit="1" customWidth="1" style="105" min="14683" max="14683"/>
    <col width="9.875" bestFit="1" customWidth="1" style="105" min="14684" max="14685"/>
    <col width="28.875" bestFit="1" customWidth="1" style="105" min="14686" max="14686"/>
    <col width="9.75" bestFit="1" customWidth="1" style="105" min="14687" max="14687"/>
    <col width="12.625" bestFit="1" customWidth="1" style="105" min="14688" max="14688"/>
    <col width="32.375" bestFit="1" customWidth="1" style="105" min="14689" max="14689"/>
    <col width="3.375" bestFit="1" customWidth="1" style="105" min="14690" max="14690"/>
    <col width="8" bestFit="1" customWidth="1" style="105" min="14691" max="14691"/>
    <col width="5.625" bestFit="1" customWidth="1" style="105" min="14692" max="14692"/>
    <col width="7.875" bestFit="1" customWidth="1" style="105" min="14693" max="14693"/>
    <col width="6" bestFit="1" customWidth="1" style="105" min="14694" max="14694"/>
    <col width="11.25" bestFit="1" customWidth="1" style="105" min="14695" max="14695"/>
    <col width="9" customWidth="1" style="105" min="14696" max="14848"/>
    <col width="13.125" bestFit="1" customWidth="1" style="105" min="14849" max="14849"/>
    <col width="10.875" bestFit="1" customWidth="1" style="105" min="14850" max="14850"/>
    <col width="4.625" bestFit="1" customWidth="1" style="105" min="14851" max="14851"/>
    <col width="7" bestFit="1" customWidth="1" style="105" min="14852" max="14852"/>
    <col width="5.125" bestFit="1" customWidth="1" style="105" min="14853" max="14853"/>
    <col width="3.25" bestFit="1" customWidth="1" style="105" min="14854" max="14858"/>
    <col width="3.5" bestFit="1" customWidth="1" style="105" min="14859" max="14859"/>
    <col width="3.375" bestFit="1" customWidth="1" style="105" min="14860" max="14861"/>
    <col width="4.625" bestFit="1" customWidth="1" style="105" min="14862" max="14862"/>
    <col width="4.875" bestFit="1" customWidth="1" style="105" min="14863" max="14863"/>
    <col width="5.25" bestFit="1" customWidth="1" style="105" min="14864" max="14864"/>
    <col width="4.875" bestFit="1" customWidth="1" style="105" min="14865" max="14865"/>
    <col width="7.875" bestFit="1" customWidth="1" style="105" min="14866" max="14866"/>
    <col width="4.375" bestFit="1" customWidth="1" style="105" min="14867" max="14867"/>
    <col width="5.5" bestFit="1" customWidth="1" style="105" min="14868" max="14868"/>
    <col width="5.75" bestFit="1" customWidth="1" style="105" min="14869" max="14869"/>
    <col width="7.875" bestFit="1" customWidth="1" style="105" min="14870" max="14870"/>
    <col width="5.125" bestFit="1" customWidth="1" style="105" min="14871" max="14871"/>
    <col width="4.625" bestFit="1" customWidth="1" style="105" min="14872" max="14872"/>
    <col width="7.875" bestFit="1" customWidth="1" style="105" min="14873" max="14873"/>
    <col width="6.125" bestFit="1" customWidth="1" style="105" min="14874" max="14874"/>
    <col width="32.375" bestFit="1" customWidth="1" style="105" min="14875" max="14875"/>
    <col width="32.875" bestFit="1" customWidth="1" style="105" min="14876" max="14876"/>
    <col width="8.625" bestFit="1" customWidth="1" style="105" min="14877" max="14877"/>
    <col width="9.375" bestFit="1" customWidth="1" style="105" min="14878" max="14878"/>
    <col width="9.25" bestFit="1" customWidth="1" style="105" min="14879" max="14879"/>
    <col width="2.5" bestFit="1" customWidth="1" style="105" min="14880" max="14880"/>
    <col width="3.25" bestFit="1" customWidth="1" style="105" min="14881" max="14881"/>
    <col width="3.375" bestFit="1" customWidth="1" style="105" min="14882" max="14883"/>
    <col width="6.25" bestFit="1" customWidth="1" style="105" min="14884" max="14884"/>
    <col width="8.25" bestFit="1" customWidth="1" style="105" min="14885" max="14885"/>
    <col width="6.875" bestFit="1" customWidth="1" style="105" min="14886" max="14886"/>
    <col width="6.375" bestFit="1" customWidth="1" style="105" min="14887" max="14887"/>
    <col width="19.625" bestFit="1" customWidth="1" style="105" min="14888" max="14888"/>
    <col width="34.5" bestFit="1" customWidth="1" style="105" min="14889" max="14889"/>
    <col width="6.25" bestFit="1" customWidth="1" style="105" min="14890" max="14890"/>
    <col width="7.125" bestFit="1" customWidth="1" style="105" min="14891" max="14891"/>
    <col width="5.875" bestFit="1" customWidth="1" style="105" min="14892" max="14892"/>
    <col width="29.625" bestFit="1" customWidth="1" style="105" min="14893" max="14893"/>
    <col width="5.875" bestFit="1" customWidth="1" style="105" min="14894" max="14894"/>
    <col width="3.75" bestFit="1" customWidth="1" style="105" min="14895" max="14895"/>
    <col width="6.25" bestFit="1" customWidth="1" style="105" min="14896" max="14896"/>
    <col width="6.875" bestFit="1" customWidth="1" style="105" min="14897" max="14897"/>
    <col width="6.75" bestFit="1" customWidth="1" style="105" min="14898" max="14898"/>
    <col width="5.875" bestFit="1" customWidth="1" style="105" min="14899" max="14899"/>
    <col width="108.375" bestFit="1" customWidth="1" style="105" min="14900" max="14900"/>
    <col width="104.125" bestFit="1" customWidth="1" style="105" min="14901" max="14901"/>
    <col width="7" bestFit="1" customWidth="1" style="105" min="14902" max="14902"/>
    <col width="7.875" bestFit="1" customWidth="1" style="105" min="14903" max="14903"/>
    <col width="8.5" bestFit="1" customWidth="1" style="105" min="14904" max="14904"/>
    <col width="4.75" bestFit="1" customWidth="1" style="105" min="14905" max="14905"/>
    <col width="37.375" bestFit="1" customWidth="1" style="105" min="14906" max="14906"/>
    <col width="6.875" bestFit="1" customWidth="1" style="105" min="14907" max="14907"/>
    <col width="7.875" bestFit="1" customWidth="1" style="105" min="14908" max="14908"/>
    <col width="7.75" bestFit="1" customWidth="1" style="105" min="14909" max="14909"/>
    <col width="8" bestFit="1" customWidth="1" style="105" min="14910" max="14910"/>
    <col width="4.75" bestFit="1" customWidth="1" style="105" min="14911" max="14911"/>
    <col width="7.875" bestFit="1" customWidth="1" style="105" min="14912" max="14912"/>
    <col width="4" bestFit="1" customWidth="1" style="105" min="14913" max="14924"/>
    <col width="3.75" bestFit="1" customWidth="1" style="105" min="14925" max="14925"/>
    <col width="4" bestFit="1" customWidth="1" style="105" min="14926" max="14926"/>
    <col width="3.625" bestFit="1" customWidth="1" style="105" min="14927" max="14927"/>
    <col width="9.875" bestFit="1" customWidth="1" style="105" min="14928" max="14928"/>
    <col width="5" bestFit="1" customWidth="1" style="105" min="14929" max="14929"/>
    <col width="7.125" bestFit="1" customWidth="1" style="105" min="14930" max="14930"/>
    <col width="9.375" bestFit="1" customWidth="1" style="105" min="14931" max="14931"/>
    <col width="17.5" bestFit="1" customWidth="1" style="105" min="14932" max="14932"/>
    <col width="7.375" bestFit="1" customWidth="1" style="105" min="14933" max="14933"/>
    <col width="5.75" bestFit="1" customWidth="1" style="105" min="14934" max="14934"/>
    <col width="31.25" bestFit="1" customWidth="1" style="105" min="14935" max="14935"/>
    <col width="26" bestFit="1" customWidth="1" style="105" min="14936" max="14936"/>
    <col width="24.375" bestFit="1" customWidth="1" style="105" min="14937" max="14938"/>
    <col width="6.375" bestFit="1" customWidth="1" style="105" min="14939" max="14939"/>
    <col width="9.875" bestFit="1" customWidth="1" style="105" min="14940" max="14941"/>
    <col width="28.875" bestFit="1" customWidth="1" style="105" min="14942" max="14942"/>
    <col width="9.75" bestFit="1" customWidth="1" style="105" min="14943" max="14943"/>
    <col width="12.625" bestFit="1" customWidth="1" style="105" min="14944" max="14944"/>
    <col width="32.375" bestFit="1" customWidth="1" style="105" min="14945" max="14945"/>
    <col width="3.375" bestFit="1" customWidth="1" style="105" min="14946" max="14946"/>
    <col width="8" bestFit="1" customWidth="1" style="105" min="14947" max="14947"/>
    <col width="5.625" bestFit="1" customWidth="1" style="105" min="14948" max="14948"/>
    <col width="7.875" bestFit="1" customWidth="1" style="105" min="14949" max="14949"/>
    <col width="6" bestFit="1" customWidth="1" style="105" min="14950" max="14950"/>
    <col width="11.25" bestFit="1" customWidth="1" style="105" min="14951" max="14951"/>
    <col width="9" customWidth="1" style="105" min="14952" max="15104"/>
    <col width="13.125" bestFit="1" customWidth="1" style="105" min="15105" max="15105"/>
    <col width="10.875" bestFit="1" customWidth="1" style="105" min="15106" max="15106"/>
    <col width="4.625" bestFit="1" customWidth="1" style="105" min="15107" max="15107"/>
    <col width="7" bestFit="1" customWidth="1" style="105" min="15108" max="15108"/>
    <col width="5.125" bestFit="1" customWidth="1" style="105" min="15109" max="15109"/>
    <col width="3.25" bestFit="1" customWidth="1" style="105" min="15110" max="15114"/>
    <col width="3.5" bestFit="1" customWidth="1" style="105" min="15115" max="15115"/>
    <col width="3.375" bestFit="1" customWidth="1" style="105" min="15116" max="15117"/>
    <col width="4.625" bestFit="1" customWidth="1" style="105" min="15118" max="15118"/>
    <col width="4.875" bestFit="1" customWidth="1" style="105" min="15119" max="15119"/>
    <col width="5.25" bestFit="1" customWidth="1" style="105" min="15120" max="15120"/>
    <col width="4.875" bestFit="1" customWidth="1" style="105" min="15121" max="15121"/>
    <col width="7.875" bestFit="1" customWidth="1" style="105" min="15122" max="15122"/>
    <col width="4.375" bestFit="1" customWidth="1" style="105" min="15123" max="15123"/>
    <col width="5.5" bestFit="1" customWidth="1" style="105" min="15124" max="15124"/>
    <col width="5.75" bestFit="1" customWidth="1" style="105" min="15125" max="15125"/>
    <col width="7.875" bestFit="1" customWidth="1" style="105" min="15126" max="15126"/>
    <col width="5.125" bestFit="1" customWidth="1" style="105" min="15127" max="15127"/>
    <col width="4.625" bestFit="1" customWidth="1" style="105" min="15128" max="15128"/>
    <col width="7.875" bestFit="1" customWidth="1" style="105" min="15129" max="15129"/>
    <col width="6.125" bestFit="1" customWidth="1" style="105" min="15130" max="15130"/>
    <col width="32.375" bestFit="1" customWidth="1" style="105" min="15131" max="15131"/>
    <col width="32.875" bestFit="1" customWidth="1" style="105" min="15132" max="15132"/>
    <col width="8.625" bestFit="1" customWidth="1" style="105" min="15133" max="15133"/>
    <col width="9.375" bestFit="1" customWidth="1" style="105" min="15134" max="15134"/>
    <col width="9.25" bestFit="1" customWidth="1" style="105" min="15135" max="15135"/>
    <col width="2.5" bestFit="1" customWidth="1" style="105" min="15136" max="15136"/>
    <col width="3.25" bestFit="1" customWidth="1" style="105" min="15137" max="15137"/>
    <col width="3.375" bestFit="1" customWidth="1" style="105" min="15138" max="15139"/>
    <col width="6.25" bestFit="1" customWidth="1" style="105" min="15140" max="15140"/>
    <col width="8.25" bestFit="1" customWidth="1" style="105" min="15141" max="15141"/>
    <col width="6.875" bestFit="1" customWidth="1" style="105" min="15142" max="15142"/>
    <col width="6.375" bestFit="1" customWidth="1" style="105" min="15143" max="15143"/>
    <col width="19.625" bestFit="1" customWidth="1" style="105" min="15144" max="15144"/>
    <col width="34.5" bestFit="1" customWidth="1" style="105" min="15145" max="15145"/>
    <col width="6.25" bestFit="1" customWidth="1" style="105" min="15146" max="15146"/>
    <col width="7.125" bestFit="1" customWidth="1" style="105" min="15147" max="15147"/>
    <col width="5.875" bestFit="1" customWidth="1" style="105" min="15148" max="15148"/>
    <col width="29.625" bestFit="1" customWidth="1" style="105" min="15149" max="15149"/>
    <col width="5.875" bestFit="1" customWidth="1" style="105" min="15150" max="15150"/>
    <col width="3.75" bestFit="1" customWidth="1" style="105" min="15151" max="15151"/>
    <col width="6.25" bestFit="1" customWidth="1" style="105" min="15152" max="15152"/>
    <col width="6.875" bestFit="1" customWidth="1" style="105" min="15153" max="15153"/>
    <col width="6.75" bestFit="1" customWidth="1" style="105" min="15154" max="15154"/>
    <col width="5.875" bestFit="1" customWidth="1" style="105" min="15155" max="15155"/>
    <col width="108.375" bestFit="1" customWidth="1" style="105" min="15156" max="15156"/>
    <col width="104.125" bestFit="1" customWidth="1" style="105" min="15157" max="15157"/>
    <col width="7" bestFit="1" customWidth="1" style="105" min="15158" max="15158"/>
    <col width="7.875" bestFit="1" customWidth="1" style="105" min="15159" max="15159"/>
    <col width="8.5" bestFit="1" customWidth="1" style="105" min="15160" max="15160"/>
    <col width="4.75" bestFit="1" customWidth="1" style="105" min="15161" max="15161"/>
    <col width="37.375" bestFit="1" customWidth="1" style="105" min="15162" max="15162"/>
    <col width="6.875" bestFit="1" customWidth="1" style="105" min="15163" max="15163"/>
    <col width="7.875" bestFit="1" customWidth="1" style="105" min="15164" max="15164"/>
    <col width="7.75" bestFit="1" customWidth="1" style="105" min="15165" max="15165"/>
    <col width="8" bestFit="1" customWidth="1" style="105" min="15166" max="15166"/>
    <col width="4.75" bestFit="1" customWidth="1" style="105" min="15167" max="15167"/>
    <col width="7.875" bestFit="1" customWidth="1" style="105" min="15168" max="15168"/>
    <col width="4" bestFit="1" customWidth="1" style="105" min="15169" max="15180"/>
    <col width="3.75" bestFit="1" customWidth="1" style="105" min="15181" max="15181"/>
    <col width="4" bestFit="1" customWidth="1" style="105" min="15182" max="15182"/>
    <col width="3.625" bestFit="1" customWidth="1" style="105" min="15183" max="15183"/>
    <col width="9.875" bestFit="1" customWidth="1" style="105" min="15184" max="15184"/>
    <col width="5" bestFit="1" customWidth="1" style="105" min="15185" max="15185"/>
    <col width="7.125" bestFit="1" customWidth="1" style="105" min="15186" max="15186"/>
    <col width="9.375" bestFit="1" customWidth="1" style="105" min="15187" max="15187"/>
    <col width="17.5" bestFit="1" customWidth="1" style="105" min="15188" max="15188"/>
    <col width="7.375" bestFit="1" customWidth="1" style="105" min="15189" max="15189"/>
    <col width="5.75" bestFit="1" customWidth="1" style="105" min="15190" max="15190"/>
    <col width="31.25" bestFit="1" customWidth="1" style="105" min="15191" max="15191"/>
    <col width="26" bestFit="1" customWidth="1" style="105" min="15192" max="15192"/>
    <col width="24.375" bestFit="1" customWidth="1" style="105" min="15193" max="15194"/>
    <col width="6.375" bestFit="1" customWidth="1" style="105" min="15195" max="15195"/>
    <col width="9.875" bestFit="1" customWidth="1" style="105" min="15196" max="15197"/>
    <col width="28.875" bestFit="1" customWidth="1" style="105" min="15198" max="15198"/>
    <col width="9.75" bestFit="1" customWidth="1" style="105" min="15199" max="15199"/>
    <col width="12.625" bestFit="1" customWidth="1" style="105" min="15200" max="15200"/>
    <col width="32.375" bestFit="1" customWidth="1" style="105" min="15201" max="15201"/>
    <col width="3.375" bestFit="1" customWidth="1" style="105" min="15202" max="15202"/>
    <col width="8" bestFit="1" customWidth="1" style="105" min="15203" max="15203"/>
    <col width="5.625" bestFit="1" customWidth="1" style="105" min="15204" max="15204"/>
    <col width="7.875" bestFit="1" customWidth="1" style="105" min="15205" max="15205"/>
    <col width="6" bestFit="1" customWidth="1" style="105" min="15206" max="15206"/>
    <col width="11.25" bestFit="1" customWidth="1" style="105" min="15207" max="15207"/>
    <col width="9" customWidth="1" style="105" min="15208" max="15360"/>
    <col width="13.125" bestFit="1" customWidth="1" style="105" min="15361" max="15361"/>
    <col width="10.875" bestFit="1" customWidth="1" style="105" min="15362" max="15362"/>
    <col width="4.625" bestFit="1" customWidth="1" style="105" min="15363" max="15363"/>
    <col width="7" bestFit="1" customWidth="1" style="105" min="15364" max="15364"/>
    <col width="5.125" bestFit="1" customWidth="1" style="105" min="15365" max="15365"/>
    <col width="3.25" bestFit="1" customWidth="1" style="105" min="15366" max="15370"/>
    <col width="3.5" bestFit="1" customWidth="1" style="105" min="15371" max="15371"/>
    <col width="3.375" bestFit="1" customWidth="1" style="105" min="15372" max="15373"/>
    <col width="4.625" bestFit="1" customWidth="1" style="105" min="15374" max="15374"/>
    <col width="4.875" bestFit="1" customWidth="1" style="105" min="15375" max="15375"/>
    <col width="5.25" bestFit="1" customWidth="1" style="105" min="15376" max="15376"/>
    <col width="4.875" bestFit="1" customWidth="1" style="105" min="15377" max="15377"/>
    <col width="7.875" bestFit="1" customWidth="1" style="105" min="15378" max="15378"/>
    <col width="4.375" bestFit="1" customWidth="1" style="105" min="15379" max="15379"/>
    <col width="5.5" bestFit="1" customWidth="1" style="105" min="15380" max="15380"/>
    <col width="5.75" bestFit="1" customWidth="1" style="105" min="15381" max="15381"/>
    <col width="7.875" bestFit="1" customWidth="1" style="105" min="15382" max="15382"/>
    <col width="5.125" bestFit="1" customWidth="1" style="105" min="15383" max="15383"/>
    <col width="4.625" bestFit="1" customWidth="1" style="105" min="15384" max="15384"/>
    <col width="7.875" bestFit="1" customWidth="1" style="105" min="15385" max="15385"/>
    <col width="6.125" bestFit="1" customWidth="1" style="105" min="15386" max="15386"/>
    <col width="32.375" bestFit="1" customWidth="1" style="105" min="15387" max="15387"/>
    <col width="32.875" bestFit="1" customWidth="1" style="105" min="15388" max="15388"/>
    <col width="8.625" bestFit="1" customWidth="1" style="105" min="15389" max="15389"/>
    <col width="9.375" bestFit="1" customWidth="1" style="105" min="15390" max="15390"/>
    <col width="9.25" bestFit="1" customWidth="1" style="105" min="15391" max="15391"/>
    <col width="2.5" bestFit="1" customWidth="1" style="105" min="15392" max="15392"/>
    <col width="3.25" bestFit="1" customWidth="1" style="105" min="15393" max="15393"/>
    <col width="3.375" bestFit="1" customWidth="1" style="105" min="15394" max="15395"/>
    <col width="6.25" bestFit="1" customWidth="1" style="105" min="15396" max="15396"/>
    <col width="8.25" bestFit="1" customWidth="1" style="105" min="15397" max="15397"/>
    <col width="6.875" bestFit="1" customWidth="1" style="105" min="15398" max="15398"/>
    <col width="6.375" bestFit="1" customWidth="1" style="105" min="15399" max="15399"/>
    <col width="19.625" bestFit="1" customWidth="1" style="105" min="15400" max="15400"/>
    <col width="34.5" bestFit="1" customWidth="1" style="105" min="15401" max="15401"/>
    <col width="6.25" bestFit="1" customWidth="1" style="105" min="15402" max="15402"/>
    <col width="7.125" bestFit="1" customWidth="1" style="105" min="15403" max="15403"/>
    <col width="5.875" bestFit="1" customWidth="1" style="105" min="15404" max="15404"/>
    <col width="29.625" bestFit="1" customWidth="1" style="105" min="15405" max="15405"/>
    <col width="5.875" bestFit="1" customWidth="1" style="105" min="15406" max="15406"/>
    <col width="3.75" bestFit="1" customWidth="1" style="105" min="15407" max="15407"/>
    <col width="6.25" bestFit="1" customWidth="1" style="105" min="15408" max="15408"/>
    <col width="6.875" bestFit="1" customWidth="1" style="105" min="15409" max="15409"/>
    <col width="6.75" bestFit="1" customWidth="1" style="105" min="15410" max="15410"/>
    <col width="5.875" bestFit="1" customWidth="1" style="105" min="15411" max="15411"/>
    <col width="108.375" bestFit="1" customWidth="1" style="105" min="15412" max="15412"/>
    <col width="104.125" bestFit="1" customWidth="1" style="105" min="15413" max="15413"/>
    <col width="7" bestFit="1" customWidth="1" style="105" min="15414" max="15414"/>
    <col width="7.875" bestFit="1" customWidth="1" style="105" min="15415" max="15415"/>
    <col width="8.5" bestFit="1" customWidth="1" style="105" min="15416" max="15416"/>
    <col width="4.75" bestFit="1" customWidth="1" style="105" min="15417" max="15417"/>
    <col width="37.375" bestFit="1" customWidth="1" style="105" min="15418" max="15418"/>
    <col width="6.875" bestFit="1" customWidth="1" style="105" min="15419" max="15419"/>
    <col width="7.875" bestFit="1" customWidth="1" style="105" min="15420" max="15420"/>
    <col width="7.75" bestFit="1" customWidth="1" style="105" min="15421" max="15421"/>
    <col width="8" bestFit="1" customWidth="1" style="105" min="15422" max="15422"/>
    <col width="4.75" bestFit="1" customWidth="1" style="105" min="15423" max="15423"/>
    <col width="7.875" bestFit="1" customWidth="1" style="105" min="15424" max="15424"/>
    <col width="4" bestFit="1" customWidth="1" style="105" min="15425" max="15436"/>
    <col width="3.75" bestFit="1" customWidth="1" style="105" min="15437" max="15437"/>
    <col width="4" bestFit="1" customWidth="1" style="105" min="15438" max="15438"/>
    <col width="3.625" bestFit="1" customWidth="1" style="105" min="15439" max="15439"/>
    <col width="9.875" bestFit="1" customWidth="1" style="105" min="15440" max="15440"/>
    <col width="5" bestFit="1" customWidth="1" style="105" min="15441" max="15441"/>
    <col width="7.125" bestFit="1" customWidth="1" style="105" min="15442" max="15442"/>
    <col width="9.375" bestFit="1" customWidth="1" style="105" min="15443" max="15443"/>
    <col width="17.5" bestFit="1" customWidth="1" style="105" min="15444" max="15444"/>
    <col width="7.375" bestFit="1" customWidth="1" style="105" min="15445" max="15445"/>
    <col width="5.75" bestFit="1" customWidth="1" style="105" min="15446" max="15446"/>
    <col width="31.25" bestFit="1" customWidth="1" style="105" min="15447" max="15447"/>
    <col width="26" bestFit="1" customWidth="1" style="105" min="15448" max="15448"/>
    <col width="24.375" bestFit="1" customWidth="1" style="105" min="15449" max="15450"/>
    <col width="6.375" bestFit="1" customWidth="1" style="105" min="15451" max="15451"/>
    <col width="9.875" bestFit="1" customWidth="1" style="105" min="15452" max="15453"/>
    <col width="28.875" bestFit="1" customWidth="1" style="105" min="15454" max="15454"/>
    <col width="9.75" bestFit="1" customWidth="1" style="105" min="15455" max="15455"/>
    <col width="12.625" bestFit="1" customWidth="1" style="105" min="15456" max="15456"/>
    <col width="32.375" bestFit="1" customWidth="1" style="105" min="15457" max="15457"/>
    <col width="3.375" bestFit="1" customWidth="1" style="105" min="15458" max="15458"/>
    <col width="8" bestFit="1" customWidth="1" style="105" min="15459" max="15459"/>
    <col width="5.625" bestFit="1" customWidth="1" style="105" min="15460" max="15460"/>
    <col width="7.875" bestFit="1" customWidth="1" style="105" min="15461" max="15461"/>
    <col width="6" bestFit="1" customWidth="1" style="105" min="15462" max="15462"/>
    <col width="11.25" bestFit="1" customWidth="1" style="105" min="15463" max="15463"/>
    <col width="9" customWidth="1" style="105" min="15464" max="15616"/>
    <col width="13.125" bestFit="1" customWidth="1" style="105" min="15617" max="15617"/>
    <col width="10.875" bestFit="1" customWidth="1" style="105" min="15618" max="15618"/>
    <col width="4.625" bestFit="1" customWidth="1" style="105" min="15619" max="15619"/>
    <col width="7" bestFit="1" customWidth="1" style="105" min="15620" max="15620"/>
    <col width="5.125" bestFit="1" customWidth="1" style="105" min="15621" max="15621"/>
    <col width="3.25" bestFit="1" customWidth="1" style="105" min="15622" max="15626"/>
    <col width="3.5" bestFit="1" customWidth="1" style="105" min="15627" max="15627"/>
    <col width="3.375" bestFit="1" customWidth="1" style="105" min="15628" max="15629"/>
    <col width="4.625" bestFit="1" customWidth="1" style="105" min="15630" max="15630"/>
    <col width="4.875" bestFit="1" customWidth="1" style="105" min="15631" max="15631"/>
    <col width="5.25" bestFit="1" customWidth="1" style="105" min="15632" max="15632"/>
    <col width="4.875" bestFit="1" customWidth="1" style="105" min="15633" max="15633"/>
    <col width="7.875" bestFit="1" customWidth="1" style="105" min="15634" max="15634"/>
    <col width="4.375" bestFit="1" customWidth="1" style="105" min="15635" max="15635"/>
    <col width="5.5" bestFit="1" customWidth="1" style="105" min="15636" max="15636"/>
    <col width="5.75" bestFit="1" customWidth="1" style="105" min="15637" max="15637"/>
    <col width="7.875" bestFit="1" customWidth="1" style="105" min="15638" max="15638"/>
    <col width="5.125" bestFit="1" customWidth="1" style="105" min="15639" max="15639"/>
    <col width="4.625" bestFit="1" customWidth="1" style="105" min="15640" max="15640"/>
    <col width="7.875" bestFit="1" customWidth="1" style="105" min="15641" max="15641"/>
    <col width="6.125" bestFit="1" customWidth="1" style="105" min="15642" max="15642"/>
    <col width="32.375" bestFit="1" customWidth="1" style="105" min="15643" max="15643"/>
    <col width="32.875" bestFit="1" customWidth="1" style="105" min="15644" max="15644"/>
    <col width="8.625" bestFit="1" customWidth="1" style="105" min="15645" max="15645"/>
    <col width="9.375" bestFit="1" customWidth="1" style="105" min="15646" max="15646"/>
    <col width="9.25" bestFit="1" customWidth="1" style="105" min="15647" max="15647"/>
    <col width="2.5" bestFit="1" customWidth="1" style="105" min="15648" max="15648"/>
    <col width="3.25" bestFit="1" customWidth="1" style="105" min="15649" max="15649"/>
    <col width="3.375" bestFit="1" customWidth="1" style="105" min="15650" max="15651"/>
    <col width="6.25" bestFit="1" customWidth="1" style="105" min="15652" max="15652"/>
    <col width="8.25" bestFit="1" customWidth="1" style="105" min="15653" max="15653"/>
    <col width="6.875" bestFit="1" customWidth="1" style="105" min="15654" max="15654"/>
    <col width="6.375" bestFit="1" customWidth="1" style="105" min="15655" max="15655"/>
    <col width="19.625" bestFit="1" customWidth="1" style="105" min="15656" max="15656"/>
    <col width="34.5" bestFit="1" customWidth="1" style="105" min="15657" max="15657"/>
    <col width="6.25" bestFit="1" customWidth="1" style="105" min="15658" max="15658"/>
    <col width="7.125" bestFit="1" customWidth="1" style="105" min="15659" max="15659"/>
    <col width="5.875" bestFit="1" customWidth="1" style="105" min="15660" max="15660"/>
    <col width="29.625" bestFit="1" customWidth="1" style="105" min="15661" max="15661"/>
    <col width="5.875" bestFit="1" customWidth="1" style="105" min="15662" max="15662"/>
    <col width="3.75" bestFit="1" customWidth="1" style="105" min="15663" max="15663"/>
    <col width="6.25" bestFit="1" customWidth="1" style="105" min="15664" max="15664"/>
    <col width="6.875" bestFit="1" customWidth="1" style="105" min="15665" max="15665"/>
    <col width="6.75" bestFit="1" customWidth="1" style="105" min="15666" max="15666"/>
    <col width="5.875" bestFit="1" customWidth="1" style="105" min="15667" max="15667"/>
    <col width="108.375" bestFit="1" customWidth="1" style="105" min="15668" max="15668"/>
    <col width="104.125" bestFit="1" customWidth="1" style="105" min="15669" max="15669"/>
    <col width="7" bestFit="1" customWidth="1" style="105" min="15670" max="15670"/>
    <col width="7.875" bestFit="1" customWidth="1" style="105" min="15671" max="15671"/>
    <col width="8.5" bestFit="1" customWidth="1" style="105" min="15672" max="15672"/>
    <col width="4.75" bestFit="1" customWidth="1" style="105" min="15673" max="15673"/>
    <col width="37.375" bestFit="1" customWidth="1" style="105" min="15674" max="15674"/>
    <col width="6.875" bestFit="1" customWidth="1" style="105" min="15675" max="15675"/>
    <col width="7.875" bestFit="1" customWidth="1" style="105" min="15676" max="15676"/>
    <col width="7.75" bestFit="1" customWidth="1" style="105" min="15677" max="15677"/>
    <col width="8" bestFit="1" customWidth="1" style="105" min="15678" max="15678"/>
    <col width="4.75" bestFit="1" customWidth="1" style="105" min="15679" max="15679"/>
    <col width="7.875" bestFit="1" customWidth="1" style="105" min="15680" max="15680"/>
    <col width="4" bestFit="1" customWidth="1" style="105" min="15681" max="15692"/>
    <col width="3.75" bestFit="1" customWidth="1" style="105" min="15693" max="15693"/>
    <col width="4" bestFit="1" customWidth="1" style="105" min="15694" max="15694"/>
    <col width="3.625" bestFit="1" customWidth="1" style="105" min="15695" max="15695"/>
    <col width="9.875" bestFit="1" customWidth="1" style="105" min="15696" max="15696"/>
    <col width="5" bestFit="1" customWidth="1" style="105" min="15697" max="15697"/>
    <col width="7.125" bestFit="1" customWidth="1" style="105" min="15698" max="15698"/>
    <col width="9.375" bestFit="1" customWidth="1" style="105" min="15699" max="15699"/>
    <col width="17.5" bestFit="1" customWidth="1" style="105" min="15700" max="15700"/>
    <col width="7.375" bestFit="1" customWidth="1" style="105" min="15701" max="15701"/>
    <col width="5.75" bestFit="1" customWidth="1" style="105" min="15702" max="15702"/>
    <col width="31.25" bestFit="1" customWidth="1" style="105" min="15703" max="15703"/>
    <col width="26" bestFit="1" customWidth="1" style="105" min="15704" max="15704"/>
    <col width="24.375" bestFit="1" customWidth="1" style="105" min="15705" max="15706"/>
    <col width="6.375" bestFit="1" customWidth="1" style="105" min="15707" max="15707"/>
    <col width="9.875" bestFit="1" customWidth="1" style="105" min="15708" max="15709"/>
    <col width="28.875" bestFit="1" customWidth="1" style="105" min="15710" max="15710"/>
    <col width="9.75" bestFit="1" customWidth="1" style="105" min="15711" max="15711"/>
    <col width="12.625" bestFit="1" customWidth="1" style="105" min="15712" max="15712"/>
    <col width="32.375" bestFit="1" customWidth="1" style="105" min="15713" max="15713"/>
    <col width="3.375" bestFit="1" customWidth="1" style="105" min="15714" max="15714"/>
    <col width="8" bestFit="1" customWidth="1" style="105" min="15715" max="15715"/>
    <col width="5.625" bestFit="1" customWidth="1" style="105" min="15716" max="15716"/>
    <col width="7.875" bestFit="1" customWidth="1" style="105" min="15717" max="15717"/>
    <col width="6" bestFit="1" customWidth="1" style="105" min="15718" max="15718"/>
    <col width="11.25" bestFit="1" customWidth="1" style="105" min="15719" max="15719"/>
    <col width="9" customWidth="1" style="105" min="15720" max="15872"/>
    <col width="13.125" bestFit="1" customWidth="1" style="105" min="15873" max="15873"/>
    <col width="10.875" bestFit="1" customWidth="1" style="105" min="15874" max="15874"/>
    <col width="4.625" bestFit="1" customWidth="1" style="105" min="15875" max="15875"/>
    <col width="7" bestFit="1" customWidth="1" style="105" min="15876" max="15876"/>
    <col width="5.125" bestFit="1" customWidth="1" style="105" min="15877" max="15877"/>
    <col width="3.25" bestFit="1" customWidth="1" style="105" min="15878" max="15882"/>
    <col width="3.5" bestFit="1" customWidth="1" style="105" min="15883" max="15883"/>
    <col width="3.375" bestFit="1" customWidth="1" style="105" min="15884" max="15885"/>
    <col width="4.625" bestFit="1" customWidth="1" style="105" min="15886" max="15886"/>
    <col width="4.875" bestFit="1" customWidth="1" style="105" min="15887" max="15887"/>
    <col width="5.25" bestFit="1" customWidth="1" style="105" min="15888" max="15888"/>
    <col width="4.875" bestFit="1" customWidth="1" style="105" min="15889" max="15889"/>
    <col width="7.875" bestFit="1" customWidth="1" style="105" min="15890" max="15890"/>
    <col width="4.375" bestFit="1" customWidth="1" style="105" min="15891" max="15891"/>
    <col width="5.5" bestFit="1" customWidth="1" style="105" min="15892" max="15892"/>
    <col width="5.75" bestFit="1" customWidth="1" style="105" min="15893" max="15893"/>
    <col width="7.875" bestFit="1" customWidth="1" style="105" min="15894" max="15894"/>
    <col width="5.125" bestFit="1" customWidth="1" style="105" min="15895" max="15895"/>
    <col width="4.625" bestFit="1" customWidth="1" style="105" min="15896" max="15896"/>
    <col width="7.875" bestFit="1" customWidth="1" style="105" min="15897" max="15897"/>
    <col width="6.125" bestFit="1" customWidth="1" style="105" min="15898" max="15898"/>
    <col width="32.375" bestFit="1" customWidth="1" style="105" min="15899" max="15899"/>
    <col width="32.875" bestFit="1" customWidth="1" style="105" min="15900" max="15900"/>
    <col width="8.625" bestFit="1" customWidth="1" style="105" min="15901" max="15901"/>
    <col width="9.375" bestFit="1" customWidth="1" style="105" min="15902" max="15902"/>
    <col width="9.25" bestFit="1" customWidth="1" style="105" min="15903" max="15903"/>
    <col width="2.5" bestFit="1" customWidth="1" style="105" min="15904" max="15904"/>
    <col width="3.25" bestFit="1" customWidth="1" style="105" min="15905" max="15905"/>
    <col width="3.375" bestFit="1" customWidth="1" style="105" min="15906" max="15907"/>
    <col width="6.25" bestFit="1" customWidth="1" style="105" min="15908" max="15908"/>
    <col width="8.25" bestFit="1" customWidth="1" style="105" min="15909" max="15909"/>
    <col width="6.875" bestFit="1" customWidth="1" style="105" min="15910" max="15910"/>
    <col width="6.375" bestFit="1" customWidth="1" style="105" min="15911" max="15911"/>
    <col width="19.625" bestFit="1" customWidth="1" style="105" min="15912" max="15912"/>
    <col width="34.5" bestFit="1" customWidth="1" style="105" min="15913" max="15913"/>
    <col width="6.25" bestFit="1" customWidth="1" style="105" min="15914" max="15914"/>
    <col width="7.125" bestFit="1" customWidth="1" style="105" min="15915" max="15915"/>
    <col width="5.875" bestFit="1" customWidth="1" style="105" min="15916" max="15916"/>
    <col width="29.625" bestFit="1" customWidth="1" style="105" min="15917" max="15917"/>
    <col width="5.875" bestFit="1" customWidth="1" style="105" min="15918" max="15918"/>
    <col width="3.75" bestFit="1" customWidth="1" style="105" min="15919" max="15919"/>
    <col width="6.25" bestFit="1" customWidth="1" style="105" min="15920" max="15920"/>
    <col width="6.875" bestFit="1" customWidth="1" style="105" min="15921" max="15921"/>
    <col width="6.75" bestFit="1" customWidth="1" style="105" min="15922" max="15922"/>
    <col width="5.875" bestFit="1" customWidth="1" style="105" min="15923" max="15923"/>
    <col width="108.375" bestFit="1" customWidth="1" style="105" min="15924" max="15924"/>
    <col width="104.125" bestFit="1" customWidth="1" style="105" min="15925" max="15925"/>
    <col width="7" bestFit="1" customWidth="1" style="105" min="15926" max="15926"/>
    <col width="7.875" bestFit="1" customWidth="1" style="105" min="15927" max="15927"/>
    <col width="8.5" bestFit="1" customWidth="1" style="105" min="15928" max="15928"/>
    <col width="4.75" bestFit="1" customWidth="1" style="105" min="15929" max="15929"/>
    <col width="37.375" bestFit="1" customWidth="1" style="105" min="15930" max="15930"/>
    <col width="6.875" bestFit="1" customWidth="1" style="105" min="15931" max="15931"/>
    <col width="7.875" bestFit="1" customWidth="1" style="105" min="15932" max="15932"/>
    <col width="7.75" bestFit="1" customWidth="1" style="105" min="15933" max="15933"/>
    <col width="8" bestFit="1" customWidth="1" style="105" min="15934" max="15934"/>
    <col width="4.75" bestFit="1" customWidth="1" style="105" min="15935" max="15935"/>
    <col width="7.875" bestFit="1" customWidth="1" style="105" min="15936" max="15936"/>
    <col width="4" bestFit="1" customWidth="1" style="105" min="15937" max="15948"/>
    <col width="3.75" bestFit="1" customWidth="1" style="105" min="15949" max="15949"/>
    <col width="4" bestFit="1" customWidth="1" style="105" min="15950" max="15950"/>
    <col width="3.625" bestFit="1" customWidth="1" style="105" min="15951" max="15951"/>
    <col width="9.875" bestFit="1" customWidth="1" style="105" min="15952" max="15952"/>
    <col width="5" bestFit="1" customWidth="1" style="105" min="15953" max="15953"/>
    <col width="7.125" bestFit="1" customWidth="1" style="105" min="15954" max="15954"/>
    <col width="9.375" bestFit="1" customWidth="1" style="105" min="15955" max="15955"/>
    <col width="17.5" bestFit="1" customWidth="1" style="105" min="15956" max="15956"/>
    <col width="7.375" bestFit="1" customWidth="1" style="105" min="15957" max="15957"/>
    <col width="5.75" bestFit="1" customWidth="1" style="105" min="15958" max="15958"/>
    <col width="31.25" bestFit="1" customWidth="1" style="105" min="15959" max="15959"/>
    <col width="26" bestFit="1" customWidth="1" style="105" min="15960" max="15960"/>
    <col width="24.375" bestFit="1" customWidth="1" style="105" min="15961" max="15962"/>
    <col width="6.375" bestFit="1" customWidth="1" style="105" min="15963" max="15963"/>
    <col width="9.875" bestFit="1" customWidth="1" style="105" min="15964" max="15965"/>
    <col width="28.875" bestFit="1" customWidth="1" style="105" min="15966" max="15966"/>
    <col width="9.75" bestFit="1" customWidth="1" style="105" min="15967" max="15967"/>
    <col width="12.625" bestFit="1" customWidth="1" style="105" min="15968" max="15968"/>
    <col width="32.375" bestFit="1" customWidth="1" style="105" min="15969" max="15969"/>
    <col width="3.375" bestFit="1" customWidth="1" style="105" min="15970" max="15970"/>
    <col width="8" bestFit="1" customWidth="1" style="105" min="15971" max="15971"/>
    <col width="5.625" bestFit="1" customWidth="1" style="105" min="15972" max="15972"/>
    <col width="7.875" bestFit="1" customWidth="1" style="105" min="15973" max="15973"/>
    <col width="6" bestFit="1" customWidth="1" style="105" min="15974" max="15974"/>
    <col width="11.25" bestFit="1" customWidth="1" style="105" min="15975" max="15975"/>
    <col width="9" customWidth="1" style="105" min="15976" max="16128"/>
    <col width="13.125" bestFit="1" customWidth="1" style="105" min="16129" max="16129"/>
    <col width="10.875" bestFit="1" customWidth="1" style="105" min="16130" max="16130"/>
    <col width="4.625" bestFit="1" customWidth="1" style="105" min="16131" max="16131"/>
    <col width="7" bestFit="1" customWidth="1" style="105" min="16132" max="16132"/>
    <col width="5.125" bestFit="1" customWidth="1" style="105" min="16133" max="16133"/>
    <col width="3.25" bestFit="1" customWidth="1" style="105" min="16134" max="16138"/>
    <col width="3.5" bestFit="1" customWidth="1" style="105" min="16139" max="16139"/>
    <col width="3.375" bestFit="1" customWidth="1" style="105" min="16140" max="16141"/>
    <col width="4.625" bestFit="1" customWidth="1" style="105" min="16142" max="16142"/>
    <col width="4.875" bestFit="1" customWidth="1" style="105" min="16143" max="16143"/>
    <col width="5.25" bestFit="1" customWidth="1" style="105" min="16144" max="16144"/>
    <col width="4.875" bestFit="1" customWidth="1" style="105" min="16145" max="16145"/>
    <col width="7.875" bestFit="1" customWidth="1" style="105" min="16146" max="16146"/>
    <col width="4.375" bestFit="1" customWidth="1" style="105" min="16147" max="16147"/>
    <col width="5.5" bestFit="1" customWidth="1" style="105" min="16148" max="16148"/>
    <col width="5.75" bestFit="1" customWidth="1" style="105" min="16149" max="16149"/>
    <col width="7.875" bestFit="1" customWidth="1" style="105" min="16150" max="16150"/>
    <col width="5.125" bestFit="1" customWidth="1" style="105" min="16151" max="16151"/>
    <col width="4.625" bestFit="1" customWidth="1" style="105" min="16152" max="16152"/>
    <col width="7.875" bestFit="1" customWidth="1" style="105" min="16153" max="16153"/>
    <col width="6.125" bestFit="1" customWidth="1" style="105" min="16154" max="16154"/>
    <col width="32.375" bestFit="1" customWidth="1" style="105" min="16155" max="16155"/>
    <col width="32.875" bestFit="1" customWidth="1" style="105" min="16156" max="16156"/>
    <col width="8.625" bestFit="1" customWidth="1" style="105" min="16157" max="16157"/>
    <col width="9.375" bestFit="1" customWidth="1" style="105" min="16158" max="16158"/>
    <col width="9.25" bestFit="1" customWidth="1" style="105" min="16159" max="16159"/>
    <col width="2.5" bestFit="1" customWidth="1" style="105" min="16160" max="16160"/>
    <col width="3.25" bestFit="1" customWidth="1" style="105" min="16161" max="16161"/>
    <col width="3.375" bestFit="1" customWidth="1" style="105" min="16162" max="16163"/>
    <col width="6.25" bestFit="1" customWidth="1" style="105" min="16164" max="16164"/>
    <col width="8.25" bestFit="1" customWidth="1" style="105" min="16165" max="16165"/>
    <col width="6.875" bestFit="1" customWidth="1" style="105" min="16166" max="16166"/>
    <col width="6.375" bestFit="1" customWidth="1" style="105" min="16167" max="16167"/>
    <col width="19.625" bestFit="1" customWidth="1" style="105" min="16168" max="16168"/>
    <col width="34.5" bestFit="1" customWidth="1" style="105" min="16169" max="16169"/>
    <col width="6.25" bestFit="1" customWidth="1" style="105" min="16170" max="16170"/>
    <col width="7.125" bestFit="1" customWidth="1" style="105" min="16171" max="16171"/>
    <col width="5.875" bestFit="1" customWidth="1" style="105" min="16172" max="16172"/>
    <col width="29.625" bestFit="1" customWidth="1" style="105" min="16173" max="16173"/>
    <col width="5.875" bestFit="1" customWidth="1" style="105" min="16174" max="16174"/>
    <col width="3.75" bestFit="1" customWidth="1" style="105" min="16175" max="16175"/>
    <col width="6.25" bestFit="1" customWidth="1" style="105" min="16176" max="16176"/>
    <col width="6.875" bestFit="1" customWidth="1" style="105" min="16177" max="16177"/>
    <col width="6.75" bestFit="1" customWidth="1" style="105" min="16178" max="16178"/>
    <col width="5.875" bestFit="1" customWidth="1" style="105" min="16179" max="16179"/>
    <col width="108.375" bestFit="1" customWidth="1" style="105" min="16180" max="16180"/>
    <col width="104.125" bestFit="1" customWidth="1" style="105" min="16181" max="16181"/>
    <col width="7" bestFit="1" customWidth="1" style="105" min="16182" max="16182"/>
    <col width="7.875" bestFit="1" customWidth="1" style="105" min="16183" max="16183"/>
    <col width="8.5" bestFit="1" customWidth="1" style="105" min="16184" max="16184"/>
    <col width="4.75" bestFit="1" customWidth="1" style="105" min="16185" max="16185"/>
    <col width="37.375" bestFit="1" customWidth="1" style="105" min="16186" max="16186"/>
    <col width="6.875" bestFit="1" customWidth="1" style="105" min="16187" max="16187"/>
    <col width="7.875" bestFit="1" customWidth="1" style="105" min="16188" max="16188"/>
    <col width="7.75" bestFit="1" customWidth="1" style="105" min="16189" max="16189"/>
    <col width="8" bestFit="1" customWidth="1" style="105" min="16190" max="16190"/>
    <col width="4.75" bestFit="1" customWidth="1" style="105" min="16191" max="16191"/>
    <col width="7.875" bestFit="1" customWidth="1" style="105" min="16192" max="16192"/>
    <col width="4" bestFit="1" customWidth="1" style="105" min="16193" max="16204"/>
    <col width="3.75" bestFit="1" customWidth="1" style="105" min="16205" max="16205"/>
    <col width="4" bestFit="1" customWidth="1" style="105" min="16206" max="16206"/>
    <col width="3.625" bestFit="1" customWidth="1" style="105" min="16207" max="16207"/>
    <col width="9.875" bestFit="1" customWidth="1" style="105" min="16208" max="16208"/>
    <col width="5" bestFit="1" customWidth="1" style="105" min="16209" max="16209"/>
    <col width="7.125" bestFit="1" customWidth="1" style="105" min="16210" max="16210"/>
    <col width="9.375" bestFit="1" customWidth="1" style="105" min="16211" max="16211"/>
    <col width="17.5" bestFit="1" customWidth="1" style="105" min="16212" max="16212"/>
    <col width="7.375" bestFit="1" customWidth="1" style="105" min="16213" max="16213"/>
    <col width="5.75" bestFit="1" customWidth="1" style="105" min="16214" max="16214"/>
    <col width="31.25" bestFit="1" customWidth="1" style="105" min="16215" max="16215"/>
    <col width="26" bestFit="1" customWidth="1" style="105" min="16216" max="16216"/>
    <col width="24.375" bestFit="1" customWidth="1" style="105" min="16217" max="16218"/>
    <col width="6.375" bestFit="1" customWidth="1" style="105" min="16219" max="16219"/>
    <col width="9.875" bestFit="1" customWidth="1" style="105" min="16220" max="16221"/>
    <col width="28.875" bestFit="1" customWidth="1" style="105" min="16222" max="16222"/>
    <col width="9.75" bestFit="1" customWidth="1" style="105" min="16223" max="16223"/>
    <col width="12.625" bestFit="1" customWidth="1" style="105" min="16224" max="16224"/>
    <col width="32.375" bestFit="1" customWidth="1" style="105" min="16225" max="16225"/>
    <col width="3.375" bestFit="1" customWidth="1" style="105" min="16226" max="16226"/>
    <col width="8" bestFit="1" customWidth="1" style="105" min="16227" max="16227"/>
    <col width="5.625" bestFit="1" customWidth="1" style="105" min="16228" max="16228"/>
    <col width="7.875" bestFit="1" customWidth="1" style="105" min="16229" max="16229"/>
    <col width="6" bestFit="1" customWidth="1" style="105" min="16230" max="16230"/>
    <col width="11.25" bestFit="1" customWidth="1" style="105" min="16231" max="16231"/>
    <col width="9" customWidth="1" style="105" min="16232" max="16384"/>
  </cols>
  <sheetData>
    <row r="1" ht="14.25" customHeight="1">
      <c r="A1" s="121" t="inlineStr">
        <is>
          <t>B/K No</t>
        </is>
      </c>
      <c r="B1" s="121" t="inlineStr">
        <is>
          <t>Cntr Type &amp; Size</t>
        </is>
      </c>
      <c r="C1" s="121" t="inlineStr">
        <is>
          <t>Pickup</t>
        </is>
      </c>
      <c r="D1" s="121" t="inlineStr">
        <is>
          <t>CY Return</t>
        </is>
      </c>
      <c r="E1" s="121" t="inlineStr">
        <is>
          <t>RCVCD</t>
        </is>
      </c>
      <c r="F1" s="121" t="inlineStr">
        <is>
          <t>C10</t>
        </is>
      </c>
      <c r="G1" s="121" t="inlineStr">
        <is>
          <t>C20</t>
        </is>
      </c>
      <c r="H1" s="121" t="inlineStr">
        <is>
          <t>C40</t>
        </is>
      </c>
      <c r="I1" s="121" t="inlineStr">
        <is>
          <t>C45</t>
        </is>
      </c>
      <c r="J1" s="121" t="inlineStr">
        <is>
          <t>TEU</t>
        </is>
      </c>
      <c r="K1" s="121" t="inlineStr">
        <is>
          <t>SOC</t>
        </is>
      </c>
      <c r="L1" s="121" t="inlineStr">
        <is>
          <t>SVC</t>
        </is>
      </c>
      <c r="M1" s="121" t="inlineStr">
        <is>
          <t>VSL</t>
        </is>
      </c>
      <c r="N1" s="121" t="inlineStr">
        <is>
          <t>VOY</t>
        </is>
      </c>
      <c r="O1" s="121" t="inlineStr">
        <is>
          <t>POL</t>
        </is>
      </c>
      <c r="P1" s="121" t="inlineStr">
        <is>
          <t>LWharf</t>
        </is>
      </c>
      <c r="Q1" s="121" t="inlineStr">
        <is>
          <t>LAREA</t>
        </is>
      </c>
      <c r="R1" s="121" t="inlineStr">
        <is>
          <t>ETD</t>
        </is>
      </c>
      <c r="S1" s="121" t="inlineStr">
        <is>
          <t>POD</t>
        </is>
      </c>
      <c r="T1" s="121" t="inlineStr">
        <is>
          <t>DWharf</t>
        </is>
      </c>
      <c r="U1" s="121" t="inlineStr">
        <is>
          <t>Delivery</t>
        </is>
      </c>
      <c r="V1" s="121" t="inlineStr">
        <is>
          <t>ETA</t>
        </is>
      </c>
      <c r="W1" s="121" t="inlineStr">
        <is>
          <t>DAREA</t>
        </is>
      </c>
      <c r="X1" s="121" t="inlineStr">
        <is>
          <t>Inland</t>
        </is>
      </c>
      <c r="Y1" s="121" t="inlineStr">
        <is>
          <t>T/S WHARF</t>
        </is>
      </c>
      <c r="Z1" s="121" t="inlineStr">
        <is>
          <t>TS PORT</t>
        </is>
      </c>
      <c r="AA1" s="121" t="inlineStr">
        <is>
          <t>Shipper</t>
        </is>
      </c>
      <c r="AB1" s="121" t="inlineStr">
        <is>
          <t>Org Shipper</t>
        </is>
      </c>
      <c r="AC1" s="121" t="inlineStr">
        <is>
          <t>BKG WGT</t>
        </is>
      </c>
      <c r="AD1" s="121" t="inlineStr">
        <is>
          <t>BK Tot Weight</t>
        </is>
      </c>
      <c r="AE1" s="121" t="inlineStr">
        <is>
          <t>Cntr Compare</t>
        </is>
      </c>
      <c r="AF1" s="121" t="inlineStr">
        <is>
          <t>SR</t>
        </is>
      </c>
      <c r="AG1" s="121" t="inlineStr">
        <is>
          <t>PKG</t>
        </is>
      </c>
      <c r="AH1" s="121" t="inlineStr">
        <is>
          <t>EL</t>
        </is>
      </c>
      <c r="AI1" s="121" t="inlineStr">
        <is>
          <t>CHK</t>
        </is>
      </c>
      <c r="AJ1" s="121" t="inlineStr">
        <is>
          <t>TRAFFIC</t>
        </is>
      </c>
      <c r="AK1" s="121" t="inlineStr">
        <is>
          <t>DocumentID</t>
        </is>
      </c>
      <c r="AL1" s="121" t="inlineStr">
        <is>
          <t>Document</t>
        </is>
      </c>
      <c r="AM1" s="121" t="inlineStr">
        <is>
          <t>SALESCD</t>
        </is>
      </c>
      <c r="AN1" s="121" t="inlineStr">
        <is>
          <t>SALESNM</t>
        </is>
      </c>
      <c r="AO1" s="121" t="inlineStr">
        <is>
          <t>Main Item</t>
        </is>
      </c>
      <c r="AP1" s="121" t="inlineStr">
        <is>
          <t>B/K Type</t>
        </is>
      </c>
      <c r="AQ1" s="121" t="inlineStr">
        <is>
          <t>DG</t>
        </is>
      </c>
      <c r="AR1" s="121" t="inlineStr">
        <is>
          <t>DGCNT</t>
        </is>
      </c>
      <c r="AS1" s="121" t="inlineStr">
        <is>
          <t>RF</t>
        </is>
      </c>
      <c r="AT1" s="121" t="inlineStr">
        <is>
          <t>RFCNT</t>
        </is>
      </c>
      <c r="AU1" s="121" t="inlineStr">
        <is>
          <t>AWK</t>
        </is>
      </c>
      <c r="AV1" s="121" t="inlineStr">
        <is>
          <t>AWKCNT</t>
        </is>
      </c>
      <c r="AW1" s="121" t="inlineStr">
        <is>
          <t>AWKVOID</t>
        </is>
      </c>
      <c r="AX1" s="121" t="inlineStr">
        <is>
          <t>FLEXIBAG</t>
        </is>
      </c>
      <c r="AY1" s="121" t="inlineStr">
        <is>
          <t>BLISSUE</t>
        </is>
      </c>
      <c r="AZ1" s="121" t="inlineStr">
        <is>
          <t>Remark</t>
        </is>
      </c>
      <c r="BA1" s="121" t="inlineStr">
        <is>
          <t>OFFICERMK</t>
        </is>
      </c>
      <c r="BB1" s="121" t="inlineStr">
        <is>
          <t>PAY TERM</t>
        </is>
      </c>
      <c r="BC1" s="121" t="inlineStr">
        <is>
          <t>Input Date</t>
        </is>
      </c>
      <c r="BD1" s="121" t="inlineStr">
        <is>
          <t>Update Date</t>
        </is>
      </c>
      <c r="BE1" s="121" t="inlineStr">
        <is>
          <t>Status</t>
        </is>
      </c>
      <c r="BF1" s="121" t="inlineStr">
        <is>
          <t>Commodity</t>
        </is>
      </c>
      <c r="BG1" s="121" t="inlineStr">
        <is>
          <t>Self Trans</t>
        </is>
      </c>
      <c r="BH1" s="121" t="inlineStr">
        <is>
          <t>Booking Loc</t>
        </is>
      </c>
      <c r="BI1" s="121" t="inlineStr">
        <is>
          <t>Trans Code</t>
        </is>
      </c>
      <c r="BJ1" s="121" t="inlineStr">
        <is>
          <t>Trans Name</t>
        </is>
      </c>
      <c r="BK1" s="121" t="inlineStr">
        <is>
          <t>Pickup</t>
        </is>
      </c>
      <c r="BL1" s="121" t="inlineStr">
        <is>
          <t>Pickup Date</t>
        </is>
      </c>
      <c r="BM1" s="121" t="inlineStr">
        <is>
          <t>12GP</t>
        </is>
      </c>
      <c r="BN1" s="121" t="inlineStr">
        <is>
          <t>22GP</t>
        </is>
      </c>
      <c r="BO1" s="121" t="inlineStr">
        <is>
          <t>42GP</t>
        </is>
      </c>
      <c r="BP1" s="121" t="inlineStr">
        <is>
          <t>45GP</t>
        </is>
      </c>
      <c r="BQ1" s="121" t="inlineStr">
        <is>
          <t>22RE</t>
        </is>
      </c>
      <c r="BR1" s="121" t="inlineStr">
        <is>
          <t>45RE</t>
        </is>
      </c>
      <c r="BS1" s="121" t="inlineStr">
        <is>
          <t>22UT</t>
        </is>
      </c>
      <c r="BT1" s="121" t="inlineStr">
        <is>
          <t>42UT</t>
        </is>
      </c>
      <c r="BU1" s="121" t="inlineStr">
        <is>
          <t>22PC</t>
        </is>
      </c>
      <c r="BV1" s="121" t="inlineStr">
        <is>
          <t>42PC</t>
        </is>
      </c>
      <c r="BW1" s="121" t="inlineStr">
        <is>
          <t>22TN</t>
        </is>
      </c>
      <c r="BX1" s="121" t="inlineStr">
        <is>
          <t>42TN</t>
        </is>
      </c>
      <c r="BY1" s="121" t="inlineStr">
        <is>
          <t>FE</t>
        </is>
      </c>
      <c r="BZ1" s="121" t="inlineStr">
        <is>
          <t>STAY</t>
        </is>
      </c>
      <c r="CA1" s="121" t="inlineStr">
        <is>
          <t>WEB</t>
        </is>
      </c>
      <c r="CB1" s="121" t="inlineStr">
        <is>
          <t>Special Remark</t>
        </is>
      </c>
      <c r="CC1" s="121" t="inlineStr">
        <is>
          <t>Return</t>
        </is>
      </c>
      <c r="CD1" s="121" t="inlineStr">
        <is>
          <t>Over WGT</t>
        </is>
      </c>
      <c r="CE1" s="121" t="inlineStr">
        <is>
          <t>VGM ERR MSG</t>
        </is>
      </c>
      <c r="CF1" s="121" t="inlineStr">
        <is>
          <t>CLASS(DG) TEU</t>
        </is>
      </c>
      <c r="CG1" s="121" t="inlineStr">
        <is>
          <t>CGO TERM</t>
        </is>
      </c>
      <c r="CH1" s="121" t="inlineStr">
        <is>
          <t>T/S Info</t>
        </is>
      </c>
      <c r="CI1" s="121" t="inlineStr">
        <is>
          <t>Email</t>
        </is>
      </c>
      <c r="CJ1" s="121" t="inlineStr">
        <is>
          <t>Shipper</t>
        </is>
      </c>
      <c r="CK1" s="121" t="inlineStr">
        <is>
          <t>Consignee</t>
        </is>
      </c>
      <c r="CL1" s="121" t="inlineStr">
        <is>
          <t>Notify</t>
        </is>
      </c>
      <c r="CM1" s="121" t="inlineStr">
        <is>
          <t>B/L Close</t>
        </is>
      </c>
      <c r="CN1" s="121" t="inlineStr">
        <is>
          <t>DOC_CLOSE</t>
        </is>
      </c>
      <c r="CO1" s="121" t="inlineStr">
        <is>
          <t>CNTR_CLOSE</t>
        </is>
      </c>
      <c r="CP1" s="121" t="inlineStr">
        <is>
          <t>Special Info.</t>
        </is>
      </c>
      <c r="CQ1" s="121" t="inlineStr">
        <is>
          <t>TARIFF REF</t>
        </is>
      </c>
      <c r="CR1" s="121" t="inlineStr">
        <is>
          <t>TARIFF CUSTOMER</t>
        </is>
      </c>
      <c r="CS1" s="121" t="inlineStr">
        <is>
          <t>TARIFF CUSTOMER NAME</t>
        </is>
      </c>
      <c r="CT1" s="121" t="inlineStr">
        <is>
          <t>Split</t>
        </is>
      </c>
      <c r="CU1" s="121" t="inlineStr">
        <is>
          <t>DG App Mail</t>
        </is>
      </c>
      <c r="CV1" s="121" t="inlineStr">
        <is>
          <t>Cas No.</t>
        </is>
      </c>
      <c r="CW1" s="121" t="inlineStr">
        <is>
          <t>CUST ETD</t>
        </is>
      </c>
      <c r="CX1" s="121" t="inlineStr">
        <is>
          <t>HSCODE</t>
        </is>
      </c>
      <c r="CY1" s="121" t="inlineStr">
        <is>
          <t>Roll Over Remark</t>
        </is>
      </c>
    </row>
    <row r="2">
      <c r="A2" s="122" t="inlineStr">
        <is>
          <t>HASLS22260902438</t>
        </is>
      </c>
      <c r="B2" s="122" t="inlineStr">
        <is>
          <t>20'x6</t>
        </is>
      </c>
      <c r="C2" s="122" t="n">
        <v>6</v>
      </c>
      <c r="D2" s="122" t="n">
        <v>6</v>
      </c>
      <c r="F2" s="122" t="n">
        <v>0</v>
      </c>
      <c r="G2" s="122" t="n">
        <v>6</v>
      </c>
      <c r="H2" s="122" t="n">
        <v>0</v>
      </c>
      <c r="I2" s="122" t="n">
        <v>0</v>
      </c>
      <c r="J2" s="122" t="n">
        <v>6</v>
      </c>
      <c r="K2" s="122" t="inlineStr">
        <is>
          <t>N</t>
        </is>
      </c>
      <c r="L2" s="122" t="inlineStr">
        <is>
          <t>KTS1</t>
        </is>
      </c>
      <c r="M2" s="122" t="inlineStr">
        <is>
          <t>SWAT</t>
        </is>
      </c>
      <c r="N2" s="122" t="inlineStr">
        <is>
          <t>2610N</t>
        </is>
      </c>
      <c r="O2" s="122" t="inlineStr">
        <is>
          <t>THLCH</t>
        </is>
      </c>
      <c r="P2" s="122" t="inlineStr">
        <is>
          <t>LCH04</t>
        </is>
      </c>
      <c r="Q2" s="122" t="inlineStr">
        <is>
          <t>IA</t>
        </is>
      </c>
      <c r="R2" s="122" t="inlineStr">
        <is>
          <t>2026-10-12</t>
        </is>
      </c>
      <c r="S2" s="122" t="inlineStr">
        <is>
          <t>JPTOS</t>
        </is>
      </c>
      <c r="T2" s="122" t="inlineStr">
        <is>
          <t>TOS01</t>
        </is>
      </c>
      <c r="U2" s="122" t="inlineStr">
        <is>
          <t>JPTOS</t>
        </is>
      </c>
      <c r="V2" s="122" t="inlineStr">
        <is>
          <t>2026-10-29</t>
        </is>
      </c>
      <c r="W2" s="122" t="inlineStr">
        <is>
          <t>JP</t>
        </is>
      </c>
      <c r="Y2" s="122" t="inlineStr">
        <is>
          <t>PUSH4</t>
        </is>
      </c>
      <c r="Z2" s="122" t="inlineStr">
        <is>
          <t>KRPUS</t>
        </is>
      </c>
      <c r="AA2" s="122" t="inlineStr">
        <is>
          <t>AWOT GLOBAL LOGISTICS (THAILAND) CO., LTD.</t>
        </is>
      </c>
      <c r="AB2" s="122" t="inlineStr">
        <is>
          <t>DELTA DAIKI METAL (THAILAND) CO.,LTD.</t>
        </is>
      </c>
      <c r="AC2" s="122" t="n">
        <v>150240.5</v>
      </c>
      <c r="AD2" s="122" t="n">
        <v>163440.5</v>
      </c>
      <c r="AE2" s="122" t="inlineStr">
        <is>
          <t>OK</t>
        </is>
      </c>
      <c r="AH2" s="122" t="inlineStr">
        <is>
          <t>CHK</t>
        </is>
      </c>
      <c r="AI2" s="122" t="inlineStr">
        <is>
          <t>OK</t>
        </is>
      </c>
      <c r="AM2" s="122" t="inlineStr">
        <is>
          <t>TH0031</t>
        </is>
      </c>
      <c r="AN2" s="122" t="inlineStr">
        <is>
          <t>Pattarapong Saengthong</t>
        </is>
      </c>
      <c r="AO2" s="122" t="inlineStr">
        <is>
          <t>ALUMINIUM ALLOY INGOT</t>
        </is>
      </c>
      <c r="AP2" s="122" t="inlineStr">
        <is>
          <t>T/S</t>
        </is>
      </c>
      <c r="AW2" s="122" t="n">
        <v>0</v>
      </c>
      <c r="AX2" s="122" t="inlineStr">
        <is>
          <t>N</t>
        </is>
      </c>
      <c r="AY2" s="122" t="inlineStr">
        <is>
          <t>OBL</t>
        </is>
      </c>
      <c r="AZ2" s="122" t="inlineStr">
        <is>
          <t>Pickup : 2026-10-03, Return : 2026-10-05</t>
        </is>
      </c>
      <c r="BA2" s="122" t="inlineStr">
        <is>
          <t>FM SWSP 2609N ลูกค้าแก้ไขย้ายเรือ เอง DD.5/10
FM SWVG 2612N BY HAL 01/10</t>
        </is>
      </c>
      <c r="BB2" s="122" t="inlineStr">
        <is>
          <t>P</t>
        </is>
      </c>
      <c r="BC2" s="122" t="inlineStr">
        <is>
          <t>2026-09-25</t>
        </is>
      </c>
      <c r="BD2" s="122" t="inlineStr">
        <is>
          <t>2026-10-06</t>
        </is>
      </c>
      <c r="BE2" s="122" t="inlineStr">
        <is>
          <t>Y</t>
        </is>
      </c>
      <c r="BF2" s="122" t="inlineStr">
        <is>
          <t>ALUMINUM</t>
        </is>
      </c>
      <c r="BG2" s="122" t="inlineStr">
        <is>
          <t>Line</t>
        </is>
      </c>
      <c r="BH2" s="122" t="inlineStr">
        <is>
          <t>S22</t>
        </is>
      </c>
      <c r="BK2" s="122" t="inlineStr">
        <is>
          <t>LCHY5</t>
        </is>
      </c>
      <c r="BL2" s="122" t="inlineStr">
        <is>
          <t>2026-10-03</t>
        </is>
      </c>
      <c r="BN2" s="122" t="n">
        <v>6</v>
      </c>
      <c r="BY2" s="122" t="inlineStr">
        <is>
          <t>FULL</t>
        </is>
      </c>
      <c r="BZ2" s="122" t="n">
        <v>5</v>
      </c>
      <c r="CA2" s="122" t="inlineStr">
        <is>
          <t>Y</t>
        </is>
      </c>
      <c r="CC2" s="122" t="inlineStr">
        <is>
          <t>LCH04</t>
        </is>
      </c>
      <c r="CF2" s="122" t="inlineStr">
        <is>
          <t>0 Teu</t>
        </is>
      </c>
      <c r="CG2" s="122" t="inlineStr">
        <is>
          <t>CY/CY</t>
        </is>
      </c>
      <c r="CH2" s="122" t="inlineStr">
        <is>
          <t>POL: THLCH [SWAT/2610N]; T/S(1st): KRPUS [VTVY/2663E]; POD: JPTOS [/]</t>
        </is>
      </c>
      <c r="CI2" s="122" t="inlineStr">
        <is>
          <t>awotbkk.oe@awotglobal.com;nattaporn@awotglobal.com</t>
        </is>
      </c>
      <c r="CJ2" s="122" t="inlineStr">
        <is>
          <t>DELTA DAIKI METAL (THAILAND)</t>
        </is>
      </c>
      <c r="CK2" s="122" t="inlineStr">
        <is>
          <t>DAIKI ALUMINIUM INDUSTRY</t>
        </is>
      </c>
      <c r="CL2" s="122" t="inlineStr">
        <is>
          <t>DAIKI ALUMINIUM INDUSTRY</t>
        </is>
      </c>
      <c r="CM2" s="122" t="inlineStr">
        <is>
          <t>CLOSED</t>
        </is>
      </c>
      <c r="CN2" s="122" t="inlineStr">
        <is>
          <t>202610102359</t>
        </is>
      </c>
      <c r="CO2" s="122" t="inlineStr">
        <is>
          <t>202610101800</t>
        </is>
      </c>
      <c r="CQ2" s="122" t="inlineStr">
        <is>
          <t>S22-2604017</t>
        </is>
      </c>
      <c r="CR2" s="122" t="inlineStr">
        <is>
          <t>TH0586</t>
        </is>
      </c>
      <c r="CS2" s="122" t="inlineStr">
        <is>
          <t>AWOT GLOBAL LOGISTICS (THAILAND) CO., LTD.</t>
        </is>
      </c>
      <c r="CT2" s="122" t="inlineStr">
        <is>
          <t>N</t>
        </is>
      </c>
      <c r="CW2" s="122" t="inlineStr">
        <is>
          <t>2026-10-10</t>
        </is>
      </c>
      <c r="CX2" s="122" t="inlineStr">
        <is>
          <t>760120</t>
        </is>
      </c>
    </row>
    <row r="3">
      <c r="A3" s="122" t="inlineStr">
        <is>
          <t>HASLS22261000190</t>
        </is>
      </c>
      <c r="B3" s="122" t="inlineStr">
        <is>
          <t>20'x1</t>
        </is>
      </c>
      <c r="C3" s="122" t="n">
        <v>1</v>
      </c>
      <c r="D3" s="122" t="n">
        <v>1</v>
      </c>
      <c r="F3" s="122" t="n">
        <v>0</v>
      </c>
      <c r="G3" s="122" t="n">
        <v>1</v>
      </c>
      <c r="H3" s="122" t="n">
        <v>0</v>
      </c>
      <c r="I3" s="122" t="n">
        <v>0</v>
      </c>
      <c r="J3" s="122" t="n">
        <v>1</v>
      </c>
      <c r="K3" s="122" t="inlineStr">
        <is>
          <t>N</t>
        </is>
      </c>
      <c r="L3" s="122" t="inlineStr">
        <is>
          <t>KTS1</t>
        </is>
      </c>
      <c r="M3" s="122" t="inlineStr">
        <is>
          <t>SWAT</t>
        </is>
      </c>
      <c r="N3" s="122" t="inlineStr">
        <is>
          <t>2610N</t>
        </is>
      </c>
      <c r="O3" s="122" t="inlineStr">
        <is>
          <t>THLCH</t>
        </is>
      </c>
      <c r="P3" s="122" t="inlineStr">
        <is>
          <t>LCH04</t>
        </is>
      </c>
      <c r="Q3" s="122" t="inlineStr">
        <is>
          <t>IA</t>
        </is>
      </c>
      <c r="R3" s="122" t="inlineStr">
        <is>
          <t>2026-10-12</t>
        </is>
      </c>
      <c r="S3" s="122" t="inlineStr">
        <is>
          <t>HKHKG</t>
        </is>
      </c>
      <c r="T3" s="122" t="inlineStr">
        <is>
          <t>HKG03</t>
        </is>
      </c>
      <c r="U3" s="122" t="inlineStr">
        <is>
          <t>CNNAH</t>
        </is>
      </c>
      <c r="V3" s="122" t="inlineStr">
        <is>
          <t>2026-10-15</t>
        </is>
      </c>
      <c r="W3" s="122" t="inlineStr">
        <is>
          <t>IA</t>
        </is>
      </c>
      <c r="X3" s="122" t="inlineStr">
        <is>
          <t>Barge</t>
        </is>
      </c>
      <c r="AA3" s="122" t="inlineStr">
        <is>
          <t>SS EXCELLENT NETWORK CO.,LTD</t>
        </is>
      </c>
      <c r="AB3" s="122" t="inlineStr">
        <is>
          <t>SS EXCELLENT NETWORK CO.,LTD</t>
        </is>
      </c>
      <c r="AC3" s="122" t="n">
        <v>25000</v>
      </c>
      <c r="AD3" s="122" t="n">
        <v>27200</v>
      </c>
      <c r="AE3" s="122" t="inlineStr">
        <is>
          <t>OK</t>
        </is>
      </c>
      <c r="AH3" s="122" t="inlineStr">
        <is>
          <t>CHK</t>
        </is>
      </c>
      <c r="AI3" s="122" t="inlineStr">
        <is>
          <t>OK</t>
        </is>
      </c>
      <c r="AM3" s="122" t="inlineStr">
        <is>
          <t>TH0011</t>
        </is>
      </c>
      <c r="AN3" s="122" t="inlineStr">
        <is>
          <t>Nannaapust Sukporntaweewat</t>
        </is>
      </c>
      <c r="AO3" s="122" t="inlineStr">
        <is>
          <t>RECYCLING MATERIAL FOR COPPER</t>
        </is>
      </c>
      <c r="AP3" s="122" t="inlineStr">
        <is>
          <t>Normal</t>
        </is>
      </c>
      <c r="AW3" s="122" t="n">
        <v>0</v>
      </c>
      <c r="AX3" s="122" t="inlineStr">
        <is>
          <t>N</t>
        </is>
      </c>
      <c r="AY3" s="122" t="inlineStr">
        <is>
          <t>OBL</t>
        </is>
      </c>
      <c r="AZ3" s="122" t="inlineStr">
        <is>
          <t xml:space="preserve">Pickup : 2026-10-02, Return : 2026-10-03
  ** PLEASE CHECK OPEN GATE BEFORE RETURN CNTR **
</t>
        </is>
      </c>
      <c r="BA3" s="122" t="inlineStr">
        <is>
          <t>REQ BUY NEW SEAL = THB350 // HAS1194878</t>
        </is>
      </c>
      <c r="BB3" s="122" t="inlineStr">
        <is>
          <t>P</t>
        </is>
      </c>
      <c r="BC3" s="122" t="inlineStr">
        <is>
          <t>2026-10-02</t>
        </is>
      </c>
      <c r="BD3" s="122" t="inlineStr">
        <is>
          <t>2026-10-08</t>
        </is>
      </c>
      <c r="BE3" s="122" t="inlineStr">
        <is>
          <t>Y</t>
        </is>
      </c>
      <c r="BF3" s="122" t="inlineStr">
        <is>
          <t>COPPER INGOT</t>
        </is>
      </c>
      <c r="BG3" s="122" t="inlineStr">
        <is>
          <t>Line</t>
        </is>
      </c>
      <c r="BH3" s="122" t="inlineStr">
        <is>
          <t>S22</t>
        </is>
      </c>
      <c r="BK3" s="122" t="inlineStr">
        <is>
          <t>LCHY5</t>
        </is>
      </c>
      <c r="BL3" s="122" t="inlineStr">
        <is>
          <t>2026-10-02</t>
        </is>
      </c>
      <c r="BN3" s="122" t="n">
        <v>1</v>
      </c>
      <c r="BY3" s="122" t="inlineStr">
        <is>
          <t>FULL</t>
        </is>
      </c>
      <c r="CC3" s="122" t="inlineStr">
        <is>
          <t>LCH04</t>
        </is>
      </c>
      <c r="CF3" s="122" t="inlineStr">
        <is>
          <t>0 Teu</t>
        </is>
      </c>
      <c r="CG3" s="122" t="inlineStr">
        <is>
          <t>CY/CY</t>
        </is>
      </c>
      <c r="CI3" s="122" t="inlineStr">
        <is>
          <t>Chunchom2541@gmail.com</t>
        </is>
      </c>
      <c r="CJ3" s="122" t="inlineStr">
        <is>
          <t>HANWEI TRADING CO.,LTD.</t>
        </is>
      </c>
      <c r="CK3" s="122" t="inlineStr">
        <is>
          <t>QINGYUAN MINGDA METAL CO.,LTD.</t>
        </is>
      </c>
      <c r="CL3" s="122" t="inlineStr">
        <is>
          <t>HOP CHUNG METAL CO., LIMITED</t>
        </is>
      </c>
      <c r="CM3" s="122" t="inlineStr">
        <is>
          <t>CLOSED</t>
        </is>
      </c>
      <c r="CN3" s="122" t="inlineStr">
        <is>
          <t>202610102359</t>
        </is>
      </c>
      <c r="CO3" s="122" t="inlineStr">
        <is>
          <t>202610101800</t>
        </is>
      </c>
      <c r="CQ3" s="122" t="inlineStr">
        <is>
          <t>S22-2408003</t>
        </is>
      </c>
      <c r="CR3" s="122" t="inlineStr">
        <is>
          <t>THTVLD</t>
        </is>
      </c>
      <c r="CS3" s="122" t="inlineStr">
        <is>
          <t>SS EXCELLENT NETWORK CO.,LTD</t>
        </is>
      </c>
      <c r="CT3" s="122" t="inlineStr">
        <is>
          <t>N</t>
        </is>
      </c>
      <c r="CW3" s="122" t="inlineStr">
        <is>
          <t>2026-10-04</t>
        </is>
      </c>
    </row>
    <row r="4">
      <c r="A4" s="122" t="inlineStr">
        <is>
          <t>HASLS22260900756</t>
        </is>
      </c>
      <c r="B4" s="122" t="inlineStr">
        <is>
          <t>40Hx2</t>
        </is>
      </c>
      <c r="C4" s="122" t="n">
        <v>2</v>
      </c>
      <c r="D4" s="122" t="n">
        <v>2</v>
      </c>
      <c r="F4" s="122" t="n">
        <v>0</v>
      </c>
      <c r="G4" s="122" t="n">
        <v>0</v>
      </c>
      <c r="H4" s="122" t="n">
        <v>0</v>
      </c>
      <c r="I4" s="122" t="n">
        <v>2</v>
      </c>
      <c r="J4" s="122" t="n">
        <v>4</v>
      </c>
      <c r="K4" s="122" t="inlineStr">
        <is>
          <t>N</t>
        </is>
      </c>
      <c r="L4" s="122" t="inlineStr">
        <is>
          <t>KTS1</t>
        </is>
      </c>
      <c r="M4" s="122" t="inlineStr">
        <is>
          <t>SWAT</t>
        </is>
      </c>
      <c r="N4" s="122" t="inlineStr">
        <is>
          <t>2610N</t>
        </is>
      </c>
      <c r="O4" s="122" t="inlineStr">
        <is>
          <t>THLCH</t>
        </is>
      </c>
      <c r="P4" s="122" t="inlineStr">
        <is>
          <t>LCH04</t>
        </is>
      </c>
      <c r="Q4" s="122" t="inlineStr">
        <is>
          <t>IA</t>
        </is>
      </c>
      <c r="R4" s="122" t="inlineStr">
        <is>
          <t>2026-10-12</t>
        </is>
      </c>
      <c r="S4" s="122" t="inlineStr">
        <is>
          <t>JPTAK</t>
        </is>
      </c>
      <c r="T4" s="122" t="inlineStr">
        <is>
          <t>TAK01</t>
        </is>
      </c>
      <c r="U4" s="122" t="inlineStr">
        <is>
          <t>JPTAK</t>
        </is>
      </c>
      <c r="V4" s="122" t="inlineStr">
        <is>
          <t>2026-10-28</t>
        </is>
      </c>
      <c r="W4" s="122" t="inlineStr">
        <is>
          <t>JP</t>
        </is>
      </c>
      <c r="Y4" s="122" t="inlineStr">
        <is>
          <t>PUSH4</t>
        </is>
      </c>
      <c r="Z4" s="122" t="inlineStr">
        <is>
          <t>KRPUS</t>
        </is>
      </c>
      <c r="AA4" s="122" t="inlineStr">
        <is>
          <t>DOW CHEMICAL THAILAND LTD.</t>
        </is>
      </c>
      <c r="AB4" s="122" t="inlineStr">
        <is>
          <t>SIAM POLYETHYLENE CO., LTD.</t>
        </is>
      </c>
      <c r="AC4" s="122" t="n">
        <v>51867</v>
      </c>
      <c r="AD4" s="122" t="n">
        <v>59867</v>
      </c>
      <c r="AE4" s="122" t="inlineStr">
        <is>
          <t>OK</t>
        </is>
      </c>
      <c r="AF4" s="122" t="inlineStr">
        <is>
          <t>SR</t>
        </is>
      </c>
      <c r="AH4" s="122" t="inlineStr">
        <is>
          <t>CHK</t>
        </is>
      </c>
      <c r="AI4" s="122" t="inlineStr">
        <is>
          <t>OK</t>
        </is>
      </c>
      <c r="AM4" s="122" t="inlineStr">
        <is>
          <t>B0004</t>
        </is>
      </c>
      <c r="AN4" s="122" t="inlineStr">
        <is>
          <t>SEO JI YEONG</t>
        </is>
      </c>
      <c r="AO4" s="122" t="inlineStr">
        <is>
          <t>ELITE TM 5110 G ENHANCED POLYETHYLENE RESIN</t>
        </is>
      </c>
      <c r="AP4" s="122" t="inlineStr">
        <is>
          <t>T/S</t>
        </is>
      </c>
      <c r="AW4" s="122" t="n">
        <v>0</v>
      </c>
      <c r="AX4" s="122" t="inlineStr">
        <is>
          <t>N</t>
        </is>
      </c>
      <c r="AY4" s="122" t="inlineStr">
        <is>
          <t>OBL</t>
        </is>
      </c>
      <c r="AZ4" s="122" t="inlineStr">
        <is>
          <t xml:space="preserve">[FIX]Pickup : 2026-09-30, Return : 2026-10-02
** PLEASE CHECK OPEN GATE BEFORE RETURN CONTAINER ** </t>
        </is>
      </c>
      <c r="BA4" s="122" t="inlineStr">
        <is>
          <t>1. PLS SHOW SHIPPING AGENT NAME, ADDRESS AND CONTACT NO. AT DESTINATION COUNTRY ON BL. 2. SURRENDER BL 3. PLEASE SEND DRAFT BL TO : kittima.t@psabdp.com</t>
        </is>
      </c>
      <c r="BB4" s="122" t="inlineStr">
        <is>
          <t>P</t>
        </is>
      </c>
      <c r="BC4" s="122" t="inlineStr">
        <is>
          <t>2026-09-09</t>
        </is>
      </c>
      <c r="BD4" s="122" t="inlineStr">
        <is>
          <t>2026-10-01</t>
        </is>
      </c>
      <c r="BE4" s="122" t="inlineStr">
        <is>
          <t>Y</t>
        </is>
      </c>
      <c r="BF4" s="122" t="inlineStr">
        <is>
          <t>RESIN</t>
        </is>
      </c>
      <c r="BG4" s="122" t="inlineStr">
        <is>
          <t>Line</t>
        </is>
      </c>
      <c r="BH4" s="122" t="inlineStr">
        <is>
          <t>S22</t>
        </is>
      </c>
      <c r="BK4" s="122" t="inlineStr">
        <is>
          <t>LCHY5</t>
        </is>
      </c>
      <c r="BL4" s="122" t="inlineStr">
        <is>
          <t>2026-09-30</t>
        </is>
      </c>
      <c r="BP4" s="122" t="n">
        <v>2</v>
      </c>
      <c r="BY4" s="122" t="inlineStr">
        <is>
          <t>FULL</t>
        </is>
      </c>
      <c r="BZ4" s="122" t="n">
        <v>4</v>
      </c>
      <c r="CA4" s="122" t="inlineStr">
        <is>
          <t>Y</t>
        </is>
      </c>
      <c r="CC4" s="122" t="inlineStr">
        <is>
          <t>LCH04</t>
        </is>
      </c>
      <c r="CF4" s="122" t="inlineStr">
        <is>
          <t>0 Teu</t>
        </is>
      </c>
      <c r="CG4" s="122" t="inlineStr">
        <is>
          <t>CY/CY</t>
        </is>
      </c>
      <c r="CH4" s="122" t="inlineStr">
        <is>
          <t>POL: THLCH [SWAT/2610N]; T/S(1st): KRPUS [HTVY/2641E]; POD: JPTAK [/]</t>
        </is>
      </c>
      <c r="CI4" s="122" t="inlineStr">
        <is>
          <t>rattiya.w@psabdp.com</t>
        </is>
      </c>
      <c r="CJ4" s="122" t="inlineStr">
        <is>
          <t>SIAM POLYETHYLENE CO., LTD.</t>
        </is>
      </c>
      <c r="CK4" s="122" t="inlineStr">
        <is>
          <t>TOYOTSU CHEMIPLAS CORPORATION</t>
        </is>
      </c>
      <c r="CL4" s="122" t="inlineStr">
        <is>
          <t>TOYOTSU LOGISTICS SERVICE CO., LTD.</t>
        </is>
      </c>
      <c r="CM4" s="122" t="inlineStr">
        <is>
          <t>CLOSED</t>
        </is>
      </c>
      <c r="CN4" s="122" t="inlineStr">
        <is>
          <t>202610102359</t>
        </is>
      </c>
      <c r="CO4" s="122" t="inlineStr">
        <is>
          <t>202610101800</t>
        </is>
      </c>
      <c r="CQ4" s="122" t="inlineStr">
        <is>
          <t>76492-25001</t>
        </is>
      </c>
      <c r="CR4" s="122" t="inlineStr">
        <is>
          <t>THTJG3</t>
        </is>
      </c>
      <c r="CS4" s="122" t="inlineStr">
        <is>
          <t>DOW CHEMICAL THAILAND LTD.</t>
        </is>
      </c>
      <c r="CT4" s="122" t="inlineStr">
        <is>
          <t>N</t>
        </is>
      </c>
      <c r="CW4" s="122" t="inlineStr">
        <is>
          <t>2026-10-07</t>
        </is>
      </c>
      <c r="CX4" s="122" t="inlineStr">
        <is>
          <t>390140</t>
        </is>
      </c>
    </row>
    <row r="5">
      <c r="A5" s="122" t="inlineStr">
        <is>
          <t>HASLS22260901340</t>
        </is>
      </c>
      <c r="B5" s="122" t="inlineStr">
        <is>
          <t>20'x1</t>
        </is>
      </c>
      <c r="C5" s="122" t="n">
        <v>1</v>
      </c>
      <c r="D5" s="122" t="n">
        <v>1</v>
      </c>
      <c r="F5" s="122" t="n">
        <v>0</v>
      </c>
      <c r="G5" s="122" t="n">
        <v>1</v>
      </c>
      <c r="H5" s="122" t="n">
        <v>0</v>
      </c>
      <c r="I5" s="122" t="n">
        <v>0</v>
      </c>
      <c r="J5" s="122" t="n">
        <v>1</v>
      </c>
      <c r="K5" s="122" t="inlineStr">
        <is>
          <t>N</t>
        </is>
      </c>
      <c r="L5" s="122" t="inlineStr">
        <is>
          <t>KTS1</t>
        </is>
      </c>
      <c r="M5" s="122" t="inlineStr">
        <is>
          <t>SWAT</t>
        </is>
      </c>
      <c r="N5" s="122" t="inlineStr">
        <is>
          <t>2610N</t>
        </is>
      </c>
      <c r="O5" s="122" t="inlineStr">
        <is>
          <t>THLCH</t>
        </is>
      </c>
      <c r="P5" s="122" t="inlineStr">
        <is>
          <t>LCH04</t>
        </is>
      </c>
      <c r="Q5" s="122" t="inlineStr">
        <is>
          <t>IA</t>
        </is>
      </c>
      <c r="R5" s="122" t="inlineStr">
        <is>
          <t>2026-10-12</t>
        </is>
      </c>
      <c r="S5" s="122" t="inlineStr">
        <is>
          <t>TWKEL</t>
        </is>
      </c>
      <c r="T5" s="122" t="inlineStr">
        <is>
          <t>KEL02</t>
        </is>
      </c>
      <c r="U5" s="122" t="inlineStr">
        <is>
          <t>TWKEL</t>
        </is>
      </c>
      <c r="V5" s="122" t="inlineStr">
        <is>
          <t>2026-10-18</t>
        </is>
      </c>
      <c r="W5" s="122" t="inlineStr">
        <is>
          <t>IA</t>
        </is>
      </c>
      <c r="AA5" s="122" t="inlineStr">
        <is>
          <t>MERCURIAL LOGISTICS  CO.,LTD</t>
        </is>
      </c>
      <c r="AB5" s="122" t="inlineStr">
        <is>
          <t xml:space="preserve"> ORIENTAL COPPER CO., LTD.</t>
        </is>
      </c>
      <c r="AC5" s="122" t="n">
        <v>18091.5</v>
      </c>
      <c r="AD5" s="122" t="n">
        <v>20291.5</v>
      </c>
      <c r="AE5" s="122" t="inlineStr">
        <is>
          <t>OK</t>
        </is>
      </c>
      <c r="AH5" s="122" t="inlineStr">
        <is>
          <t>CHK</t>
        </is>
      </c>
      <c r="AI5" s="122" t="inlineStr">
        <is>
          <t>OK</t>
        </is>
      </c>
      <c r="AM5" s="122" t="inlineStr">
        <is>
          <t>TH0011</t>
        </is>
      </c>
      <c r="AN5" s="122" t="inlineStr">
        <is>
          <t>Nannaapust Sukporntaweewat</t>
        </is>
      </c>
      <c r="AO5" s="122" t="inlineStr">
        <is>
          <t>HIGH CONDUCTIVITY COPPER ROD AND COPPER BAR</t>
        </is>
      </c>
      <c r="AP5" s="122" t="inlineStr">
        <is>
          <t>Normal</t>
        </is>
      </c>
      <c r="AW5" s="122" t="n">
        <v>0</v>
      </c>
      <c r="AX5" s="122" t="inlineStr">
        <is>
          <t>N</t>
        </is>
      </c>
      <c r="AY5" s="122" t="inlineStr">
        <is>
          <t>OBL</t>
        </is>
      </c>
      <c r="AZ5" s="122" t="inlineStr">
        <is>
          <t xml:space="preserve">Pickup : 2026-10-05, Return : 2026-10-05
** PLEASE CHECK OPEN GATE BEFORE RETURN CONTAINER ** </t>
        </is>
      </c>
      <c r="BB5" s="122" t="inlineStr">
        <is>
          <t>P</t>
        </is>
      </c>
      <c r="BC5" s="122" t="inlineStr">
        <is>
          <t>2026-09-16</t>
        </is>
      </c>
      <c r="BD5" s="122" t="inlineStr">
        <is>
          <t>2026-10-06</t>
        </is>
      </c>
      <c r="BE5" s="122" t="inlineStr">
        <is>
          <t>Y</t>
        </is>
      </c>
      <c r="BF5" s="122" t="inlineStr">
        <is>
          <t>COPPER</t>
        </is>
      </c>
      <c r="BG5" s="122" t="inlineStr">
        <is>
          <t>Line</t>
        </is>
      </c>
      <c r="BH5" s="122" t="inlineStr">
        <is>
          <t>S22</t>
        </is>
      </c>
      <c r="BK5" s="122" t="inlineStr">
        <is>
          <t>LCH27</t>
        </is>
      </c>
      <c r="BL5" s="122" t="inlineStr">
        <is>
          <t>2026-10-05</t>
        </is>
      </c>
      <c r="BN5" s="122" t="n">
        <v>1</v>
      </c>
      <c r="BY5" s="122" t="inlineStr">
        <is>
          <t>FULL</t>
        </is>
      </c>
      <c r="CA5" s="122" t="inlineStr">
        <is>
          <t>Y</t>
        </is>
      </c>
      <c r="CC5" s="122" t="inlineStr">
        <is>
          <t>LCH04</t>
        </is>
      </c>
      <c r="CF5" s="122" t="inlineStr">
        <is>
          <t>0 Teu</t>
        </is>
      </c>
      <c r="CG5" s="122" t="inlineStr">
        <is>
          <t>CY/CY</t>
        </is>
      </c>
      <c r="CI5" s="122" t="inlineStr">
        <is>
          <t>pongpasin@mercurial.co.th</t>
        </is>
      </c>
      <c r="CJ5" s="122" t="inlineStr">
        <is>
          <t>ORIENTAL COPPER CO., LTD.</t>
        </is>
      </c>
      <c r="CK5" s="122" t="inlineStr">
        <is>
          <t>WITTY MATE CORPORATION</t>
        </is>
      </c>
      <c r="CL5" s="122" t="inlineStr">
        <is>
          <t>WITTY MATE CORPORATION</t>
        </is>
      </c>
      <c r="CM5" s="122" t="inlineStr">
        <is>
          <t>CLOSED</t>
        </is>
      </c>
      <c r="CN5" s="122" t="inlineStr">
        <is>
          <t>202610102359</t>
        </is>
      </c>
      <c r="CO5" s="122" t="inlineStr">
        <is>
          <t>202610101800</t>
        </is>
      </c>
      <c r="CQ5" s="122" t="inlineStr">
        <is>
          <t>S22-2502030</t>
        </is>
      </c>
      <c r="CR5" s="122" t="inlineStr">
        <is>
          <t>THTTNE</t>
        </is>
      </c>
      <c r="CS5" s="122" t="inlineStr">
        <is>
          <t>MERCURIAL LOGISTICS  CO.,LTD</t>
        </is>
      </c>
      <c r="CT5" s="122" t="inlineStr">
        <is>
          <t>N</t>
        </is>
      </c>
      <c r="CW5" s="122" t="inlineStr">
        <is>
          <t>2026-10-04</t>
        </is>
      </c>
      <c r="CX5" s="122" t="inlineStr">
        <is>
          <t>740710</t>
        </is>
      </c>
    </row>
    <row r="6">
      <c r="A6" s="122" t="inlineStr">
        <is>
          <t>HASLS22260901169</t>
        </is>
      </c>
      <c r="B6" s="122" t="inlineStr">
        <is>
          <t>40Hx1</t>
        </is>
      </c>
      <c r="C6" s="122" t="n">
        <v>1</v>
      </c>
      <c r="D6" s="122" t="n">
        <v>1</v>
      </c>
      <c r="F6" s="122" t="n">
        <v>0</v>
      </c>
      <c r="G6" s="122" t="n">
        <v>0</v>
      </c>
      <c r="H6" s="122" t="n">
        <v>0</v>
      </c>
      <c r="I6" s="122" t="n">
        <v>1</v>
      </c>
      <c r="J6" s="122" t="n">
        <v>2</v>
      </c>
      <c r="K6" s="122" t="inlineStr">
        <is>
          <t>N</t>
        </is>
      </c>
      <c r="L6" s="122" t="inlineStr">
        <is>
          <t>KTS1</t>
        </is>
      </c>
      <c r="M6" s="122" t="inlineStr">
        <is>
          <t>SWAT</t>
        </is>
      </c>
      <c r="N6" s="122" t="inlineStr">
        <is>
          <t>2610N</t>
        </is>
      </c>
      <c r="O6" s="122" t="inlineStr">
        <is>
          <t>THLCH</t>
        </is>
      </c>
      <c r="P6" s="122" t="inlineStr">
        <is>
          <t>LCH04</t>
        </is>
      </c>
      <c r="Q6" s="122" t="inlineStr">
        <is>
          <t>IA</t>
        </is>
      </c>
      <c r="R6" s="122" t="inlineStr">
        <is>
          <t>2026-10-12</t>
        </is>
      </c>
      <c r="S6" s="122" t="inlineStr">
        <is>
          <t>TWKEL</t>
        </is>
      </c>
      <c r="T6" s="122" t="inlineStr">
        <is>
          <t>KEL02</t>
        </is>
      </c>
      <c r="U6" s="122" t="inlineStr">
        <is>
          <t>TWKEL</t>
        </is>
      </c>
      <c r="V6" s="122" t="inlineStr">
        <is>
          <t>2026-10-18</t>
        </is>
      </c>
      <c r="W6" s="122" t="inlineStr">
        <is>
          <t>IA</t>
        </is>
      </c>
      <c r="AA6" s="122" t="inlineStr">
        <is>
          <t>TOP INTER FREIGHT CO., LTD.</t>
        </is>
      </c>
      <c r="AB6" s="122" t="inlineStr">
        <is>
          <t>KURARAY GC ADVANCED MATERIALS CO.,LTD.</t>
        </is>
      </c>
      <c r="AC6" s="122" t="n">
        <v>15039.36</v>
      </c>
      <c r="AD6" s="122" t="n">
        <v>19039.36</v>
      </c>
      <c r="AE6" s="122" t="inlineStr">
        <is>
          <t>OK</t>
        </is>
      </c>
      <c r="AF6" s="122" t="inlineStr">
        <is>
          <t>SR</t>
        </is>
      </c>
      <c r="AH6" s="122" t="inlineStr">
        <is>
          <t>CHK</t>
        </is>
      </c>
      <c r="AI6" s="122" t="inlineStr">
        <is>
          <t>OK</t>
        </is>
      </c>
      <c r="AM6" s="122" t="inlineStr">
        <is>
          <t>TBKK97</t>
        </is>
      </c>
      <c r="AN6" s="122" t="inlineStr">
        <is>
          <t>Arunphat W. (Aiw)</t>
        </is>
      </c>
      <c r="AO6" s="122" t="inlineStr">
        <is>
          <t>THERMOPLASTIC RUBBER</t>
        </is>
      </c>
      <c r="AP6" s="122" t="inlineStr">
        <is>
          <t>Normal</t>
        </is>
      </c>
      <c r="AW6" s="122" t="n">
        <v>0</v>
      </c>
      <c r="AX6" s="122" t="inlineStr">
        <is>
          <t>N</t>
        </is>
      </c>
      <c r="AY6" s="122" t="inlineStr">
        <is>
          <t>OBL</t>
        </is>
      </c>
      <c r="AZ6" s="122" t="inlineStr">
        <is>
          <t xml:space="preserve">Pickup : 2026-10-03, Return : 2026-10-05 
 ** PLEASE CHECK OPEN GATE BEFORE RETURN CNTR **
 </t>
        </is>
      </c>
      <c r="BA6" s="122" t="inlineStr">
        <is>
          <t xml:space="preserve">CY-RE CONTAINER AT LCB PORT ON 30-01/10/2026 </t>
        </is>
      </c>
      <c r="BB6" s="122" t="inlineStr">
        <is>
          <t>P</t>
        </is>
      </c>
      <c r="BC6" s="122" t="inlineStr">
        <is>
          <t>2026-09-15</t>
        </is>
      </c>
      <c r="BD6" s="122" t="inlineStr">
        <is>
          <t>2026-10-06</t>
        </is>
      </c>
      <c r="BE6" s="122" t="inlineStr">
        <is>
          <t>Y</t>
        </is>
      </c>
      <c r="BF6" s="122" t="inlineStr">
        <is>
          <t>SEPTON 8851 OFF , SEPTON 8851 WIDE</t>
        </is>
      </c>
      <c r="BG6" s="122" t="inlineStr">
        <is>
          <t>Line</t>
        </is>
      </c>
      <c r="BH6" s="122" t="inlineStr">
        <is>
          <t>S22</t>
        </is>
      </c>
      <c r="BK6" s="122" t="inlineStr">
        <is>
          <t>LCH27</t>
        </is>
      </c>
      <c r="BL6" s="122" t="inlineStr">
        <is>
          <t>2026-09-30</t>
        </is>
      </c>
      <c r="BP6" s="122" t="n">
        <v>1</v>
      </c>
      <c r="BY6" s="122" t="inlineStr">
        <is>
          <t>FULL</t>
        </is>
      </c>
      <c r="CA6" s="122" t="inlineStr">
        <is>
          <t>Y</t>
        </is>
      </c>
      <c r="CC6" s="122" t="inlineStr">
        <is>
          <t>LCH04</t>
        </is>
      </c>
      <c r="CF6" s="122" t="inlineStr">
        <is>
          <t>0 Teu</t>
        </is>
      </c>
      <c r="CG6" s="122" t="inlineStr">
        <is>
          <t>CY/CY</t>
        </is>
      </c>
      <c r="CI6" s="122" t="inlineStr">
        <is>
          <t>supawan@topinterfreight.com</t>
        </is>
      </c>
      <c r="CJ6" s="122" t="inlineStr">
        <is>
          <t>KURARAY GC ADVANCED MATERIALS</t>
        </is>
      </c>
      <c r="CK6" s="122" t="inlineStr">
        <is>
          <t>TO THE ORDER OF CHANG HWA</t>
        </is>
      </c>
      <c r="CL6" s="122" t="inlineStr">
        <is>
          <t>HO TAI INDUSTRIAL CO., LTD.</t>
        </is>
      </c>
      <c r="CM6" s="122" t="inlineStr">
        <is>
          <t>CLOSED</t>
        </is>
      </c>
      <c r="CN6" s="122" t="inlineStr">
        <is>
          <t>202610102359</t>
        </is>
      </c>
      <c r="CO6" s="122" t="inlineStr">
        <is>
          <t>202610101800</t>
        </is>
      </c>
      <c r="CQ6" s="122" t="inlineStr">
        <is>
          <t>S22-2203016</t>
        </is>
      </c>
      <c r="CR6" s="122" t="inlineStr">
        <is>
          <t>THTQI7</t>
        </is>
      </c>
      <c r="CS6" s="122" t="inlineStr">
        <is>
          <t>TOP INTER FREIGHT CO., LTD.</t>
        </is>
      </c>
      <c r="CT6" s="122" t="inlineStr">
        <is>
          <t>N</t>
        </is>
      </c>
      <c r="CW6" s="122" t="inlineStr">
        <is>
          <t>2026-10-04</t>
        </is>
      </c>
    </row>
    <row r="7">
      <c r="A7" s="122" t="inlineStr">
        <is>
          <t>HASLS22260900220</t>
        </is>
      </c>
      <c r="B7" s="122" t="inlineStr">
        <is>
          <t>40Hx1</t>
        </is>
      </c>
      <c r="C7" s="122" t="n">
        <v>1</v>
      </c>
      <c r="D7" s="122" t="n">
        <v>1</v>
      </c>
      <c r="F7" s="122" t="n">
        <v>0</v>
      </c>
      <c r="G7" s="122" t="n">
        <v>0</v>
      </c>
      <c r="H7" s="122" t="n">
        <v>0</v>
      </c>
      <c r="I7" s="122" t="n">
        <v>1</v>
      </c>
      <c r="J7" s="122" t="n">
        <v>2</v>
      </c>
      <c r="K7" s="122" t="inlineStr">
        <is>
          <t>N</t>
        </is>
      </c>
      <c r="L7" s="122" t="inlineStr">
        <is>
          <t>KTS1</t>
        </is>
      </c>
      <c r="M7" s="122" t="inlineStr">
        <is>
          <t>SWAT</t>
        </is>
      </c>
      <c r="N7" s="122" t="inlineStr">
        <is>
          <t>2610N</t>
        </is>
      </c>
      <c r="O7" s="122" t="inlineStr">
        <is>
          <t>THLCH</t>
        </is>
      </c>
      <c r="P7" s="122" t="inlineStr">
        <is>
          <t>LCH04</t>
        </is>
      </c>
      <c r="Q7" s="122" t="inlineStr">
        <is>
          <t>IA</t>
        </is>
      </c>
      <c r="R7" s="122" t="inlineStr">
        <is>
          <t>2026-10-12</t>
        </is>
      </c>
      <c r="S7" s="122" t="inlineStr">
        <is>
          <t>TWKEL</t>
        </is>
      </c>
      <c r="T7" s="122" t="inlineStr">
        <is>
          <t>KEL02</t>
        </is>
      </c>
      <c r="U7" s="122" t="inlineStr">
        <is>
          <t>TWKEL</t>
        </is>
      </c>
      <c r="V7" s="122" t="inlineStr">
        <is>
          <t>2026-10-18</t>
        </is>
      </c>
      <c r="W7" s="122" t="inlineStr">
        <is>
          <t>IA</t>
        </is>
      </c>
      <c r="AA7" s="122" t="inlineStr">
        <is>
          <t>BDP ASIA-PACIFIC LTD.</t>
        </is>
      </c>
      <c r="AB7" s="122" t="inlineStr">
        <is>
          <t>GATES UNITTA (THAILAND) CO.,LTD.</t>
        </is>
      </c>
      <c r="AC7" s="122" t="n">
        <v>5028.5</v>
      </c>
      <c r="AD7" s="122" t="n">
        <v>9028.5</v>
      </c>
      <c r="AE7" s="122" t="inlineStr">
        <is>
          <t>OK</t>
        </is>
      </c>
      <c r="AH7" s="122" t="inlineStr">
        <is>
          <t>CHK</t>
        </is>
      </c>
      <c r="AI7" s="122" t="inlineStr">
        <is>
          <t>OK</t>
        </is>
      </c>
      <c r="AM7" s="122" t="inlineStr">
        <is>
          <t>TBKK28</t>
        </is>
      </c>
      <c r="AN7" s="122" t="inlineStr">
        <is>
          <t>Nustsireerach</t>
        </is>
      </c>
      <c r="AO7" s="122" t="inlineStr">
        <is>
          <t>RUBBER BELTS</t>
        </is>
      </c>
      <c r="AP7" s="122" t="inlineStr">
        <is>
          <t>Normal</t>
        </is>
      </c>
      <c r="AW7" s="122" t="n">
        <v>0</v>
      </c>
      <c r="AX7" s="122" t="inlineStr">
        <is>
          <t>N</t>
        </is>
      </c>
      <c r="AY7" s="122" t="inlineStr">
        <is>
          <t>OBL</t>
        </is>
      </c>
      <c r="AZ7" s="122" t="inlineStr">
        <is>
          <t xml:space="preserve">Pickup : 2026-09-23, Return : 2026-09-23 [1ST RTN 25/09/2026 W/O RENT] </t>
        </is>
      </c>
      <c r="BA7" s="122" t="inlineStr">
        <is>
          <t>REQ B/L Type(Expected) : SURRENDER B/L</t>
        </is>
      </c>
      <c r="BB7" s="122" t="inlineStr">
        <is>
          <t>P</t>
        </is>
      </c>
      <c r="BC7" s="122" t="inlineStr">
        <is>
          <t>2026-09-02</t>
        </is>
      </c>
      <c r="BD7" s="122" t="inlineStr">
        <is>
          <t>2026-10-03</t>
        </is>
      </c>
      <c r="BE7" s="122" t="inlineStr">
        <is>
          <t>Y</t>
        </is>
      </c>
      <c r="BF7" s="122" t="inlineStr">
        <is>
          <t>RUBBUR BELT</t>
        </is>
      </c>
      <c r="BG7" s="122" t="inlineStr">
        <is>
          <t>Line</t>
        </is>
      </c>
      <c r="BH7" s="122" t="inlineStr">
        <is>
          <t>S22</t>
        </is>
      </c>
      <c r="BK7" s="122" t="inlineStr">
        <is>
          <t>LCH27</t>
        </is>
      </c>
      <c r="BL7" s="122" t="inlineStr">
        <is>
          <t>2026-09-23</t>
        </is>
      </c>
      <c r="BP7" s="122" t="n">
        <v>1</v>
      </c>
      <c r="BY7" s="122" t="inlineStr">
        <is>
          <t>FULL</t>
        </is>
      </c>
      <c r="CA7" s="122" t="inlineStr">
        <is>
          <t>Y</t>
        </is>
      </c>
      <c r="CC7" s="122" t="inlineStr">
        <is>
          <t>LCH04</t>
        </is>
      </c>
      <c r="CF7" s="122" t="inlineStr">
        <is>
          <t>0 Teu</t>
        </is>
      </c>
      <c r="CG7" s="122" t="inlineStr">
        <is>
          <t>CY/CY</t>
        </is>
      </c>
      <c r="CI7" s="122" t="inlineStr">
        <is>
          <t>csexport.th@bdpint.com</t>
        </is>
      </c>
      <c r="CJ7" s="122" t="inlineStr">
        <is>
          <t>BDP ASIA-PACIFIC LTD</t>
        </is>
      </c>
      <c r="CK7" s="122" t="inlineStr">
        <is>
          <t>BDP ASIA PACIFIC PTE LTD,</t>
        </is>
      </c>
      <c r="CL7" s="122" t="inlineStr">
        <is>
          <t>BDP ASIA PACIFIC PTE LTD,</t>
        </is>
      </c>
      <c r="CM7" s="122" t="inlineStr">
        <is>
          <t>CLOSED</t>
        </is>
      </c>
      <c r="CN7" s="122" t="inlineStr">
        <is>
          <t>202610102359</t>
        </is>
      </c>
      <c r="CO7" s="122" t="inlineStr">
        <is>
          <t>202610101800</t>
        </is>
      </c>
      <c r="CQ7" s="122" t="inlineStr">
        <is>
          <t>S19-2308003</t>
        </is>
      </c>
      <c r="CR7" s="122" t="inlineStr">
        <is>
          <t>BB2252</t>
        </is>
      </c>
      <c r="CS7" s="122" t="inlineStr">
        <is>
          <t>BDP ASIA-PACIFIC LTD.</t>
        </is>
      </c>
      <c r="CT7" s="122" t="inlineStr">
        <is>
          <t>N</t>
        </is>
      </c>
      <c r="CW7" s="122" t="inlineStr">
        <is>
          <t>2026-09-29</t>
        </is>
      </c>
    </row>
    <row r="8">
      <c r="A8" s="122" t="inlineStr">
        <is>
          <t>HASLS22260900495</t>
        </is>
      </c>
      <c r="B8" s="122" t="inlineStr">
        <is>
          <t>20'x1</t>
        </is>
      </c>
      <c r="C8" s="122" t="n">
        <v>1</v>
      </c>
      <c r="D8" s="122" t="n">
        <v>1</v>
      </c>
      <c r="F8" s="122" t="n">
        <v>0</v>
      </c>
      <c r="G8" s="122" t="n">
        <v>1</v>
      </c>
      <c r="H8" s="122" t="n">
        <v>0</v>
      </c>
      <c r="I8" s="122" t="n">
        <v>0</v>
      </c>
      <c r="J8" s="122" t="n">
        <v>1</v>
      </c>
      <c r="K8" s="122" t="inlineStr">
        <is>
          <t>N</t>
        </is>
      </c>
      <c r="L8" s="122" t="inlineStr">
        <is>
          <t>KTS1</t>
        </is>
      </c>
      <c r="M8" s="122" t="inlineStr">
        <is>
          <t>SWAT</t>
        </is>
      </c>
      <c r="N8" s="122" t="inlineStr">
        <is>
          <t>2610N</t>
        </is>
      </c>
      <c r="O8" s="122" t="inlineStr">
        <is>
          <t>THLCH</t>
        </is>
      </c>
      <c r="P8" s="122" t="inlineStr">
        <is>
          <t>LCH04</t>
        </is>
      </c>
      <c r="Q8" s="122" t="inlineStr">
        <is>
          <t>IA</t>
        </is>
      </c>
      <c r="R8" s="122" t="inlineStr">
        <is>
          <t>2026-10-12</t>
        </is>
      </c>
      <c r="S8" s="122" t="inlineStr">
        <is>
          <t>HKHKG</t>
        </is>
      </c>
      <c r="T8" s="122" t="inlineStr">
        <is>
          <t>HKG03</t>
        </is>
      </c>
      <c r="U8" s="122" t="inlineStr">
        <is>
          <t>HKHKG</t>
        </is>
      </c>
      <c r="V8" s="122" t="inlineStr">
        <is>
          <t>2026-10-15</t>
        </is>
      </c>
      <c r="W8" s="122" t="inlineStr">
        <is>
          <t>IA</t>
        </is>
      </c>
      <c r="AA8" s="122" t="inlineStr">
        <is>
          <t>KWE-KINTETSU WORLD EXPRESS (THAILAND) CO., LTD.</t>
        </is>
      </c>
      <c r="AB8" s="122" t="inlineStr">
        <is>
          <t>ELNA (THAILAND) CO., LTD.</t>
        </is>
      </c>
      <c r="AC8" s="122" t="n">
        <v>3170.94</v>
      </c>
      <c r="AD8" s="122" t="n">
        <v>5370.94</v>
      </c>
      <c r="AE8" s="122" t="inlineStr">
        <is>
          <t>OK</t>
        </is>
      </c>
      <c r="AH8" s="122" t="inlineStr">
        <is>
          <t>CHK</t>
        </is>
      </c>
      <c r="AI8" s="122" t="inlineStr">
        <is>
          <t>OK</t>
        </is>
      </c>
      <c r="AM8" s="122" t="inlineStr">
        <is>
          <t>TBKK97</t>
        </is>
      </c>
      <c r="AN8" s="122" t="inlineStr">
        <is>
          <t>Arunphat W. (Aiw)</t>
        </is>
      </c>
      <c r="AO8" s="122" t="inlineStr">
        <is>
          <t>ELECTROLYTIC CAPACITOR</t>
        </is>
      </c>
      <c r="AP8" s="122" t="inlineStr">
        <is>
          <t>Normal</t>
        </is>
      </c>
      <c r="AW8" s="122" t="n">
        <v>0</v>
      </c>
      <c r="AX8" s="122" t="inlineStr">
        <is>
          <t>N</t>
        </is>
      </c>
      <c r="AY8" s="122" t="inlineStr">
        <is>
          <t>OBL</t>
        </is>
      </c>
      <c r="AZ8" s="122" t="inlineStr">
        <is>
          <t>Pickup : 2026-10-01, Return : 2026-10-03 [1ST RTN 30/09/2026 W/O RENT]</t>
        </is>
      </c>
      <c r="BA8" s="122" t="inlineStr">
        <is>
          <t>SI DD.5/10/26
FM SWSR 2611N BY K'KRUE DD.17/09/2026
FM 1x40 HQ DD.28/09</t>
        </is>
      </c>
      <c r="BB8" s="122" t="inlineStr">
        <is>
          <t>P</t>
        </is>
      </c>
      <c r="BC8" s="122" t="inlineStr">
        <is>
          <t>2026-09-06</t>
        </is>
      </c>
      <c r="BD8" s="122" t="inlineStr">
        <is>
          <t>2026-10-05</t>
        </is>
      </c>
      <c r="BE8" s="122" t="inlineStr">
        <is>
          <t>Y</t>
        </is>
      </c>
      <c r="BF8" s="122" t="inlineStr">
        <is>
          <t>ELECTROLYTIC CONDENSER SOLUTION</t>
        </is>
      </c>
      <c r="BG8" s="122" t="inlineStr">
        <is>
          <t>Line</t>
        </is>
      </c>
      <c r="BH8" s="122" t="inlineStr">
        <is>
          <t>S22</t>
        </is>
      </c>
      <c r="BK8" s="122" t="inlineStr">
        <is>
          <t>LCH27</t>
        </is>
      </c>
      <c r="BL8" s="122" t="inlineStr">
        <is>
          <t>2026-10-01</t>
        </is>
      </c>
      <c r="BN8" s="122" t="n">
        <v>1</v>
      </c>
      <c r="BY8" s="122" t="inlineStr">
        <is>
          <t>FULL</t>
        </is>
      </c>
      <c r="CA8" s="122" t="inlineStr">
        <is>
          <t>Y</t>
        </is>
      </c>
      <c r="CC8" s="122" t="inlineStr">
        <is>
          <t>LCH04</t>
        </is>
      </c>
      <c r="CF8" s="122" t="inlineStr">
        <is>
          <t>0 Teu</t>
        </is>
      </c>
      <c r="CG8" s="122" t="inlineStr">
        <is>
          <t>CY/CY</t>
        </is>
      </c>
      <c r="CI8" s="122" t="inlineStr">
        <is>
          <t>oceexp.kweth@kwe.com</t>
        </is>
      </c>
      <c r="CJ8" s="122" t="inlineStr">
        <is>
          <t>KWE-KINTETSU WORLD EXPRESS</t>
        </is>
      </c>
      <c r="CK8" s="122" t="inlineStr">
        <is>
          <t>KINTETSU WORLD EXPRESS (HK) LIMITED</t>
        </is>
      </c>
      <c r="CL8" s="122" t="inlineStr">
        <is>
          <t>KINTETSU WORLD EXPRESS (HK) LIMITED</t>
        </is>
      </c>
      <c r="CM8" s="122" t="inlineStr">
        <is>
          <t>CLOSED</t>
        </is>
      </c>
      <c r="CN8" s="122" t="inlineStr">
        <is>
          <t>202610102359</t>
        </is>
      </c>
      <c r="CO8" s="122" t="inlineStr">
        <is>
          <t>202610101800</t>
        </is>
      </c>
      <c r="CQ8" s="122" t="inlineStr">
        <is>
          <t>S22-2605009</t>
        </is>
      </c>
      <c r="CR8" s="122" t="inlineStr">
        <is>
          <t>THTJIX</t>
        </is>
      </c>
      <c r="CS8" s="122" t="inlineStr">
        <is>
          <t>KWE-KINTETSU WORLD EXPRESS (THAILAND) CO., LTD.</t>
        </is>
      </c>
      <c r="CT8" s="122" t="inlineStr">
        <is>
          <t>N</t>
        </is>
      </c>
      <c r="CW8" s="122" t="inlineStr">
        <is>
          <t>2026-10-04</t>
        </is>
      </c>
      <c r="CX8" s="122" t="inlineStr">
        <is>
          <t>853222</t>
        </is>
      </c>
    </row>
    <row r="9">
      <c r="A9" s="122" t="inlineStr">
        <is>
          <t>HASLS22261000204</t>
        </is>
      </c>
      <c r="B9" s="122" t="inlineStr">
        <is>
          <t>20'x1</t>
        </is>
      </c>
      <c r="C9" s="122" t="n">
        <v>1</v>
      </c>
      <c r="D9" s="122" t="n">
        <v>1</v>
      </c>
      <c r="F9" s="122" t="n">
        <v>0</v>
      </c>
      <c r="G9" s="122" t="n">
        <v>1</v>
      </c>
      <c r="H9" s="122" t="n">
        <v>0</v>
      </c>
      <c r="I9" s="122" t="n">
        <v>0</v>
      </c>
      <c r="J9" s="122" t="n">
        <v>1</v>
      </c>
      <c r="K9" s="122" t="inlineStr">
        <is>
          <t>N</t>
        </is>
      </c>
      <c r="L9" s="122" t="inlineStr">
        <is>
          <t>KTS1</t>
        </is>
      </c>
      <c r="M9" s="122" t="inlineStr">
        <is>
          <t>SWAT</t>
        </is>
      </c>
      <c r="N9" s="122" t="inlineStr">
        <is>
          <t>2610N</t>
        </is>
      </c>
      <c r="O9" s="122" t="inlineStr">
        <is>
          <t>THLCH</t>
        </is>
      </c>
      <c r="P9" s="122" t="inlineStr">
        <is>
          <t>LCH04</t>
        </is>
      </c>
      <c r="Q9" s="122" t="inlineStr">
        <is>
          <t>IA</t>
        </is>
      </c>
      <c r="R9" s="122" t="inlineStr">
        <is>
          <t>2026-10-12</t>
        </is>
      </c>
      <c r="S9" s="122" t="inlineStr">
        <is>
          <t>HKHKG</t>
        </is>
      </c>
      <c r="T9" s="122" t="inlineStr">
        <is>
          <t>HKG03</t>
        </is>
      </c>
      <c r="U9" s="122" t="inlineStr">
        <is>
          <t>CNNAH</t>
        </is>
      </c>
      <c r="V9" s="122" t="inlineStr">
        <is>
          <t>2026-10-15</t>
        </is>
      </c>
      <c r="W9" s="122" t="inlineStr">
        <is>
          <t>IA</t>
        </is>
      </c>
      <c r="X9" s="122" t="inlineStr">
        <is>
          <t>Barge</t>
        </is>
      </c>
      <c r="AA9" s="122" t="inlineStr">
        <is>
          <t>SS EXCELLENT NETWORK CO.,LTD</t>
        </is>
      </c>
      <c r="AB9" s="122" t="inlineStr">
        <is>
          <t>SS EXCELLENT NETWORK CO.,LTD</t>
        </is>
      </c>
      <c r="AC9" s="122" t="n">
        <v>26470</v>
      </c>
      <c r="AD9" s="122" t="n">
        <v>28670</v>
      </c>
      <c r="AE9" s="122" t="inlineStr">
        <is>
          <t>OK</t>
        </is>
      </c>
      <c r="AH9" s="122" t="inlineStr">
        <is>
          <t>CHK</t>
        </is>
      </c>
      <c r="AI9" s="122" t="inlineStr">
        <is>
          <t>OK</t>
        </is>
      </c>
      <c r="AM9" s="122" t="inlineStr">
        <is>
          <t>TH0011</t>
        </is>
      </c>
      <c r="AN9" s="122" t="inlineStr">
        <is>
          <t>Nannaapust Sukporntaweewat</t>
        </is>
      </c>
      <c r="AO9" s="122" t="inlineStr">
        <is>
          <t>RECYCLING MATERIALS FOR COPPER</t>
        </is>
      </c>
      <c r="AP9" s="122" t="inlineStr">
        <is>
          <t>Normal</t>
        </is>
      </c>
      <c r="AW9" s="122" t="n">
        <v>0</v>
      </c>
      <c r="AX9" s="122" t="inlineStr">
        <is>
          <t>N</t>
        </is>
      </c>
      <c r="AY9" s="122" t="inlineStr">
        <is>
          <t>OBL</t>
        </is>
      </c>
      <c r="AZ9" s="122" t="inlineStr">
        <is>
          <t xml:space="preserve">Pickup : 2026-10-03, Return : 2026-10-03
  ** PLEASE CHECK OPEN GATE BEFORE RETURN CNTR **
</t>
        </is>
      </c>
      <c r="BA9" s="122" t="inlineStr">
        <is>
          <t>[Split] - HASLS22261000190</t>
        </is>
      </c>
      <c r="BB9" s="122" t="inlineStr">
        <is>
          <t>P</t>
        </is>
      </c>
      <c r="BC9" s="122" t="inlineStr">
        <is>
          <t>2026-10-02</t>
        </is>
      </c>
      <c r="BD9" s="122" t="inlineStr">
        <is>
          <t>2026-10-06</t>
        </is>
      </c>
      <c r="BE9" s="122" t="inlineStr">
        <is>
          <t>Y</t>
        </is>
      </c>
      <c r="BF9" s="122" t="inlineStr">
        <is>
          <t>COPPER INGOT</t>
        </is>
      </c>
      <c r="BG9" s="122" t="inlineStr">
        <is>
          <t>Line</t>
        </is>
      </c>
      <c r="BH9" s="122" t="inlineStr">
        <is>
          <t>S22</t>
        </is>
      </c>
      <c r="BK9" s="122" t="inlineStr">
        <is>
          <t>LCHY5</t>
        </is>
      </c>
      <c r="BL9" s="122" t="inlineStr">
        <is>
          <t>2026-10-03</t>
        </is>
      </c>
      <c r="BN9" s="122" t="n">
        <v>1</v>
      </c>
      <c r="BY9" s="122" t="inlineStr">
        <is>
          <t>FULL</t>
        </is>
      </c>
      <c r="CC9" s="122" t="inlineStr">
        <is>
          <t>LCH04</t>
        </is>
      </c>
      <c r="CF9" s="122" t="inlineStr">
        <is>
          <t>0 Teu</t>
        </is>
      </c>
      <c r="CG9" s="122" t="inlineStr">
        <is>
          <t>CY/CY</t>
        </is>
      </c>
      <c r="CI9" s="122" t="inlineStr">
        <is>
          <t>Chunchom2541@gmail.com</t>
        </is>
      </c>
      <c r="CJ9" s="122" t="inlineStr">
        <is>
          <t>HANWEI TRADING CO.,LTD.</t>
        </is>
      </c>
      <c r="CK9" s="122" t="inlineStr">
        <is>
          <t>LONGYAN XINGCHENGXIN ELECTRONIC</t>
        </is>
      </c>
      <c r="CL9" s="122" t="inlineStr">
        <is>
          <t>SHENG ZHAN METAL CO., LTD.</t>
        </is>
      </c>
      <c r="CM9" s="122" t="inlineStr">
        <is>
          <t>CLOSED</t>
        </is>
      </c>
      <c r="CN9" s="122" t="inlineStr">
        <is>
          <t>202610102359</t>
        </is>
      </c>
      <c r="CO9" s="122" t="inlineStr">
        <is>
          <t>202610101800</t>
        </is>
      </c>
      <c r="CQ9" s="122" t="inlineStr">
        <is>
          <t>S22-2408003</t>
        </is>
      </c>
      <c r="CR9" s="122" t="inlineStr">
        <is>
          <t>THTVLD</t>
        </is>
      </c>
      <c r="CS9" s="122" t="inlineStr">
        <is>
          <t>SS EXCELLENT NETWORK CO.,LTD</t>
        </is>
      </c>
      <c r="CT9" s="122" t="inlineStr">
        <is>
          <t>N</t>
        </is>
      </c>
      <c r="CW9" s="122" t="inlineStr">
        <is>
          <t>2026-10-04</t>
        </is>
      </c>
    </row>
    <row r="10">
      <c r="A10" s="122" t="inlineStr">
        <is>
          <t>HASLS22260901481</t>
        </is>
      </c>
      <c r="B10" s="122" t="inlineStr">
        <is>
          <t>20'x2</t>
        </is>
      </c>
      <c r="C10" s="122" t="n">
        <v>2</v>
      </c>
      <c r="D10" s="122" t="n">
        <v>2</v>
      </c>
      <c r="F10" s="122" t="n">
        <v>0</v>
      </c>
      <c r="G10" s="122" t="n">
        <v>2</v>
      </c>
      <c r="H10" s="122" t="n">
        <v>0</v>
      </c>
      <c r="I10" s="122" t="n">
        <v>0</v>
      </c>
      <c r="J10" s="122" t="n">
        <v>2</v>
      </c>
      <c r="K10" s="122" t="inlineStr">
        <is>
          <t>N</t>
        </is>
      </c>
      <c r="L10" s="122" t="inlineStr">
        <is>
          <t>KTS1</t>
        </is>
      </c>
      <c r="M10" s="122" t="inlineStr">
        <is>
          <t>SWAT</t>
        </is>
      </c>
      <c r="N10" s="122" t="inlineStr">
        <is>
          <t>2610N</t>
        </is>
      </c>
      <c r="O10" s="122" t="inlineStr">
        <is>
          <t>THLCH</t>
        </is>
      </c>
      <c r="P10" s="122" t="inlineStr">
        <is>
          <t>LCH04</t>
        </is>
      </c>
      <c r="Q10" s="122" t="inlineStr">
        <is>
          <t>IA</t>
        </is>
      </c>
      <c r="R10" s="122" t="inlineStr">
        <is>
          <t>2026-10-12</t>
        </is>
      </c>
      <c r="S10" s="122" t="inlineStr">
        <is>
          <t>HKHKG</t>
        </is>
      </c>
      <c r="T10" s="122" t="inlineStr">
        <is>
          <t>HKG03</t>
        </is>
      </c>
      <c r="U10" s="122" t="inlineStr">
        <is>
          <t>CNSUD</t>
        </is>
      </c>
      <c r="V10" s="122" t="inlineStr">
        <is>
          <t>2026-10-15</t>
        </is>
      </c>
      <c r="W10" s="122" t="inlineStr">
        <is>
          <t>IA</t>
        </is>
      </c>
      <c r="X10" s="122" t="inlineStr">
        <is>
          <t>Barge</t>
        </is>
      </c>
      <c r="AA10" s="122" t="inlineStr">
        <is>
          <t>SS EXCELLENT NETWORK CO.,LTD</t>
        </is>
      </c>
      <c r="AB10" s="122" t="inlineStr">
        <is>
          <t>SS EXCELLENT NETWORK CO.,LTD</t>
        </is>
      </c>
      <c r="AC10" s="122" t="n">
        <v>54890</v>
      </c>
      <c r="AD10" s="122" t="n">
        <v>59290</v>
      </c>
      <c r="AE10" s="122" t="inlineStr">
        <is>
          <t>OK</t>
        </is>
      </c>
      <c r="AH10" s="122" t="inlineStr">
        <is>
          <t>CHK</t>
        </is>
      </c>
      <c r="AI10" s="122" t="inlineStr">
        <is>
          <t>OK</t>
        </is>
      </c>
      <c r="AM10" s="122" t="inlineStr">
        <is>
          <t>TH0011</t>
        </is>
      </c>
      <c r="AN10" s="122" t="inlineStr">
        <is>
          <t>Nannaapust Sukporntaweewat</t>
        </is>
      </c>
      <c r="AO10" s="122" t="inlineStr">
        <is>
          <t>ALUMINIUM INGOTS</t>
        </is>
      </c>
      <c r="AP10" s="122" t="inlineStr">
        <is>
          <t>Normal</t>
        </is>
      </c>
      <c r="AW10" s="122" t="n">
        <v>0</v>
      </c>
      <c r="AX10" s="122" t="inlineStr">
        <is>
          <t>N</t>
        </is>
      </c>
      <c r="AY10" s="122" t="inlineStr">
        <is>
          <t>OBL</t>
        </is>
      </c>
      <c r="AZ10" s="122" t="inlineStr">
        <is>
          <t xml:space="preserve">Pickup : 2026-09-24, Return : 2026-09-25 (1ST RTN 29/09 W/O RENT) 
 ** PLEASE CHECK OPEN GATE BEFORE RETURN CNTR **
</t>
        </is>
      </c>
      <c r="BA10" s="122" t="inlineStr">
        <is>
          <t>ROLL OVER FROM PREVIOUS VSL SWDN 2610N BY ALLOCATION TEAM MS.TARN APPROVED COST IS UNDER HAL DD.05/10
FM CNNAH BY K.CHUNCHOM DD 30/09 
[Split] - HASLS22260902441 / HASLS22260902442
[Split] - HASLS22260902636</t>
        </is>
      </c>
      <c r="BB10" s="122" t="inlineStr">
        <is>
          <t>P</t>
        </is>
      </c>
      <c r="BC10" s="122" t="inlineStr">
        <is>
          <t>2026-09-17</t>
        </is>
      </c>
      <c r="BD10" s="122" t="inlineStr">
        <is>
          <t>2026-10-05</t>
        </is>
      </c>
      <c r="BE10" s="122" t="inlineStr">
        <is>
          <t>Y</t>
        </is>
      </c>
      <c r="BF10" s="122" t="inlineStr">
        <is>
          <t>COPPER INGOT</t>
        </is>
      </c>
      <c r="BG10" s="122" t="inlineStr">
        <is>
          <t>Line</t>
        </is>
      </c>
      <c r="BH10" s="122" t="inlineStr">
        <is>
          <t>S22</t>
        </is>
      </c>
      <c r="BK10" s="122" t="inlineStr">
        <is>
          <t>LCHY5</t>
        </is>
      </c>
      <c r="BL10" s="122" t="inlineStr">
        <is>
          <t>2026-09-24</t>
        </is>
      </c>
      <c r="BN10" s="122" t="n">
        <v>2</v>
      </c>
      <c r="BY10" s="122" t="inlineStr">
        <is>
          <t>FULL</t>
        </is>
      </c>
      <c r="CA10" s="122" t="inlineStr">
        <is>
          <t>Y</t>
        </is>
      </c>
      <c r="CC10" s="122" t="inlineStr">
        <is>
          <t>LCH04</t>
        </is>
      </c>
      <c r="CF10" s="122" t="inlineStr">
        <is>
          <t>0 Teu</t>
        </is>
      </c>
      <c r="CG10" s="122" t="inlineStr">
        <is>
          <t>CY/CY</t>
        </is>
      </c>
      <c r="CI10" s="122" t="inlineStr">
        <is>
          <t>Chunchom2541@gmail.com</t>
        </is>
      </c>
      <c r="CJ10" s="122" t="inlineStr">
        <is>
          <t>OLIVER CO.,LTD.</t>
        </is>
      </c>
      <c r="CK10" s="122" t="inlineStr">
        <is>
          <t>QINGYUAN YILIN RENEWABLE</t>
        </is>
      </c>
      <c r="CL10" s="122" t="inlineStr">
        <is>
          <t>METAL FOREST INTERNATIONAL</t>
        </is>
      </c>
      <c r="CM10" s="122" t="inlineStr">
        <is>
          <t>CLOSED</t>
        </is>
      </c>
      <c r="CN10" s="122" t="inlineStr">
        <is>
          <t>202610102359</t>
        </is>
      </c>
      <c r="CO10" s="122" t="inlineStr">
        <is>
          <t>202610101800</t>
        </is>
      </c>
      <c r="CQ10" s="122" t="inlineStr">
        <is>
          <t>S22-2408003</t>
        </is>
      </c>
      <c r="CR10" s="122" t="inlineStr">
        <is>
          <t>THTVLD</t>
        </is>
      </c>
      <c r="CS10" s="122" t="inlineStr">
        <is>
          <t>SS EXCELLENT NETWORK CO.,LTD</t>
        </is>
      </c>
      <c r="CT10" s="122" t="inlineStr">
        <is>
          <t>Y</t>
        </is>
      </c>
      <c r="CW10" s="122" t="inlineStr">
        <is>
          <t>2026-10-10</t>
        </is>
      </c>
      <c r="CY10" s="122" t="inlineStr">
        <is>
          <t>ROLL OVER FROM PREVIOUS VSL SWDN 2610N BY ALLOCATION TEAM MS.TARN APPROVED COST IS UNDER HAL DD.05/10</t>
        </is>
      </c>
    </row>
    <row r="11">
      <c r="A11" s="122" t="inlineStr">
        <is>
          <t>HASLS22260901339</t>
        </is>
      </c>
      <c r="B11" s="122" t="inlineStr">
        <is>
          <t>20'x2</t>
        </is>
      </c>
      <c r="C11" s="122" t="n">
        <v>2</v>
      </c>
      <c r="D11" s="122" t="n">
        <v>2</v>
      </c>
      <c r="F11" s="122" t="n">
        <v>0</v>
      </c>
      <c r="G11" s="122" t="n">
        <v>2</v>
      </c>
      <c r="H11" s="122" t="n">
        <v>0</v>
      </c>
      <c r="I11" s="122" t="n">
        <v>0</v>
      </c>
      <c r="J11" s="122" t="n">
        <v>2</v>
      </c>
      <c r="K11" s="122" t="inlineStr">
        <is>
          <t>N</t>
        </is>
      </c>
      <c r="L11" s="122" t="inlineStr">
        <is>
          <t>KTS1</t>
        </is>
      </c>
      <c r="M11" s="122" t="inlineStr">
        <is>
          <t>SWAT</t>
        </is>
      </c>
      <c r="N11" s="122" t="inlineStr">
        <is>
          <t>2610N</t>
        </is>
      </c>
      <c r="O11" s="122" t="inlineStr">
        <is>
          <t>THLCH</t>
        </is>
      </c>
      <c r="P11" s="122" t="inlineStr">
        <is>
          <t>LCH04</t>
        </is>
      </c>
      <c r="Q11" s="122" t="inlineStr">
        <is>
          <t>IA</t>
        </is>
      </c>
      <c r="R11" s="122" t="inlineStr">
        <is>
          <t>2026-10-12</t>
        </is>
      </c>
      <c r="S11" s="122" t="inlineStr">
        <is>
          <t>TWKEL</t>
        </is>
      </c>
      <c r="T11" s="122" t="inlineStr">
        <is>
          <t>KEL02</t>
        </is>
      </c>
      <c r="U11" s="122" t="inlineStr">
        <is>
          <t>TWKEL</t>
        </is>
      </c>
      <c r="V11" s="122" t="inlineStr">
        <is>
          <t>2026-10-18</t>
        </is>
      </c>
      <c r="W11" s="122" t="inlineStr">
        <is>
          <t>IA</t>
        </is>
      </c>
      <c r="AA11" s="122" t="inlineStr">
        <is>
          <t>MERCURIAL LOGISTICS  CO.,LTD</t>
        </is>
      </c>
      <c r="AB11" s="122" t="inlineStr">
        <is>
          <t>ORIENTAL COPPER CO., LTD.</t>
        </is>
      </c>
      <c r="AC11" s="122" t="n">
        <v>41072.5</v>
      </c>
      <c r="AD11" s="122" t="n">
        <v>45472.5</v>
      </c>
      <c r="AE11" s="122" t="inlineStr">
        <is>
          <t>OK</t>
        </is>
      </c>
      <c r="AH11" s="122" t="inlineStr">
        <is>
          <t>CHK</t>
        </is>
      </c>
      <c r="AI11" s="122" t="inlineStr">
        <is>
          <t>OK</t>
        </is>
      </c>
      <c r="AM11" s="122" t="inlineStr">
        <is>
          <t>TH0011</t>
        </is>
      </c>
      <c r="AN11" s="122" t="inlineStr">
        <is>
          <t>Nannaapust Sukporntaweewat</t>
        </is>
      </c>
      <c r="AO11" s="122" t="inlineStr">
        <is>
          <t>HIGH CONDUCTIVITY COPPER STRIP</t>
        </is>
      </c>
      <c r="AP11" s="122" t="inlineStr">
        <is>
          <t>Normal</t>
        </is>
      </c>
      <c r="AW11" s="122" t="n">
        <v>0</v>
      </c>
      <c r="AX11" s="122" t="inlineStr">
        <is>
          <t>N</t>
        </is>
      </c>
      <c r="AY11" s="122" t="inlineStr">
        <is>
          <t>OBL</t>
        </is>
      </c>
      <c r="AZ11" s="122" t="inlineStr">
        <is>
          <t xml:space="preserve">Pickup : 2026-10-05, Return : 2026-10-05 
** PLEASE CHECK OPEN GATE BEFORE RETURN CONTAINER ** </t>
        </is>
      </c>
      <c r="BB11" s="122" t="inlineStr">
        <is>
          <t>P</t>
        </is>
      </c>
      <c r="BC11" s="122" t="inlineStr">
        <is>
          <t>2026-09-16</t>
        </is>
      </c>
      <c r="BD11" s="122" t="inlineStr">
        <is>
          <t>2026-10-07</t>
        </is>
      </c>
      <c r="BE11" s="122" t="inlineStr">
        <is>
          <t>Y</t>
        </is>
      </c>
      <c r="BF11" s="122" t="inlineStr">
        <is>
          <t>COPPER</t>
        </is>
      </c>
      <c r="BG11" s="122" t="inlineStr">
        <is>
          <t>Line</t>
        </is>
      </c>
      <c r="BH11" s="122" t="inlineStr">
        <is>
          <t>S22</t>
        </is>
      </c>
      <c r="BK11" s="122" t="inlineStr">
        <is>
          <t>LCH27</t>
        </is>
      </c>
      <c r="BL11" s="122" t="inlineStr">
        <is>
          <t>2026-10-05</t>
        </is>
      </c>
      <c r="BN11" s="122" t="n">
        <v>2</v>
      </c>
      <c r="BY11" s="122" t="inlineStr">
        <is>
          <t>FULL</t>
        </is>
      </c>
      <c r="CA11" s="122" t="inlineStr">
        <is>
          <t>Y</t>
        </is>
      </c>
      <c r="CC11" s="122" t="inlineStr">
        <is>
          <t>LCH04</t>
        </is>
      </c>
      <c r="CF11" s="122" t="inlineStr">
        <is>
          <t>0 Teu</t>
        </is>
      </c>
      <c r="CG11" s="122" t="inlineStr">
        <is>
          <t>CY/CY</t>
        </is>
      </c>
      <c r="CI11" s="122" t="inlineStr">
        <is>
          <t>pongpasin@mercurial.co.th</t>
        </is>
      </c>
      <c r="CJ11" s="122" t="inlineStr">
        <is>
          <t>ORIENTAL COPPER CO.,LTD</t>
        </is>
      </c>
      <c r="CK11" s="122" t="inlineStr">
        <is>
          <t>TO THE ORDER OF HUA NAN</t>
        </is>
      </c>
      <c r="CL11" s="122" t="inlineStr">
        <is>
          <t>TAIWAN BUSWAY CO., LTD.</t>
        </is>
      </c>
      <c r="CM11" s="122" t="inlineStr">
        <is>
          <t>CLOSED</t>
        </is>
      </c>
      <c r="CN11" s="122" t="inlineStr">
        <is>
          <t>202610102359</t>
        </is>
      </c>
      <c r="CO11" s="122" t="inlineStr">
        <is>
          <t>202610101800</t>
        </is>
      </c>
      <c r="CQ11" s="122" t="inlineStr">
        <is>
          <t>S22-2502030</t>
        </is>
      </c>
      <c r="CR11" s="122" t="inlineStr">
        <is>
          <t>THTTNE</t>
        </is>
      </c>
      <c r="CS11" s="122" t="inlineStr">
        <is>
          <t>MERCURIAL LOGISTICS  CO.,LTD</t>
        </is>
      </c>
      <c r="CT11" s="122" t="inlineStr">
        <is>
          <t>N</t>
        </is>
      </c>
      <c r="CW11" s="122" t="inlineStr">
        <is>
          <t>2026-10-04</t>
        </is>
      </c>
      <c r="CX11" s="122" t="inlineStr">
        <is>
          <t>740710</t>
        </is>
      </c>
    </row>
    <row r="12">
      <c r="A12" s="122" t="inlineStr">
        <is>
          <t>HASLS22260900459</t>
        </is>
      </c>
      <c r="B12" s="122" t="inlineStr">
        <is>
          <t>20'x5</t>
        </is>
      </c>
      <c r="C12" s="122" t="n">
        <v>5</v>
      </c>
      <c r="D12" s="122" t="n">
        <v>5</v>
      </c>
      <c r="F12" s="122" t="n">
        <v>0</v>
      </c>
      <c r="G12" s="122" t="n">
        <v>5</v>
      </c>
      <c r="H12" s="122" t="n">
        <v>0</v>
      </c>
      <c r="I12" s="122" t="n">
        <v>0</v>
      </c>
      <c r="J12" s="122" t="n">
        <v>5</v>
      </c>
      <c r="K12" s="122" t="inlineStr">
        <is>
          <t>N</t>
        </is>
      </c>
      <c r="L12" s="122" t="inlineStr">
        <is>
          <t>KTS1</t>
        </is>
      </c>
      <c r="M12" s="122" t="inlineStr">
        <is>
          <t>SWAT</t>
        </is>
      </c>
      <c r="N12" s="122" t="inlineStr">
        <is>
          <t>2610N</t>
        </is>
      </c>
      <c r="O12" s="122" t="inlineStr">
        <is>
          <t>THLCH</t>
        </is>
      </c>
      <c r="P12" s="122" t="inlineStr">
        <is>
          <t>LCH04</t>
        </is>
      </c>
      <c r="Q12" s="122" t="inlineStr">
        <is>
          <t>IA</t>
        </is>
      </c>
      <c r="R12" s="122" t="inlineStr">
        <is>
          <t>2026-10-12</t>
        </is>
      </c>
      <c r="S12" s="122" t="inlineStr">
        <is>
          <t>CNSHK</t>
        </is>
      </c>
      <c r="T12" s="122" t="inlineStr">
        <is>
          <t>SHE04</t>
        </is>
      </c>
      <c r="U12" s="122" t="inlineStr">
        <is>
          <t>CNSHK</t>
        </is>
      </c>
      <c r="V12" s="122" t="inlineStr">
        <is>
          <t>2026-10-16</t>
        </is>
      </c>
      <c r="W12" s="122" t="inlineStr">
        <is>
          <t>IA</t>
        </is>
      </c>
      <c r="AA12" s="122" t="inlineStr">
        <is>
          <t>THAI POLYCARBONATE CO., LTD.</t>
        </is>
      </c>
      <c r="AB12" s="122" t="inlineStr">
        <is>
          <t>THAI POLYCARBONATE CO., LTD.</t>
        </is>
      </c>
      <c r="AC12" s="122" t="n">
        <v>82160</v>
      </c>
      <c r="AD12" s="122" t="n">
        <v>93160</v>
      </c>
      <c r="AE12" s="122" t="inlineStr">
        <is>
          <t>OK</t>
        </is>
      </c>
      <c r="AH12" s="122" t="inlineStr">
        <is>
          <t>CHK</t>
        </is>
      </c>
      <c r="AI12" s="122" t="inlineStr">
        <is>
          <t>OK</t>
        </is>
      </c>
      <c r="AM12" s="122" t="inlineStr">
        <is>
          <t>TBKK55</t>
        </is>
      </c>
      <c r="AN12" s="122" t="inlineStr">
        <is>
          <t>Vilaiporn</t>
        </is>
      </c>
      <c r="AO12" s="122" t="inlineStr">
        <is>
          <t>POLYCARBONATE RESIN IUPILON</t>
        </is>
      </c>
      <c r="AP12" s="122" t="inlineStr">
        <is>
          <t>Normal</t>
        </is>
      </c>
      <c r="AW12" s="122" t="n">
        <v>0</v>
      </c>
      <c r="AX12" s="122" t="inlineStr">
        <is>
          <t>N</t>
        </is>
      </c>
      <c r="AY12" s="122" t="inlineStr">
        <is>
          <t>OBL</t>
        </is>
      </c>
      <c r="AZ12" s="122" t="inlineStr">
        <is>
          <t>Pickup : 2026-09-28, Return : 2026-10-02</t>
        </is>
      </c>
      <c r="BA12" s="122" t="inlineStr">
        <is>
          <t>SI DD.23/9/26</t>
        </is>
      </c>
      <c r="BB12" s="122" t="inlineStr">
        <is>
          <t>P</t>
        </is>
      </c>
      <c r="BC12" s="122" t="inlineStr">
        <is>
          <t>2026-09-04</t>
        </is>
      </c>
      <c r="BD12" s="122" t="inlineStr">
        <is>
          <t>2026-09-23</t>
        </is>
      </c>
      <c r="BE12" s="122" t="inlineStr">
        <is>
          <t>Y</t>
        </is>
      </c>
      <c r="BF12" s="122" t="inlineStr">
        <is>
          <t>POLYCARBONATE RESIN (HS CODE. 3907.40)</t>
        </is>
      </c>
      <c r="BG12" s="122" t="inlineStr">
        <is>
          <t>Line</t>
        </is>
      </c>
      <c r="BH12" s="122" t="inlineStr">
        <is>
          <t>S22</t>
        </is>
      </c>
      <c r="BK12" s="122" t="inlineStr">
        <is>
          <t>LCHY5</t>
        </is>
      </c>
      <c r="BL12" s="122" t="inlineStr">
        <is>
          <t>2026-09-28</t>
        </is>
      </c>
      <c r="BN12" s="122" t="n">
        <v>5</v>
      </c>
      <c r="BY12" s="122" t="inlineStr">
        <is>
          <t>FULL</t>
        </is>
      </c>
      <c r="CA12" s="122" t="inlineStr">
        <is>
          <t>Y</t>
        </is>
      </c>
      <c r="CC12" s="122" t="inlineStr">
        <is>
          <t>LCH04</t>
        </is>
      </c>
      <c r="CF12" s="122" t="inlineStr">
        <is>
          <t>0 Teu</t>
        </is>
      </c>
      <c r="CG12" s="122" t="inlineStr">
        <is>
          <t>CY/CY</t>
        </is>
      </c>
      <c r="CI12" s="122" t="inlineStr">
        <is>
          <t>Supaporn.Fako@th.tpcc-tpac.com</t>
        </is>
      </c>
      <c r="CJ12" s="122" t="inlineStr">
        <is>
          <t>THAI POLYCARBONATE CO.,LTD.</t>
        </is>
      </c>
      <c r="CK12" s="122" t="inlineStr">
        <is>
          <t>SHENG CHANG HONG TRADING</t>
        </is>
      </c>
      <c r="CL12" s="122" t="inlineStr">
        <is>
          <t>SHENG CHANG HONG TRADING</t>
        </is>
      </c>
      <c r="CM12" s="122" t="inlineStr">
        <is>
          <t>CLOSED</t>
        </is>
      </c>
      <c r="CN12" s="122" t="inlineStr">
        <is>
          <t>202610102359</t>
        </is>
      </c>
      <c r="CO12" s="122" t="inlineStr">
        <is>
          <t>202610101800</t>
        </is>
      </c>
      <c r="CQ12" s="122" t="inlineStr">
        <is>
          <t>S19-2112039</t>
        </is>
      </c>
      <c r="CR12" s="122" t="inlineStr">
        <is>
          <t>THTKNC</t>
        </is>
      </c>
      <c r="CS12" s="122" t="inlineStr">
        <is>
          <t>THAI POLYCARBONATE CO., LTD.</t>
        </is>
      </c>
      <c r="CT12" s="122" t="inlineStr">
        <is>
          <t>N</t>
        </is>
      </c>
      <c r="CW12" s="122" t="inlineStr">
        <is>
          <t>2026-10-04</t>
        </is>
      </c>
      <c r="CX12" s="122" t="inlineStr">
        <is>
          <t>390740</t>
        </is>
      </c>
    </row>
    <row r="13">
      <c r="A13" s="122" t="inlineStr">
        <is>
          <t>HASLS22260901258</t>
        </is>
      </c>
      <c r="B13" s="122" t="inlineStr">
        <is>
          <t>20'x1</t>
        </is>
      </c>
      <c r="C13" s="122" t="n">
        <v>1</v>
      </c>
      <c r="D13" s="122" t="n">
        <v>1</v>
      </c>
      <c r="F13" s="122" t="n">
        <v>0</v>
      </c>
      <c r="G13" s="122" t="n">
        <v>1</v>
      </c>
      <c r="H13" s="122" t="n">
        <v>0</v>
      </c>
      <c r="I13" s="122" t="n">
        <v>0</v>
      </c>
      <c r="J13" s="122" t="n">
        <v>1</v>
      </c>
      <c r="K13" s="122" t="inlineStr">
        <is>
          <t>N</t>
        </is>
      </c>
      <c r="L13" s="122" t="inlineStr">
        <is>
          <t>KTS1</t>
        </is>
      </c>
      <c r="M13" s="122" t="inlineStr">
        <is>
          <t>SWAT</t>
        </is>
      </c>
      <c r="N13" s="122" t="inlineStr">
        <is>
          <t>2610N</t>
        </is>
      </c>
      <c r="O13" s="122" t="inlineStr">
        <is>
          <t>THLCH</t>
        </is>
      </c>
      <c r="P13" s="122" t="inlineStr">
        <is>
          <t>LCH04</t>
        </is>
      </c>
      <c r="Q13" s="122" t="inlineStr">
        <is>
          <t>IA</t>
        </is>
      </c>
      <c r="R13" s="122" t="inlineStr">
        <is>
          <t>2026-10-12</t>
        </is>
      </c>
      <c r="S13" s="122" t="inlineStr">
        <is>
          <t>JPNGO</t>
        </is>
      </c>
      <c r="T13" s="122" t="inlineStr">
        <is>
          <t>NGO01</t>
        </is>
      </c>
      <c r="U13" s="122" t="inlineStr">
        <is>
          <t>JPNGO</t>
        </is>
      </c>
      <c r="V13" s="122" t="inlineStr">
        <is>
          <t>2026-10-28</t>
        </is>
      </c>
      <c r="W13" s="122" t="inlineStr">
        <is>
          <t>JP</t>
        </is>
      </c>
      <c r="Y13" s="122" t="inlineStr">
        <is>
          <t>PUSH4</t>
        </is>
      </c>
      <c r="Z13" s="122" t="inlineStr">
        <is>
          <t>KRPUS</t>
        </is>
      </c>
      <c r="AA13" s="122" t="inlineStr">
        <is>
          <t>DOW CHEMICAL THAILAND LTD.</t>
        </is>
      </c>
      <c r="AB13" s="122" t="inlineStr">
        <is>
          <t>SIAM POLYETHYLENE CO., LTD.</t>
        </is>
      </c>
      <c r="AC13" s="122" t="n">
        <v>16930</v>
      </c>
      <c r="AD13" s="122" t="n">
        <v>19130</v>
      </c>
      <c r="AE13" s="122" t="inlineStr">
        <is>
          <t>OK</t>
        </is>
      </c>
      <c r="AF13" s="122" t="inlineStr">
        <is>
          <t>SR</t>
        </is>
      </c>
      <c r="AH13" s="122" t="inlineStr">
        <is>
          <t>CHK</t>
        </is>
      </c>
      <c r="AI13" s="122" t="inlineStr">
        <is>
          <t>OK</t>
        </is>
      </c>
      <c r="AM13" s="122" t="inlineStr">
        <is>
          <t>B0004</t>
        </is>
      </c>
      <c r="AN13" s="122" t="inlineStr">
        <is>
          <t>SEO JI YEONG</t>
        </is>
      </c>
      <c r="AO13" s="122" t="inlineStr">
        <is>
          <t>ELITE TM 5260LC ENHANCED POLYETHYLENE RESIN BULK</t>
        </is>
      </c>
      <c r="AP13" s="122" t="inlineStr">
        <is>
          <t>T/S</t>
        </is>
      </c>
      <c r="AW13" s="122" t="n">
        <v>0</v>
      </c>
      <c r="AX13" s="122" t="inlineStr">
        <is>
          <t>N</t>
        </is>
      </c>
      <c r="AY13" s="122" t="inlineStr">
        <is>
          <t>SWB</t>
        </is>
      </c>
      <c r="AZ13" s="122" t="inlineStr">
        <is>
          <t>Pickup : 2026-09-28, Return : 2026-10-01</t>
        </is>
      </c>
      <c r="BA13" s="122" t="inlineStr">
        <is>
          <t>SKLU1572229 / 142980 MOVE FM AGENT SKR</t>
        </is>
      </c>
      <c r="BB13" s="122" t="inlineStr">
        <is>
          <t>P</t>
        </is>
      </c>
      <c r="BC13" s="122" t="inlineStr">
        <is>
          <t>2026-09-15</t>
        </is>
      </c>
      <c r="BD13" s="122" t="inlineStr">
        <is>
          <t>2026-10-06</t>
        </is>
      </c>
      <c r="BE13" s="122" t="inlineStr">
        <is>
          <t>Y</t>
        </is>
      </c>
      <c r="BF13" s="122" t="inlineStr">
        <is>
          <t>RESIN</t>
        </is>
      </c>
      <c r="BG13" s="122" t="inlineStr">
        <is>
          <t>Line</t>
        </is>
      </c>
      <c r="BH13" s="122" t="inlineStr">
        <is>
          <t>S22</t>
        </is>
      </c>
      <c r="BK13" s="122" t="inlineStr">
        <is>
          <t>LCHY5</t>
        </is>
      </c>
      <c r="BL13" s="122" t="inlineStr">
        <is>
          <t>2026-09-28</t>
        </is>
      </c>
      <c r="BN13" s="122" t="n">
        <v>1</v>
      </c>
      <c r="BY13" s="122" t="inlineStr">
        <is>
          <t>FULL</t>
        </is>
      </c>
      <c r="BZ13" s="122" t="n">
        <v>5</v>
      </c>
      <c r="CA13" s="122" t="inlineStr">
        <is>
          <t>Y</t>
        </is>
      </c>
      <c r="CC13" s="122" t="inlineStr">
        <is>
          <t>LCH04</t>
        </is>
      </c>
      <c r="CF13" s="122" t="inlineStr">
        <is>
          <t>0 Teu</t>
        </is>
      </c>
      <c r="CG13" s="122" t="inlineStr">
        <is>
          <t>CY/CY</t>
        </is>
      </c>
      <c r="CH13" s="122" t="inlineStr">
        <is>
          <t>POL: THLCH [SWAT/2610N]; T/S(1st): KRPUS [HAXM/2641S]; POD: JPNGO [/]</t>
        </is>
      </c>
      <c r="CI13" s="122" t="inlineStr">
        <is>
          <t>rattiya.w@psabdp.com</t>
        </is>
      </c>
      <c r="CJ13" s="122" t="inlineStr">
        <is>
          <t>SIAM POLYETHYLENE CO., LTD.</t>
        </is>
      </c>
      <c r="CK13" s="122" t="inlineStr">
        <is>
          <t>DOW CHEMICAL JAPAN LIMITED</t>
        </is>
      </c>
      <c r="CL13" s="122" t="inlineStr">
        <is>
          <t>THE SHIBUSAWA WAREHOUSE CO., LTD.</t>
        </is>
      </c>
      <c r="CN13" s="122" t="inlineStr">
        <is>
          <t>202610102359</t>
        </is>
      </c>
      <c r="CO13" s="122" t="inlineStr">
        <is>
          <t>202610101800</t>
        </is>
      </c>
      <c r="CQ13" s="122" t="inlineStr">
        <is>
          <t>76492-25003</t>
        </is>
      </c>
      <c r="CR13" s="122" t="inlineStr">
        <is>
          <t>THTJG3</t>
        </is>
      </c>
      <c r="CS13" s="122" t="inlineStr">
        <is>
          <t>DOW CHEMICAL THAILAND LTD.</t>
        </is>
      </c>
      <c r="CT13" s="122" t="inlineStr">
        <is>
          <t>N</t>
        </is>
      </c>
      <c r="CW13" s="122" t="inlineStr">
        <is>
          <t>2026-10-04</t>
        </is>
      </c>
      <c r="CX13" s="122" t="inlineStr">
        <is>
          <t>390140</t>
        </is>
      </c>
    </row>
    <row r="14">
      <c r="A14" s="122" t="inlineStr">
        <is>
          <t>HASLS22260900906</t>
        </is>
      </c>
      <c r="B14" s="122" t="inlineStr">
        <is>
          <t>20'x1</t>
        </is>
      </c>
      <c r="C14" s="122" t="n">
        <v>1</v>
      </c>
      <c r="D14" s="122" t="n">
        <v>1</v>
      </c>
      <c r="F14" s="122" t="n">
        <v>0</v>
      </c>
      <c r="G14" s="122" t="n">
        <v>1</v>
      </c>
      <c r="H14" s="122" t="n">
        <v>0</v>
      </c>
      <c r="I14" s="122" t="n">
        <v>0</v>
      </c>
      <c r="J14" s="122" t="n">
        <v>1</v>
      </c>
      <c r="K14" s="122" t="inlineStr">
        <is>
          <t>N</t>
        </is>
      </c>
      <c r="L14" s="122" t="inlineStr">
        <is>
          <t>KTS1</t>
        </is>
      </c>
      <c r="M14" s="122" t="inlineStr">
        <is>
          <t>SWAT</t>
        </is>
      </c>
      <c r="N14" s="122" t="inlineStr">
        <is>
          <t>2610N</t>
        </is>
      </c>
      <c r="O14" s="122" t="inlineStr">
        <is>
          <t>THLCH</t>
        </is>
      </c>
      <c r="P14" s="122" t="inlineStr">
        <is>
          <t>LCH04</t>
        </is>
      </c>
      <c r="Q14" s="122" t="inlineStr">
        <is>
          <t>IA</t>
        </is>
      </c>
      <c r="R14" s="122" t="inlineStr">
        <is>
          <t>2026-10-12</t>
        </is>
      </c>
      <c r="S14" s="122" t="inlineStr">
        <is>
          <t>CNSHK</t>
        </is>
      </c>
      <c r="T14" s="122" t="inlineStr">
        <is>
          <t>SHE04</t>
        </is>
      </c>
      <c r="U14" s="122" t="inlineStr">
        <is>
          <t>CNSHK</t>
        </is>
      </c>
      <c r="V14" s="122" t="inlineStr">
        <is>
          <t>2026-10-16</t>
        </is>
      </c>
      <c r="W14" s="122" t="inlineStr">
        <is>
          <t>IA</t>
        </is>
      </c>
      <c r="AA14" s="122" t="inlineStr">
        <is>
          <t>THAI POLYCARBONATE CO., LTD.</t>
        </is>
      </c>
      <c r="AB14" s="122" t="inlineStr">
        <is>
          <t>THAI POLYACETAL CO., LTD.</t>
        </is>
      </c>
      <c r="AC14" s="122" t="n">
        <v>17443</v>
      </c>
      <c r="AD14" s="122" t="n">
        <v>19643</v>
      </c>
      <c r="AE14" s="122" t="inlineStr">
        <is>
          <t>OK</t>
        </is>
      </c>
      <c r="AH14" s="122" t="inlineStr">
        <is>
          <t>CHK</t>
        </is>
      </c>
      <c r="AI14" s="122" t="inlineStr">
        <is>
          <t>OK</t>
        </is>
      </c>
      <c r="AM14" s="122" t="inlineStr">
        <is>
          <t>TBKK55</t>
        </is>
      </c>
      <c r="AN14" s="122" t="inlineStr">
        <is>
          <t>Vilaiporn</t>
        </is>
      </c>
      <c r="AO14" s="122" t="inlineStr">
        <is>
          <t>POLYACETAL RESIN IUPITAL</t>
        </is>
      </c>
      <c r="AP14" s="122" t="inlineStr">
        <is>
          <t>Normal</t>
        </is>
      </c>
      <c r="AW14" s="122" t="n">
        <v>0</v>
      </c>
      <c r="AX14" s="122" t="inlineStr">
        <is>
          <t>N</t>
        </is>
      </c>
      <c r="AY14" s="122" t="inlineStr">
        <is>
          <t>OBL</t>
        </is>
      </c>
      <c r="AZ14" s="122" t="inlineStr">
        <is>
          <t xml:space="preserve">Pickup : 2026-09-29, Return : 2026-10-01 
 ** PLEASE CHECK OPEN GATE BEFORE RETURN CNTR **
</t>
        </is>
      </c>
      <c r="BA14" s="122" t="inlineStr">
        <is>
          <t>SI DD.29/9/26</t>
        </is>
      </c>
      <c r="BB14" s="122" t="inlineStr">
        <is>
          <t>P</t>
        </is>
      </c>
      <c r="BC14" s="122" t="inlineStr">
        <is>
          <t>2026-09-10</t>
        </is>
      </c>
      <c r="BD14" s="122" t="inlineStr">
        <is>
          <t>2026-09-29</t>
        </is>
      </c>
      <c r="BE14" s="122" t="inlineStr">
        <is>
          <t>Y</t>
        </is>
      </c>
      <c r="BF14" s="122" t="inlineStr">
        <is>
          <t>POLYACETAL RESIN , HS CODEIS 3907.10</t>
        </is>
      </c>
      <c r="BG14" s="122" t="inlineStr">
        <is>
          <t>Line</t>
        </is>
      </c>
      <c r="BH14" s="122" t="inlineStr">
        <is>
          <t>S22</t>
        </is>
      </c>
      <c r="BK14" s="122" t="inlineStr">
        <is>
          <t>LCH27</t>
        </is>
      </c>
      <c r="BL14" s="122" t="inlineStr">
        <is>
          <t>2026-09-29</t>
        </is>
      </c>
      <c r="BN14" s="122" t="n">
        <v>1</v>
      </c>
      <c r="BY14" s="122" t="inlineStr">
        <is>
          <t>FULL</t>
        </is>
      </c>
      <c r="CA14" s="122" t="inlineStr">
        <is>
          <t>Y</t>
        </is>
      </c>
      <c r="CC14" s="122" t="inlineStr">
        <is>
          <t>LCH04</t>
        </is>
      </c>
      <c r="CF14" s="122" t="inlineStr">
        <is>
          <t>0 Teu</t>
        </is>
      </c>
      <c r="CG14" s="122" t="inlineStr">
        <is>
          <t>CY/CY</t>
        </is>
      </c>
      <c r="CI14" s="122" t="inlineStr">
        <is>
          <t>thadta.choo@th.tpcc-tpac.com</t>
        </is>
      </c>
      <c r="CJ14" s="122" t="inlineStr">
        <is>
          <t>THAI POLYACETAL CO.,LTD.</t>
        </is>
      </c>
      <c r="CK14" s="122" t="inlineStr">
        <is>
          <t>SHENG CHANG HONG TRADING</t>
        </is>
      </c>
      <c r="CL14" s="122" t="inlineStr">
        <is>
          <t>SHENG CHANG HONG TRADING</t>
        </is>
      </c>
      <c r="CM14" s="122" t="inlineStr">
        <is>
          <t>CLOSED</t>
        </is>
      </c>
      <c r="CN14" s="122" t="inlineStr">
        <is>
          <t>202610102359</t>
        </is>
      </c>
      <c r="CO14" s="122" t="inlineStr">
        <is>
          <t>202610101800</t>
        </is>
      </c>
      <c r="CQ14" s="122" t="inlineStr">
        <is>
          <t>S19-2112039</t>
        </is>
      </c>
      <c r="CR14" s="122" t="inlineStr">
        <is>
          <t>THTKNC</t>
        </is>
      </c>
      <c r="CS14" s="122" t="inlineStr">
        <is>
          <t>THAI POLYCARBONATE CO., LTD.</t>
        </is>
      </c>
      <c r="CT14" s="122" t="inlineStr">
        <is>
          <t>N</t>
        </is>
      </c>
      <c r="CW14" s="122" t="inlineStr">
        <is>
          <t>2026-10-04</t>
        </is>
      </c>
    </row>
    <row r="15">
      <c r="A15" s="122" t="inlineStr">
        <is>
          <t>HASLS22261000076</t>
        </is>
      </c>
      <c r="B15" s="122" t="inlineStr">
        <is>
          <t>20'x1</t>
        </is>
      </c>
      <c r="C15" s="122" t="n">
        <v>1</v>
      </c>
      <c r="D15" s="122" t="n">
        <v>1</v>
      </c>
      <c r="F15" s="122" t="n">
        <v>0</v>
      </c>
      <c r="G15" s="122" t="n">
        <v>1</v>
      </c>
      <c r="H15" s="122" t="n">
        <v>0</v>
      </c>
      <c r="I15" s="122" t="n">
        <v>0</v>
      </c>
      <c r="J15" s="122" t="n">
        <v>1</v>
      </c>
      <c r="K15" s="122" t="inlineStr">
        <is>
          <t>N</t>
        </is>
      </c>
      <c r="L15" s="122" t="inlineStr">
        <is>
          <t>KTS1</t>
        </is>
      </c>
      <c r="M15" s="122" t="inlineStr">
        <is>
          <t>SWAT</t>
        </is>
      </c>
      <c r="N15" s="122" t="inlineStr">
        <is>
          <t>2610N</t>
        </is>
      </c>
      <c r="O15" s="122" t="inlineStr">
        <is>
          <t>THLCH</t>
        </is>
      </c>
      <c r="P15" s="122" t="inlineStr">
        <is>
          <t>LCH04</t>
        </is>
      </c>
      <c r="Q15" s="122" t="inlineStr">
        <is>
          <t>IA</t>
        </is>
      </c>
      <c r="R15" s="122" t="inlineStr">
        <is>
          <t>2026-10-12</t>
        </is>
      </c>
      <c r="S15" s="122" t="inlineStr">
        <is>
          <t>TWKEL</t>
        </is>
      </c>
      <c r="T15" s="122" t="inlineStr">
        <is>
          <t>KEL02</t>
        </is>
      </c>
      <c r="U15" s="122" t="inlineStr">
        <is>
          <t>TWKEL</t>
        </is>
      </c>
      <c r="V15" s="122" t="inlineStr">
        <is>
          <t>2026-10-18</t>
        </is>
      </c>
      <c r="W15" s="122" t="inlineStr">
        <is>
          <t>IA</t>
        </is>
      </c>
      <c r="AA15" s="122" t="inlineStr">
        <is>
          <t>UBE CHEMICALS (ASIA) PUBLIC COMPANY LIMITED</t>
        </is>
      </c>
      <c r="AB15" s="122" t="inlineStr">
        <is>
          <t>UBE CHEMICALS (ASIA) PUBLIC COMPANY LIMITED</t>
        </is>
      </c>
      <c r="AC15" s="122" t="n">
        <v>13096</v>
      </c>
      <c r="AD15" s="122" t="n">
        <v>15296</v>
      </c>
      <c r="AE15" s="122" t="inlineStr">
        <is>
          <t>OK</t>
        </is>
      </c>
      <c r="AH15" s="122" t="inlineStr">
        <is>
          <t>CHK</t>
        </is>
      </c>
      <c r="AI15" s="122" t="inlineStr">
        <is>
          <t>OK</t>
        </is>
      </c>
      <c r="AM15" s="122" t="inlineStr">
        <is>
          <t>TBKK47</t>
        </is>
      </c>
      <c r="AN15" s="122" t="inlineStr">
        <is>
          <t>Tarn(Supaporn)</t>
        </is>
      </c>
      <c r="AO15" s="122" t="inlineStr">
        <is>
          <t>UBE POLYAMIDE RESIN</t>
        </is>
      </c>
      <c r="AP15" s="122" t="inlineStr">
        <is>
          <t>Normal</t>
        </is>
      </c>
      <c r="AW15" s="122" t="n">
        <v>0</v>
      </c>
      <c r="AX15" s="122" t="inlineStr">
        <is>
          <t>N</t>
        </is>
      </c>
      <c r="AY15" s="122" t="inlineStr">
        <is>
          <t>OBL</t>
        </is>
      </c>
      <c r="AZ15" s="122" t="inlineStr">
        <is>
          <t>CY-RTN 03-05/10/26 (2002054662)</t>
        </is>
      </c>
      <c r="BA15" s="122" t="inlineStr">
        <is>
          <t>SI DD.5/10/26</t>
        </is>
      </c>
      <c r="BB15" s="122" t="inlineStr">
        <is>
          <t>P</t>
        </is>
      </c>
      <c r="BC15" s="122" t="inlineStr">
        <is>
          <t>2026-10-01</t>
        </is>
      </c>
      <c r="BD15" s="122" t="inlineStr">
        <is>
          <t>2026-10-08</t>
        </is>
      </c>
      <c r="BE15" s="122" t="inlineStr">
        <is>
          <t>Y</t>
        </is>
      </c>
      <c r="BF15" s="122" t="inlineStr">
        <is>
          <t>RESIN</t>
        </is>
      </c>
      <c r="BG15" s="122" t="inlineStr">
        <is>
          <t>Line</t>
        </is>
      </c>
      <c r="BH15" s="122" t="inlineStr">
        <is>
          <t>S22</t>
        </is>
      </c>
      <c r="BK15" s="122" t="inlineStr">
        <is>
          <t>LCHY5</t>
        </is>
      </c>
      <c r="BL15" s="122" t="inlineStr">
        <is>
          <t>2026-10-03</t>
        </is>
      </c>
      <c r="BN15" s="122" t="n">
        <v>1</v>
      </c>
      <c r="BY15" s="122" t="inlineStr">
        <is>
          <t>FULL</t>
        </is>
      </c>
      <c r="CC15" s="122" t="inlineStr">
        <is>
          <t>LCH04</t>
        </is>
      </c>
      <c r="CF15" s="122" t="inlineStr">
        <is>
          <t>0 Teu</t>
        </is>
      </c>
      <c r="CG15" s="122" t="inlineStr">
        <is>
          <t>CY/CY</t>
        </is>
      </c>
      <c r="CI15" s="122" t="inlineStr">
        <is>
          <t>hataipach@ube.co.th;ugttransportex@ube.co.th</t>
        </is>
      </c>
      <c r="CJ15" s="122" t="inlineStr">
        <is>
          <t>UBE CHEMICALS (ASIA) PUBLIC</t>
        </is>
      </c>
      <c r="CK15" s="122" t="inlineStr">
        <is>
          <t>FULLESTY CORPORATION</t>
        </is>
      </c>
      <c r="CL15" s="122" t="inlineStr">
        <is>
          <t>FULLESTY CORPORATION</t>
        </is>
      </c>
      <c r="CM15" s="122" t="inlineStr">
        <is>
          <t>CLOSED</t>
        </is>
      </c>
      <c r="CN15" s="122" t="inlineStr">
        <is>
          <t>202610102359</t>
        </is>
      </c>
      <c r="CO15" s="122" t="inlineStr">
        <is>
          <t>202610101800</t>
        </is>
      </c>
      <c r="CQ15" s="122" t="inlineStr">
        <is>
          <t>BKK17A0457-1</t>
        </is>
      </c>
      <c r="CR15" s="122" t="inlineStr">
        <is>
          <t>TH035E</t>
        </is>
      </c>
      <c r="CS15" s="122" t="inlineStr">
        <is>
          <t>UBE CHEMICALS (ASIA) PUBLIC COMPANY LIMITED</t>
        </is>
      </c>
      <c r="CT15" s="122" t="inlineStr">
        <is>
          <t>N</t>
        </is>
      </c>
      <c r="CW15" s="122" t="inlineStr">
        <is>
          <t>2026-10-09</t>
        </is>
      </c>
      <c r="CX15" s="122" t="inlineStr">
        <is>
          <t>390890</t>
        </is>
      </c>
    </row>
    <row r="16">
      <c r="A16" s="122" t="inlineStr">
        <is>
          <t>HASLS22260802276</t>
        </is>
      </c>
      <c r="B16" s="122" t="inlineStr">
        <is>
          <t>20'x1</t>
        </is>
      </c>
      <c r="C16" s="122" t="n">
        <v>1</v>
      </c>
      <c r="D16" s="122" t="n">
        <v>1</v>
      </c>
      <c r="F16" s="122" t="n">
        <v>0</v>
      </c>
      <c r="G16" s="122" t="n">
        <v>1</v>
      </c>
      <c r="H16" s="122" t="n">
        <v>0</v>
      </c>
      <c r="I16" s="122" t="n">
        <v>0</v>
      </c>
      <c r="J16" s="122" t="n">
        <v>1</v>
      </c>
      <c r="K16" s="122" t="inlineStr">
        <is>
          <t>N</t>
        </is>
      </c>
      <c r="L16" s="122" t="inlineStr">
        <is>
          <t>KTS1</t>
        </is>
      </c>
      <c r="M16" s="122" t="inlineStr">
        <is>
          <t>SWAT</t>
        </is>
      </c>
      <c r="N16" s="122" t="inlineStr">
        <is>
          <t>2610N</t>
        </is>
      </c>
      <c r="O16" s="122" t="inlineStr">
        <is>
          <t>THLCH</t>
        </is>
      </c>
      <c r="P16" s="122" t="inlineStr">
        <is>
          <t>LCH04</t>
        </is>
      </c>
      <c r="Q16" s="122" t="inlineStr">
        <is>
          <t>IA</t>
        </is>
      </c>
      <c r="R16" s="122" t="inlineStr">
        <is>
          <t>2026-10-12</t>
        </is>
      </c>
      <c r="S16" s="122" t="inlineStr">
        <is>
          <t>TWKEL</t>
        </is>
      </c>
      <c r="T16" s="122" t="inlineStr">
        <is>
          <t>KEL02</t>
        </is>
      </c>
      <c r="U16" s="122" t="inlineStr">
        <is>
          <t>TWKEL</t>
        </is>
      </c>
      <c r="V16" s="122" t="inlineStr">
        <is>
          <t>2026-10-18</t>
        </is>
      </c>
      <c r="W16" s="122" t="inlineStr">
        <is>
          <t>IA</t>
        </is>
      </c>
      <c r="AA16" s="122" t="inlineStr">
        <is>
          <t>COSMO LOGISTICS CO., LTD.</t>
        </is>
      </c>
      <c r="AB16" s="122" t="inlineStr">
        <is>
          <t>L. LIGHTING GLASS CO., LTD.</t>
        </is>
      </c>
      <c r="AC16" s="122" t="n">
        <v>12378.5</v>
      </c>
      <c r="AD16" s="122" t="n">
        <v>14578.5</v>
      </c>
      <c r="AE16" s="122" t="inlineStr">
        <is>
          <t>OK</t>
        </is>
      </c>
      <c r="AF16" s="122" t="inlineStr">
        <is>
          <t>SR</t>
        </is>
      </c>
      <c r="AH16" s="122" t="inlineStr">
        <is>
          <t>CHK</t>
        </is>
      </c>
      <c r="AI16" s="122" t="inlineStr">
        <is>
          <t>OK</t>
        </is>
      </c>
      <c r="AM16" s="122" t="inlineStr">
        <is>
          <t>TH0042</t>
        </is>
      </c>
      <c r="AN16" s="122" t="inlineStr">
        <is>
          <t>Sukunpoj Damrongying</t>
        </is>
      </c>
      <c r="AO16" s="122" t="inlineStr">
        <is>
          <t>GLASS TUBES FOR ELECTRIC LIGHTING</t>
        </is>
      </c>
      <c r="AP16" s="122" t="inlineStr">
        <is>
          <t>Normal</t>
        </is>
      </c>
      <c r="AW16" s="122" t="n">
        <v>0</v>
      </c>
      <c r="AX16" s="122" t="inlineStr">
        <is>
          <t>N</t>
        </is>
      </c>
      <c r="AY16" s="122" t="inlineStr">
        <is>
          <t>OBL</t>
        </is>
      </c>
      <c r="AZ16" s="122" t="inlineStr">
        <is>
          <t xml:space="preserve">Pickup : 2026-10-05, Return : 2026-10-05 
 ** PLEASE CHECK OPEN GATE BEFORE RETURN CNTR **
</t>
        </is>
      </c>
      <c r="BA16" s="122" t="inlineStr">
        <is>
          <t>REQUEST : FREE TIME MAXIMUM</t>
        </is>
      </c>
      <c r="BB16" s="122" t="inlineStr">
        <is>
          <t>P</t>
        </is>
      </c>
      <c r="BC16" s="122" t="inlineStr">
        <is>
          <t>2026-08-27</t>
        </is>
      </c>
      <c r="BD16" s="122" t="inlineStr">
        <is>
          <t>2026-10-02</t>
        </is>
      </c>
      <c r="BE16" s="122" t="inlineStr">
        <is>
          <t>Y</t>
        </is>
      </c>
      <c r="BF16" s="122" t="inlineStr">
        <is>
          <t>GLASS TUBES FOR ELECTRIC LIGHTING</t>
        </is>
      </c>
      <c r="BG16" s="122" t="inlineStr">
        <is>
          <t>Line</t>
        </is>
      </c>
      <c r="BH16" s="122" t="inlineStr">
        <is>
          <t>S22</t>
        </is>
      </c>
      <c r="BK16" s="122" t="inlineStr">
        <is>
          <t>LCH28</t>
        </is>
      </c>
      <c r="BL16" s="122" t="inlineStr">
        <is>
          <t>2026-10-03</t>
        </is>
      </c>
      <c r="BN16" s="122" t="n">
        <v>1</v>
      </c>
      <c r="BY16" s="122" t="inlineStr">
        <is>
          <t>FULL</t>
        </is>
      </c>
      <c r="CA16" s="122" t="inlineStr">
        <is>
          <t>Y</t>
        </is>
      </c>
      <c r="CC16" s="122" t="inlineStr">
        <is>
          <t>LCH04</t>
        </is>
      </c>
      <c r="CF16" s="122" t="inlineStr">
        <is>
          <t>0 Teu</t>
        </is>
      </c>
      <c r="CG16" s="122" t="inlineStr">
        <is>
          <t>CY/CY</t>
        </is>
      </c>
      <c r="CI16" s="122" t="inlineStr">
        <is>
          <t>csexp2@cosmo-logs.com;suporn@cosmo-logs.com</t>
        </is>
      </c>
      <c r="CJ16" s="122" t="inlineStr">
        <is>
          <t>L.LIGHTING GLASS CO., LTD.</t>
        </is>
      </c>
      <c r="CK16" s="122" t="inlineStr">
        <is>
          <t>TENG YUAN CO., LTD.</t>
        </is>
      </c>
      <c r="CL16" s="122" t="inlineStr">
        <is>
          <t>TENG YUAN CO., LTD.</t>
        </is>
      </c>
      <c r="CM16" s="122" t="inlineStr">
        <is>
          <t>CLOSED</t>
        </is>
      </c>
      <c r="CN16" s="122" t="inlineStr">
        <is>
          <t>202610102359</t>
        </is>
      </c>
      <c r="CO16" s="122" t="inlineStr">
        <is>
          <t>202610101800</t>
        </is>
      </c>
      <c r="CQ16" s="122" t="inlineStr">
        <is>
          <t>S22-2411035</t>
        </is>
      </c>
      <c r="CR16" s="122" t="inlineStr">
        <is>
          <t>THTJSW</t>
        </is>
      </c>
      <c r="CS16" s="122" t="inlineStr">
        <is>
          <t>COSMO LOGISTICS CO., LTD.</t>
        </is>
      </c>
      <c r="CT16" s="122" t="inlineStr">
        <is>
          <t>N</t>
        </is>
      </c>
      <c r="CW16" s="122" t="inlineStr">
        <is>
          <t>2026-10-07</t>
        </is>
      </c>
      <c r="CX16" s="122" t="inlineStr">
        <is>
          <t>701110</t>
        </is>
      </c>
    </row>
    <row r="17">
      <c r="A17" s="122" t="inlineStr">
        <is>
          <t>HASLS22260902538</t>
        </is>
      </c>
      <c r="B17" s="122" t="inlineStr">
        <is>
          <t>R40Hx1</t>
        </is>
      </c>
      <c r="C17" s="122" t="n">
        <v>1</v>
      </c>
      <c r="D17" s="122" t="n">
        <v>1</v>
      </c>
      <c r="F17" s="122" t="n">
        <v>0</v>
      </c>
      <c r="G17" s="122" t="n">
        <v>0</v>
      </c>
      <c r="H17" s="122" t="n">
        <v>0</v>
      </c>
      <c r="I17" s="122" t="n">
        <v>1</v>
      </c>
      <c r="J17" s="122" t="n">
        <v>2</v>
      </c>
      <c r="K17" s="122" t="inlineStr">
        <is>
          <t>N</t>
        </is>
      </c>
      <c r="L17" s="122" t="inlineStr">
        <is>
          <t>KTS1</t>
        </is>
      </c>
      <c r="M17" s="122" t="inlineStr">
        <is>
          <t>SWAT</t>
        </is>
      </c>
      <c r="N17" s="122" t="inlineStr">
        <is>
          <t>2610N</t>
        </is>
      </c>
      <c r="O17" s="122" t="inlineStr">
        <is>
          <t>THLCH</t>
        </is>
      </c>
      <c r="P17" s="122" t="inlineStr">
        <is>
          <t>LCH04</t>
        </is>
      </c>
      <c r="Q17" s="122" t="inlineStr">
        <is>
          <t>IA</t>
        </is>
      </c>
      <c r="R17" s="122" t="inlineStr">
        <is>
          <t>2026-10-12</t>
        </is>
      </c>
      <c r="S17" s="122" t="inlineStr">
        <is>
          <t>KRPUS</t>
        </is>
      </c>
      <c r="T17" s="122" t="inlineStr">
        <is>
          <t>PUSH4</t>
        </is>
      </c>
      <c r="U17" s="122" t="inlineStr">
        <is>
          <t>KRPUS</t>
        </is>
      </c>
      <c r="V17" s="122" t="inlineStr">
        <is>
          <t>2026-10-20</t>
        </is>
      </c>
      <c r="W17" s="122" t="inlineStr">
        <is>
          <t>KR</t>
        </is>
      </c>
      <c r="AA17" s="122" t="inlineStr">
        <is>
          <t>LAND SEA SKY CO., LTD.</t>
        </is>
      </c>
      <c r="AB17" s="122" t="inlineStr">
        <is>
          <t>SAHA FARMS  INTERNATIONAL CO LTD</t>
        </is>
      </c>
      <c r="AC17" s="122" t="n">
        <v>18760.25</v>
      </c>
      <c r="AD17" s="122" t="n">
        <v>22760.25</v>
      </c>
      <c r="AE17" s="122" t="inlineStr">
        <is>
          <t>OK</t>
        </is>
      </c>
      <c r="AH17" s="122" t="inlineStr">
        <is>
          <t>CHK</t>
        </is>
      </c>
      <c r="AI17" s="122" t="inlineStr">
        <is>
          <t>OK</t>
        </is>
      </c>
      <c r="AM17" s="122" t="inlineStr">
        <is>
          <t>TH0042</t>
        </is>
      </c>
      <c r="AN17" s="122" t="inlineStr">
        <is>
          <t>Sukunpoj Damrongying</t>
        </is>
      </c>
      <c r="AO17" s="122" t="inlineStr">
        <is>
          <t>ORIGINAL THIGH, GIANT JUMBO WHOLE LEG, BONGBONG STICK (BUFFALO)</t>
        </is>
      </c>
      <c r="AP17" s="122" t="inlineStr">
        <is>
          <t>Normal</t>
        </is>
      </c>
      <c r="AS17" s="122" t="inlineStr">
        <is>
          <t>RF// MIN:-18.0 MAX:-18.0 [COVER:CLOSE]</t>
        </is>
      </c>
      <c r="AT17" s="122" t="inlineStr">
        <is>
          <t xml:space="preserve">45REx1 </t>
        </is>
      </c>
      <c r="AW17" s="122" t="n">
        <v>0</v>
      </c>
      <c r="AX17" s="122" t="inlineStr">
        <is>
          <t>N</t>
        </is>
      </c>
      <c r="AY17" s="122" t="inlineStr">
        <is>
          <t>OBL</t>
        </is>
      </c>
      <c r="AZ17" s="122" t="inlineStr">
        <is>
          <t xml:space="preserve">Pickup : 2026-10-03, Return : 2026-10-06 (Temp -18.0 / Vent Close)
 CLS TIME 07/10 @20.00 [1ST RTN 06/10 W/O RENT &amp; ELECTRIC] 
 </t>
        </is>
      </c>
      <c r="BA17" s="122" t="inlineStr">
        <is>
          <t>TEMP -18 C</t>
        </is>
      </c>
      <c r="BB17" s="122" t="inlineStr">
        <is>
          <t>P</t>
        </is>
      </c>
      <c r="BC17" s="122" t="inlineStr">
        <is>
          <t>2026-09-28</t>
        </is>
      </c>
      <c r="BD17" s="122" t="inlineStr">
        <is>
          <t>2026-10-06</t>
        </is>
      </c>
      <c r="BE17" s="122" t="inlineStr">
        <is>
          <t>Y</t>
        </is>
      </c>
      <c r="BF17" s="122" t="inlineStr">
        <is>
          <t>FROZEN CHICKEN COOK</t>
        </is>
      </c>
      <c r="BG17" s="122" t="inlineStr">
        <is>
          <t>Line</t>
        </is>
      </c>
      <c r="BH17" s="122" t="inlineStr">
        <is>
          <t>S22</t>
        </is>
      </c>
      <c r="BK17" s="122" t="inlineStr">
        <is>
          <t>LCH27</t>
        </is>
      </c>
      <c r="BL17" s="122" t="inlineStr">
        <is>
          <t>2026-10-03</t>
        </is>
      </c>
      <c r="BR17" s="122" t="n">
        <v>1</v>
      </c>
      <c r="BY17" s="122" t="inlineStr">
        <is>
          <t>FULL</t>
        </is>
      </c>
      <c r="CA17" s="122" t="inlineStr">
        <is>
          <t>Y</t>
        </is>
      </c>
      <c r="CC17" s="122" t="inlineStr">
        <is>
          <t>LCH04</t>
        </is>
      </c>
      <c r="CF17" s="122" t="inlineStr">
        <is>
          <t>0 Teu</t>
        </is>
      </c>
      <c r="CG17" s="122" t="inlineStr">
        <is>
          <t>CY/CY</t>
        </is>
      </c>
      <c r="CI17" s="122" t="inlineStr">
        <is>
          <t>Booking@lss.co.th</t>
        </is>
      </c>
      <c r="CJ17" s="122" t="inlineStr">
        <is>
          <t>SAHA FARMS INTERNATIONAL CO.,LTD.</t>
        </is>
      </c>
      <c r="CK17" s="122" t="inlineStr">
        <is>
          <t>TO THE ORDER OF KOOKMIN BANK</t>
        </is>
      </c>
      <c r="CL17" s="122" t="inlineStr">
        <is>
          <t>TMC.</t>
        </is>
      </c>
      <c r="CM17" s="122" t="inlineStr">
        <is>
          <t>CLOSED</t>
        </is>
      </c>
      <c r="CN17" s="122" t="inlineStr">
        <is>
          <t>202610102359</t>
        </is>
      </c>
      <c r="CO17" s="122" t="inlineStr">
        <is>
          <t>202610101800</t>
        </is>
      </c>
      <c r="CP17" s="122" t="inlineStr">
        <is>
          <t>45RE x1: RF(Temp:-18.0' / Cover:CLOSE)</t>
        </is>
      </c>
      <c r="CQ17" s="122" t="inlineStr">
        <is>
          <t>S22-2206003</t>
        </is>
      </c>
      <c r="CR17" s="122" t="inlineStr">
        <is>
          <t>THTQLH</t>
        </is>
      </c>
      <c r="CS17" s="122" t="inlineStr">
        <is>
          <t>LAND SEA SKY CO., LTD.</t>
        </is>
      </c>
      <c r="CT17" s="122" t="inlineStr">
        <is>
          <t>N</t>
        </is>
      </c>
      <c r="CW17" s="122" t="inlineStr">
        <is>
          <t>2026-10-08</t>
        </is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</sheetData>
  <autoFilter ref="A1:WZE1">
    <sortState ref="A2:WZE5">
      <sortCondition ref="A1"/>
    </sortState>
  </autoFilter>
  <conditionalFormatting sqref="A1:A1048576">
    <cfRule type="duplicateValues" priority="1" dxfId="1"/>
  </conditionalFormatting>
  <conditionalFormatting sqref="A1:D1 F1:IY1">
    <cfRule type="duplicateValues" priority="3" dxfId="1" stopIfTrue="1"/>
  </conditionalFormatting>
  <conditionalFormatting sqref="E1">
    <cfRule type="duplicateValues" priority="2" dxfId="1" stopIfTrue="1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9"/>
  <sheetViews>
    <sheetView tabSelected="0" workbookViewId="0">
      <selection activeCell="A2" sqref="A2:XFD226"/>
    </sheetView>
  </sheetViews>
  <sheetFormatPr baseColWidth="8" defaultRowHeight="12.95" customHeight="1"/>
  <cols>
    <col width="11.875" customWidth="1" min="1" max="1"/>
    <col width="8.625" customWidth="1" min="2" max="2"/>
    <col width="6.625" customWidth="1" min="3" max="3"/>
    <col width="10.75" customWidth="1" min="4" max="4"/>
    <col width="9.25" customWidth="1" min="5" max="5"/>
    <col width="15.125" customWidth="1" min="6" max="6"/>
    <col width="22" customWidth="1" min="7" max="7"/>
    <col width="6.25" customWidth="1" min="8" max="8"/>
    <col width="5.375" bestFit="1" customWidth="1" min="9" max="9"/>
    <col width="6.75" bestFit="1" customWidth="1" min="10" max="10"/>
    <col width="5.875" customWidth="1" min="11" max="11"/>
    <col width="6.125" customWidth="1" min="12" max="12"/>
    <col width="15.125" customWidth="1" min="13" max="13"/>
    <col width="13.125" customWidth="1" min="14" max="14"/>
    <col width="9.25" customWidth="1" min="15" max="15"/>
    <col width="12.125" customWidth="1" min="16" max="16"/>
    <col width="32.75" customWidth="1" min="17" max="17"/>
    <col width="7.125" customWidth="1" min="18" max="18"/>
    <col width="10.875" customWidth="1" min="19" max="19"/>
    <col width="8.875" customWidth="1" min="20" max="20"/>
    <col width="6.25" customWidth="1" min="21" max="21"/>
    <col width="10.375" customWidth="1" min="22" max="22"/>
    <col width="6" customWidth="1" min="23" max="23"/>
    <col width="10.375" customWidth="1" min="24" max="24"/>
    <col width="5.875" customWidth="1" min="25" max="25"/>
    <col width="8" customWidth="1" min="26" max="26"/>
    <col width="8.875" customWidth="1" min="27" max="27"/>
    <col width="7.625" customWidth="1" min="28" max="28"/>
    <col width="9.375" customWidth="1" min="29" max="29"/>
    <col width="10.75" customWidth="1" min="30" max="30"/>
    <col width="8.25" customWidth="1" min="31" max="31"/>
    <col width="7.625" customWidth="1" min="32" max="32"/>
    <col width="7.75" customWidth="1" min="33" max="33"/>
    <col width="9.625" customWidth="1" min="34" max="34"/>
    <col width="10.375" customWidth="1" min="35" max="35"/>
    <col width="33.375" customWidth="1" min="36" max="36"/>
    <col width="7.75" customWidth="1" min="37" max="37"/>
    <col width="11.875" customWidth="1" min="257" max="257"/>
    <col width="8.625" customWidth="1" min="258" max="258"/>
    <col width="6.625" customWidth="1" min="259" max="259"/>
    <col width="10.75" customWidth="1" min="260" max="260"/>
    <col width="9.25" customWidth="1" min="261" max="261"/>
    <col width="15.125" customWidth="1" min="262" max="262"/>
    <col width="22" customWidth="1" min="263" max="263"/>
    <col width="6.25" customWidth="1" min="264" max="264"/>
    <col width="5.375" bestFit="1" customWidth="1" min="265" max="265"/>
    <col width="6.75" bestFit="1" customWidth="1" min="266" max="266"/>
    <col width="5.875" customWidth="1" min="267" max="267"/>
    <col width="6.125" customWidth="1" min="268" max="268"/>
    <col width="15.125" customWidth="1" min="269" max="269"/>
    <col width="13.125" customWidth="1" min="270" max="270"/>
    <col width="9.25" customWidth="1" min="271" max="271"/>
    <col width="12.125" customWidth="1" min="272" max="272"/>
    <col width="32.75" customWidth="1" min="273" max="273"/>
    <col width="7.125" customWidth="1" min="274" max="274"/>
    <col width="10.875" customWidth="1" min="275" max="275"/>
    <col width="8.875" customWidth="1" min="276" max="276"/>
    <col width="6.25" customWidth="1" min="277" max="277"/>
    <col width="10.375" customWidth="1" min="278" max="278"/>
    <col width="6" customWidth="1" min="279" max="279"/>
    <col width="10.375" customWidth="1" min="280" max="280"/>
    <col width="5.875" customWidth="1" min="281" max="281"/>
    <col width="8" customWidth="1" min="282" max="282"/>
    <col width="8.875" customWidth="1" min="283" max="283"/>
    <col width="7.625" customWidth="1" min="284" max="284"/>
    <col width="9.375" customWidth="1" min="285" max="285"/>
    <col width="10.75" customWidth="1" min="286" max="286"/>
    <col width="8.25" customWidth="1" min="287" max="287"/>
    <col width="7.625" customWidth="1" min="288" max="288"/>
    <col width="7.75" customWidth="1" min="289" max="289"/>
    <col width="9.625" customWidth="1" min="290" max="290"/>
    <col width="10.375" customWidth="1" min="291" max="291"/>
    <col width="33.375" customWidth="1" min="292" max="292"/>
    <col width="7.75" customWidth="1" min="293" max="293"/>
    <col width="11.875" customWidth="1" min="513" max="513"/>
    <col width="8.625" customWidth="1" min="514" max="514"/>
    <col width="6.625" customWidth="1" min="515" max="515"/>
    <col width="10.75" customWidth="1" min="516" max="516"/>
    <col width="9.25" customWidth="1" min="517" max="517"/>
    <col width="15.125" customWidth="1" min="518" max="518"/>
    <col width="22" customWidth="1" min="519" max="519"/>
    <col width="6.25" customWidth="1" min="520" max="520"/>
    <col width="5.375" bestFit="1" customWidth="1" min="521" max="521"/>
    <col width="6.75" bestFit="1" customWidth="1" min="522" max="522"/>
    <col width="5.875" customWidth="1" min="523" max="523"/>
    <col width="6.125" customWidth="1" min="524" max="524"/>
    <col width="15.125" customWidth="1" min="525" max="525"/>
    <col width="13.125" customWidth="1" min="526" max="526"/>
    <col width="9.25" customWidth="1" min="527" max="527"/>
    <col width="12.125" customWidth="1" min="528" max="528"/>
    <col width="32.75" customWidth="1" min="529" max="529"/>
    <col width="7.125" customWidth="1" min="530" max="530"/>
    <col width="10.875" customWidth="1" min="531" max="531"/>
    <col width="8.875" customWidth="1" min="532" max="532"/>
    <col width="6.25" customWidth="1" min="533" max="533"/>
    <col width="10.375" customWidth="1" min="534" max="534"/>
    <col width="6" customWidth="1" min="535" max="535"/>
    <col width="10.375" customWidth="1" min="536" max="536"/>
    <col width="5.875" customWidth="1" min="537" max="537"/>
    <col width="8" customWidth="1" min="538" max="538"/>
    <col width="8.875" customWidth="1" min="539" max="539"/>
    <col width="7.625" customWidth="1" min="540" max="540"/>
    <col width="9.375" customWidth="1" min="541" max="541"/>
    <col width="10.75" customWidth="1" min="542" max="542"/>
    <col width="8.25" customWidth="1" min="543" max="543"/>
    <col width="7.625" customWidth="1" min="544" max="544"/>
    <col width="7.75" customWidth="1" min="545" max="545"/>
    <col width="9.625" customWidth="1" min="546" max="546"/>
    <col width="10.375" customWidth="1" min="547" max="547"/>
    <col width="33.375" customWidth="1" min="548" max="548"/>
    <col width="7.75" customWidth="1" min="549" max="549"/>
    <col width="11.875" customWidth="1" min="769" max="769"/>
    <col width="8.625" customWidth="1" min="770" max="770"/>
    <col width="6.625" customWidth="1" min="771" max="771"/>
    <col width="10.75" customWidth="1" min="772" max="772"/>
    <col width="9.25" customWidth="1" min="773" max="773"/>
    <col width="15.125" customWidth="1" min="774" max="774"/>
    <col width="22" customWidth="1" min="775" max="775"/>
    <col width="6.25" customWidth="1" min="776" max="776"/>
    <col width="5.375" bestFit="1" customWidth="1" min="777" max="777"/>
    <col width="6.75" bestFit="1" customWidth="1" min="778" max="778"/>
    <col width="5.875" customWidth="1" min="779" max="779"/>
    <col width="6.125" customWidth="1" min="780" max="780"/>
    <col width="15.125" customWidth="1" min="781" max="781"/>
    <col width="13.125" customWidth="1" min="782" max="782"/>
    <col width="9.25" customWidth="1" min="783" max="783"/>
    <col width="12.125" customWidth="1" min="784" max="784"/>
    <col width="32.75" customWidth="1" min="785" max="785"/>
    <col width="7.125" customWidth="1" min="786" max="786"/>
    <col width="10.875" customWidth="1" min="787" max="787"/>
    <col width="8.875" customWidth="1" min="788" max="788"/>
    <col width="6.25" customWidth="1" min="789" max="789"/>
    <col width="10.375" customWidth="1" min="790" max="790"/>
    <col width="6" customWidth="1" min="791" max="791"/>
    <col width="10.375" customWidth="1" min="792" max="792"/>
    <col width="5.875" customWidth="1" min="793" max="793"/>
    <col width="8" customWidth="1" min="794" max="794"/>
    <col width="8.875" customWidth="1" min="795" max="795"/>
    <col width="7.625" customWidth="1" min="796" max="796"/>
    <col width="9.375" customWidth="1" min="797" max="797"/>
    <col width="10.75" customWidth="1" min="798" max="798"/>
    <col width="8.25" customWidth="1" min="799" max="799"/>
    <col width="7.625" customWidth="1" min="800" max="800"/>
    <col width="7.75" customWidth="1" min="801" max="801"/>
    <col width="9.625" customWidth="1" min="802" max="802"/>
    <col width="10.375" customWidth="1" min="803" max="803"/>
    <col width="33.375" customWidth="1" min="804" max="804"/>
    <col width="7.75" customWidth="1" min="805" max="805"/>
    <col width="11.875" customWidth="1" min="1025" max="1025"/>
    <col width="8.625" customWidth="1" min="1026" max="1026"/>
    <col width="6.625" customWidth="1" min="1027" max="1027"/>
    <col width="10.75" customWidth="1" min="1028" max="1028"/>
    <col width="9.25" customWidth="1" min="1029" max="1029"/>
    <col width="15.125" customWidth="1" min="1030" max="1030"/>
    <col width="22" customWidth="1" min="1031" max="1031"/>
    <col width="6.25" customWidth="1" min="1032" max="1032"/>
    <col width="5.375" bestFit="1" customWidth="1" min="1033" max="1033"/>
    <col width="6.75" bestFit="1" customWidth="1" min="1034" max="1034"/>
    <col width="5.875" customWidth="1" min="1035" max="1035"/>
    <col width="6.125" customWidth="1" min="1036" max="1036"/>
    <col width="15.125" customWidth="1" min="1037" max="1037"/>
    <col width="13.125" customWidth="1" min="1038" max="1038"/>
    <col width="9.25" customWidth="1" min="1039" max="1039"/>
    <col width="12.125" customWidth="1" min="1040" max="1040"/>
    <col width="32.75" customWidth="1" min="1041" max="1041"/>
    <col width="7.125" customWidth="1" min="1042" max="1042"/>
    <col width="10.875" customWidth="1" min="1043" max="1043"/>
    <col width="8.875" customWidth="1" min="1044" max="1044"/>
    <col width="6.25" customWidth="1" min="1045" max="1045"/>
    <col width="10.375" customWidth="1" min="1046" max="1046"/>
    <col width="6" customWidth="1" min="1047" max="1047"/>
    <col width="10.375" customWidth="1" min="1048" max="1048"/>
    <col width="5.875" customWidth="1" min="1049" max="1049"/>
    <col width="8" customWidth="1" min="1050" max="1050"/>
    <col width="8.875" customWidth="1" min="1051" max="1051"/>
    <col width="7.625" customWidth="1" min="1052" max="1052"/>
    <col width="9.375" customWidth="1" min="1053" max="1053"/>
    <col width="10.75" customWidth="1" min="1054" max="1054"/>
    <col width="8.25" customWidth="1" min="1055" max="1055"/>
    <col width="7.625" customWidth="1" min="1056" max="1056"/>
    <col width="7.75" customWidth="1" min="1057" max="1057"/>
    <col width="9.625" customWidth="1" min="1058" max="1058"/>
    <col width="10.375" customWidth="1" min="1059" max="1059"/>
    <col width="33.375" customWidth="1" min="1060" max="1060"/>
    <col width="7.75" customWidth="1" min="1061" max="1061"/>
    <col width="11.875" customWidth="1" min="1281" max="1281"/>
    <col width="8.625" customWidth="1" min="1282" max="1282"/>
    <col width="6.625" customWidth="1" min="1283" max="1283"/>
    <col width="10.75" customWidth="1" min="1284" max="1284"/>
    <col width="9.25" customWidth="1" min="1285" max="1285"/>
    <col width="15.125" customWidth="1" min="1286" max="1286"/>
    <col width="22" customWidth="1" min="1287" max="1287"/>
    <col width="6.25" customWidth="1" min="1288" max="1288"/>
    <col width="5.375" bestFit="1" customWidth="1" min="1289" max="1289"/>
    <col width="6.75" bestFit="1" customWidth="1" min="1290" max="1290"/>
    <col width="5.875" customWidth="1" min="1291" max="1291"/>
    <col width="6.125" customWidth="1" min="1292" max="1292"/>
    <col width="15.125" customWidth="1" min="1293" max="1293"/>
    <col width="13.125" customWidth="1" min="1294" max="1294"/>
    <col width="9.25" customWidth="1" min="1295" max="1295"/>
    <col width="12.125" customWidth="1" min="1296" max="1296"/>
    <col width="32.75" customWidth="1" min="1297" max="1297"/>
    <col width="7.125" customWidth="1" min="1298" max="1298"/>
    <col width="10.875" customWidth="1" min="1299" max="1299"/>
    <col width="8.875" customWidth="1" min="1300" max="1300"/>
    <col width="6.25" customWidth="1" min="1301" max="1301"/>
    <col width="10.375" customWidth="1" min="1302" max="1302"/>
    <col width="6" customWidth="1" min="1303" max="1303"/>
    <col width="10.375" customWidth="1" min="1304" max="1304"/>
    <col width="5.875" customWidth="1" min="1305" max="1305"/>
    <col width="8" customWidth="1" min="1306" max="1306"/>
    <col width="8.875" customWidth="1" min="1307" max="1307"/>
    <col width="7.625" customWidth="1" min="1308" max="1308"/>
    <col width="9.375" customWidth="1" min="1309" max="1309"/>
    <col width="10.75" customWidth="1" min="1310" max="1310"/>
    <col width="8.25" customWidth="1" min="1311" max="1311"/>
    <col width="7.625" customWidth="1" min="1312" max="1312"/>
    <col width="7.75" customWidth="1" min="1313" max="1313"/>
    <col width="9.625" customWidth="1" min="1314" max="1314"/>
    <col width="10.375" customWidth="1" min="1315" max="1315"/>
    <col width="33.375" customWidth="1" min="1316" max="1316"/>
    <col width="7.75" customWidth="1" min="1317" max="1317"/>
    <col width="11.875" customWidth="1" min="1537" max="1537"/>
    <col width="8.625" customWidth="1" min="1538" max="1538"/>
    <col width="6.625" customWidth="1" min="1539" max="1539"/>
    <col width="10.75" customWidth="1" min="1540" max="1540"/>
    <col width="9.25" customWidth="1" min="1541" max="1541"/>
    <col width="15.125" customWidth="1" min="1542" max="1542"/>
    <col width="22" customWidth="1" min="1543" max="1543"/>
    <col width="6.25" customWidth="1" min="1544" max="1544"/>
    <col width="5.375" bestFit="1" customWidth="1" min="1545" max="1545"/>
    <col width="6.75" bestFit="1" customWidth="1" min="1546" max="1546"/>
    <col width="5.875" customWidth="1" min="1547" max="1547"/>
    <col width="6.125" customWidth="1" min="1548" max="1548"/>
    <col width="15.125" customWidth="1" min="1549" max="1549"/>
    <col width="13.125" customWidth="1" min="1550" max="1550"/>
    <col width="9.25" customWidth="1" min="1551" max="1551"/>
    <col width="12.125" customWidth="1" min="1552" max="1552"/>
    <col width="32.75" customWidth="1" min="1553" max="1553"/>
    <col width="7.125" customWidth="1" min="1554" max="1554"/>
    <col width="10.875" customWidth="1" min="1555" max="1555"/>
    <col width="8.875" customWidth="1" min="1556" max="1556"/>
    <col width="6.25" customWidth="1" min="1557" max="1557"/>
    <col width="10.375" customWidth="1" min="1558" max="1558"/>
    <col width="6" customWidth="1" min="1559" max="1559"/>
    <col width="10.375" customWidth="1" min="1560" max="1560"/>
    <col width="5.875" customWidth="1" min="1561" max="1561"/>
    <col width="8" customWidth="1" min="1562" max="1562"/>
    <col width="8.875" customWidth="1" min="1563" max="1563"/>
    <col width="7.625" customWidth="1" min="1564" max="1564"/>
    <col width="9.375" customWidth="1" min="1565" max="1565"/>
    <col width="10.75" customWidth="1" min="1566" max="1566"/>
    <col width="8.25" customWidth="1" min="1567" max="1567"/>
    <col width="7.625" customWidth="1" min="1568" max="1568"/>
    <col width="7.75" customWidth="1" min="1569" max="1569"/>
    <col width="9.625" customWidth="1" min="1570" max="1570"/>
    <col width="10.375" customWidth="1" min="1571" max="1571"/>
    <col width="33.375" customWidth="1" min="1572" max="1572"/>
    <col width="7.75" customWidth="1" min="1573" max="1573"/>
    <col width="11.875" customWidth="1" min="1793" max="1793"/>
    <col width="8.625" customWidth="1" min="1794" max="1794"/>
    <col width="6.625" customWidth="1" min="1795" max="1795"/>
    <col width="10.75" customWidth="1" min="1796" max="1796"/>
    <col width="9.25" customWidth="1" min="1797" max="1797"/>
    <col width="15.125" customWidth="1" min="1798" max="1798"/>
    <col width="22" customWidth="1" min="1799" max="1799"/>
    <col width="6.25" customWidth="1" min="1800" max="1800"/>
    <col width="5.375" bestFit="1" customWidth="1" min="1801" max="1801"/>
    <col width="6.75" bestFit="1" customWidth="1" min="1802" max="1802"/>
    <col width="5.875" customWidth="1" min="1803" max="1803"/>
    <col width="6.125" customWidth="1" min="1804" max="1804"/>
    <col width="15.125" customWidth="1" min="1805" max="1805"/>
    <col width="13.125" customWidth="1" min="1806" max="1806"/>
    <col width="9.25" customWidth="1" min="1807" max="1807"/>
    <col width="12.125" customWidth="1" min="1808" max="1808"/>
    <col width="32.75" customWidth="1" min="1809" max="1809"/>
    <col width="7.125" customWidth="1" min="1810" max="1810"/>
    <col width="10.875" customWidth="1" min="1811" max="1811"/>
    <col width="8.875" customWidth="1" min="1812" max="1812"/>
    <col width="6.25" customWidth="1" min="1813" max="1813"/>
    <col width="10.375" customWidth="1" min="1814" max="1814"/>
    <col width="6" customWidth="1" min="1815" max="1815"/>
    <col width="10.375" customWidth="1" min="1816" max="1816"/>
    <col width="5.875" customWidth="1" min="1817" max="1817"/>
    <col width="8" customWidth="1" min="1818" max="1818"/>
    <col width="8.875" customWidth="1" min="1819" max="1819"/>
    <col width="7.625" customWidth="1" min="1820" max="1820"/>
    <col width="9.375" customWidth="1" min="1821" max="1821"/>
    <col width="10.75" customWidth="1" min="1822" max="1822"/>
    <col width="8.25" customWidth="1" min="1823" max="1823"/>
    <col width="7.625" customWidth="1" min="1824" max="1824"/>
    <col width="7.75" customWidth="1" min="1825" max="1825"/>
    <col width="9.625" customWidth="1" min="1826" max="1826"/>
    <col width="10.375" customWidth="1" min="1827" max="1827"/>
    <col width="33.375" customWidth="1" min="1828" max="1828"/>
    <col width="7.75" customWidth="1" min="1829" max="1829"/>
    <col width="11.875" customWidth="1" min="2049" max="2049"/>
    <col width="8.625" customWidth="1" min="2050" max="2050"/>
    <col width="6.625" customWidth="1" min="2051" max="2051"/>
    <col width="10.75" customWidth="1" min="2052" max="2052"/>
    <col width="9.25" customWidth="1" min="2053" max="2053"/>
    <col width="15.125" customWidth="1" min="2054" max="2054"/>
    <col width="22" customWidth="1" min="2055" max="2055"/>
    <col width="6.25" customWidth="1" min="2056" max="2056"/>
    <col width="5.375" bestFit="1" customWidth="1" min="2057" max="2057"/>
    <col width="6.75" bestFit="1" customWidth="1" min="2058" max="2058"/>
    <col width="5.875" customWidth="1" min="2059" max="2059"/>
    <col width="6.125" customWidth="1" min="2060" max="2060"/>
    <col width="15.125" customWidth="1" min="2061" max="2061"/>
    <col width="13.125" customWidth="1" min="2062" max="2062"/>
    <col width="9.25" customWidth="1" min="2063" max="2063"/>
    <col width="12.125" customWidth="1" min="2064" max="2064"/>
    <col width="32.75" customWidth="1" min="2065" max="2065"/>
    <col width="7.125" customWidth="1" min="2066" max="2066"/>
    <col width="10.875" customWidth="1" min="2067" max="2067"/>
    <col width="8.875" customWidth="1" min="2068" max="2068"/>
    <col width="6.25" customWidth="1" min="2069" max="2069"/>
    <col width="10.375" customWidth="1" min="2070" max="2070"/>
    <col width="6" customWidth="1" min="2071" max="2071"/>
    <col width="10.375" customWidth="1" min="2072" max="2072"/>
    <col width="5.875" customWidth="1" min="2073" max="2073"/>
    <col width="8" customWidth="1" min="2074" max="2074"/>
    <col width="8.875" customWidth="1" min="2075" max="2075"/>
    <col width="7.625" customWidth="1" min="2076" max="2076"/>
    <col width="9.375" customWidth="1" min="2077" max="2077"/>
    <col width="10.75" customWidth="1" min="2078" max="2078"/>
    <col width="8.25" customWidth="1" min="2079" max="2079"/>
    <col width="7.625" customWidth="1" min="2080" max="2080"/>
    <col width="7.75" customWidth="1" min="2081" max="2081"/>
    <col width="9.625" customWidth="1" min="2082" max="2082"/>
    <col width="10.375" customWidth="1" min="2083" max="2083"/>
    <col width="33.375" customWidth="1" min="2084" max="2084"/>
    <col width="7.75" customWidth="1" min="2085" max="2085"/>
    <col width="11.875" customWidth="1" min="2305" max="2305"/>
    <col width="8.625" customWidth="1" min="2306" max="2306"/>
    <col width="6.625" customWidth="1" min="2307" max="2307"/>
    <col width="10.75" customWidth="1" min="2308" max="2308"/>
    <col width="9.25" customWidth="1" min="2309" max="2309"/>
    <col width="15.125" customWidth="1" min="2310" max="2310"/>
    <col width="22" customWidth="1" min="2311" max="2311"/>
    <col width="6.25" customWidth="1" min="2312" max="2312"/>
    <col width="5.375" bestFit="1" customWidth="1" min="2313" max="2313"/>
    <col width="6.75" bestFit="1" customWidth="1" min="2314" max="2314"/>
    <col width="5.875" customWidth="1" min="2315" max="2315"/>
    <col width="6.125" customWidth="1" min="2316" max="2316"/>
    <col width="15.125" customWidth="1" min="2317" max="2317"/>
    <col width="13.125" customWidth="1" min="2318" max="2318"/>
    <col width="9.25" customWidth="1" min="2319" max="2319"/>
    <col width="12.125" customWidth="1" min="2320" max="2320"/>
    <col width="32.75" customWidth="1" min="2321" max="2321"/>
    <col width="7.125" customWidth="1" min="2322" max="2322"/>
    <col width="10.875" customWidth="1" min="2323" max="2323"/>
    <col width="8.875" customWidth="1" min="2324" max="2324"/>
    <col width="6.25" customWidth="1" min="2325" max="2325"/>
    <col width="10.375" customWidth="1" min="2326" max="2326"/>
    <col width="6" customWidth="1" min="2327" max="2327"/>
    <col width="10.375" customWidth="1" min="2328" max="2328"/>
    <col width="5.875" customWidth="1" min="2329" max="2329"/>
    <col width="8" customWidth="1" min="2330" max="2330"/>
    <col width="8.875" customWidth="1" min="2331" max="2331"/>
    <col width="7.625" customWidth="1" min="2332" max="2332"/>
    <col width="9.375" customWidth="1" min="2333" max="2333"/>
    <col width="10.75" customWidth="1" min="2334" max="2334"/>
    <col width="8.25" customWidth="1" min="2335" max="2335"/>
    <col width="7.625" customWidth="1" min="2336" max="2336"/>
    <col width="7.75" customWidth="1" min="2337" max="2337"/>
    <col width="9.625" customWidth="1" min="2338" max="2338"/>
    <col width="10.375" customWidth="1" min="2339" max="2339"/>
    <col width="33.375" customWidth="1" min="2340" max="2340"/>
    <col width="7.75" customWidth="1" min="2341" max="2341"/>
    <col width="11.875" customWidth="1" min="2561" max="2561"/>
    <col width="8.625" customWidth="1" min="2562" max="2562"/>
    <col width="6.625" customWidth="1" min="2563" max="2563"/>
    <col width="10.75" customWidth="1" min="2564" max="2564"/>
    <col width="9.25" customWidth="1" min="2565" max="2565"/>
    <col width="15.125" customWidth="1" min="2566" max="2566"/>
    <col width="22" customWidth="1" min="2567" max="2567"/>
    <col width="6.25" customWidth="1" min="2568" max="2568"/>
    <col width="5.375" bestFit="1" customWidth="1" min="2569" max="2569"/>
    <col width="6.75" bestFit="1" customWidth="1" min="2570" max="2570"/>
    <col width="5.875" customWidth="1" min="2571" max="2571"/>
    <col width="6.125" customWidth="1" min="2572" max="2572"/>
    <col width="15.125" customWidth="1" min="2573" max="2573"/>
    <col width="13.125" customWidth="1" min="2574" max="2574"/>
    <col width="9.25" customWidth="1" min="2575" max="2575"/>
    <col width="12.125" customWidth="1" min="2576" max="2576"/>
    <col width="32.75" customWidth="1" min="2577" max="2577"/>
    <col width="7.125" customWidth="1" min="2578" max="2578"/>
    <col width="10.875" customWidth="1" min="2579" max="2579"/>
    <col width="8.875" customWidth="1" min="2580" max="2580"/>
    <col width="6.25" customWidth="1" min="2581" max="2581"/>
    <col width="10.375" customWidth="1" min="2582" max="2582"/>
    <col width="6" customWidth="1" min="2583" max="2583"/>
    <col width="10.375" customWidth="1" min="2584" max="2584"/>
    <col width="5.875" customWidth="1" min="2585" max="2585"/>
    <col width="8" customWidth="1" min="2586" max="2586"/>
    <col width="8.875" customWidth="1" min="2587" max="2587"/>
    <col width="7.625" customWidth="1" min="2588" max="2588"/>
    <col width="9.375" customWidth="1" min="2589" max="2589"/>
    <col width="10.75" customWidth="1" min="2590" max="2590"/>
    <col width="8.25" customWidth="1" min="2591" max="2591"/>
    <col width="7.625" customWidth="1" min="2592" max="2592"/>
    <col width="7.75" customWidth="1" min="2593" max="2593"/>
    <col width="9.625" customWidth="1" min="2594" max="2594"/>
    <col width="10.375" customWidth="1" min="2595" max="2595"/>
    <col width="33.375" customWidth="1" min="2596" max="2596"/>
    <col width="7.75" customWidth="1" min="2597" max="2597"/>
    <col width="11.875" customWidth="1" min="2817" max="2817"/>
    <col width="8.625" customWidth="1" min="2818" max="2818"/>
    <col width="6.625" customWidth="1" min="2819" max="2819"/>
    <col width="10.75" customWidth="1" min="2820" max="2820"/>
    <col width="9.25" customWidth="1" min="2821" max="2821"/>
    <col width="15.125" customWidth="1" min="2822" max="2822"/>
    <col width="22" customWidth="1" min="2823" max="2823"/>
    <col width="6.25" customWidth="1" min="2824" max="2824"/>
    <col width="5.375" bestFit="1" customWidth="1" min="2825" max="2825"/>
    <col width="6.75" bestFit="1" customWidth="1" min="2826" max="2826"/>
    <col width="5.875" customWidth="1" min="2827" max="2827"/>
    <col width="6.125" customWidth="1" min="2828" max="2828"/>
    <col width="15.125" customWidth="1" min="2829" max="2829"/>
    <col width="13.125" customWidth="1" min="2830" max="2830"/>
    <col width="9.25" customWidth="1" min="2831" max="2831"/>
    <col width="12.125" customWidth="1" min="2832" max="2832"/>
    <col width="32.75" customWidth="1" min="2833" max="2833"/>
    <col width="7.125" customWidth="1" min="2834" max="2834"/>
    <col width="10.875" customWidth="1" min="2835" max="2835"/>
    <col width="8.875" customWidth="1" min="2836" max="2836"/>
    <col width="6.25" customWidth="1" min="2837" max="2837"/>
    <col width="10.375" customWidth="1" min="2838" max="2838"/>
    <col width="6" customWidth="1" min="2839" max="2839"/>
    <col width="10.375" customWidth="1" min="2840" max="2840"/>
    <col width="5.875" customWidth="1" min="2841" max="2841"/>
    <col width="8" customWidth="1" min="2842" max="2842"/>
    <col width="8.875" customWidth="1" min="2843" max="2843"/>
    <col width="7.625" customWidth="1" min="2844" max="2844"/>
    <col width="9.375" customWidth="1" min="2845" max="2845"/>
    <col width="10.75" customWidth="1" min="2846" max="2846"/>
    <col width="8.25" customWidth="1" min="2847" max="2847"/>
    <col width="7.625" customWidth="1" min="2848" max="2848"/>
    <col width="7.75" customWidth="1" min="2849" max="2849"/>
    <col width="9.625" customWidth="1" min="2850" max="2850"/>
    <col width="10.375" customWidth="1" min="2851" max="2851"/>
    <col width="33.375" customWidth="1" min="2852" max="2852"/>
    <col width="7.75" customWidth="1" min="2853" max="2853"/>
    <col width="11.875" customWidth="1" min="3073" max="3073"/>
    <col width="8.625" customWidth="1" min="3074" max="3074"/>
    <col width="6.625" customWidth="1" min="3075" max="3075"/>
    <col width="10.75" customWidth="1" min="3076" max="3076"/>
    <col width="9.25" customWidth="1" min="3077" max="3077"/>
    <col width="15.125" customWidth="1" min="3078" max="3078"/>
    <col width="22" customWidth="1" min="3079" max="3079"/>
    <col width="6.25" customWidth="1" min="3080" max="3080"/>
    <col width="5.375" bestFit="1" customWidth="1" min="3081" max="3081"/>
    <col width="6.75" bestFit="1" customWidth="1" min="3082" max="3082"/>
    <col width="5.875" customWidth="1" min="3083" max="3083"/>
    <col width="6.125" customWidth="1" min="3084" max="3084"/>
    <col width="15.125" customWidth="1" min="3085" max="3085"/>
    <col width="13.125" customWidth="1" min="3086" max="3086"/>
    <col width="9.25" customWidth="1" min="3087" max="3087"/>
    <col width="12.125" customWidth="1" min="3088" max="3088"/>
    <col width="32.75" customWidth="1" min="3089" max="3089"/>
    <col width="7.125" customWidth="1" min="3090" max="3090"/>
    <col width="10.875" customWidth="1" min="3091" max="3091"/>
    <col width="8.875" customWidth="1" min="3092" max="3092"/>
    <col width="6.25" customWidth="1" min="3093" max="3093"/>
    <col width="10.375" customWidth="1" min="3094" max="3094"/>
    <col width="6" customWidth="1" min="3095" max="3095"/>
    <col width="10.375" customWidth="1" min="3096" max="3096"/>
    <col width="5.875" customWidth="1" min="3097" max="3097"/>
    <col width="8" customWidth="1" min="3098" max="3098"/>
    <col width="8.875" customWidth="1" min="3099" max="3099"/>
    <col width="7.625" customWidth="1" min="3100" max="3100"/>
    <col width="9.375" customWidth="1" min="3101" max="3101"/>
    <col width="10.75" customWidth="1" min="3102" max="3102"/>
    <col width="8.25" customWidth="1" min="3103" max="3103"/>
    <col width="7.625" customWidth="1" min="3104" max="3104"/>
    <col width="7.75" customWidth="1" min="3105" max="3105"/>
    <col width="9.625" customWidth="1" min="3106" max="3106"/>
    <col width="10.375" customWidth="1" min="3107" max="3107"/>
    <col width="33.375" customWidth="1" min="3108" max="3108"/>
    <col width="7.75" customWidth="1" min="3109" max="3109"/>
    <col width="11.875" customWidth="1" min="3329" max="3329"/>
    <col width="8.625" customWidth="1" min="3330" max="3330"/>
    <col width="6.625" customWidth="1" min="3331" max="3331"/>
    <col width="10.75" customWidth="1" min="3332" max="3332"/>
    <col width="9.25" customWidth="1" min="3333" max="3333"/>
    <col width="15.125" customWidth="1" min="3334" max="3334"/>
    <col width="22" customWidth="1" min="3335" max="3335"/>
    <col width="6.25" customWidth="1" min="3336" max="3336"/>
    <col width="5.375" bestFit="1" customWidth="1" min="3337" max="3337"/>
    <col width="6.75" bestFit="1" customWidth="1" min="3338" max="3338"/>
    <col width="5.875" customWidth="1" min="3339" max="3339"/>
    <col width="6.125" customWidth="1" min="3340" max="3340"/>
    <col width="15.125" customWidth="1" min="3341" max="3341"/>
    <col width="13.125" customWidth="1" min="3342" max="3342"/>
    <col width="9.25" customWidth="1" min="3343" max="3343"/>
    <col width="12.125" customWidth="1" min="3344" max="3344"/>
    <col width="32.75" customWidth="1" min="3345" max="3345"/>
    <col width="7.125" customWidth="1" min="3346" max="3346"/>
    <col width="10.875" customWidth="1" min="3347" max="3347"/>
    <col width="8.875" customWidth="1" min="3348" max="3348"/>
    <col width="6.25" customWidth="1" min="3349" max="3349"/>
    <col width="10.375" customWidth="1" min="3350" max="3350"/>
    <col width="6" customWidth="1" min="3351" max="3351"/>
    <col width="10.375" customWidth="1" min="3352" max="3352"/>
    <col width="5.875" customWidth="1" min="3353" max="3353"/>
    <col width="8" customWidth="1" min="3354" max="3354"/>
    <col width="8.875" customWidth="1" min="3355" max="3355"/>
    <col width="7.625" customWidth="1" min="3356" max="3356"/>
    <col width="9.375" customWidth="1" min="3357" max="3357"/>
    <col width="10.75" customWidth="1" min="3358" max="3358"/>
    <col width="8.25" customWidth="1" min="3359" max="3359"/>
    <col width="7.625" customWidth="1" min="3360" max="3360"/>
    <col width="7.75" customWidth="1" min="3361" max="3361"/>
    <col width="9.625" customWidth="1" min="3362" max="3362"/>
    <col width="10.375" customWidth="1" min="3363" max="3363"/>
    <col width="33.375" customWidth="1" min="3364" max="3364"/>
    <col width="7.75" customWidth="1" min="3365" max="3365"/>
    <col width="11.875" customWidth="1" min="3585" max="3585"/>
    <col width="8.625" customWidth="1" min="3586" max="3586"/>
    <col width="6.625" customWidth="1" min="3587" max="3587"/>
    <col width="10.75" customWidth="1" min="3588" max="3588"/>
    <col width="9.25" customWidth="1" min="3589" max="3589"/>
    <col width="15.125" customWidth="1" min="3590" max="3590"/>
    <col width="22" customWidth="1" min="3591" max="3591"/>
    <col width="6.25" customWidth="1" min="3592" max="3592"/>
    <col width="5.375" bestFit="1" customWidth="1" min="3593" max="3593"/>
    <col width="6.75" bestFit="1" customWidth="1" min="3594" max="3594"/>
    <col width="5.875" customWidth="1" min="3595" max="3595"/>
    <col width="6.125" customWidth="1" min="3596" max="3596"/>
    <col width="15.125" customWidth="1" min="3597" max="3597"/>
    <col width="13.125" customWidth="1" min="3598" max="3598"/>
    <col width="9.25" customWidth="1" min="3599" max="3599"/>
    <col width="12.125" customWidth="1" min="3600" max="3600"/>
    <col width="32.75" customWidth="1" min="3601" max="3601"/>
    <col width="7.125" customWidth="1" min="3602" max="3602"/>
    <col width="10.875" customWidth="1" min="3603" max="3603"/>
    <col width="8.875" customWidth="1" min="3604" max="3604"/>
    <col width="6.25" customWidth="1" min="3605" max="3605"/>
    <col width="10.375" customWidth="1" min="3606" max="3606"/>
    <col width="6" customWidth="1" min="3607" max="3607"/>
    <col width="10.375" customWidth="1" min="3608" max="3608"/>
    <col width="5.875" customWidth="1" min="3609" max="3609"/>
    <col width="8" customWidth="1" min="3610" max="3610"/>
    <col width="8.875" customWidth="1" min="3611" max="3611"/>
    <col width="7.625" customWidth="1" min="3612" max="3612"/>
    <col width="9.375" customWidth="1" min="3613" max="3613"/>
    <col width="10.75" customWidth="1" min="3614" max="3614"/>
    <col width="8.25" customWidth="1" min="3615" max="3615"/>
    <col width="7.625" customWidth="1" min="3616" max="3616"/>
    <col width="7.75" customWidth="1" min="3617" max="3617"/>
    <col width="9.625" customWidth="1" min="3618" max="3618"/>
    <col width="10.375" customWidth="1" min="3619" max="3619"/>
    <col width="33.375" customWidth="1" min="3620" max="3620"/>
    <col width="7.75" customWidth="1" min="3621" max="3621"/>
    <col width="11.875" customWidth="1" min="3841" max="3841"/>
    <col width="8.625" customWidth="1" min="3842" max="3842"/>
    <col width="6.625" customWidth="1" min="3843" max="3843"/>
    <col width="10.75" customWidth="1" min="3844" max="3844"/>
    <col width="9.25" customWidth="1" min="3845" max="3845"/>
    <col width="15.125" customWidth="1" min="3846" max="3846"/>
    <col width="22" customWidth="1" min="3847" max="3847"/>
    <col width="6.25" customWidth="1" min="3848" max="3848"/>
    <col width="5.375" bestFit="1" customWidth="1" min="3849" max="3849"/>
    <col width="6.75" bestFit="1" customWidth="1" min="3850" max="3850"/>
    <col width="5.875" customWidth="1" min="3851" max="3851"/>
    <col width="6.125" customWidth="1" min="3852" max="3852"/>
    <col width="15.125" customWidth="1" min="3853" max="3853"/>
    <col width="13.125" customWidth="1" min="3854" max="3854"/>
    <col width="9.25" customWidth="1" min="3855" max="3855"/>
    <col width="12.125" customWidth="1" min="3856" max="3856"/>
    <col width="32.75" customWidth="1" min="3857" max="3857"/>
    <col width="7.125" customWidth="1" min="3858" max="3858"/>
    <col width="10.875" customWidth="1" min="3859" max="3859"/>
    <col width="8.875" customWidth="1" min="3860" max="3860"/>
    <col width="6.25" customWidth="1" min="3861" max="3861"/>
    <col width="10.375" customWidth="1" min="3862" max="3862"/>
    <col width="6" customWidth="1" min="3863" max="3863"/>
    <col width="10.375" customWidth="1" min="3864" max="3864"/>
    <col width="5.875" customWidth="1" min="3865" max="3865"/>
    <col width="8" customWidth="1" min="3866" max="3866"/>
    <col width="8.875" customWidth="1" min="3867" max="3867"/>
    <col width="7.625" customWidth="1" min="3868" max="3868"/>
    <col width="9.375" customWidth="1" min="3869" max="3869"/>
    <col width="10.75" customWidth="1" min="3870" max="3870"/>
    <col width="8.25" customWidth="1" min="3871" max="3871"/>
    <col width="7.625" customWidth="1" min="3872" max="3872"/>
    <col width="7.75" customWidth="1" min="3873" max="3873"/>
    <col width="9.625" customWidth="1" min="3874" max="3874"/>
    <col width="10.375" customWidth="1" min="3875" max="3875"/>
    <col width="33.375" customWidth="1" min="3876" max="3876"/>
    <col width="7.75" customWidth="1" min="3877" max="3877"/>
    <col width="11.875" customWidth="1" min="4097" max="4097"/>
    <col width="8.625" customWidth="1" min="4098" max="4098"/>
    <col width="6.625" customWidth="1" min="4099" max="4099"/>
    <col width="10.75" customWidth="1" min="4100" max="4100"/>
    <col width="9.25" customWidth="1" min="4101" max="4101"/>
    <col width="15.125" customWidth="1" min="4102" max="4102"/>
    <col width="22" customWidth="1" min="4103" max="4103"/>
    <col width="6.25" customWidth="1" min="4104" max="4104"/>
    <col width="5.375" bestFit="1" customWidth="1" min="4105" max="4105"/>
    <col width="6.75" bestFit="1" customWidth="1" min="4106" max="4106"/>
    <col width="5.875" customWidth="1" min="4107" max="4107"/>
    <col width="6.125" customWidth="1" min="4108" max="4108"/>
    <col width="15.125" customWidth="1" min="4109" max="4109"/>
    <col width="13.125" customWidth="1" min="4110" max="4110"/>
    <col width="9.25" customWidth="1" min="4111" max="4111"/>
    <col width="12.125" customWidth="1" min="4112" max="4112"/>
    <col width="32.75" customWidth="1" min="4113" max="4113"/>
    <col width="7.125" customWidth="1" min="4114" max="4114"/>
    <col width="10.875" customWidth="1" min="4115" max="4115"/>
    <col width="8.875" customWidth="1" min="4116" max="4116"/>
    <col width="6.25" customWidth="1" min="4117" max="4117"/>
    <col width="10.375" customWidth="1" min="4118" max="4118"/>
    <col width="6" customWidth="1" min="4119" max="4119"/>
    <col width="10.375" customWidth="1" min="4120" max="4120"/>
    <col width="5.875" customWidth="1" min="4121" max="4121"/>
    <col width="8" customWidth="1" min="4122" max="4122"/>
    <col width="8.875" customWidth="1" min="4123" max="4123"/>
    <col width="7.625" customWidth="1" min="4124" max="4124"/>
    <col width="9.375" customWidth="1" min="4125" max="4125"/>
    <col width="10.75" customWidth="1" min="4126" max="4126"/>
    <col width="8.25" customWidth="1" min="4127" max="4127"/>
    <col width="7.625" customWidth="1" min="4128" max="4128"/>
    <col width="7.75" customWidth="1" min="4129" max="4129"/>
    <col width="9.625" customWidth="1" min="4130" max="4130"/>
    <col width="10.375" customWidth="1" min="4131" max="4131"/>
    <col width="33.375" customWidth="1" min="4132" max="4132"/>
    <col width="7.75" customWidth="1" min="4133" max="4133"/>
    <col width="11.875" customWidth="1" min="4353" max="4353"/>
    <col width="8.625" customWidth="1" min="4354" max="4354"/>
    <col width="6.625" customWidth="1" min="4355" max="4355"/>
    <col width="10.75" customWidth="1" min="4356" max="4356"/>
    <col width="9.25" customWidth="1" min="4357" max="4357"/>
    <col width="15.125" customWidth="1" min="4358" max="4358"/>
    <col width="22" customWidth="1" min="4359" max="4359"/>
    <col width="6.25" customWidth="1" min="4360" max="4360"/>
    <col width="5.375" bestFit="1" customWidth="1" min="4361" max="4361"/>
    <col width="6.75" bestFit="1" customWidth="1" min="4362" max="4362"/>
    <col width="5.875" customWidth="1" min="4363" max="4363"/>
    <col width="6.125" customWidth="1" min="4364" max="4364"/>
    <col width="15.125" customWidth="1" min="4365" max="4365"/>
    <col width="13.125" customWidth="1" min="4366" max="4366"/>
    <col width="9.25" customWidth="1" min="4367" max="4367"/>
    <col width="12.125" customWidth="1" min="4368" max="4368"/>
    <col width="32.75" customWidth="1" min="4369" max="4369"/>
    <col width="7.125" customWidth="1" min="4370" max="4370"/>
    <col width="10.875" customWidth="1" min="4371" max="4371"/>
    <col width="8.875" customWidth="1" min="4372" max="4372"/>
    <col width="6.25" customWidth="1" min="4373" max="4373"/>
    <col width="10.375" customWidth="1" min="4374" max="4374"/>
    <col width="6" customWidth="1" min="4375" max="4375"/>
    <col width="10.375" customWidth="1" min="4376" max="4376"/>
    <col width="5.875" customWidth="1" min="4377" max="4377"/>
    <col width="8" customWidth="1" min="4378" max="4378"/>
    <col width="8.875" customWidth="1" min="4379" max="4379"/>
    <col width="7.625" customWidth="1" min="4380" max="4380"/>
    <col width="9.375" customWidth="1" min="4381" max="4381"/>
    <col width="10.75" customWidth="1" min="4382" max="4382"/>
    <col width="8.25" customWidth="1" min="4383" max="4383"/>
    <col width="7.625" customWidth="1" min="4384" max="4384"/>
    <col width="7.75" customWidth="1" min="4385" max="4385"/>
    <col width="9.625" customWidth="1" min="4386" max="4386"/>
    <col width="10.375" customWidth="1" min="4387" max="4387"/>
    <col width="33.375" customWidth="1" min="4388" max="4388"/>
    <col width="7.75" customWidth="1" min="4389" max="4389"/>
    <col width="11.875" customWidth="1" min="4609" max="4609"/>
    <col width="8.625" customWidth="1" min="4610" max="4610"/>
    <col width="6.625" customWidth="1" min="4611" max="4611"/>
    <col width="10.75" customWidth="1" min="4612" max="4612"/>
    <col width="9.25" customWidth="1" min="4613" max="4613"/>
    <col width="15.125" customWidth="1" min="4614" max="4614"/>
    <col width="22" customWidth="1" min="4615" max="4615"/>
    <col width="6.25" customWidth="1" min="4616" max="4616"/>
    <col width="5.375" bestFit="1" customWidth="1" min="4617" max="4617"/>
    <col width="6.75" bestFit="1" customWidth="1" min="4618" max="4618"/>
    <col width="5.875" customWidth="1" min="4619" max="4619"/>
    <col width="6.125" customWidth="1" min="4620" max="4620"/>
    <col width="15.125" customWidth="1" min="4621" max="4621"/>
    <col width="13.125" customWidth="1" min="4622" max="4622"/>
    <col width="9.25" customWidth="1" min="4623" max="4623"/>
    <col width="12.125" customWidth="1" min="4624" max="4624"/>
    <col width="32.75" customWidth="1" min="4625" max="4625"/>
    <col width="7.125" customWidth="1" min="4626" max="4626"/>
    <col width="10.875" customWidth="1" min="4627" max="4627"/>
    <col width="8.875" customWidth="1" min="4628" max="4628"/>
    <col width="6.25" customWidth="1" min="4629" max="4629"/>
    <col width="10.375" customWidth="1" min="4630" max="4630"/>
    <col width="6" customWidth="1" min="4631" max="4631"/>
    <col width="10.375" customWidth="1" min="4632" max="4632"/>
    <col width="5.875" customWidth="1" min="4633" max="4633"/>
    <col width="8" customWidth="1" min="4634" max="4634"/>
    <col width="8.875" customWidth="1" min="4635" max="4635"/>
    <col width="7.625" customWidth="1" min="4636" max="4636"/>
    <col width="9.375" customWidth="1" min="4637" max="4637"/>
    <col width="10.75" customWidth="1" min="4638" max="4638"/>
    <col width="8.25" customWidth="1" min="4639" max="4639"/>
    <col width="7.625" customWidth="1" min="4640" max="4640"/>
    <col width="7.75" customWidth="1" min="4641" max="4641"/>
    <col width="9.625" customWidth="1" min="4642" max="4642"/>
    <col width="10.375" customWidth="1" min="4643" max="4643"/>
    <col width="33.375" customWidth="1" min="4644" max="4644"/>
    <col width="7.75" customWidth="1" min="4645" max="4645"/>
    <col width="11.875" customWidth="1" min="4865" max="4865"/>
    <col width="8.625" customWidth="1" min="4866" max="4866"/>
    <col width="6.625" customWidth="1" min="4867" max="4867"/>
    <col width="10.75" customWidth="1" min="4868" max="4868"/>
    <col width="9.25" customWidth="1" min="4869" max="4869"/>
    <col width="15.125" customWidth="1" min="4870" max="4870"/>
    <col width="22" customWidth="1" min="4871" max="4871"/>
    <col width="6.25" customWidth="1" min="4872" max="4872"/>
    <col width="5.375" bestFit="1" customWidth="1" min="4873" max="4873"/>
    <col width="6.75" bestFit="1" customWidth="1" min="4874" max="4874"/>
    <col width="5.875" customWidth="1" min="4875" max="4875"/>
    <col width="6.125" customWidth="1" min="4876" max="4876"/>
    <col width="15.125" customWidth="1" min="4877" max="4877"/>
    <col width="13.125" customWidth="1" min="4878" max="4878"/>
    <col width="9.25" customWidth="1" min="4879" max="4879"/>
    <col width="12.125" customWidth="1" min="4880" max="4880"/>
    <col width="32.75" customWidth="1" min="4881" max="4881"/>
    <col width="7.125" customWidth="1" min="4882" max="4882"/>
    <col width="10.875" customWidth="1" min="4883" max="4883"/>
    <col width="8.875" customWidth="1" min="4884" max="4884"/>
    <col width="6.25" customWidth="1" min="4885" max="4885"/>
    <col width="10.375" customWidth="1" min="4886" max="4886"/>
    <col width="6" customWidth="1" min="4887" max="4887"/>
    <col width="10.375" customWidth="1" min="4888" max="4888"/>
    <col width="5.875" customWidth="1" min="4889" max="4889"/>
    <col width="8" customWidth="1" min="4890" max="4890"/>
    <col width="8.875" customWidth="1" min="4891" max="4891"/>
    <col width="7.625" customWidth="1" min="4892" max="4892"/>
    <col width="9.375" customWidth="1" min="4893" max="4893"/>
    <col width="10.75" customWidth="1" min="4894" max="4894"/>
    <col width="8.25" customWidth="1" min="4895" max="4895"/>
    <col width="7.625" customWidth="1" min="4896" max="4896"/>
    <col width="7.75" customWidth="1" min="4897" max="4897"/>
    <col width="9.625" customWidth="1" min="4898" max="4898"/>
    <col width="10.375" customWidth="1" min="4899" max="4899"/>
    <col width="33.375" customWidth="1" min="4900" max="4900"/>
    <col width="7.75" customWidth="1" min="4901" max="4901"/>
    <col width="11.875" customWidth="1" min="5121" max="5121"/>
    <col width="8.625" customWidth="1" min="5122" max="5122"/>
    <col width="6.625" customWidth="1" min="5123" max="5123"/>
    <col width="10.75" customWidth="1" min="5124" max="5124"/>
    <col width="9.25" customWidth="1" min="5125" max="5125"/>
    <col width="15.125" customWidth="1" min="5126" max="5126"/>
    <col width="22" customWidth="1" min="5127" max="5127"/>
    <col width="6.25" customWidth="1" min="5128" max="5128"/>
    <col width="5.375" bestFit="1" customWidth="1" min="5129" max="5129"/>
    <col width="6.75" bestFit="1" customWidth="1" min="5130" max="5130"/>
    <col width="5.875" customWidth="1" min="5131" max="5131"/>
    <col width="6.125" customWidth="1" min="5132" max="5132"/>
    <col width="15.125" customWidth="1" min="5133" max="5133"/>
    <col width="13.125" customWidth="1" min="5134" max="5134"/>
    <col width="9.25" customWidth="1" min="5135" max="5135"/>
    <col width="12.125" customWidth="1" min="5136" max="5136"/>
    <col width="32.75" customWidth="1" min="5137" max="5137"/>
    <col width="7.125" customWidth="1" min="5138" max="5138"/>
    <col width="10.875" customWidth="1" min="5139" max="5139"/>
    <col width="8.875" customWidth="1" min="5140" max="5140"/>
    <col width="6.25" customWidth="1" min="5141" max="5141"/>
    <col width="10.375" customWidth="1" min="5142" max="5142"/>
    <col width="6" customWidth="1" min="5143" max="5143"/>
    <col width="10.375" customWidth="1" min="5144" max="5144"/>
    <col width="5.875" customWidth="1" min="5145" max="5145"/>
    <col width="8" customWidth="1" min="5146" max="5146"/>
    <col width="8.875" customWidth="1" min="5147" max="5147"/>
    <col width="7.625" customWidth="1" min="5148" max="5148"/>
    <col width="9.375" customWidth="1" min="5149" max="5149"/>
    <col width="10.75" customWidth="1" min="5150" max="5150"/>
    <col width="8.25" customWidth="1" min="5151" max="5151"/>
    <col width="7.625" customWidth="1" min="5152" max="5152"/>
    <col width="7.75" customWidth="1" min="5153" max="5153"/>
    <col width="9.625" customWidth="1" min="5154" max="5154"/>
    <col width="10.375" customWidth="1" min="5155" max="5155"/>
    <col width="33.375" customWidth="1" min="5156" max="5156"/>
    <col width="7.75" customWidth="1" min="5157" max="5157"/>
    <col width="11.875" customWidth="1" min="5377" max="5377"/>
    <col width="8.625" customWidth="1" min="5378" max="5378"/>
    <col width="6.625" customWidth="1" min="5379" max="5379"/>
    <col width="10.75" customWidth="1" min="5380" max="5380"/>
    <col width="9.25" customWidth="1" min="5381" max="5381"/>
    <col width="15.125" customWidth="1" min="5382" max="5382"/>
    <col width="22" customWidth="1" min="5383" max="5383"/>
    <col width="6.25" customWidth="1" min="5384" max="5384"/>
    <col width="5.375" bestFit="1" customWidth="1" min="5385" max="5385"/>
    <col width="6.75" bestFit="1" customWidth="1" min="5386" max="5386"/>
    <col width="5.875" customWidth="1" min="5387" max="5387"/>
    <col width="6.125" customWidth="1" min="5388" max="5388"/>
    <col width="15.125" customWidth="1" min="5389" max="5389"/>
    <col width="13.125" customWidth="1" min="5390" max="5390"/>
    <col width="9.25" customWidth="1" min="5391" max="5391"/>
    <col width="12.125" customWidth="1" min="5392" max="5392"/>
    <col width="32.75" customWidth="1" min="5393" max="5393"/>
    <col width="7.125" customWidth="1" min="5394" max="5394"/>
    <col width="10.875" customWidth="1" min="5395" max="5395"/>
    <col width="8.875" customWidth="1" min="5396" max="5396"/>
    <col width="6.25" customWidth="1" min="5397" max="5397"/>
    <col width="10.375" customWidth="1" min="5398" max="5398"/>
    <col width="6" customWidth="1" min="5399" max="5399"/>
    <col width="10.375" customWidth="1" min="5400" max="5400"/>
    <col width="5.875" customWidth="1" min="5401" max="5401"/>
    <col width="8" customWidth="1" min="5402" max="5402"/>
    <col width="8.875" customWidth="1" min="5403" max="5403"/>
    <col width="7.625" customWidth="1" min="5404" max="5404"/>
    <col width="9.375" customWidth="1" min="5405" max="5405"/>
    <col width="10.75" customWidth="1" min="5406" max="5406"/>
    <col width="8.25" customWidth="1" min="5407" max="5407"/>
    <col width="7.625" customWidth="1" min="5408" max="5408"/>
    <col width="7.75" customWidth="1" min="5409" max="5409"/>
    <col width="9.625" customWidth="1" min="5410" max="5410"/>
    <col width="10.375" customWidth="1" min="5411" max="5411"/>
    <col width="33.375" customWidth="1" min="5412" max="5412"/>
    <col width="7.75" customWidth="1" min="5413" max="5413"/>
    <col width="11.875" customWidth="1" min="5633" max="5633"/>
    <col width="8.625" customWidth="1" min="5634" max="5634"/>
    <col width="6.625" customWidth="1" min="5635" max="5635"/>
    <col width="10.75" customWidth="1" min="5636" max="5636"/>
    <col width="9.25" customWidth="1" min="5637" max="5637"/>
    <col width="15.125" customWidth="1" min="5638" max="5638"/>
    <col width="22" customWidth="1" min="5639" max="5639"/>
    <col width="6.25" customWidth="1" min="5640" max="5640"/>
    <col width="5.375" bestFit="1" customWidth="1" min="5641" max="5641"/>
    <col width="6.75" bestFit="1" customWidth="1" min="5642" max="5642"/>
    <col width="5.875" customWidth="1" min="5643" max="5643"/>
    <col width="6.125" customWidth="1" min="5644" max="5644"/>
    <col width="15.125" customWidth="1" min="5645" max="5645"/>
    <col width="13.125" customWidth="1" min="5646" max="5646"/>
    <col width="9.25" customWidth="1" min="5647" max="5647"/>
    <col width="12.125" customWidth="1" min="5648" max="5648"/>
    <col width="32.75" customWidth="1" min="5649" max="5649"/>
    <col width="7.125" customWidth="1" min="5650" max="5650"/>
    <col width="10.875" customWidth="1" min="5651" max="5651"/>
    <col width="8.875" customWidth="1" min="5652" max="5652"/>
    <col width="6.25" customWidth="1" min="5653" max="5653"/>
    <col width="10.375" customWidth="1" min="5654" max="5654"/>
    <col width="6" customWidth="1" min="5655" max="5655"/>
    <col width="10.375" customWidth="1" min="5656" max="5656"/>
    <col width="5.875" customWidth="1" min="5657" max="5657"/>
    <col width="8" customWidth="1" min="5658" max="5658"/>
    <col width="8.875" customWidth="1" min="5659" max="5659"/>
    <col width="7.625" customWidth="1" min="5660" max="5660"/>
    <col width="9.375" customWidth="1" min="5661" max="5661"/>
    <col width="10.75" customWidth="1" min="5662" max="5662"/>
    <col width="8.25" customWidth="1" min="5663" max="5663"/>
    <col width="7.625" customWidth="1" min="5664" max="5664"/>
    <col width="7.75" customWidth="1" min="5665" max="5665"/>
    <col width="9.625" customWidth="1" min="5666" max="5666"/>
    <col width="10.375" customWidth="1" min="5667" max="5667"/>
    <col width="33.375" customWidth="1" min="5668" max="5668"/>
    <col width="7.75" customWidth="1" min="5669" max="5669"/>
    <col width="11.875" customWidth="1" min="5889" max="5889"/>
    <col width="8.625" customWidth="1" min="5890" max="5890"/>
    <col width="6.625" customWidth="1" min="5891" max="5891"/>
    <col width="10.75" customWidth="1" min="5892" max="5892"/>
    <col width="9.25" customWidth="1" min="5893" max="5893"/>
    <col width="15.125" customWidth="1" min="5894" max="5894"/>
    <col width="22" customWidth="1" min="5895" max="5895"/>
    <col width="6.25" customWidth="1" min="5896" max="5896"/>
    <col width="5.375" bestFit="1" customWidth="1" min="5897" max="5897"/>
    <col width="6.75" bestFit="1" customWidth="1" min="5898" max="5898"/>
    <col width="5.875" customWidth="1" min="5899" max="5899"/>
    <col width="6.125" customWidth="1" min="5900" max="5900"/>
    <col width="15.125" customWidth="1" min="5901" max="5901"/>
    <col width="13.125" customWidth="1" min="5902" max="5902"/>
    <col width="9.25" customWidth="1" min="5903" max="5903"/>
    <col width="12.125" customWidth="1" min="5904" max="5904"/>
    <col width="32.75" customWidth="1" min="5905" max="5905"/>
    <col width="7.125" customWidth="1" min="5906" max="5906"/>
    <col width="10.875" customWidth="1" min="5907" max="5907"/>
    <col width="8.875" customWidth="1" min="5908" max="5908"/>
    <col width="6.25" customWidth="1" min="5909" max="5909"/>
    <col width="10.375" customWidth="1" min="5910" max="5910"/>
    <col width="6" customWidth="1" min="5911" max="5911"/>
    <col width="10.375" customWidth="1" min="5912" max="5912"/>
    <col width="5.875" customWidth="1" min="5913" max="5913"/>
    <col width="8" customWidth="1" min="5914" max="5914"/>
    <col width="8.875" customWidth="1" min="5915" max="5915"/>
    <col width="7.625" customWidth="1" min="5916" max="5916"/>
    <col width="9.375" customWidth="1" min="5917" max="5917"/>
    <col width="10.75" customWidth="1" min="5918" max="5918"/>
    <col width="8.25" customWidth="1" min="5919" max="5919"/>
    <col width="7.625" customWidth="1" min="5920" max="5920"/>
    <col width="7.75" customWidth="1" min="5921" max="5921"/>
    <col width="9.625" customWidth="1" min="5922" max="5922"/>
    <col width="10.375" customWidth="1" min="5923" max="5923"/>
    <col width="33.375" customWidth="1" min="5924" max="5924"/>
    <col width="7.75" customWidth="1" min="5925" max="5925"/>
    <col width="11.875" customWidth="1" min="6145" max="6145"/>
    <col width="8.625" customWidth="1" min="6146" max="6146"/>
    <col width="6.625" customWidth="1" min="6147" max="6147"/>
    <col width="10.75" customWidth="1" min="6148" max="6148"/>
    <col width="9.25" customWidth="1" min="6149" max="6149"/>
    <col width="15.125" customWidth="1" min="6150" max="6150"/>
    <col width="22" customWidth="1" min="6151" max="6151"/>
    <col width="6.25" customWidth="1" min="6152" max="6152"/>
    <col width="5.375" bestFit="1" customWidth="1" min="6153" max="6153"/>
    <col width="6.75" bestFit="1" customWidth="1" min="6154" max="6154"/>
    <col width="5.875" customWidth="1" min="6155" max="6155"/>
    <col width="6.125" customWidth="1" min="6156" max="6156"/>
    <col width="15.125" customWidth="1" min="6157" max="6157"/>
    <col width="13.125" customWidth="1" min="6158" max="6158"/>
    <col width="9.25" customWidth="1" min="6159" max="6159"/>
    <col width="12.125" customWidth="1" min="6160" max="6160"/>
    <col width="32.75" customWidth="1" min="6161" max="6161"/>
    <col width="7.125" customWidth="1" min="6162" max="6162"/>
    <col width="10.875" customWidth="1" min="6163" max="6163"/>
    <col width="8.875" customWidth="1" min="6164" max="6164"/>
    <col width="6.25" customWidth="1" min="6165" max="6165"/>
    <col width="10.375" customWidth="1" min="6166" max="6166"/>
    <col width="6" customWidth="1" min="6167" max="6167"/>
    <col width="10.375" customWidth="1" min="6168" max="6168"/>
    <col width="5.875" customWidth="1" min="6169" max="6169"/>
    <col width="8" customWidth="1" min="6170" max="6170"/>
    <col width="8.875" customWidth="1" min="6171" max="6171"/>
    <col width="7.625" customWidth="1" min="6172" max="6172"/>
    <col width="9.375" customWidth="1" min="6173" max="6173"/>
    <col width="10.75" customWidth="1" min="6174" max="6174"/>
    <col width="8.25" customWidth="1" min="6175" max="6175"/>
    <col width="7.625" customWidth="1" min="6176" max="6176"/>
    <col width="7.75" customWidth="1" min="6177" max="6177"/>
    <col width="9.625" customWidth="1" min="6178" max="6178"/>
    <col width="10.375" customWidth="1" min="6179" max="6179"/>
    <col width="33.375" customWidth="1" min="6180" max="6180"/>
    <col width="7.75" customWidth="1" min="6181" max="6181"/>
    <col width="11.875" customWidth="1" min="6401" max="6401"/>
    <col width="8.625" customWidth="1" min="6402" max="6402"/>
    <col width="6.625" customWidth="1" min="6403" max="6403"/>
    <col width="10.75" customWidth="1" min="6404" max="6404"/>
    <col width="9.25" customWidth="1" min="6405" max="6405"/>
    <col width="15.125" customWidth="1" min="6406" max="6406"/>
    <col width="22" customWidth="1" min="6407" max="6407"/>
    <col width="6.25" customWidth="1" min="6408" max="6408"/>
    <col width="5.375" bestFit="1" customWidth="1" min="6409" max="6409"/>
    <col width="6.75" bestFit="1" customWidth="1" min="6410" max="6410"/>
    <col width="5.875" customWidth="1" min="6411" max="6411"/>
    <col width="6.125" customWidth="1" min="6412" max="6412"/>
    <col width="15.125" customWidth="1" min="6413" max="6413"/>
    <col width="13.125" customWidth="1" min="6414" max="6414"/>
    <col width="9.25" customWidth="1" min="6415" max="6415"/>
    <col width="12.125" customWidth="1" min="6416" max="6416"/>
    <col width="32.75" customWidth="1" min="6417" max="6417"/>
    <col width="7.125" customWidth="1" min="6418" max="6418"/>
    <col width="10.875" customWidth="1" min="6419" max="6419"/>
    <col width="8.875" customWidth="1" min="6420" max="6420"/>
    <col width="6.25" customWidth="1" min="6421" max="6421"/>
    <col width="10.375" customWidth="1" min="6422" max="6422"/>
    <col width="6" customWidth="1" min="6423" max="6423"/>
    <col width="10.375" customWidth="1" min="6424" max="6424"/>
    <col width="5.875" customWidth="1" min="6425" max="6425"/>
    <col width="8" customWidth="1" min="6426" max="6426"/>
    <col width="8.875" customWidth="1" min="6427" max="6427"/>
    <col width="7.625" customWidth="1" min="6428" max="6428"/>
    <col width="9.375" customWidth="1" min="6429" max="6429"/>
    <col width="10.75" customWidth="1" min="6430" max="6430"/>
    <col width="8.25" customWidth="1" min="6431" max="6431"/>
    <col width="7.625" customWidth="1" min="6432" max="6432"/>
    <col width="7.75" customWidth="1" min="6433" max="6433"/>
    <col width="9.625" customWidth="1" min="6434" max="6434"/>
    <col width="10.375" customWidth="1" min="6435" max="6435"/>
    <col width="33.375" customWidth="1" min="6436" max="6436"/>
    <col width="7.75" customWidth="1" min="6437" max="6437"/>
    <col width="11.875" customWidth="1" min="6657" max="6657"/>
    <col width="8.625" customWidth="1" min="6658" max="6658"/>
    <col width="6.625" customWidth="1" min="6659" max="6659"/>
    <col width="10.75" customWidth="1" min="6660" max="6660"/>
    <col width="9.25" customWidth="1" min="6661" max="6661"/>
    <col width="15.125" customWidth="1" min="6662" max="6662"/>
    <col width="22" customWidth="1" min="6663" max="6663"/>
    <col width="6.25" customWidth="1" min="6664" max="6664"/>
    <col width="5.375" bestFit="1" customWidth="1" min="6665" max="6665"/>
    <col width="6.75" bestFit="1" customWidth="1" min="6666" max="6666"/>
    <col width="5.875" customWidth="1" min="6667" max="6667"/>
    <col width="6.125" customWidth="1" min="6668" max="6668"/>
    <col width="15.125" customWidth="1" min="6669" max="6669"/>
    <col width="13.125" customWidth="1" min="6670" max="6670"/>
    <col width="9.25" customWidth="1" min="6671" max="6671"/>
    <col width="12.125" customWidth="1" min="6672" max="6672"/>
    <col width="32.75" customWidth="1" min="6673" max="6673"/>
    <col width="7.125" customWidth="1" min="6674" max="6674"/>
    <col width="10.875" customWidth="1" min="6675" max="6675"/>
    <col width="8.875" customWidth="1" min="6676" max="6676"/>
    <col width="6.25" customWidth="1" min="6677" max="6677"/>
    <col width="10.375" customWidth="1" min="6678" max="6678"/>
    <col width="6" customWidth="1" min="6679" max="6679"/>
    <col width="10.375" customWidth="1" min="6680" max="6680"/>
    <col width="5.875" customWidth="1" min="6681" max="6681"/>
    <col width="8" customWidth="1" min="6682" max="6682"/>
    <col width="8.875" customWidth="1" min="6683" max="6683"/>
    <col width="7.625" customWidth="1" min="6684" max="6684"/>
    <col width="9.375" customWidth="1" min="6685" max="6685"/>
    <col width="10.75" customWidth="1" min="6686" max="6686"/>
    <col width="8.25" customWidth="1" min="6687" max="6687"/>
    <col width="7.625" customWidth="1" min="6688" max="6688"/>
    <col width="7.75" customWidth="1" min="6689" max="6689"/>
    <col width="9.625" customWidth="1" min="6690" max="6690"/>
    <col width="10.375" customWidth="1" min="6691" max="6691"/>
    <col width="33.375" customWidth="1" min="6692" max="6692"/>
    <col width="7.75" customWidth="1" min="6693" max="6693"/>
    <col width="11.875" customWidth="1" min="6913" max="6913"/>
    <col width="8.625" customWidth="1" min="6914" max="6914"/>
    <col width="6.625" customWidth="1" min="6915" max="6915"/>
    <col width="10.75" customWidth="1" min="6916" max="6916"/>
    <col width="9.25" customWidth="1" min="6917" max="6917"/>
    <col width="15.125" customWidth="1" min="6918" max="6918"/>
    <col width="22" customWidth="1" min="6919" max="6919"/>
    <col width="6.25" customWidth="1" min="6920" max="6920"/>
    <col width="5.375" bestFit="1" customWidth="1" min="6921" max="6921"/>
    <col width="6.75" bestFit="1" customWidth="1" min="6922" max="6922"/>
    <col width="5.875" customWidth="1" min="6923" max="6923"/>
    <col width="6.125" customWidth="1" min="6924" max="6924"/>
    <col width="15.125" customWidth="1" min="6925" max="6925"/>
    <col width="13.125" customWidth="1" min="6926" max="6926"/>
    <col width="9.25" customWidth="1" min="6927" max="6927"/>
    <col width="12.125" customWidth="1" min="6928" max="6928"/>
    <col width="32.75" customWidth="1" min="6929" max="6929"/>
    <col width="7.125" customWidth="1" min="6930" max="6930"/>
    <col width="10.875" customWidth="1" min="6931" max="6931"/>
    <col width="8.875" customWidth="1" min="6932" max="6932"/>
    <col width="6.25" customWidth="1" min="6933" max="6933"/>
    <col width="10.375" customWidth="1" min="6934" max="6934"/>
    <col width="6" customWidth="1" min="6935" max="6935"/>
    <col width="10.375" customWidth="1" min="6936" max="6936"/>
    <col width="5.875" customWidth="1" min="6937" max="6937"/>
    <col width="8" customWidth="1" min="6938" max="6938"/>
    <col width="8.875" customWidth="1" min="6939" max="6939"/>
    <col width="7.625" customWidth="1" min="6940" max="6940"/>
    <col width="9.375" customWidth="1" min="6941" max="6941"/>
    <col width="10.75" customWidth="1" min="6942" max="6942"/>
    <col width="8.25" customWidth="1" min="6943" max="6943"/>
    <col width="7.625" customWidth="1" min="6944" max="6944"/>
    <col width="7.75" customWidth="1" min="6945" max="6945"/>
    <col width="9.625" customWidth="1" min="6946" max="6946"/>
    <col width="10.375" customWidth="1" min="6947" max="6947"/>
    <col width="33.375" customWidth="1" min="6948" max="6948"/>
    <col width="7.75" customWidth="1" min="6949" max="6949"/>
    <col width="11.875" customWidth="1" min="7169" max="7169"/>
    <col width="8.625" customWidth="1" min="7170" max="7170"/>
    <col width="6.625" customWidth="1" min="7171" max="7171"/>
    <col width="10.75" customWidth="1" min="7172" max="7172"/>
    <col width="9.25" customWidth="1" min="7173" max="7173"/>
    <col width="15.125" customWidth="1" min="7174" max="7174"/>
    <col width="22" customWidth="1" min="7175" max="7175"/>
    <col width="6.25" customWidth="1" min="7176" max="7176"/>
    <col width="5.375" bestFit="1" customWidth="1" min="7177" max="7177"/>
    <col width="6.75" bestFit="1" customWidth="1" min="7178" max="7178"/>
    <col width="5.875" customWidth="1" min="7179" max="7179"/>
    <col width="6.125" customWidth="1" min="7180" max="7180"/>
    <col width="15.125" customWidth="1" min="7181" max="7181"/>
    <col width="13.125" customWidth="1" min="7182" max="7182"/>
    <col width="9.25" customWidth="1" min="7183" max="7183"/>
    <col width="12.125" customWidth="1" min="7184" max="7184"/>
    <col width="32.75" customWidth="1" min="7185" max="7185"/>
    <col width="7.125" customWidth="1" min="7186" max="7186"/>
    <col width="10.875" customWidth="1" min="7187" max="7187"/>
    <col width="8.875" customWidth="1" min="7188" max="7188"/>
    <col width="6.25" customWidth="1" min="7189" max="7189"/>
    <col width="10.375" customWidth="1" min="7190" max="7190"/>
    <col width="6" customWidth="1" min="7191" max="7191"/>
    <col width="10.375" customWidth="1" min="7192" max="7192"/>
    <col width="5.875" customWidth="1" min="7193" max="7193"/>
    <col width="8" customWidth="1" min="7194" max="7194"/>
    <col width="8.875" customWidth="1" min="7195" max="7195"/>
    <col width="7.625" customWidth="1" min="7196" max="7196"/>
    <col width="9.375" customWidth="1" min="7197" max="7197"/>
    <col width="10.75" customWidth="1" min="7198" max="7198"/>
    <col width="8.25" customWidth="1" min="7199" max="7199"/>
    <col width="7.625" customWidth="1" min="7200" max="7200"/>
    <col width="7.75" customWidth="1" min="7201" max="7201"/>
    <col width="9.625" customWidth="1" min="7202" max="7202"/>
    <col width="10.375" customWidth="1" min="7203" max="7203"/>
    <col width="33.375" customWidth="1" min="7204" max="7204"/>
    <col width="7.75" customWidth="1" min="7205" max="7205"/>
    <col width="11.875" customWidth="1" min="7425" max="7425"/>
    <col width="8.625" customWidth="1" min="7426" max="7426"/>
    <col width="6.625" customWidth="1" min="7427" max="7427"/>
    <col width="10.75" customWidth="1" min="7428" max="7428"/>
    <col width="9.25" customWidth="1" min="7429" max="7429"/>
    <col width="15.125" customWidth="1" min="7430" max="7430"/>
    <col width="22" customWidth="1" min="7431" max="7431"/>
    <col width="6.25" customWidth="1" min="7432" max="7432"/>
    <col width="5.375" bestFit="1" customWidth="1" min="7433" max="7433"/>
    <col width="6.75" bestFit="1" customWidth="1" min="7434" max="7434"/>
    <col width="5.875" customWidth="1" min="7435" max="7435"/>
    <col width="6.125" customWidth="1" min="7436" max="7436"/>
    <col width="15.125" customWidth="1" min="7437" max="7437"/>
    <col width="13.125" customWidth="1" min="7438" max="7438"/>
    <col width="9.25" customWidth="1" min="7439" max="7439"/>
    <col width="12.125" customWidth="1" min="7440" max="7440"/>
    <col width="32.75" customWidth="1" min="7441" max="7441"/>
    <col width="7.125" customWidth="1" min="7442" max="7442"/>
    <col width="10.875" customWidth="1" min="7443" max="7443"/>
    <col width="8.875" customWidth="1" min="7444" max="7444"/>
    <col width="6.25" customWidth="1" min="7445" max="7445"/>
    <col width="10.375" customWidth="1" min="7446" max="7446"/>
    <col width="6" customWidth="1" min="7447" max="7447"/>
    <col width="10.375" customWidth="1" min="7448" max="7448"/>
    <col width="5.875" customWidth="1" min="7449" max="7449"/>
    <col width="8" customWidth="1" min="7450" max="7450"/>
    <col width="8.875" customWidth="1" min="7451" max="7451"/>
    <col width="7.625" customWidth="1" min="7452" max="7452"/>
    <col width="9.375" customWidth="1" min="7453" max="7453"/>
    <col width="10.75" customWidth="1" min="7454" max="7454"/>
    <col width="8.25" customWidth="1" min="7455" max="7455"/>
    <col width="7.625" customWidth="1" min="7456" max="7456"/>
    <col width="7.75" customWidth="1" min="7457" max="7457"/>
    <col width="9.625" customWidth="1" min="7458" max="7458"/>
    <col width="10.375" customWidth="1" min="7459" max="7459"/>
    <col width="33.375" customWidth="1" min="7460" max="7460"/>
    <col width="7.75" customWidth="1" min="7461" max="7461"/>
    <col width="11.875" customWidth="1" min="7681" max="7681"/>
    <col width="8.625" customWidth="1" min="7682" max="7682"/>
    <col width="6.625" customWidth="1" min="7683" max="7683"/>
    <col width="10.75" customWidth="1" min="7684" max="7684"/>
    <col width="9.25" customWidth="1" min="7685" max="7685"/>
    <col width="15.125" customWidth="1" min="7686" max="7686"/>
    <col width="22" customWidth="1" min="7687" max="7687"/>
    <col width="6.25" customWidth="1" min="7688" max="7688"/>
    <col width="5.375" bestFit="1" customWidth="1" min="7689" max="7689"/>
    <col width="6.75" bestFit="1" customWidth="1" min="7690" max="7690"/>
    <col width="5.875" customWidth="1" min="7691" max="7691"/>
    <col width="6.125" customWidth="1" min="7692" max="7692"/>
    <col width="15.125" customWidth="1" min="7693" max="7693"/>
    <col width="13.125" customWidth="1" min="7694" max="7694"/>
    <col width="9.25" customWidth="1" min="7695" max="7695"/>
    <col width="12.125" customWidth="1" min="7696" max="7696"/>
    <col width="32.75" customWidth="1" min="7697" max="7697"/>
    <col width="7.125" customWidth="1" min="7698" max="7698"/>
    <col width="10.875" customWidth="1" min="7699" max="7699"/>
    <col width="8.875" customWidth="1" min="7700" max="7700"/>
    <col width="6.25" customWidth="1" min="7701" max="7701"/>
    <col width="10.375" customWidth="1" min="7702" max="7702"/>
    <col width="6" customWidth="1" min="7703" max="7703"/>
    <col width="10.375" customWidth="1" min="7704" max="7704"/>
    <col width="5.875" customWidth="1" min="7705" max="7705"/>
    <col width="8" customWidth="1" min="7706" max="7706"/>
    <col width="8.875" customWidth="1" min="7707" max="7707"/>
    <col width="7.625" customWidth="1" min="7708" max="7708"/>
    <col width="9.375" customWidth="1" min="7709" max="7709"/>
    <col width="10.75" customWidth="1" min="7710" max="7710"/>
    <col width="8.25" customWidth="1" min="7711" max="7711"/>
    <col width="7.625" customWidth="1" min="7712" max="7712"/>
    <col width="7.75" customWidth="1" min="7713" max="7713"/>
    <col width="9.625" customWidth="1" min="7714" max="7714"/>
    <col width="10.375" customWidth="1" min="7715" max="7715"/>
    <col width="33.375" customWidth="1" min="7716" max="7716"/>
    <col width="7.75" customWidth="1" min="7717" max="7717"/>
    <col width="11.875" customWidth="1" min="7937" max="7937"/>
    <col width="8.625" customWidth="1" min="7938" max="7938"/>
    <col width="6.625" customWidth="1" min="7939" max="7939"/>
    <col width="10.75" customWidth="1" min="7940" max="7940"/>
    <col width="9.25" customWidth="1" min="7941" max="7941"/>
    <col width="15.125" customWidth="1" min="7942" max="7942"/>
    <col width="22" customWidth="1" min="7943" max="7943"/>
    <col width="6.25" customWidth="1" min="7944" max="7944"/>
    <col width="5.375" bestFit="1" customWidth="1" min="7945" max="7945"/>
    <col width="6.75" bestFit="1" customWidth="1" min="7946" max="7946"/>
    <col width="5.875" customWidth="1" min="7947" max="7947"/>
    <col width="6.125" customWidth="1" min="7948" max="7948"/>
    <col width="15.125" customWidth="1" min="7949" max="7949"/>
    <col width="13.125" customWidth="1" min="7950" max="7950"/>
    <col width="9.25" customWidth="1" min="7951" max="7951"/>
    <col width="12.125" customWidth="1" min="7952" max="7952"/>
    <col width="32.75" customWidth="1" min="7953" max="7953"/>
    <col width="7.125" customWidth="1" min="7954" max="7954"/>
    <col width="10.875" customWidth="1" min="7955" max="7955"/>
    <col width="8.875" customWidth="1" min="7956" max="7956"/>
    <col width="6.25" customWidth="1" min="7957" max="7957"/>
    <col width="10.375" customWidth="1" min="7958" max="7958"/>
    <col width="6" customWidth="1" min="7959" max="7959"/>
    <col width="10.375" customWidth="1" min="7960" max="7960"/>
    <col width="5.875" customWidth="1" min="7961" max="7961"/>
    <col width="8" customWidth="1" min="7962" max="7962"/>
    <col width="8.875" customWidth="1" min="7963" max="7963"/>
    <col width="7.625" customWidth="1" min="7964" max="7964"/>
    <col width="9.375" customWidth="1" min="7965" max="7965"/>
    <col width="10.75" customWidth="1" min="7966" max="7966"/>
    <col width="8.25" customWidth="1" min="7967" max="7967"/>
    <col width="7.625" customWidth="1" min="7968" max="7968"/>
    <col width="7.75" customWidth="1" min="7969" max="7969"/>
    <col width="9.625" customWidth="1" min="7970" max="7970"/>
    <col width="10.375" customWidth="1" min="7971" max="7971"/>
    <col width="33.375" customWidth="1" min="7972" max="7972"/>
    <col width="7.75" customWidth="1" min="7973" max="7973"/>
    <col width="11.875" customWidth="1" min="8193" max="8193"/>
    <col width="8.625" customWidth="1" min="8194" max="8194"/>
    <col width="6.625" customWidth="1" min="8195" max="8195"/>
    <col width="10.75" customWidth="1" min="8196" max="8196"/>
    <col width="9.25" customWidth="1" min="8197" max="8197"/>
    <col width="15.125" customWidth="1" min="8198" max="8198"/>
    <col width="22" customWidth="1" min="8199" max="8199"/>
    <col width="6.25" customWidth="1" min="8200" max="8200"/>
    <col width="5.375" bestFit="1" customWidth="1" min="8201" max="8201"/>
    <col width="6.75" bestFit="1" customWidth="1" min="8202" max="8202"/>
    <col width="5.875" customWidth="1" min="8203" max="8203"/>
    <col width="6.125" customWidth="1" min="8204" max="8204"/>
    <col width="15.125" customWidth="1" min="8205" max="8205"/>
    <col width="13.125" customWidth="1" min="8206" max="8206"/>
    <col width="9.25" customWidth="1" min="8207" max="8207"/>
    <col width="12.125" customWidth="1" min="8208" max="8208"/>
    <col width="32.75" customWidth="1" min="8209" max="8209"/>
    <col width="7.125" customWidth="1" min="8210" max="8210"/>
    <col width="10.875" customWidth="1" min="8211" max="8211"/>
    <col width="8.875" customWidth="1" min="8212" max="8212"/>
    <col width="6.25" customWidth="1" min="8213" max="8213"/>
    <col width="10.375" customWidth="1" min="8214" max="8214"/>
    <col width="6" customWidth="1" min="8215" max="8215"/>
    <col width="10.375" customWidth="1" min="8216" max="8216"/>
    <col width="5.875" customWidth="1" min="8217" max="8217"/>
    <col width="8" customWidth="1" min="8218" max="8218"/>
    <col width="8.875" customWidth="1" min="8219" max="8219"/>
    <col width="7.625" customWidth="1" min="8220" max="8220"/>
    <col width="9.375" customWidth="1" min="8221" max="8221"/>
    <col width="10.75" customWidth="1" min="8222" max="8222"/>
    <col width="8.25" customWidth="1" min="8223" max="8223"/>
    <col width="7.625" customWidth="1" min="8224" max="8224"/>
    <col width="7.75" customWidth="1" min="8225" max="8225"/>
    <col width="9.625" customWidth="1" min="8226" max="8226"/>
    <col width="10.375" customWidth="1" min="8227" max="8227"/>
    <col width="33.375" customWidth="1" min="8228" max="8228"/>
    <col width="7.75" customWidth="1" min="8229" max="8229"/>
    <col width="11.875" customWidth="1" min="8449" max="8449"/>
    <col width="8.625" customWidth="1" min="8450" max="8450"/>
    <col width="6.625" customWidth="1" min="8451" max="8451"/>
    <col width="10.75" customWidth="1" min="8452" max="8452"/>
    <col width="9.25" customWidth="1" min="8453" max="8453"/>
    <col width="15.125" customWidth="1" min="8454" max="8454"/>
    <col width="22" customWidth="1" min="8455" max="8455"/>
    <col width="6.25" customWidth="1" min="8456" max="8456"/>
    <col width="5.375" bestFit="1" customWidth="1" min="8457" max="8457"/>
    <col width="6.75" bestFit="1" customWidth="1" min="8458" max="8458"/>
    <col width="5.875" customWidth="1" min="8459" max="8459"/>
    <col width="6.125" customWidth="1" min="8460" max="8460"/>
    <col width="15.125" customWidth="1" min="8461" max="8461"/>
    <col width="13.125" customWidth="1" min="8462" max="8462"/>
    <col width="9.25" customWidth="1" min="8463" max="8463"/>
    <col width="12.125" customWidth="1" min="8464" max="8464"/>
    <col width="32.75" customWidth="1" min="8465" max="8465"/>
    <col width="7.125" customWidth="1" min="8466" max="8466"/>
    <col width="10.875" customWidth="1" min="8467" max="8467"/>
    <col width="8.875" customWidth="1" min="8468" max="8468"/>
    <col width="6.25" customWidth="1" min="8469" max="8469"/>
    <col width="10.375" customWidth="1" min="8470" max="8470"/>
    <col width="6" customWidth="1" min="8471" max="8471"/>
    <col width="10.375" customWidth="1" min="8472" max="8472"/>
    <col width="5.875" customWidth="1" min="8473" max="8473"/>
    <col width="8" customWidth="1" min="8474" max="8474"/>
    <col width="8.875" customWidth="1" min="8475" max="8475"/>
    <col width="7.625" customWidth="1" min="8476" max="8476"/>
    <col width="9.375" customWidth="1" min="8477" max="8477"/>
    <col width="10.75" customWidth="1" min="8478" max="8478"/>
    <col width="8.25" customWidth="1" min="8479" max="8479"/>
    <col width="7.625" customWidth="1" min="8480" max="8480"/>
    <col width="7.75" customWidth="1" min="8481" max="8481"/>
    <col width="9.625" customWidth="1" min="8482" max="8482"/>
    <col width="10.375" customWidth="1" min="8483" max="8483"/>
    <col width="33.375" customWidth="1" min="8484" max="8484"/>
    <col width="7.75" customWidth="1" min="8485" max="8485"/>
    <col width="11.875" customWidth="1" min="8705" max="8705"/>
    <col width="8.625" customWidth="1" min="8706" max="8706"/>
    <col width="6.625" customWidth="1" min="8707" max="8707"/>
    <col width="10.75" customWidth="1" min="8708" max="8708"/>
    <col width="9.25" customWidth="1" min="8709" max="8709"/>
    <col width="15.125" customWidth="1" min="8710" max="8710"/>
    <col width="22" customWidth="1" min="8711" max="8711"/>
    <col width="6.25" customWidth="1" min="8712" max="8712"/>
    <col width="5.375" bestFit="1" customWidth="1" min="8713" max="8713"/>
    <col width="6.75" bestFit="1" customWidth="1" min="8714" max="8714"/>
    <col width="5.875" customWidth="1" min="8715" max="8715"/>
    <col width="6.125" customWidth="1" min="8716" max="8716"/>
    <col width="15.125" customWidth="1" min="8717" max="8717"/>
    <col width="13.125" customWidth="1" min="8718" max="8718"/>
    <col width="9.25" customWidth="1" min="8719" max="8719"/>
    <col width="12.125" customWidth="1" min="8720" max="8720"/>
    <col width="32.75" customWidth="1" min="8721" max="8721"/>
    <col width="7.125" customWidth="1" min="8722" max="8722"/>
    <col width="10.875" customWidth="1" min="8723" max="8723"/>
    <col width="8.875" customWidth="1" min="8724" max="8724"/>
    <col width="6.25" customWidth="1" min="8725" max="8725"/>
    <col width="10.375" customWidth="1" min="8726" max="8726"/>
    <col width="6" customWidth="1" min="8727" max="8727"/>
    <col width="10.375" customWidth="1" min="8728" max="8728"/>
    <col width="5.875" customWidth="1" min="8729" max="8729"/>
    <col width="8" customWidth="1" min="8730" max="8730"/>
    <col width="8.875" customWidth="1" min="8731" max="8731"/>
    <col width="7.625" customWidth="1" min="8732" max="8732"/>
    <col width="9.375" customWidth="1" min="8733" max="8733"/>
    <col width="10.75" customWidth="1" min="8734" max="8734"/>
    <col width="8.25" customWidth="1" min="8735" max="8735"/>
    <col width="7.625" customWidth="1" min="8736" max="8736"/>
    <col width="7.75" customWidth="1" min="8737" max="8737"/>
    <col width="9.625" customWidth="1" min="8738" max="8738"/>
    <col width="10.375" customWidth="1" min="8739" max="8739"/>
    <col width="33.375" customWidth="1" min="8740" max="8740"/>
    <col width="7.75" customWidth="1" min="8741" max="8741"/>
    <col width="11.875" customWidth="1" min="8961" max="8961"/>
    <col width="8.625" customWidth="1" min="8962" max="8962"/>
    <col width="6.625" customWidth="1" min="8963" max="8963"/>
    <col width="10.75" customWidth="1" min="8964" max="8964"/>
    <col width="9.25" customWidth="1" min="8965" max="8965"/>
    <col width="15.125" customWidth="1" min="8966" max="8966"/>
    <col width="22" customWidth="1" min="8967" max="8967"/>
    <col width="6.25" customWidth="1" min="8968" max="8968"/>
    <col width="5.375" bestFit="1" customWidth="1" min="8969" max="8969"/>
    <col width="6.75" bestFit="1" customWidth="1" min="8970" max="8970"/>
    <col width="5.875" customWidth="1" min="8971" max="8971"/>
    <col width="6.125" customWidth="1" min="8972" max="8972"/>
    <col width="15.125" customWidth="1" min="8973" max="8973"/>
    <col width="13.125" customWidth="1" min="8974" max="8974"/>
    <col width="9.25" customWidth="1" min="8975" max="8975"/>
    <col width="12.125" customWidth="1" min="8976" max="8976"/>
    <col width="32.75" customWidth="1" min="8977" max="8977"/>
    <col width="7.125" customWidth="1" min="8978" max="8978"/>
    <col width="10.875" customWidth="1" min="8979" max="8979"/>
    <col width="8.875" customWidth="1" min="8980" max="8980"/>
    <col width="6.25" customWidth="1" min="8981" max="8981"/>
    <col width="10.375" customWidth="1" min="8982" max="8982"/>
    <col width="6" customWidth="1" min="8983" max="8983"/>
    <col width="10.375" customWidth="1" min="8984" max="8984"/>
    <col width="5.875" customWidth="1" min="8985" max="8985"/>
    <col width="8" customWidth="1" min="8986" max="8986"/>
    <col width="8.875" customWidth="1" min="8987" max="8987"/>
    <col width="7.625" customWidth="1" min="8988" max="8988"/>
    <col width="9.375" customWidth="1" min="8989" max="8989"/>
    <col width="10.75" customWidth="1" min="8990" max="8990"/>
    <col width="8.25" customWidth="1" min="8991" max="8991"/>
    <col width="7.625" customWidth="1" min="8992" max="8992"/>
    <col width="7.75" customWidth="1" min="8993" max="8993"/>
    <col width="9.625" customWidth="1" min="8994" max="8994"/>
    <col width="10.375" customWidth="1" min="8995" max="8995"/>
    <col width="33.375" customWidth="1" min="8996" max="8996"/>
    <col width="7.75" customWidth="1" min="8997" max="8997"/>
    <col width="11.875" customWidth="1" min="9217" max="9217"/>
    <col width="8.625" customWidth="1" min="9218" max="9218"/>
    <col width="6.625" customWidth="1" min="9219" max="9219"/>
    <col width="10.75" customWidth="1" min="9220" max="9220"/>
    <col width="9.25" customWidth="1" min="9221" max="9221"/>
    <col width="15.125" customWidth="1" min="9222" max="9222"/>
    <col width="22" customWidth="1" min="9223" max="9223"/>
    <col width="6.25" customWidth="1" min="9224" max="9224"/>
    <col width="5.375" bestFit="1" customWidth="1" min="9225" max="9225"/>
    <col width="6.75" bestFit="1" customWidth="1" min="9226" max="9226"/>
    <col width="5.875" customWidth="1" min="9227" max="9227"/>
    <col width="6.125" customWidth="1" min="9228" max="9228"/>
    <col width="15.125" customWidth="1" min="9229" max="9229"/>
    <col width="13.125" customWidth="1" min="9230" max="9230"/>
    <col width="9.25" customWidth="1" min="9231" max="9231"/>
    <col width="12.125" customWidth="1" min="9232" max="9232"/>
    <col width="32.75" customWidth="1" min="9233" max="9233"/>
    <col width="7.125" customWidth="1" min="9234" max="9234"/>
    <col width="10.875" customWidth="1" min="9235" max="9235"/>
    <col width="8.875" customWidth="1" min="9236" max="9236"/>
    <col width="6.25" customWidth="1" min="9237" max="9237"/>
    <col width="10.375" customWidth="1" min="9238" max="9238"/>
    <col width="6" customWidth="1" min="9239" max="9239"/>
    <col width="10.375" customWidth="1" min="9240" max="9240"/>
    <col width="5.875" customWidth="1" min="9241" max="9241"/>
    <col width="8" customWidth="1" min="9242" max="9242"/>
    <col width="8.875" customWidth="1" min="9243" max="9243"/>
    <col width="7.625" customWidth="1" min="9244" max="9244"/>
    <col width="9.375" customWidth="1" min="9245" max="9245"/>
    <col width="10.75" customWidth="1" min="9246" max="9246"/>
    <col width="8.25" customWidth="1" min="9247" max="9247"/>
    <col width="7.625" customWidth="1" min="9248" max="9248"/>
    <col width="7.75" customWidth="1" min="9249" max="9249"/>
    <col width="9.625" customWidth="1" min="9250" max="9250"/>
    <col width="10.375" customWidth="1" min="9251" max="9251"/>
    <col width="33.375" customWidth="1" min="9252" max="9252"/>
    <col width="7.75" customWidth="1" min="9253" max="9253"/>
    <col width="11.875" customWidth="1" min="9473" max="9473"/>
    <col width="8.625" customWidth="1" min="9474" max="9474"/>
    <col width="6.625" customWidth="1" min="9475" max="9475"/>
    <col width="10.75" customWidth="1" min="9476" max="9476"/>
    <col width="9.25" customWidth="1" min="9477" max="9477"/>
    <col width="15.125" customWidth="1" min="9478" max="9478"/>
    <col width="22" customWidth="1" min="9479" max="9479"/>
    <col width="6.25" customWidth="1" min="9480" max="9480"/>
    <col width="5.375" bestFit="1" customWidth="1" min="9481" max="9481"/>
    <col width="6.75" bestFit="1" customWidth="1" min="9482" max="9482"/>
    <col width="5.875" customWidth="1" min="9483" max="9483"/>
    <col width="6.125" customWidth="1" min="9484" max="9484"/>
    <col width="15.125" customWidth="1" min="9485" max="9485"/>
    <col width="13.125" customWidth="1" min="9486" max="9486"/>
    <col width="9.25" customWidth="1" min="9487" max="9487"/>
    <col width="12.125" customWidth="1" min="9488" max="9488"/>
    <col width="32.75" customWidth="1" min="9489" max="9489"/>
    <col width="7.125" customWidth="1" min="9490" max="9490"/>
    <col width="10.875" customWidth="1" min="9491" max="9491"/>
    <col width="8.875" customWidth="1" min="9492" max="9492"/>
    <col width="6.25" customWidth="1" min="9493" max="9493"/>
    <col width="10.375" customWidth="1" min="9494" max="9494"/>
    <col width="6" customWidth="1" min="9495" max="9495"/>
    <col width="10.375" customWidth="1" min="9496" max="9496"/>
    <col width="5.875" customWidth="1" min="9497" max="9497"/>
    <col width="8" customWidth="1" min="9498" max="9498"/>
    <col width="8.875" customWidth="1" min="9499" max="9499"/>
    <col width="7.625" customWidth="1" min="9500" max="9500"/>
    <col width="9.375" customWidth="1" min="9501" max="9501"/>
    <col width="10.75" customWidth="1" min="9502" max="9502"/>
    <col width="8.25" customWidth="1" min="9503" max="9503"/>
    <col width="7.625" customWidth="1" min="9504" max="9504"/>
    <col width="7.75" customWidth="1" min="9505" max="9505"/>
    <col width="9.625" customWidth="1" min="9506" max="9506"/>
    <col width="10.375" customWidth="1" min="9507" max="9507"/>
    <col width="33.375" customWidth="1" min="9508" max="9508"/>
    <col width="7.75" customWidth="1" min="9509" max="9509"/>
    <col width="11.875" customWidth="1" min="9729" max="9729"/>
    <col width="8.625" customWidth="1" min="9730" max="9730"/>
    <col width="6.625" customWidth="1" min="9731" max="9731"/>
    <col width="10.75" customWidth="1" min="9732" max="9732"/>
    <col width="9.25" customWidth="1" min="9733" max="9733"/>
    <col width="15.125" customWidth="1" min="9734" max="9734"/>
    <col width="22" customWidth="1" min="9735" max="9735"/>
    <col width="6.25" customWidth="1" min="9736" max="9736"/>
    <col width="5.375" bestFit="1" customWidth="1" min="9737" max="9737"/>
    <col width="6.75" bestFit="1" customWidth="1" min="9738" max="9738"/>
    <col width="5.875" customWidth="1" min="9739" max="9739"/>
    <col width="6.125" customWidth="1" min="9740" max="9740"/>
    <col width="15.125" customWidth="1" min="9741" max="9741"/>
    <col width="13.125" customWidth="1" min="9742" max="9742"/>
    <col width="9.25" customWidth="1" min="9743" max="9743"/>
    <col width="12.125" customWidth="1" min="9744" max="9744"/>
    <col width="32.75" customWidth="1" min="9745" max="9745"/>
    <col width="7.125" customWidth="1" min="9746" max="9746"/>
    <col width="10.875" customWidth="1" min="9747" max="9747"/>
    <col width="8.875" customWidth="1" min="9748" max="9748"/>
    <col width="6.25" customWidth="1" min="9749" max="9749"/>
    <col width="10.375" customWidth="1" min="9750" max="9750"/>
    <col width="6" customWidth="1" min="9751" max="9751"/>
    <col width="10.375" customWidth="1" min="9752" max="9752"/>
    <col width="5.875" customWidth="1" min="9753" max="9753"/>
    <col width="8" customWidth="1" min="9754" max="9754"/>
    <col width="8.875" customWidth="1" min="9755" max="9755"/>
    <col width="7.625" customWidth="1" min="9756" max="9756"/>
    <col width="9.375" customWidth="1" min="9757" max="9757"/>
    <col width="10.75" customWidth="1" min="9758" max="9758"/>
    <col width="8.25" customWidth="1" min="9759" max="9759"/>
    <col width="7.625" customWidth="1" min="9760" max="9760"/>
    <col width="7.75" customWidth="1" min="9761" max="9761"/>
    <col width="9.625" customWidth="1" min="9762" max="9762"/>
    <col width="10.375" customWidth="1" min="9763" max="9763"/>
    <col width="33.375" customWidth="1" min="9764" max="9764"/>
    <col width="7.75" customWidth="1" min="9765" max="9765"/>
    <col width="11.875" customWidth="1" min="9985" max="9985"/>
    <col width="8.625" customWidth="1" min="9986" max="9986"/>
    <col width="6.625" customWidth="1" min="9987" max="9987"/>
    <col width="10.75" customWidth="1" min="9988" max="9988"/>
    <col width="9.25" customWidth="1" min="9989" max="9989"/>
    <col width="15.125" customWidth="1" min="9990" max="9990"/>
    <col width="22" customWidth="1" min="9991" max="9991"/>
    <col width="6.25" customWidth="1" min="9992" max="9992"/>
    <col width="5.375" bestFit="1" customWidth="1" min="9993" max="9993"/>
    <col width="6.75" bestFit="1" customWidth="1" min="9994" max="9994"/>
    <col width="5.875" customWidth="1" min="9995" max="9995"/>
    <col width="6.125" customWidth="1" min="9996" max="9996"/>
    <col width="15.125" customWidth="1" min="9997" max="9997"/>
    <col width="13.125" customWidth="1" min="9998" max="9998"/>
    <col width="9.25" customWidth="1" min="9999" max="9999"/>
    <col width="12.125" customWidth="1" min="10000" max="10000"/>
    <col width="32.75" customWidth="1" min="10001" max="10001"/>
    <col width="7.125" customWidth="1" min="10002" max="10002"/>
    <col width="10.875" customWidth="1" min="10003" max="10003"/>
    <col width="8.875" customWidth="1" min="10004" max="10004"/>
    <col width="6.25" customWidth="1" min="10005" max="10005"/>
    <col width="10.375" customWidth="1" min="10006" max="10006"/>
    <col width="6" customWidth="1" min="10007" max="10007"/>
    <col width="10.375" customWidth="1" min="10008" max="10008"/>
    <col width="5.875" customWidth="1" min="10009" max="10009"/>
    <col width="8" customWidth="1" min="10010" max="10010"/>
    <col width="8.875" customWidth="1" min="10011" max="10011"/>
    <col width="7.625" customWidth="1" min="10012" max="10012"/>
    <col width="9.375" customWidth="1" min="10013" max="10013"/>
    <col width="10.75" customWidth="1" min="10014" max="10014"/>
    <col width="8.25" customWidth="1" min="10015" max="10015"/>
    <col width="7.625" customWidth="1" min="10016" max="10016"/>
    <col width="7.75" customWidth="1" min="10017" max="10017"/>
    <col width="9.625" customWidth="1" min="10018" max="10018"/>
    <col width="10.375" customWidth="1" min="10019" max="10019"/>
    <col width="33.375" customWidth="1" min="10020" max="10020"/>
    <col width="7.75" customWidth="1" min="10021" max="10021"/>
    <col width="11.875" customWidth="1" min="10241" max="10241"/>
    <col width="8.625" customWidth="1" min="10242" max="10242"/>
    <col width="6.625" customWidth="1" min="10243" max="10243"/>
    <col width="10.75" customWidth="1" min="10244" max="10244"/>
    <col width="9.25" customWidth="1" min="10245" max="10245"/>
    <col width="15.125" customWidth="1" min="10246" max="10246"/>
    <col width="22" customWidth="1" min="10247" max="10247"/>
    <col width="6.25" customWidth="1" min="10248" max="10248"/>
    <col width="5.375" bestFit="1" customWidth="1" min="10249" max="10249"/>
    <col width="6.75" bestFit="1" customWidth="1" min="10250" max="10250"/>
    <col width="5.875" customWidth="1" min="10251" max="10251"/>
    <col width="6.125" customWidth="1" min="10252" max="10252"/>
    <col width="15.125" customWidth="1" min="10253" max="10253"/>
    <col width="13.125" customWidth="1" min="10254" max="10254"/>
    <col width="9.25" customWidth="1" min="10255" max="10255"/>
    <col width="12.125" customWidth="1" min="10256" max="10256"/>
    <col width="32.75" customWidth="1" min="10257" max="10257"/>
    <col width="7.125" customWidth="1" min="10258" max="10258"/>
    <col width="10.875" customWidth="1" min="10259" max="10259"/>
    <col width="8.875" customWidth="1" min="10260" max="10260"/>
    <col width="6.25" customWidth="1" min="10261" max="10261"/>
    <col width="10.375" customWidth="1" min="10262" max="10262"/>
    <col width="6" customWidth="1" min="10263" max="10263"/>
    <col width="10.375" customWidth="1" min="10264" max="10264"/>
    <col width="5.875" customWidth="1" min="10265" max="10265"/>
    <col width="8" customWidth="1" min="10266" max="10266"/>
    <col width="8.875" customWidth="1" min="10267" max="10267"/>
    <col width="7.625" customWidth="1" min="10268" max="10268"/>
    <col width="9.375" customWidth="1" min="10269" max="10269"/>
    <col width="10.75" customWidth="1" min="10270" max="10270"/>
    <col width="8.25" customWidth="1" min="10271" max="10271"/>
    <col width="7.625" customWidth="1" min="10272" max="10272"/>
    <col width="7.75" customWidth="1" min="10273" max="10273"/>
    <col width="9.625" customWidth="1" min="10274" max="10274"/>
    <col width="10.375" customWidth="1" min="10275" max="10275"/>
    <col width="33.375" customWidth="1" min="10276" max="10276"/>
    <col width="7.75" customWidth="1" min="10277" max="10277"/>
    <col width="11.875" customWidth="1" min="10497" max="10497"/>
    <col width="8.625" customWidth="1" min="10498" max="10498"/>
    <col width="6.625" customWidth="1" min="10499" max="10499"/>
    <col width="10.75" customWidth="1" min="10500" max="10500"/>
    <col width="9.25" customWidth="1" min="10501" max="10501"/>
    <col width="15.125" customWidth="1" min="10502" max="10502"/>
    <col width="22" customWidth="1" min="10503" max="10503"/>
    <col width="6.25" customWidth="1" min="10504" max="10504"/>
    <col width="5.375" bestFit="1" customWidth="1" min="10505" max="10505"/>
    <col width="6.75" bestFit="1" customWidth="1" min="10506" max="10506"/>
    <col width="5.875" customWidth="1" min="10507" max="10507"/>
    <col width="6.125" customWidth="1" min="10508" max="10508"/>
    <col width="15.125" customWidth="1" min="10509" max="10509"/>
    <col width="13.125" customWidth="1" min="10510" max="10510"/>
    <col width="9.25" customWidth="1" min="10511" max="10511"/>
    <col width="12.125" customWidth="1" min="10512" max="10512"/>
    <col width="32.75" customWidth="1" min="10513" max="10513"/>
    <col width="7.125" customWidth="1" min="10514" max="10514"/>
    <col width="10.875" customWidth="1" min="10515" max="10515"/>
    <col width="8.875" customWidth="1" min="10516" max="10516"/>
    <col width="6.25" customWidth="1" min="10517" max="10517"/>
    <col width="10.375" customWidth="1" min="10518" max="10518"/>
    <col width="6" customWidth="1" min="10519" max="10519"/>
    <col width="10.375" customWidth="1" min="10520" max="10520"/>
    <col width="5.875" customWidth="1" min="10521" max="10521"/>
    <col width="8" customWidth="1" min="10522" max="10522"/>
    <col width="8.875" customWidth="1" min="10523" max="10523"/>
    <col width="7.625" customWidth="1" min="10524" max="10524"/>
    <col width="9.375" customWidth="1" min="10525" max="10525"/>
    <col width="10.75" customWidth="1" min="10526" max="10526"/>
    <col width="8.25" customWidth="1" min="10527" max="10527"/>
    <col width="7.625" customWidth="1" min="10528" max="10528"/>
    <col width="7.75" customWidth="1" min="10529" max="10529"/>
    <col width="9.625" customWidth="1" min="10530" max="10530"/>
    <col width="10.375" customWidth="1" min="10531" max="10531"/>
    <col width="33.375" customWidth="1" min="10532" max="10532"/>
    <col width="7.75" customWidth="1" min="10533" max="10533"/>
    <col width="11.875" customWidth="1" min="10753" max="10753"/>
    <col width="8.625" customWidth="1" min="10754" max="10754"/>
    <col width="6.625" customWidth="1" min="10755" max="10755"/>
    <col width="10.75" customWidth="1" min="10756" max="10756"/>
    <col width="9.25" customWidth="1" min="10757" max="10757"/>
    <col width="15.125" customWidth="1" min="10758" max="10758"/>
    <col width="22" customWidth="1" min="10759" max="10759"/>
    <col width="6.25" customWidth="1" min="10760" max="10760"/>
    <col width="5.375" bestFit="1" customWidth="1" min="10761" max="10761"/>
    <col width="6.75" bestFit="1" customWidth="1" min="10762" max="10762"/>
    <col width="5.875" customWidth="1" min="10763" max="10763"/>
    <col width="6.125" customWidth="1" min="10764" max="10764"/>
    <col width="15.125" customWidth="1" min="10765" max="10765"/>
    <col width="13.125" customWidth="1" min="10766" max="10766"/>
    <col width="9.25" customWidth="1" min="10767" max="10767"/>
    <col width="12.125" customWidth="1" min="10768" max="10768"/>
    <col width="32.75" customWidth="1" min="10769" max="10769"/>
    <col width="7.125" customWidth="1" min="10770" max="10770"/>
    <col width="10.875" customWidth="1" min="10771" max="10771"/>
    <col width="8.875" customWidth="1" min="10772" max="10772"/>
    <col width="6.25" customWidth="1" min="10773" max="10773"/>
    <col width="10.375" customWidth="1" min="10774" max="10774"/>
    <col width="6" customWidth="1" min="10775" max="10775"/>
    <col width="10.375" customWidth="1" min="10776" max="10776"/>
    <col width="5.875" customWidth="1" min="10777" max="10777"/>
    <col width="8" customWidth="1" min="10778" max="10778"/>
    <col width="8.875" customWidth="1" min="10779" max="10779"/>
    <col width="7.625" customWidth="1" min="10780" max="10780"/>
    <col width="9.375" customWidth="1" min="10781" max="10781"/>
    <col width="10.75" customWidth="1" min="10782" max="10782"/>
    <col width="8.25" customWidth="1" min="10783" max="10783"/>
    <col width="7.625" customWidth="1" min="10784" max="10784"/>
    <col width="7.75" customWidth="1" min="10785" max="10785"/>
    <col width="9.625" customWidth="1" min="10786" max="10786"/>
    <col width="10.375" customWidth="1" min="10787" max="10787"/>
    <col width="33.375" customWidth="1" min="10788" max="10788"/>
    <col width="7.75" customWidth="1" min="10789" max="10789"/>
    <col width="11.875" customWidth="1" min="11009" max="11009"/>
    <col width="8.625" customWidth="1" min="11010" max="11010"/>
    <col width="6.625" customWidth="1" min="11011" max="11011"/>
    <col width="10.75" customWidth="1" min="11012" max="11012"/>
    <col width="9.25" customWidth="1" min="11013" max="11013"/>
    <col width="15.125" customWidth="1" min="11014" max="11014"/>
    <col width="22" customWidth="1" min="11015" max="11015"/>
    <col width="6.25" customWidth="1" min="11016" max="11016"/>
    <col width="5.375" bestFit="1" customWidth="1" min="11017" max="11017"/>
    <col width="6.75" bestFit="1" customWidth="1" min="11018" max="11018"/>
    <col width="5.875" customWidth="1" min="11019" max="11019"/>
    <col width="6.125" customWidth="1" min="11020" max="11020"/>
    <col width="15.125" customWidth="1" min="11021" max="11021"/>
    <col width="13.125" customWidth="1" min="11022" max="11022"/>
    <col width="9.25" customWidth="1" min="11023" max="11023"/>
    <col width="12.125" customWidth="1" min="11024" max="11024"/>
    <col width="32.75" customWidth="1" min="11025" max="11025"/>
    <col width="7.125" customWidth="1" min="11026" max="11026"/>
    <col width="10.875" customWidth="1" min="11027" max="11027"/>
    <col width="8.875" customWidth="1" min="11028" max="11028"/>
    <col width="6.25" customWidth="1" min="11029" max="11029"/>
    <col width="10.375" customWidth="1" min="11030" max="11030"/>
    <col width="6" customWidth="1" min="11031" max="11031"/>
    <col width="10.375" customWidth="1" min="11032" max="11032"/>
    <col width="5.875" customWidth="1" min="11033" max="11033"/>
    <col width="8" customWidth="1" min="11034" max="11034"/>
    <col width="8.875" customWidth="1" min="11035" max="11035"/>
    <col width="7.625" customWidth="1" min="11036" max="11036"/>
    <col width="9.375" customWidth="1" min="11037" max="11037"/>
    <col width="10.75" customWidth="1" min="11038" max="11038"/>
    <col width="8.25" customWidth="1" min="11039" max="11039"/>
    <col width="7.625" customWidth="1" min="11040" max="11040"/>
    <col width="7.75" customWidth="1" min="11041" max="11041"/>
    <col width="9.625" customWidth="1" min="11042" max="11042"/>
    <col width="10.375" customWidth="1" min="11043" max="11043"/>
    <col width="33.375" customWidth="1" min="11044" max="11044"/>
    <col width="7.75" customWidth="1" min="11045" max="11045"/>
    <col width="11.875" customWidth="1" min="11265" max="11265"/>
    <col width="8.625" customWidth="1" min="11266" max="11266"/>
    <col width="6.625" customWidth="1" min="11267" max="11267"/>
    <col width="10.75" customWidth="1" min="11268" max="11268"/>
    <col width="9.25" customWidth="1" min="11269" max="11269"/>
    <col width="15.125" customWidth="1" min="11270" max="11270"/>
    <col width="22" customWidth="1" min="11271" max="11271"/>
    <col width="6.25" customWidth="1" min="11272" max="11272"/>
    <col width="5.375" bestFit="1" customWidth="1" min="11273" max="11273"/>
    <col width="6.75" bestFit="1" customWidth="1" min="11274" max="11274"/>
    <col width="5.875" customWidth="1" min="11275" max="11275"/>
    <col width="6.125" customWidth="1" min="11276" max="11276"/>
    <col width="15.125" customWidth="1" min="11277" max="11277"/>
    <col width="13.125" customWidth="1" min="11278" max="11278"/>
    <col width="9.25" customWidth="1" min="11279" max="11279"/>
    <col width="12.125" customWidth="1" min="11280" max="11280"/>
    <col width="32.75" customWidth="1" min="11281" max="11281"/>
    <col width="7.125" customWidth="1" min="11282" max="11282"/>
    <col width="10.875" customWidth="1" min="11283" max="11283"/>
    <col width="8.875" customWidth="1" min="11284" max="11284"/>
    <col width="6.25" customWidth="1" min="11285" max="11285"/>
    <col width="10.375" customWidth="1" min="11286" max="11286"/>
    <col width="6" customWidth="1" min="11287" max="11287"/>
    <col width="10.375" customWidth="1" min="11288" max="11288"/>
    <col width="5.875" customWidth="1" min="11289" max="11289"/>
    <col width="8" customWidth="1" min="11290" max="11290"/>
    <col width="8.875" customWidth="1" min="11291" max="11291"/>
    <col width="7.625" customWidth="1" min="11292" max="11292"/>
    <col width="9.375" customWidth="1" min="11293" max="11293"/>
    <col width="10.75" customWidth="1" min="11294" max="11294"/>
    <col width="8.25" customWidth="1" min="11295" max="11295"/>
    <col width="7.625" customWidth="1" min="11296" max="11296"/>
    <col width="7.75" customWidth="1" min="11297" max="11297"/>
    <col width="9.625" customWidth="1" min="11298" max="11298"/>
    <col width="10.375" customWidth="1" min="11299" max="11299"/>
    <col width="33.375" customWidth="1" min="11300" max="11300"/>
    <col width="7.75" customWidth="1" min="11301" max="11301"/>
    <col width="11.875" customWidth="1" min="11521" max="11521"/>
    <col width="8.625" customWidth="1" min="11522" max="11522"/>
    <col width="6.625" customWidth="1" min="11523" max="11523"/>
    <col width="10.75" customWidth="1" min="11524" max="11524"/>
    <col width="9.25" customWidth="1" min="11525" max="11525"/>
    <col width="15.125" customWidth="1" min="11526" max="11526"/>
    <col width="22" customWidth="1" min="11527" max="11527"/>
    <col width="6.25" customWidth="1" min="11528" max="11528"/>
    <col width="5.375" bestFit="1" customWidth="1" min="11529" max="11529"/>
    <col width="6.75" bestFit="1" customWidth="1" min="11530" max="11530"/>
    <col width="5.875" customWidth="1" min="11531" max="11531"/>
    <col width="6.125" customWidth="1" min="11532" max="11532"/>
    <col width="15.125" customWidth="1" min="11533" max="11533"/>
    <col width="13.125" customWidth="1" min="11534" max="11534"/>
    <col width="9.25" customWidth="1" min="11535" max="11535"/>
    <col width="12.125" customWidth="1" min="11536" max="11536"/>
    <col width="32.75" customWidth="1" min="11537" max="11537"/>
    <col width="7.125" customWidth="1" min="11538" max="11538"/>
    <col width="10.875" customWidth="1" min="11539" max="11539"/>
    <col width="8.875" customWidth="1" min="11540" max="11540"/>
    <col width="6.25" customWidth="1" min="11541" max="11541"/>
    <col width="10.375" customWidth="1" min="11542" max="11542"/>
    <col width="6" customWidth="1" min="11543" max="11543"/>
    <col width="10.375" customWidth="1" min="11544" max="11544"/>
    <col width="5.875" customWidth="1" min="11545" max="11545"/>
    <col width="8" customWidth="1" min="11546" max="11546"/>
    <col width="8.875" customWidth="1" min="11547" max="11547"/>
    <col width="7.625" customWidth="1" min="11548" max="11548"/>
    <col width="9.375" customWidth="1" min="11549" max="11549"/>
    <col width="10.75" customWidth="1" min="11550" max="11550"/>
    <col width="8.25" customWidth="1" min="11551" max="11551"/>
    <col width="7.625" customWidth="1" min="11552" max="11552"/>
    <col width="7.75" customWidth="1" min="11553" max="11553"/>
    <col width="9.625" customWidth="1" min="11554" max="11554"/>
    <col width="10.375" customWidth="1" min="11555" max="11555"/>
    <col width="33.375" customWidth="1" min="11556" max="11556"/>
    <col width="7.75" customWidth="1" min="11557" max="11557"/>
    <col width="11.875" customWidth="1" min="11777" max="11777"/>
    <col width="8.625" customWidth="1" min="11778" max="11778"/>
    <col width="6.625" customWidth="1" min="11779" max="11779"/>
    <col width="10.75" customWidth="1" min="11780" max="11780"/>
    <col width="9.25" customWidth="1" min="11781" max="11781"/>
    <col width="15.125" customWidth="1" min="11782" max="11782"/>
    <col width="22" customWidth="1" min="11783" max="11783"/>
    <col width="6.25" customWidth="1" min="11784" max="11784"/>
    <col width="5.375" bestFit="1" customWidth="1" min="11785" max="11785"/>
    <col width="6.75" bestFit="1" customWidth="1" min="11786" max="11786"/>
    <col width="5.875" customWidth="1" min="11787" max="11787"/>
    <col width="6.125" customWidth="1" min="11788" max="11788"/>
    <col width="15.125" customWidth="1" min="11789" max="11789"/>
    <col width="13.125" customWidth="1" min="11790" max="11790"/>
    <col width="9.25" customWidth="1" min="11791" max="11791"/>
    <col width="12.125" customWidth="1" min="11792" max="11792"/>
    <col width="32.75" customWidth="1" min="11793" max="11793"/>
    <col width="7.125" customWidth="1" min="11794" max="11794"/>
    <col width="10.875" customWidth="1" min="11795" max="11795"/>
    <col width="8.875" customWidth="1" min="11796" max="11796"/>
    <col width="6.25" customWidth="1" min="11797" max="11797"/>
    <col width="10.375" customWidth="1" min="11798" max="11798"/>
    <col width="6" customWidth="1" min="11799" max="11799"/>
    <col width="10.375" customWidth="1" min="11800" max="11800"/>
    <col width="5.875" customWidth="1" min="11801" max="11801"/>
    <col width="8" customWidth="1" min="11802" max="11802"/>
    <col width="8.875" customWidth="1" min="11803" max="11803"/>
    <col width="7.625" customWidth="1" min="11804" max="11804"/>
    <col width="9.375" customWidth="1" min="11805" max="11805"/>
    <col width="10.75" customWidth="1" min="11806" max="11806"/>
    <col width="8.25" customWidth="1" min="11807" max="11807"/>
    <col width="7.625" customWidth="1" min="11808" max="11808"/>
    <col width="7.75" customWidth="1" min="11809" max="11809"/>
    <col width="9.625" customWidth="1" min="11810" max="11810"/>
    <col width="10.375" customWidth="1" min="11811" max="11811"/>
    <col width="33.375" customWidth="1" min="11812" max="11812"/>
    <col width="7.75" customWidth="1" min="11813" max="11813"/>
    <col width="11.875" customWidth="1" min="12033" max="12033"/>
    <col width="8.625" customWidth="1" min="12034" max="12034"/>
    <col width="6.625" customWidth="1" min="12035" max="12035"/>
    <col width="10.75" customWidth="1" min="12036" max="12036"/>
    <col width="9.25" customWidth="1" min="12037" max="12037"/>
    <col width="15.125" customWidth="1" min="12038" max="12038"/>
    <col width="22" customWidth="1" min="12039" max="12039"/>
    <col width="6.25" customWidth="1" min="12040" max="12040"/>
    <col width="5.375" bestFit="1" customWidth="1" min="12041" max="12041"/>
    <col width="6.75" bestFit="1" customWidth="1" min="12042" max="12042"/>
    <col width="5.875" customWidth="1" min="12043" max="12043"/>
    <col width="6.125" customWidth="1" min="12044" max="12044"/>
    <col width="15.125" customWidth="1" min="12045" max="12045"/>
    <col width="13.125" customWidth="1" min="12046" max="12046"/>
    <col width="9.25" customWidth="1" min="12047" max="12047"/>
    <col width="12.125" customWidth="1" min="12048" max="12048"/>
    <col width="32.75" customWidth="1" min="12049" max="12049"/>
    <col width="7.125" customWidth="1" min="12050" max="12050"/>
    <col width="10.875" customWidth="1" min="12051" max="12051"/>
    <col width="8.875" customWidth="1" min="12052" max="12052"/>
    <col width="6.25" customWidth="1" min="12053" max="12053"/>
    <col width="10.375" customWidth="1" min="12054" max="12054"/>
    <col width="6" customWidth="1" min="12055" max="12055"/>
    <col width="10.375" customWidth="1" min="12056" max="12056"/>
    <col width="5.875" customWidth="1" min="12057" max="12057"/>
    <col width="8" customWidth="1" min="12058" max="12058"/>
    <col width="8.875" customWidth="1" min="12059" max="12059"/>
    <col width="7.625" customWidth="1" min="12060" max="12060"/>
    <col width="9.375" customWidth="1" min="12061" max="12061"/>
    <col width="10.75" customWidth="1" min="12062" max="12062"/>
    <col width="8.25" customWidth="1" min="12063" max="12063"/>
    <col width="7.625" customWidth="1" min="12064" max="12064"/>
    <col width="7.75" customWidth="1" min="12065" max="12065"/>
    <col width="9.625" customWidth="1" min="12066" max="12066"/>
    <col width="10.375" customWidth="1" min="12067" max="12067"/>
    <col width="33.375" customWidth="1" min="12068" max="12068"/>
    <col width="7.75" customWidth="1" min="12069" max="12069"/>
    <col width="11.875" customWidth="1" min="12289" max="12289"/>
    <col width="8.625" customWidth="1" min="12290" max="12290"/>
    <col width="6.625" customWidth="1" min="12291" max="12291"/>
    <col width="10.75" customWidth="1" min="12292" max="12292"/>
    <col width="9.25" customWidth="1" min="12293" max="12293"/>
    <col width="15.125" customWidth="1" min="12294" max="12294"/>
    <col width="22" customWidth="1" min="12295" max="12295"/>
    <col width="6.25" customWidth="1" min="12296" max="12296"/>
    <col width="5.375" bestFit="1" customWidth="1" min="12297" max="12297"/>
    <col width="6.75" bestFit="1" customWidth="1" min="12298" max="12298"/>
    <col width="5.875" customWidth="1" min="12299" max="12299"/>
    <col width="6.125" customWidth="1" min="12300" max="12300"/>
    <col width="15.125" customWidth="1" min="12301" max="12301"/>
    <col width="13.125" customWidth="1" min="12302" max="12302"/>
    <col width="9.25" customWidth="1" min="12303" max="12303"/>
    <col width="12.125" customWidth="1" min="12304" max="12304"/>
    <col width="32.75" customWidth="1" min="12305" max="12305"/>
    <col width="7.125" customWidth="1" min="12306" max="12306"/>
    <col width="10.875" customWidth="1" min="12307" max="12307"/>
    <col width="8.875" customWidth="1" min="12308" max="12308"/>
    <col width="6.25" customWidth="1" min="12309" max="12309"/>
    <col width="10.375" customWidth="1" min="12310" max="12310"/>
    <col width="6" customWidth="1" min="12311" max="12311"/>
    <col width="10.375" customWidth="1" min="12312" max="12312"/>
    <col width="5.875" customWidth="1" min="12313" max="12313"/>
    <col width="8" customWidth="1" min="12314" max="12314"/>
    <col width="8.875" customWidth="1" min="12315" max="12315"/>
    <col width="7.625" customWidth="1" min="12316" max="12316"/>
    <col width="9.375" customWidth="1" min="12317" max="12317"/>
    <col width="10.75" customWidth="1" min="12318" max="12318"/>
    <col width="8.25" customWidth="1" min="12319" max="12319"/>
    <col width="7.625" customWidth="1" min="12320" max="12320"/>
    <col width="7.75" customWidth="1" min="12321" max="12321"/>
    <col width="9.625" customWidth="1" min="12322" max="12322"/>
    <col width="10.375" customWidth="1" min="12323" max="12323"/>
    <col width="33.375" customWidth="1" min="12324" max="12324"/>
    <col width="7.75" customWidth="1" min="12325" max="12325"/>
    <col width="11.875" customWidth="1" min="12545" max="12545"/>
    <col width="8.625" customWidth="1" min="12546" max="12546"/>
    <col width="6.625" customWidth="1" min="12547" max="12547"/>
    <col width="10.75" customWidth="1" min="12548" max="12548"/>
    <col width="9.25" customWidth="1" min="12549" max="12549"/>
    <col width="15.125" customWidth="1" min="12550" max="12550"/>
    <col width="22" customWidth="1" min="12551" max="12551"/>
    <col width="6.25" customWidth="1" min="12552" max="12552"/>
    <col width="5.375" bestFit="1" customWidth="1" min="12553" max="12553"/>
    <col width="6.75" bestFit="1" customWidth="1" min="12554" max="12554"/>
    <col width="5.875" customWidth="1" min="12555" max="12555"/>
    <col width="6.125" customWidth="1" min="12556" max="12556"/>
    <col width="15.125" customWidth="1" min="12557" max="12557"/>
    <col width="13.125" customWidth="1" min="12558" max="12558"/>
    <col width="9.25" customWidth="1" min="12559" max="12559"/>
    <col width="12.125" customWidth="1" min="12560" max="12560"/>
    <col width="32.75" customWidth="1" min="12561" max="12561"/>
    <col width="7.125" customWidth="1" min="12562" max="12562"/>
    <col width="10.875" customWidth="1" min="12563" max="12563"/>
    <col width="8.875" customWidth="1" min="12564" max="12564"/>
    <col width="6.25" customWidth="1" min="12565" max="12565"/>
    <col width="10.375" customWidth="1" min="12566" max="12566"/>
    <col width="6" customWidth="1" min="12567" max="12567"/>
    <col width="10.375" customWidth="1" min="12568" max="12568"/>
    <col width="5.875" customWidth="1" min="12569" max="12569"/>
    <col width="8" customWidth="1" min="12570" max="12570"/>
    <col width="8.875" customWidth="1" min="12571" max="12571"/>
    <col width="7.625" customWidth="1" min="12572" max="12572"/>
    <col width="9.375" customWidth="1" min="12573" max="12573"/>
    <col width="10.75" customWidth="1" min="12574" max="12574"/>
    <col width="8.25" customWidth="1" min="12575" max="12575"/>
    <col width="7.625" customWidth="1" min="12576" max="12576"/>
    <col width="7.75" customWidth="1" min="12577" max="12577"/>
    <col width="9.625" customWidth="1" min="12578" max="12578"/>
    <col width="10.375" customWidth="1" min="12579" max="12579"/>
    <col width="33.375" customWidth="1" min="12580" max="12580"/>
    <col width="7.75" customWidth="1" min="12581" max="12581"/>
    <col width="11.875" customWidth="1" min="12801" max="12801"/>
    <col width="8.625" customWidth="1" min="12802" max="12802"/>
    <col width="6.625" customWidth="1" min="12803" max="12803"/>
    <col width="10.75" customWidth="1" min="12804" max="12804"/>
    <col width="9.25" customWidth="1" min="12805" max="12805"/>
    <col width="15.125" customWidth="1" min="12806" max="12806"/>
    <col width="22" customWidth="1" min="12807" max="12807"/>
    <col width="6.25" customWidth="1" min="12808" max="12808"/>
    <col width="5.375" bestFit="1" customWidth="1" min="12809" max="12809"/>
    <col width="6.75" bestFit="1" customWidth="1" min="12810" max="12810"/>
    <col width="5.875" customWidth="1" min="12811" max="12811"/>
    <col width="6.125" customWidth="1" min="12812" max="12812"/>
    <col width="15.125" customWidth="1" min="12813" max="12813"/>
    <col width="13.125" customWidth="1" min="12814" max="12814"/>
    <col width="9.25" customWidth="1" min="12815" max="12815"/>
    <col width="12.125" customWidth="1" min="12816" max="12816"/>
    <col width="32.75" customWidth="1" min="12817" max="12817"/>
    <col width="7.125" customWidth="1" min="12818" max="12818"/>
    <col width="10.875" customWidth="1" min="12819" max="12819"/>
    <col width="8.875" customWidth="1" min="12820" max="12820"/>
    <col width="6.25" customWidth="1" min="12821" max="12821"/>
    <col width="10.375" customWidth="1" min="12822" max="12822"/>
    <col width="6" customWidth="1" min="12823" max="12823"/>
    <col width="10.375" customWidth="1" min="12824" max="12824"/>
    <col width="5.875" customWidth="1" min="12825" max="12825"/>
    <col width="8" customWidth="1" min="12826" max="12826"/>
    <col width="8.875" customWidth="1" min="12827" max="12827"/>
    <col width="7.625" customWidth="1" min="12828" max="12828"/>
    <col width="9.375" customWidth="1" min="12829" max="12829"/>
    <col width="10.75" customWidth="1" min="12830" max="12830"/>
    <col width="8.25" customWidth="1" min="12831" max="12831"/>
    <col width="7.625" customWidth="1" min="12832" max="12832"/>
    <col width="7.75" customWidth="1" min="12833" max="12833"/>
    <col width="9.625" customWidth="1" min="12834" max="12834"/>
    <col width="10.375" customWidth="1" min="12835" max="12835"/>
    <col width="33.375" customWidth="1" min="12836" max="12836"/>
    <col width="7.75" customWidth="1" min="12837" max="12837"/>
    <col width="11.875" customWidth="1" min="13057" max="13057"/>
    <col width="8.625" customWidth="1" min="13058" max="13058"/>
    <col width="6.625" customWidth="1" min="13059" max="13059"/>
    <col width="10.75" customWidth="1" min="13060" max="13060"/>
    <col width="9.25" customWidth="1" min="13061" max="13061"/>
    <col width="15.125" customWidth="1" min="13062" max="13062"/>
    <col width="22" customWidth="1" min="13063" max="13063"/>
    <col width="6.25" customWidth="1" min="13064" max="13064"/>
    <col width="5.375" bestFit="1" customWidth="1" min="13065" max="13065"/>
    <col width="6.75" bestFit="1" customWidth="1" min="13066" max="13066"/>
    <col width="5.875" customWidth="1" min="13067" max="13067"/>
    <col width="6.125" customWidth="1" min="13068" max="13068"/>
    <col width="15.125" customWidth="1" min="13069" max="13069"/>
    <col width="13.125" customWidth="1" min="13070" max="13070"/>
    <col width="9.25" customWidth="1" min="13071" max="13071"/>
    <col width="12.125" customWidth="1" min="13072" max="13072"/>
    <col width="32.75" customWidth="1" min="13073" max="13073"/>
    <col width="7.125" customWidth="1" min="13074" max="13074"/>
    <col width="10.875" customWidth="1" min="13075" max="13075"/>
    <col width="8.875" customWidth="1" min="13076" max="13076"/>
    <col width="6.25" customWidth="1" min="13077" max="13077"/>
    <col width="10.375" customWidth="1" min="13078" max="13078"/>
    <col width="6" customWidth="1" min="13079" max="13079"/>
    <col width="10.375" customWidth="1" min="13080" max="13080"/>
    <col width="5.875" customWidth="1" min="13081" max="13081"/>
    <col width="8" customWidth="1" min="13082" max="13082"/>
    <col width="8.875" customWidth="1" min="13083" max="13083"/>
    <col width="7.625" customWidth="1" min="13084" max="13084"/>
    <col width="9.375" customWidth="1" min="13085" max="13085"/>
    <col width="10.75" customWidth="1" min="13086" max="13086"/>
    <col width="8.25" customWidth="1" min="13087" max="13087"/>
    <col width="7.625" customWidth="1" min="13088" max="13088"/>
    <col width="7.75" customWidth="1" min="13089" max="13089"/>
    <col width="9.625" customWidth="1" min="13090" max="13090"/>
    <col width="10.375" customWidth="1" min="13091" max="13091"/>
    <col width="33.375" customWidth="1" min="13092" max="13092"/>
    <col width="7.75" customWidth="1" min="13093" max="13093"/>
    <col width="11.875" customWidth="1" min="13313" max="13313"/>
    <col width="8.625" customWidth="1" min="13314" max="13314"/>
    <col width="6.625" customWidth="1" min="13315" max="13315"/>
    <col width="10.75" customWidth="1" min="13316" max="13316"/>
    <col width="9.25" customWidth="1" min="13317" max="13317"/>
    <col width="15.125" customWidth="1" min="13318" max="13318"/>
    <col width="22" customWidth="1" min="13319" max="13319"/>
    <col width="6.25" customWidth="1" min="13320" max="13320"/>
    <col width="5.375" bestFit="1" customWidth="1" min="13321" max="13321"/>
    <col width="6.75" bestFit="1" customWidth="1" min="13322" max="13322"/>
    <col width="5.875" customWidth="1" min="13323" max="13323"/>
    <col width="6.125" customWidth="1" min="13324" max="13324"/>
    <col width="15.125" customWidth="1" min="13325" max="13325"/>
    <col width="13.125" customWidth="1" min="13326" max="13326"/>
    <col width="9.25" customWidth="1" min="13327" max="13327"/>
    <col width="12.125" customWidth="1" min="13328" max="13328"/>
    <col width="32.75" customWidth="1" min="13329" max="13329"/>
    <col width="7.125" customWidth="1" min="13330" max="13330"/>
    <col width="10.875" customWidth="1" min="13331" max="13331"/>
    <col width="8.875" customWidth="1" min="13332" max="13332"/>
    <col width="6.25" customWidth="1" min="13333" max="13333"/>
    <col width="10.375" customWidth="1" min="13334" max="13334"/>
    <col width="6" customWidth="1" min="13335" max="13335"/>
    <col width="10.375" customWidth="1" min="13336" max="13336"/>
    <col width="5.875" customWidth="1" min="13337" max="13337"/>
    <col width="8" customWidth="1" min="13338" max="13338"/>
    <col width="8.875" customWidth="1" min="13339" max="13339"/>
    <col width="7.625" customWidth="1" min="13340" max="13340"/>
    <col width="9.375" customWidth="1" min="13341" max="13341"/>
    <col width="10.75" customWidth="1" min="13342" max="13342"/>
    <col width="8.25" customWidth="1" min="13343" max="13343"/>
    <col width="7.625" customWidth="1" min="13344" max="13344"/>
    <col width="7.75" customWidth="1" min="13345" max="13345"/>
    <col width="9.625" customWidth="1" min="13346" max="13346"/>
    <col width="10.375" customWidth="1" min="13347" max="13347"/>
    <col width="33.375" customWidth="1" min="13348" max="13348"/>
    <col width="7.75" customWidth="1" min="13349" max="13349"/>
    <col width="11.875" customWidth="1" min="13569" max="13569"/>
    <col width="8.625" customWidth="1" min="13570" max="13570"/>
    <col width="6.625" customWidth="1" min="13571" max="13571"/>
    <col width="10.75" customWidth="1" min="13572" max="13572"/>
    <col width="9.25" customWidth="1" min="13573" max="13573"/>
    <col width="15.125" customWidth="1" min="13574" max="13574"/>
    <col width="22" customWidth="1" min="13575" max="13575"/>
    <col width="6.25" customWidth="1" min="13576" max="13576"/>
    <col width="5.375" bestFit="1" customWidth="1" min="13577" max="13577"/>
    <col width="6.75" bestFit="1" customWidth="1" min="13578" max="13578"/>
    <col width="5.875" customWidth="1" min="13579" max="13579"/>
    <col width="6.125" customWidth="1" min="13580" max="13580"/>
    <col width="15.125" customWidth="1" min="13581" max="13581"/>
    <col width="13.125" customWidth="1" min="13582" max="13582"/>
    <col width="9.25" customWidth="1" min="13583" max="13583"/>
    <col width="12.125" customWidth="1" min="13584" max="13584"/>
    <col width="32.75" customWidth="1" min="13585" max="13585"/>
    <col width="7.125" customWidth="1" min="13586" max="13586"/>
    <col width="10.875" customWidth="1" min="13587" max="13587"/>
    <col width="8.875" customWidth="1" min="13588" max="13588"/>
    <col width="6.25" customWidth="1" min="13589" max="13589"/>
    <col width="10.375" customWidth="1" min="13590" max="13590"/>
    <col width="6" customWidth="1" min="13591" max="13591"/>
    <col width="10.375" customWidth="1" min="13592" max="13592"/>
    <col width="5.875" customWidth="1" min="13593" max="13593"/>
    <col width="8" customWidth="1" min="13594" max="13594"/>
    <col width="8.875" customWidth="1" min="13595" max="13595"/>
    <col width="7.625" customWidth="1" min="13596" max="13596"/>
    <col width="9.375" customWidth="1" min="13597" max="13597"/>
    <col width="10.75" customWidth="1" min="13598" max="13598"/>
    <col width="8.25" customWidth="1" min="13599" max="13599"/>
    <col width="7.625" customWidth="1" min="13600" max="13600"/>
    <col width="7.75" customWidth="1" min="13601" max="13601"/>
    <col width="9.625" customWidth="1" min="13602" max="13602"/>
    <col width="10.375" customWidth="1" min="13603" max="13603"/>
    <col width="33.375" customWidth="1" min="13604" max="13604"/>
    <col width="7.75" customWidth="1" min="13605" max="13605"/>
    <col width="11.875" customWidth="1" min="13825" max="13825"/>
    <col width="8.625" customWidth="1" min="13826" max="13826"/>
    <col width="6.625" customWidth="1" min="13827" max="13827"/>
    <col width="10.75" customWidth="1" min="13828" max="13828"/>
    <col width="9.25" customWidth="1" min="13829" max="13829"/>
    <col width="15.125" customWidth="1" min="13830" max="13830"/>
    <col width="22" customWidth="1" min="13831" max="13831"/>
    <col width="6.25" customWidth="1" min="13832" max="13832"/>
    <col width="5.375" bestFit="1" customWidth="1" min="13833" max="13833"/>
    <col width="6.75" bestFit="1" customWidth="1" min="13834" max="13834"/>
    <col width="5.875" customWidth="1" min="13835" max="13835"/>
    <col width="6.125" customWidth="1" min="13836" max="13836"/>
    <col width="15.125" customWidth="1" min="13837" max="13837"/>
    <col width="13.125" customWidth="1" min="13838" max="13838"/>
    <col width="9.25" customWidth="1" min="13839" max="13839"/>
    <col width="12.125" customWidth="1" min="13840" max="13840"/>
    <col width="32.75" customWidth="1" min="13841" max="13841"/>
    <col width="7.125" customWidth="1" min="13842" max="13842"/>
    <col width="10.875" customWidth="1" min="13843" max="13843"/>
    <col width="8.875" customWidth="1" min="13844" max="13844"/>
    <col width="6.25" customWidth="1" min="13845" max="13845"/>
    <col width="10.375" customWidth="1" min="13846" max="13846"/>
    <col width="6" customWidth="1" min="13847" max="13847"/>
    <col width="10.375" customWidth="1" min="13848" max="13848"/>
    <col width="5.875" customWidth="1" min="13849" max="13849"/>
    <col width="8" customWidth="1" min="13850" max="13850"/>
    <col width="8.875" customWidth="1" min="13851" max="13851"/>
    <col width="7.625" customWidth="1" min="13852" max="13852"/>
    <col width="9.375" customWidth="1" min="13853" max="13853"/>
    <col width="10.75" customWidth="1" min="13854" max="13854"/>
    <col width="8.25" customWidth="1" min="13855" max="13855"/>
    <col width="7.625" customWidth="1" min="13856" max="13856"/>
    <col width="7.75" customWidth="1" min="13857" max="13857"/>
    <col width="9.625" customWidth="1" min="13858" max="13858"/>
    <col width="10.375" customWidth="1" min="13859" max="13859"/>
    <col width="33.375" customWidth="1" min="13860" max="13860"/>
    <col width="7.75" customWidth="1" min="13861" max="13861"/>
    <col width="11.875" customWidth="1" min="14081" max="14081"/>
    <col width="8.625" customWidth="1" min="14082" max="14082"/>
    <col width="6.625" customWidth="1" min="14083" max="14083"/>
    <col width="10.75" customWidth="1" min="14084" max="14084"/>
    <col width="9.25" customWidth="1" min="14085" max="14085"/>
    <col width="15.125" customWidth="1" min="14086" max="14086"/>
    <col width="22" customWidth="1" min="14087" max="14087"/>
    <col width="6.25" customWidth="1" min="14088" max="14088"/>
    <col width="5.375" bestFit="1" customWidth="1" min="14089" max="14089"/>
    <col width="6.75" bestFit="1" customWidth="1" min="14090" max="14090"/>
    <col width="5.875" customWidth="1" min="14091" max="14091"/>
    <col width="6.125" customWidth="1" min="14092" max="14092"/>
    <col width="15.125" customWidth="1" min="14093" max="14093"/>
    <col width="13.125" customWidth="1" min="14094" max="14094"/>
    <col width="9.25" customWidth="1" min="14095" max="14095"/>
    <col width="12.125" customWidth="1" min="14096" max="14096"/>
    <col width="32.75" customWidth="1" min="14097" max="14097"/>
    <col width="7.125" customWidth="1" min="14098" max="14098"/>
    <col width="10.875" customWidth="1" min="14099" max="14099"/>
    <col width="8.875" customWidth="1" min="14100" max="14100"/>
    <col width="6.25" customWidth="1" min="14101" max="14101"/>
    <col width="10.375" customWidth="1" min="14102" max="14102"/>
    <col width="6" customWidth="1" min="14103" max="14103"/>
    <col width="10.375" customWidth="1" min="14104" max="14104"/>
    <col width="5.875" customWidth="1" min="14105" max="14105"/>
    <col width="8" customWidth="1" min="14106" max="14106"/>
    <col width="8.875" customWidth="1" min="14107" max="14107"/>
    <col width="7.625" customWidth="1" min="14108" max="14108"/>
    <col width="9.375" customWidth="1" min="14109" max="14109"/>
    <col width="10.75" customWidth="1" min="14110" max="14110"/>
    <col width="8.25" customWidth="1" min="14111" max="14111"/>
    <col width="7.625" customWidth="1" min="14112" max="14112"/>
    <col width="7.75" customWidth="1" min="14113" max="14113"/>
    <col width="9.625" customWidth="1" min="14114" max="14114"/>
    <col width="10.375" customWidth="1" min="14115" max="14115"/>
    <col width="33.375" customWidth="1" min="14116" max="14116"/>
    <col width="7.75" customWidth="1" min="14117" max="14117"/>
    <col width="11.875" customWidth="1" min="14337" max="14337"/>
    <col width="8.625" customWidth="1" min="14338" max="14338"/>
    <col width="6.625" customWidth="1" min="14339" max="14339"/>
    <col width="10.75" customWidth="1" min="14340" max="14340"/>
    <col width="9.25" customWidth="1" min="14341" max="14341"/>
    <col width="15.125" customWidth="1" min="14342" max="14342"/>
    <col width="22" customWidth="1" min="14343" max="14343"/>
    <col width="6.25" customWidth="1" min="14344" max="14344"/>
    <col width="5.375" bestFit="1" customWidth="1" min="14345" max="14345"/>
    <col width="6.75" bestFit="1" customWidth="1" min="14346" max="14346"/>
    <col width="5.875" customWidth="1" min="14347" max="14347"/>
    <col width="6.125" customWidth="1" min="14348" max="14348"/>
    <col width="15.125" customWidth="1" min="14349" max="14349"/>
    <col width="13.125" customWidth="1" min="14350" max="14350"/>
    <col width="9.25" customWidth="1" min="14351" max="14351"/>
    <col width="12.125" customWidth="1" min="14352" max="14352"/>
    <col width="32.75" customWidth="1" min="14353" max="14353"/>
    <col width="7.125" customWidth="1" min="14354" max="14354"/>
    <col width="10.875" customWidth="1" min="14355" max="14355"/>
    <col width="8.875" customWidth="1" min="14356" max="14356"/>
    <col width="6.25" customWidth="1" min="14357" max="14357"/>
    <col width="10.375" customWidth="1" min="14358" max="14358"/>
    <col width="6" customWidth="1" min="14359" max="14359"/>
    <col width="10.375" customWidth="1" min="14360" max="14360"/>
    <col width="5.875" customWidth="1" min="14361" max="14361"/>
    <col width="8" customWidth="1" min="14362" max="14362"/>
    <col width="8.875" customWidth="1" min="14363" max="14363"/>
    <col width="7.625" customWidth="1" min="14364" max="14364"/>
    <col width="9.375" customWidth="1" min="14365" max="14365"/>
    <col width="10.75" customWidth="1" min="14366" max="14366"/>
    <col width="8.25" customWidth="1" min="14367" max="14367"/>
    <col width="7.625" customWidth="1" min="14368" max="14368"/>
    <col width="7.75" customWidth="1" min="14369" max="14369"/>
    <col width="9.625" customWidth="1" min="14370" max="14370"/>
    <col width="10.375" customWidth="1" min="14371" max="14371"/>
    <col width="33.375" customWidth="1" min="14372" max="14372"/>
    <col width="7.75" customWidth="1" min="14373" max="14373"/>
    <col width="11.875" customWidth="1" min="14593" max="14593"/>
    <col width="8.625" customWidth="1" min="14594" max="14594"/>
    <col width="6.625" customWidth="1" min="14595" max="14595"/>
    <col width="10.75" customWidth="1" min="14596" max="14596"/>
    <col width="9.25" customWidth="1" min="14597" max="14597"/>
    <col width="15.125" customWidth="1" min="14598" max="14598"/>
    <col width="22" customWidth="1" min="14599" max="14599"/>
    <col width="6.25" customWidth="1" min="14600" max="14600"/>
    <col width="5.375" bestFit="1" customWidth="1" min="14601" max="14601"/>
    <col width="6.75" bestFit="1" customWidth="1" min="14602" max="14602"/>
    <col width="5.875" customWidth="1" min="14603" max="14603"/>
    <col width="6.125" customWidth="1" min="14604" max="14604"/>
    <col width="15.125" customWidth="1" min="14605" max="14605"/>
    <col width="13.125" customWidth="1" min="14606" max="14606"/>
    <col width="9.25" customWidth="1" min="14607" max="14607"/>
    <col width="12.125" customWidth="1" min="14608" max="14608"/>
    <col width="32.75" customWidth="1" min="14609" max="14609"/>
    <col width="7.125" customWidth="1" min="14610" max="14610"/>
    <col width="10.875" customWidth="1" min="14611" max="14611"/>
    <col width="8.875" customWidth="1" min="14612" max="14612"/>
    <col width="6.25" customWidth="1" min="14613" max="14613"/>
    <col width="10.375" customWidth="1" min="14614" max="14614"/>
    <col width="6" customWidth="1" min="14615" max="14615"/>
    <col width="10.375" customWidth="1" min="14616" max="14616"/>
    <col width="5.875" customWidth="1" min="14617" max="14617"/>
    <col width="8" customWidth="1" min="14618" max="14618"/>
    <col width="8.875" customWidth="1" min="14619" max="14619"/>
    <col width="7.625" customWidth="1" min="14620" max="14620"/>
    <col width="9.375" customWidth="1" min="14621" max="14621"/>
    <col width="10.75" customWidth="1" min="14622" max="14622"/>
    <col width="8.25" customWidth="1" min="14623" max="14623"/>
    <col width="7.625" customWidth="1" min="14624" max="14624"/>
    <col width="7.75" customWidth="1" min="14625" max="14625"/>
    <col width="9.625" customWidth="1" min="14626" max="14626"/>
    <col width="10.375" customWidth="1" min="14627" max="14627"/>
    <col width="33.375" customWidth="1" min="14628" max="14628"/>
    <col width="7.75" customWidth="1" min="14629" max="14629"/>
    <col width="11.875" customWidth="1" min="14849" max="14849"/>
    <col width="8.625" customWidth="1" min="14850" max="14850"/>
    <col width="6.625" customWidth="1" min="14851" max="14851"/>
    <col width="10.75" customWidth="1" min="14852" max="14852"/>
    <col width="9.25" customWidth="1" min="14853" max="14853"/>
    <col width="15.125" customWidth="1" min="14854" max="14854"/>
    <col width="22" customWidth="1" min="14855" max="14855"/>
    <col width="6.25" customWidth="1" min="14856" max="14856"/>
    <col width="5.375" bestFit="1" customWidth="1" min="14857" max="14857"/>
    <col width="6.75" bestFit="1" customWidth="1" min="14858" max="14858"/>
    <col width="5.875" customWidth="1" min="14859" max="14859"/>
    <col width="6.125" customWidth="1" min="14860" max="14860"/>
    <col width="15.125" customWidth="1" min="14861" max="14861"/>
    <col width="13.125" customWidth="1" min="14862" max="14862"/>
    <col width="9.25" customWidth="1" min="14863" max="14863"/>
    <col width="12.125" customWidth="1" min="14864" max="14864"/>
    <col width="32.75" customWidth="1" min="14865" max="14865"/>
    <col width="7.125" customWidth="1" min="14866" max="14866"/>
    <col width="10.875" customWidth="1" min="14867" max="14867"/>
    <col width="8.875" customWidth="1" min="14868" max="14868"/>
    <col width="6.25" customWidth="1" min="14869" max="14869"/>
    <col width="10.375" customWidth="1" min="14870" max="14870"/>
    <col width="6" customWidth="1" min="14871" max="14871"/>
    <col width="10.375" customWidth="1" min="14872" max="14872"/>
    <col width="5.875" customWidth="1" min="14873" max="14873"/>
    <col width="8" customWidth="1" min="14874" max="14874"/>
    <col width="8.875" customWidth="1" min="14875" max="14875"/>
    <col width="7.625" customWidth="1" min="14876" max="14876"/>
    <col width="9.375" customWidth="1" min="14877" max="14877"/>
    <col width="10.75" customWidth="1" min="14878" max="14878"/>
    <col width="8.25" customWidth="1" min="14879" max="14879"/>
    <col width="7.625" customWidth="1" min="14880" max="14880"/>
    <col width="7.75" customWidth="1" min="14881" max="14881"/>
    <col width="9.625" customWidth="1" min="14882" max="14882"/>
    <col width="10.375" customWidth="1" min="14883" max="14883"/>
    <col width="33.375" customWidth="1" min="14884" max="14884"/>
    <col width="7.75" customWidth="1" min="14885" max="14885"/>
    <col width="11.875" customWidth="1" min="15105" max="15105"/>
    <col width="8.625" customWidth="1" min="15106" max="15106"/>
    <col width="6.625" customWidth="1" min="15107" max="15107"/>
    <col width="10.75" customWidth="1" min="15108" max="15108"/>
    <col width="9.25" customWidth="1" min="15109" max="15109"/>
    <col width="15.125" customWidth="1" min="15110" max="15110"/>
    <col width="22" customWidth="1" min="15111" max="15111"/>
    <col width="6.25" customWidth="1" min="15112" max="15112"/>
    <col width="5.375" bestFit="1" customWidth="1" min="15113" max="15113"/>
    <col width="6.75" bestFit="1" customWidth="1" min="15114" max="15114"/>
    <col width="5.875" customWidth="1" min="15115" max="15115"/>
    <col width="6.125" customWidth="1" min="15116" max="15116"/>
    <col width="15.125" customWidth="1" min="15117" max="15117"/>
    <col width="13.125" customWidth="1" min="15118" max="15118"/>
    <col width="9.25" customWidth="1" min="15119" max="15119"/>
    <col width="12.125" customWidth="1" min="15120" max="15120"/>
    <col width="32.75" customWidth="1" min="15121" max="15121"/>
    <col width="7.125" customWidth="1" min="15122" max="15122"/>
    <col width="10.875" customWidth="1" min="15123" max="15123"/>
    <col width="8.875" customWidth="1" min="15124" max="15124"/>
    <col width="6.25" customWidth="1" min="15125" max="15125"/>
    <col width="10.375" customWidth="1" min="15126" max="15126"/>
    <col width="6" customWidth="1" min="15127" max="15127"/>
    <col width="10.375" customWidth="1" min="15128" max="15128"/>
    <col width="5.875" customWidth="1" min="15129" max="15129"/>
    <col width="8" customWidth="1" min="15130" max="15130"/>
    <col width="8.875" customWidth="1" min="15131" max="15131"/>
    <col width="7.625" customWidth="1" min="15132" max="15132"/>
    <col width="9.375" customWidth="1" min="15133" max="15133"/>
    <col width="10.75" customWidth="1" min="15134" max="15134"/>
    <col width="8.25" customWidth="1" min="15135" max="15135"/>
    <col width="7.625" customWidth="1" min="15136" max="15136"/>
    <col width="7.75" customWidth="1" min="15137" max="15137"/>
    <col width="9.625" customWidth="1" min="15138" max="15138"/>
    <col width="10.375" customWidth="1" min="15139" max="15139"/>
    <col width="33.375" customWidth="1" min="15140" max="15140"/>
    <col width="7.75" customWidth="1" min="15141" max="15141"/>
    <col width="11.875" customWidth="1" min="15361" max="15361"/>
    <col width="8.625" customWidth="1" min="15362" max="15362"/>
    <col width="6.625" customWidth="1" min="15363" max="15363"/>
    <col width="10.75" customWidth="1" min="15364" max="15364"/>
    <col width="9.25" customWidth="1" min="15365" max="15365"/>
    <col width="15.125" customWidth="1" min="15366" max="15366"/>
    <col width="22" customWidth="1" min="15367" max="15367"/>
    <col width="6.25" customWidth="1" min="15368" max="15368"/>
    <col width="5.375" bestFit="1" customWidth="1" min="15369" max="15369"/>
    <col width="6.75" bestFit="1" customWidth="1" min="15370" max="15370"/>
    <col width="5.875" customWidth="1" min="15371" max="15371"/>
    <col width="6.125" customWidth="1" min="15372" max="15372"/>
    <col width="15.125" customWidth="1" min="15373" max="15373"/>
    <col width="13.125" customWidth="1" min="15374" max="15374"/>
    <col width="9.25" customWidth="1" min="15375" max="15375"/>
    <col width="12.125" customWidth="1" min="15376" max="15376"/>
    <col width="32.75" customWidth="1" min="15377" max="15377"/>
    <col width="7.125" customWidth="1" min="15378" max="15378"/>
    <col width="10.875" customWidth="1" min="15379" max="15379"/>
    <col width="8.875" customWidth="1" min="15380" max="15380"/>
    <col width="6.25" customWidth="1" min="15381" max="15381"/>
    <col width="10.375" customWidth="1" min="15382" max="15382"/>
    <col width="6" customWidth="1" min="15383" max="15383"/>
    <col width="10.375" customWidth="1" min="15384" max="15384"/>
    <col width="5.875" customWidth="1" min="15385" max="15385"/>
    <col width="8" customWidth="1" min="15386" max="15386"/>
    <col width="8.875" customWidth="1" min="15387" max="15387"/>
    <col width="7.625" customWidth="1" min="15388" max="15388"/>
    <col width="9.375" customWidth="1" min="15389" max="15389"/>
    <col width="10.75" customWidth="1" min="15390" max="15390"/>
    <col width="8.25" customWidth="1" min="15391" max="15391"/>
    <col width="7.625" customWidth="1" min="15392" max="15392"/>
    <col width="7.75" customWidth="1" min="15393" max="15393"/>
    <col width="9.625" customWidth="1" min="15394" max="15394"/>
    <col width="10.375" customWidth="1" min="15395" max="15395"/>
    <col width="33.375" customWidth="1" min="15396" max="15396"/>
    <col width="7.75" customWidth="1" min="15397" max="15397"/>
    <col width="11.875" customWidth="1" min="15617" max="15617"/>
    <col width="8.625" customWidth="1" min="15618" max="15618"/>
    <col width="6.625" customWidth="1" min="15619" max="15619"/>
    <col width="10.75" customWidth="1" min="15620" max="15620"/>
    <col width="9.25" customWidth="1" min="15621" max="15621"/>
    <col width="15.125" customWidth="1" min="15622" max="15622"/>
    <col width="22" customWidth="1" min="15623" max="15623"/>
    <col width="6.25" customWidth="1" min="15624" max="15624"/>
    <col width="5.375" bestFit="1" customWidth="1" min="15625" max="15625"/>
    <col width="6.75" bestFit="1" customWidth="1" min="15626" max="15626"/>
    <col width="5.875" customWidth="1" min="15627" max="15627"/>
    <col width="6.125" customWidth="1" min="15628" max="15628"/>
    <col width="15.125" customWidth="1" min="15629" max="15629"/>
    <col width="13.125" customWidth="1" min="15630" max="15630"/>
    <col width="9.25" customWidth="1" min="15631" max="15631"/>
    <col width="12.125" customWidth="1" min="15632" max="15632"/>
    <col width="32.75" customWidth="1" min="15633" max="15633"/>
    <col width="7.125" customWidth="1" min="15634" max="15634"/>
    <col width="10.875" customWidth="1" min="15635" max="15635"/>
    <col width="8.875" customWidth="1" min="15636" max="15636"/>
    <col width="6.25" customWidth="1" min="15637" max="15637"/>
    <col width="10.375" customWidth="1" min="15638" max="15638"/>
    <col width="6" customWidth="1" min="15639" max="15639"/>
    <col width="10.375" customWidth="1" min="15640" max="15640"/>
    <col width="5.875" customWidth="1" min="15641" max="15641"/>
    <col width="8" customWidth="1" min="15642" max="15642"/>
    <col width="8.875" customWidth="1" min="15643" max="15643"/>
    <col width="7.625" customWidth="1" min="15644" max="15644"/>
    <col width="9.375" customWidth="1" min="15645" max="15645"/>
    <col width="10.75" customWidth="1" min="15646" max="15646"/>
    <col width="8.25" customWidth="1" min="15647" max="15647"/>
    <col width="7.625" customWidth="1" min="15648" max="15648"/>
    <col width="7.75" customWidth="1" min="15649" max="15649"/>
    <col width="9.625" customWidth="1" min="15650" max="15650"/>
    <col width="10.375" customWidth="1" min="15651" max="15651"/>
    <col width="33.375" customWidth="1" min="15652" max="15652"/>
    <col width="7.75" customWidth="1" min="15653" max="15653"/>
    <col width="11.875" customWidth="1" min="15873" max="15873"/>
    <col width="8.625" customWidth="1" min="15874" max="15874"/>
    <col width="6.625" customWidth="1" min="15875" max="15875"/>
    <col width="10.75" customWidth="1" min="15876" max="15876"/>
    <col width="9.25" customWidth="1" min="15877" max="15877"/>
    <col width="15.125" customWidth="1" min="15878" max="15878"/>
    <col width="22" customWidth="1" min="15879" max="15879"/>
    <col width="6.25" customWidth="1" min="15880" max="15880"/>
    <col width="5.375" bestFit="1" customWidth="1" min="15881" max="15881"/>
    <col width="6.75" bestFit="1" customWidth="1" min="15882" max="15882"/>
    <col width="5.875" customWidth="1" min="15883" max="15883"/>
    <col width="6.125" customWidth="1" min="15884" max="15884"/>
    <col width="15.125" customWidth="1" min="15885" max="15885"/>
    <col width="13.125" customWidth="1" min="15886" max="15886"/>
    <col width="9.25" customWidth="1" min="15887" max="15887"/>
    <col width="12.125" customWidth="1" min="15888" max="15888"/>
    <col width="32.75" customWidth="1" min="15889" max="15889"/>
    <col width="7.125" customWidth="1" min="15890" max="15890"/>
    <col width="10.875" customWidth="1" min="15891" max="15891"/>
    <col width="8.875" customWidth="1" min="15892" max="15892"/>
    <col width="6.25" customWidth="1" min="15893" max="15893"/>
    <col width="10.375" customWidth="1" min="15894" max="15894"/>
    <col width="6" customWidth="1" min="15895" max="15895"/>
    <col width="10.375" customWidth="1" min="15896" max="15896"/>
    <col width="5.875" customWidth="1" min="15897" max="15897"/>
    <col width="8" customWidth="1" min="15898" max="15898"/>
    <col width="8.875" customWidth="1" min="15899" max="15899"/>
    <col width="7.625" customWidth="1" min="15900" max="15900"/>
    <col width="9.375" customWidth="1" min="15901" max="15901"/>
    <col width="10.75" customWidth="1" min="15902" max="15902"/>
    <col width="8.25" customWidth="1" min="15903" max="15903"/>
    <col width="7.625" customWidth="1" min="15904" max="15904"/>
    <col width="7.75" customWidth="1" min="15905" max="15905"/>
    <col width="9.625" customWidth="1" min="15906" max="15906"/>
    <col width="10.375" customWidth="1" min="15907" max="15907"/>
    <col width="33.375" customWidth="1" min="15908" max="15908"/>
    <col width="7.75" customWidth="1" min="15909" max="15909"/>
    <col width="11.875" customWidth="1" min="16129" max="16129"/>
    <col width="8.625" customWidth="1" min="16130" max="16130"/>
    <col width="6.625" customWidth="1" min="16131" max="16131"/>
    <col width="10.75" customWidth="1" min="16132" max="16132"/>
    <col width="9.25" customWidth="1" min="16133" max="16133"/>
    <col width="15.125" customWidth="1" min="16134" max="16134"/>
    <col width="22" customWidth="1" min="16135" max="16135"/>
    <col width="6.25" customWidth="1" min="16136" max="16136"/>
    <col width="5.375" bestFit="1" customWidth="1" min="16137" max="16137"/>
    <col width="6.75" bestFit="1" customWidth="1" min="16138" max="16138"/>
    <col width="5.875" customWidth="1" min="16139" max="16139"/>
    <col width="6.125" customWidth="1" min="16140" max="16140"/>
    <col width="15.125" customWidth="1" min="16141" max="16141"/>
    <col width="13.125" customWidth="1" min="16142" max="16142"/>
    <col width="9.25" customWidth="1" min="16143" max="16143"/>
    <col width="12.125" customWidth="1" min="16144" max="16144"/>
    <col width="32.75" customWidth="1" min="16145" max="16145"/>
    <col width="7.125" customWidth="1" min="16146" max="16146"/>
    <col width="10.875" customWidth="1" min="16147" max="16147"/>
    <col width="8.875" customWidth="1" min="16148" max="16148"/>
    <col width="6.25" customWidth="1" min="16149" max="16149"/>
    <col width="10.375" customWidth="1" min="16150" max="16150"/>
    <col width="6" customWidth="1" min="16151" max="16151"/>
    <col width="10.375" customWidth="1" min="16152" max="16152"/>
    <col width="5.875" customWidth="1" min="16153" max="16153"/>
    <col width="8" customWidth="1" min="16154" max="16154"/>
    <col width="8.875" customWidth="1" min="16155" max="16155"/>
    <col width="7.625" customWidth="1" min="16156" max="16156"/>
    <col width="9.375" customWidth="1" min="16157" max="16157"/>
    <col width="10.75" customWidth="1" min="16158" max="16158"/>
    <col width="8.25" customWidth="1" min="16159" max="16159"/>
    <col width="7.625" customWidth="1" min="16160" max="16160"/>
    <col width="7.75" customWidth="1" min="16161" max="16161"/>
    <col width="9.625" customWidth="1" min="16162" max="16162"/>
    <col width="10.375" customWidth="1" min="16163" max="16163"/>
    <col width="33.375" customWidth="1" min="16164" max="16164"/>
    <col width="7.75" customWidth="1" min="16165" max="16165"/>
  </cols>
  <sheetData>
    <row r="1" ht="14.25" customHeight="1">
      <c r="A1" s="123" t="inlineStr">
        <is>
          <t>Container No</t>
        </is>
      </c>
      <c r="B1" s="123" t="inlineStr">
        <is>
          <t>Location</t>
        </is>
      </c>
      <c r="C1" s="123" t="inlineStr">
        <is>
          <t>Move</t>
        </is>
      </c>
      <c r="D1" s="123" t="inlineStr">
        <is>
          <t>GateDate</t>
        </is>
      </c>
      <c r="E1" s="123" t="inlineStr">
        <is>
          <t>GateTime</t>
        </is>
      </c>
      <c r="F1" s="123" t="inlineStr">
        <is>
          <t>BL No</t>
        </is>
      </c>
      <c r="G1" s="123" t="inlineStr">
        <is>
          <t>Shipper</t>
        </is>
      </c>
      <c r="H1" s="123" t="inlineStr">
        <is>
          <t>TPSZ</t>
        </is>
      </c>
      <c r="I1" s="123" t="inlineStr">
        <is>
          <t>Remark</t>
        </is>
      </c>
      <c r="J1" s="123" t="inlineStr">
        <is>
          <t>EmpName</t>
        </is>
      </c>
      <c r="K1" s="123" t="inlineStr">
        <is>
          <t>CND</t>
        </is>
      </c>
      <c r="L1" s="123" t="inlineStr">
        <is>
          <t>F/E</t>
        </is>
      </c>
      <c r="M1" s="123" t="inlineStr">
        <is>
          <t>BK No</t>
        </is>
      </c>
      <c r="N1" s="123" t="inlineStr">
        <is>
          <t>BK QTY</t>
        </is>
      </c>
      <c r="O1" s="123" t="inlineStr">
        <is>
          <t>Built Year</t>
        </is>
      </c>
      <c r="P1" s="123" t="inlineStr">
        <is>
          <t>RF Brand</t>
        </is>
      </c>
      <c r="Q1" s="123" t="inlineStr">
        <is>
          <t>RF Model</t>
        </is>
      </c>
      <c r="R1" s="123" t="inlineStr">
        <is>
          <t>Vessel</t>
        </is>
      </c>
      <c r="S1" s="123" t="inlineStr">
        <is>
          <t>Voyage</t>
        </is>
      </c>
      <c r="T1" s="123" t="inlineStr">
        <is>
          <t>LWHARF</t>
        </is>
      </c>
      <c r="U1" s="123" t="inlineStr">
        <is>
          <t>POL</t>
        </is>
      </c>
      <c r="V1" s="123" t="inlineStr">
        <is>
          <t>POL Date</t>
        </is>
      </c>
      <c r="W1" s="123" t="inlineStr">
        <is>
          <t>POD</t>
        </is>
      </c>
      <c r="X1" s="123" t="inlineStr">
        <is>
          <t>POD Date</t>
        </is>
      </c>
      <c r="Y1" s="123" t="inlineStr">
        <is>
          <t>SOC</t>
        </is>
      </c>
      <c r="Z1" s="123" t="inlineStr">
        <is>
          <t>Seal No</t>
        </is>
      </c>
      <c r="AA1" s="123" t="inlineStr">
        <is>
          <t>Truck No</t>
        </is>
      </c>
      <c r="AB1" s="123" t="inlineStr">
        <is>
          <t>Haulier</t>
        </is>
      </c>
      <c r="AC1" s="123" t="inlineStr">
        <is>
          <t>Driver Tel</t>
        </is>
      </c>
      <c r="AD1" s="123" t="inlineStr">
        <is>
          <t>InpDate</t>
        </is>
      </c>
      <c r="AE1" s="123" t="inlineStr">
        <is>
          <t>InpTime</t>
        </is>
      </c>
      <c r="AF1" s="123" t="inlineStr">
        <is>
          <t>EmpNo</t>
        </is>
      </c>
      <c r="AG1" s="123" t="inlineStr">
        <is>
          <t>SendId</t>
        </is>
      </c>
      <c r="AH1" s="123" t="inlineStr">
        <is>
          <t>SendDate</t>
        </is>
      </c>
      <c r="AI1" s="123" t="inlineStr">
        <is>
          <t>Cnee Code</t>
        </is>
      </c>
      <c r="AJ1" s="123" t="inlineStr">
        <is>
          <t>Cnee Name</t>
        </is>
      </c>
      <c r="AK1" s="123" t="inlineStr">
        <is>
          <t>Weight</t>
        </is>
      </c>
    </row>
    <row r="2">
      <c r="A2" s="122" t="inlineStr">
        <is>
          <t>BEAU2480647</t>
        </is>
      </c>
      <c r="B2" s="122" t="inlineStr">
        <is>
          <t>LCH04</t>
        </is>
      </c>
      <c r="C2" s="122" t="inlineStr">
        <is>
          <t>IFV</t>
        </is>
      </c>
      <c r="D2" s="122" t="inlineStr">
        <is>
          <t>2026-10-05</t>
        </is>
      </c>
      <c r="E2" s="122" t="inlineStr">
        <is>
          <t>1637</t>
        </is>
      </c>
      <c r="F2" s="122" t="inlineStr">
        <is>
          <t>HASLS22260902438</t>
        </is>
      </c>
      <c r="G2" s="122" t="inlineStr">
        <is>
          <t>AWOT GLOBAL LOGISTICS (THAILAND) CO., LTD.</t>
        </is>
      </c>
      <c r="H2" s="122" t="inlineStr">
        <is>
          <t>22GP</t>
        </is>
      </c>
      <c r="I2" s="122" t="inlineStr">
        <is>
          <t>EMAIL</t>
        </is>
      </c>
      <c r="J2" s="122" t="inlineStr">
        <is>
          <t>EDI2</t>
        </is>
      </c>
      <c r="L2" s="122" t="inlineStr">
        <is>
          <t>Full</t>
        </is>
      </c>
      <c r="M2" s="122" t="inlineStr">
        <is>
          <t>HASLS22260902438</t>
        </is>
      </c>
      <c r="N2" s="122" t="inlineStr">
        <is>
          <t xml:space="preserve">20'x6 </t>
        </is>
      </c>
      <c r="O2" s="122" t="inlineStr">
        <is>
          <t>2015</t>
        </is>
      </c>
      <c r="R2" s="122" t="inlineStr">
        <is>
          <t>SWAT</t>
        </is>
      </c>
      <c r="S2" s="122" t="inlineStr">
        <is>
          <t>2610N</t>
        </is>
      </c>
      <c r="T2" s="122" t="inlineStr">
        <is>
          <t>LCH04</t>
        </is>
      </c>
      <c r="U2" s="122" t="inlineStr">
        <is>
          <t>THLCH</t>
        </is>
      </c>
      <c r="V2" s="122" t="inlineStr">
        <is>
          <t>2026-10-11</t>
        </is>
      </c>
      <c r="W2" s="122" t="inlineStr">
        <is>
          <t>JPTOS</t>
        </is>
      </c>
      <c r="X2" s="122" t="inlineStr">
        <is>
          <t>2026-10-20</t>
        </is>
      </c>
      <c r="AD2" s="122" t="inlineStr">
        <is>
          <t>2026-10-05</t>
        </is>
      </c>
      <c r="AE2" s="122" t="inlineStr">
        <is>
          <t>2000</t>
        </is>
      </c>
      <c r="AF2" s="122" t="inlineStr">
        <is>
          <t>EDI2</t>
        </is>
      </c>
      <c r="AJ2" s="122" t="inlineStr">
        <is>
          <t>DAIKI ALUMINIUM INDUSTRY</t>
        </is>
      </c>
    </row>
    <row r="3">
      <c r="A3" s="122" t="inlineStr">
        <is>
          <t>BEAU2513118</t>
        </is>
      </c>
      <c r="B3" s="122" t="inlineStr">
        <is>
          <t>LCH04</t>
        </is>
      </c>
      <c r="C3" s="122" t="inlineStr">
        <is>
          <t>IFV</t>
        </is>
      </c>
      <c r="D3" s="122" t="inlineStr">
        <is>
          <t>2026-10-05</t>
        </is>
      </c>
      <c r="E3" s="122" t="inlineStr">
        <is>
          <t>2025</t>
        </is>
      </c>
      <c r="F3" s="122" t="inlineStr">
        <is>
          <t>HASLS22260902438</t>
        </is>
      </c>
      <c r="G3" s="122" t="inlineStr">
        <is>
          <t>AWOT GLOBAL LOGISTICS (THAILAND) CO., LTD.</t>
        </is>
      </c>
      <c r="H3" s="122" t="inlineStr">
        <is>
          <t>22GP</t>
        </is>
      </c>
      <c r="I3" s="122" t="inlineStr">
        <is>
          <t>EMAIL</t>
        </is>
      </c>
      <c r="J3" s="122" t="inlineStr">
        <is>
          <t>EDI2</t>
        </is>
      </c>
      <c r="L3" s="122" t="inlineStr">
        <is>
          <t>Full</t>
        </is>
      </c>
      <c r="M3" s="122" t="inlineStr">
        <is>
          <t>HASLS22260902438</t>
        </is>
      </c>
      <c r="N3" s="122" t="inlineStr">
        <is>
          <t xml:space="preserve">20'x6 </t>
        </is>
      </c>
      <c r="O3" s="122" t="inlineStr">
        <is>
          <t>2015</t>
        </is>
      </c>
      <c r="R3" s="122" t="inlineStr">
        <is>
          <t>SWAT</t>
        </is>
      </c>
      <c r="S3" s="122" t="inlineStr">
        <is>
          <t>2610N</t>
        </is>
      </c>
      <c r="T3" s="122" t="inlineStr">
        <is>
          <t>LCH04</t>
        </is>
      </c>
      <c r="U3" s="122" t="inlineStr">
        <is>
          <t>THLCH</t>
        </is>
      </c>
      <c r="V3" s="122" t="inlineStr">
        <is>
          <t>2026-10-11</t>
        </is>
      </c>
      <c r="W3" s="122" t="inlineStr">
        <is>
          <t>JPTOS</t>
        </is>
      </c>
      <c r="X3" s="122" t="inlineStr">
        <is>
          <t>2026-10-20</t>
        </is>
      </c>
      <c r="AD3" s="122" t="inlineStr">
        <is>
          <t>2026-10-06</t>
        </is>
      </c>
      <c r="AE3" s="122" t="inlineStr">
        <is>
          <t>0000</t>
        </is>
      </c>
      <c r="AF3" s="122" t="inlineStr">
        <is>
          <t>EDI2</t>
        </is>
      </c>
      <c r="AJ3" s="122" t="inlineStr">
        <is>
          <t>DAIKI ALUMINIUM INDUSTRY</t>
        </is>
      </c>
    </row>
    <row r="4">
      <c r="A4" s="122" t="inlineStr">
        <is>
          <t>BMOU2948199</t>
        </is>
      </c>
      <c r="B4" s="122" t="inlineStr">
        <is>
          <t>LCH04</t>
        </is>
      </c>
      <c r="C4" s="122" t="inlineStr">
        <is>
          <t>IFV</t>
        </is>
      </c>
      <c r="D4" s="122" t="inlineStr">
        <is>
          <t>2026-10-05</t>
        </is>
      </c>
      <c r="E4" s="122" t="inlineStr">
        <is>
          <t>2123</t>
        </is>
      </c>
      <c r="F4" s="122" t="inlineStr">
        <is>
          <t>HASLS22260902438</t>
        </is>
      </c>
      <c r="G4" s="122" t="inlineStr">
        <is>
          <t>AWOT GLOBAL LOGISTICS (THAILAND) CO., LTD.</t>
        </is>
      </c>
      <c r="H4" s="122" t="inlineStr">
        <is>
          <t>22GP</t>
        </is>
      </c>
      <c r="I4" s="122" t="inlineStr">
        <is>
          <t>EMAIL</t>
        </is>
      </c>
      <c r="J4" s="122" t="inlineStr">
        <is>
          <t>EDI2</t>
        </is>
      </c>
      <c r="L4" s="122" t="inlineStr">
        <is>
          <t>Full</t>
        </is>
      </c>
      <c r="M4" s="122" t="inlineStr">
        <is>
          <t>HASLS22260902438</t>
        </is>
      </c>
      <c r="N4" s="122" t="inlineStr">
        <is>
          <t xml:space="preserve">20'x6 </t>
        </is>
      </c>
      <c r="O4" s="122" t="inlineStr">
        <is>
          <t>2012</t>
        </is>
      </c>
      <c r="R4" s="122" t="inlineStr">
        <is>
          <t>SWAT</t>
        </is>
      </c>
      <c r="S4" s="122" t="inlineStr">
        <is>
          <t>2610N</t>
        </is>
      </c>
      <c r="T4" s="122" t="inlineStr">
        <is>
          <t>LCH04</t>
        </is>
      </c>
      <c r="U4" s="122" t="inlineStr">
        <is>
          <t>THLCH</t>
        </is>
      </c>
      <c r="V4" s="122" t="inlineStr">
        <is>
          <t>2026-10-11</t>
        </is>
      </c>
      <c r="W4" s="122" t="inlineStr">
        <is>
          <t>JPTOS</t>
        </is>
      </c>
      <c r="X4" s="122" t="inlineStr">
        <is>
          <t>2026-10-20</t>
        </is>
      </c>
      <c r="AD4" s="122" t="inlineStr">
        <is>
          <t>2026-10-06</t>
        </is>
      </c>
      <c r="AE4" s="122" t="inlineStr">
        <is>
          <t>0000</t>
        </is>
      </c>
      <c r="AF4" s="122" t="inlineStr">
        <is>
          <t>EDI2</t>
        </is>
      </c>
      <c r="AJ4" s="122" t="inlineStr">
        <is>
          <t>DAIKI ALUMINIUM INDUSTRY</t>
        </is>
      </c>
    </row>
    <row r="5">
      <c r="A5" s="122" t="inlineStr">
        <is>
          <t>GLDU5657410</t>
        </is>
      </c>
      <c r="B5" s="122" t="inlineStr">
        <is>
          <t>LCH04</t>
        </is>
      </c>
      <c r="C5" s="122" t="inlineStr">
        <is>
          <t>IFV</t>
        </is>
      </c>
      <c r="D5" s="122" t="inlineStr">
        <is>
          <t>2026-10-06</t>
        </is>
      </c>
      <c r="E5" s="122" t="inlineStr">
        <is>
          <t>1728</t>
        </is>
      </c>
      <c r="F5" s="122" t="inlineStr">
        <is>
          <t>HASLS22261000190</t>
        </is>
      </c>
      <c r="G5" s="122" t="inlineStr">
        <is>
          <t>SS EXCELLENT NETWORK CO.,LTD</t>
        </is>
      </c>
      <c r="H5" s="122" t="inlineStr">
        <is>
          <t>22GP</t>
        </is>
      </c>
      <c r="I5" s="122" t="inlineStr">
        <is>
          <t>EMAIL</t>
        </is>
      </c>
      <c r="J5" s="122" t="inlineStr">
        <is>
          <t>EDI2</t>
        </is>
      </c>
      <c r="L5" s="122" t="inlineStr">
        <is>
          <t>Full</t>
        </is>
      </c>
      <c r="M5" s="122" t="inlineStr">
        <is>
          <t>HASLS22261000190</t>
        </is>
      </c>
      <c r="N5" s="122" t="inlineStr">
        <is>
          <t xml:space="preserve">20'x1 </t>
        </is>
      </c>
      <c r="O5" s="122" t="inlineStr">
        <is>
          <t>2008</t>
        </is>
      </c>
      <c r="R5" s="122" t="inlineStr">
        <is>
          <t>SWAT</t>
        </is>
      </c>
      <c r="S5" s="122" t="inlineStr">
        <is>
          <t>2610N</t>
        </is>
      </c>
      <c r="T5" s="122" t="inlineStr">
        <is>
          <t>LCH04</t>
        </is>
      </c>
      <c r="U5" s="122" t="inlineStr">
        <is>
          <t>THLCH</t>
        </is>
      </c>
      <c r="V5" s="122" t="inlineStr">
        <is>
          <t>2026-10-11</t>
        </is>
      </c>
      <c r="W5" s="122" t="inlineStr">
        <is>
          <t>HKHKG</t>
        </is>
      </c>
      <c r="X5" s="122" t="inlineStr">
        <is>
          <t>2026-10-15</t>
        </is>
      </c>
      <c r="AD5" s="122" t="inlineStr">
        <is>
          <t>2026-10-06</t>
        </is>
      </c>
      <c r="AE5" s="122" t="inlineStr">
        <is>
          <t>2000</t>
        </is>
      </c>
      <c r="AF5" s="122" t="inlineStr">
        <is>
          <t>EDI2</t>
        </is>
      </c>
      <c r="AJ5" s="122" t="inlineStr">
        <is>
          <t>QINGYUAN MINGDA METAL CO.,LTD.</t>
        </is>
      </c>
    </row>
    <row r="6">
      <c r="A6" s="122" t="inlineStr">
        <is>
          <t>HLHU8405871</t>
        </is>
      </c>
      <c r="B6" s="122" t="inlineStr">
        <is>
          <t>LCH04</t>
        </is>
      </c>
      <c r="C6" s="122" t="inlineStr">
        <is>
          <t>IFV</t>
        </is>
      </c>
      <c r="D6" s="122" t="inlineStr">
        <is>
          <t>2026-10-03</t>
        </is>
      </c>
      <c r="E6" s="122" t="inlineStr">
        <is>
          <t>1107</t>
        </is>
      </c>
      <c r="F6" s="122" t="inlineStr">
        <is>
          <t>HASLS22260900756</t>
        </is>
      </c>
      <c r="G6" s="122" t="inlineStr">
        <is>
          <t>DOW CHEMICAL THAILAND LTD.</t>
        </is>
      </c>
      <c r="H6" s="122" t="inlineStr">
        <is>
          <t>45GP</t>
        </is>
      </c>
      <c r="I6" s="122" t="inlineStr">
        <is>
          <t>EMAIL</t>
        </is>
      </c>
      <c r="J6" s="122" t="inlineStr">
        <is>
          <t>EDI2</t>
        </is>
      </c>
      <c r="L6" s="122" t="inlineStr">
        <is>
          <t>Full</t>
        </is>
      </c>
      <c r="M6" s="122" t="inlineStr">
        <is>
          <t>HASLS22260900756</t>
        </is>
      </c>
      <c r="N6" s="122" t="inlineStr">
        <is>
          <t xml:space="preserve">40Hx2 </t>
        </is>
      </c>
      <c r="O6" s="122" t="inlineStr">
        <is>
          <t>2024</t>
        </is>
      </c>
      <c r="R6" s="122" t="inlineStr">
        <is>
          <t>SWAT</t>
        </is>
      </c>
      <c r="S6" s="122" t="inlineStr">
        <is>
          <t>2610N</t>
        </is>
      </c>
      <c r="T6" s="122" t="inlineStr">
        <is>
          <t>LCH04</t>
        </is>
      </c>
      <c r="U6" s="122" t="inlineStr">
        <is>
          <t>THLCH</t>
        </is>
      </c>
      <c r="V6" s="122" t="inlineStr">
        <is>
          <t>2026-10-11</t>
        </is>
      </c>
      <c r="W6" s="122" t="inlineStr">
        <is>
          <t>JPTAK</t>
        </is>
      </c>
      <c r="X6" s="122" t="inlineStr">
        <is>
          <t>2026-10-20</t>
        </is>
      </c>
      <c r="AD6" s="122" t="inlineStr">
        <is>
          <t>2026-10-03</t>
        </is>
      </c>
      <c r="AE6" s="122" t="inlineStr">
        <is>
          <t>1400</t>
        </is>
      </c>
      <c r="AF6" s="122" t="inlineStr">
        <is>
          <t>EDI2</t>
        </is>
      </c>
      <c r="AJ6" s="122" t="inlineStr">
        <is>
          <t>TOYOTSU CHEMIPLAS CORPORATION</t>
        </is>
      </c>
    </row>
    <row r="7">
      <c r="A7" s="122" t="inlineStr">
        <is>
          <t>HLHU8491951</t>
        </is>
      </c>
      <c r="B7" s="122" t="inlineStr">
        <is>
          <t>LCH04</t>
        </is>
      </c>
      <c r="C7" s="122" t="inlineStr">
        <is>
          <t>IFV</t>
        </is>
      </c>
      <c r="D7" s="122" t="inlineStr">
        <is>
          <t>2026-10-03</t>
        </is>
      </c>
      <c r="E7" s="122" t="inlineStr">
        <is>
          <t>1131</t>
        </is>
      </c>
      <c r="F7" s="122" t="inlineStr">
        <is>
          <t>HASLS22260900756</t>
        </is>
      </c>
      <c r="G7" s="122" t="inlineStr">
        <is>
          <t>DOW CHEMICAL THAILAND LTD.</t>
        </is>
      </c>
      <c r="H7" s="122" t="inlineStr">
        <is>
          <t>45GP</t>
        </is>
      </c>
      <c r="I7" s="122" t="inlineStr">
        <is>
          <t>EMAIL</t>
        </is>
      </c>
      <c r="J7" s="122" t="inlineStr">
        <is>
          <t>EDI2</t>
        </is>
      </c>
      <c r="L7" s="122" t="inlineStr">
        <is>
          <t>Full</t>
        </is>
      </c>
      <c r="M7" s="122" t="inlineStr">
        <is>
          <t>HASLS22260900756</t>
        </is>
      </c>
      <c r="N7" s="122" t="inlineStr">
        <is>
          <t xml:space="preserve">40Hx2 </t>
        </is>
      </c>
      <c r="O7" s="122" t="inlineStr">
        <is>
          <t>2024</t>
        </is>
      </c>
      <c r="R7" s="122" t="inlineStr">
        <is>
          <t>SWAT</t>
        </is>
      </c>
      <c r="S7" s="122" t="inlineStr">
        <is>
          <t>2610N</t>
        </is>
      </c>
      <c r="T7" s="122" t="inlineStr">
        <is>
          <t>LCH04</t>
        </is>
      </c>
      <c r="U7" s="122" t="inlineStr">
        <is>
          <t>THLCH</t>
        </is>
      </c>
      <c r="V7" s="122" t="inlineStr">
        <is>
          <t>2026-10-11</t>
        </is>
      </c>
      <c r="W7" s="122" t="inlineStr">
        <is>
          <t>JPTAK</t>
        </is>
      </c>
      <c r="X7" s="122" t="inlineStr">
        <is>
          <t>2026-10-20</t>
        </is>
      </c>
      <c r="AD7" s="122" t="inlineStr">
        <is>
          <t>2026-10-03</t>
        </is>
      </c>
      <c r="AE7" s="122" t="inlineStr">
        <is>
          <t>1400</t>
        </is>
      </c>
      <c r="AF7" s="122" t="inlineStr">
        <is>
          <t>EDI2</t>
        </is>
      </c>
      <c r="AJ7" s="122" t="inlineStr">
        <is>
          <t>TOYOTSU CHEMIPLAS CORPORATION</t>
        </is>
      </c>
    </row>
    <row r="8">
      <c r="A8" s="122" t="inlineStr">
        <is>
          <t>KMLU2800320</t>
        </is>
      </c>
      <c r="B8" s="122" t="inlineStr">
        <is>
          <t>LCH04</t>
        </is>
      </c>
      <c r="C8" s="122" t="inlineStr">
        <is>
          <t>IFV</t>
        </is>
      </c>
      <c r="D8" s="122" t="inlineStr">
        <is>
          <t>2026-10-06</t>
        </is>
      </c>
      <c r="E8" s="122" t="inlineStr">
        <is>
          <t>1723</t>
        </is>
      </c>
      <c r="F8" s="122" t="inlineStr">
        <is>
          <t>HASLS22260901340</t>
        </is>
      </c>
      <c r="G8" s="122" t="inlineStr">
        <is>
          <t>MERCURIAL LOGISTICS  CO.,LTD</t>
        </is>
      </c>
      <c r="H8" s="122" t="inlineStr">
        <is>
          <t>22GP</t>
        </is>
      </c>
      <c r="I8" s="122" t="inlineStr">
        <is>
          <t>EMAIL</t>
        </is>
      </c>
      <c r="J8" s="122" t="inlineStr">
        <is>
          <t>EDI2</t>
        </is>
      </c>
      <c r="L8" s="122" t="inlineStr">
        <is>
          <t>Full</t>
        </is>
      </c>
      <c r="M8" s="122" t="inlineStr">
        <is>
          <t>HASLS22260901340</t>
        </is>
      </c>
      <c r="N8" s="122" t="inlineStr">
        <is>
          <t xml:space="preserve">20'x1 </t>
        </is>
      </c>
      <c r="O8" s="122" t="inlineStr">
        <is>
          <t>2008</t>
        </is>
      </c>
      <c r="R8" s="122" t="inlineStr">
        <is>
          <t>SWAT</t>
        </is>
      </c>
      <c r="S8" s="122" t="inlineStr">
        <is>
          <t>2610N</t>
        </is>
      </c>
      <c r="T8" s="122" t="inlineStr">
        <is>
          <t>LCH04</t>
        </is>
      </c>
      <c r="U8" s="122" t="inlineStr">
        <is>
          <t>THLCH</t>
        </is>
      </c>
      <c r="V8" s="122" t="inlineStr">
        <is>
          <t>2026-10-11</t>
        </is>
      </c>
      <c r="W8" s="122" t="inlineStr">
        <is>
          <t>TWKEL</t>
        </is>
      </c>
      <c r="X8" s="122" t="inlineStr">
        <is>
          <t>2026-10-18</t>
        </is>
      </c>
      <c r="AD8" s="122" t="inlineStr">
        <is>
          <t>2026-10-06</t>
        </is>
      </c>
      <c r="AE8" s="122" t="inlineStr">
        <is>
          <t>2000</t>
        </is>
      </c>
      <c r="AF8" s="122" t="inlineStr">
        <is>
          <t>EDI2</t>
        </is>
      </c>
      <c r="AJ8" s="122" t="inlineStr">
        <is>
          <t>WITTY MATE CORPORATION</t>
        </is>
      </c>
    </row>
    <row r="9">
      <c r="A9" s="122" t="inlineStr">
        <is>
          <t>SKHU8917094</t>
        </is>
      </c>
      <c r="B9" s="122" t="inlineStr">
        <is>
          <t>LCH04</t>
        </is>
      </c>
      <c r="C9" s="122" t="inlineStr">
        <is>
          <t>IFV</t>
        </is>
      </c>
      <c r="D9" s="122" t="inlineStr">
        <is>
          <t>2026-10-05</t>
        </is>
      </c>
      <c r="E9" s="122" t="inlineStr">
        <is>
          <t>1043</t>
        </is>
      </c>
      <c r="F9" s="122" t="inlineStr">
        <is>
          <t>HASLS22260901169</t>
        </is>
      </c>
      <c r="G9" s="122" t="inlineStr">
        <is>
          <t>TOP INTER FREIGHT CO., LTD.</t>
        </is>
      </c>
      <c r="H9" s="122" t="inlineStr">
        <is>
          <t>45GP</t>
        </is>
      </c>
      <c r="I9" s="122" t="inlineStr">
        <is>
          <t>EMAIL</t>
        </is>
      </c>
      <c r="J9" s="122" t="inlineStr">
        <is>
          <t>EDI2</t>
        </is>
      </c>
      <c r="L9" s="122" t="inlineStr">
        <is>
          <t>Full</t>
        </is>
      </c>
      <c r="M9" s="122" t="inlineStr">
        <is>
          <t>HASLS22260901169</t>
        </is>
      </c>
      <c r="N9" s="122" t="inlineStr">
        <is>
          <t xml:space="preserve">40Hx1 </t>
        </is>
      </c>
      <c r="O9" s="122" t="inlineStr">
        <is>
          <t>2019</t>
        </is>
      </c>
      <c r="R9" s="122" t="inlineStr">
        <is>
          <t>SWAT</t>
        </is>
      </c>
      <c r="S9" s="122" t="inlineStr">
        <is>
          <t>2610N</t>
        </is>
      </c>
      <c r="T9" s="122" t="inlineStr">
        <is>
          <t>LCH04</t>
        </is>
      </c>
      <c r="U9" s="122" t="inlineStr">
        <is>
          <t>THLCH</t>
        </is>
      </c>
      <c r="V9" s="122" t="inlineStr">
        <is>
          <t>2026-10-11</t>
        </is>
      </c>
      <c r="W9" s="122" t="inlineStr">
        <is>
          <t>TWKEL</t>
        </is>
      </c>
      <c r="X9" s="122" t="inlineStr">
        <is>
          <t>2026-10-18</t>
        </is>
      </c>
      <c r="AD9" s="122" t="inlineStr">
        <is>
          <t>2026-10-05</t>
        </is>
      </c>
      <c r="AE9" s="122" t="inlineStr">
        <is>
          <t>1400</t>
        </is>
      </c>
      <c r="AF9" s="122" t="inlineStr">
        <is>
          <t>EDI2</t>
        </is>
      </c>
      <c r="AJ9" s="122" t="inlineStr">
        <is>
          <t>TO THE ORDER OF CHANG HWA</t>
        </is>
      </c>
    </row>
    <row r="10">
      <c r="A10" s="122" t="inlineStr">
        <is>
          <t>SKHU9416651</t>
        </is>
      </c>
      <c r="B10" s="122" t="inlineStr">
        <is>
          <t>LCH04</t>
        </is>
      </c>
      <c r="C10" s="122" t="inlineStr">
        <is>
          <t>IFV</t>
        </is>
      </c>
      <c r="D10" s="122" t="inlineStr">
        <is>
          <t>2026-10-04</t>
        </is>
      </c>
      <c r="E10" s="122" t="inlineStr">
        <is>
          <t>1242</t>
        </is>
      </c>
      <c r="F10" s="122" t="inlineStr">
        <is>
          <t>HASLS22260900220</t>
        </is>
      </c>
      <c r="G10" s="122" t="inlineStr">
        <is>
          <t>BDP ASIA-PACIFIC LTD.</t>
        </is>
      </c>
      <c r="H10" s="122" t="inlineStr">
        <is>
          <t>45GP</t>
        </is>
      </c>
      <c r="I10" s="122" t="inlineStr">
        <is>
          <t>EMAIL</t>
        </is>
      </c>
      <c r="J10" s="122" t="inlineStr">
        <is>
          <t>EDI2</t>
        </is>
      </c>
      <c r="L10" s="122" t="inlineStr">
        <is>
          <t>Full</t>
        </is>
      </c>
      <c r="M10" s="122" t="inlineStr">
        <is>
          <t>HASLS22260900220</t>
        </is>
      </c>
      <c r="N10" s="122" t="inlineStr">
        <is>
          <t xml:space="preserve">40Hx1 </t>
        </is>
      </c>
      <c r="O10" s="122" t="inlineStr">
        <is>
          <t>2014</t>
        </is>
      </c>
      <c r="R10" s="122" t="inlineStr">
        <is>
          <t>SWAT</t>
        </is>
      </c>
      <c r="S10" s="122" t="inlineStr">
        <is>
          <t>2610N</t>
        </is>
      </c>
      <c r="T10" s="122" t="inlineStr">
        <is>
          <t>LCH04</t>
        </is>
      </c>
      <c r="U10" s="122" t="inlineStr">
        <is>
          <t>THLCH</t>
        </is>
      </c>
      <c r="V10" s="122" t="inlineStr">
        <is>
          <t>2026-10-11</t>
        </is>
      </c>
      <c r="W10" s="122" t="inlineStr">
        <is>
          <t>TWKEL</t>
        </is>
      </c>
      <c r="X10" s="122" t="inlineStr">
        <is>
          <t>2026-10-18</t>
        </is>
      </c>
      <c r="AD10" s="122" t="inlineStr">
        <is>
          <t>2026-10-04</t>
        </is>
      </c>
      <c r="AE10" s="122" t="inlineStr">
        <is>
          <t>1600</t>
        </is>
      </c>
      <c r="AF10" s="122" t="inlineStr">
        <is>
          <t>EDI2</t>
        </is>
      </c>
      <c r="AJ10" s="122" t="inlineStr">
        <is>
          <t>BDP ASIA PACIFIC PTE LTD,</t>
        </is>
      </c>
    </row>
    <row r="11">
      <c r="A11" s="122" t="inlineStr">
        <is>
          <t>SKLU0574680</t>
        </is>
      </c>
      <c r="B11" s="122" t="inlineStr">
        <is>
          <t>LCH04</t>
        </is>
      </c>
      <c r="C11" s="122" t="inlineStr">
        <is>
          <t>IFV</t>
        </is>
      </c>
      <c r="D11" s="122" t="inlineStr">
        <is>
          <t>2026-10-03</t>
        </is>
      </c>
      <c r="E11" s="122" t="inlineStr">
        <is>
          <t>1558</t>
        </is>
      </c>
      <c r="F11" s="122" t="inlineStr">
        <is>
          <t>HASLS22260900495</t>
        </is>
      </c>
      <c r="G11" s="122" t="inlineStr">
        <is>
          <t>KWE-KINTETSU WORLD EXPRESS (THAILAND) CO., LTD.</t>
        </is>
      </c>
      <c r="H11" s="122" t="inlineStr">
        <is>
          <t>22GP</t>
        </is>
      </c>
      <c r="I11" s="122" t="inlineStr">
        <is>
          <t>EMAIL</t>
        </is>
      </c>
      <c r="J11" s="122" t="inlineStr">
        <is>
          <t>EDI2</t>
        </is>
      </c>
      <c r="L11" s="122" t="inlineStr">
        <is>
          <t>Full</t>
        </is>
      </c>
      <c r="M11" s="122" t="inlineStr">
        <is>
          <t>HASLS22260900495</t>
        </is>
      </c>
      <c r="N11" s="122" t="inlineStr">
        <is>
          <t xml:space="preserve">20'x1 </t>
        </is>
      </c>
      <c r="O11" s="122" t="inlineStr">
        <is>
          <t>2025</t>
        </is>
      </c>
      <c r="R11" s="122" t="inlineStr">
        <is>
          <t>SWAT</t>
        </is>
      </c>
      <c r="S11" s="122" t="inlineStr">
        <is>
          <t>2610N</t>
        </is>
      </c>
      <c r="T11" s="122" t="inlineStr">
        <is>
          <t>LCH04</t>
        </is>
      </c>
      <c r="U11" s="122" t="inlineStr">
        <is>
          <t>THLCH</t>
        </is>
      </c>
      <c r="V11" s="122" t="inlineStr">
        <is>
          <t>2026-10-11</t>
        </is>
      </c>
      <c r="W11" s="122" t="inlineStr">
        <is>
          <t>HKHKG</t>
        </is>
      </c>
      <c r="X11" s="122" t="inlineStr">
        <is>
          <t>2026-10-15</t>
        </is>
      </c>
      <c r="AD11" s="122" t="inlineStr">
        <is>
          <t>2026-10-03</t>
        </is>
      </c>
      <c r="AE11" s="122" t="inlineStr">
        <is>
          <t>1800</t>
        </is>
      </c>
      <c r="AF11" s="122" t="inlineStr">
        <is>
          <t>EDI2</t>
        </is>
      </c>
      <c r="AJ11" s="122" t="inlineStr">
        <is>
          <t>KINTETSU WORLD EXPRESS (HK) LIMITED</t>
        </is>
      </c>
    </row>
    <row r="12">
      <c r="A12" s="122" t="inlineStr">
        <is>
          <t>SKLU0586300</t>
        </is>
      </c>
      <c r="B12" s="122" t="inlineStr">
        <is>
          <t>LCH04</t>
        </is>
      </c>
      <c r="C12" s="122" t="inlineStr">
        <is>
          <t>IFV</t>
        </is>
      </c>
      <c r="D12" s="122" t="inlineStr">
        <is>
          <t>2026-10-05</t>
        </is>
      </c>
      <c r="E12" s="122" t="inlineStr">
        <is>
          <t>1535</t>
        </is>
      </c>
      <c r="F12" s="122" t="inlineStr">
        <is>
          <t>HASLS22260902438</t>
        </is>
      </c>
      <c r="G12" s="122" t="inlineStr">
        <is>
          <t>AWOT GLOBAL LOGISTICS (THAILAND) CO., LTD.</t>
        </is>
      </c>
      <c r="H12" s="122" t="inlineStr">
        <is>
          <t>22GP</t>
        </is>
      </c>
      <c r="I12" s="122" t="inlineStr">
        <is>
          <t>EMAIL</t>
        </is>
      </c>
      <c r="J12" s="122" t="inlineStr">
        <is>
          <t>EDI2</t>
        </is>
      </c>
      <c r="L12" s="122" t="inlineStr">
        <is>
          <t>Full</t>
        </is>
      </c>
      <c r="M12" s="122" t="inlineStr">
        <is>
          <t>HASLS22260902438</t>
        </is>
      </c>
      <c r="N12" s="122" t="inlineStr">
        <is>
          <t xml:space="preserve">20'x6 </t>
        </is>
      </c>
      <c r="O12" s="122" t="inlineStr">
        <is>
          <t>2025</t>
        </is>
      </c>
      <c r="R12" s="122" t="inlineStr">
        <is>
          <t>SWAT</t>
        </is>
      </c>
      <c r="S12" s="122" t="inlineStr">
        <is>
          <t>2610N</t>
        </is>
      </c>
      <c r="T12" s="122" t="inlineStr">
        <is>
          <t>LCH04</t>
        </is>
      </c>
      <c r="U12" s="122" t="inlineStr">
        <is>
          <t>THLCH</t>
        </is>
      </c>
      <c r="V12" s="122" t="inlineStr">
        <is>
          <t>2026-10-11</t>
        </is>
      </c>
      <c r="W12" s="122" t="inlineStr">
        <is>
          <t>JPTOS</t>
        </is>
      </c>
      <c r="X12" s="122" t="inlineStr">
        <is>
          <t>2026-10-20</t>
        </is>
      </c>
      <c r="AD12" s="122" t="inlineStr">
        <is>
          <t>2026-10-05</t>
        </is>
      </c>
      <c r="AE12" s="122" t="inlineStr">
        <is>
          <t>1800</t>
        </is>
      </c>
      <c r="AF12" s="122" t="inlineStr">
        <is>
          <t>EDI2</t>
        </is>
      </c>
      <c r="AJ12" s="122" t="inlineStr">
        <is>
          <t>DAIKI ALUMINIUM INDUSTRY</t>
        </is>
      </c>
    </row>
    <row r="13">
      <c r="A13" s="122" t="inlineStr">
        <is>
          <t>SKLU0731840</t>
        </is>
      </c>
      <c r="B13" s="122" t="inlineStr">
        <is>
          <t>LCH04</t>
        </is>
      </c>
      <c r="C13" s="122" t="inlineStr">
        <is>
          <t>IFV</t>
        </is>
      </c>
      <c r="D13" s="122" t="inlineStr">
        <is>
          <t>2026-10-05</t>
        </is>
      </c>
      <c r="E13" s="122" t="inlineStr">
        <is>
          <t>1429</t>
        </is>
      </c>
      <c r="F13" s="122" t="inlineStr">
        <is>
          <t>HASLS22261000204</t>
        </is>
      </c>
      <c r="G13" s="122" t="inlineStr">
        <is>
          <t>SS EXCELLENT NETWORK CO.,LTD</t>
        </is>
      </c>
      <c r="H13" s="122" t="inlineStr">
        <is>
          <t>22GP</t>
        </is>
      </c>
      <c r="I13" s="122" t="inlineStr">
        <is>
          <t>EMAIL</t>
        </is>
      </c>
      <c r="J13" s="122" t="inlineStr">
        <is>
          <t>EDI2</t>
        </is>
      </c>
      <c r="L13" s="122" t="inlineStr">
        <is>
          <t>Full</t>
        </is>
      </c>
      <c r="M13" s="122" t="inlineStr">
        <is>
          <t>HASLS22261000204</t>
        </is>
      </c>
      <c r="N13" s="122" t="inlineStr">
        <is>
          <t xml:space="preserve">20'x1 </t>
        </is>
      </c>
      <c r="O13" s="122" t="inlineStr">
        <is>
          <t>2007</t>
        </is>
      </c>
      <c r="R13" s="122" t="inlineStr">
        <is>
          <t>SWAT</t>
        </is>
      </c>
      <c r="S13" s="122" t="inlineStr">
        <is>
          <t>2610N</t>
        </is>
      </c>
      <c r="T13" s="122" t="inlineStr">
        <is>
          <t>LCH04</t>
        </is>
      </c>
      <c r="U13" s="122" t="inlineStr">
        <is>
          <t>THLCH</t>
        </is>
      </c>
      <c r="V13" s="122" t="inlineStr">
        <is>
          <t>2026-10-11</t>
        </is>
      </c>
      <c r="W13" s="122" t="inlineStr">
        <is>
          <t>HKHKG</t>
        </is>
      </c>
      <c r="X13" s="122" t="inlineStr">
        <is>
          <t>2026-10-15</t>
        </is>
      </c>
      <c r="AD13" s="122" t="inlineStr">
        <is>
          <t>2026-10-05</t>
        </is>
      </c>
      <c r="AE13" s="122" t="inlineStr">
        <is>
          <t>1800</t>
        </is>
      </c>
      <c r="AF13" s="122" t="inlineStr">
        <is>
          <t>EDI2</t>
        </is>
      </c>
      <c r="AJ13" s="122" t="inlineStr">
        <is>
          <t>LONGYAN XINGCHENGXIN ELECTRONIC</t>
        </is>
      </c>
    </row>
    <row r="14">
      <c r="A14" s="122" t="inlineStr">
        <is>
          <t>SKLU0737915</t>
        </is>
      </c>
      <c r="B14" s="122" t="inlineStr">
        <is>
          <t>LCH04</t>
        </is>
      </c>
      <c r="C14" s="122" t="inlineStr">
        <is>
          <t>IFV</t>
        </is>
      </c>
      <c r="D14" s="122" t="inlineStr">
        <is>
          <t>2026-10-09</t>
        </is>
      </c>
      <c r="E14" s="122" t="inlineStr">
        <is>
          <t>0415</t>
        </is>
      </c>
      <c r="F14" s="122" t="inlineStr">
        <is>
          <t>HASLS22260901481</t>
        </is>
      </c>
      <c r="G14" s="122" t="inlineStr">
        <is>
          <t>SS EXCELLENT NETWORK CO.,LTD</t>
        </is>
      </c>
      <c r="H14" s="122" t="inlineStr">
        <is>
          <t>22GP</t>
        </is>
      </c>
      <c r="I14" s="122" t="inlineStr">
        <is>
          <t>EMAIL</t>
        </is>
      </c>
      <c r="J14" s="122" t="inlineStr">
        <is>
          <t>EDI2</t>
        </is>
      </c>
      <c r="L14" s="122" t="inlineStr">
        <is>
          <t>Full</t>
        </is>
      </c>
      <c r="M14" s="122" t="inlineStr">
        <is>
          <t>HASLS22260901481</t>
        </is>
      </c>
      <c r="N14" s="122" t="inlineStr">
        <is>
          <t xml:space="preserve">20'x2 </t>
        </is>
      </c>
      <c r="O14" s="122" t="inlineStr">
        <is>
          <t>2007</t>
        </is>
      </c>
      <c r="R14" s="122" t="inlineStr">
        <is>
          <t>SWAT</t>
        </is>
      </c>
      <c r="S14" s="122" t="inlineStr">
        <is>
          <t>2610N</t>
        </is>
      </c>
      <c r="T14" s="122" t="inlineStr">
        <is>
          <t>LCH04</t>
        </is>
      </c>
      <c r="U14" s="122" t="inlineStr">
        <is>
          <t>THLCH</t>
        </is>
      </c>
      <c r="V14" s="122" t="inlineStr">
        <is>
          <t>2026-10-11</t>
        </is>
      </c>
      <c r="W14" s="122" t="inlineStr">
        <is>
          <t>HKHKG</t>
        </is>
      </c>
      <c r="X14" s="122" t="inlineStr">
        <is>
          <t>2026-10-15</t>
        </is>
      </c>
      <c r="AD14" s="122" t="inlineStr">
        <is>
          <t>2026-10-09</t>
        </is>
      </c>
      <c r="AE14" s="122" t="inlineStr">
        <is>
          <t>0800</t>
        </is>
      </c>
      <c r="AF14" s="122" t="inlineStr">
        <is>
          <t>EDI2</t>
        </is>
      </c>
      <c r="AJ14" s="122" t="inlineStr">
        <is>
          <t>QINGYUAN YILIN RENEWABLE</t>
        </is>
      </c>
    </row>
    <row r="15">
      <c r="A15" s="122" t="inlineStr">
        <is>
          <t>SKLU0740040</t>
        </is>
      </c>
      <c r="B15" s="122" t="inlineStr">
        <is>
          <t>LCH04</t>
        </is>
      </c>
      <c r="C15" s="122" t="inlineStr">
        <is>
          <t>IFV</t>
        </is>
      </c>
      <c r="D15" s="122" t="inlineStr">
        <is>
          <t>2026-10-06</t>
        </is>
      </c>
      <c r="E15" s="122" t="inlineStr">
        <is>
          <t>2040</t>
        </is>
      </c>
      <c r="F15" s="122" t="inlineStr">
        <is>
          <t>HASLS22260901339</t>
        </is>
      </c>
      <c r="G15" s="122" t="inlineStr">
        <is>
          <t>MERCURIAL LOGISTICS  CO.,LTD</t>
        </is>
      </c>
      <c r="H15" s="122" t="inlineStr">
        <is>
          <t>22GP</t>
        </is>
      </c>
      <c r="I15" s="122" t="inlineStr">
        <is>
          <t>EMAIL</t>
        </is>
      </c>
      <c r="J15" s="122" t="inlineStr">
        <is>
          <t>EDI2</t>
        </is>
      </c>
      <c r="L15" s="122" t="inlineStr">
        <is>
          <t>Full</t>
        </is>
      </c>
      <c r="M15" s="122" t="inlineStr">
        <is>
          <t>HASLS22260901339</t>
        </is>
      </c>
      <c r="N15" s="122" t="inlineStr">
        <is>
          <t xml:space="preserve">20'x2 </t>
        </is>
      </c>
      <c r="O15" s="122" t="inlineStr">
        <is>
          <t>2007</t>
        </is>
      </c>
      <c r="R15" s="122" t="inlineStr">
        <is>
          <t>SWAT</t>
        </is>
      </c>
      <c r="S15" s="122" t="inlineStr">
        <is>
          <t>2610N</t>
        </is>
      </c>
      <c r="T15" s="122" t="inlineStr">
        <is>
          <t>LCH04</t>
        </is>
      </c>
      <c r="U15" s="122" t="inlineStr">
        <is>
          <t>THLCH</t>
        </is>
      </c>
      <c r="V15" s="122" t="inlineStr">
        <is>
          <t>2026-10-11</t>
        </is>
      </c>
      <c r="W15" s="122" t="inlineStr">
        <is>
          <t>TWKEL</t>
        </is>
      </c>
      <c r="X15" s="122" t="inlineStr">
        <is>
          <t>2026-10-18</t>
        </is>
      </c>
      <c r="AD15" s="122" t="inlineStr">
        <is>
          <t>2026-10-07</t>
        </is>
      </c>
      <c r="AE15" s="122" t="inlineStr">
        <is>
          <t>0000</t>
        </is>
      </c>
      <c r="AF15" s="122" t="inlineStr">
        <is>
          <t>EDI2</t>
        </is>
      </c>
      <c r="AJ15" s="122" t="inlineStr">
        <is>
          <t>TO THE ORDER OF HUA NAN</t>
        </is>
      </c>
    </row>
    <row r="16">
      <c r="A16" s="122" t="inlineStr">
        <is>
          <t>SKLU1434446</t>
        </is>
      </c>
      <c r="B16" s="122" t="inlineStr">
        <is>
          <t>LCH04</t>
        </is>
      </c>
      <c r="C16" s="122" t="inlineStr">
        <is>
          <t>IFV</t>
        </is>
      </c>
      <c r="D16" s="122" t="inlineStr">
        <is>
          <t>2026-10-06</t>
        </is>
      </c>
      <c r="E16" s="122" t="inlineStr">
        <is>
          <t>1809</t>
        </is>
      </c>
      <c r="F16" s="122" t="inlineStr">
        <is>
          <t>HASLS22260901339</t>
        </is>
      </c>
      <c r="G16" s="122" t="inlineStr">
        <is>
          <t>MERCURIAL LOGISTICS  CO.,LTD</t>
        </is>
      </c>
      <c r="H16" s="122" t="inlineStr">
        <is>
          <t>22GP</t>
        </is>
      </c>
      <c r="I16" s="122" t="inlineStr">
        <is>
          <t>EMAIL</t>
        </is>
      </c>
      <c r="J16" s="122" t="inlineStr">
        <is>
          <t>EDI2</t>
        </is>
      </c>
      <c r="L16" s="122" t="inlineStr">
        <is>
          <t>Full</t>
        </is>
      </c>
      <c r="M16" s="122" t="inlineStr">
        <is>
          <t>HASLS22260901339</t>
        </is>
      </c>
      <c r="N16" s="122" t="inlineStr">
        <is>
          <t xml:space="preserve">20'x2 </t>
        </is>
      </c>
      <c r="O16" s="122" t="inlineStr">
        <is>
          <t>2014</t>
        </is>
      </c>
      <c r="R16" s="122" t="inlineStr">
        <is>
          <t>SWAT</t>
        </is>
      </c>
      <c r="S16" s="122" t="inlineStr">
        <is>
          <t>2610N</t>
        </is>
      </c>
      <c r="T16" s="122" t="inlineStr">
        <is>
          <t>LCH04</t>
        </is>
      </c>
      <c r="U16" s="122" t="inlineStr">
        <is>
          <t>THLCH</t>
        </is>
      </c>
      <c r="V16" s="122" t="inlineStr">
        <is>
          <t>2026-10-11</t>
        </is>
      </c>
      <c r="W16" s="122" t="inlineStr">
        <is>
          <t>TWKEL</t>
        </is>
      </c>
      <c r="X16" s="122" t="inlineStr">
        <is>
          <t>2026-10-18</t>
        </is>
      </c>
      <c r="AD16" s="122" t="inlineStr">
        <is>
          <t>2026-10-06</t>
        </is>
      </c>
      <c r="AE16" s="122" t="inlineStr">
        <is>
          <t>2200</t>
        </is>
      </c>
      <c r="AF16" s="122" t="inlineStr">
        <is>
          <t>EDI2</t>
        </is>
      </c>
      <c r="AJ16" s="122" t="inlineStr">
        <is>
          <t>TO THE ORDER OF HUA NAN</t>
        </is>
      </c>
    </row>
    <row r="17">
      <c r="A17" s="122" t="inlineStr">
        <is>
          <t>SKLU1520760</t>
        </is>
      </c>
      <c r="B17" s="122" t="inlineStr">
        <is>
          <t>LCH04</t>
        </is>
      </c>
      <c r="C17" s="122" t="inlineStr">
        <is>
          <t>IFV</t>
        </is>
      </c>
      <c r="D17" s="122" t="inlineStr">
        <is>
          <t>2026-10-04</t>
        </is>
      </c>
      <c r="E17" s="122" t="inlineStr">
        <is>
          <t>1520</t>
        </is>
      </c>
      <c r="F17" s="122" t="inlineStr">
        <is>
          <t>HASLS22260900459</t>
        </is>
      </c>
      <c r="G17" s="122" t="inlineStr">
        <is>
          <t>THAI POLYCARBONATE CO., LTD.</t>
        </is>
      </c>
      <c r="H17" s="122" t="inlineStr">
        <is>
          <t>22GP</t>
        </is>
      </c>
      <c r="I17" s="122" t="inlineStr">
        <is>
          <t>EMAIL</t>
        </is>
      </c>
      <c r="J17" s="122" t="inlineStr">
        <is>
          <t>EDI2</t>
        </is>
      </c>
      <c r="L17" s="122" t="inlineStr">
        <is>
          <t>Full</t>
        </is>
      </c>
      <c r="M17" s="122" t="inlineStr">
        <is>
          <t>HASLS22260900459</t>
        </is>
      </c>
      <c r="N17" s="122" t="inlineStr">
        <is>
          <t xml:space="preserve">20'x5 </t>
        </is>
      </c>
      <c r="O17" s="122" t="inlineStr">
        <is>
          <t>2015</t>
        </is>
      </c>
      <c r="R17" s="122" t="inlineStr">
        <is>
          <t>SWAT</t>
        </is>
      </c>
      <c r="S17" s="122" t="inlineStr">
        <is>
          <t>2610N</t>
        </is>
      </c>
      <c r="T17" s="122" t="inlineStr">
        <is>
          <t>LCH04</t>
        </is>
      </c>
      <c r="U17" s="122" t="inlineStr">
        <is>
          <t>THLCH</t>
        </is>
      </c>
      <c r="V17" s="122" t="inlineStr">
        <is>
          <t>2026-10-11</t>
        </is>
      </c>
      <c r="W17" s="122" t="inlineStr">
        <is>
          <t>CNSHK</t>
        </is>
      </c>
      <c r="X17" s="122" t="inlineStr">
        <is>
          <t>2026-10-16</t>
        </is>
      </c>
      <c r="AD17" s="122" t="inlineStr">
        <is>
          <t>2026-10-04</t>
        </is>
      </c>
      <c r="AE17" s="122" t="inlineStr">
        <is>
          <t>1800</t>
        </is>
      </c>
      <c r="AF17" s="122" t="inlineStr">
        <is>
          <t>EDI2</t>
        </is>
      </c>
      <c r="AJ17" s="122" t="inlineStr">
        <is>
          <t>SHENG CHANG HONG TRADING</t>
        </is>
      </c>
    </row>
    <row r="18">
      <c r="A18" s="122" t="inlineStr">
        <is>
          <t>SKLU1572229</t>
        </is>
      </c>
      <c r="B18" s="122" t="inlineStr">
        <is>
          <t>LCH04</t>
        </is>
      </c>
      <c r="C18" s="122" t="inlineStr">
        <is>
          <t>IFV</t>
        </is>
      </c>
      <c r="D18" s="122" t="inlineStr">
        <is>
          <t>2026-10-04</t>
        </is>
      </c>
      <c r="E18" s="122" t="inlineStr">
        <is>
          <t>0547</t>
        </is>
      </c>
      <c r="F18" s="122" t="inlineStr">
        <is>
          <t>HASLS22260901258</t>
        </is>
      </c>
      <c r="G18" s="122" t="inlineStr">
        <is>
          <t>DOW CHEMICAL THAILAND LTD.</t>
        </is>
      </c>
      <c r="H18" s="122" t="inlineStr">
        <is>
          <t>22GP</t>
        </is>
      </c>
      <c r="I18" s="122" t="inlineStr">
        <is>
          <t>EMAIL</t>
        </is>
      </c>
      <c r="J18" s="122" t="inlineStr">
        <is>
          <t>EDI2</t>
        </is>
      </c>
      <c r="L18" s="122" t="inlineStr">
        <is>
          <t>Full</t>
        </is>
      </c>
      <c r="M18" s="122" t="inlineStr">
        <is>
          <t>HASLS22260901258</t>
        </is>
      </c>
      <c r="N18" s="122" t="inlineStr">
        <is>
          <t xml:space="preserve">20'x1 </t>
        </is>
      </c>
      <c r="O18" s="122" t="inlineStr">
        <is>
          <t>2015</t>
        </is>
      </c>
      <c r="R18" s="122" t="inlineStr">
        <is>
          <t>SWAT</t>
        </is>
      </c>
      <c r="S18" s="122" t="inlineStr">
        <is>
          <t>2610N</t>
        </is>
      </c>
      <c r="T18" s="122" t="inlineStr">
        <is>
          <t>LCH04</t>
        </is>
      </c>
      <c r="U18" s="122" t="inlineStr">
        <is>
          <t>THLCH</t>
        </is>
      </c>
      <c r="V18" s="122" t="inlineStr">
        <is>
          <t>2026-10-11</t>
        </is>
      </c>
      <c r="W18" s="122" t="inlineStr">
        <is>
          <t>JPNGO</t>
        </is>
      </c>
      <c r="X18" s="122" t="inlineStr">
        <is>
          <t>2026-10-20</t>
        </is>
      </c>
      <c r="AD18" s="122" t="inlineStr">
        <is>
          <t>2026-10-04</t>
        </is>
      </c>
      <c r="AE18" s="122" t="inlineStr">
        <is>
          <t>0800</t>
        </is>
      </c>
      <c r="AF18" s="122" t="inlineStr">
        <is>
          <t>EDI2</t>
        </is>
      </c>
      <c r="AJ18" s="122" t="inlineStr">
        <is>
          <t>DOW CHEMICAL JAPAN LIMITED</t>
        </is>
      </c>
    </row>
    <row r="19">
      <c r="A19" s="122" t="inlineStr">
        <is>
          <t>SKLU1804582</t>
        </is>
      </c>
      <c r="B19" s="122" t="inlineStr">
        <is>
          <t>LCH04</t>
        </is>
      </c>
      <c r="C19" s="122" t="inlineStr">
        <is>
          <t>IFV</t>
        </is>
      </c>
      <c r="D19" s="122" t="inlineStr">
        <is>
          <t>2026-10-05</t>
        </is>
      </c>
      <c r="E19" s="122" t="inlineStr">
        <is>
          <t>2203</t>
        </is>
      </c>
      <c r="F19" s="122" t="inlineStr">
        <is>
          <t>HASLS22260902438</t>
        </is>
      </c>
      <c r="G19" s="122" t="inlineStr">
        <is>
          <t>AWOT GLOBAL LOGISTICS (THAILAND) CO., LTD.</t>
        </is>
      </c>
      <c r="H19" s="122" t="inlineStr">
        <is>
          <t>22GP</t>
        </is>
      </c>
      <c r="I19" s="122" t="inlineStr">
        <is>
          <t>EMAIL</t>
        </is>
      </c>
      <c r="J19" s="122" t="inlineStr">
        <is>
          <t>EDI2</t>
        </is>
      </c>
      <c r="L19" s="122" t="inlineStr">
        <is>
          <t>Full</t>
        </is>
      </c>
      <c r="M19" s="122" t="inlineStr">
        <is>
          <t>HASLS22260902438</t>
        </is>
      </c>
      <c r="N19" s="122" t="inlineStr">
        <is>
          <t xml:space="preserve">20'x6 </t>
        </is>
      </c>
      <c r="O19" s="122" t="inlineStr">
        <is>
          <t>2018</t>
        </is>
      </c>
      <c r="R19" s="122" t="inlineStr">
        <is>
          <t>SWAT</t>
        </is>
      </c>
      <c r="S19" s="122" t="inlineStr">
        <is>
          <t>2610N</t>
        </is>
      </c>
      <c r="T19" s="122" t="inlineStr">
        <is>
          <t>LCH04</t>
        </is>
      </c>
      <c r="U19" s="122" t="inlineStr">
        <is>
          <t>THLCH</t>
        </is>
      </c>
      <c r="V19" s="122" t="inlineStr">
        <is>
          <t>2026-10-11</t>
        </is>
      </c>
      <c r="W19" s="122" t="inlineStr">
        <is>
          <t>JPTOS</t>
        </is>
      </c>
      <c r="X19" s="122" t="inlineStr">
        <is>
          <t>2026-10-20</t>
        </is>
      </c>
      <c r="AD19" s="122" t="inlineStr">
        <is>
          <t>2026-10-06</t>
        </is>
      </c>
      <c r="AE19" s="122" t="inlineStr">
        <is>
          <t>0200</t>
        </is>
      </c>
      <c r="AF19" s="122" t="inlineStr">
        <is>
          <t>EDI2</t>
        </is>
      </c>
      <c r="AJ19" s="122" t="inlineStr">
        <is>
          <t>DAIKI ALUMINIUM INDUSTRY</t>
        </is>
      </c>
    </row>
    <row r="20">
      <c r="A20" s="122" t="inlineStr">
        <is>
          <t>SKLU1902193</t>
        </is>
      </c>
      <c r="B20" s="122" t="inlineStr">
        <is>
          <t>LCH04</t>
        </is>
      </c>
      <c r="C20" s="122" t="inlineStr">
        <is>
          <t>IFV</t>
        </is>
      </c>
      <c r="D20" s="122" t="inlineStr">
        <is>
          <t>2026-10-05</t>
        </is>
      </c>
      <c r="E20" s="122" t="inlineStr">
        <is>
          <t>2103</t>
        </is>
      </c>
      <c r="F20" s="122" t="inlineStr">
        <is>
          <t>HASLS22260900906</t>
        </is>
      </c>
      <c r="G20" s="122" t="inlineStr">
        <is>
          <t>THAI POLYCARBONATE CO., LTD.</t>
        </is>
      </c>
      <c r="H20" s="122" t="inlineStr">
        <is>
          <t>22GP</t>
        </is>
      </c>
      <c r="I20" s="122" t="inlineStr">
        <is>
          <t>EMAIL</t>
        </is>
      </c>
      <c r="J20" s="122" t="inlineStr">
        <is>
          <t>EDI2</t>
        </is>
      </c>
      <c r="L20" s="122" t="inlineStr">
        <is>
          <t>Full</t>
        </is>
      </c>
      <c r="M20" s="122" t="inlineStr">
        <is>
          <t>HASLS22260900906</t>
        </is>
      </c>
      <c r="N20" s="122" t="inlineStr">
        <is>
          <t xml:space="preserve">20'x1 </t>
        </is>
      </c>
      <c r="O20" s="122" t="inlineStr">
        <is>
          <t>2019</t>
        </is>
      </c>
      <c r="R20" s="122" t="inlineStr">
        <is>
          <t>SWAT</t>
        </is>
      </c>
      <c r="S20" s="122" t="inlineStr">
        <is>
          <t>2610N</t>
        </is>
      </c>
      <c r="T20" s="122" t="inlineStr">
        <is>
          <t>LCH04</t>
        </is>
      </c>
      <c r="U20" s="122" t="inlineStr">
        <is>
          <t>THLCH</t>
        </is>
      </c>
      <c r="V20" s="122" t="inlineStr">
        <is>
          <t>2026-10-11</t>
        </is>
      </c>
      <c r="W20" s="122" t="inlineStr">
        <is>
          <t>CNSHK</t>
        </is>
      </c>
      <c r="X20" s="122" t="inlineStr">
        <is>
          <t>2026-10-16</t>
        </is>
      </c>
      <c r="AD20" s="122" t="inlineStr">
        <is>
          <t>2026-10-06</t>
        </is>
      </c>
      <c r="AE20" s="122" t="inlineStr">
        <is>
          <t>0000</t>
        </is>
      </c>
      <c r="AF20" s="122" t="inlineStr">
        <is>
          <t>EDI2</t>
        </is>
      </c>
      <c r="AJ20" s="122" t="inlineStr">
        <is>
          <t>SHENG CHANG HONG TRADING</t>
        </is>
      </c>
    </row>
    <row r="21">
      <c r="A21" s="122" t="inlineStr">
        <is>
          <t>SKLU1943905</t>
        </is>
      </c>
      <c r="B21" s="122" t="inlineStr">
        <is>
          <t>LCH04</t>
        </is>
      </c>
      <c r="C21" s="122" t="inlineStr">
        <is>
          <t>IFV</t>
        </is>
      </c>
      <c r="D21" s="122" t="inlineStr">
        <is>
          <t>2026-10-04</t>
        </is>
      </c>
      <c r="E21" s="122" t="inlineStr">
        <is>
          <t>1528</t>
        </is>
      </c>
      <c r="F21" s="122" t="inlineStr">
        <is>
          <t>HASLS22260900459</t>
        </is>
      </c>
      <c r="G21" s="122" t="inlineStr">
        <is>
          <t>THAI POLYCARBONATE CO., LTD.</t>
        </is>
      </c>
      <c r="H21" s="122" t="inlineStr">
        <is>
          <t>22GP</t>
        </is>
      </c>
      <c r="I21" s="122" t="inlineStr">
        <is>
          <t>EMAIL</t>
        </is>
      </c>
      <c r="J21" s="122" t="inlineStr">
        <is>
          <t>EDI2</t>
        </is>
      </c>
      <c r="L21" s="122" t="inlineStr">
        <is>
          <t>Full</t>
        </is>
      </c>
      <c r="M21" s="122" t="inlineStr">
        <is>
          <t>HASLS22260900459</t>
        </is>
      </c>
      <c r="N21" s="122" t="inlineStr">
        <is>
          <t xml:space="preserve">20'x5 </t>
        </is>
      </c>
      <c r="O21" s="122" t="inlineStr">
        <is>
          <t>2019</t>
        </is>
      </c>
      <c r="R21" s="122" t="inlineStr">
        <is>
          <t>SWAT</t>
        </is>
      </c>
      <c r="S21" s="122" t="inlineStr">
        <is>
          <t>2610N</t>
        </is>
      </c>
      <c r="T21" s="122" t="inlineStr">
        <is>
          <t>LCH04</t>
        </is>
      </c>
      <c r="U21" s="122" t="inlineStr">
        <is>
          <t>THLCH</t>
        </is>
      </c>
      <c r="V21" s="122" t="inlineStr">
        <is>
          <t>2026-10-11</t>
        </is>
      </c>
      <c r="W21" s="122" t="inlineStr">
        <is>
          <t>CNSHK</t>
        </is>
      </c>
      <c r="X21" s="122" t="inlineStr">
        <is>
          <t>2026-10-16</t>
        </is>
      </c>
      <c r="AD21" s="122" t="inlineStr">
        <is>
          <t>2026-10-04</t>
        </is>
      </c>
      <c r="AE21" s="122" t="inlineStr">
        <is>
          <t>1800</t>
        </is>
      </c>
      <c r="AF21" s="122" t="inlineStr">
        <is>
          <t>EDI2</t>
        </is>
      </c>
      <c r="AJ21" s="122" t="inlineStr">
        <is>
          <t>SHENG CHANG HONG TRADING</t>
        </is>
      </c>
    </row>
    <row r="22">
      <c r="A22" s="122" t="inlineStr">
        <is>
          <t>SKLU1964889</t>
        </is>
      </c>
      <c r="B22" s="122" t="inlineStr">
        <is>
          <t>LCH04</t>
        </is>
      </c>
      <c r="C22" s="122" t="inlineStr">
        <is>
          <t>IFV</t>
        </is>
      </c>
      <c r="D22" s="122" t="inlineStr">
        <is>
          <t>2026-10-04</t>
        </is>
      </c>
      <c r="E22" s="122" t="inlineStr">
        <is>
          <t>1517</t>
        </is>
      </c>
      <c r="F22" s="122" t="inlineStr">
        <is>
          <t>HASLS22260900459</t>
        </is>
      </c>
      <c r="G22" s="122" t="inlineStr">
        <is>
          <t>THAI POLYCARBONATE CO., LTD.</t>
        </is>
      </c>
      <c r="H22" s="122" t="inlineStr">
        <is>
          <t>22GP</t>
        </is>
      </c>
      <c r="I22" s="122" t="inlineStr">
        <is>
          <t>EMAIL</t>
        </is>
      </c>
      <c r="J22" s="122" t="inlineStr">
        <is>
          <t>EDI2</t>
        </is>
      </c>
      <c r="L22" s="122" t="inlineStr">
        <is>
          <t>Full</t>
        </is>
      </c>
      <c r="M22" s="122" t="inlineStr">
        <is>
          <t>HASLS22260900459</t>
        </is>
      </c>
      <c r="N22" s="122" t="inlineStr">
        <is>
          <t xml:space="preserve">20'x5 </t>
        </is>
      </c>
      <c r="O22" s="122" t="inlineStr">
        <is>
          <t>2019</t>
        </is>
      </c>
      <c r="R22" s="122" t="inlineStr">
        <is>
          <t>SWAT</t>
        </is>
      </c>
      <c r="S22" s="122" t="inlineStr">
        <is>
          <t>2610N</t>
        </is>
      </c>
      <c r="T22" s="122" t="inlineStr">
        <is>
          <t>LCH04</t>
        </is>
      </c>
      <c r="U22" s="122" t="inlineStr">
        <is>
          <t>THLCH</t>
        </is>
      </c>
      <c r="V22" s="122" t="inlineStr">
        <is>
          <t>2026-10-11</t>
        </is>
      </c>
      <c r="W22" s="122" t="inlineStr">
        <is>
          <t>CNSHK</t>
        </is>
      </c>
      <c r="X22" s="122" t="inlineStr">
        <is>
          <t>2026-10-16</t>
        </is>
      </c>
      <c r="AD22" s="122" t="inlineStr">
        <is>
          <t>2026-10-04</t>
        </is>
      </c>
      <c r="AE22" s="122" t="inlineStr">
        <is>
          <t>1800</t>
        </is>
      </c>
      <c r="AF22" s="122" t="inlineStr">
        <is>
          <t>EDI2</t>
        </is>
      </c>
      <c r="AJ22" s="122" t="inlineStr">
        <is>
          <t>SHENG CHANG HONG TRADING</t>
        </is>
      </c>
    </row>
    <row r="23">
      <c r="A23" s="122" t="inlineStr">
        <is>
          <t>SKLU1979467</t>
        </is>
      </c>
      <c r="B23" s="122" t="inlineStr">
        <is>
          <t>LCH04</t>
        </is>
      </c>
      <c r="C23" s="122" t="inlineStr">
        <is>
          <t>IFV</t>
        </is>
      </c>
      <c r="D23" s="122" t="inlineStr">
        <is>
          <t>2026-10-05</t>
        </is>
      </c>
      <c r="E23" s="122" t="inlineStr">
        <is>
          <t>0740</t>
        </is>
      </c>
      <c r="F23" s="122" t="inlineStr">
        <is>
          <t>HASLS22260900459</t>
        </is>
      </c>
      <c r="G23" s="122" t="inlineStr">
        <is>
          <t>THAI POLYCARBONATE CO., LTD.</t>
        </is>
      </c>
      <c r="H23" s="122" t="inlineStr">
        <is>
          <t>22GP</t>
        </is>
      </c>
      <c r="I23" s="122" t="inlineStr">
        <is>
          <t>EMAIL</t>
        </is>
      </c>
      <c r="J23" s="122" t="inlineStr">
        <is>
          <t>EDI2</t>
        </is>
      </c>
      <c r="L23" s="122" t="inlineStr">
        <is>
          <t>Full</t>
        </is>
      </c>
      <c r="M23" s="122" t="inlineStr">
        <is>
          <t>HASLS22260900459</t>
        </is>
      </c>
      <c r="N23" s="122" t="inlineStr">
        <is>
          <t xml:space="preserve">20'x5 </t>
        </is>
      </c>
      <c r="O23" s="122" t="inlineStr">
        <is>
          <t>2019</t>
        </is>
      </c>
      <c r="R23" s="122" t="inlineStr">
        <is>
          <t>SWAT</t>
        </is>
      </c>
      <c r="S23" s="122" t="inlineStr">
        <is>
          <t>2610N</t>
        </is>
      </c>
      <c r="T23" s="122" t="inlineStr">
        <is>
          <t>LCH04</t>
        </is>
      </c>
      <c r="U23" s="122" t="inlineStr">
        <is>
          <t>THLCH</t>
        </is>
      </c>
      <c r="V23" s="122" t="inlineStr">
        <is>
          <t>2026-10-11</t>
        </is>
      </c>
      <c r="W23" s="122" t="inlineStr">
        <is>
          <t>CNSHK</t>
        </is>
      </c>
      <c r="X23" s="122" t="inlineStr">
        <is>
          <t>2026-10-16</t>
        </is>
      </c>
      <c r="AD23" s="122" t="inlineStr">
        <is>
          <t>2026-10-05</t>
        </is>
      </c>
      <c r="AE23" s="122" t="inlineStr">
        <is>
          <t>1000</t>
        </is>
      </c>
      <c r="AF23" s="122" t="inlineStr">
        <is>
          <t>EDI2</t>
        </is>
      </c>
      <c r="AJ23" s="122" t="inlineStr">
        <is>
          <t>SHENG CHANG HONG TRADING</t>
        </is>
      </c>
    </row>
    <row r="24">
      <c r="A24" s="122" t="inlineStr">
        <is>
          <t>SKLU2016327</t>
        </is>
      </c>
      <c r="B24" s="122" t="inlineStr">
        <is>
          <t>LCH04</t>
        </is>
      </c>
      <c r="C24" s="122" t="inlineStr">
        <is>
          <t>IFV</t>
        </is>
      </c>
      <c r="D24" s="122" t="inlineStr">
        <is>
          <t>2026-10-05</t>
        </is>
      </c>
      <c r="E24" s="122" t="inlineStr">
        <is>
          <t>2146</t>
        </is>
      </c>
      <c r="F24" s="122" t="inlineStr">
        <is>
          <t>HASLS22260902438</t>
        </is>
      </c>
      <c r="G24" s="122" t="inlineStr">
        <is>
          <t>AWOT GLOBAL LOGISTICS (THAILAND) CO., LTD.</t>
        </is>
      </c>
      <c r="H24" s="122" t="inlineStr">
        <is>
          <t>22GP</t>
        </is>
      </c>
      <c r="I24" s="122" t="inlineStr">
        <is>
          <t>EMAIL</t>
        </is>
      </c>
      <c r="J24" s="122" t="inlineStr">
        <is>
          <t>EDI2</t>
        </is>
      </c>
      <c r="L24" s="122" t="inlineStr">
        <is>
          <t>Full</t>
        </is>
      </c>
      <c r="M24" s="122" t="inlineStr">
        <is>
          <t>HASLS22260902438</t>
        </is>
      </c>
      <c r="N24" s="122" t="inlineStr">
        <is>
          <t xml:space="preserve">20'x6 </t>
        </is>
      </c>
      <c r="O24" s="122" t="inlineStr">
        <is>
          <t>2019</t>
        </is>
      </c>
      <c r="R24" s="122" t="inlineStr">
        <is>
          <t>SWAT</t>
        </is>
      </c>
      <c r="S24" s="122" t="inlineStr">
        <is>
          <t>2610N</t>
        </is>
      </c>
      <c r="T24" s="122" t="inlineStr">
        <is>
          <t>LCH04</t>
        </is>
      </c>
      <c r="U24" s="122" t="inlineStr">
        <is>
          <t>THLCH</t>
        </is>
      </c>
      <c r="V24" s="122" t="inlineStr">
        <is>
          <t>2026-10-11</t>
        </is>
      </c>
      <c r="W24" s="122" t="inlineStr">
        <is>
          <t>JPTOS</t>
        </is>
      </c>
      <c r="X24" s="122" t="inlineStr">
        <is>
          <t>2026-10-20</t>
        </is>
      </c>
      <c r="AD24" s="122" t="inlineStr">
        <is>
          <t>2026-10-06</t>
        </is>
      </c>
      <c r="AE24" s="122" t="inlineStr">
        <is>
          <t>0000</t>
        </is>
      </c>
      <c r="AF24" s="122" t="inlineStr">
        <is>
          <t>EDI2</t>
        </is>
      </c>
      <c r="AJ24" s="122" t="inlineStr">
        <is>
          <t>DAIKI ALUMINIUM INDUSTRY</t>
        </is>
      </c>
    </row>
    <row r="25">
      <c r="A25" s="122" t="inlineStr">
        <is>
          <t>SKLU2115850</t>
        </is>
      </c>
      <c r="B25" s="122" t="inlineStr">
        <is>
          <t>LCH04</t>
        </is>
      </c>
      <c r="C25" s="122" t="inlineStr">
        <is>
          <t>IFV</t>
        </is>
      </c>
      <c r="D25" s="122" t="inlineStr">
        <is>
          <t>2026-10-04</t>
        </is>
      </c>
      <c r="E25" s="122" t="inlineStr">
        <is>
          <t>1603</t>
        </is>
      </c>
      <c r="F25" s="122" t="inlineStr">
        <is>
          <t>HASLS22260900459</t>
        </is>
      </c>
      <c r="G25" s="122" t="inlineStr">
        <is>
          <t>THAI POLYCARBONATE CO., LTD.</t>
        </is>
      </c>
      <c r="H25" s="122" t="inlineStr">
        <is>
          <t>22GP</t>
        </is>
      </c>
      <c r="I25" s="122" t="inlineStr">
        <is>
          <t>EMAIL</t>
        </is>
      </c>
      <c r="J25" s="122" t="inlineStr">
        <is>
          <t>EDI2</t>
        </is>
      </c>
      <c r="L25" s="122" t="inlineStr">
        <is>
          <t>Full</t>
        </is>
      </c>
      <c r="M25" s="122" t="inlineStr">
        <is>
          <t>HASLS22260900459</t>
        </is>
      </c>
      <c r="N25" s="122" t="inlineStr">
        <is>
          <t xml:space="preserve">20'x5 </t>
        </is>
      </c>
      <c r="O25" s="122" t="inlineStr">
        <is>
          <t>2021</t>
        </is>
      </c>
      <c r="R25" s="122" t="inlineStr">
        <is>
          <t>SWAT</t>
        </is>
      </c>
      <c r="S25" s="122" t="inlineStr">
        <is>
          <t>2610N</t>
        </is>
      </c>
      <c r="T25" s="122" t="inlineStr">
        <is>
          <t>LCH04</t>
        </is>
      </c>
      <c r="U25" s="122" t="inlineStr">
        <is>
          <t>THLCH</t>
        </is>
      </c>
      <c r="V25" s="122" t="inlineStr">
        <is>
          <t>2026-10-11</t>
        </is>
      </c>
      <c r="W25" s="122" t="inlineStr">
        <is>
          <t>CNSHK</t>
        </is>
      </c>
      <c r="X25" s="122" t="inlineStr">
        <is>
          <t>2026-10-16</t>
        </is>
      </c>
      <c r="AD25" s="122" t="inlineStr">
        <is>
          <t>2026-10-04</t>
        </is>
      </c>
      <c r="AE25" s="122" t="inlineStr">
        <is>
          <t>2000</t>
        </is>
      </c>
      <c r="AF25" s="122" t="inlineStr">
        <is>
          <t>EDI2</t>
        </is>
      </c>
      <c r="AJ25" s="122" t="inlineStr">
        <is>
          <t>SHENG CHANG HONG TRADING</t>
        </is>
      </c>
    </row>
    <row r="26">
      <c r="A26" s="122" t="inlineStr">
        <is>
          <t>SKLU2300210</t>
        </is>
      </c>
      <c r="B26" s="122" t="inlineStr">
        <is>
          <t>LCH04</t>
        </is>
      </c>
      <c r="C26" s="122" t="inlineStr">
        <is>
          <t>IFV</t>
        </is>
      </c>
      <c r="D26" s="122" t="inlineStr">
        <is>
          <t>2026-10-05</t>
        </is>
      </c>
      <c r="E26" s="122" t="inlineStr">
        <is>
          <t>1715</t>
        </is>
      </c>
      <c r="F26" s="122" t="inlineStr">
        <is>
          <t>HASLS22261000076</t>
        </is>
      </c>
      <c r="G26" s="122" t="inlineStr">
        <is>
          <t>UBE CHEMICALS (ASIA) PUBLIC COMPANY LIMITED</t>
        </is>
      </c>
      <c r="H26" s="122" t="inlineStr">
        <is>
          <t>22GP</t>
        </is>
      </c>
      <c r="I26" s="122" t="inlineStr">
        <is>
          <t>EMAIL</t>
        </is>
      </c>
      <c r="J26" s="122" t="inlineStr">
        <is>
          <t>EDI2</t>
        </is>
      </c>
      <c r="L26" s="122" t="inlineStr">
        <is>
          <t>Full</t>
        </is>
      </c>
      <c r="M26" s="122" t="inlineStr">
        <is>
          <t>HASLS22261000076</t>
        </is>
      </c>
      <c r="N26" s="122" t="inlineStr">
        <is>
          <t xml:space="preserve">20'x1 </t>
        </is>
      </c>
      <c r="O26" s="122" t="inlineStr">
        <is>
          <t>2023</t>
        </is>
      </c>
      <c r="R26" s="122" t="inlineStr">
        <is>
          <t>SWAT</t>
        </is>
      </c>
      <c r="S26" s="122" t="inlineStr">
        <is>
          <t>2610N</t>
        </is>
      </c>
      <c r="T26" s="122" t="inlineStr">
        <is>
          <t>LCH04</t>
        </is>
      </c>
      <c r="U26" s="122" t="inlineStr">
        <is>
          <t>THLCH</t>
        </is>
      </c>
      <c r="V26" s="122" t="inlineStr">
        <is>
          <t>2026-10-11</t>
        </is>
      </c>
      <c r="W26" s="122" t="inlineStr">
        <is>
          <t>TWKEL</t>
        </is>
      </c>
      <c r="X26" s="122" t="inlineStr">
        <is>
          <t>2026-10-18</t>
        </is>
      </c>
      <c r="AD26" s="122" t="inlineStr">
        <is>
          <t>2026-10-05</t>
        </is>
      </c>
      <c r="AE26" s="122" t="inlineStr">
        <is>
          <t>2000</t>
        </is>
      </c>
      <c r="AF26" s="122" t="inlineStr">
        <is>
          <t>EDI2</t>
        </is>
      </c>
      <c r="AJ26" s="122" t="inlineStr">
        <is>
          <t>FULLESTY CORPORATION</t>
        </is>
      </c>
    </row>
    <row r="27">
      <c r="A27" s="122" t="inlineStr">
        <is>
          <t>SKLU2323724</t>
        </is>
      </c>
      <c r="B27" s="122" t="inlineStr">
        <is>
          <t>LCH04</t>
        </is>
      </c>
      <c r="C27" s="122" t="inlineStr">
        <is>
          <t>IFV</t>
        </is>
      </c>
      <c r="D27" s="122" t="inlineStr">
        <is>
          <t>2026-10-05</t>
        </is>
      </c>
      <c r="E27" s="122" t="inlineStr">
        <is>
          <t>1903</t>
        </is>
      </c>
      <c r="F27" s="122" t="inlineStr">
        <is>
          <t>HASLS22260802276</t>
        </is>
      </c>
      <c r="G27" s="122" t="inlineStr">
        <is>
          <t>COSMO LOGISTICS CO., LTD.</t>
        </is>
      </c>
      <c r="H27" s="122" t="inlineStr">
        <is>
          <t>22GP</t>
        </is>
      </c>
      <c r="I27" s="122" t="inlineStr">
        <is>
          <t>EMAIL</t>
        </is>
      </c>
      <c r="J27" s="122" t="inlineStr">
        <is>
          <t>EDI2</t>
        </is>
      </c>
      <c r="L27" s="122" t="inlineStr">
        <is>
          <t>Full</t>
        </is>
      </c>
      <c r="M27" s="122" t="inlineStr">
        <is>
          <t>HASLS22260802276</t>
        </is>
      </c>
      <c r="N27" s="122" t="inlineStr">
        <is>
          <t xml:space="preserve">20'x1 </t>
        </is>
      </c>
      <c r="O27" s="122" t="inlineStr">
        <is>
          <t>2023</t>
        </is>
      </c>
      <c r="R27" s="122" t="inlineStr">
        <is>
          <t>SWAT</t>
        </is>
      </c>
      <c r="S27" s="122" t="inlineStr">
        <is>
          <t>2610N</t>
        </is>
      </c>
      <c r="T27" s="122" t="inlineStr">
        <is>
          <t>LCH04</t>
        </is>
      </c>
      <c r="U27" s="122" t="inlineStr">
        <is>
          <t>THLCH</t>
        </is>
      </c>
      <c r="V27" s="122" t="inlineStr">
        <is>
          <t>2026-10-11</t>
        </is>
      </c>
      <c r="W27" s="122" t="inlineStr">
        <is>
          <t>TWKEL</t>
        </is>
      </c>
      <c r="X27" s="122" t="inlineStr">
        <is>
          <t>2026-10-18</t>
        </is>
      </c>
      <c r="AD27" s="122" t="inlineStr">
        <is>
          <t>2026-10-05</t>
        </is>
      </c>
      <c r="AE27" s="122" t="inlineStr">
        <is>
          <t>2200</t>
        </is>
      </c>
      <c r="AF27" s="122" t="inlineStr">
        <is>
          <t>EDI2</t>
        </is>
      </c>
      <c r="AJ27" s="122" t="inlineStr">
        <is>
          <t>TENG YUAN CO., LTD.</t>
        </is>
      </c>
    </row>
    <row r="28">
      <c r="A28" s="122" t="inlineStr">
        <is>
          <t>SKRU9908013</t>
        </is>
      </c>
      <c r="B28" s="122" t="inlineStr">
        <is>
          <t>LCH04</t>
        </is>
      </c>
      <c r="C28" s="122" t="inlineStr">
        <is>
          <t>IFV</t>
        </is>
      </c>
      <c r="D28" s="122" t="inlineStr">
        <is>
          <t>2026-10-06</t>
        </is>
      </c>
      <c r="E28" s="122" t="inlineStr">
        <is>
          <t>0554</t>
        </is>
      </c>
      <c r="F28" s="122" t="inlineStr">
        <is>
          <t>HASLS22260902538</t>
        </is>
      </c>
      <c r="G28" s="122" t="inlineStr">
        <is>
          <t>LAND SEA SKY CO., LTD.</t>
        </is>
      </c>
      <c r="H28" s="122" t="inlineStr">
        <is>
          <t>45RE</t>
        </is>
      </c>
      <c r="I28" s="122" t="inlineStr">
        <is>
          <t>EMAIL</t>
        </is>
      </c>
      <c r="J28" s="122" t="inlineStr">
        <is>
          <t>EDI2</t>
        </is>
      </c>
      <c r="L28" s="122" t="inlineStr">
        <is>
          <t>Full</t>
        </is>
      </c>
      <c r="M28" s="122" t="inlineStr">
        <is>
          <t>HASLS22260902538</t>
        </is>
      </c>
      <c r="N28" s="122" t="inlineStr">
        <is>
          <t xml:space="preserve">R40Hx1 </t>
        </is>
      </c>
      <c r="O28" s="122" t="inlineStr">
        <is>
          <t>2019</t>
        </is>
      </c>
      <c r="P28" s="122" t="inlineStr">
        <is>
          <t>CARRIER</t>
        </is>
      </c>
      <c r="Q28" s="122" t="inlineStr">
        <is>
          <t>Primeline</t>
        </is>
      </c>
      <c r="R28" s="122" t="inlineStr">
        <is>
          <t>SWAT</t>
        </is>
      </c>
      <c r="S28" s="122" t="inlineStr">
        <is>
          <t>2610N</t>
        </is>
      </c>
      <c r="T28" s="122" t="inlineStr">
        <is>
          <t>LCH04</t>
        </is>
      </c>
      <c r="U28" s="122" t="inlineStr">
        <is>
          <t>THLCH</t>
        </is>
      </c>
      <c r="V28" s="122" t="inlineStr">
        <is>
          <t>2026-10-11</t>
        </is>
      </c>
      <c r="W28" s="122" t="inlineStr">
        <is>
          <t>KRPUS</t>
        </is>
      </c>
      <c r="X28" s="122" t="inlineStr">
        <is>
          <t>2026-10-20</t>
        </is>
      </c>
      <c r="AD28" s="122" t="inlineStr">
        <is>
          <t>2026-10-06</t>
        </is>
      </c>
      <c r="AE28" s="122" t="inlineStr">
        <is>
          <t>0800</t>
        </is>
      </c>
      <c r="AF28" s="122" t="inlineStr">
        <is>
          <t>EDI2</t>
        </is>
      </c>
      <c r="AJ28" s="122" t="inlineStr">
        <is>
          <t>TO THE ORDER OF KOOKMIN BANK</t>
        </is>
      </c>
    </row>
    <row r="29">
      <c r="A29" s="122" t="inlineStr">
        <is>
          <t>UETU2424695</t>
        </is>
      </c>
      <c r="B29" s="122" t="inlineStr">
        <is>
          <t>LCH04</t>
        </is>
      </c>
      <c r="C29" s="122" t="inlineStr">
        <is>
          <t>IFV</t>
        </is>
      </c>
      <c r="D29" s="122" t="inlineStr">
        <is>
          <t>2026-10-09</t>
        </is>
      </c>
      <c r="E29" s="122" t="inlineStr">
        <is>
          <t>0418</t>
        </is>
      </c>
      <c r="F29" s="122" t="inlineStr">
        <is>
          <t>HASLS22260901481</t>
        </is>
      </c>
      <c r="G29" s="122" t="inlineStr">
        <is>
          <t>SS EXCELLENT NETWORK CO.,LTD</t>
        </is>
      </c>
      <c r="H29" s="122" t="inlineStr">
        <is>
          <t>22GP</t>
        </is>
      </c>
      <c r="I29" s="122" t="inlineStr">
        <is>
          <t>EMAIL</t>
        </is>
      </c>
      <c r="J29" s="122" t="inlineStr">
        <is>
          <t>EDI2</t>
        </is>
      </c>
      <c r="L29" s="122" t="inlineStr">
        <is>
          <t>Full</t>
        </is>
      </c>
      <c r="M29" s="122" t="inlineStr">
        <is>
          <t>HASLS22260901481</t>
        </is>
      </c>
      <c r="N29" s="122" t="inlineStr">
        <is>
          <t xml:space="preserve">20'x2 </t>
        </is>
      </c>
      <c r="O29" s="122" t="inlineStr">
        <is>
          <t>2015</t>
        </is>
      </c>
      <c r="R29" s="122" t="inlineStr">
        <is>
          <t>SWAT</t>
        </is>
      </c>
      <c r="S29" s="122" t="inlineStr">
        <is>
          <t>2610N</t>
        </is>
      </c>
      <c r="T29" s="122" t="inlineStr">
        <is>
          <t>LCH04</t>
        </is>
      </c>
      <c r="U29" s="122" t="inlineStr">
        <is>
          <t>THLCH</t>
        </is>
      </c>
      <c r="V29" s="122" t="inlineStr">
        <is>
          <t>2026-10-11</t>
        </is>
      </c>
      <c r="W29" s="122" t="inlineStr">
        <is>
          <t>HKHKG</t>
        </is>
      </c>
      <c r="X29" s="122" t="inlineStr">
        <is>
          <t>2026-10-15</t>
        </is>
      </c>
      <c r="AD29" s="122" t="inlineStr">
        <is>
          <t>2026-10-09</t>
        </is>
      </c>
      <c r="AE29" s="122" t="inlineStr">
        <is>
          <t>0800</t>
        </is>
      </c>
      <c r="AF29" s="122" t="inlineStr">
        <is>
          <t>EDI2</t>
        </is>
      </c>
      <c r="AJ29" s="122" t="inlineStr">
        <is>
          <t>QINGYUAN YILIN RENEWABLE</t>
        </is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</sheetData>
  <autoFilter ref="A1:WWS1">
    <sortState ref="A2:AK48">
      <sortCondition ref="F1"/>
    </sortState>
  </autoFilter>
  <conditionalFormatting sqref="A1:A65311">
    <cfRule type="duplicateValues" priority="22" dxfId="1" stopIfTrue="1"/>
  </conditionalFormatting>
  <conditionalFormatting sqref="A65312:A1048576">
    <cfRule type="duplicateValues" priority="21" dxfId="14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O30"/>
  <sheetViews>
    <sheetView tabSelected="1" zoomScaleNormal="100" workbookViewId="0">
      <selection activeCell="K20" sqref="K20"/>
    </sheetView>
  </sheetViews>
  <sheetFormatPr baseColWidth="8" defaultColWidth="7.125" defaultRowHeight="15" customHeight="1"/>
  <cols>
    <col width="12.5" bestFit="1" customWidth="1" style="66" min="1" max="1"/>
    <col width="4.75" bestFit="1" customWidth="1" style="110" min="2" max="2"/>
    <col width="5.875" bestFit="1" customWidth="1" style="66" min="3" max="3"/>
    <col width="13.125" bestFit="1" customWidth="1" style="66" min="4" max="4"/>
    <col width="16.75" customWidth="1" style="66" min="5" max="6"/>
    <col width="7.875" customWidth="1" style="67" min="7" max="7"/>
    <col width="6.625" customWidth="1" style="66" min="8" max="10"/>
    <col width="3.875" customWidth="1" style="66" min="11" max="11"/>
    <col width="4.625" bestFit="1" customWidth="1" style="66" min="12" max="12"/>
    <col width="2.625" bestFit="1" customWidth="1" style="66" min="13" max="13"/>
    <col width="2.5" bestFit="1" customWidth="1" style="66" min="14" max="14"/>
    <col width="4.625" bestFit="1" customWidth="1" style="66" min="15" max="15"/>
    <col width="5.375" bestFit="1" customWidth="1" style="66" min="16" max="16"/>
    <col width="4.5" customWidth="1" style="66" min="17" max="17"/>
    <col width="3.25" customWidth="1" style="66" min="18" max="18"/>
    <col width="3.375" customWidth="1" style="73" min="19" max="19"/>
    <col width="7.875" bestFit="1" customWidth="1" style="66" min="20" max="20"/>
    <col width="6.875" bestFit="1" customWidth="1" style="66" min="21" max="21"/>
    <col width="4" customWidth="1" style="73" min="22" max="22"/>
    <col width="7.875" bestFit="1" customWidth="1" style="66" min="23" max="23"/>
    <col width="3.875" customWidth="1" style="66" min="24" max="26"/>
    <col width="11.625" customWidth="1" style="73" min="27" max="27"/>
    <col width="4.625" customWidth="1" style="68" min="28" max="29"/>
    <col width="7.75" customWidth="1" style="66" min="30" max="30"/>
    <col width="5.625" customWidth="1" style="66" min="31" max="31"/>
    <col width="4.625" customWidth="1" style="66" min="32" max="32"/>
    <col width="11.625" customWidth="1" style="73" min="33" max="33"/>
    <col width="4.625" customWidth="1" style="68" min="34" max="34"/>
    <col width="10.125" bestFit="1" customWidth="1" style="73" min="35" max="35"/>
    <col width="4.25" customWidth="1" style="67" min="36" max="36"/>
    <col width="14.375" bestFit="1" customWidth="1" style="107" min="37" max="37"/>
    <col width="7.875" bestFit="1" customWidth="1" style="67" min="38" max="38"/>
    <col width="7.125" customWidth="1" style="66" min="39" max="39"/>
    <col width="15.375" customWidth="1" style="66" min="40" max="40"/>
    <col width="7.125" customWidth="1" style="71" min="41" max="41"/>
    <col width="7.125" customWidth="1" style="66" min="42" max="16384"/>
  </cols>
  <sheetData>
    <row r="1" ht="39.95" customFormat="1" customHeight="1" s="45">
      <c r="A1" s="124" t="inlineStr">
        <is>
          <t>copyเบอร์ตู้มาวาง</t>
        </is>
      </c>
      <c r="B1" s="43" t="n"/>
      <c r="C1" s="44" t="n"/>
      <c r="G1" s="44" t="n"/>
      <c r="R1" s="125" t="inlineStr">
        <is>
          <t>เปลี่ยนวันที่ตามปฎิทิน</t>
        </is>
      </c>
      <c r="S1" s="126" t="n"/>
      <c r="U1" s="46" t="n"/>
      <c r="V1" s="100" t="n"/>
      <c r="W1" s="124" t="inlineStr">
        <is>
          <t>เช็ควันคืนตู้</t>
        </is>
      </c>
      <c r="X1" s="42" t="n"/>
      <c r="Y1" s="46" t="n"/>
      <c r="Z1" s="127" t="n"/>
      <c r="AA1" s="128">
        <f>SUM(AA3:AA1353)</f>
        <v/>
      </c>
      <c r="AB1" s="48" t="n"/>
      <c r="AC1" s="48" t="n"/>
      <c r="AF1" s="127" t="n"/>
      <c r="AG1" s="128">
        <f>SUM(AG3:AG1353)</f>
        <v/>
      </c>
      <c r="AH1" s="128">
        <f>SUM(AH3:AH1353)</f>
        <v/>
      </c>
      <c r="AI1" s="128">
        <f>SUM(AI3:AI1353)</f>
        <v/>
      </c>
      <c r="AK1" s="106" t="n"/>
      <c r="AL1" s="44" t="n"/>
    </row>
    <row r="2" ht="39.95" customFormat="1" customHeight="1" s="59">
      <c r="A2" s="129" t="inlineStr">
        <is>
          <t>Container No.</t>
        </is>
      </c>
      <c r="B2" s="130" t="inlineStr">
        <is>
          <t>Group</t>
        </is>
      </c>
      <c r="C2" s="131" t="inlineStr">
        <is>
          <t>Location</t>
        </is>
      </c>
      <c r="D2" s="132" t="inlineStr">
        <is>
          <t>Booking No.</t>
        </is>
      </c>
      <c r="E2" s="132" t="inlineStr">
        <is>
          <t>Shipper</t>
        </is>
      </c>
      <c r="F2" s="132" t="inlineStr">
        <is>
          <t>Org Shipper</t>
        </is>
      </c>
      <c r="G2" s="123" t="inlineStr">
        <is>
          <t>RCVCD</t>
        </is>
      </c>
      <c r="H2" s="132" t="inlineStr">
        <is>
          <t>POL</t>
        </is>
      </c>
      <c r="I2" s="132" t="inlineStr">
        <is>
          <t>POD</t>
        </is>
      </c>
      <c r="J2" s="133" t="inlineStr">
        <is>
          <t>TS PORT</t>
        </is>
      </c>
      <c r="K2" s="132" t="inlineStr">
        <is>
          <t>Type Size</t>
        </is>
      </c>
      <c r="L2" s="132" t="inlineStr">
        <is>
          <t>CGO TERM</t>
        </is>
      </c>
      <c r="M2" s="132" t="inlineStr">
        <is>
          <t>DG</t>
        </is>
      </c>
      <c r="N2" s="132" t="inlineStr">
        <is>
          <t>RF</t>
        </is>
      </c>
      <c r="O2" s="132" t="inlineStr">
        <is>
          <t>Vessel</t>
        </is>
      </c>
      <c r="P2" s="132" t="inlineStr">
        <is>
          <t>Voyage</t>
        </is>
      </c>
      <c r="Q2" s="132" t="inlineStr">
        <is>
          <t>SVC</t>
        </is>
      </c>
      <c r="R2" s="134" t="inlineStr">
        <is>
          <t>Size</t>
        </is>
      </c>
      <c r="S2" s="135" t="inlineStr">
        <is>
          <t>Original Schedule</t>
        </is>
      </c>
      <c r="T2" s="132" t="inlineStr">
        <is>
          <t>ETD</t>
        </is>
      </c>
      <c r="U2" s="136" t="inlineStr">
        <is>
          <t>Vssl Delay</t>
        </is>
      </c>
      <c r="V2" s="137" t="inlineStr">
        <is>
          <t>1st Date allow to return</t>
        </is>
      </c>
      <c r="W2" s="131" t="inlineStr">
        <is>
          <t>Date In</t>
        </is>
      </c>
      <c r="X2" s="136" t="inlineStr">
        <is>
          <t>Total Stay</t>
        </is>
      </c>
      <c r="Y2" s="136" t="inlineStr">
        <is>
          <t>Normal F/T Terminal</t>
        </is>
      </c>
      <c r="Z2" s="136" t="inlineStr">
        <is>
          <t>Total Storage Days</t>
        </is>
      </c>
      <c r="AA2" s="138" t="inlineStr">
        <is>
          <t>Total Storage Charge</t>
        </is>
      </c>
      <c r="AB2" s="139" t="inlineStr">
        <is>
          <t xml:space="preserve">Special F/T </t>
        </is>
      </c>
      <c r="AC2" s="139" t="inlineStr">
        <is>
          <t>HQ Ref No. / TML / APP BY</t>
        </is>
      </c>
      <c r="AD2" s="134" t="inlineStr">
        <is>
          <t>Free Time Customer</t>
        </is>
      </c>
      <c r="AE2" s="134" t="inlineStr">
        <is>
          <t>คืนก่อนเรือออก</t>
        </is>
      </c>
      <c r="AF2" s="136" t="inlineStr">
        <is>
          <t>Over F/T Customer</t>
        </is>
      </c>
      <c r="AG2" s="138" t="inlineStr">
        <is>
          <t>Amount due to Customer</t>
        </is>
      </c>
      <c r="AH2" s="139" t="inlineStr">
        <is>
          <t>Collection</t>
        </is>
      </c>
      <c r="AI2" s="138" t="inlineStr">
        <is>
          <t>Amount due to HAL</t>
        </is>
      </c>
      <c r="AJ2" s="140" t="inlineStr">
        <is>
          <t>Remark</t>
        </is>
      </c>
      <c r="AK2" s="132" t="inlineStr">
        <is>
          <t>SALESNM</t>
        </is>
      </c>
      <c r="AL2" s="123" t="inlineStr">
        <is>
          <t>CUST ETD</t>
        </is>
      </c>
      <c r="AM2" s="141" t="inlineStr">
        <is>
          <t>PICK UP</t>
        </is>
      </c>
      <c r="AN2" s="142" t="inlineStr">
        <is>
          <t>COMMOM
REMAKRS</t>
        </is>
      </c>
      <c r="AO2" s="142" t="inlineStr">
        <is>
          <t>ROLL</t>
        </is>
      </c>
    </row>
    <row r="3">
      <c r="A3" s="143" t="inlineStr">
        <is>
          <t>BEAU2480647</t>
        </is>
      </c>
      <c r="B3" s="138" t="inlineStr">
        <is>
          <t>G1</t>
        </is>
      </c>
      <c r="C3" s="144" t="inlineStr">
        <is>
          <t>LCH04</t>
        </is>
      </c>
      <c r="D3" s="144" t="inlineStr">
        <is>
          <t>HASLS22260902438</t>
        </is>
      </c>
      <c r="E3" s="145" t="inlineStr">
        <is>
          <t>AWOT GLOBAL LOGISTICS (THAILAND) CO., LTD.</t>
        </is>
      </c>
      <c r="F3" s="145" t="inlineStr">
        <is>
          <t>DELTA DAIKI METAL (THAILAND) CO.,LTD.</t>
        </is>
      </c>
      <c r="G3" s="136" t="n"/>
      <c r="H3" s="144" t="inlineStr">
        <is>
          <t>THLCH</t>
        </is>
      </c>
      <c r="I3" s="144" t="inlineStr">
        <is>
          <t>JPTOS</t>
        </is>
      </c>
      <c r="J3" s="144" t="inlineStr">
        <is>
          <t>KRPUS</t>
        </is>
      </c>
      <c r="K3" s="144" t="inlineStr">
        <is>
          <t>22GP</t>
        </is>
      </c>
      <c r="L3" s="136" t="inlineStr">
        <is>
          <t>CY/CY</t>
        </is>
      </c>
      <c r="M3" s="136" t="n"/>
      <c r="N3" s="136" t="n"/>
      <c r="O3" s="144" t="inlineStr">
        <is>
          <t>SWAT</t>
        </is>
      </c>
      <c r="P3" s="144" t="inlineStr">
        <is>
          <t>2610N</t>
        </is>
      </c>
      <c r="Q3" s="144" t="inlineStr">
        <is>
          <t>KTS1</t>
        </is>
      </c>
      <c r="R3" s="136" t="inlineStr">
        <is>
          <t>20'</t>
        </is>
      </c>
      <c r="S3" s="146" t="n"/>
      <c r="T3" s="147" t="n">
        <v>46307</v>
      </c>
      <c r="U3" s="148" t="n"/>
      <c r="V3" s="146" t="n"/>
      <c r="W3" s="147" t="n">
        <v>46300</v>
      </c>
      <c r="X3" s="148" t="n">
        <v>8</v>
      </c>
      <c r="Y3" s="149" t="n">
        <v>7</v>
      </c>
      <c r="Z3" s="148" t="n">
        <v>1</v>
      </c>
      <c r="AA3" s="150" t="n">
        <v>125</v>
      </c>
      <c r="AB3" s="151" t="n"/>
      <c r="AC3" s="138" t="n"/>
      <c r="AD3" s="148" t="n">
        <v>5</v>
      </c>
      <c r="AE3" s="148" t="n"/>
      <c r="AF3" s="148" t="n">
        <v>0</v>
      </c>
      <c r="AG3" s="150" t="n">
        <v>0</v>
      </c>
      <c r="AH3" s="152" t="n"/>
      <c r="AI3" s="150" t="n">
        <v>125</v>
      </c>
      <c r="AJ3" s="153" t="n"/>
      <c r="AK3" s="145" t="inlineStr">
        <is>
          <t>Pattarapong Saengthong</t>
        </is>
      </c>
      <c r="AL3" s="154" t="n">
        <v>46305</v>
      </c>
      <c r="AM3" s="136" t="inlineStr">
        <is>
          <t>LCHY5</t>
        </is>
      </c>
      <c r="AN3" s="145" t="inlineStr">
        <is>
          <t>Pickup : 2026-10-03, Return : 2026-10-05</t>
        </is>
      </c>
      <c r="AO3" s="145" t="n"/>
    </row>
    <row r="4">
      <c r="A4" s="143" t="inlineStr">
        <is>
          <t>BEAU2513118</t>
        </is>
      </c>
      <c r="B4" s="138" t="inlineStr">
        <is>
          <t>G1</t>
        </is>
      </c>
      <c r="C4" s="144" t="inlineStr">
        <is>
          <t>LCH04</t>
        </is>
      </c>
      <c r="D4" s="144" t="inlineStr">
        <is>
          <t>HASLS22260902438</t>
        </is>
      </c>
      <c r="E4" s="145" t="inlineStr">
        <is>
          <t>AWOT GLOBAL LOGISTICS (THAILAND) CO., LTD.</t>
        </is>
      </c>
      <c r="F4" s="145" t="inlineStr">
        <is>
          <t>DELTA DAIKI METAL (THAILAND) CO.,LTD.</t>
        </is>
      </c>
      <c r="G4" s="136" t="n"/>
      <c r="H4" s="144" t="inlineStr">
        <is>
          <t>THLCH</t>
        </is>
      </c>
      <c r="I4" s="144" t="inlineStr">
        <is>
          <t>JPTOS</t>
        </is>
      </c>
      <c r="J4" s="144" t="inlineStr">
        <is>
          <t>KRPUS</t>
        </is>
      </c>
      <c r="K4" s="144" t="inlineStr">
        <is>
          <t>22GP</t>
        </is>
      </c>
      <c r="L4" s="136" t="inlineStr">
        <is>
          <t>CY/CY</t>
        </is>
      </c>
      <c r="M4" s="136" t="n"/>
      <c r="N4" s="136" t="n"/>
      <c r="O4" s="144" t="inlineStr">
        <is>
          <t>SWAT</t>
        </is>
      </c>
      <c r="P4" s="144" t="inlineStr">
        <is>
          <t>2610N</t>
        </is>
      </c>
      <c r="Q4" s="144" t="inlineStr">
        <is>
          <t>KTS1</t>
        </is>
      </c>
      <c r="R4" s="136" t="inlineStr">
        <is>
          <t>20'</t>
        </is>
      </c>
      <c r="S4" s="146" t="n"/>
      <c r="T4" s="147" t="n">
        <v>46307</v>
      </c>
      <c r="U4" s="148" t="n"/>
      <c r="V4" s="146" t="n"/>
      <c r="W4" s="147" t="n">
        <v>46300</v>
      </c>
      <c r="X4" s="148" t="n">
        <v>8</v>
      </c>
      <c r="Y4" s="149" t="n">
        <v>7</v>
      </c>
      <c r="Z4" s="148" t="n">
        <v>1</v>
      </c>
      <c r="AA4" s="150" t="n">
        <v>125</v>
      </c>
      <c r="AB4" s="151" t="n"/>
      <c r="AC4" s="138" t="n"/>
      <c r="AD4" s="148" t="n">
        <v>5</v>
      </c>
      <c r="AE4" s="148" t="n"/>
      <c r="AF4" s="148" t="n">
        <v>0</v>
      </c>
      <c r="AG4" s="150" t="n">
        <v>0</v>
      </c>
      <c r="AH4" s="152" t="n"/>
      <c r="AI4" s="150" t="n">
        <v>125</v>
      </c>
      <c r="AJ4" s="153" t="n"/>
      <c r="AK4" s="145" t="inlineStr">
        <is>
          <t>Pattarapong Saengthong</t>
        </is>
      </c>
      <c r="AL4" s="154" t="n">
        <v>46305</v>
      </c>
      <c r="AM4" s="136" t="inlineStr">
        <is>
          <t>LCHY5</t>
        </is>
      </c>
      <c r="AN4" s="145" t="inlineStr">
        <is>
          <t>Pickup : 2026-10-03, Return : 2026-10-05</t>
        </is>
      </c>
      <c r="AO4" s="145" t="n"/>
    </row>
    <row r="5">
      <c r="A5" s="143" t="inlineStr">
        <is>
          <t>BMOU2948199</t>
        </is>
      </c>
      <c r="B5" s="138" t="inlineStr">
        <is>
          <t>G1</t>
        </is>
      </c>
      <c r="C5" s="144" t="inlineStr">
        <is>
          <t>LCH04</t>
        </is>
      </c>
      <c r="D5" s="144" t="inlineStr">
        <is>
          <t>HASLS22260902438</t>
        </is>
      </c>
      <c r="E5" s="145" t="inlineStr">
        <is>
          <t>AWOT GLOBAL LOGISTICS (THAILAND) CO., LTD.</t>
        </is>
      </c>
      <c r="F5" s="145" t="inlineStr">
        <is>
          <t>DELTA DAIKI METAL (THAILAND) CO.,LTD.</t>
        </is>
      </c>
      <c r="G5" s="136" t="n"/>
      <c r="H5" s="144" t="inlineStr">
        <is>
          <t>THLCH</t>
        </is>
      </c>
      <c r="I5" s="144" t="inlineStr">
        <is>
          <t>JPTOS</t>
        </is>
      </c>
      <c r="J5" s="144" t="inlineStr">
        <is>
          <t>KRPUS</t>
        </is>
      </c>
      <c r="K5" s="144" t="inlineStr">
        <is>
          <t>22GP</t>
        </is>
      </c>
      <c r="L5" s="136" t="inlineStr">
        <is>
          <t>CY/CY</t>
        </is>
      </c>
      <c r="M5" s="136" t="n"/>
      <c r="N5" s="136" t="n"/>
      <c r="O5" s="144" t="inlineStr">
        <is>
          <t>SWAT</t>
        </is>
      </c>
      <c r="P5" s="144" t="inlineStr">
        <is>
          <t>2610N</t>
        </is>
      </c>
      <c r="Q5" s="144" t="inlineStr">
        <is>
          <t>KTS1</t>
        </is>
      </c>
      <c r="R5" s="136" t="inlineStr">
        <is>
          <t>20'</t>
        </is>
      </c>
      <c r="S5" s="146" t="n"/>
      <c r="T5" s="147" t="n">
        <v>46307</v>
      </c>
      <c r="U5" s="148" t="n"/>
      <c r="V5" s="146" t="n"/>
      <c r="W5" s="147" t="n">
        <v>46300</v>
      </c>
      <c r="X5" s="148" t="n">
        <v>8</v>
      </c>
      <c r="Y5" s="149" t="n">
        <v>7</v>
      </c>
      <c r="Z5" s="148" t="n">
        <v>1</v>
      </c>
      <c r="AA5" s="150" t="n">
        <v>125</v>
      </c>
      <c r="AB5" s="151" t="n"/>
      <c r="AC5" s="138" t="n"/>
      <c r="AD5" s="148" t="n">
        <v>5</v>
      </c>
      <c r="AE5" s="148" t="n"/>
      <c r="AF5" s="148" t="n">
        <v>0</v>
      </c>
      <c r="AG5" s="150" t="n">
        <v>0</v>
      </c>
      <c r="AH5" s="152" t="n"/>
      <c r="AI5" s="150" t="n">
        <v>125</v>
      </c>
      <c r="AJ5" s="153" t="n"/>
      <c r="AK5" s="145" t="inlineStr">
        <is>
          <t>Pattarapong Saengthong</t>
        </is>
      </c>
      <c r="AL5" s="154" t="n">
        <v>46305</v>
      </c>
      <c r="AM5" s="136" t="inlineStr">
        <is>
          <t>LCHY5</t>
        </is>
      </c>
      <c r="AN5" s="145" t="inlineStr">
        <is>
          <t>Pickup : 2026-10-03, Return : 2026-10-05</t>
        </is>
      </c>
      <c r="AO5" s="145" t="n"/>
    </row>
    <row r="6">
      <c r="A6" s="143" t="inlineStr">
        <is>
          <t>GLDU5657410</t>
        </is>
      </c>
      <c r="B6" s="138" t="inlineStr">
        <is>
          <t>G1</t>
        </is>
      </c>
      <c r="C6" s="144" t="inlineStr">
        <is>
          <t>LCH04</t>
        </is>
      </c>
      <c r="D6" s="144" t="inlineStr">
        <is>
          <t>HASLS22261000190</t>
        </is>
      </c>
      <c r="E6" s="145" t="inlineStr">
        <is>
          <t>SS EXCELLENT NETWORK CO.,LTD</t>
        </is>
      </c>
      <c r="F6" s="145" t="inlineStr">
        <is>
          <t>SS EXCELLENT NETWORK CO.,LTD</t>
        </is>
      </c>
      <c r="G6" s="136" t="n"/>
      <c r="H6" s="144" t="inlineStr">
        <is>
          <t>THLCH</t>
        </is>
      </c>
      <c r="I6" s="144" t="inlineStr">
        <is>
          <t>HKHKG</t>
        </is>
      </c>
      <c r="J6" s="144" t="n"/>
      <c r="K6" s="144" t="inlineStr">
        <is>
          <t>22GP</t>
        </is>
      </c>
      <c r="L6" s="136" t="inlineStr">
        <is>
          <t>CY/CY</t>
        </is>
      </c>
      <c r="M6" s="136" t="n"/>
      <c r="N6" s="136" t="n"/>
      <c r="O6" s="144" t="inlineStr">
        <is>
          <t>SWAT</t>
        </is>
      </c>
      <c r="P6" s="144" t="inlineStr">
        <is>
          <t>2610N</t>
        </is>
      </c>
      <c r="Q6" s="144" t="inlineStr">
        <is>
          <t>KTS1</t>
        </is>
      </c>
      <c r="R6" s="136" t="inlineStr">
        <is>
          <t>20'</t>
        </is>
      </c>
      <c r="S6" s="146" t="n"/>
      <c r="T6" s="147" t="n">
        <v>46307</v>
      </c>
      <c r="U6" s="148" t="n"/>
      <c r="V6" s="146" t="n"/>
      <c r="W6" s="147" t="n">
        <v>46301</v>
      </c>
      <c r="X6" s="148" t="n">
        <v>7</v>
      </c>
      <c r="Y6" s="149" t="n">
        <v>7</v>
      </c>
      <c r="Z6" s="148" t="n">
        <v>0</v>
      </c>
      <c r="AA6" s="150" t="n">
        <v>0</v>
      </c>
      <c r="AB6" s="151" t="n"/>
      <c r="AC6" s="138" t="n"/>
      <c r="AD6" s="148" t="n">
        <v>5</v>
      </c>
      <c r="AE6" s="148" t="n"/>
      <c r="AF6" s="148" t="n">
        <v>0</v>
      </c>
      <c r="AG6" s="150" t="n">
        <v>0</v>
      </c>
      <c r="AH6" s="152" t="n"/>
      <c r="AI6" s="150" t="n">
        <v>0</v>
      </c>
      <c r="AJ6" s="153" t="n"/>
      <c r="AK6" s="145" t="inlineStr">
        <is>
          <t>Nannaapust Sukporntaweewat</t>
        </is>
      </c>
      <c r="AL6" s="154" t="n">
        <v>46299</v>
      </c>
      <c r="AM6" s="136" t="inlineStr">
        <is>
          <t>LCHY5</t>
        </is>
      </c>
      <c r="AN6" s="145" t="inlineStr">
        <is>
          <t xml:space="preserve">Pickup : 2026-10-02, Return : 2026-10-03
  ** PLEASE CHECK OPEN GATE BEFORE RETURN CNTR **
</t>
        </is>
      </c>
      <c r="AO6" s="145" t="n"/>
    </row>
    <row r="7">
      <c r="A7" s="143" t="inlineStr">
        <is>
          <t>HLHU8405871</t>
        </is>
      </c>
      <c r="B7" s="138" t="inlineStr">
        <is>
          <t>G1</t>
        </is>
      </c>
      <c r="C7" s="144" t="inlineStr">
        <is>
          <t>LCH04</t>
        </is>
      </c>
      <c r="D7" s="144" t="inlineStr">
        <is>
          <t>HASLS22260900756</t>
        </is>
      </c>
      <c r="E7" s="145" t="inlineStr">
        <is>
          <t>DOW CHEMICAL THAILAND LTD.</t>
        </is>
      </c>
      <c r="F7" s="145" t="inlineStr">
        <is>
          <t>SIAM POLYETHYLENE CO., LTD.</t>
        </is>
      </c>
      <c r="G7" s="136" t="n"/>
      <c r="H7" s="144" t="inlineStr">
        <is>
          <t>THLCH</t>
        </is>
      </c>
      <c r="I7" s="144" t="inlineStr">
        <is>
          <t>JPTAK</t>
        </is>
      </c>
      <c r="J7" s="144" t="inlineStr">
        <is>
          <t>KRPUS</t>
        </is>
      </c>
      <c r="K7" s="144" t="inlineStr">
        <is>
          <t>45GP</t>
        </is>
      </c>
      <c r="L7" s="136" t="inlineStr">
        <is>
          <t>CY/CY</t>
        </is>
      </c>
      <c r="M7" s="136" t="n"/>
      <c r="N7" s="136" t="n"/>
      <c r="O7" s="144" t="inlineStr">
        <is>
          <t>SWAT</t>
        </is>
      </c>
      <c r="P7" s="144" t="inlineStr">
        <is>
          <t>2610N</t>
        </is>
      </c>
      <c r="Q7" s="144" t="inlineStr">
        <is>
          <t>KTS1</t>
        </is>
      </c>
      <c r="R7" s="136" t="inlineStr">
        <is>
          <t>40'</t>
        </is>
      </c>
      <c r="S7" s="146" t="n"/>
      <c r="T7" s="147" t="n">
        <v>46307</v>
      </c>
      <c r="U7" s="148" t="n"/>
      <c r="V7" s="146" t="n"/>
      <c r="W7" s="147" t="n">
        <v>46298</v>
      </c>
      <c r="X7" s="148" t="n">
        <v>10</v>
      </c>
      <c r="Y7" s="149" t="n">
        <v>7</v>
      </c>
      <c r="Z7" s="148" t="n">
        <v>3</v>
      </c>
      <c r="AA7" s="150" t="n">
        <v>750</v>
      </c>
      <c r="AB7" s="151" t="n"/>
      <c r="AC7" s="138" t="n"/>
      <c r="AD7" s="148" t="n">
        <v>5</v>
      </c>
      <c r="AE7" s="148" t="n"/>
      <c r="AF7" s="148" t="n">
        <v>0</v>
      </c>
      <c r="AG7" s="150" t="n">
        <v>0</v>
      </c>
      <c r="AH7" s="152" t="n"/>
      <c r="AI7" s="150" t="n">
        <v>750</v>
      </c>
      <c r="AJ7" s="153" t="n"/>
      <c r="AK7" s="145" t="inlineStr">
        <is>
          <t>SEO JI YEONG</t>
        </is>
      </c>
      <c r="AL7" s="154" t="n">
        <v>46302</v>
      </c>
      <c r="AM7" s="136" t="inlineStr">
        <is>
          <t>LCHY5</t>
        </is>
      </c>
      <c r="AN7" s="145" t="inlineStr">
        <is>
          <t xml:space="preserve">[FIX]Pickup : 2026-09-30, Return : 2026-10-02
** PLEASE CHECK OPEN GATE BEFORE RETURN CONTAINER ** </t>
        </is>
      </c>
      <c r="AO7" s="145" t="n"/>
    </row>
    <row r="8">
      <c r="A8" s="143" t="inlineStr">
        <is>
          <t>HLHU8491951</t>
        </is>
      </c>
      <c r="B8" s="138" t="inlineStr">
        <is>
          <t>G1</t>
        </is>
      </c>
      <c r="C8" s="144" t="inlineStr">
        <is>
          <t>LCH04</t>
        </is>
      </c>
      <c r="D8" s="144" t="inlineStr">
        <is>
          <t>HASLS22260900756</t>
        </is>
      </c>
      <c r="E8" s="145" t="inlineStr">
        <is>
          <t>DOW CHEMICAL THAILAND LTD.</t>
        </is>
      </c>
      <c r="F8" s="145" t="inlineStr">
        <is>
          <t>SIAM POLYETHYLENE CO., LTD.</t>
        </is>
      </c>
      <c r="G8" s="136" t="n"/>
      <c r="H8" s="144" t="inlineStr">
        <is>
          <t>THLCH</t>
        </is>
      </c>
      <c r="I8" s="144" t="inlineStr">
        <is>
          <t>JPTAK</t>
        </is>
      </c>
      <c r="J8" s="144" t="inlineStr">
        <is>
          <t>KRPUS</t>
        </is>
      </c>
      <c r="K8" s="144" t="inlineStr">
        <is>
          <t>45GP</t>
        </is>
      </c>
      <c r="L8" s="136" t="inlineStr">
        <is>
          <t>CY/CY</t>
        </is>
      </c>
      <c r="M8" s="136" t="n"/>
      <c r="N8" s="136" t="n"/>
      <c r="O8" s="144" t="inlineStr">
        <is>
          <t>SWAT</t>
        </is>
      </c>
      <c r="P8" s="144" t="inlineStr">
        <is>
          <t>2610N</t>
        </is>
      </c>
      <c r="Q8" s="144" t="inlineStr">
        <is>
          <t>KTS1</t>
        </is>
      </c>
      <c r="R8" s="136" t="inlineStr">
        <is>
          <t>40'</t>
        </is>
      </c>
      <c r="S8" s="146" t="n"/>
      <c r="T8" s="147" t="n">
        <v>46307</v>
      </c>
      <c r="U8" s="148" t="n"/>
      <c r="V8" s="146" t="n"/>
      <c r="W8" s="147" t="n">
        <v>46298</v>
      </c>
      <c r="X8" s="148" t="n">
        <v>10</v>
      </c>
      <c r="Y8" s="149" t="n">
        <v>7</v>
      </c>
      <c r="Z8" s="148" t="n">
        <v>3</v>
      </c>
      <c r="AA8" s="150" t="n">
        <v>750</v>
      </c>
      <c r="AB8" s="151" t="n"/>
      <c r="AC8" s="138" t="n"/>
      <c r="AD8" s="148" t="n">
        <v>5</v>
      </c>
      <c r="AE8" s="148" t="n"/>
      <c r="AF8" s="148" t="n">
        <v>0</v>
      </c>
      <c r="AG8" s="150" t="n">
        <v>0</v>
      </c>
      <c r="AH8" s="152" t="n"/>
      <c r="AI8" s="150" t="n">
        <v>750</v>
      </c>
      <c r="AJ8" s="153" t="n"/>
      <c r="AK8" s="145" t="inlineStr">
        <is>
          <t>SEO JI YEONG</t>
        </is>
      </c>
      <c r="AL8" s="154" t="n">
        <v>46302</v>
      </c>
      <c r="AM8" s="136" t="inlineStr">
        <is>
          <t>LCHY5</t>
        </is>
      </c>
      <c r="AN8" s="145" t="inlineStr">
        <is>
          <t xml:space="preserve">[FIX]Pickup : 2026-09-30, Return : 2026-10-02
** PLEASE CHECK OPEN GATE BEFORE RETURN CONTAINER ** </t>
        </is>
      </c>
      <c r="AO8" s="145" t="n"/>
    </row>
    <row r="9">
      <c r="A9" s="143" t="inlineStr">
        <is>
          <t>KMLU2800320</t>
        </is>
      </c>
      <c r="B9" s="138" t="inlineStr">
        <is>
          <t>G1</t>
        </is>
      </c>
      <c r="C9" s="144" t="inlineStr">
        <is>
          <t>LCH04</t>
        </is>
      </c>
      <c r="D9" s="144" t="inlineStr">
        <is>
          <t>HASLS22260901340</t>
        </is>
      </c>
      <c r="E9" s="145" t="inlineStr">
        <is>
          <t>MERCURIAL LOGISTICS  CO.,LTD</t>
        </is>
      </c>
      <c r="F9" s="145" t="inlineStr">
        <is>
          <t xml:space="preserve"> ORIENTAL COPPER CO., LTD.</t>
        </is>
      </c>
      <c r="G9" s="136" t="n"/>
      <c r="H9" s="144" t="inlineStr">
        <is>
          <t>THLCH</t>
        </is>
      </c>
      <c r="I9" s="144" t="inlineStr">
        <is>
          <t>TWKEL</t>
        </is>
      </c>
      <c r="J9" s="144" t="n"/>
      <c r="K9" s="144" t="inlineStr">
        <is>
          <t>22GP</t>
        </is>
      </c>
      <c r="L9" s="136" t="inlineStr">
        <is>
          <t>CY/CY</t>
        </is>
      </c>
      <c r="M9" s="136" t="n"/>
      <c r="N9" s="136" t="n"/>
      <c r="O9" s="144" t="inlineStr">
        <is>
          <t>SWAT</t>
        </is>
      </c>
      <c r="P9" s="144" t="inlineStr">
        <is>
          <t>2610N</t>
        </is>
      </c>
      <c r="Q9" s="144" t="inlineStr">
        <is>
          <t>KTS1</t>
        </is>
      </c>
      <c r="R9" s="136" t="inlineStr">
        <is>
          <t>20'</t>
        </is>
      </c>
      <c r="S9" s="146" t="n"/>
      <c r="T9" s="147" t="n">
        <v>46307</v>
      </c>
      <c r="U9" s="148" t="n"/>
      <c r="V9" s="146" t="n"/>
      <c r="W9" s="147" t="n">
        <v>46301</v>
      </c>
      <c r="X9" s="148" t="n">
        <v>7</v>
      </c>
      <c r="Y9" s="149" t="n">
        <v>7</v>
      </c>
      <c r="Z9" s="148" t="n">
        <v>0</v>
      </c>
      <c r="AA9" s="150" t="n">
        <v>0</v>
      </c>
      <c r="AB9" s="151" t="n"/>
      <c r="AC9" s="138" t="n"/>
      <c r="AD9" s="148" t="n">
        <v>5</v>
      </c>
      <c r="AE9" s="148" t="n"/>
      <c r="AF9" s="148" t="n">
        <v>0</v>
      </c>
      <c r="AG9" s="150" t="n">
        <v>0</v>
      </c>
      <c r="AH9" s="152" t="n"/>
      <c r="AI9" s="150" t="n">
        <v>0</v>
      </c>
      <c r="AJ9" s="153" t="n"/>
      <c r="AK9" s="145" t="inlineStr">
        <is>
          <t>Nannaapust Sukporntaweewat</t>
        </is>
      </c>
      <c r="AL9" s="154" t="n">
        <v>46299</v>
      </c>
      <c r="AM9" s="136" t="inlineStr">
        <is>
          <t>LCH27</t>
        </is>
      </c>
      <c r="AN9" s="145" t="inlineStr">
        <is>
          <t xml:space="preserve">Pickup : 2026-10-05, Return : 2026-10-05
** PLEASE CHECK OPEN GATE BEFORE RETURN CONTAINER ** </t>
        </is>
      </c>
      <c r="AO9" s="145" t="n"/>
    </row>
    <row r="10">
      <c r="A10" s="143" t="inlineStr">
        <is>
          <t>SKHU8917094</t>
        </is>
      </c>
      <c r="B10" s="138" t="inlineStr">
        <is>
          <t>G1</t>
        </is>
      </c>
      <c r="C10" s="144" t="inlineStr">
        <is>
          <t>LCH04</t>
        </is>
      </c>
      <c r="D10" s="144" t="inlineStr">
        <is>
          <t>HASLS22260901169</t>
        </is>
      </c>
      <c r="E10" s="145" t="inlineStr">
        <is>
          <t>TOP INTER FREIGHT CO., LTD.</t>
        </is>
      </c>
      <c r="F10" s="145" t="inlineStr">
        <is>
          <t>KURARAY GC ADVANCED MATERIALS CO.,LTD.</t>
        </is>
      </c>
      <c r="G10" s="136" t="n"/>
      <c r="H10" s="144" t="inlineStr">
        <is>
          <t>THLCH</t>
        </is>
      </c>
      <c r="I10" s="144" t="inlineStr">
        <is>
          <t>TWKEL</t>
        </is>
      </c>
      <c r="J10" s="144" t="n"/>
      <c r="K10" s="144" t="inlineStr">
        <is>
          <t>45GP</t>
        </is>
      </c>
      <c r="L10" s="136" t="inlineStr">
        <is>
          <t>CY/CY</t>
        </is>
      </c>
      <c r="M10" s="136" t="n"/>
      <c r="N10" s="136" t="n"/>
      <c r="O10" s="144" t="inlineStr">
        <is>
          <t>SWAT</t>
        </is>
      </c>
      <c r="P10" s="144" t="inlineStr">
        <is>
          <t>2610N</t>
        </is>
      </c>
      <c r="Q10" s="144" t="inlineStr">
        <is>
          <t>KTS1</t>
        </is>
      </c>
      <c r="R10" s="136" t="inlineStr">
        <is>
          <t>40'</t>
        </is>
      </c>
      <c r="S10" s="146" t="n"/>
      <c r="T10" s="147" t="n">
        <v>46307</v>
      </c>
      <c r="U10" s="148" t="n"/>
      <c r="V10" s="146" t="n"/>
      <c r="W10" s="147" t="n">
        <v>46300</v>
      </c>
      <c r="X10" s="148" t="n">
        <v>8</v>
      </c>
      <c r="Y10" s="149" t="n">
        <v>7</v>
      </c>
      <c r="Z10" s="148" t="n">
        <v>1</v>
      </c>
      <c r="AA10" s="150" t="n">
        <v>250</v>
      </c>
      <c r="AB10" s="151" t="n"/>
      <c r="AC10" s="138" t="n"/>
      <c r="AD10" s="148" t="n">
        <v>5</v>
      </c>
      <c r="AE10" s="148" t="n"/>
      <c r="AF10" s="148" t="n">
        <v>0</v>
      </c>
      <c r="AG10" s="150" t="n">
        <v>0</v>
      </c>
      <c r="AH10" s="152" t="n"/>
      <c r="AI10" s="150" t="n">
        <v>250</v>
      </c>
      <c r="AJ10" s="153" t="n"/>
      <c r="AK10" s="145" t="inlineStr">
        <is>
          <t>Arunphat W. (Aiw)</t>
        </is>
      </c>
      <c r="AL10" s="154" t="n">
        <v>46299</v>
      </c>
      <c r="AM10" s="136" t="inlineStr">
        <is>
          <t>LCH27</t>
        </is>
      </c>
      <c r="AN10" s="145" t="inlineStr">
        <is>
          <t xml:space="preserve">Pickup : 2026-10-03, Return : 2026-10-05 
 ** PLEASE CHECK OPEN GATE BEFORE RETURN CNTR **
 </t>
        </is>
      </c>
      <c r="AO10" s="145" t="n"/>
    </row>
    <row r="11">
      <c r="A11" s="143" t="inlineStr">
        <is>
          <t>SKHU9416651</t>
        </is>
      </c>
      <c r="B11" s="138" t="inlineStr">
        <is>
          <t>G1</t>
        </is>
      </c>
      <c r="C11" s="144" t="inlineStr">
        <is>
          <t>LCH04</t>
        </is>
      </c>
      <c r="D11" s="144" t="inlineStr">
        <is>
          <t>HASLS22260900220</t>
        </is>
      </c>
      <c r="E11" s="145" t="inlineStr">
        <is>
          <t>BDP ASIA-PACIFIC LTD.</t>
        </is>
      </c>
      <c r="F11" s="145" t="inlineStr">
        <is>
          <t>GATES UNITTA (THAILAND) CO.,LTD.</t>
        </is>
      </c>
      <c r="G11" s="136" t="n"/>
      <c r="H11" s="144" t="inlineStr">
        <is>
          <t>THLCH</t>
        </is>
      </c>
      <c r="I11" s="144" t="inlineStr">
        <is>
          <t>TWKEL</t>
        </is>
      </c>
      <c r="J11" s="144" t="n"/>
      <c r="K11" s="144" t="inlineStr">
        <is>
          <t>45GP</t>
        </is>
      </c>
      <c r="L11" s="136" t="inlineStr">
        <is>
          <t>CY/CY</t>
        </is>
      </c>
      <c r="M11" s="136" t="n"/>
      <c r="N11" s="136" t="n"/>
      <c r="O11" s="144" t="inlineStr">
        <is>
          <t>SWAT</t>
        </is>
      </c>
      <c r="P11" s="144" t="inlineStr">
        <is>
          <t>2610N</t>
        </is>
      </c>
      <c r="Q11" s="144" t="inlineStr">
        <is>
          <t>KTS1</t>
        </is>
      </c>
      <c r="R11" s="136" t="inlineStr">
        <is>
          <t>40'</t>
        </is>
      </c>
      <c r="S11" s="146" t="n"/>
      <c r="T11" s="147" t="n">
        <v>46307</v>
      </c>
      <c r="U11" s="148" t="n"/>
      <c r="V11" s="146" t="n"/>
      <c r="W11" s="147" t="n">
        <v>46299</v>
      </c>
      <c r="X11" s="148" t="n">
        <v>9</v>
      </c>
      <c r="Y11" s="149" t="n">
        <v>7</v>
      </c>
      <c r="Z11" s="148" t="n">
        <v>2</v>
      </c>
      <c r="AA11" s="150" t="n">
        <v>500</v>
      </c>
      <c r="AB11" s="151" t="n"/>
      <c r="AC11" s="138" t="n"/>
      <c r="AD11" s="148" t="n">
        <v>5</v>
      </c>
      <c r="AE11" s="148" t="n"/>
      <c r="AF11" s="148" t="n">
        <v>0</v>
      </c>
      <c r="AG11" s="150" t="n">
        <v>0</v>
      </c>
      <c r="AH11" s="152" t="n"/>
      <c r="AI11" s="150" t="n">
        <v>500</v>
      </c>
      <c r="AJ11" s="153" t="n"/>
      <c r="AK11" s="145" t="inlineStr">
        <is>
          <t>Nustsireerach</t>
        </is>
      </c>
      <c r="AL11" s="154" t="n">
        <v>46294</v>
      </c>
      <c r="AM11" s="136" t="inlineStr">
        <is>
          <t>LCH27</t>
        </is>
      </c>
      <c r="AN11" s="145" t="inlineStr">
        <is>
          <t xml:space="preserve">Pickup : 2026-09-23, Return : 2026-09-23 [1ST RTN 25/09/2026 W/O RENT] </t>
        </is>
      </c>
      <c r="AO11" s="145" t="n"/>
    </row>
    <row r="12">
      <c r="A12" s="143" t="inlineStr">
        <is>
          <t>SKLU0574680</t>
        </is>
      </c>
      <c r="B12" s="138" t="inlineStr">
        <is>
          <t>G1</t>
        </is>
      </c>
      <c r="C12" s="144" t="inlineStr">
        <is>
          <t>LCH04</t>
        </is>
      </c>
      <c r="D12" s="144" t="inlineStr">
        <is>
          <t>HASLS22260900495</t>
        </is>
      </c>
      <c r="E12" s="145" t="inlineStr">
        <is>
          <t>KWE-KINTETSU WORLD EXPRESS (THAILAND) CO., LTD.</t>
        </is>
      </c>
      <c r="F12" s="145" t="inlineStr">
        <is>
          <t>ELNA (THAILAND) CO., LTD.</t>
        </is>
      </c>
      <c r="G12" s="136" t="n"/>
      <c r="H12" s="144" t="inlineStr">
        <is>
          <t>THLCH</t>
        </is>
      </c>
      <c r="I12" s="144" t="inlineStr">
        <is>
          <t>HKHKG</t>
        </is>
      </c>
      <c r="J12" s="144" t="n"/>
      <c r="K12" s="144" t="inlineStr">
        <is>
          <t>22GP</t>
        </is>
      </c>
      <c r="L12" s="136" t="inlineStr">
        <is>
          <t>CY/CY</t>
        </is>
      </c>
      <c r="M12" s="136" t="n"/>
      <c r="N12" s="136" t="n"/>
      <c r="O12" s="144" t="inlineStr">
        <is>
          <t>SWAT</t>
        </is>
      </c>
      <c r="P12" s="144" t="inlineStr">
        <is>
          <t>2610N</t>
        </is>
      </c>
      <c r="Q12" s="144" t="inlineStr">
        <is>
          <t>KTS1</t>
        </is>
      </c>
      <c r="R12" s="136" t="inlineStr">
        <is>
          <t>20'</t>
        </is>
      </c>
      <c r="S12" s="146" t="n"/>
      <c r="T12" s="147" t="n">
        <v>46307</v>
      </c>
      <c r="U12" s="148" t="n"/>
      <c r="V12" s="146" t="n"/>
      <c r="W12" s="147" t="n">
        <v>46298</v>
      </c>
      <c r="X12" s="148" t="n">
        <v>10</v>
      </c>
      <c r="Y12" s="149" t="n">
        <v>7</v>
      </c>
      <c r="Z12" s="148" t="n">
        <v>3</v>
      </c>
      <c r="AA12" s="150" t="n">
        <v>375</v>
      </c>
      <c r="AB12" s="151" t="n"/>
      <c r="AC12" s="138" t="n"/>
      <c r="AD12" s="148" t="n">
        <v>5</v>
      </c>
      <c r="AE12" s="148" t="n"/>
      <c r="AF12" s="148" t="n">
        <v>0</v>
      </c>
      <c r="AG12" s="150" t="n">
        <v>0</v>
      </c>
      <c r="AH12" s="152" t="n"/>
      <c r="AI12" s="150" t="n">
        <v>375</v>
      </c>
      <c r="AJ12" s="153" t="n"/>
      <c r="AK12" s="145" t="inlineStr">
        <is>
          <t>Arunphat W. (Aiw)</t>
        </is>
      </c>
      <c r="AL12" s="154" t="n">
        <v>46299</v>
      </c>
      <c r="AM12" s="136" t="inlineStr">
        <is>
          <t>LCH27</t>
        </is>
      </c>
      <c r="AN12" s="145" t="inlineStr">
        <is>
          <t>Pickup : 2026-10-01, Return : 2026-10-03 [1ST RTN 30/09/2026 W/O RENT]</t>
        </is>
      </c>
      <c r="AO12" s="145" t="n"/>
    </row>
    <row r="13">
      <c r="A13" s="143" t="inlineStr">
        <is>
          <t>SKLU0586300</t>
        </is>
      </c>
      <c r="B13" s="138" t="inlineStr">
        <is>
          <t>G1</t>
        </is>
      </c>
      <c r="C13" s="144" t="inlineStr">
        <is>
          <t>LCH04</t>
        </is>
      </c>
      <c r="D13" s="144" t="inlineStr">
        <is>
          <t>HASLS22260902438</t>
        </is>
      </c>
      <c r="E13" s="145" t="inlineStr">
        <is>
          <t>AWOT GLOBAL LOGISTICS (THAILAND) CO., LTD.</t>
        </is>
      </c>
      <c r="F13" s="145" t="inlineStr">
        <is>
          <t>DELTA DAIKI METAL (THAILAND) CO.,LTD.</t>
        </is>
      </c>
      <c r="G13" s="136" t="n"/>
      <c r="H13" s="144" t="inlineStr">
        <is>
          <t>THLCH</t>
        </is>
      </c>
      <c r="I13" s="144" t="inlineStr">
        <is>
          <t>JPTOS</t>
        </is>
      </c>
      <c r="J13" s="144" t="inlineStr">
        <is>
          <t>KRPUS</t>
        </is>
      </c>
      <c r="K13" s="144" t="inlineStr">
        <is>
          <t>22GP</t>
        </is>
      </c>
      <c r="L13" s="136" t="inlineStr">
        <is>
          <t>CY/CY</t>
        </is>
      </c>
      <c r="M13" s="136" t="n"/>
      <c r="N13" s="136" t="n"/>
      <c r="O13" s="144" t="inlineStr">
        <is>
          <t>SWAT</t>
        </is>
      </c>
      <c r="P13" s="144" t="inlineStr">
        <is>
          <t>2610N</t>
        </is>
      </c>
      <c r="Q13" s="144" t="inlineStr">
        <is>
          <t>KTS1</t>
        </is>
      </c>
      <c r="R13" s="136" t="inlineStr">
        <is>
          <t>20'</t>
        </is>
      </c>
      <c r="S13" s="146" t="n"/>
      <c r="T13" s="147" t="n">
        <v>46307</v>
      </c>
      <c r="U13" s="148" t="n"/>
      <c r="V13" s="146" t="n"/>
      <c r="W13" s="147" t="n">
        <v>46300</v>
      </c>
      <c r="X13" s="148" t="n">
        <v>8</v>
      </c>
      <c r="Y13" s="149" t="n">
        <v>7</v>
      </c>
      <c r="Z13" s="148" t="n">
        <v>1</v>
      </c>
      <c r="AA13" s="150" t="n">
        <v>125</v>
      </c>
      <c r="AB13" s="151" t="n"/>
      <c r="AC13" s="138" t="n"/>
      <c r="AD13" s="148" t="n">
        <v>5</v>
      </c>
      <c r="AE13" s="148" t="n"/>
      <c r="AF13" s="148" t="n">
        <v>0</v>
      </c>
      <c r="AG13" s="150" t="n">
        <v>0</v>
      </c>
      <c r="AH13" s="152" t="n"/>
      <c r="AI13" s="150" t="n">
        <v>125</v>
      </c>
      <c r="AJ13" s="153" t="n"/>
      <c r="AK13" s="145" t="inlineStr">
        <is>
          <t>Pattarapong Saengthong</t>
        </is>
      </c>
      <c r="AL13" s="154" t="n">
        <v>46305</v>
      </c>
      <c r="AM13" s="136" t="inlineStr">
        <is>
          <t>LCHY5</t>
        </is>
      </c>
      <c r="AN13" s="145" t="inlineStr">
        <is>
          <t>Pickup : 2026-10-03, Return : 2026-10-05</t>
        </is>
      </c>
      <c r="AO13" s="145" t="n"/>
    </row>
    <row r="14">
      <c r="A14" s="143" t="inlineStr">
        <is>
          <t>SKLU0731840</t>
        </is>
      </c>
      <c r="B14" s="138" t="inlineStr">
        <is>
          <t>G1</t>
        </is>
      </c>
      <c r="C14" s="144" t="inlineStr">
        <is>
          <t>LCH04</t>
        </is>
      </c>
      <c r="D14" s="144" t="inlineStr">
        <is>
          <t>HASLS22261000204</t>
        </is>
      </c>
      <c r="E14" s="145" t="inlineStr">
        <is>
          <t>SS EXCELLENT NETWORK CO.,LTD</t>
        </is>
      </c>
      <c r="F14" s="145" t="inlineStr">
        <is>
          <t>SS EXCELLENT NETWORK CO.,LTD</t>
        </is>
      </c>
      <c r="G14" s="136" t="n"/>
      <c r="H14" s="144" t="inlineStr">
        <is>
          <t>THLCH</t>
        </is>
      </c>
      <c r="I14" s="144" t="inlineStr">
        <is>
          <t>HKHKG</t>
        </is>
      </c>
      <c r="J14" s="144" t="n"/>
      <c r="K14" s="144" t="inlineStr">
        <is>
          <t>22GP</t>
        </is>
      </c>
      <c r="L14" s="136" t="inlineStr">
        <is>
          <t>CY/CY</t>
        </is>
      </c>
      <c r="M14" s="136" t="n"/>
      <c r="N14" s="136" t="n"/>
      <c r="O14" s="144" t="inlineStr">
        <is>
          <t>SWAT</t>
        </is>
      </c>
      <c r="P14" s="144" t="inlineStr">
        <is>
          <t>2610N</t>
        </is>
      </c>
      <c r="Q14" s="144" t="inlineStr">
        <is>
          <t>KTS1</t>
        </is>
      </c>
      <c r="R14" s="136" t="inlineStr">
        <is>
          <t>20'</t>
        </is>
      </c>
      <c r="S14" s="146" t="n"/>
      <c r="T14" s="147" t="n">
        <v>46307</v>
      </c>
      <c r="U14" s="148" t="n"/>
      <c r="V14" s="146" t="n"/>
      <c r="W14" s="147" t="n">
        <v>46300</v>
      </c>
      <c r="X14" s="148" t="n">
        <v>8</v>
      </c>
      <c r="Y14" s="149" t="n">
        <v>7</v>
      </c>
      <c r="Z14" s="148" t="n">
        <v>1</v>
      </c>
      <c r="AA14" s="150" t="n">
        <v>125</v>
      </c>
      <c r="AB14" s="151" t="n"/>
      <c r="AC14" s="138" t="n"/>
      <c r="AD14" s="148" t="n">
        <v>5</v>
      </c>
      <c r="AE14" s="148" t="n"/>
      <c r="AF14" s="148" t="n">
        <v>0</v>
      </c>
      <c r="AG14" s="150" t="n">
        <v>0</v>
      </c>
      <c r="AH14" s="152" t="n"/>
      <c r="AI14" s="150" t="n">
        <v>125</v>
      </c>
      <c r="AJ14" s="153" t="n"/>
      <c r="AK14" s="145" t="inlineStr">
        <is>
          <t>Nannaapust Sukporntaweewat</t>
        </is>
      </c>
      <c r="AL14" s="154" t="n">
        <v>46299</v>
      </c>
      <c r="AM14" s="136" t="inlineStr">
        <is>
          <t>LCHY5</t>
        </is>
      </c>
      <c r="AN14" s="145" t="inlineStr">
        <is>
          <t xml:space="preserve">Pickup : 2026-10-03, Return : 2026-10-03
  ** PLEASE CHECK OPEN GATE BEFORE RETURN CNTR **
</t>
        </is>
      </c>
      <c r="AO14" s="145" t="n"/>
    </row>
    <row r="15">
      <c r="A15" s="143" t="inlineStr">
        <is>
          <t>SKLU0737915</t>
        </is>
      </c>
      <c r="B15" s="138" t="inlineStr">
        <is>
          <t>G1</t>
        </is>
      </c>
      <c r="C15" s="144" t="inlineStr">
        <is>
          <t>LCH04</t>
        </is>
      </c>
      <c r="D15" s="144" t="inlineStr">
        <is>
          <t>HASLS22260901481</t>
        </is>
      </c>
      <c r="E15" s="145" t="inlineStr">
        <is>
          <t>SS EXCELLENT NETWORK CO.,LTD</t>
        </is>
      </c>
      <c r="F15" s="145" t="inlineStr">
        <is>
          <t>SS EXCELLENT NETWORK CO.,LTD</t>
        </is>
      </c>
      <c r="G15" s="136" t="n"/>
      <c r="H15" s="144" t="inlineStr">
        <is>
          <t>THLCH</t>
        </is>
      </c>
      <c r="I15" s="144" t="inlineStr">
        <is>
          <t>HKHKG</t>
        </is>
      </c>
      <c r="J15" s="144" t="n"/>
      <c r="K15" s="144" t="inlineStr">
        <is>
          <t>22GP</t>
        </is>
      </c>
      <c r="L15" s="136" t="inlineStr">
        <is>
          <t>CY/CY</t>
        </is>
      </c>
      <c r="M15" s="136" t="n"/>
      <c r="N15" s="136" t="n"/>
      <c r="O15" s="144" t="inlineStr">
        <is>
          <t>SWAT</t>
        </is>
      </c>
      <c r="P15" s="144" t="inlineStr">
        <is>
          <t>2610N</t>
        </is>
      </c>
      <c r="Q15" s="144" t="inlineStr">
        <is>
          <t>KTS1</t>
        </is>
      </c>
      <c r="R15" s="136" t="inlineStr">
        <is>
          <t>20'</t>
        </is>
      </c>
      <c r="S15" s="146" t="n"/>
      <c r="T15" s="147" t="n">
        <v>46307</v>
      </c>
      <c r="U15" s="148" t="n"/>
      <c r="V15" s="146" t="n"/>
      <c r="W15" s="147" t="n">
        <v>46304</v>
      </c>
      <c r="X15" s="148" t="n">
        <v>4</v>
      </c>
      <c r="Y15" s="149" t="n">
        <v>7</v>
      </c>
      <c r="Z15" s="148" t="n">
        <v>0</v>
      </c>
      <c r="AA15" s="150" t="n">
        <v>0</v>
      </c>
      <c r="AB15" s="151" t="n"/>
      <c r="AC15" s="138" t="n"/>
      <c r="AD15" s="148" t="n">
        <v>5</v>
      </c>
      <c r="AE15" s="148" t="n"/>
      <c r="AF15" s="148" t="n">
        <v>0</v>
      </c>
      <c r="AG15" s="150" t="n">
        <v>0</v>
      </c>
      <c r="AH15" s="152" t="n"/>
      <c r="AI15" s="150" t="n">
        <v>0</v>
      </c>
      <c r="AJ15" s="153" t="n"/>
      <c r="AK15" s="145" t="inlineStr">
        <is>
          <t>Nannaapust Sukporntaweewat</t>
        </is>
      </c>
      <c r="AL15" s="154" t="n">
        <v>46305</v>
      </c>
      <c r="AM15" s="136" t="inlineStr">
        <is>
          <t>LCHY5</t>
        </is>
      </c>
      <c r="AN15" s="145" t="inlineStr">
        <is>
          <t xml:space="preserve">Pickup : 2026-09-24, Return : 2026-09-25 (1ST RTN 29/09 W/O RENT) 
 ** PLEASE CHECK OPEN GATE BEFORE RETURN CNTR **
</t>
        </is>
      </c>
      <c r="AO15" s="145" t="inlineStr">
        <is>
          <t>ROLL OVER FROM PREVIOUS VSL SWDN 2610N BY ALLOCATION TEAM MS.TARN APPROVED COST IS UNDER HAL DD.05/10</t>
        </is>
      </c>
    </row>
    <row r="16">
      <c r="A16" s="143" t="inlineStr">
        <is>
          <t>SKLU0740040</t>
        </is>
      </c>
      <c r="B16" s="138" t="inlineStr">
        <is>
          <t>G1</t>
        </is>
      </c>
      <c r="C16" s="144" t="inlineStr">
        <is>
          <t>LCH04</t>
        </is>
      </c>
      <c r="D16" s="144" t="inlineStr">
        <is>
          <t>HASLS22260901339</t>
        </is>
      </c>
      <c r="E16" s="145" t="inlineStr">
        <is>
          <t>MERCURIAL LOGISTICS  CO.,LTD</t>
        </is>
      </c>
      <c r="F16" s="145" t="inlineStr">
        <is>
          <t>ORIENTAL COPPER CO., LTD.</t>
        </is>
      </c>
      <c r="G16" s="136" t="n"/>
      <c r="H16" s="144" t="inlineStr">
        <is>
          <t>THLCH</t>
        </is>
      </c>
      <c r="I16" s="144" t="inlineStr">
        <is>
          <t>TWKEL</t>
        </is>
      </c>
      <c r="J16" s="144" t="n"/>
      <c r="K16" s="144" t="inlineStr">
        <is>
          <t>22GP</t>
        </is>
      </c>
      <c r="L16" s="136" t="inlineStr">
        <is>
          <t>CY/CY</t>
        </is>
      </c>
      <c r="M16" s="136" t="n"/>
      <c r="N16" s="136" t="n"/>
      <c r="O16" s="144" t="inlineStr">
        <is>
          <t>SWAT</t>
        </is>
      </c>
      <c r="P16" s="144" t="inlineStr">
        <is>
          <t>2610N</t>
        </is>
      </c>
      <c r="Q16" s="144" t="inlineStr">
        <is>
          <t>KTS1</t>
        </is>
      </c>
      <c r="R16" s="136" t="inlineStr">
        <is>
          <t>20'</t>
        </is>
      </c>
      <c r="S16" s="146" t="n"/>
      <c r="T16" s="147" t="n">
        <v>46307</v>
      </c>
      <c r="U16" s="148" t="n"/>
      <c r="V16" s="146" t="n"/>
      <c r="W16" s="147" t="n">
        <v>46301</v>
      </c>
      <c r="X16" s="148" t="n">
        <v>7</v>
      </c>
      <c r="Y16" s="149" t="n">
        <v>7</v>
      </c>
      <c r="Z16" s="148" t="n">
        <v>0</v>
      </c>
      <c r="AA16" s="150" t="n">
        <v>0</v>
      </c>
      <c r="AB16" s="151" t="n"/>
      <c r="AC16" s="138" t="n"/>
      <c r="AD16" s="148" t="n">
        <v>5</v>
      </c>
      <c r="AE16" s="148" t="n"/>
      <c r="AF16" s="148" t="n">
        <v>0</v>
      </c>
      <c r="AG16" s="150" t="n">
        <v>0</v>
      </c>
      <c r="AH16" s="152" t="n"/>
      <c r="AI16" s="150" t="n">
        <v>0</v>
      </c>
      <c r="AJ16" s="153" t="n"/>
      <c r="AK16" s="145" t="inlineStr">
        <is>
          <t>Nannaapust Sukporntaweewat</t>
        </is>
      </c>
      <c r="AL16" s="154" t="n">
        <v>46299</v>
      </c>
      <c r="AM16" s="136" t="inlineStr">
        <is>
          <t>LCH27</t>
        </is>
      </c>
      <c r="AN16" s="145" t="inlineStr">
        <is>
          <t xml:space="preserve">Pickup : 2026-10-05, Return : 2026-10-05 
** PLEASE CHECK OPEN GATE BEFORE RETURN CONTAINER ** </t>
        </is>
      </c>
      <c r="AO16" s="145" t="n"/>
    </row>
    <row r="17">
      <c r="A17" s="143" t="inlineStr">
        <is>
          <t>SKLU1434446</t>
        </is>
      </c>
      <c r="B17" s="138" t="inlineStr">
        <is>
          <t>G1</t>
        </is>
      </c>
      <c r="C17" s="144" t="inlineStr">
        <is>
          <t>LCH04</t>
        </is>
      </c>
      <c r="D17" s="144" t="inlineStr">
        <is>
          <t>HASLS22260901339</t>
        </is>
      </c>
      <c r="E17" s="145" t="inlineStr">
        <is>
          <t>MERCURIAL LOGISTICS  CO.,LTD</t>
        </is>
      </c>
      <c r="F17" s="145" t="inlineStr">
        <is>
          <t>ORIENTAL COPPER CO., LTD.</t>
        </is>
      </c>
      <c r="G17" s="136" t="n"/>
      <c r="H17" s="144" t="inlineStr">
        <is>
          <t>THLCH</t>
        </is>
      </c>
      <c r="I17" s="144" t="inlineStr">
        <is>
          <t>TWKEL</t>
        </is>
      </c>
      <c r="J17" s="144" t="n"/>
      <c r="K17" s="144" t="inlineStr">
        <is>
          <t>22GP</t>
        </is>
      </c>
      <c r="L17" s="136" t="inlineStr">
        <is>
          <t>CY/CY</t>
        </is>
      </c>
      <c r="M17" s="136" t="n"/>
      <c r="N17" s="136" t="n"/>
      <c r="O17" s="144" t="inlineStr">
        <is>
          <t>SWAT</t>
        </is>
      </c>
      <c r="P17" s="144" t="inlineStr">
        <is>
          <t>2610N</t>
        </is>
      </c>
      <c r="Q17" s="144" t="inlineStr">
        <is>
          <t>KTS1</t>
        </is>
      </c>
      <c r="R17" s="136" t="inlineStr">
        <is>
          <t>20'</t>
        </is>
      </c>
      <c r="S17" s="146" t="n"/>
      <c r="T17" s="147" t="n">
        <v>46307</v>
      </c>
      <c r="U17" s="148" t="n"/>
      <c r="V17" s="146" t="n"/>
      <c r="W17" s="147" t="n">
        <v>46301</v>
      </c>
      <c r="X17" s="148" t="n">
        <v>7</v>
      </c>
      <c r="Y17" s="149" t="n">
        <v>7</v>
      </c>
      <c r="Z17" s="148" t="n">
        <v>0</v>
      </c>
      <c r="AA17" s="150" t="n">
        <v>0</v>
      </c>
      <c r="AB17" s="151" t="n"/>
      <c r="AC17" s="138" t="n"/>
      <c r="AD17" s="148" t="n">
        <v>5</v>
      </c>
      <c r="AE17" s="148" t="n"/>
      <c r="AF17" s="148" t="n">
        <v>0</v>
      </c>
      <c r="AG17" s="150" t="n">
        <v>0</v>
      </c>
      <c r="AH17" s="152" t="n"/>
      <c r="AI17" s="150" t="n">
        <v>0</v>
      </c>
      <c r="AJ17" s="153" t="n"/>
      <c r="AK17" s="145" t="inlineStr">
        <is>
          <t>Nannaapust Sukporntaweewat</t>
        </is>
      </c>
      <c r="AL17" s="154" t="n">
        <v>46299</v>
      </c>
      <c r="AM17" s="136" t="inlineStr">
        <is>
          <t>LCH27</t>
        </is>
      </c>
      <c r="AN17" s="145" t="inlineStr">
        <is>
          <t xml:space="preserve">Pickup : 2026-10-05, Return : 2026-10-05 
** PLEASE CHECK OPEN GATE BEFORE RETURN CONTAINER ** </t>
        </is>
      </c>
      <c r="AO17" s="145" t="n"/>
    </row>
    <row r="18">
      <c r="A18" s="143" t="inlineStr">
        <is>
          <t>SKLU1520760</t>
        </is>
      </c>
      <c r="B18" s="138" t="inlineStr">
        <is>
          <t>G1</t>
        </is>
      </c>
      <c r="C18" s="144" t="inlineStr">
        <is>
          <t>LCH04</t>
        </is>
      </c>
      <c r="D18" s="144" t="inlineStr">
        <is>
          <t>HASLS22260900459</t>
        </is>
      </c>
      <c r="E18" s="145" t="inlineStr">
        <is>
          <t>THAI POLYCARBONATE CO., LTD.</t>
        </is>
      </c>
      <c r="F18" s="145" t="inlineStr">
        <is>
          <t>THAI POLYCARBONATE CO., LTD.</t>
        </is>
      </c>
      <c r="G18" s="136" t="n"/>
      <c r="H18" s="144" t="inlineStr">
        <is>
          <t>THLCH</t>
        </is>
      </c>
      <c r="I18" s="144" t="inlineStr">
        <is>
          <t>CNSHK</t>
        </is>
      </c>
      <c r="J18" s="144" t="n"/>
      <c r="K18" s="144" t="inlineStr">
        <is>
          <t>22GP</t>
        </is>
      </c>
      <c r="L18" s="136" t="inlineStr">
        <is>
          <t>CY/CY</t>
        </is>
      </c>
      <c r="M18" s="136" t="n"/>
      <c r="N18" s="136" t="n"/>
      <c r="O18" s="144" t="inlineStr">
        <is>
          <t>SWAT</t>
        </is>
      </c>
      <c r="P18" s="144" t="inlineStr">
        <is>
          <t>2610N</t>
        </is>
      </c>
      <c r="Q18" s="144" t="inlineStr">
        <is>
          <t>KTS1</t>
        </is>
      </c>
      <c r="R18" s="136" t="inlineStr">
        <is>
          <t>20'</t>
        </is>
      </c>
      <c r="S18" s="146" t="n"/>
      <c r="T18" s="147" t="n">
        <v>46307</v>
      </c>
      <c r="U18" s="148" t="n"/>
      <c r="V18" s="146" t="n"/>
      <c r="W18" s="147" t="n">
        <v>46299</v>
      </c>
      <c r="X18" s="148" t="n">
        <v>9</v>
      </c>
      <c r="Y18" s="149" t="n">
        <v>7</v>
      </c>
      <c r="Z18" s="148" t="n">
        <v>2</v>
      </c>
      <c r="AA18" s="150" t="n">
        <v>250</v>
      </c>
      <c r="AB18" s="151" t="n"/>
      <c r="AC18" s="138" t="n"/>
      <c r="AD18" s="148" t="n">
        <v>5</v>
      </c>
      <c r="AE18" s="148" t="n"/>
      <c r="AF18" s="148" t="n">
        <v>0</v>
      </c>
      <c r="AG18" s="150" t="n">
        <v>0</v>
      </c>
      <c r="AH18" s="152" t="n"/>
      <c r="AI18" s="150" t="n">
        <v>250</v>
      </c>
      <c r="AJ18" s="153" t="n"/>
      <c r="AK18" s="145" t="inlineStr">
        <is>
          <t>Vilaiporn</t>
        </is>
      </c>
      <c r="AL18" s="154" t="n">
        <v>46299</v>
      </c>
      <c r="AM18" s="136" t="inlineStr">
        <is>
          <t>LCHY5</t>
        </is>
      </c>
      <c r="AN18" s="145" t="inlineStr">
        <is>
          <t>Pickup : 2026-09-28, Return : 2026-10-02</t>
        </is>
      </c>
      <c r="AO18" s="145" t="n"/>
    </row>
    <row r="19">
      <c r="A19" s="143" t="inlineStr">
        <is>
          <t>SKLU1572229</t>
        </is>
      </c>
      <c r="B19" s="138" t="inlineStr">
        <is>
          <t>G1</t>
        </is>
      </c>
      <c r="C19" s="144" t="inlineStr">
        <is>
          <t>LCH04</t>
        </is>
      </c>
      <c r="D19" s="144" t="inlineStr">
        <is>
          <t>HASLS22260901258</t>
        </is>
      </c>
      <c r="E19" s="145" t="inlineStr">
        <is>
          <t>DOW CHEMICAL THAILAND LTD.</t>
        </is>
      </c>
      <c r="F19" s="145" t="inlineStr">
        <is>
          <t>SIAM POLYETHYLENE CO., LTD.</t>
        </is>
      </c>
      <c r="G19" s="136" t="n"/>
      <c r="H19" s="144" t="inlineStr">
        <is>
          <t>THLCH</t>
        </is>
      </c>
      <c r="I19" s="144" t="inlineStr">
        <is>
          <t>JPNGO</t>
        </is>
      </c>
      <c r="J19" s="144" t="inlineStr">
        <is>
          <t>KRPUS</t>
        </is>
      </c>
      <c r="K19" s="144" t="inlineStr">
        <is>
          <t>22GP</t>
        </is>
      </c>
      <c r="L19" s="136" t="inlineStr">
        <is>
          <t>CY/CY</t>
        </is>
      </c>
      <c r="M19" s="136" t="n"/>
      <c r="N19" s="136" t="n"/>
      <c r="O19" s="144" t="inlineStr">
        <is>
          <t>SWAT</t>
        </is>
      </c>
      <c r="P19" s="144" t="inlineStr">
        <is>
          <t>2610N</t>
        </is>
      </c>
      <c r="Q19" s="144" t="inlineStr">
        <is>
          <t>KTS1</t>
        </is>
      </c>
      <c r="R19" s="136" t="inlineStr">
        <is>
          <t>20'</t>
        </is>
      </c>
      <c r="S19" s="146" t="n"/>
      <c r="T19" s="147" t="n">
        <v>46307</v>
      </c>
      <c r="U19" s="148" t="n"/>
      <c r="V19" s="146" t="n"/>
      <c r="W19" s="147" t="n">
        <v>46299</v>
      </c>
      <c r="X19" s="148" t="n">
        <v>9</v>
      </c>
      <c r="Y19" s="149" t="n">
        <v>7</v>
      </c>
      <c r="Z19" s="148" t="n">
        <v>2</v>
      </c>
      <c r="AA19" s="150" t="n">
        <v>250</v>
      </c>
      <c r="AB19" s="151" t="n"/>
      <c r="AC19" s="138" t="n"/>
      <c r="AD19" s="148" t="n">
        <v>5</v>
      </c>
      <c r="AE19" s="148" t="n"/>
      <c r="AF19" s="148" t="n">
        <v>0</v>
      </c>
      <c r="AG19" s="150" t="n">
        <v>0</v>
      </c>
      <c r="AH19" s="152" t="n"/>
      <c r="AI19" s="150" t="n">
        <v>250</v>
      </c>
      <c r="AJ19" s="153" t="n"/>
      <c r="AK19" s="145" t="inlineStr">
        <is>
          <t>SEO JI YEONG</t>
        </is>
      </c>
      <c r="AL19" s="154" t="n">
        <v>46299</v>
      </c>
      <c r="AM19" s="136" t="inlineStr">
        <is>
          <t>LCHY5</t>
        </is>
      </c>
      <c r="AN19" s="145" t="inlineStr">
        <is>
          <t>Pickup : 2026-09-28, Return : 2026-10-01</t>
        </is>
      </c>
      <c r="AO19" s="145" t="n"/>
    </row>
    <row r="20">
      <c r="A20" s="143" t="inlineStr">
        <is>
          <t>SKLU1804582</t>
        </is>
      </c>
      <c r="B20" s="138" t="inlineStr">
        <is>
          <t>G1</t>
        </is>
      </c>
      <c r="C20" s="144" t="inlineStr">
        <is>
          <t>LCH04</t>
        </is>
      </c>
      <c r="D20" s="144" t="inlineStr">
        <is>
          <t>HASLS22260902438</t>
        </is>
      </c>
      <c r="E20" s="145" t="inlineStr">
        <is>
          <t>AWOT GLOBAL LOGISTICS (THAILAND) CO., LTD.</t>
        </is>
      </c>
      <c r="F20" s="145" t="inlineStr">
        <is>
          <t>DELTA DAIKI METAL (THAILAND) CO.,LTD.</t>
        </is>
      </c>
      <c r="G20" s="136" t="n"/>
      <c r="H20" s="144" t="inlineStr">
        <is>
          <t>THLCH</t>
        </is>
      </c>
      <c r="I20" s="144" t="inlineStr">
        <is>
          <t>JPTOS</t>
        </is>
      </c>
      <c r="J20" s="144" t="inlineStr">
        <is>
          <t>KRPUS</t>
        </is>
      </c>
      <c r="K20" s="144" t="inlineStr">
        <is>
          <t>22GP</t>
        </is>
      </c>
      <c r="L20" s="136" t="inlineStr">
        <is>
          <t>CY/CY</t>
        </is>
      </c>
      <c r="M20" s="136" t="n"/>
      <c r="N20" s="136" t="n"/>
      <c r="O20" s="144" t="inlineStr">
        <is>
          <t>SWAT</t>
        </is>
      </c>
      <c r="P20" s="144" t="inlineStr">
        <is>
          <t>2610N</t>
        </is>
      </c>
      <c r="Q20" s="144" t="inlineStr">
        <is>
          <t>KTS1</t>
        </is>
      </c>
      <c r="R20" s="136" t="inlineStr">
        <is>
          <t>20'</t>
        </is>
      </c>
      <c r="S20" s="146" t="n"/>
      <c r="T20" s="147" t="n">
        <v>46307</v>
      </c>
      <c r="U20" s="148" t="n"/>
      <c r="V20" s="146" t="n"/>
      <c r="W20" s="147" t="n">
        <v>46300</v>
      </c>
      <c r="X20" s="148" t="n">
        <v>8</v>
      </c>
      <c r="Y20" s="149" t="n">
        <v>7</v>
      </c>
      <c r="Z20" s="148" t="n">
        <v>1</v>
      </c>
      <c r="AA20" s="150" t="n">
        <v>125</v>
      </c>
      <c r="AB20" s="151" t="n"/>
      <c r="AC20" s="138" t="n"/>
      <c r="AD20" s="148" t="n">
        <v>5</v>
      </c>
      <c r="AE20" s="148" t="n"/>
      <c r="AF20" s="148" t="n">
        <v>0</v>
      </c>
      <c r="AG20" s="150" t="n">
        <v>0</v>
      </c>
      <c r="AH20" s="152" t="n"/>
      <c r="AI20" s="150" t="n">
        <v>125</v>
      </c>
      <c r="AJ20" s="153" t="n"/>
      <c r="AK20" s="145" t="inlineStr">
        <is>
          <t>Pattarapong Saengthong</t>
        </is>
      </c>
      <c r="AL20" s="154" t="n">
        <v>46305</v>
      </c>
      <c r="AM20" s="136" t="inlineStr">
        <is>
          <t>LCHY5</t>
        </is>
      </c>
      <c r="AN20" s="145" t="inlineStr">
        <is>
          <t>Pickup : 2026-10-03, Return : 2026-10-05</t>
        </is>
      </c>
      <c r="AO20" s="145" t="n"/>
    </row>
    <row r="21">
      <c r="A21" s="143" t="inlineStr">
        <is>
          <t>SKLU1902193</t>
        </is>
      </c>
      <c r="B21" s="138" t="inlineStr">
        <is>
          <t>G1</t>
        </is>
      </c>
      <c r="C21" s="144" t="inlineStr">
        <is>
          <t>LCH04</t>
        </is>
      </c>
      <c r="D21" s="144" t="inlineStr">
        <is>
          <t>HASLS22260900906</t>
        </is>
      </c>
      <c r="E21" s="145" t="inlineStr">
        <is>
          <t>THAI POLYCARBONATE CO., LTD.</t>
        </is>
      </c>
      <c r="F21" s="145" t="inlineStr">
        <is>
          <t>THAI POLYACETAL CO., LTD.</t>
        </is>
      </c>
      <c r="G21" s="136" t="n"/>
      <c r="H21" s="144" t="inlineStr">
        <is>
          <t>THLCH</t>
        </is>
      </c>
      <c r="I21" s="144" t="inlineStr">
        <is>
          <t>CNSHK</t>
        </is>
      </c>
      <c r="J21" s="144" t="n"/>
      <c r="K21" s="144" t="inlineStr">
        <is>
          <t>22GP</t>
        </is>
      </c>
      <c r="L21" s="136" t="inlineStr">
        <is>
          <t>CY/CY</t>
        </is>
      </c>
      <c r="M21" s="136" t="n"/>
      <c r="N21" s="136" t="n"/>
      <c r="O21" s="144" t="inlineStr">
        <is>
          <t>SWAT</t>
        </is>
      </c>
      <c r="P21" s="144" t="inlineStr">
        <is>
          <t>2610N</t>
        </is>
      </c>
      <c r="Q21" s="144" t="inlineStr">
        <is>
          <t>KTS1</t>
        </is>
      </c>
      <c r="R21" s="136" t="inlineStr">
        <is>
          <t>20'</t>
        </is>
      </c>
      <c r="S21" s="146" t="n"/>
      <c r="T21" s="147" t="n">
        <v>46307</v>
      </c>
      <c r="U21" s="148" t="n"/>
      <c r="V21" s="146" t="n"/>
      <c r="W21" s="147" t="n">
        <v>46300</v>
      </c>
      <c r="X21" s="148" t="n">
        <v>8</v>
      </c>
      <c r="Y21" s="149" t="n">
        <v>7</v>
      </c>
      <c r="Z21" s="148" t="n">
        <v>1</v>
      </c>
      <c r="AA21" s="150" t="n">
        <v>125</v>
      </c>
      <c r="AB21" s="151" t="n"/>
      <c r="AC21" s="138" t="n"/>
      <c r="AD21" s="148" t="n">
        <v>5</v>
      </c>
      <c r="AE21" s="148" t="n"/>
      <c r="AF21" s="148" t="n">
        <v>0</v>
      </c>
      <c r="AG21" s="150" t="n">
        <v>0</v>
      </c>
      <c r="AH21" s="152" t="n"/>
      <c r="AI21" s="150" t="n">
        <v>125</v>
      </c>
      <c r="AJ21" s="153" t="n"/>
      <c r="AK21" s="145" t="inlineStr">
        <is>
          <t>Vilaiporn</t>
        </is>
      </c>
      <c r="AL21" s="154" t="n">
        <v>46299</v>
      </c>
      <c r="AM21" s="136" t="inlineStr">
        <is>
          <t>LCH27</t>
        </is>
      </c>
      <c r="AN21" s="145" t="inlineStr">
        <is>
          <t xml:space="preserve">Pickup : 2026-09-29, Return : 2026-10-01 
 ** PLEASE CHECK OPEN GATE BEFORE RETURN CNTR **
</t>
        </is>
      </c>
      <c r="AO21" s="145" t="n"/>
    </row>
    <row r="22">
      <c r="A22" s="143" t="inlineStr">
        <is>
          <t>SKLU1943905</t>
        </is>
      </c>
      <c r="B22" s="138" t="inlineStr">
        <is>
          <t>G1</t>
        </is>
      </c>
      <c r="C22" s="144" t="inlineStr">
        <is>
          <t>LCH04</t>
        </is>
      </c>
      <c r="D22" s="144" t="inlineStr">
        <is>
          <t>HASLS22260900459</t>
        </is>
      </c>
      <c r="E22" s="145" t="inlineStr">
        <is>
          <t>THAI POLYCARBONATE CO., LTD.</t>
        </is>
      </c>
      <c r="F22" s="145" t="inlineStr">
        <is>
          <t>THAI POLYCARBONATE CO., LTD.</t>
        </is>
      </c>
      <c r="G22" s="136" t="n"/>
      <c r="H22" s="144" t="inlineStr">
        <is>
          <t>THLCH</t>
        </is>
      </c>
      <c r="I22" s="144" t="inlineStr">
        <is>
          <t>CNSHK</t>
        </is>
      </c>
      <c r="J22" s="144" t="n"/>
      <c r="K22" s="144" t="inlineStr">
        <is>
          <t>22GP</t>
        </is>
      </c>
      <c r="L22" s="136" t="inlineStr">
        <is>
          <t>CY/CY</t>
        </is>
      </c>
      <c r="M22" s="136" t="n"/>
      <c r="N22" s="136" t="n"/>
      <c r="O22" s="144" t="inlineStr">
        <is>
          <t>SWAT</t>
        </is>
      </c>
      <c r="P22" s="144" t="inlineStr">
        <is>
          <t>2610N</t>
        </is>
      </c>
      <c r="Q22" s="144" t="inlineStr">
        <is>
          <t>KTS1</t>
        </is>
      </c>
      <c r="R22" s="136" t="inlineStr">
        <is>
          <t>20'</t>
        </is>
      </c>
      <c r="S22" s="146" t="n"/>
      <c r="T22" s="147" t="n">
        <v>46307</v>
      </c>
      <c r="U22" s="148" t="n"/>
      <c r="V22" s="146" t="n"/>
      <c r="W22" s="147" t="n">
        <v>46299</v>
      </c>
      <c r="X22" s="148" t="n">
        <v>9</v>
      </c>
      <c r="Y22" s="149" t="n">
        <v>7</v>
      </c>
      <c r="Z22" s="148" t="n">
        <v>2</v>
      </c>
      <c r="AA22" s="150" t="n">
        <v>250</v>
      </c>
      <c r="AB22" s="151" t="n"/>
      <c r="AC22" s="138" t="n"/>
      <c r="AD22" s="148" t="n">
        <v>5</v>
      </c>
      <c r="AE22" s="148" t="n"/>
      <c r="AF22" s="148" t="n">
        <v>0</v>
      </c>
      <c r="AG22" s="150" t="n">
        <v>0</v>
      </c>
      <c r="AH22" s="152" t="n"/>
      <c r="AI22" s="150" t="n">
        <v>250</v>
      </c>
      <c r="AJ22" s="153" t="n"/>
      <c r="AK22" s="145" t="inlineStr">
        <is>
          <t>Vilaiporn</t>
        </is>
      </c>
      <c r="AL22" s="154" t="n">
        <v>46299</v>
      </c>
      <c r="AM22" s="136" t="inlineStr">
        <is>
          <t>LCHY5</t>
        </is>
      </c>
      <c r="AN22" s="145" t="inlineStr">
        <is>
          <t>Pickup : 2026-09-28, Return : 2026-10-02</t>
        </is>
      </c>
      <c r="AO22" s="145" t="n"/>
    </row>
    <row r="23">
      <c r="A23" s="143" t="inlineStr">
        <is>
          <t>SKLU1964889</t>
        </is>
      </c>
      <c r="B23" s="138" t="inlineStr">
        <is>
          <t>G1</t>
        </is>
      </c>
      <c r="C23" s="144" t="inlineStr">
        <is>
          <t>LCH04</t>
        </is>
      </c>
      <c r="D23" s="144" t="inlineStr">
        <is>
          <t>HASLS22260900459</t>
        </is>
      </c>
      <c r="E23" s="145" t="inlineStr">
        <is>
          <t>THAI POLYCARBONATE CO., LTD.</t>
        </is>
      </c>
      <c r="F23" s="145" t="inlineStr">
        <is>
          <t>THAI POLYCARBONATE CO., LTD.</t>
        </is>
      </c>
      <c r="G23" s="136" t="n"/>
      <c r="H23" s="144" t="inlineStr">
        <is>
          <t>THLCH</t>
        </is>
      </c>
      <c r="I23" s="144" t="inlineStr">
        <is>
          <t>CNSHK</t>
        </is>
      </c>
      <c r="J23" s="144" t="n"/>
      <c r="K23" s="144" t="inlineStr">
        <is>
          <t>22GP</t>
        </is>
      </c>
      <c r="L23" s="136" t="inlineStr">
        <is>
          <t>CY/CY</t>
        </is>
      </c>
      <c r="M23" s="136" t="n"/>
      <c r="N23" s="136" t="n"/>
      <c r="O23" s="144" t="inlineStr">
        <is>
          <t>SWAT</t>
        </is>
      </c>
      <c r="P23" s="144" t="inlineStr">
        <is>
          <t>2610N</t>
        </is>
      </c>
      <c r="Q23" s="144" t="inlineStr">
        <is>
          <t>KTS1</t>
        </is>
      </c>
      <c r="R23" s="136" t="inlineStr">
        <is>
          <t>20'</t>
        </is>
      </c>
      <c r="S23" s="146" t="n"/>
      <c r="T23" s="147" t="n">
        <v>46307</v>
      </c>
      <c r="U23" s="148" t="n"/>
      <c r="V23" s="146" t="n"/>
      <c r="W23" s="147" t="n">
        <v>46299</v>
      </c>
      <c r="X23" s="148" t="n">
        <v>9</v>
      </c>
      <c r="Y23" s="149" t="n">
        <v>7</v>
      </c>
      <c r="Z23" s="148" t="n">
        <v>2</v>
      </c>
      <c r="AA23" s="150" t="n">
        <v>250</v>
      </c>
      <c r="AB23" s="151" t="n"/>
      <c r="AC23" s="138" t="n"/>
      <c r="AD23" s="148" t="n">
        <v>5</v>
      </c>
      <c r="AE23" s="148" t="n"/>
      <c r="AF23" s="148" t="n">
        <v>0</v>
      </c>
      <c r="AG23" s="150" t="n">
        <v>0</v>
      </c>
      <c r="AH23" s="152" t="n"/>
      <c r="AI23" s="150" t="n">
        <v>250</v>
      </c>
      <c r="AJ23" s="153" t="n"/>
      <c r="AK23" s="145" t="inlineStr">
        <is>
          <t>Vilaiporn</t>
        </is>
      </c>
      <c r="AL23" s="154" t="n">
        <v>46299</v>
      </c>
      <c r="AM23" s="136" t="inlineStr">
        <is>
          <t>LCHY5</t>
        </is>
      </c>
      <c r="AN23" s="145" t="inlineStr">
        <is>
          <t>Pickup : 2026-09-28, Return : 2026-10-02</t>
        </is>
      </c>
      <c r="AO23" s="145" t="n"/>
    </row>
    <row r="24">
      <c r="A24" s="143" t="inlineStr">
        <is>
          <t>SKLU1979467</t>
        </is>
      </c>
      <c r="B24" s="138" t="inlineStr">
        <is>
          <t>G1</t>
        </is>
      </c>
      <c r="C24" s="144" t="inlineStr">
        <is>
          <t>LCH04</t>
        </is>
      </c>
      <c r="D24" s="144" t="inlineStr">
        <is>
          <t>HASLS22260900459</t>
        </is>
      </c>
      <c r="E24" s="145" t="inlineStr">
        <is>
          <t>THAI POLYCARBONATE CO., LTD.</t>
        </is>
      </c>
      <c r="F24" s="145" t="inlineStr">
        <is>
          <t>THAI POLYCARBONATE CO., LTD.</t>
        </is>
      </c>
      <c r="G24" s="136" t="n"/>
      <c r="H24" s="144" t="inlineStr">
        <is>
          <t>THLCH</t>
        </is>
      </c>
      <c r="I24" s="144" t="inlineStr">
        <is>
          <t>CNSHK</t>
        </is>
      </c>
      <c r="J24" s="144" t="n"/>
      <c r="K24" s="144" t="inlineStr">
        <is>
          <t>22GP</t>
        </is>
      </c>
      <c r="L24" s="136" t="inlineStr">
        <is>
          <t>CY/CY</t>
        </is>
      </c>
      <c r="M24" s="136" t="n"/>
      <c r="N24" s="136" t="n"/>
      <c r="O24" s="144" t="inlineStr">
        <is>
          <t>SWAT</t>
        </is>
      </c>
      <c r="P24" s="144" t="inlineStr">
        <is>
          <t>2610N</t>
        </is>
      </c>
      <c r="Q24" s="144" t="inlineStr">
        <is>
          <t>KTS1</t>
        </is>
      </c>
      <c r="R24" s="136" t="inlineStr">
        <is>
          <t>20'</t>
        </is>
      </c>
      <c r="S24" s="146" t="n"/>
      <c r="T24" s="147" t="n">
        <v>46307</v>
      </c>
      <c r="U24" s="148" t="n"/>
      <c r="V24" s="146" t="n"/>
      <c r="W24" s="147" t="n">
        <v>46300</v>
      </c>
      <c r="X24" s="148" t="n">
        <v>8</v>
      </c>
      <c r="Y24" s="149" t="n">
        <v>7</v>
      </c>
      <c r="Z24" s="148" t="n">
        <v>1</v>
      </c>
      <c r="AA24" s="150" t="n">
        <v>125</v>
      </c>
      <c r="AB24" s="151" t="n"/>
      <c r="AC24" s="138" t="n"/>
      <c r="AD24" s="148" t="n">
        <v>5</v>
      </c>
      <c r="AE24" s="148" t="n"/>
      <c r="AF24" s="148" t="n">
        <v>0</v>
      </c>
      <c r="AG24" s="150" t="n">
        <v>0</v>
      </c>
      <c r="AH24" s="152" t="n"/>
      <c r="AI24" s="150" t="n">
        <v>125</v>
      </c>
      <c r="AJ24" s="153" t="n"/>
      <c r="AK24" s="145" t="inlineStr">
        <is>
          <t>Vilaiporn</t>
        </is>
      </c>
      <c r="AL24" s="154" t="n">
        <v>46299</v>
      </c>
      <c r="AM24" s="136" t="inlineStr">
        <is>
          <t>LCHY5</t>
        </is>
      </c>
      <c r="AN24" s="145" t="inlineStr">
        <is>
          <t>Pickup : 2026-09-28, Return : 2026-10-02</t>
        </is>
      </c>
      <c r="AO24" s="145" t="n"/>
    </row>
    <row r="25">
      <c r="A25" s="143" t="inlineStr">
        <is>
          <t>SKLU2016327</t>
        </is>
      </c>
      <c r="B25" s="138" t="inlineStr">
        <is>
          <t>G1</t>
        </is>
      </c>
      <c r="C25" s="144" t="inlineStr">
        <is>
          <t>LCH04</t>
        </is>
      </c>
      <c r="D25" s="144" t="inlineStr">
        <is>
          <t>HASLS22260902438</t>
        </is>
      </c>
      <c r="E25" s="145" t="inlineStr">
        <is>
          <t>AWOT GLOBAL LOGISTICS (THAILAND) CO., LTD.</t>
        </is>
      </c>
      <c r="F25" s="145" t="inlineStr">
        <is>
          <t>DELTA DAIKI METAL (THAILAND) CO.,LTD.</t>
        </is>
      </c>
      <c r="G25" s="136" t="n"/>
      <c r="H25" s="144" t="inlineStr">
        <is>
          <t>THLCH</t>
        </is>
      </c>
      <c r="I25" s="144" t="inlineStr">
        <is>
          <t>JPTOS</t>
        </is>
      </c>
      <c r="J25" s="144" t="inlineStr">
        <is>
          <t>KRPUS</t>
        </is>
      </c>
      <c r="K25" s="144" t="inlineStr">
        <is>
          <t>22GP</t>
        </is>
      </c>
      <c r="L25" s="136" t="inlineStr">
        <is>
          <t>CY/CY</t>
        </is>
      </c>
      <c r="M25" s="136" t="n"/>
      <c r="N25" s="136" t="n"/>
      <c r="O25" s="144" t="inlineStr">
        <is>
          <t>SWAT</t>
        </is>
      </c>
      <c r="P25" s="144" t="inlineStr">
        <is>
          <t>2610N</t>
        </is>
      </c>
      <c r="Q25" s="144" t="inlineStr">
        <is>
          <t>KTS1</t>
        </is>
      </c>
      <c r="R25" s="136" t="inlineStr">
        <is>
          <t>20'</t>
        </is>
      </c>
      <c r="S25" s="146" t="n"/>
      <c r="T25" s="147" t="n">
        <v>46307</v>
      </c>
      <c r="U25" s="148" t="n"/>
      <c r="V25" s="146" t="n"/>
      <c r="W25" s="147" t="n">
        <v>46300</v>
      </c>
      <c r="X25" s="148" t="n">
        <v>8</v>
      </c>
      <c r="Y25" s="149" t="n">
        <v>7</v>
      </c>
      <c r="Z25" s="148" t="n">
        <v>1</v>
      </c>
      <c r="AA25" s="150" t="n">
        <v>125</v>
      </c>
      <c r="AB25" s="151" t="n"/>
      <c r="AC25" s="138" t="n"/>
      <c r="AD25" s="148" t="n">
        <v>5</v>
      </c>
      <c r="AE25" s="148" t="n"/>
      <c r="AF25" s="148" t="n">
        <v>0</v>
      </c>
      <c r="AG25" s="150" t="n">
        <v>0</v>
      </c>
      <c r="AH25" s="152" t="n"/>
      <c r="AI25" s="150" t="n">
        <v>125</v>
      </c>
      <c r="AJ25" s="153" t="n"/>
      <c r="AK25" s="145" t="inlineStr">
        <is>
          <t>Pattarapong Saengthong</t>
        </is>
      </c>
      <c r="AL25" s="154" t="n">
        <v>46305</v>
      </c>
      <c r="AM25" s="136" t="inlineStr">
        <is>
          <t>LCHY5</t>
        </is>
      </c>
      <c r="AN25" s="145" t="inlineStr">
        <is>
          <t>Pickup : 2026-10-03, Return : 2026-10-05</t>
        </is>
      </c>
      <c r="AO25" s="145" t="n"/>
    </row>
    <row r="26">
      <c r="A26" s="143" t="inlineStr">
        <is>
          <t>SKLU2115850</t>
        </is>
      </c>
      <c r="B26" s="138" t="inlineStr">
        <is>
          <t>G1</t>
        </is>
      </c>
      <c r="C26" s="144" t="inlineStr">
        <is>
          <t>LCH04</t>
        </is>
      </c>
      <c r="D26" s="144" t="inlineStr">
        <is>
          <t>HASLS22260900459</t>
        </is>
      </c>
      <c r="E26" s="145" t="inlineStr">
        <is>
          <t>THAI POLYCARBONATE CO., LTD.</t>
        </is>
      </c>
      <c r="F26" s="145" t="inlineStr">
        <is>
          <t>THAI POLYCARBONATE CO., LTD.</t>
        </is>
      </c>
      <c r="G26" s="136" t="n"/>
      <c r="H26" s="144" t="inlineStr">
        <is>
          <t>THLCH</t>
        </is>
      </c>
      <c r="I26" s="144" t="inlineStr">
        <is>
          <t>CNSHK</t>
        </is>
      </c>
      <c r="J26" s="144" t="n"/>
      <c r="K26" s="144" t="inlineStr">
        <is>
          <t>22GP</t>
        </is>
      </c>
      <c r="L26" s="136" t="inlineStr">
        <is>
          <t>CY/CY</t>
        </is>
      </c>
      <c r="M26" s="136" t="n"/>
      <c r="N26" s="136" t="n"/>
      <c r="O26" s="144" t="inlineStr">
        <is>
          <t>SWAT</t>
        </is>
      </c>
      <c r="P26" s="144" t="inlineStr">
        <is>
          <t>2610N</t>
        </is>
      </c>
      <c r="Q26" s="144" t="inlineStr">
        <is>
          <t>KTS1</t>
        </is>
      </c>
      <c r="R26" s="136" t="inlineStr">
        <is>
          <t>20'</t>
        </is>
      </c>
      <c r="S26" s="146" t="n"/>
      <c r="T26" s="147" t="n">
        <v>46307</v>
      </c>
      <c r="U26" s="148" t="n"/>
      <c r="V26" s="146" t="n"/>
      <c r="W26" s="147" t="n">
        <v>46299</v>
      </c>
      <c r="X26" s="148" t="n">
        <v>9</v>
      </c>
      <c r="Y26" s="149" t="n">
        <v>7</v>
      </c>
      <c r="Z26" s="148" t="n">
        <v>2</v>
      </c>
      <c r="AA26" s="150" t="n">
        <v>250</v>
      </c>
      <c r="AB26" s="151" t="n"/>
      <c r="AC26" s="138" t="n"/>
      <c r="AD26" s="148" t="n">
        <v>5</v>
      </c>
      <c r="AE26" s="148" t="n"/>
      <c r="AF26" s="148" t="n">
        <v>0</v>
      </c>
      <c r="AG26" s="150" t="n">
        <v>0</v>
      </c>
      <c r="AH26" s="152" t="n"/>
      <c r="AI26" s="150" t="n">
        <v>250</v>
      </c>
      <c r="AJ26" s="153" t="n"/>
      <c r="AK26" s="145" t="inlineStr">
        <is>
          <t>Vilaiporn</t>
        </is>
      </c>
      <c r="AL26" s="154" t="n">
        <v>46299</v>
      </c>
      <c r="AM26" s="136" t="inlineStr">
        <is>
          <t>LCHY5</t>
        </is>
      </c>
      <c r="AN26" s="145" t="inlineStr">
        <is>
          <t>Pickup : 2026-09-28, Return : 2026-10-02</t>
        </is>
      </c>
      <c r="AO26" s="145" t="n"/>
    </row>
    <row r="27">
      <c r="A27" s="143" t="inlineStr">
        <is>
          <t>SKLU2300210</t>
        </is>
      </c>
      <c r="B27" s="138" t="inlineStr">
        <is>
          <t>G1</t>
        </is>
      </c>
      <c r="C27" s="144" t="inlineStr">
        <is>
          <t>LCH04</t>
        </is>
      </c>
      <c r="D27" s="144" t="inlineStr">
        <is>
          <t>HASLS22261000076</t>
        </is>
      </c>
      <c r="E27" s="145" t="inlineStr">
        <is>
          <t>UBE CHEMICALS (ASIA) PUBLIC COMPANY LIMITED</t>
        </is>
      </c>
      <c r="F27" s="145" t="inlineStr">
        <is>
          <t>UBE CHEMICALS (ASIA) PUBLIC COMPANY LIMITED</t>
        </is>
      </c>
      <c r="G27" s="136" t="n"/>
      <c r="H27" s="144" t="inlineStr">
        <is>
          <t>THLCH</t>
        </is>
      </c>
      <c r="I27" s="144" t="inlineStr">
        <is>
          <t>TWKEL</t>
        </is>
      </c>
      <c r="J27" s="144" t="n"/>
      <c r="K27" s="144" t="inlineStr">
        <is>
          <t>22GP</t>
        </is>
      </c>
      <c r="L27" s="136" t="inlineStr">
        <is>
          <t>CY/CY</t>
        </is>
      </c>
      <c r="M27" s="136" t="n"/>
      <c r="N27" s="136" t="n"/>
      <c r="O27" s="144" t="inlineStr">
        <is>
          <t>SWAT</t>
        </is>
      </c>
      <c r="P27" s="144" t="inlineStr">
        <is>
          <t>2610N</t>
        </is>
      </c>
      <c r="Q27" s="144" t="inlineStr">
        <is>
          <t>KTS1</t>
        </is>
      </c>
      <c r="R27" s="136" t="inlineStr">
        <is>
          <t>20'</t>
        </is>
      </c>
      <c r="S27" s="146" t="n"/>
      <c r="T27" s="147" t="n">
        <v>46307</v>
      </c>
      <c r="U27" s="148" t="n"/>
      <c r="V27" s="146" t="n"/>
      <c r="W27" s="147" t="n">
        <v>46300</v>
      </c>
      <c r="X27" s="148" t="n">
        <v>8</v>
      </c>
      <c r="Y27" s="149" t="n">
        <v>7</v>
      </c>
      <c r="Z27" s="148" t="n">
        <v>1</v>
      </c>
      <c r="AA27" s="150" t="n">
        <v>125</v>
      </c>
      <c r="AB27" s="151" t="n"/>
      <c r="AC27" s="138" t="n"/>
      <c r="AD27" s="148" t="n">
        <v>5</v>
      </c>
      <c r="AE27" s="148" t="n"/>
      <c r="AF27" s="148" t="n">
        <v>0</v>
      </c>
      <c r="AG27" s="150" t="n">
        <v>0</v>
      </c>
      <c r="AH27" s="152" t="n"/>
      <c r="AI27" s="150" t="n">
        <v>125</v>
      </c>
      <c r="AJ27" s="153" t="n"/>
      <c r="AK27" s="145" t="inlineStr">
        <is>
          <t>Tarn(Supaporn)</t>
        </is>
      </c>
      <c r="AL27" s="154" t="n">
        <v>46304</v>
      </c>
      <c r="AM27" s="136" t="inlineStr">
        <is>
          <t>LCHY5</t>
        </is>
      </c>
      <c r="AN27" s="145" t="inlineStr">
        <is>
          <t>CY-RTN 03-05/10/26 (2002054662)</t>
        </is>
      </c>
      <c r="AO27" s="145" t="n"/>
    </row>
    <row r="28">
      <c r="A28" s="143" t="inlineStr">
        <is>
          <t>SKLU2323724</t>
        </is>
      </c>
      <c r="B28" s="138" t="inlineStr">
        <is>
          <t>G1</t>
        </is>
      </c>
      <c r="C28" s="144" t="inlineStr">
        <is>
          <t>LCH04</t>
        </is>
      </c>
      <c r="D28" s="144" t="inlineStr">
        <is>
          <t>HASLS22260802276</t>
        </is>
      </c>
      <c r="E28" s="145" t="inlineStr">
        <is>
          <t>COSMO LOGISTICS CO., LTD.</t>
        </is>
      </c>
      <c r="F28" s="145" t="inlineStr">
        <is>
          <t>L. LIGHTING GLASS CO., LTD.</t>
        </is>
      </c>
      <c r="G28" s="136" t="n"/>
      <c r="H28" s="144" t="inlineStr">
        <is>
          <t>THLCH</t>
        </is>
      </c>
      <c r="I28" s="144" t="inlineStr">
        <is>
          <t>TWKEL</t>
        </is>
      </c>
      <c r="J28" s="144" t="n"/>
      <c r="K28" s="144" t="inlineStr">
        <is>
          <t>22GP</t>
        </is>
      </c>
      <c r="L28" s="136" t="inlineStr">
        <is>
          <t>CY/CY</t>
        </is>
      </c>
      <c r="M28" s="136" t="n"/>
      <c r="N28" s="136" t="n"/>
      <c r="O28" s="144" t="inlineStr">
        <is>
          <t>SWAT</t>
        </is>
      </c>
      <c r="P28" s="144" t="inlineStr">
        <is>
          <t>2610N</t>
        </is>
      </c>
      <c r="Q28" s="144" t="inlineStr">
        <is>
          <t>KTS1</t>
        </is>
      </c>
      <c r="R28" s="136" t="inlineStr">
        <is>
          <t>20'</t>
        </is>
      </c>
      <c r="S28" s="146" t="n"/>
      <c r="T28" s="147" t="n">
        <v>46307</v>
      </c>
      <c r="U28" s="148" t="n"/>
      <c r="V28" s="146" t="n"/>
      <c r="W28" s="147" t="n">
        <v>46300</v>
      </c>
      <c r="X28" s="148" t="n">
        <v>8</v>
      </c>
      <c r="Y28" s="149" t="n">
        <v>7</v>
      </c>
      <c r="Z28" s="148" t="n">
        <v>1</v>
      </c>
      <c r="AA28" s="150" t="n">
        <v>125</v>
      </c>
      <c r="AB28" s="151" t="n"/>
      <c r="AC28" s="138" t="n"/>
      <c r="AD28" s="148" t="n">
        <v>5</v>
      </c>
      <c r="AE28" s="148" t="n"/>
      <c r="AF28" s="148" t="n">
        <v>0</v>
      </c>
      <c r="AG28" s="150" t="n">
        <v>0</v>
      </c>
      <c r="AH28" s="152" t="n"/>
      <c r="AI28" s="150" t="n">
        <v>125</v>
      </c>
      <c r="AJ28" s="153" t="n"/>
      <c r="AK28" s="145" t="inlineStr">
        <is>
          <t>Sukunpoj Damrongying</t>
        </is>
      </c>
      <c r="AL28" s="154" t="n">
        <v>46302</v>
      </c>
      <c r="AM28" s="136" t="inlineStr">
        <is>
          <t>LCH28</t>
        </is>
      </c>
      <c r="AN28" s="145" t="inlineStr">
        <is>
          <t xml:space="preserve">Pickup : 2026-10-05, Return : 2026-10-05 
 ** PLEASE CHECK OPEN GATE BEFORE RETURN CNTR **
</t>
        </is>
      </c>
      <c r="AO28" s="145" t="n"/>
    </row>
    <row r="29">
      <c r="A29" s="122" t="inlineStr">
        <is>
          <t>SKRU9908013</t>
        </is>
      </c>
      <c r="B29" s="122" t="inlineStr">
        <is>
          <t>G1</t>
        </is>
      </c>
      <c r="C29" s="122" t="inlineStr">
        <is>
          <t>LCH04</t>
        </is>
      </c>
      <c r="D29" s="122" t="inlineStr">
        <is>
          <t>HASLS22260902538</t>
        </is>
      </c>
      <c r="E29" s="122" t="inlineStr">
        <is>
          <t>LAND SEA SKY CO., LTD.</t>
        </is>
      </c>
      <c r="F29" s="122" t="inlineStr">
        <is>
          <t>SAHA FARMS  INTERNATIONAL CO LTD</t>
        </is>
      </c>
      <c r="G29" s="122" t="n"/>
      <c r="H29" s="122" t="inlineStr">
        <is>
          <t>THLCH</t>
        </is>
      </c>
      <c r="I29" s="122" t="inlineStr">
        <is>
          <t>KRPUS</t>
        </is>
      </c>
      <c r="J29" s="122" t="n"/>
      <c r="K29" s="122" t="inlineStr">
        <is>
          <t>45RE</t>
        </is>
      </c>
      <c r="L29" s="122" t="inlineStr">
        <is>
          <t>CY/CY</t>
        </is>
      </c>
      <c r="M29" s="122" t="n"/>
      <c r="N29" s="122" t="inlineStr">
        <is>
          <t>RF</t>
        </is>
      </c>
      <c r="O29" s="122" t="inlineStr">
        <is>
          <t>SWAT</t>
        </is>
      </c>
      <c r="P29" s="122" t="inlineStr">
        <is>
          <t>2610N</t>
        </is>
      </c>
      <c r="Q29" s="122" t="inlineStr">
        <is>
          <t>KTS1</t>
        </is>
      </c>
      <c r="R29" s="122" t="inlineStr">
        <is>
          <t>40'</t>
        </is>
      </c>
      <c r="S29" s="155" t="n"/>
      <c r="T29" s="155" t="n">
        <v>46307</v>
      </c>
      <c r="U29" s="156" t="n"/>
      <c r="V29" s="155" t="n"/>
      <c r="W29" s="155" t="n">
        <v>46301</v>
      </c>
      <c r="X29" s="156" t="n">
        <v>7</v>
      </c>
      <c r="Y29" s="156" t="n">
        <v>7</v>
      </c>
      <c r="Z29" s="156" t="n">
        <v>0</v>
      </c>
      <c r="AA29" s="157" t="n">
        <v>0</v>
      </c>
      <c r="AB29" s="156" t="n"/>
      <c r="AC29" s="122" t="n"/>
      <c r="AD29" s="156" t="n">
        <v>3</v>
      </c>
      <c r="AE29" s="156" t="n"/>
      <c r="AF29" s="156" t="n">
        <v>0</v>
      </c>
      <c r="AG29" s="157" t="n">
        <v>0</v>
      </c>
      <c r="AH29" s="157" t="n"/>
      <c r="AI29" s="157" t="n">
        <v>0</v>
      </c>
      <c r="AJ29" s="122" t="n"/>
      <c r="AK29" s="122" t="inlineStr">
        <is>
          <t>Sukunpoj Damrongying</t>
        </is>
      </c>
      <c r="AL29" s="155" t="n">
        <v>46303</v>
      </c>
      <c r="AM29" s="122" t="inlineStr">
        <is>
          <t>LCH27</t>
        </is>
      </c>
      <c r="AN29" s="122" t="inlineStr">
        <is>
          <t xml:space="preserve">Pickup : 2026-10-03, Return : 2026-10-06 (Temp -18.0 / Vent Close)
 CLS TIME 07/10 @20.00 [1ST RTN 06/10 W/O RENT &amp; ELECTRIC] 
 </t>
        </is>
      </c>
      <c r="AO29" s="122" t="n"/>
    </row>
    <row r="30">
      <c r="A30" s="122" t="inlineStr">
        <is>
          <t>UETU2424695</t>
        </is>
      </c>
      <c r="B30" s="122" t="inlineStr">
        <is>
          <t>G1</t>
        </is>
      </c>
      <c r="C30" s="122" t="inlineStr">
        <is>
          <t>LCH04</t>
        </is>
      </c>
      <c r="D30" s="122" t="inlineStr">
        <is>
          <t>HASLS22260901481</t>
        </is>
      </c>
      <c r="E30" s="122" t="inlineStr">
        <is>
          <t>SS EXCELLENT NETWORK CO.,LTD</t>
        </is>
      </c>
      <c r="F30" s="122" t="inlineStr">
        <is>
          <t>SS EXCELLENT NETWORK CO.,LTD</t>
        </is>
      </c>
      <c r="G30" s="122" t="n"/>
      <c r="H30" s="122" t="inlineStr">
        <is>
          <t>THLCH</t>
        </is>
      </c>
      <c r="I30" s="122" t="inlineStr">
        <is>
          <t>HKHKG</t>
        </is>
      </c>
      <c r="J30" s="122" t="n"/>
      <c r="K30" s="122" t="inlineStr">
        <is>
          <t>22GP</t>
        </is>
      </c>
      <c r="L30" s="122" t="inlineStr">
        <is>
          <t>CY/CY</t>
        </is>
      </c>
      <c r="M30" s="122" t="n"/>
      <c r="N30" s="122" t="n"/>
      <c r="O30" s="122" t="inlineStr">
        <is>
          <t>SWAT</t>
        </is>
      </c>
      <c r="P30" s="122" t="inlineStr">
        <is>
          <t>2610N</t>
        </is>
      </c>
      <c r="Q30" s="122" t="inlineStr">
        <is>
          <t>KTS1</t>
        </is>
      </c>
      <c r="R30" s="122" t="inlineStr">
        <is>
          <t>20'</t>
        </is>
      </c>
      <c r="S30" s="155" t="n"/>
      <c r="T30" s="155" t="n">
        <v>46307</v>
      </c>
      <c r="U30" s="156" t="n"/>
      <c r="V30" s="155" t="n"/>
      <c r="W30" s="155" t="n">
        <v>46304</v>
      </c>
      <c r="X30" s="156" t="n">
        <v>4</v>
      </c>
      <c r="Y30" s="156" t="n">
        <v>7</v>
      </c>
      <c r="Z30" s="156" t="n">
        <v>0</v>
      </c>
      <c r="AA30" s="157" t="n">
        <v>0</v>
      </c>
      <c r="AB30" s="156" t="n"/>
      <c r="AC30" s="122" t="n"/>
      <c r="AD30" s="156" t="n">
        <v>5</v>
      </c>
      <c r="AE30" s="156" t="n"/>
      <c r="AF30" s="156" t="n">
        <v>0</v>
      </c>
      <c r="AG30" s="157" t="n">
        <v>0</v>
      </c>
      <c r="AH30" s="157" t="n"/>
      <c r="AI30" s="157" t="n">
        <v>0</v>
      </c>
      <c r="AJ30" s="122" t="n"/>
      <c r="AK30" s="122" t="inlineStr">
        <is>
          <t>Nannaapust Sukporntaweewat</t>
        </is>
      </c>
      <c r="AL30" s="155" t="n">
        <v>46305</v>
      </c>
      <c r="AM30" s="122" t="inlineStr">
        <is>
          <t>LCHY5</t>
        </is>
      </c>
      <c r="AN30" s="122" t="inlineStr">
        <is>
          <t xml:space="preserve">Pickup : 2026-09-24, Return : 2026-09-25 (1ST RTN 29/09 W/O RENT) 
 ** PLEASE CHECK OPEN GATE BEFORE RETURN CNTR **
</t>
        </is>
      </c>
      <c r="AO30" s="122" t="inlineStr">
        <is>
          <t>ROLL OVER FROM PREVIOUS VSL SWDN 2610N BY ALLOCATION TEAM MS.TARN APPROVED COST IS UNDER HAL DD.05/10</t>
        </is>
      </c>
    </row>
    <row r="31" ht="12.95" customHeight="1"/>
    <row r="32" ht="12.95" customHeight="1"/>
    <row r="33" ht="12.95" customHeight="1"/>
    <row r="34" ht="12.95" customHeight="1"/>
    <row r="35" ht="12.95" customHeight="1"/>
    <row r="36" ht="12.95" customHeight="1"/>
    <row r="37" ht="12.95" customHeight="1"/>
    <row r="38" ht="12.95" customHeight="1"/>
    <row r="39" ht="12.95" customHeight="1"/>
    <row r="40" ht="12.95" customHeight="1"/>
    <row r="41" ht="12.95" customHeight="1"/>
    <row r="42" ht="12.95" customHeight="1"/>
    <row r="43" ht="12.95" customHeight="1"/>
    <row r="44" ht="12.95" customHeight="1"/>
    <row r="45" ht="12.95" customHeight="1"/>
    <row r="46" ht="12.95" customHeight="1"/>
    <row r="47" ht="12.95" customHeight="1"/>
    <row r="48" ht="12.95" customHeight="1"/>
    <row r="49" ht="12.95" customHeight="1"/>
    <row r="50" ht="12.95" customHeight="1"/>
    <row r="51" ht="12.95" customHeight="1"/>
    <row r="52" ht="12.95" customHeight="1"/>
    <row r="53" ht="12.95" customHeight="1"/>
    <row r="54" ht="12.95" customHeight="1"/>
    <row r="55" ht="12.95" customHeight="1"/>
    <row r="56" ht="12.95" customHeight="1"/>
    <row r="57" ht="12.95" customHeight="1"/>
    <row r="58" ht="12.95" customHeight="1"/>
    <row r="59" ht="12.95" customHeight="1"/>
    <row r="60" ht="12.95" customHeight="1"/>
    <row r="61" ht="12.95" customHeight="1"/>
    <row r="62" ht="12.95" customHeight="1"/>
    <row r="63" ht="12.95" customHeight="1"/>
    <row r="64" ht="12.95" customHeight="1"/>
    <row r="65" ht="12.95" customHeight="1"/>
    <row r="66" ht="12.95" customHeight="1"/>
    <row r="67" ht="12.95" customHeight="1"/>
    <row r="68" ht="12.95" customHeight="1"/>
    <row r="69" ht="12.95" customHeight="1"/>
    <row r="70" ht="12.95" customHeight="1"/>
    <row r="71" ht="12.95" customHeight="1"/>
    <row r="72" ht="12.95" customHeight="1"/>
    <row r="73" ht="12.95" customHeight="1"/>
    <row r="74" ht="12.95" customHeight="1"/>
    <row r="75" ht="12.95" customHeight="1"/>
    <row r="76" ht="12.95" customHeight="1"/>
    <row r="77" ht="12.95" customHeight="1"/>
    <row r="78" ht="12.95" customHeight="1"/>
    <row r="79" ht="12.95" customHeight="1"/>
    <row r="80" ht="12.95" customHeight="1"/>
    <row r="81" ht="12.95" customHeight="1"/>
    <row r="82" ht="12.95" customHeight="1"/>
    <row r="83" ht="12.95" customHeight="1"/>
    <row r="84" ht="12.95" customHeight="1"/>
    <row r="85" ht="12.95" customHeight="1"/>
    <row r="86" ht="12.95" customHeight="1"/>
    <row r="87" ht="12.95" customHeight="1"/>
    <row r="88" ht="12.95" customHeight="1"/>
    <row r="89" ht="12.95" customHeight="1"/>
    <row r="90" ht="12.95" customHeight="1"/>
    <row r="91" ht="12.95" customHeight="1"/>
    <row r="92" ht="12.95" customHeight="1"/>
    <row r="93" ht="12.95" customHeight="1"/>
    <row r="94" ht="12.95" customHeight="1"/>
    <row r="95" ht="12.95" customHeight="1"/>
    <row r="96" ht="12.95" customHeight="1"/>
    <row r="97" ht="12.95" customHeight="1"/>
    <row r="98" ht="12.95" customHeight="1"/>
    <row r="99" ht="12.95" customHeight="1"/>
    <row r="100" ht="12.95" customHeight="1"/>
    <row r="101" ht="12.95" customHeight="1"/>
    <row r="102" ht="12.95" customHeight="1"/>
    <row r="103" ht="12.95" customHeight="1"/>
    <row r="104" ht="12.95" customHeight="1"/>
    <row r="105" ht="12.95" customHeight="1"/>
    <row r="106" ht="12.95" customHeight="1"/>
    <row r="107" ht="12.95" customHeight="1"/>
    <row r="108" ht="12.95" customHeight="1"/>
    <row r="109" ht="12.95" customHeight="1"/>
    <row r="110" ht="12.95" customHeight="1"/>
    <row r="111" ht="12.95" customHeight="1"/>
    <row r="112" ht="12.95" customHeight="1"/>
    <row r="113" ht="12.95" customHeight="1"/>
    <row r="114" ht="12.95" customHeight="1"/>
    <row r="115" ht="12.95" customHeight="1"/>
    <row r="116" ht="12.95" customHeight="1"/>
    <row r="117" ht="12.95" customHeight="1"/>
    <row r="118" ht="12.95" customHeight="1"/>
    <row r="119" ht="12.95" customHeight="1"/>
    <row r="120" ht="12.95" customHeight="1"/>
    <row r="121" ht="12.95" customHeight="1"/>
    <row r="122" ht="12.95" customHeight="1"/>
    <row r="123" ht="12.95" customHeight="1"/>
    <row r="124" ht="12.95" customHeight="1"/>
    <row r="125" ht="12.95" customHeight="1"/>
    <row r="126" ht="12.95" customHeight="1"/>
    <row r="127" ht="12.95" customHeight="1"/>
    <row r="128" ht="12.95" customHeight="1"/>
    <row r="129" ht="12.95" customHeight="1"/>
    <row r="130" ht="12.95" customHeight="1"/>
    <row r="131" ht="12.95" customHeight="1"/>
    <row r="132" ht="12.95" customHeight="1"/>
    <row r="133" ht="12.95" customHeight="1"/>
    <row r="134" ht="12.95" customHeight="1"/>
    <row r="135" ht="12.95" customHeight="1"/>
    <row r="136" ht="12.95" customHeight="1"/>
    <row r="137" ht="12.95" customHeight="1"/>
    <row r="138" ht="12.95" customHeight="1"/>
    <row r="139" ht="12.95" customHeight="1"/>
    <row r="140" ht="12.95" customHeight="1"/>
    <row r="141" ht="12.95" customHeight="1"/>
    <row r="142" ht="12.95" customHeight="1"/>
    <row r="143" ht="12.95" customHeight="1"/>
    <row r="144" ht="12.95" customHeight="1"/>
    <row r="145" ht="12.95" customHeight="1"/>
    <row r="146" ht="12.95" customHeight="1"/>
    <row r="147" ht="12.95" customHeight="1"/>
    <row r="148" ht="12.95" customHeight="1"/>
    <row r="149" ht="12.95" customHeight="1"/>
    <row r="150" ht="12.95" customHeight="1"/>
    <row r="151" ht="12.95" customHeight="1"/>
    <row r="152" ht="12.95" customHeight="1"/>
    <row r="153" ht="12.95" customHeight="1"/>
    <row r="154" ht="12.95" customHeight="1"/>
    <row r="155" ht="12.95" customHeight="1"/>
    <row r="156" ht="12.95" customHeight="1"/>
    <row r="157" ht="12.95" customHeight="1"/>
    <row r="158" ht="12.95" customHeight="1"/>
    <row r="159" ht="12.95" customHeight="1"/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</sheetData>
  <autoFilter ref="A2:AO2">
    <sortState ref="A3:AO28">
      <sortCondition ref="E2"/>
    </sortState>
  </autoFilter>
  <mergeCells count="1">
    <mergeCell ref="R1:S1"/>
  </mergeCells>
  <conditionalFormatting sqref="A1:A2 A29:A1048576">
    <cfRule type="duplicateValues" priority="17" dxfId="1"/>
  </conditionalFormatting>
  <conditionalFormatting sqref="G2">
    <cfRule type="duplicateValues" priority="1" dxfId="1" stopIfTrue="1"/>
  </conditionalFormatting>
  <printOptions horizontalCentered="1"/>
  <pageMargins left="0.25" right="0.25" top="0.75" bottom="0.75" header="0.3" footer="0.3"/>
  <pageSetup orientation="landscape" paperSize="9" scale="3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1"/>
  <sheetViews>
    <sheetView tabSelected="0" workbookViewId="0">
      <selection activeCell="A4" sqref="A4:A38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27" t="n"/>
      <c r="R2" s="127">
        <f>SUM(R4:R661)</f>
        <v/>
      </c>
      <c r="S2" s="76" t="inlineStr">
        <is>
          <t>=</t>
        </is>
      </c>
      <c r="T2" s="127">
        <f>SUM(T4:T661)</f>
        <v/>
      </c>
      <c r="U2" s="127">
        <f>SUM(U4:U661)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6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7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158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158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158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158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158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158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158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158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158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158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158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58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58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58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58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58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58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58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58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58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58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58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58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58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58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58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58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58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58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58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58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58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58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58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58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58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58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58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58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58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58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58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58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58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58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58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58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58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58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58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58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58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58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58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58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58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58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58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58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58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58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58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58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58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58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58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58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58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58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58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58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58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58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58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58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58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58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58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58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58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58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58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58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58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58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58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58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58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58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58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58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58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58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58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58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58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58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58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58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58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58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58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58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58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58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58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58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58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58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58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58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58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58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58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58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58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58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58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58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58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58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58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58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58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58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58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58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58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58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58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58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58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58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58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58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58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58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58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58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58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58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58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58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58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58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58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58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58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58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58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58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58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58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58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58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58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58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58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58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58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58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58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58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58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58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58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58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58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58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58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58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58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58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58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58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58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58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58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58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58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58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58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58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58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58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58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58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58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58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58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58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58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58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58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58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58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58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58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58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58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58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58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58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58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58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58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58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58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58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58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58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58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58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58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58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58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58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58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58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58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58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58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58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58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58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58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58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58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58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58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58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58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58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58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58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58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58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58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58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58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58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58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58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58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58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58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58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58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58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58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58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58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58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58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58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58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58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58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58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58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58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58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58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58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58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58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58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58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58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58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58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58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58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58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58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58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58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58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58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58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58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58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58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58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58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58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58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58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58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58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58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58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58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58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58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58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58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58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58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58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58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58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58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58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58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58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58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58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58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58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58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58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58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58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58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58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58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58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58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58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58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58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58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58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58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58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58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58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58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58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58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58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58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58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58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58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58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58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58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58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58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58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58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58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58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58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58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58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58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58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58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58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58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58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58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58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58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58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58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58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58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58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58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58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58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58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58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58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58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58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58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58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58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58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58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58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58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58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58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58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58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58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58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58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58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58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58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58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58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58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58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58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58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58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58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58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58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58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58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58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58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58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58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58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58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58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58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58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58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58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58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58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58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58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58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58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58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58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58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58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58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58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58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58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58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58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58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58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58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58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58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58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58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58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58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58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58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58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58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58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58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58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58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58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58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58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58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158" t="n"/>
      <c r="B476" s="85">
        <f>IFERROR(VLOOKUP($A:$A,CS!$A:$AK,3,FALSE),"")</f>
        <v/>
      </c>
      <c r="C476" s="85">
        <f>IFERROR(VLOOKUP($A:$A,CS!$A:$AK,4,FALSE),"")</f>
        <v/>
      </c>
      <c r="D476" s="85">
        <f>IFERROR(VLOOKUP($A:$A,CS!$A:$AK,5,FALSE),"")</f>
        <v/>
      </c>
      <c r="E476" s="85">
        <f>IFERROR(VLOOKUP($A:$A,CS!$A:$AK,7,FALSE),"")</f>
        <v/>
      </c>
      <c r="F476" s="85">
        <f>IFERROR(VLOOKUP($A:$A,CS!$A:$AK,8,FALSE),"")</f>
        <v/>
      </c>
      <c r="G476" s="85">
        <f>IFERROR(VLOOKUP($A:$A,CS!$A:$AK,10,FALSE),"")</f>
        <v/>
      </c>
      <c r="H476" s="85">
        <f>IFERROR(VLOOKUP($A:$A,CS!$A:$AK,14,FALSE),"")</f>
        <v/>
      </c>
      <c r="I476" s="85">
        <f>IFERROR(VLOOKUP($A:$A,CS!$A:$AK,15,FALSE),"")</f>
        <v/>
      </c>
      <c r="J476" s="85">
        <f>IFERROR(VLOOKUP($A:$A,CS!$A:$AK,18,FALSE),"")</f>
        <v/>
      </c>
      <c r="K476" s="85">
        <f>IFERROR(VLOOKUP($A:$A,CS!$A:$AK,19,FALSE),"")</f>
        <v/>
      </c>
      <c r="L476" s="85">
        <f>IFERROR(VLOOKUP($A:$A,CS!$A:$AK,20,FALSE),"")</f>
        <v/>
      </c>
      <c r="M476" s="85">
        <f>IFERROR(VLOOKUP($A:$A,CS!$A:$AK,22,FALSE),"")</f>
        <v/>
      </c>
      <c r="N476" s="85">
        <f>IFERROR(VLOOKUP($A:$A,CS!$A:$AK,19,FALSE),"")</f>
        <v/>
      </c>
      <c r="O476" s="85">
        <f>IFERROR(VLOOKUP($A:$A,CS!$A:$AK,23,FALSE),"")</f>
        <v/>
      </c>
      <c r="P476" s="85">
        <f>IFERROR(VLOOKUP($A:$A,CS!$A:$AK,24,FALSE),"")</f>
        <v/>
      </c>
      <c r="Q476" s="85">
        <f>IFERROR(VLOOKUP($A:$A,CS!$A:$AK,25,FALSE),"")</f>
        <v/>
      </c>
      <c r="R476" s="85">
        <f>IFERROR(VLOOKUP($A:$A,CS!$A:$AK,26,FALSE),"")</f>
        <v/>
      </c>
      <c r="S476" s="85">
        <f>IFERROR(VLOOKUP($A:$A,CS!$A:$AK,29,FALSE),"")</f>
        <v/>
      </c>
      <c r="T476" s="85">
        <f>IFERROR(VLOOKUP($A:$A,CS!$A:$AK,33,FALSE),"")</f>
        <v/>
      </c>
      <c r="U476" s="85">
        <f>IFERROR(VLOOKUP($A:$A,CS!$A:$AK,34,FALSE),"")</f>
        <v/>
      </c>
      <c r="V476" s="85">
        <f>IFERROR(VLOOKUP($A:$A,CS!$A:$AK,35,FALSE),"")</f>
        <v/>
      </c>
      <c r="W476" s="85">
        <f>IFERROR(VLOOKUP($A:$A,CS!$A:$AK,36,FALSE),"")</f>
        <v/>
      </c>
    </row>
    <row r="477" ht="16.5" customHeight="1">
      <c r="A477" s="158" t="n"/>
      <c r="B477" s="85">
        <f>IFERROR(VLOOKUP($A:$A,CS!$A:$AK,3,FALSE),"")</f>
        <v/>
      </c>
      <c r="C477" s="85">
        <f>IFERROR(VLOOKUP($A:$A,CS!$A:$AK,4,FALSE),"")</f>
        <v/>
      </c>
      <c r="D477" s="85">
        <f>IFERROR(VLOOKUP($A:$A,CS!$A:$AK,5,FALSE),"")</f>
        <v/>
      </c>
      <c r="E477" s="85">
        <f>IFERROR(VLOOKUP($A:$A,CS!$A:$AK,7,FALSE),"")</f>
        <v/>
      </c>
      <c r="F477" s="85">
        <f>IFERROR(VLOOKUP($A:$A,CS!$A:$AK,8,FALSE),"")</f>
        <v/>
      </c>
      <c r="G477" s="85">
        <f>IFERROR(VLOOKUP($A:$A,CS!$A:$AK,10,FALSE),"")</f>
        <v/>
      </c>
      <c r="H477" s="85">
        <f>IFERROR(VLOOKUP($A:$A,CS!$A:$AK,14,FALSE),"")</f>
        <v/>
      </c>
      <c r="I477" s="85">
        <f>IFERROR(VLOOKUP($A:$A,CS!$A:$AK,15,FALSE),"")</f>
        <v/>
      </c>
      <c r="J477" s="85">
        <f>IFERROR(VLOOKUP($A:$A,CS!$A:$AK,18,FALSE),"")</f>
        <v/>
      </c>
      <c r="K477" s="85">
        <f>IFERROR(VLOOKUP($A:$A,CS!$A:$AK,19,FALSE),"")</f>
        <v/>
      </c>
      <c r="L477" s="85">
        <f>IFERROR(VLOOKUP($A:$A,CS!$A:$AK,20,FALSE),"")</f>
        <v/>
      </c>
      <c r="M477" s="85">
        <f>IFERROR(VLOOKUP($A:$A,CS!$A:$AK,22,FALSE),"")</f>
        <v/>
      </c>
      <c r="N477" s="85">
        <f>IFERROR(VLOOKUP($A:$A,CS!$A:$AK,19,FALSE),"")</f>
        <v/>
      </c>
      <c r="O477" s="85">
        <f>IFERROR(VLOOKUP($A:$A,CS!$A:$AK,23,FALSE),"")</f>
        <v/>
      </c>
      <c r="P477" s="85">
        <f>IFERROR(VLOOKUP($A:$A,CS!$A:$AK,24,FALSE),"")</f>
        <v/>
      </c>
      <c r="Q477" s="85">
        <f>IFERROR(VLOOKUP($A:$A,CS!$A:$AK,25,FALSE),"")</f>
        <v/>
      </c>
      <c r="R477" s="85">
        <f>IFERROR(VLOOKUP($A:$A,CS!$A:$AK,26,FALSE),"")</f>
        <v/>
      </c>
      <c r="S477" s="85">
        <f>IFERROR(VLOOKUP($A:$A,CS!$A:$AK,29,FALSE),"")</f>
        <v/>
      </c>
      <c r="T477" s="85">
        <f>IFERROR(VLOOKUP($A:$A,CS!$A:$AK,33,FALSE),"")</f>
        <v/>
      </c>
      <c r="U477" s="85">
        <f>IFERROR(VLOOKUP($A:$A,CS!$A:$AK,34,FALSE),"")</f>
        <v/>
      </c>
      <c r="V477" s="85">
        <f>IFERROR(VLOOKUP($A:$A,CS!$A:$AK,35,FALSE),"")</f>
        <v/>
      </c>
      <c r="W477" s="85">
        <f>IFERROR(VLOOKUP($A:$A,CS!$A:$AK,36,FALSE),"")</f>
        <v/>
      </c>
    </row>
    <row r="478" ht="16.5" customHeight="1">
      <c r="A478" s="158" t="n"/>
      <c r="B478" s="85">
        <f>IFERROR(VLOOKUP($A:$A,CS!$A:$AK,3,FALSE),"")</f>
        <v/>
      </c>
      <c r="C478" s="85">
        <f>IFERROR(VLOOKUP($A:$A,CS!$A:$AK,4,FALSE),"")</f>
        <v/>
      </c>
      <c r="D478" s="85">
        <f>IFERROR(VLOOKUP($A:$A,CS!$A:$AK,5,FALSE),"")</f>
        <v/>
      </c>
      <c r="E478" s="85">
        <f>IFERROR(VLOOKUP($A:$A,CS!$A:$AK,7,FALSE),"")</f>
        <v/>
      </c>
      <c r="F478" s="85">
        <f>IFERROR(VLOOKUP($A:$A,CS!$A:$AK,8,FALSE),"")</f>
        <v/>
      </c>
      <c r="G478" s="85">
        <f>IFERROR(VLOOKUP($A:$A,CS!$A:$AK,10,FALSE),"")</f>
        <v/>
      </c>
      <c r="H478" s="85">
        <f>IFERROR(VLOOKUP($A:$A,CS!$A:$AK,14,FALSE),"")</f>
        <v/>
      </c>
      <c r="I478" s="85">
        <f>IFERROR(VLOOKUP($A:$A,CS!$A:$AK,15,FALSE),"")</f>
        <v/>
      </c>
      <c r="J478" s="85">
        <f>IFERROR(VLOOKUP($A:$A,CS!$A:$AK,18,FALSE),"")</f>
        <v/>
      </c>
      <c r="K478" s="85">
        <f>IFERROR(VLOOKUP($A:$A,CS!$A:$AK,19,FALSE),"")</f>
        <v/>
      </c>
      <c r="L478" s="85">
        <f>IFERROR(VLOOKUP($A:$A,CS!$A:$AK,20,FALSE),"")</f>
        <v/>
      </c>
      <c r="M478" s="85">
        <f>IFERROR(VLOOKUP($A:$A,CS!$A:$AK,22,FALSE),"")</f>
        <v/>
      </c>
      <c r="N478" s="85">
        <f>IFERROR(VLOOKUP($A:$A,CS!$A:$AK,19,FALSE),"")</f>
        <v/>
      </c>
      <c r="O478" s="85">
        <f>IFERROR(VLOOKUP($A:$A,CS!$A:$AK,23,FALSE),"")</f>
        <v/>
      </c>
      <c r="P478" s="85">
        <f>IFERROR(VLOOKUP($A:$A,CS!$A:$AK,24,FALSE),"")</f>
        <v/>
      </c>
      <c r="Q478" s="85">
        <f>IFERROR(VLOOKUP($A:$A,CS!$A:$AK,25,FALSE),"")</f>
        <v/>
      </c>
      <c r="R478" s="85">
        <f>IFERROR(VLOOKUP($A:$A,CS!$A:$AK,26,FALSE),"")</f>
        <v/>
      </c>
      <c r="S478" s="85">
        <f>IFERROR(VLOOKUP($A:$A,CS!$A:$AK,29,FALSE),"")</f>
        <v/>
      </c>
      <c r="T478" s="85">
        <f>IFERROR(VLOOKUP($A:$A,CS!$A:$AK,33,FALSE),"")</f>
        <v/>
      </c>
      <c r="U478" s="85">
        <f>IFERROR(VLOOKUP($A:$A,CS!$A:$AK,34,FALSE),"")</f>
        <v/>
      </c>
      <c r="V478" s="85">
        <f>IFERROR(VLOOKUP($A:$A,CS!$A:$AK,35,FALSE),"")</f>
        <v/>
      </c>
      <c r="W478" s="85">
        <f>IFERROR(VLOOKUP($A:$A,CS!$A:$AK,36,FALSE),"")</f>
        <v/>
      </c>
    </row>
    <row r="479" ht="16.5" customHeight="1">
      <c r="A479" s="158" t="n"/>
      <c r="B479" s="85">
        <f>IFERROR(VLOOKUP($A:$A,CS!$A:$AK,3,FALSE),"")</f>
        <v/>
      </c>
      <c r="C479" s="85">
        <f>IFERROR(VLOOKUP($A:$A,CS!$A:$AK,4,FALSE),"")</f>
        <v/>
      </c>
      <c r="D479" s="85">
        <f>IFERROR(VLOOKUP($A:$A,CS!$A:$AK,5,FALSE),"")</f>
        <v/>
      </c>
      <c r="E479" s="85">
        <f>IFERROR(VLOOKUP($A:$A,CS!$A:$AK,7,FALSE),"")</f>
        <v/>
      </c>
      <c r="F479" s="85">
        <f>IFERROR(VLOOKUP($A:$A,CS!$A:$AK,8,FALSE),"")</f>
        <v/>
      </c>
      <c r="G479" s="85">
        <f>IFERROR(VLOOKUP($A:$A,CS!$A:$AK,10,FALSE),"")</f>
        <v/>
      </c>
      <c r="H479" s="85">
        <f>IFERROR(VLOOKUP($A:$A,CS!$A:$AK,14,FALSE),"")</f>
        <v/>
      </c>
      <c r="I479" s="85">
        <f>IFERROR(VLOOKUP($A:$A,CS!$A:$AK,15,FALSE),"")</f>
        <v/>
      </c>
      <c r="J479" s="85">
        <f>IFERROR(VLOOKUP($A:$A,CS!$A:$AK,18,FALSE),"")</f>
        <v/>
      </c>
      <c r="K479" s="85">
        <f>IFERROR(VLOOKUP($A:$A,CS!$A:$AK,19,FALSE),"")</f>
        <v/>
      </c>
      <c r="L479" s="85">
        <f>IFERROR(VLOOKUP($A:$A,CS!$A:$AK,20,FALSE),"")</f>
        <v/>
      </c>
      <c r="M479" s="85">
        <f>IFERROR(VLOOKUP($A:$A,CS!$A:$AK,22,FALSE),"")</f>
        <v/>
      </c>
      <c r="N479" s="85">
        <f>IFERROR(VLOOKUP($A:$A,CS!$A:$AK,19,FALSE),"")</f>
        <v/>
      </c>
      <c r="O479" s="85">
        <f>IFERROR(VLOOKUP($A:$A,CS!$A:$AK,23,FALSE),"")</f>
        <v/>
      </c>
      <c r="P479" s="85">
        <f>IFERROR(VLOOKUP($A:$A,CS!$A:$AK,24,FALSE),"")</f>
        <v/>
      </c>
      <c r="Q479" s="85">
        <f>IFERROR(VLOOKUP($A:$A,CS!$A:$AK,25,FALSE),"")</f>
        <v/>
      </c>
      <c r="R479" s="85">
        <f>IFERROR(VLOOKUP($A:$A,CS!$A:$AK,26,FALSE),"")</f>
        <v/>
      </c>
      <c r="S479" s="85">
        <f>IFERROR(VLOOKUP($A:$A,CS!$A:$AK,29,FALSE),"")</f>
        <v/>
      </c>
      <c r="T479" s="85">
        <f>IFERROR(VLOOKUP($A:$A,CS!$A:$AK,33,FALSE),"")</f>
        <v/>
      </c>
      <c r="U479" s="85">
        <f>IFERROR(VLOOKUP($A:$A,CS!$A:$AK,34,FALSE),"")</f>
        <v/>
      </c>
      <c r="V479" s="85">
        <f>IFERROR(VLOOKUP($A:$A,CS!$A:$AK,35,FALSE),"")</f>
        <v/>
      </c>
      <c r="W479" s="85">
        <f>IFERROR(VLOOKUP($A:$A,CS!$A:$AK,36,FALSE),"")</f>
        <v/>
      </c>
    </row>
    <row r="480" ht="16.5" customHeight="1">
      <c r="A480" s="158" t="n"/>
      <c r="B480" s="85">
        <f>IFERROR(VLOOKUP($A:$A,CS!$A:$AK,3,FALSE),"")</f>
        <v/>
      </c>
      <c r="C480" s="85">
        <f>IFERROR(VLOOKUP($A:$A,CS!$A:$AK,4,FALSE),"")</f>
        <v/>
      </c>
      <c r="D480" s="85">
        <f>IFERROR(VLOOKUP($A:$A,CS!$A:$AK,5,FALSE),"")</f>
        <v/>
      </c>
      <c r="E480" s="85">
        <f>IFERROR(VLOOKUP($A:$A,CS!$A:$AK,7,FALSE),"")</f>
        <v/>
      </c>
      <c r="F480" s="85">
        <f>IFERROR(VLOOKUP($A:$A,CS!$A:$AK,8,FALSE),"")</f>
        <v/>
      </c>
      <c r="G480" s="85">
        <f>IFERROR(VLOOKUP($A:$A,CS!$A:$AK,10,FALSE),"")</f>
        <v/>
      </c>
      <c r="H480" s="85">
        <f>IFERROR(VLOOKUP($A:$A,CS!$A:$AK,14,FALSE),"")</f>
        <v/>
      </c>
      <c r="I480" s="85">
        <f>IFERROR(VLOOKUP($A:$A,CS!$A:$AK,15,FALSE),"")</f>
        <v/>
      </c>
      <c r="J480" s="85">
        <f>IFERROR(VLOOKUP($A:$A,CS!$A:$AK,18,FALSE),"")</f>
        <v/>
      </c>
      <c r="K480" s="85">
        <f>IFERROR(VLOOKUP($A:$A,CS!$A:$AK,19,FALSE),"")</f>
        <v/>
      </c>
      <c r="L480" s="85">
        <f>IFERROR(VLOOKUP($A:$A,CS!$A:$AK,20,FALSE),"")</f>
        <v/>
      </c>
      <c r="M480" s="85">
        <f>IFERROR(VLOOKUP($A:$A,CS!$A:$AK,22,FALSE),"")</f>
        <v/>
      </c>
      <c r="N480" s="85">
        <f>IFERROR(VLOOKUP($A:$A,CS!$A:$AK,19,FALSE),"")</f>
        <v/>
      </c>
      <c r="O480" s="85">
        <f>IFERROR(VLOOKUP($A:$A,CS!$A:$AK,23,FALSE),"")</f>
        <v/>
      </c>
      <c r="P480" s="85">
        <f>IFERROR(VLOOKUP($A:$A,CS!$A:$AK,24,FALSE),"")</f>
        <v/>
      </c>
      <c r="Q480" s="85">
        <f>IFERROR(VLOOKUP($A:$A,CS!$A:$AK,25,FALSE),"")</f>
        <v/>
      </c>
      <c r="R480" s="85">
        <f>IFERROR(VLOOKUP($A:$A,CS!$A:$AK,26,FALSE),"")</f>
        <v/>
      </c>
      <c r="S480" s="85">
        <f>IFERROR(VLOOKUP($A:$A,CS!$A:$AK,29,FALSE),"")</f>
        <v/>
      </c>
      <c r="T480" s="85">
        <f>IFERROR(VLOOKUP($A:$A,CS!$A:$AK,33,FALSE),"")</f>
        <v/>
      </c>
      <c r="U480" s="85">
        <f>IFERROR(VLOOKUP($A:$A,CS!$A:$AK,34,FALSE),"")</f>
        <v/>
      </c>
      <c r="V480" s="85">
        <f>IFERROR(VLOOKUP($A:$A,CS!$A:$AK,35,FALSE),"")</f>
        <v/>
      </c>
      <c r="W480" s="85">
        <f>IFERROR(VLOOKUP($A:$A,CS!$A:$AK,36,FALSE),"")</f>
        <v/>
      </c>
    </row>
    <row r="481" ht="16.5" customHeight="1">
      <c r="A481" s="158" t="n"/>
      <c r="B481" s="85">
        <f>IFERROR(VLOOKUP($A:$A,CS!$A:$AK,3,FALSE),"")</f>
        <v/>
      </c>
      <c r="C481" s="85">
        <f>IFERROR(VLOOKUP($A:$A,CS!$A:$AK,4,FALSE),"")</f>
        <v/>
      </c>
      <c r="D481" s="85">
        <f>IFERROR(VLOOKUP($A:$A,CS!$A:$AK,5,FALSE),"")</f>
        <v/>
      </c>
      <c r="E481" s="85">
        <f>IFERROR(VLOOKUP($A:$A,CS!$A:$AK,7,FALSE),"")</f>
        <v/>
      </c>
      <c r="F481" s="85">
        <f>IFERROR(VLOOKUP($A:$A,CS!$A:$AK,8,FALSE),"")</f>
        <v/>
      </c>
      <c r="G481" s="85">
        <f>IFERROR(VLOOKUP($A:$A,CS!$A:$AK,10,FALSE),"")</f>
        <v/>
      </c>
      <c r="H481" s="85">
        <f>IFERROR(VLOOKUP($A:$A,CS!$A:$AK,14,FALSE),"")</f>
        <v/>
      </c>
      <c r="I481" s="85">
        <f>IFERROR(VLOOKUP($A:$A,CS!$A:$AK,15,FALSE),"")</f>
        <v/>
      </c>
      <c r="J481" s="85">
        <f>IFERROR(VLOOKUP($A:$A,CS!$A:$AK,18,FALSE),"")</f>
        <v/>
      </c>
      <c r="K481" s="85">
        <f>IFERROR(VLOOKUP($A:$A,CS!$A:$AK,19,FALSE),"")</f>
        <v/>
      </c>
      <c r="L481" s="85">
        <f>IFERROR(VLOOKUP($A:$A,CS!$A:$AK,20,FALSE),"")</f>
        <v/>
      </c>
      <c r="M481" s="85">
        <f>IFERROR(VLOOKUP($A:$A,CS!$A:$AK,22,FALSE),"")</f>
        <v/>
      </c>
      <c r="N481" s="85">
        <f>IFERROR(VLOOKUP($A:$A,CS!$A:$AK,19,FALSE),"")</f>
        <v/>
      </c>
      <c r="O481" s="85">
        <f>IFERROR(VLOOKUP($A:$A,CS!$A:$AK,23,FALSE),"")</f>
        <v/>
      </c>
      <c r="P481" s="85">
        <f>IFERROR(VLOOKUP($A:$A,CS!$A:$AK,24,FALSE),"")</f>
        <v/>
      </c>
      <c r="Q481" s="85">
        <f>IFERROR(VLOOKUP($A:$A,CS!$A:$AK,25,FALSE),"")</f>
        <v/>
      </c>
      <c r="R481" s="85">
        <f>IFERROR(VLOOKUP($A:$A,CS!$A:$AK,26,FALSE),"")</f>
        <v/>
      </c>
      <c r="S481" s="85">
        <f>IFERROR(VLOOKUP($A:$A,CS!$A:$AK,29,FALSE),"")</f>
        <v/>
      </c>
      <c r="T481" s="85">
        <f>IFERROR(VLOOKUP($A:$A,CS!$A:$AK,33,FALSE),"")</f>
        <v/>
      </c>
      <c r="U481" s="85">
        <f>IFERROR(VLOOKUP($A:$A,CS!$A:$AK,34,FALSE),"")</f>
        <v/>
      </c>
      <c r="V481" s="85">
        <f>IFERROR(VLOOKUP($A:$A,CS!$A:$AK,35,FALSE),"")</f>
        <v/>
      </c>
      <c r="W481" s="85">
        <f>IFERROR(VLOOKUP($A:$A,CS!$A:$AK,36,FALSE),"")</f>
        <v/>
      </c>
    </row>
    <row r="482" ht="16.5" customHeight="1">
      <c r="A482" s="158" t="n"/>
      <c r="B482" s="85">
        <f>IFERROR(VLOOKUP($A:$A,CS!$A:$AK,3,FALSE),"")</f>
        <v/>
      </c>
      <c r="C482" s="85">
        <f>IFERROR(VLOOKUP($A:$A,CS!$A:$AK,4,FALSE),"")</f>
        <v/>
      </c>
      <c r="D482" s="85">
        <f>IFERROR(VLOOKUP($A:$A,CS!$A:$AK,5,FALSE),"")</f>
        <v/>
      </c>
      <c r="E482" s="85">
        <f>IFERROR(VLOOKUP($A:$A,CS!$A:$AK,7,FALSE),"")</f>
        <v/>
      </c>
      <c r="F482" s="85">
        <f>IFERROR(VLOOKUP($A:$A,CS!$A:$AK,8,FALSE),"")</f>
        <v/>
      </c>
      <c r="G482" s="85">
        <f>IFERROR(VLOOKUP($A:$A,CS!$A:$AK,10,FALSE),"")</f>
        <v/>
      </c>
      <c r="H482" s="85">
        <f>IFERROR(VLOOKUP($A:$A,CS!$A:$AK,14,FALSE),"")</f>
        <v/>
      </c>
      <c r="I482" s="85">
        <f>IFERROR(VLOOKUP($A:$A,CS!$A:$AK,15,FALSE),"")</f>
        <v/>
      </c>
      <c r="J482" s="85">
        <f>IFERROR(VLOOKUP($A:$A,CS!$A:$AK,18,FALSE),"")</f>
        <v/>
      </c>
      <c r="K482" s="85">
        <f>IFERROR(VLOOKUP($A:$A,CS!$A:$AK,19,FALSE),"")</f>
        <v/>
      </c>
      <c r="L482" s="85">
        <f>IFERROR(VLOOKUP($A:$A,CS!$A:$AK,20,FALSE),"")</f>
        <v/>
      </c>
      <c r="M482" s="85">
        <f>IFERROR(VLOOKUP($A:$A,CS!$A:$AK,22,FALSE),"")</f>
        <v/>
      </c>
      <c r="N482" s="85">
        <f>IFERROR(VLOOKUP($A:$A,CS!$A:$AK,19,FALSE),"")</f>
        <v/>
      </c>
      <c r="O482" s="85">
        <f>IFERROR(VLOOKUP($A:$A,CS!$A:$AK,23,FALSE),"")</f>
        <v/>
      </c>
      <c r="P482" s="85">
        <f>IFERROR(VLOOKUP($A:$A,CS!$A:$AK,24,FALSE),"")</f>
        <v/>
      </c>
      <c r="Q482" s="85">
        <f>IFERROR(VLOOKUP($A:$A,CS!$A:$AK,25,FALSE),"")</f>
        <v/>
      </c>
      <c r="R482" s="85">
        <f>IFERROR(VLOOKUP($A:$A,CS!$A:$AK,26,FALSE),"")</f>
        <v/>
      </c>
      <c r="S482" s="85">
        <f>IFERROR(VLOOKUP($A:$A,CS!$A:$AK,29,FALSE),"")</f>
        <v/>
      </c>
      <c r="T482" s="85">
        <f>IFERROR(VLOOKUP($A:$A,CS!$A:$AK,33,FALSE),"")</f>
        <v/>
      </c>
      <c r="U482" s="85">
        <f>IFERROR(VLOOKUP($A:$A,CS!$A:$AK,34,FALSE),"")</f>
        <v/>
      </c>
      <c r="V482" s="85">
        <f>IFERROR(VLOOKUP($A:$A,CS!$A:$AK,35,FALSE),"")</f>
        <v/>
      </c>
      <c r="W482" s="85">
        <f>IFERROR(VLOOKUP($A:$A,CS!$A:$AK,36,FALSE),"")</f>
        <v/>
      </c>
    </row>
    <row r="483" ht="16.5" customHeight="1">
      <c r="A483" s="158" t="n"/>
      <c r="B483" s="85">
        <f>IFERROR(VLOOKUP($A:$A,CS!$A:$AK,3,FALSE),"")</f>
        <v/>
      </c>
      <c r="C483" s="85">
        <f>IFERROR(VLOOKUP($A:$A,CS!$A:$AK,4,FALSE),"")</f>
        <v/>
      </c>
      <c r="D483" s="85">
        <f>IFERROR(VLOOKUP($A:$A,CS!$A:$AK,5,FALSE),"")</f>
        <v/>
      </c>
      <c r="E483" s="85">
        <f>IFERROR(VLOOKUP($A:$A,CS!$A:$AK,7,FALSE),"")</f>
        <v/>
      </c>
      <c r="F483" s="85">
        <f>IFERROR(VLOOKUP($A:$A,CS!$A:$AK,8,FALSE),"")</f>
        <v/>
      </c>
      <c r="G483" s="85">
        <f>IFERROR(VLOOKUP($A:$A,CS!$A:$AK,10,FALSE),"")</f>
        <v/>
      </c>
      <c r="H483" s="85">
        <f>IFERROR(VLOOKUP($A:$A,CS!$A:$AK,14,FALSE),"")</f>
        <v/>
      </c>
      <c r="I483" s="85">
        <f>IFERROR(VLOOKUP($A:$A,CS!$A:$AK,15,FALSE),"")</f>
        <v/>
      </c>
      <c r="J483" s="85">
        <f>IFERROR(VLOOKUP($A:$A,CS!$A:$AK,18,FALSE),"")</f>
        <v/>
      </c>
      <c r="K483" s="85">
        <f>IFERROR(VLOOKUP($A:$A,CS!$A:$AK,19,FALSE),"")</f>
        <v/>
      </c>
      <c r="L483" s="85">
        <f>IFERROR(VLOOKUP($A:$A,CS!$A:$AK,20,FALSE),"")</f>
        <v/>
      </c>
      <c r="M483" s="85">
        <f>IFERROR(VLOOKUP($A:$A,CS!$A:$AK,22,FALSE),"")</f>
        <v/>
      </c>
      <c r="N483" s="85">
        <f>IFERROR(VLOOKUP($A:$A,CS!$A:$AK,19,FALSE),"")</f>
        <v/>
      </c>
      <c r="O483" s="85">
        <f>IFERROR(VLOOKUP($A:$A,CS!$A:$AK,23,FALSE),"")</f>
        <v/>
      </c>
      <c r="P483" s="85">
        <f>IFERROR(VLOOKUP($A:$A,CS!$A:$AK,24,FALSE),"")</f>
        <v/>
      </c>
      <c r="Q483" s="85">
        <f>IFERROR(VLOOKUP($A:$A,CS!$A:$AK,25,FALSE),"")</f>
        <v/>
      </c>
      <c r="R483" s="85">
        <f>IFERROR(VLOOKUP($A:$A,CS!$A:$AK,26,FALSE),"")</f>
        <v/>
      </c>
      <c r="S483" s="85">
        <f>IFERROR(VLOOKUP($A:$A,CS!$A:$AK,29,FALSE),"")</f>
        <v/>
      </c>
      <c r="T483" s="85">
        <f>IFERROR(VLOOKUP($A:$A,CS!$A:$AK,33,FALSE),"")</f>
        <v/>
      </c>
      <c r="U483" s="85">
        <f>IFERROR(VLOOKUP($A:$A,CS!$A:$AK,34,FALSE),"")</f>
        <v/>
      </c>
      <c r="V483" s="85">
        <f>IFERROR(VLOOKUP($A:$A,CS!$A:$AK,35,FALSE),"")</f>
        <v/>
      </c>
      <c r="W483" s="85">
        <f>IFERROR(VLOOKUP($A:$A,CS!$A:$AK,36,FALSE),"")</f>
        <v/>
      </c>
    </row>
    <row r="484" ht="16.5" customHeight="1">
      <c r="A484" s="158" t="n"/>
      <c r="B484" s="85">
        <f>IFERROR(VLOOKUP($A:$A,CS!$A:$AK,3,FALSE),"")</f>
        <v/>
      </c>
      <c r="C484" s="85">
        <f>IFERROR(VLOOKUP($A:$A,CS!$A:$AK,4,FALSE),"")</f>
        <v/>
      </c>
      <c r="D484" s="85">
        <f>IFERROR(VLOOKUP($A:$A,CS!$A:$AK,5,FALSE),"")</f>
        <v/>
      </c>
      <c r="E484" s="85">
        <f>IFERROR(VLOOKUP($A:$A,CS!$A:$AK,7,FALSE),"")</f>
        <v/>
      </c>
      <c r="F484" s="85">
        <f>IFERROR(VLOOKUP($A:$A,CS!$A:$AK,8,FALSE),"")</f>
        <v/>
      </c>
      <c r="G484" s="85">
        <f>IFERROR(VLOOKUP($A:$A,CS!$A:$AK,10,FALSE),"")</f>
        <v/>
      </c>
      <c r="H484" s="85">
        <f>IFERROR(VLOOKUP($A:$A,CS!$A:$AK,14,FALSE),"")</f>
        <v/>
      </c>
      <c r="I484" s="85">
        <f>IFERROR(VLOOKUP($A:$A,CS!$A:$AK,15,FALSE),"")</f>
        <v/>
      </c>
      <c r="J484" s="85">
        <f>IFERROR(VLOOKUP($A:$A,CS!$A:$AK,18,FALSE),"")</f>
        <v/>
      </c>
      <c r="K484" s="85">
        <f>IFERROR(VLOOKUP($A:$A,CS!$A:$AK,19,FALSE),"")</f>
        <v/>
      </c>
      <c r="L484" s="85">
        <f>IFERROR(VLOOKUP($A:$A,CS!$A:$AK,20,FALSE),"")</f>
        <v/>
      </c>
      <c r="M484" s="85">
        <f>IFERROR(VLOOKUP($A:$A,CS!$A:$AK,22,FALSE),"")</f>
        <v/>
      </c>
      <c r="N484" s="85">
        <f>IFERROR(VLOOKUP($A:$A,CS!$A:$AK,19,FALSE),"")</f>
        <v/>
      </c>
      <c r="O484" s="85">
        <f>IFERROR(VLOOKUP($A:$A,CS!$A:$AK,23,FALSE),"")</f>
        <v/>
      </c>
      <c r="P484" s="85">
        <f>IFERROR(VLOOKUP($A:$A,CS!$A:$AK,24,FALSE),"")</f>
        <v/>
      </c>
      <c r="Q484" s="85">
        <f>IFERROR(VLOOKUP($A:$A,CS!$A:$AK,25,FALSE),"")</f>
        <v/>
      </c>
      <c r="R484" s="85">
        <f>IFERROR(VLOOKUP($A:$A,CS!$A:$AK,26,FALSE),"")</f>
        <v/>
      </c>
      <c r="S484" s="85">
        <f>IFERROR(VLOOKUP($A:$A,CS!$A:$AK,29,FALSE),"")</f>
        <v/>
      </c>
      <c r="T484" s="85">
        <f>IFERROR(VLOOKUP($A:$A,CS!$A:$AK,33,FALSE),"")</f>
        <v/>
      </c>
      <c r="U484" s="85">
        <f>IFERROR(VLOOKUP($A:$A,CS!$A:$AK,34,FALSE),"")</f>
        <v/>
      </c>
      <c r="V484" s="85">
        <f>IFERROR(VLOOKUP($A:$A,CS!$A:$AK,35,FALSE),"")</f>
        <v/>
      </c>
      <c r="W484" s="85">
        <f>IFERROR(VLOOKUP($A:$A,CS!$A:$AK,36,FALSE),"")</f>
        <v/>
      </c>
    </row>
    <row r="485" ht="16.5" customHeight="1">
      <c r="A485" s="158" t="n"/>
      <c r="B485" s="85">
        <f>IFERROR(VLOOKUP($A:$A,CS!$A:$AK,3,FALSE),"")</f>
        <v/>
      </c>
      <c r="C485" s="85">
        <f>IFERROR(VLOOKUP($A:$A,CS!$A:$AK,4,FALSE),"")</f>
        <v/>
      </c>
      <c r="D485" s="85">
        <f>IFERROR(VLOOKUP($A:$A,CS!$A:$AK,5,FALSE),"")</f>
        <v/>
      </c>
      <c r="E485" s="85">
        <f>IFERROR(VLOOKUP($A:$A,CS!$A:$AK,7,FALSE),"")</f>
        <v/>
      </c>
      <c r="F485" s="85">
        <f>IFERROR(VLOOKUP($A:$A,CS!$A:$AK,8,FALSE),"")</f>
        <v/>
      </c>
      <c r="G485" s="85">
        <f>IFERROR(VLOOKUP($A:$A,CS!$A:$AK,10,FALSE),"")</f>
        <v/>
      </c>
      <c r="H485" s="85">
        <f>IFERROR(VLOOKUP($A:$A,CS!$A:$AK,14,FALSE),"")</f>
        <v/>
      </c>
      <c r="I485" s="85">
        <f>IFERROR(VLOOKUP($A:$A,CS!$A:$AK,15,FALSE),"")</f>
        <v/>
      </c>
      <c r="J485" s="85">
        <f>IFERROR(VLOOKUP($A:$A,CS!$A:$AK,18,FALSE),"")</f>
        <v/>
      </c>
      <c r="K485" s="85">
        <f>IFERROR(VLOOKUP($A:$A,CS!$A:$AK,19,FALSE),"")</f>
        <v/>
      </c>
      <c r="L485" s="85">
        <f>IFERROR(VLOOKUP($A:$A,CS!$A:$AK,20,FALSE),"")</f>
        <v/>
      </c>
      <c r="M485" s="85">
        <f>IFERROR(VLOOKUP($A:$A,CS!$A:$AK,22,FALSE),"")</f>
        <v/>
      </c>
      <c r="N485" s="85">
        <f>IFERROR(VLOOKUP($A:$A,CS!$A:$AK,19,FALSE),"")</f>
        <v/>
      </c>
      <c r="O485" s="85">
        <f>IFERROR(VLOOKUP($A:$A,CS!$A:$AK,23,FALSE),"")</f>
        <v/>
      </c>
      <c r="P485" s="85">
        <f>IFERROR(VLOOKUP($A:$A,CS!$A:$AK,24,FALSE),"")</f>
        <v/>
      </c>
      <c r="Q485" s="85">
        <f>IFERROR(VLOOKUP($A:$A,CS!$A:$AK,25,FALSE),"")</f>
        <v/>
      </c>
      <c r="R485" s="85">
        <f>IFERROR(VLOOKUP($A:$A,CS!$A:$AK,26,FALSE),"")</f>
        <v/>
      </c>
      <c r="S485" s="85">
        <f>IFERROR(VLOOKUP($A:$A,CS!$A:$AK,29,FALSE),"")</f>
        <v/>
      </c>
      <c r="T485" s="85">
        <f>IFERROR(VLOOKUP($A:$A,CS!$A:$AK,33,FALSE),"")</f>
        <v/>
      </c>
      <c r="U485" s="85">
        <f>IFERROR(VLOOKUP($A:$A,CS!$A:$AK,34,FALSE),"")</f>
        <v/>
      </c>
      <c r="V485" s="85">
        <f>IFERROR(VLOOKUP($A:$A,CS!$A:$AK,35,FALSE),"")</f>
        <v/>
      </c>
      <c r="W485" s="85">
        <f>IFERROR(VLOOKUP($A:$A,CS!$A:$AK,36,FALSE),"")</f>
        <v/>
      </c>
    </row>
    <row r="486" ht="16.5" customHeight="1">
      <c r="A486" s="158" t="n"/>
      <c r="B486" s="85">
        <f>IFERROR(VLOOKUP($A:$A,CS!$A:$AK,3,FALSE),"")</f>
        <v/>
      </c>
      <c r="C486" s="85">
        <f>IFERROR(VLOOKUP($A:$A,CS!$A:$AK,4,FALSE),"")</f>
        <v/>
      </c>
      <c r="D486" s="85">
        <f>IFERROR(VLOOKUP($A:$A,CS!$A:$AK,5,FALSE),"")</f>
        <v/>
      </c>
      <c r="E486" s="85">
        <f>IFERROR(VLOOKUP($A:$A,CS!$A:$AK,7,FALSE),"")</f>
        <v/>
      </c>
      <c r="F486" s="85">
        <f>IFERROR(VLOOKUP($A:$A,CS!$A:$AK,8,FALSE),"")</f>
        <v/>
      </c>
      <c r="G486" s="85">
        <f>IFERROR(VLOOKUP($A:$A,CS!$A:$AK,10,FALSE),"")</f>
        <v/>
      </c>
      <c r="H486" s="85">
        <f>IFERROR(VLOOKUP($A:$A,CS!$A:$AK,14,FALSE),"")</f>
        <v/>
      </c>
      <c r="I486" s="85">
        <f>IFERROR(VLOOKUP($A:$A,CS!$A:$AK,15,FALSE),"")</f>
        <v/>
      </c>
      <c r="J486" s="85">
        <f>IFERROR(VLOOKUP($A:$A,CS!$A:$AK,18,FALSE),"")</f>
        <v/>
      </c>
      <c r="K486" s="85">
        <f>IFERROR(VLOOKUP($A:$A,CS!$A:$AK,19,FALSE),"")</f>
        <v/>
      </c>
      <c r="L486" s="85">
        <f>IFERROR(VLOOKUP($A:$A,CS!$A:$AK,20,FALSE),"")</f>
        <v/>
      </c>
      <c r="M486" s="85">
        <f>IFERROR(VLOOKUP($A:$A,CS!$A:$AK,22,FALSE),"")</f>
        <v/>
      </c>
      <c r="N486" s="85">
        <f>IFERROR(VLOOKUP($A:$A,CS!$A:$AK,19,FALSE),"")</f>
        <v/>
      </c>
      <c r="O486" s="85">
        <f>IFERROR(VLOOKUP($A:$A,CS!$A:$AK,23,FALSE),"")</f>
        <v/>
      </c>
      <c r="P486" s="85">
        <f>IFERROR(VLOOKUP($A:$A,CS!$A:$AK,24,FALSE),"")</f>
        <v/>
      </c>
      <c r="Q486" s="85">
        <f>IFERROR(VLOOKUP($A:$A,CS!$A:$AK,25,FALSE),"")</f>
        <v/>
      </c>
      <c r="R486" s="85">
        <f>IFERROR(VLOOKUP($A:$A,CS!$A:$AK,26,FALSE),"")</f>
        <v/>
      </c>
      <c r="S486" s="85">
        <f>IFERROR(VLOOKUP($A:$A,CS!$A:$AK,29,FALSE),"")</f>
        <v/>
      </c>
      <c r="T486" s="85">
        <f>IFERROR(VLOOKUP($A:$A,CS!$A:$AK,33,FALSE),"")</f>
        <v/>
      </c>
      <c r="U486" s="85">
        <f>IFERROR(VLOOKUP($A:$A,CS!$A:$AK,34,FALSE),"")</f>
        <v/>
      </c>
      <c r="V486" s="85">
        <f>IFERROR(VLOOKUP($A:$A,CS!$A:$AK,35,FALSE),"")</f>
        <v/>
      </c>
      <c r="W486" s="85">
        <f>IFERROR(VLOOKUP($A:$A,CS!$A:$AK,36,FALSE),"")</f>
        <v/>
      </c>
    </row>
    <row r="487" ht="16.5" customHeight="1">
      <c r="A487" s="158" t="n"/>
      <c r="B487" s="85">
        <f>IFERROR(VLOOKUP($A:$A,CS!$A:$AK,3,FALSE),"")</f>
        <v/>
      </c>
      <c r="C487" s="85">
        <f>IFERROR(VLOOKUP($A:$A,CS!$A:$AK,4,FALSE),"")</f>
        <v/>
      </c>
      <c r="D487" s="85">
        <f>IFERROR(VLOOKUP($A:$A,CS!$A:$AK,5,FALSE),"")</f>
        <v/>
      </c>
      <c r="E487" s="85">
        <f>IFERROR(VLOOKUP($A:$A,CS!$A:$AK,7,FALSE),"")</f>
        <v/>
      </c>
      <c r="F487" s="85">
        <f>IFERROR(VLOOKUP($A:$A,CS!$A:$AK,8,FALSE),"")</f>
        <v/>
      </c>
      <c r="G487" s="85">
        <f>IFERROR(VLOOKUP($A:$A,CS!$A:$AK,10,FALSE),"")</f>
        <v/>
      </c>
      <c r="H487" s="85">
        <f>IFERROR(VLOOKUP($A:$A,CS!$A:$AK,14,FALSE),"")</f>
        <v/>
      </c>
      <c r="I487" s="85">
        <f>IFERROR(VLOOKUP($A:$A,CS!$A:$AK,15,FALSE),"")</f>
        <v/>
      </c>
      <c r="J487" s="85">
        <f>IFERROR(VLOOKUP($A:$A,CS!$A:$AK,18,FALSE),"")</f>
        <v/>
      </c>
      <c r="K487" s="85">
        <f>IFERROR(VLOOKUP($A:$A,CS!$A:$AK,19,FALSE),"")</f>
        <v/>
      </c>
      <c r="L487" s="85">
        <f>IFERROR(VLOOKUP($A:$A,CS!$A:$AK,20,FALSE),"")</f>
        <v/>
      </c>
      <c r="M487" s="85">
        <f>IFERROR(VLOOKUP($A:$A,CS!$A:$AK,22,FALSE),"")</f>
        <v/>
      </c>
      <c r="N487" s="85">
        <f>IFERROR(VLOOKUP($A:$A,CS!$A:$AK,19,FALSE),"")</f>
        <v/>
      </c>
      <c r="O487" s="85">
        <f>IFERROR(VLOOKUP($A:$A,CS!$A:$AK,23,FALSE),"")</f>
        <v/>
      </c>
      <c r="P487" s="85">
        <f>IFERROR(VLOOKUP($A:$A,CS!$A:$AK,24,FALSE),"")</f>
        <v/>
      </c>
      <c r="Q487" s="85">
        <f>IFERROR(VLOOKUP($A:$A,CS!$A:$AK,25,FALSE),"")</f>
        <v/>
      </c>
      <c r="R487" s="85">
        <f>IFERROR(VLOOKUP($A:$A,CS!$A:$AK,26,FALSE),"")</f>
        <v/>
      </c>
      <c r="S487" s="85">
        <f>IFERROR(VLOOKUP($A:$A,CS!$A:$AK,29,FALSE),"")</f>
        <v/>
      </c>
      <c r="T487" s="85">
        <f>IFERROR(VLOOKUP($A:$A,CS!$A:$AK,33,FALSE),"")</f>
        <v/>
      </c>
      <c r="U487" s="85">
        <f>IFERROR(VLOOKUP($A:$A,CS!$A:$AK,34,FALSE),"")</f>
        <v/>
      </c>
      <c r="V487" s="85">
        <f>IFERROR(VLOOKUP($A:$A,CS!$A:$AK,35,FALSE),"")</f>
        <v/>
      </c>
      <c r="W487" s="85">
        <f>IFERROR(VLOOKUP($A:$A,CS!$A:$AK,36,FALSE),"")</f>
        <v/>
      </c>
    </row>
    <row r="488" ht="16.5" customHeight="1">
      <c r="A488" s="158" t="n"/>
      <c r="B488" s="85">
        <f>IFERROR(VLOOKUP($A:$A,CS!$A:$AK,3,FALSE),"")</f>
        <v/>
      </c>
      <c r="C488" s="85">
        <f>IFERROR(VLOOKUP($A:$A,CS!$A:$AK,4,FALSE),"")</f>
        <v/>
      </c>
      <c r="D488" s="85">
        <f>IFERROR(VLOOKUP($A:$A,CS!$A:$AK,5,FALSE),"")</f>
        <v/>
      </c>
      <c r="E488" s="85">
        <f>IFERROR(VLOOKUP($A:$A,CS!$A:$AK,7,FALSE),"")</f>
        <v/>
      </c>
      <c r="F488" s="85">
        <f>IFERROR(VLOOKUP($A:$A,CS!$A:$AK,8,FALSE),"")</f>
        <v/>
      </c>
      <c r="G488" s="85">
        <f>IFERROR(VLOOKUP($A:$A,CS!$A:$AK,10,FALSE),"")</f>
        <v/>
      </c>
      <c r="H488" s="85">
        <f>IFERROR(VLOOKUP($A:$A,CS!$A:$AK,14,FALSE),"")</f>
        <v/>
      </c>
      <c r="I488" s="85">
        <f>IFERROR(VLOOKUP($A:$A,CS!$A:$AK,15,FALSE),"")</f>
        <v/>
      </c>
      <c r="J488" s="85">
        <f>IFERROR(VLOOKUP($A:$A,CS!$A:$AK,18,FALSE),"")</f>
        <v/>
      </c>
      <c r="K488" s="85">
        <f>IFERROR(VLOOKUP($A:$A,CS!$A:$AK,19,FALSE),"")</f>
        <v/>
      </c>
      <c r="L488" s="85">
        <f>IFERROR(VLOOKUP($A:$A,CS!$A:$AK,20,FALSE),"")</f>
        <v/>
      </c>
      <c r="M488" s="85">
        <f>IFERROR(VLOOKUP($A:$A,CS!$A:$AK,22,FALSE),"")</f>
        <v/>
      </c>
      <c r="N488" s="85">
        <f>IFERROR(VLOOKUP($A:$A,CS!$A:$AK,19,FALSE),"")</f>
        <v/>
      </c>
      <c r="O488" s="85">
        <f>IFERROR(VLOOKUP($A:$A,CS!$A:$AK,23,FALSE),"")</f>
        <v/>
      </c>
      <c r="P488" s="85">
        <f>IFERROR(VLOOKUP($A:$A,CS!$A:$AK,24,FALSE),"")</f>
        <v/>
      </c>
      <c r="Q488" s="85">
        <f>IFERROR(VLOOKUP($A:$A,CS!$A:$AK,25,FALSE),"")</f>
        <v/>
      </c>
      <c r="R488" s="85">
        <f>IFERROR(VLOOKUP($A:$A,CS!$A:$AK,26,FALSE),"")</f>
        <v/>
      </c>
      <c r="S488" s="85">
        <f>IFERROR(VLOOKUP($A:$A,CS!$A:$AK,29,FALSE),"")</f>
        <v/>
      </c>
      <c r="T488" s="85">
        <f>IFERROR(VLOOKUP($A:$A,CS!$A:$AK,33,FALSE),"")</f>
        <v/>
      </c>
      <c r="U488" s="85">
        <f>IFERROR(VLOOKUP($A:$A,CS!$A:$AK,34,FALSE),"")</f>
        <v/>
      </c>
      <c r="V488" s="85">
        <f>IFERROR(VLOOKUP($A:$A,CS!$A:$AK,35,FALSE),"")</f>
        <v/>
      </c>
      <c r="W488" s="85">
        <f>IFERROR(VLOOKUP($A:$A,CS!$A:$AK,36,FALSE),"")</f>
        <v/>
      </c>
    </row>
    <row r="489" ht="16.5" customHeight="1">
      <c r="A489" s="158" t="n"/>
      <c r="B489" s="85">
        <f>IFERROR(VLOOKUP($A:$A,CS!$A:$AK,3,FALSE),"")</f>
        <v/>
      </c>
      <c r="C489" s="85">
        <f>IFERROR(VLOOKUP($A:$A,CS!$A:$AK,4,FALSE),"")</f>
        <v/>
      </c>
      <c r="D489" s="85">
        <f>IFERROR(VLOOKUP($A:$A,CS!$A:$AK,5,FALSE),"")</f>
        <v/>
      </c>
      <c r="E489" s="85">
        <f>IFERROR(VLOOKUP($A:$A,CS!$A:$AK,7,FALSE),"")</f>
        <v/>
      </c>
      <c r="F489" s="85">
        <f>IFERROR(VLOOKUP($A:$A,CS!$A:$AK,8,FALSE),"")</f>
        <v/>
      </c>
      <c r="G489" s="85">
        <f>IFERROR(VLOOKUP($A:$A,CS!$A:$AK,10,FALSE),"")</f>
        <v/>
      </c>
      <c r="H489" s="85">
        <f>IFERROR(VLOOKUP($A:$A,CS!$A:$AK,14,FALSE),"")</f>
        <v/>
      </c>
      <c r="I489" s="85">
        <f>IFERROR(VLOOKUP($A:$A,CS!$A:$AK,15,FALSE),"")</f>
        <v/>
      </c>
      <c r="J489" s="85">
        <f>IFERROR(VLOOKUP($A:$A,CS!$A:$AK,18,FALSE),"")</f>
        <v/>
      </c>
      <c r="K489" s="85">
        <f>IFERROR(VLOOKUP($A:$A,CS!$A:$AK,19,FALSE),"")</f>
        <v/>
      </c>
      <c r="L489" s="85">
        <f>IFERROR(VLOOKUP($A:$A,CS!$A:$AK,20,FALSE),"")</f>
        <v/>
      </c>
      <c r="M489" s="85">
        <f>IFERROR(VLOOKUP($A:$A,CS!$A:$AK,22,FALSE),"")</f>
        <v/>
      </c>
      <c r="N489" s="85">
        <f>IFERROR(VLOOKUP($A:$A,CS!$A:$AK,19,FALSE),"")</f>
        <v/>
      </c>
      <c r="O489" s="85">
        <f>IFERROR(VLOOKUP($A:$A,CS!$A:$AK,23,FALSE),"")</f>
        <v/>
      </c>
      <c r="P489" s="85">
        <f>IFERROR(VLOOKUP($A:$A,CS!$A:$AK,24,FALSE),"")</f>
        <v/>
      </c>
      <c r="Q489" s="85">
        <f>IFERROR(VLOOKUP($A:$A,CS!$A:$AK,25,FALSE),"")</f>
        <v/>
      </c>
      <c r="R489" s="85">
        <f>IFERROR(VLOOKUP($A:$A,CS!$A:$AK,26,FALSE),"")</f>
        <v/>
      </c>
      <c r="S489" s="85">
        <f>IFERROR(VLOOKUP($A:$A,CS!$A:$AK,29,FALSE),"")</f>
        <v/>
      </c>
      <c r="T489" s="85">
        <f>IFERROR(VLOOKUP($A:$A,CS!$A:$AK,33,FALSE),"")</f>
        <v/>
      </c>
      <c r="U489" s="85">
        <f>IFERROR(VLOOKUP($A:$A,CS!$A:$AK,34,FALSE),"")</f>
        <v/>
      </c>
      <c r="V489" s="85">
        <f>IFERROR(VLOOKUP($A:$A,CS!$A:$AK,35,FALSE),"")</f>
        <v/>
      </c>
      <c r="W489" s="85">
        <f>IFERROR(VLOOKUP($A:$A,CS!$A:$AK,36,FALSE),"")</f>
        <v/>
      </c>
    </row>
    <row r="490" ht="16.5" customHeight="1">
      <c r="A490" s="158" t="n"/>
      <c r="B490" s="85">
        <f>IFERROR(VLOOKUP($A:$A,CS!$A:$AK,3,FALSE),"")</f>
        <v/>
      </c>
      <c r="C490" s="85">
        <f>IFERROR(VLOOKUP($A:$A,CS!$A:$AK,4,FALSE),"")</f>
        <v/>
      </c>
      <c r="D490" s="85">
        <f>IFERROR(VLOOKUP($A:$A,CS!$A:$AK,5,FALSE),"")</f>
        <v/>
      </c>
      <c r="E490" s="85">
        <f>IFERROR(VLOOKUP($A:$A,CS!$A:$AK,7,FALSE),"")</f>
        <v/>
      </c>
      <c r="F490" s="85">
        <f>IFERROR(VLOOKUP($A:$A,CS!$A:$AK,8,FALSE),"")</f>
        <v/>
      </c>
      <c r="G490" s="85">
        <f>IFERROR(VLOOKUP($A:$A,CS!$A:$AK,10,FALSE),"")</f>
        <v/>
      </c>
      <c r="H490" s="85">
        <f>IFERROR(VLOOKUP($A:$A,CS!$A:$AK,14,FALSE),"")</f>
        <v/>
      </c>
      <c r="I490" s="85">
        <f>IFERROR(VLOOKUP($A:$A,CS!$A:$AK,15,FALSE),"")</f>
        <v/>
      </c>
      <c r="J490" s="85">
        <f>IFERROR(VLOOKUP($A:$A,CS!$A:$AK,18,FALSE),"")</f>
        <v/>
      </c>
      <c r="K490" s="85">
        <f>IFERROR(VLOOKUP($A:$A,CS!$A:$AK,19,FALSE),"")</f>
        <v/>
      </c>
      <c r="L490" s="85">
        <f>IFERROR(VLOOKUP($A:$A,CS!$A:$AK,20,FALSE),"")</f>
        <v/>
      </c>
      <c r="M490" s="85">
        <f>IFERROR(VLOOKUP($A:$A,CS!$A:$AK,22,FALSE),"")</f>
        <v/>
      </c>
      <c r="N490" s="85">
        <f>IFERROR(VLOOKUP($A:$A,CS!$A:$AK,19,FALSE),"")</f>
        <v/>
      </c>
      <c r="O490" s="85">
        <f>IFERROR(VLOOKUP($A:$A,CS!$A:$AK,23,FALSE),"")</f>
        <v/>
      </c>
      <c r="P490" s="85">
        <f>IFERROR(VLOOKUP($A:$A,CS!$A:$AK,24,FALSE),"")</f>
        <v/>
      </c>
      <c r="Q490" s="85">
        <f>IFERROR(VLOOKUP($A:$A,CS!$A:$AK,25,FALSE),"")</f>
        <v/>
      </c>
      <c r="R490" s="85">
        <f>IFERROR(VLOOKUP($A:$A,CS!$A:$AK,26,FALSE),"")</f>
        <v/>
      </c>
      <c r="S490" s="85">
        <f>IFERROR(VLOOKUP($A:$A,CS!$A:$AK,29,FALSE),"")</f>
        <v/>
      </c>
      <c r="T490" s="85">
        <f>IFERROR(VLOOKUP($A:$A,CS!$A:$AK,33,FALSE),"")</f>
        <v/>
      </c>
      <c r="U490" s="85">
        <f>IFERROR(VLOOKUP($A:$A,CS!$A:$AK,34,FALSE),"")</f>
        <v/>
      </c>
      <c r="V490" s="85">
        <f>IFERROR(VLOOKUP($A:$A,CS!$A:$AK,35,FALSE),"")</f>
        <v/>
      </c>
      <c r="W490" s="85">
        <f>IFERROR(VLOOKUP($A:$A,CS!$A:$AK,36,FALSE),"")</f>
        <v/>
      </c>
    </row>
    <row r="491" ht="16.5" customHeight="1">
      <c r="A491" s="158" t="n"/>
      <c r="B491" s="85">
        <f>IFERROR(VLOOKUP($A:$A,CS!$A:$AK,3,FALSE),"")</f>
        <v/>
      </c>
      <c r="C491" s="85">
        <f>IFERROR(VLOOKUP($A:$A,CS!$A:$AK,4,FALSE),"")</f>
        <v/>
      </c>
      <c r="D491" s="85">
        <f>IFERROR(VLOOKUP($A:$A,CS!$A:$AK,5,FALSE),"")</f>
        <v/>
      </c>
      <c r="E491" s="85">
        <f>IFERROR(VLOOKUP($A:$A,CS!$A:$AK,7,FALSE),"")</f>
        <v/>
      </c>
      <c r="F491" s="85">
        <f>IFERROR(VLOOKUP($A:$A,CS!$A:$AK,8,FALSE),"")</f>
        <v/>
      </c>
      <c r="G491" s="85">
        <f>IFERROR(VLOOKUP($A:$A,CS!$A:$AK,10,FALSE),"")</f>
        <v/>
      </c>
      <c r="H491" s="85">
        <f>IFERROR(VLOOKUP($A:$A,CS!$A:$AK,14,FALSE),"")</f>
        <v/>
      </c>
      <c r="I491" s="85">
        <f>IFERROR(VLOOKUP($A:$A,CS!$A:$AK,15,FALSE),"")</f>
        <v/>
      </c>
      <c r="J491" s="85">
        <f>IFERROR(VLOOKUP($A:$A,CS!$A:$AK,18,FALSE),"")</f>
        <v/>
      </c>
      <c r="K491" s="85">
        <f>IFERROR(VLOOKUP($A:$A,CS!$A:$AK,19,FALSE),"")</f>
        <v/>
      </c>
      <c r="L491" s="85">
        <f>IFERROR(VLOOKUP($A:$A,CS!$A:$AK,20,FALSE),"")</f>
        <v/>
      </c>
      <c r="M491" s="85">
        <f>IFERROR(VLOOKUP($A:$A,CS!$A:$AK,22,FALSE),"")</f>
        <v/>
      </c>
      <c r="N491" s="85">
        <f>IFERROR(VLOOKUP($A:$A,CS!$A:$AK,19,FALSE),"")</f>
        <v/>
      </c>
      <c r="O491" s="85">
        <f>IFERROR(VLOOKUP($A:$A,CS!$A:$AK,23,FALSE),"")</f>
        <v/>
      </c>
      <c r="P491" s="85">
        <f>IFERROR(VLOOKUP($A:$A,CS!$A:$AK,24,FALSE),"")</f>
        <v/>
      </c>
      <c r="Q491" s="85">
        <f>IFERROR(VLOOKUP($A:$A,CS!$A:$AK,25,FALSE),"")</f>
        <v/>
      </c>
      <c r="R491" s="85">
        <f>IFERROR(VLOOKUP($A:$A,CS!$A:$AK,26,FALSE),"")</f>
        <v/>
      </c>
      <c r="S491" s="85">
        <f>IFERROR(VLOOKUP($A:$A,CS!$A:$AK,29,FALSE),"")</f>
        <v/>
      </c>
      <c r="T491" s="85">
        <f>IFERROR(VLOOKUP($A:$A,CS!$A:$AK,33,FALSE),"")</f>
        <v/>
      </c>
      <c r="U491" s="85">
        <f>IFERROR(VLOOKUP($A:$A,CS!$A:$AK,34,FALSE),"")</f>
        <v/>
      </c>
      <c r="V491" s="85">
        <f>IFERROR(VLOOKUP($A:$A,CS!$A:$AK,35,FALSE),"")</f>
        <v/>
      </c>
      <c r="W491" s="85">
        <f>IFERROR(VLOOKUP($A:$A,CS!$A:$AK,36,FALSE),"")</f>
        <v/>
      </c>
    </row>
    <row r="492" ht="16.5" customHeight="1">
      <c r="A492" s="158" t="n"/>
      <c r="B492" s="85">
        <f>IFERROR(VLOOKUP($A:$A,CS!$A:$AK,3,FALSE),"")</f>
        <v/>
      </c>
      <c r="C492" s="85">
        <f>IFERROR(VLOOKUP($A:$A,CS!$A:$AK,4,FALSE),"")</f>
        <v/>
      </c>
      <c r="D492" s="85">
        <f>IFERROR(VLOOKUP($A:$A,CS!$A:$AK,5,FALSE),"")</f>
        <v/>
      </c>
      <c r="E492" s="85">
        <f>IFERROR(VLOOKUP($A:$A,CS!$A:$AK,7,FALSE),"")</f>
        <v/>
      </c>
      <c r="F492" s="85">
        <f>IFERROR(VLOOKUP($A:$A,CS!$A:$AK,8,FALSE),"")</f>
        <v/>
      </c>
      <c r="G492" s="85">
        <f>IFERROR(VLOOKUP($A:$A,CS!$A:$AK,10,FALSE),"")</f>
        <v/>
      </c>
      <c r="H492" s="85">
        <f>IFERROR(VLOOKUP($A:$A,CS!$A:$AK,14,FALSE),"")</f>
        <v/>
      </c>
      <c r="I492" s="85">
        <f>IFERROR(VLOOKUP($A:$A,CS!$A:$AK,15,FALSE),"")</f>
        <v/>
      </c>
      <c r="J492" s="85">
        <f>IFERROR(VLOOKUP($A:$A,CS!$A:$AK,18,FALSE),"")</f>
        <v/>
      </c>
      <c r="K492" s="85">
        <f>IFERROR(VLOOKUP($A:$A,CS!$A:$AK,19,FALSE),"")</f>
        <v/>
      </c>
      <c r="L492" s="85">
        <f>IFERROR(VLOOKUP($A:$A,CS!$A:$AK,20,FALSE),"")</f>
        <v/>
      </c>
      <c r="M492" s="85">
        <f>IFERROR(VLOOKUP($A:$A,CS!$A:$AK,22,FALSE),"")</f>
        <v/>
      </c>
      <c r="N492" s="85">
        <f>IFERROR(VLOOKUP($A:$A,CS!$A:$AK,19,FALSE),"")</f>
        <v/>
      </c>
      <c r="O492" s="85">
        <f>IFERROR(VLOOKUP($A:$A,CS!$A:$AK,23,FALSE),"")</f>
        <v/>
      </c>
      <c r="P492" s="85">
        <f>IFERROR(VLOOKUP($A:$A,CS!$A:$AK,24,FALSE),"")</f>
        <v/>
      </c>
      <c r="Q492" s="85">
        <f>IFERROR(VLOOKUP($A:$A,CS!$A:$AK,25,FALSE),"")</f>
        <v/>
      </c>
      <c r="R492" s="85">
        <f>IFERROR(VLOOKUP($A:$A,CS!$A:$AK,26,FALSE),"")</f>
        <v/>
      </c>
      <c r="S492" s="85">
        <f>IFERROR(VLOOKUP($A:$A,CS!$A:$AK,29,FALSE),"")</f>
        <v/>
      </c>
      <c r="T492" s="85">
        <f>IFERROR(VLOOKUP($A:$A,CS!$A:$AK,33,FALSE),"")</f>
        <v/>
      </c>
      <c r="U492" s="85">
        <f>IFERROR(VLOOKUP($A:$A,CS!$A:$AK,34,FALSE),"")</f>
        <v/>
      </c>
      <c r="V492" s="85">
        <f>IFERROR(VLOOKUP($A:$A,CS!$A:$AK,35,FALSE),"")</f>
        <v/>
      </c>
      <c r="W492" s="85">
        <f>IFERROR(VLOOKUP($A:$A,CS!$A:$AK,36,FALSE),"")</f>
        <v/>
      </c>
    </row>
    <row r="493" ht="16.5" customHeight="1">
      <c r="A493" s="158" t="n"/>
      <c r="B493" s="85">
        <f>IFERROR(VLOOKUP($A:$A,CS!$A:$AK,3,FALSE),"")</f>
        <v/>
      </c>
      <c r="C493" s="85">
        <f>IFERROR(VLOOKUP($A:$A,CS!$A:$AK,4,FALSE),"")</f>
        <v/>
      </c>
      <c r="D493" s="85">
        <f>IFERROR(VLOOKUP($A:$A,CS!$A:$AK,5,FALSE),"")</f>
        <v/>
      </c>
      <c r="E493" s="85">
        <f>IFERROR(VLOOKUP($A:$A,CS!$A:$AK,7,FALSE),"")</f>
        <v/>
      </c>
      <c r="F493" s="85">
        <f>IFERROR(VLOOKUP($A:$A,CS!$A:$AK,8,FALSE),"")</f>
        <v/>
      </c>
      <c r="G493" s="85">
        <f>IFERROR(VLOOKUP($A:$A,CS!$A:$AK,10,FALSE),"")</f>
        <v/>
      </c>
      <c r="H493" s="85">
        <f>IFERROR(VLOOKUP($A:$A,CS!$A:$AK,14,FALSE),"")</f>
        <v/>
      </c>
      <c r="I493" s="85">
        <f>IFERROR(VLOOKUP($A:$A,CS!$A:$AK,15,FALSE),"")</f>
        <v/>
      </c>
      <c r="J493" s="85">
        <f>IFERROR(VLOOKUP($A:$A,CS!$A:$AK,18,FALSE),"")</f>
        <v/>
      </c>
      <c r="K493" s="85">
        <f>IFERROR(VLOOKUP($A:$A,CS!$A:$AK,19,FALSE),"")</f>
        <v/>
      </c>
      <c r="L493" s="85">
        <f>IFERROR(VLOOKUP($A:$A,CS!$A:$AK,20,FALSE),"")</f>
        <v/>
      </c>
      <c r="M493" s="85">
        <f>IFERROR(VLOOKUP($A:$A,CS!$A:$AK,22,FALSE),"")</f>
        <v/>
      </c>
      <c r="N493" s="85">
        <f>IFERROR(VLOOKUP($A:$A,CS!$A:$AK,19,FALSE),"")</f>
        <v/>
      </c>
      <c r="O493" s="85">
        <f>IFERROR(VLOOKUP($A:$A,CS!$A:$AK,23,FALSE),"")</f>
        <v/>
      </c>
      <c r="P493" s="85">
        <f>IFERROR(VLOOKUP($A:$A,CS!$A:$AK,24,FALSE),"")</f>
        <v/>
      </c>
      <c r="Q493" s="85">
        <f>IFERROR(VLOOKUP($A:$A,CS!$A:$AK,25,FALSE),"")</f>
        <v/>
      </c>
      <c r="R493" s="85">
        <f>IFERROR(VLOOKUP($A:$A,CS!$A:$AK,26,FALSE),"")</f>
        <v/>
      </c>
      <c r="S493" s="85">
        <f>IFERROR(VLOOKUP($A:$A,CS!$A:$AK,29,FALSE),"")</f>
        <v/>
      </c>
      <c r="T493" s="85">
        <f>IFERROR(VLOOKUP($A:$A,CS!$A:$AK,33,FALSE),"")</f>
        <v/>
      </c>
      <c r="U493" s="85">
        <f>IFERROR(VLOOKUP($A:$A,CS!$A:$AK,34,FALSE),"")</f>
        <v/>
      </c>
      <c r="V493" s="85">
        <f>IFERROR(VLOOKUP($A:$A,CS!$A:$AK,35,FALSE),"")</f>
        <v/>
      </c>
      <c r="W493" s="85">
        <f>IFERROR(VLOOKUP($A:$A,CS!$A:$AK,36,FALSE),"")</f>
        <v/>
      </c>
    </row>
    <row r="494" ht="16.5" customHeight="1">
      <c r="A494" s="158" t="n"/>
      <c r="B494" s="85">
        <f>IFERROR(VLOOKUP($A:$A,CS!$A:$AK,3,FALSE),"")</f>
        <v/>
      </c>
      <c r="C494" s="85">
        <f>IFERROR(VLOOKUP($A:$A,CS!$A:$AK,4,FALSE),"")</f>
        <v/>
      </c>
      <c r="D494" s="85">
        <f>IFERROR(VLOOKUP($A:$A,CS!$A:$AK,5,FALSE),"")</f>
        <v/>
      </c>
      <c r="E494" s="85">
        <f>IFERROR(VLOOKUP($A:$A,CS!$A:$AK,7,FALSE),"")</f>
        <v/>
      </c>
      <c r="F494" s="85">
        <f>IFERROR(VLOOKUP($A:$A,CS!$A:$AK,8,FALSE),"")</f>
        <v/>
      </c>
      <c r="G494" s="85">
        <f>IFERROR(VLOOKUP($A:$A,CS!$A:$AK,10,FALSE),"")</f>
        <v/>
      </c>
      <c r="H494" s="85">
        <f>IFERROR(VLOOKUP($A:$A,CS!$A:$AK,14,FALSE),"")</f>
        <v/>
      </c>
      <c r="I494" s="85">
        <f>IFERROR(VLOOKUP($A:$A,CS!$A:$AK,15,FALSE),"")</f>
        <v/>
      </c>
      <c r="J494" s="85">
        <f>IFERROR(VLOOKUP($A:$A,CS!$A:$AK,18,FALSE),"")</f>
        <v/>
      </c>
      <c r="K494" s="85">
        <f>IFERROR(VLOOKUP($A:$A,CS!$A:$AK,19,FALSE),"")</f>
        <v/>
      </c>
      <c r="L494" s="85">
        <f>IFERROR(VLOOKUP($A:$A,CS!$A:$AK,20,FALSE),"")</f>
        <v/>
      </c>
      <c r="M494" s="85">
        <f>IFERROR(VLOOKUP($A:$A,CS!$A:$AK,22,FALSE),"")</f>
        <v/>
      </c>
      <c r="N494" s="85">
        <f>IFERROR(VLOOKUP($A:$A,CS!$A:$AK,19,FALSE),"")</f>
        <v/>
      </c>
      <c r="O494" s="85">
        <f>IFERROR(VLOOKUP($A:$A,CS!$A:$AK,23,FALSE),"")</f>
        <v/>
      </c>
      <c r="P494" s="85">
        <f>IFERROR(VLOOKUP($A:$A,CS!$A:$AK,24,FALSE),"")</f>
        <v/>
      </c>
      <c r="Q494" s="85">
        <f>IFERROR(VLOOKUP($A:$A,CS!$A:$AK,25,FALSE),"")</f>
        <v/>
      </c>
      <c r="R494" s="85">
        <f>IFERROR(VLOOKUP($A:$A,CS!$A:$AK,26,FALSE),"")</f>
        <v/>
      </c>
      <c r="S494" s="85">
        <f>IFERROR(VLOOKUP($A:$A,CS!$A:$AK,29,FALSE),"")</f>
        <v/>
      </c>
      <c r="T494" s="85">
        <f>IFERROR(VLOOKUP($A:$A,CS!$A:$AK,33,FALSE),"")</f>
        <v/>
      </c>
      <c r="U494" s="85">
        <f>IFERROR(VLOOKUP($A:$A,CS!$A:$AK,34,FALSE),"")</f>
        <v/>
      </c>
      <c r="V494" s="85">
        <f>IFERROR(VLOOKUP($A:$A,CS!$A:$AK,35,FALSE),"")</f>
        <v/>
      </c>
      <c r="W494" s="85">
        <f>IFERROR(VLOOKUP($A:$A,CS!$A:$AK,36,FALSE),"")</f>
        <v/>
      </c>
    </row>
    <row r="495" ht="16.5" customHeight="1">
      <c r="A495" s="158" t="n"/>
      <c r="B495" s="85">
        <f>IFERROR(VLOOKUP($A:$A,CS!$A:$AK,3,FALSE),"")</f>
        <v/>
      </c>
      <c r="C495" s="85">
        <f>IFERROR(VLOOKUP($A:$A,CS!$A:$AK,4,FALSE),"")</f>
        <v/>
      </c>
      <c r="D495" s="85">
        <f>IFERROR(VLOOKUP($A:$A,CS!$A:$AK,5,FALSE),"")</f>
        <v/>
      </c>
      <c r="E495" s="85">
        <f>IFERROR(VLOOKUP($A:$A,CS!$A:$AK,7,FALSE),"")</f>
        <v/>
      </c>
      <c r="F495" s="85">
        <f>IFERROR(VLOOKUP($A:$A,CS!$A:$AK,8,FALSE),"")</f>
        <v/>
      </c>
      <c r="G495" s="85">
        <f>IFERROR(VLOOKUP($A:$A,CS!$A:$AK,10,FALSE),"")</f>
        <v/>
      </c>
      <c r="H495" s="85">
        <f>IFERROR(VLOOKUP($A:$A,CS!$A:$AK,14,FALSE),"")</f>
        <v/>
      </c>
      <c r="I495" s="85">
        <f>IFERROR(VLOOKUP($A:$A,CS!$A:$AK,15,FALSE),"")</f>
        <v/>
      </c>
      <c r="J495" s="85">
        <f>IFERROR(VLOOKUP($A:$A,CS!$A:$AK,18,FALSE),"")</f>
        <v/>
      </c>
      <c r="K495" s="85">
        <f>IFERROR(VLOOKUP($A:$A,CS!$A:$AK,19,FALSE),"")</f>
        <v/>
      </c>
      <c r="L495" s="85">
        <f>IFERROR(VLOOKUP($A:$A,CS!$A:$AK,20,FALSE),"")</f>
        <v/>
      </c>
      <c r="M495" s="85">
        <f>IFERROR(VLOOKUP($A:$A,CS!$A:$AK,22,FALSE),"")</f>
        <v/>
      </c>
      <c r="N495" s="85">
        <f>IFERROR(VLOOKUP($A:$A,CS!$A:$AK,19,FALSE),"")</f>
        <v/>
      </c>
      <c r="O495" s="85">
        <f>IFERROR(VLOOKUP($A:$A,CS!$A:$AK,23,FALSE),"")</f>
        <v/>
      </c>
      <c r="P495" s="85">
        <f>IFERROR(VLOOKUP($A:$A,CS!$A:$AK,24,FALSE),"")</f>
        <v/>
      </c>
      <c r="Q495" s="85">
        <f>IFERROR(VLOOKUP($A:$A,CS!$A:$AK,25,FALSE),"")</f>
        <v/>
      </c>
      <c r="R495" s="85">
        <f>IFERROR(VLOOKUP($A:$A,CS!$A:$AK,26,FALSE),"")</f>
        <v/>
      </c>
      <c r="S495" s="85">
        <f>IFERROR(VLOOKUP($A:$A,CS!$A:$AK,29,FALSE),"")</f>
        <v/>
      </c>
      <c r="T495" s="85">
        <f>IFERROR(VLOOKUP($A:$A,CS!$A:$AK,33,FALSE),"")</f>
        <v/>
      </c>
      <c r="U495" s="85">
        <f>IFERROR(VLOOKUP($A:$A,CS!$A:$AK,34,FALSE),"")</f>
        <v/>
      </c>
      <c r="V495" s="85">
        <f>IFERROR(VLOOKUP($A:$A,CS!$A:$AK,35,FALSE),"")</f>
        <v/>
      </c>
      <c r="W495" s="85">
        <f>IFERROR(VLOOKUP($A:$A,CS!$A:$AK,36,FALSE),"")</f>
        <v/>
      </c>
    </row>
    <row r="496" ht="16.5" customHeight="1">
      <c r="A496" s="158" t="n"/>
      <c r="B496" s="85">
        <f>IFERROR(VLOOKUP($A:$A,CS!$A:$AK,3,FALSE),"")</f>
        <v/>
      </c>
      <c r="C496" s="85">
        <f>IFERROR(VLOOKUP($A:$A,CS!$A:$AK,4,FALSE),"")</f>
        <v/>
      </c>
      <c r="D496" s="85">
        <f>IFERROR(VLOOKUP($A:$A,CS!$A:$AK,5,FALSE),"")</f>
        <v/>
      </c>
      <c r="E496" s="85">
        <f>IFERROR(VLOOKUP($A:$A,CS!$A:$AK,7,FALSE),"")</f>
        <v/>
      </c>
      <c r="F496" s="85">
        <f>IFERROR(VLOOKUP($A:$A,CS!$A:$AK,8,FALSE),"")</f>
        <v/>
      </c>
      <c r="G496" s="85">
        <f>IFERROR(VLOOKUP($A:$A,CS!$A:$AK,10,FALSE),"")</f>
        <v/>
      </c>
      <c r="H496" s="85">
        <f>IFERROR(VLOOKUP($A:$A,CS!$A:$AK,14,FALSE),"")</f>
        <v/>
      </c>
      <c r="I496" s="85">
        <f>IFERROR(VLOOKUP($A:$A,CS!$A:$AK,15,FALSE),"")</f>
        <v/>
      </c>
      <c r="J496" s="85">
        <f>IFERROR(VLOOKUP($A:$A,CS!$A:$AK,18,FALSE),"")</f>
        <v/>
      </c>
      <c r="K496" s="85">
        <f>IFERROR(VLOOKUP($A:$A,CS!$A:$AK,19,FALSE),"")</f>
        <v/>
      </c>
      <c r="L496" s="85">
        <f>IFERROR(VLOOKUP($A:$A,CS!$A:$AK,20,FALSE),"")</f>
        <v/>
      </c>
      <c r="M496" s="85">
        <f>IFERROR(VLOOKUP($A:$A,CS!$A:$AK,22,FALSE),"")</f>
        <v/>
      </c>
      <c r="N496" s="85">
        <f>IFERROR(VLOOKUP($A:$A,CS!$A:$AK,19,FALSE),"")</f>
        <v/>
      </c>
      <c r="O496" s="85">
        <f>IFERROR(VLOOKUP($A:$A,CS!$A:$AK,23,FALSE),"")</f>
        <v/>
      </c>
      <c r="P496" s="85">
        <f>IFERROR(VLOOKUP($A:$A,CS!$A:$AK,24,FALSE),"")</f>
        <v/>
      </c>
      <c r="Q496" s="85">
        <f>IFERROR(VLOOKUP($A:$A,CS!$A:$AK,25,FALSE),"")</f>
        <v/>
      </c>
      <c r="R496" s="85">
        <f>IFERROR(VLOOKUP($A:$A,CS!$A:$AK,26,FALSE),"")</f>
        <v/>
      </c>
      <c r="S496" s="85">
        <f>IFERROR(VLOOKUP($A:$A,CS!$A:$AK,29,FALSE),"")</f>
        <v/>
      </c>
      <c r="T496" s="85">
        <f>IFERROR(VLOOKUP($A:$A,CS!$A:$AK,33,FALSE),"")</f>
        <v/>
      </c>
      <c r="U496" s="85">
        <f>IFERROR(VLOOKUP($A:$A,CS!$A:$AK,34,FALSE),"")</f>
        <v/>
      </c>
      <c r="V496" s="85">
        <f>IFERROR(VLOOKUP($A:$A,CS!$A:$AK,35,FALSE),"")</f>
        <v/>
      </c>
      <c r="W496" s="85">
        <f>IFERROR(VLOOKUP($A:$A,CS!$A:$AK,36,FALSE),"")</f>
        <v/>
      </c>
    </row>
    <row r="497" ht="16.5" customHeight="1">
      <c r="A497" s="158" t="n"/>
      <c r="B497" s="85">
        <f>IFERROR(VLOOKUP($A:$A,CS!$A:$AK,3,FALSE),"")</f>
        <v/>
      </c>
      <c r="C497" s="85">
        <f>IFERROR(VLOOKUP($A:$A,CS!$A:$AK,4,FALSE),"")</f>
        <v/>
      </c>
      <c r="D497" s="85">
        <f>IFERROR(VLOOKUP($A:$A,CS!$A:$AK,5,FALSE),"")</f>
        <v/>
      </c>
      <c r="E497" s="85">
        <f>IFERROR(VLOOKUP($A:$A,CS!$A:$AK,7,FALSE),"")</f>
        <v/>
      </c>
      <c r="F497" s="85">
        <f>IFERROR(VLOOKUP($A:$A,CS!$A:$AK,8,FALSE),"")</f>
        <v/>
      </c>
      <c r="G497" s="85">
        <f>IFERROR(VLOOKUP($A:$A,CS!$A:$AK,10,FALSE),"")</f>
        <v/>
      </c>
      <c r="H497" s="85">
        <f>IFERROR(VLOOKUP($A:$A,CS!$A:$AK,14,FALSE),"")</f>
        <v/>
      </c>
      <c r="I497" s="85">
        <f>IFERROR(VLOOKUP($A:$A,CS!$A:$AK,15,FALSE),"")</f>
        <v/>
      </c>
      <c r="J497" s="85">
        <f>IFERROR(VLOOKUP($A:$A,CS!$A:$AK,18,FALSE),"")</f>
        <v/>
      </c>
      <c r="K497" s="85">
        <f>IFERROR(VLOOKUP($A:$A,CS!$A:$AK,19,FALSE),"")</f>
        <v/>
      </c>
      <c r="L497" s="85">
        <f>IFERROR(VLOOKUP($A:$A,CS!$A:$AK,20,FALSE),"")</f>
        <v/>
      </c>
      <c r="M497" s="85">
        <f>IFERROR(VLOOKUP($A:$A,CS!$A:$AK,22,FALSE),"")</f>
        <v/>
      </c>
      <c r="N497" s="85">
        <f>IFERROR(VLOOKUP($A:$A,CS!$A:$AK,19,FALSE),"")</f>
        <v/>
      </c>
      <c r="O497" s="85">
        <f>IFERROR(VLOOKUP($A:$A,CS!$A:$AK,23,FALSE),"")</f>
        <v/>
      </c>
      <c r="P497" s="85">
        <f>IFERROR(VLOOKUP($A:$A,CS!$A:$AK,24,FALSE),"")</f>
        <v/>
      </c>
      <c r="Q497" s="85">
        <f>IFERROR(VLOOKUP($A:$A,CS!$A:$AK,25,FALSE),"")</f>
        <v/>
      </c>
      <c r="R497" s="85">
        <f>IFERROR(VLOOKUP($A:$A,CS!$A:$AK,26,FALSE),"")</f>
        <v/>
      </c>
      <c r="S497" s="85">
        <f>IFERROR(VLOOKUP($A:$A,CS!$A:$AK,29,FALSE),"")</f>
        <v/>
      </c>
      <c r="T497" s="85">
        <f>IFERROR(VLOOKUP($A:$A,CS!$A:$AK,33,FALSE),"")</f>
        <v/>
      </c>
      <c r="U497" s="85">
        <f>IFERROR(VLOOKUP($A:$A,CS!$A:$AK,34,FALSE),"")</f>
        <v/>
      </c>
      <c r="V497" s="85">
        <f>IFERROR(VLOOKUP($A:$A,CS!$A:$AK,35,FALSE),"")</f>
        <v/>
      </c>
      <c r="W497" s="85">
        <f>IFERROR(VLOOKUP($A:$A,CS!$A:$AK,36,FALSE),"")</f>
        <v/>
      </c>
    </row>
    <row r="498" ht="16.5" customHeight="1">
      <c r="A498" s="158" t="n"/>
      <c r="B498" s="85">
        <f>IFERROR(VLOOKUP($A:$A,CS!$A:$AK,3,FALSE),"")</f>
        <v/>
      </c>
      <c r="C498" s="85">
        <f>IFERROR(VLOOKUP($A:$A,CS!$A:$AK,4,FALSE),"")</f>
        <v/>
      </c>
      <c r="D498" s="85">
        <f>IFERROR(VLOOKUP($A:$A,CS!$A:$AK,5,FALSE),"")</f>
        <v/>
      </c>
      <c r="E498" s="85">
        <f>IFERROR(VLOOKUP($A:$A,CS!$A:$AK,7,FALSE),"")</f>
        <v/>
      </c>
      <c r="F498" s="85">
        <f>IFERROR(VLOOKUP($A:$A,CS!$A:$AK,8,FALSE),"")</f>
        <v/>
      </c>
      <c r="G498" s="85">
        <f>IFERROR(VLOOKUP($A:$A,CS!$A:$AK,10,FALSE),"")</f>
        <v/>
      </c>
      <c r="H498" s="85">
        <f>IFERROR(VLOOKUP($A:$A,CS!$A:$AK,14,FALSE),"")</f>
        <v/>
      </c>
      <c r="I498" s="85">
        <f>IFERROR(VLOOKUP($A:$A,CS!$A:$AK,15,FALSE),"")</f>
        <v/>
      </c>
      <c r="J498" s="85">
        <f>IFERROR(VLOOKUP($A:$A,CS!$A:$AK,18,FALSE),"")</f>
        <v/>
      </c>
      <c r="K498" s="85">
        <f>IFERROR(VLOOKUP($A:$A,CS!$A:$AK,19,FALSE),"")</f>
        <v/>
      </c>
      <c r="L498" s="85">
        <f>IFERROR(VLOOKUP($A:$A,CS!$A:$AK,20,FALSE),"")</f>
        <v/>
      </c>
      <c r="M498" s="85">
        <f>IFERROR(VLOOKUP($A:$A,CS!$A:$AK,22,FALSE),"")</f>
        <v/>
      </c>
      <c r="N498" s="85">
        <f>IFERROR(VLOOKUP($A:$A,CS!$A:$AK,19,FALSE),"")</f>
        <v/>
      </c>
      <c r="O498" s="85">
        <f>IFERROR(VLOOKUP($A:$A,CS!$A:$AK,23,FALSE),"")</f>
        <v/>
      </c>
      <c r="P498" s="85">
        <f>IFERROR(VLOOKUP($A:$A,CS!$A:$AK,24,FALSE),"")</f>
        <v/>
      </c>
      <c r="Q498" s="85">
        <f>IFERROR(VLOOKUP($A:$A,CS!$A:$AK,25,FALSE),"")</f>
        <v/>
      </c>
      <c r="R498" s="85">
        <f>IFERROR(VLOOKUP($A:$A,CS!$A:$AK,26,FALSE),"")</f>
        <v/>
      </c>
      <c r="S498" s="85">
        <f>IFERROR(VLOOKUP($A:$A,CS!$A:$AK,29,FALSE),"")</f>
        <v/>
      </c>
      <c r="T498" s="85">
        <f>IFERROR(VLOOKUP($A:$A,CS!$A:$AK,33,FALSE),"")</f>
        <v/>
      </c>
      <c r="U498" s="85">
        <f>IFERROR(VLOOKUP($A:$A,CS!$A:$AK,34,FALSE),"")</f>
        <v/>
      </c>
      <c r="V498" s="85">
        <f>IFERROR(VLOOKUP($A:$A,CS!$A:$AK,35,FALSE),"")</f>
        <v/>
      </c>
      <c r="W498" s="85">
        <f>IFERROR(VLOOKUP($A:$A,CS!$A:$AK,36,FALSE),"")</f>
        <v/>
      </c>
    </row>
    <row r="499" ht="16.5" customHeight="1">
      <c r="A499" s="158" t="n"/>
      <c r="B499" s="85">
        <f>IFERROR(VLOOKUP($A:$A,CS!$A:$AK,3,FALSE),"")</f>
        <v/>
      </c>
      <c r="C499" s="85">
        <f>IFERROR(VLOOKUP($A:$A,CS!$A:$AK,4,FALSE),"")</f>
        <v/>
      </c>
      <c r="D499" s="85">
        <f>IFERROR(VLOOKUP($A:$A,CS!$A:$AK,5,FALSE),"")</f>
        <v/>
      </c>
      <c r="E499" s="85">
        <f>IFERROR(VLOOKUP($A:$A,CS!$A:$AK,7,FALSE),"")</f>
        <v/>
      </c>
      <c r="F499" s="85">
        <f>IFERROR(VLOOKUP($A:$A,CS!$A:$AK,8,FALSE),"")</f>
        <v/>
      </c>
      <c r="G499" s="85">
        <f>IFERROR(VLOOKUP($A:$A,CS!$A:$AK,10,FALSE),"")</f>
        <v/>
      </c>
      <c r="H499" s="85">
        <f>IFERROR(VLOOKUP($A:$A,CS!$A:$AK,14,FALSE),"")</f>
        <v/>
      </c>
      <c r="I499" s="85">
        <f>IFERROR(VLOOKUP($A:$A,CS!$A:$AK,15,FALSE),"")</f>
        <v/>
      </c>
      <c r="J499" s="85">
        <f>IFERROR(VLOOKUP($A:$A,CS!$A:$AK,18,FALSE),"")</f>
        <v/>
      </c>
      <c r="K499" s="85">
        <f>IFERROR(VLOOKUP($A:$A,CS!$A:$AK,19,FALSE),"")</f>
        <v/>
      </c>
      <c r="L499" s="85">
        <f>IFERROR(VLOOKUP($A:$A,CS!$A:$AK,20,FALSE),"")</f>
        <v/>
      </c>
      <c r="M499" s="85">
        <f>IFERROR(VLOOKUP($A:$A,CS!$A:$AK,22,FALSE),"")</f>
        <v/>
      </c>
      <c r="N499" s="85">
        <f>IFERROR(VLOOKUP($A:$A,CS!$A:$AK,19,FALSE),"")</f>
        <v/>
      </c>
      <c r="O499" s="85">
        <f>IFERROR(VLOOKUP($A:$A,CS!$A:$AK,23,FALSE),"")</f>
        <v/>
      </c>
      <c r="P499" s="85">
        <f>IFERROR(VLOOKUP($A:$A,CS!$A:$AK,24,FALSE),"")</f>
        <v/>
      </c>
      <c r="Q499" s="85">
        <f>IFERROR(VLOOKUP($A:$A,CS!$A:$AK,25,FALSE),"")</f>
        <v/>
      </c>
      <c r="R499" s="85">
        <f>IFERROR(VLOOKUP($A:$A,CS!$A:$AK,26,FALSE),"")</f>
        <v/>
      </c>
      <c r="S499" s="85">
        <f>IFERROR(VLOOKUP($A:$A,CS!$A:$AK,29,FALSE),"")</f>
        <v/>
      </c>
      <c r="T499" s="85">
        <f>IFERROR(VLOOKUP($A:$A,CS!$A:$AK,33,FALSE),"")</f>
        <v/>
      </c>
      <c r="U499" s="85">
        <f>IFERROR(VLOOKUP($A:$A,CS!$A:$AK,34,FALSE),"")</f>
        <v/>
      </c>
      <c r="V499" s="85">
        <f>IFERROR(VLOOKUP($A:$A,CS!$A:$AK,35,FALSE),"")</f>
        <v/>
      </c>
      <c r="W499" s="85">
        <f>IFERROR(VLOOKUP($A:$A,CS!$A:$AK,36,FALSE),"")</f>
        <v/>
      </c>
    </row>
    <row r="500" ht="16.5" customHeight="1">
      <c r="A500" s="158" t="n"/>
      <c r="B500" s="85">
        <f>IFERROR(VLOOKUP($A:$A,CS!$A:$AK,3,FALSE),"")</f>
        <v/>
      </c>
      <c r="C500" s="85">
        <f>IFERROR(VLOOKUP($A:$A,CS!$A:$AK,4,FALSE),"")</f>
        <v/>
      </c>
      <c r="D500" s="85">
        <f>IFERROR(VLOOKUP($A:$A,CS!$A:$AK,5,FALSE),"")</f>
        <v/>
      </c>
      <c r="E500" s="85">
        <f>IFERROR(VLOOKUP($A:$A,CS!$A:$AK,7,FALSE),"")</f>
        <v/>
      </c>
      <c r="F500" s="85">
        <f>IFERROR(VLOOKUP($A:$A,CS!$A:$AK,8,FALSE),"")</f>
        <v/>
      </c>
      <c r="G500" s="85">
        <f>IFERROR(VLOOKUP($A:$A,CS!$A:$AK,10,FALSE),"")</f>
        <v/>
      </c>
      <c r="H500" s="85">
        <f>IFERROR(VLOOKUP($A:$A,CS!$A:$AK,14,FALSE),"")</f>
        <v/>
      </c>
      <c r="I500" s="85">
        <f>IFERROR(VLOOKUP($A:$A,CS!$A:$AK,15,FALSE),"")</f>
        <v/>
      </c>
      <c r="J500" s="85">
        <f>IFERROR(VLOOKUP($A:$A,CS!$A:$AK,18,FALSE),"")</f>
        <v/>
      </c>
      <c r="K500" s="85">
        <f>IFERROR(VLOOKUP($A:$A,CS!$A:$AK,19,FALSE),"")</f>
        <v/>
      </c>
      <c r="L500" s="85">
        <f>IFERROR(VLOOKUP($A:$A,CS!$A:$AK,20,FALSE),"")</f>
        <v/>
      </c>
      <c r="M500" s="85">
        <f>IFERROR(VLOOKUP($A:$A,CS!$A:$AK,22,FALSE),"")</f>
        <v/>
      </c>
      <c r="N500" s="85">
        <f>IFERROR(VLOOKUP($A:$A,CS!$A:$AK,19,FALSE),"")</f>
        <v/>
      </c>
      <c r="O500" s="85">
        <f>IFERROR(VLOOKUP($A:$A,CS!$A:$AK,23,FALSE),"")</f>
        <v/>
      </c>
      <c r="P500" s="85">
        <f>IFERROR(VLOOKUP($A:$A,CS!$A:$AK,24,FALSE),"")</f>
        <v/>
      </c>
      <c r="Q500" s="85">
        <f>IFERROR(VLOOKUP($A:$A,CS!$A:$AK,25,FALSE),"")</f>
        <v/>
      </c>
      <c r="R500" s="85">
        <f>IFERROR(VLOOKUP($A:$A,CS!$A:$AK,26,FALSE),"")</f>
        <v/>
      </c>
      <c r="S500" s="85">
        <f>IFERROR(VLOOKUP($A:$A,CS!$A:$AK,29,FALSE),"")</f>
        <v/>
      </c>
      <c r="T500" s="85">
        <f>IFERROR(VLOOKUP($A:$A,CS!$A:$AK,33,FALSE),"")</f>
        <v/>
      </c>
      <c r="U500" s="85">
        <f>IFERROR(VLOOKUP($A:$A,CS!$A:$AK,34,FALSE),"")</f>
        <v/>
      </c>
      <c r="V500" s="85">
        <f>IFERROR(VLOOKUP($A:$A,CS!$A:$AK,35,FALSE),"")</f>
        <v/>
      </c>
      <c r="W500" s="85">
        <f>IFERROR(VLOOKUP($A:$A,CS!$A:$AK,36,FALSE),"")</f>
        <v/>
      </c>
    </row>
    <row r="501" ht="16.5" customHeight="1">
      <c r="A501" s="158" t="n"/>
      <c r="B501" s="85">
        <f>IFERROR(VLOOKUP($A:$A,CS!$A:$AK,3,FALSE),"")</f>
        <v/>
      </c>
      <c r="C501" s="85">
        <f>IFERROR(VLOOKUP($A:$A,CS!$A:$AK,4,FALSE),"")</f>
        <v/>
      </c>
      <c r="D501" s="85">
        <f>IFERROR(VLOOKUP($A:$A,CS!$A:$AK,5,FALSE),"")</f>
        <v/>
      </c>
      <c r="E501" s="85">
        <f>IFERROR(VLOOKUP($A:$A,CS!$A:$AK,7,FALSE),"")</f>
        <v/>
      </c>
      <c r="F501" s="85">
        <f>IFERROR(VLOOKUP($A:$A,CS!$A:$AK,8,FALSE),"")</f>
        <v/>
      </c>
      <c r="G501" s="85">
        <f>IFERROR(VLOOKUP($A:$A,CS!$A:$AK,10,FALSE),"")</f>
        <v/>
      </c>
      <c r="H501" s="85">
        <f>IFERROR(VLOOKUP($A:$A,CS!$A:$AK,14,FALSE),"")</f>
        <v/>
      </c>
      <c r="I501" s="85">
        <f>IFERROR(VLOOKUP($A:$A,CS!$A:$AK,15,FALSE),"")</f>
        <v/>
      </c>
      <c r="J501" s="85">
        <f>IFERROR(VLOOKUP($A:$A,CS!$A:$AK,18,FALSE),"")</f>
        <v/>
      </c>
      <c r="K501" s="85">
        <f>IFERROR(VLOOKUP($A:$A,CS!$A:$AK,19,FALSE),"")</f>
        <v/>
      </c>
      <c r="L501" s="85">
        <f>IFERROR(VLOOKUP($A:$A,CS!$A:$AK,20,FALSE),"")</f>
        <v/>
      </c>
      <c r="M501" s="85">
        <f>IFERROR(VLOOKUP($A:$A,CS!$A:$AK,22,FALSE),"")</f>
        <v/>
      </c>
      <c r="N501" s="85">
        <f>IFERROR(VLOOKUP($A:$A,CS!$A:$AK,19,FALSE),"")</f>
        <v/>
      </c>
      <c r="O501" s="85">
        <f>IFERROR(VLOOKUP($A:$A,CS!$A:$AK,23,FALSE),"")</f>
        <v/>
      </c>
      <c r="P501" s="85">
        <f>IFERROR(VLOOKUP($A:$A,CS!$A:$AK,24,FALSE),"")</f>
        <v/>
      </c>
      <c r="Q501" s="85">
        <f>IFERROR(VLOOKUP($A:$A,CS!$A:$AK,25,FALSE),"")</f>
        <v/>
      </c>
      <c r="R501" s="85">
        <f>IFERROR(VLOOKUP($A:$A,CS!$A:$AK,26,FALSE),"")</f>
        <v/>
      </c>
      <c r="S501" s="85">
        <f>IFERROR(VLOOKUP($A:$A,CS!$A:$AK,29,FALSE),"")</f>
        <v/>
      </c>
      <c r="T501" s="85">
        <f>IFERROR(VLOOKUP($A:$A,CS!$A:$AK,33,FALSE),"")</f>
        <v/>
      </c>
      <c r="U501" s="85">
        <f>IFERROR(VLOOKUP($A:$A,CS!$A:$AK,34,FALSE),"")</f>
        <v/>
      </c>
      <c r="V501" s="85">
        <f>IFERROR(VLOOKUP($A:$A,CS!$A:$AK,35,FALSE),"")</f>
        <v/>
      </c>
      <c r="W501" s="85">
        <f>IFERROR(VLOOKUP($A:$A,CS!$A:$AK,36,FALSE),"")</f>
        <v/>
      </c>
    </row>
    <row r="502" ht="16.5" customHeight="1">
      <c r="A502" s="158" t="n"/>
      <c r="B502" s="85">
        <f>IFERROR(VLOOKUP($A:$A,CS!$A:$AK,3,FALSE),"")</f>
        <v/>
      </c>
      <c r="C502" s="85">
        <f>IFERROR(VLOOKUP($A:$A,CS!$A:$AK,4,FALSE),"")</f>
        <v/>
      </c>
      <c r="D502" s="85">
        <f>IFERROR(VLOOKUP($A:$A,CS!$A:$AK,5,FALSE),"")</f>
        <v/>
      </c>
      <c r="E502" s="85">
        <f>IFERROR(VLOOKUP($A:$A,CS!$A:$AK,7,FALSE),"")</f>
        <v/>
      </c>
      <c r="F502" s="85">
        <f>IFERROR(VLOOKUP($A:$A,CS!$A:$AK,8,FALSE),"")</f>
        <v/>
      </c>
      <c r="G502" s="85">
        <f>IFERROR(VLOOKUP($A:$A,CS!$A:$AK,10,FALSE),"")</f>
        <v/>
      </c>
      <c r="H502" s="85">
        <f>IFERROR(VLOOKUP($A:$A,CS!$A:$AK,14,FALSE),"")</f>
        <v/>
      </c>
      <c r="I502" s="85">
        <f>IFERROR(VLOOKUP($A:$A,CS!$A:$AK,15,FALSE),"")</f>
        <v/>
      </c>
      <c r="J502" s="85">
        <f>IFERROR(VLOOKUP($A:$A,CS!$A:$AK,18,FALSE),"")</f>
        <v/>
      </c>
      <c r="K502" s="85">
        <f>IFERROR(VLOOKUP($A:$A,CS!$A:$AK,19,FALSE),"")</f>
        <v/>
      </c>
      <c r="L502" s="85">
        <f>IFERROR(VLOOKUP($A:$A,CS!$A:$AK,20,FALSE),"")</f>
        <v/>
      </c>
      <c r="M502" s="85">
        <f>IFERROR(VLOOKUP($A:$A,CS!$A:$AK,22,FALSE),"")</f>
        <v/>
      </c>
      <c r="N502" s="85">
        <f>IFERROR(VLOOKUP($A:$A,CS!$A:$AK,19,FALSE),"")</f>
        <v/>
      </c>
      <c r="O502" s="85">
        <f>IFERROR(VLOOKUP($A:$A,CS!$A:$AK,23,FALSE),"")</f>
        <v/>
      </c>
      <c r="P502" s="85">
        <f>IFERROR(VLOOKUP($A:$A,CS!$A:$AK,24,FALSE),"")</f>
        <v/>
      </c>
      <c r="Q502" s="85">
        <f>IFERROR(VLOOKUP($A:$A,CS!$A:$AK,25,FALSE),"")</f>
        <v/>
      </c>
      <c r="R502" s="85">
        <f>IFERROR(VLOOKUP($A:$A,CS!$A:$AK,26,FALSE),"")</f>
        <v/>
      </c>
      <c r="S502" s="85">
        <f>IFERROR(VLOOKUP($A:$A,CS!$A:$AK,29,FALSE),"")</f>
        <v/>
      </c>
      <c r="T502" s="85">
        <f>IFERROR(VLOOKUP($A:$A,CS!$A:$AK,33,FALSE),"")</f>
        <v/>
      </c>
      <c r="U502" s="85">
        <f>IFERROR(VLOOKUP($A:$A,CS!$A:$AK,34,FALSE),"")</f>
        <v/>
      </c>
      <c r="V502" s="85">
        <f>IFERROR(VLOOKUP($A:$A,CS!$A:$AK,35,FALSE),"")</f>
        <v/>
      </c>
      <c r="W502" s="85">
        <f>IFERROR(VLOOKUP($A:$A,CS!$A:$AK,36,FALSE),"")</f>
        <v/>
      </c>
    </row>
    <row r="503" ht="16.5" customHeight="1">
      <c r="A503" s="158" t="n"/>
      <c r="B503" s="85">
        <f>IFERROR(VLOOKUP($A:$A,CS!$A:$AK,3,FALSE),"")</f>
        <v/>
      </c>
      <c r="C503" s="85">
        <f>IFERROR(VLOOKUP($A:$A,CS!$A:$AK,4,FALSE),"")</f>
        <v/>
      </c>
      <c r="D503" s="85">
        <f>IFERROR(VLOOKUP($A:$A,CS!$A:$AK,5,FALSE),"")</f>
        <v/>
      </c>
      <c r="E503" s="85">
        <f>IFERROR(VLOOKUP($A:$A,CS!$A:$AK,7,FALSE),"")</f>
        <v/>
      </c>
      <c r="F503" s="85">
        <f>IFERROR(VLOOKUP($A:$A,CS!$A:$AK,8,FALSE),"")</f>
        <v/>
      </c>
      <c r="G503" s="85">
        <f>IFERROR(VLOOKUP($A:$A,CS!$A:$AK,10,FALSE),"")</f>
        <v/>
      </c>
      <c r="H503" s="85">
        <f>IFERROR(VLOOKUP($A:$A,CS!$A:$AK,14,FALSE),"")</f>
        <v/>
      </c>
      <c r="I503" s="85">
        <f>IFERROR(VLOOKUP($A:$A,CS!$A:$AK,15,FALSE),"")</f>
        <v/>
      </c>
      <c r="J503" s="85">
        <f>IFERROR(VLOOKUP($A:$A,CS!$A:$AK,18,FALSE),"")</f>
        <v/>
      </c>
      <c r="K503" s="85">
        <f>IFERROR(VLOOKUP($A:$A,CS!$A:$AK,19,FALSE),"")</f>
        <v/>
      </c>
      <c r="L503" s="85">
        <f>IFERROR(VLOOKUP($A:$A,CS!$A:$AK,20,FALSE),"")</f>
        <v/>
      </c>
      <c r="M503" s="85">
        <f>IFERROR(VLOOKUP($A:$A,CS!$A:$AK,22,FALSE),"")</f>
        <v/>
      </c>
      <c r="N503" s="85">
        <f>IFERROR(VLOOKUP($A:$A,CS!$A:$AK,19,FALSE),"")</f>
        <v/>
      </c>
      <c r="O503" s="85">
        <f>IFERROR(VLOOKUP($A:$A,CS!$A:$AK,23,FALSE),"")</f>
        <v/>
      </c>
      <c r="P503" s="85">
        <f>IFERROR(VLOOKUP($A:$A,CS!$A:$AK,24,FALSE),"")</f>
        <v/>
      </c>
      <c r="Q503" s="85">
        <f>IFERROR(VLOOKUP($A:$A,CS!$A:$AK,25,FALSE),"")</f>
        <v/>
      </c>
      <c r="R503" s="85">
        <f>IFERROR(VLOOKUP($A:$A,CS!$A:$AK,26,FALSE),"")</f>
        <v/>
      </c>
      <c r="S503" s="85">
        <f>IFERROR(VLOOKUP($A:$A,CS!$A:$AK,29,FALSE),"")</f>
        <v/>
      </c>
      <c r="T503" s="85">
        <f>IFERROR(VLOOKUP($A:$A,CS!$A:$AK,33,FALSE),"")</f>
        <v/>
      </c>
      <c r="U503" s="85">
        <f>IFERROR(VLOOKUP($A:$A,CS!$A:$AK,34,FALSE),"")</f>
        <v/>
      </c>
      <c r="V503" s="85">
        <f>IFERROR(VLOOKUP($A:$A,CS!$A:$AK,35,FALSE),"")</f>
        <v/>
      </c>
      <c r="W503" s="85">
        <f>IFERROR(VLOOKUP($A:$A,CS!$A:$AK,36,FALSE),"")</f>
        <v/>
      </c>
    </row>
    <row r="504" ht="16.5" customHeight="1">
      <c r="A504" s="158" t="n"/>
      <c r="B504" s="85">
        <f>IFERROR(VLOOKUP($A:$A,CS!$A:$AK,3,FALSE),"")</f>
        <v/>
      </c>
      <c r="C504" s="85">
        <f>IFERROR(VLOOKUP($A:$A,CS!$A:$AK,4,FALSE),"")</f>
        <v/>
      </c>
      <c r="D504" s="85">
        <f>IFERROR(VLOOKUP($A:$A,CS!$A:$AK,5,FALSE),"")</f>
        <v/>
      </c>
      <c r="E504" s="85">
        <f>IFERROR(VLOOKUP($A:$A,CS!$A:$AK,7,FALSE),"")</f>
        <v/>
      </c>
      <c r="F504" s="85">
        <f>IFERROR(VLOOKUP($A:$A,CS!$A:$AK,8,FALSE),"")</f>
        <v/>
      </c>
      <c r="G504" s="85">
        <f>IFERROR(VLOOKUP($A:$A,CS!$A:$AK,10,FALSE),"")</f>
        <v/>
      </c>
      <c r="H504" s="85">
        <f>IFERROR(VLOOKUP($A:$A,CS!$A:$AK,14,FALSE),"")</f>
        <v/>
      </c>
      <c r="I504" s="85">
        <f>IFERROR(VLOOKUP($A:$A,CS!$A:$AK,15,FALSE),"")</f>
        <v/>
      </c>
      <c r="J504" s="85">
        <f>IFERROR(VLOOKUP($A:$A,CS!$A:$AK,18,FALSE),"")</f>
        <v/>
      </c>
      <c r="K504" s="85">
        <f>IFERROR(VLOOKUP($A:$A,CS!$A:$AK,19,FALSE),"")</f>
        <v/>
      </c>
      <c r="L504" s="85">
        <f>IFERROR(VLOOKUP($A:$A,CS!$A:$AK,20,FALSE),"")</f>
        <v/>
      </c>
      <c r="M504" s="85">
        <f>IFERROR(VLOOKUP($A:$A,CS!$A:$AK,22,FALSE),"")</f>
        <v/>
      </c>
      <c r="N504" s="85">
        <f>IFERROR(VLOOKUP($A:$A,CS!$A:$AK,19,FALSE),"")</f>
        <v/>
      </c>
      <c r="O504" s="85">
        <f>IFERROR(VLOOKUP($A:$A,CS!$A:$AK,23,FALSE),"")</f>
        <v/>
      </c>
      <c r="P504" s="85">
        <f>IFERROR(VLOOKUP($A:$A,CS!$A:$AK,24,FALSE),"")</f>
        <v/>
      </c>
      <c r="Q504" s="85">
        <f>IFERROR(VLOOKUP($A:$A,CS!$A:$AK,25,FALSE),"")</f>
        <v/>
      </c>
      <c r="R504" s="85">
        <f>IFERROR(VLOOKUP($A:$A,CS!$A:$AK,26,FALSE),"")</f>
        <v/>
      </c>
      <c r="S504" s="85">
        <f>IFERROR(VLOOKUP($A:$A,CS!$A:$AK,29,FALSE),"")</f>
        <v/>
      </c>
      <c r="T504" s="85">
        <f>IFERROR(VLOOKUP($A:$A,CS!$A:$AK,33,FALSE),"")</f>
        <v/>
      </c>
      <c r="U504" s="85">
        <f>IFERROR(VLOOKUP($A:$A,CS!$A:$AK,34,FALSE),"")</f>
        <v/>
      </c>
      <c r="V504" s="85">
        <f>IFERROR(VLOOKUP($A:$A,CS!$A:$AK,35,FALSE),"")</f>
        <v/>
      </c>
      <c r="W504" s="85">
        <f>IFERROR(VLOOKUP($A:$A,CS!$A:$AK,36,FALSE),"")</f>
        <v/>
      </c>
    </row>
    <row r="505" ht="16.5" customHeight="1">
      <c r="A505" s="158" t="n"/>
      <c r="B505" s="85">
        <f>IFERROR(VLOOKUP($A:$A,CS!$A:$AK,3,FALSE),"")</f>
        <v/>
      </c>
      <c r="C505" s="85">
        <f>IFERROR(VLOOKUP($A:$A,CS!$A:$AK,4,FALSE),"")</f>
        <v/>
      </c>
      <c r="D505" s="85">
        <f>IFERROR(VLOOKUP($A:$A,CS!$A:$AK,5,FALSE),"")</f>
        <v/>
      </c>
      <c r="E505" s="85">
        <f>IFERROR(VLOOKUP($A:$A,CS!$A:$AK,7,FALSE),"")</f>
        <v/>
      </c>
      <c r="F505" s="85">
        <f>IFERROR(VLOOKUP($A:$A,CS!$A:$AK,8,FALSE),"")</f>
        <v/>
      </c>
      <c r="G505" s="85">
        <f>IFERROR(VLOOKUP($A:$A,CS!$A:$AK,10,FALSE),"")</f>
        <v/>
      </c>
      <c r="H505" s="85">
        <f>IFERROR(VLOOKUP($A:$A,CS!$A:$AK,14,FALSE),"")</f>
        <v/>
      </c>
      <c r="I505" s="85">
        <f>IFERROR(VLOOKUP($A:$A,CS!$A:$AK,15,FALSE),"")</f>
        <v/>
      </c>
      <c r="J505" s="85">
        <f>IFERROR(VLOOKUP($A:$A,CS!$A:$AK,18,FALSE),"")</f>
        <v/>
      </c>
      <c r="K505" s="85">
        <f>IFERROR(VLOOKUP($A:$A,CS!$A:$AK,19,FALSE),"")</f>
        <v/>
      </c>
      <c r="L505" s="85">
        <f>IFERROR(VLOOKUP($A:$A,CS!$A:$AK,20,FALSE),"")</f>
        <v/>
      </c>
      <c r="M505" s="85">
        <f>IFERROR(VLOOKUP($A:$A,CS!$A:$AK,22,FALSE),"")</f>
        <v/>
      </c>
      <c r="N505" s="85">
        <f>IFERROR(VLOOKUP($A:$A,CS!$A:$AK,19,FALSE),"")</f>
        <v/>
      </c>
      <c r="O505" s="85">
        <f>IFERROR(VLOOKUP($A:$A,CS!$A:$AK,23,FALSE),"")</f>
        <v/>
      </c>
      <c r="P505" s="85">
        <f>IFERROR(VLOOKUP($A:$A,CS!$A:$AK,24,FALSE),"")</f>
        <v/>
      </c>
      <c r="Q505" s="85">
        <f>IFERROR(VLOOKUP($A:$A,CS!$A:$AK,25,FALSE),"")</f>
        <v/>
      </c>
      <c r="R505" s="85">
        <f>IFERROR(VLOOKUP($A:$A,CS!$A:$AK,26,FALSE),"")</f>
        <v/>
      </c>
      <c r="S505" s="85">
        <f>IFERROR(VLOOKUP($A:$A,CS!$A:$AK,29,FALSE),"")</f>
        <v/>
      </c>
      <c r="T505" s="85">
        <f>IFERROR(VLOOKUP($A:$A,CS!$A:$AK,33,FALSE),"")</f>
        <v/>
      </c>
      <c r="U505" s="85">
        <f>IFERROR(VLOOKUP($A:$A,CS!$A:$AK,34,FALSE),"")</f>
        <v/>
      </c>
      <c r="V505" s="85">
        <f>IFERROR(VLOOKUP($A:$A,CS!$A:$AK,35,FALSE),"")</f>
        <v/>
      </c>
      <c r="W505" s="85">
        <f>IFERROR(VLOOKUP($A:$A,CS!$A:$AK,36,FALSE),"")</f>
        <v/>
      </c>
    </row>
    <row r="506" ht="16.5" customHeight="1">
      <c r="A506" s="158" t="n"/>
      <c r="B506" s="85">
        <f>IFERROR(VLOOKUP($A:$A,CS!$A:$AK,3,FALSE),"")</f>
        <v/>
      </c>
      <c r="C506" s="85">
        <f>IFERROR(VLOOKUP($A:$A,CS!$A:$AK,4,FALSE),"")</f>
        <v/>
      </c>
      <c r="D506" s="85">
        <f>IFERROR(VLOOKUP($A:$A,CS!$A:$AK,5,FALSE),"")</f>
        <v/>
      </c>
      <c r="E506" s="85">
        <f>IFERROR(VLOOKUP($A:$A,CS!$A:$AK,7,FALSE),"")</f>
        <v/>
      </c>
      <c r="F506" s="85">
        <f>IFERROR(VLOOKUP($A:$A,CS!$A:$AK,8,FALSE),"")</f>
        <v/>
      </c>
      <c r="G506" s="85">
        <f>IFERROR(VLOOKUP($A:$A,CS!$A:$AK,10,FALSE),"")</f>
        <v/>
      </c>
      <c r="H506" s="85">
        <f>IFERROR(VLOOKUP($A:$A,CS!$A:$AK,14,FALSE),"")</f>
        <v/>
      </c>
      <c r="I506" s="85">
        <f>IFERROR(VLOOKUP($A:$A,CS!$A:$AK,15,FALSE),"")</f>
        <v/>
      </c>
      <c r="J506" s="85">
        <f>IFERROR(VLOOKUP($A:$A,CS!$A:$AK,18,FALSE),"")</f>
        <v/>
      </c>
      <c r="K506" s="85">
        <f>IFERROR(VLOOKUP($A:$A,CS!$A:$AK,19,FALSE),"")</f>
        <v/>
      </c>
      <c r="L506" s="85">
        <f>IFERROR(VLOOKUP($A:$A,CS!$A:$AK,20,FALSE),"")</f>
        <v/>
      </c>
      <c r="M506" s="85">
        <f>IFERROR(VLOOKUP($A:$A,CS!$A:$AK,22,FALSE),"")</f>
        <v/>
      </c>
      <c r="N506" s="85">
        <f>IFERROR(VLOOKUP($A:$A,CS!$A:$AK,19,FALSE),"")</f>
        <v/>
      </c>
      <c r="O506" s="85">
        <f>IFERROR(VLOOKUP($A:$A,CS!$A:$AK,23,FALSE),"")</f>
        <v/>
      </c>
      <c r="P506" s="85">
        <f>IFERROR(VLOOKUP($A:$A,CS!$A:$AK,24,FALSE),"")</f>
        <v/>
      </c>
      <c r="Q506" s="85">
        <f>IFERROR(VLOOKUP($A:$A,CS!$A:$AK,25,FALSE),"")</f>
        <v/>
      </c>
      <c r="R506" s="85">
        <f>IFERROR(VLOOKUP($A:$A,CS!$A:$AK,26,FALSE),"")</f>
        <v/>
      </c>
      <c r="S506" s="85">
        <f>IFERROR(VLOOKUP($A:$A,CS!$A:$AK,29,FALSE),"")</f>
        <v/>
      </c>
      <c r="T506" s="85">
        <f>IFERROR(VLOOKUP($A:$A,CS!$A:$AK,33,FALSE),"")</f>
        <v/>
      </c>
      <c r="U506" s="85">
        <f>IFERROR(VLOOKUP($A:$A,CS!$A:$AK,34,FALSE),"")</f>
        <v/>
      </c>
      <c r="V506" s="85">
        <f>IFERROR(VLOOKUP($A:$A,CS!$A:$AK,35,FALSE),"")</f>
        <v/>
      </c>
      <c r="W506" s="85">
        <f>IFERROR(VLOOKUP($A:$A,CS!$A:$AK,36,FALSE),"")</f>
        <v/>
      </c>
    </row>
    <row r="507" ht="16.5" customHeight="1">
      <c r="A507" s="158" t="n"/>
      <c r="B507" s="85">
        <f>IFERROR(VLOOKUP($A:$A,CS!$A:$AK,3,FALSE),"")</f>
        <v/>
      </c>
      <c r="C507" s="85">
        <f>IFERROR(VLOOKUP($A:$A,CS!$A:$AK,4,FALSE),"")</f>
        <v/>
      </c>
      <c r="D507" s="85">
        <f>IFERROR(VLOOKUP($A:$A,CS!$A:$AK,5,FALSE),"")</f>
        <v/>
      </c>
      <c r="E507" s="85">
        <f>IFERROR(VLOOKUP($A:$A,CS!$A:$AK,7,FALSE),"")</f>
        <v/>
      </c>
      <c r="F507" s="85">
        <f>IFERROR(VLOOKUP($A:$A,CS!$A:$AK,8,FALSE),"")</f>
        <v/>
      </c>
      <c r="G507" s="85">
        <f>IFERROR(VLOOKUP($A:$A,CS!$A:$AK,10,FALSE),"")</f>
        <v/>
      </c>
      <c r="H507" s="85">
        <f>IFERROR(VLOOKUP($A:$A,CS!$A:$AK,14,FALSE),"")</f>
        <v/>
      </c>
      <c r="I507" s="85">
        <f>IFERROR(VLOOKUP($A:$A,CS!$A:$AK,15,FALSE),"")</f>
        <v/>
      </c>
      <c r="J507" s="85">
        <f>IFERROR(VLOOKUP($A:$A,CS!$A:$AK,18,FALSE),"")</f>
        <v/>
      </c>
      <c r="K507" s="85">
        <f>IFERROR(VLOOKUP($A:$A,CS!$A:$AK,19,FALSE),"")</f>
        <v/>
      </c>
      <c r="L507" s="85">
        <f>IFERROR(VLOOKUP($A:$A,CS!$A:$AK,20,FALSE),"")</f>
        <v/>
      </c>
      <c r="M507" s="85">
        <f>IFERROR(VLOOKUP($A:$A,CS!$A:$AK,22,FALSE),"")</f>
        <v/>
      </c>
      <c r="N507" s="85">
        <f>IFERROR(VLOOKUP($A:$A,CS!$A:$AK,19,FALSE),"")</f>
        <v/>
      </c>
      <c r="O507" s="85">
        <f>IFERROR(VLOOKUP($A:$A,CS!$A:$AK,23,FALSE),"")</f>
        <v/>
      </c>
      <c r="P507" s="85">
        <f>IFERROR(VLOOKUP($A:$A,CS!$A:$AK,24,FALSE),"")</f>
        <v/>
      </c>
      <c r="Q507" s="85">
        <f>IFERROR(VLOOKUP($A:$A,CS!$A:$AK,25,FALSE),"")</f>
        <v/>
      </c>
      <c r="R507" s="85">
        <f>IFERROR(VLOOKUP($A:$A,CS!$A:$AK,26,FALSE),"")</f>
        <v/>
      </c>
      <c r="S507" s="85">
        <f>IFERROR(VLOOKUP($A:$A,CS!$A:$AK,29,FALSE),"")</f>
        <v/>
      </c>
      <c r="T507" s="85">
        <f>IFERROR(VLOOKUP($A:$A,CS!$A:$AK,33,FALSE),"")</f>
        <v/>
      </c>
      <c r="U507" s="85">
        <f>IFERROR(VLOOKUP($A:$A,CS!$A:$AK,34,FALSE),"")</f>
        <v/>
      </c>
      <c r="V507" s="85">
        <f>IFERROR(VLOOKUP($A:$A,CS!$A:$AK,35,FALSE),"")</f>
        <v/>
      </c>
      <c r="W507" s="85">
        <f>IFERROR(VLOOKUP($A:$A,CS!$A:$AK,36,FALSE),"")</f>
        <v/>
      </c>
    </row>
    <row r="508" ht="16.5" customHeight="1">
      <c r="A508" s="158" t="n"/>
      <c r="B508" s="85">
        <f>IFERROR(VLOOKUP($A:$A,CS!$A:$AK,3,FALSE),"")</f>
        <v/>
      </c>
      <c r="C508" s="85">
        <f>IFERROR(VLOOKUP($A:$A,CS!$A:$AK,4,FALSE),"")</f>
        <v/>
      </c>
      <c r="D508" s="85">
        <f>IFERROR(VLOOKUP($A:$A,CS!$A:$AK,5,FALSE),"")</f>
        <v/>
      </c>
      <c r="E508" s="85">
        <f>IFERROR(VLOOKUP($A:$A,CS!$A:$AK,7,FALSE),"")</f>
        <v/>
      </c>
      <c r="F508" s="85">
        <f>IFERROR(VLOOKUP($A:$A,CS!$A:$AK,8,FALSE),"")</f>
        <v/>
      </c>
      <c r="G508" s="85">
        <f>IFERROR(VLOOKUP($A:$A,CS!$A:$AK,10,FALSE),"")</f>
        <v/>
      </c>
      <c r="H508" s="85">
        <f>IFERROR(VLOOKUP($A:$A,CS!$A:$AK,14,FALSE),"")</f>
        <v/>
      </c>
      <c r="I508" s="85">
        <f>IFERROR(VLOOKUP($A:$A,CS!$A:$AK,15,FALSE),"")</f>
        <v/>
      </c>
      <c r="J508" s="85">
        <f>IFERROR(VLOOKUP($A:$A,CS!$A:$AK,18,FALSE),"")</f>
        <v/>
      </c>
      <c r="K508" s="85">
        <f>IFERROR(VLOOKUP($A:$A,CS!$A:$AK,19,FALSE),"")</f>
        <v/>
      </c>
      <c r="L508" s="85">
        <f>IFERROR(VLOOKUP($A:$A,CS!$A:$AK,20,FALSE),"")</f>
        <v/>
      </c>
      <c r="M508" s="85">
        <f>IFERROR(VLOOKUP($A:$A,CS!$A:$AK,22,FALSE),"")</f>
        <v/>
      </c>
      <c r="N508" s="85">
        <f>IFERROR(VLOOKUP($A:$A,CS!$A:$AK,19,FALSE),"")</f>
        <v/>
      </c>
      <c r="O508" s="85">
        <f>IFERROR(VLOOKUP($A:$A,CS!$A:$AK,23,FALSE),"")</f>
        <v/>
      </c>
      <c r="P508" s="85">
        <f>IFERROR(VLOOKUP($A:$A,CS!$A:$AK,24,FALSE),"")</f>
        <v/>
      </c>
      <c r="Q508" s="85">
        <f>IFERROR(VLOOKUP($A:$A,CS!$A:$AK,25,FALSE),"")</f>
        <v/>
      </c>
      <c r="R508" s="85">
        <f>IFERROR(VLOOKUP($A:$A,CS!$A:$AK,26,FALSE),"")</f>
        <v/>
      </c>
      <c r="S508" s="85">
        <f>IFERROR(VLOOKUP($A:$A,CS!$A:$AK,29,FALSE),"")</f>
        <v/>
      </c>
      <c r="T508" s="85">
        <f>IFERROR(VLOOKUP($A:$A,CS!$A:$AK,33,FALSE),"")</f>
        <v/>
      </c>
      <c r="U508" s="85">
        <f>IFERROR(VLOOKUP($A:$A,CS!$A:$AK,34,FALSE),"")</f>
        <v/>
      </c>
      <c r="V508" s="85">
        <f>IFERROR(VLOOKUP($A:$A,CS!$A:$AK,35,FALSE),"")</f>
        <v/>
      </c>
      <c r="W508" s="85">
        <f>IFERROR(VLOOKUP($A:$A,CS!$A:$AK,36,FALSE),"")</f>
        <v/>
      </c>
    </row>
    <row r="509" ht="16.5" customHeight="1">
      <c r="A509" s="158" t="n"/>
      <c r="B509" s="85">
        <f>IFERROR(VLOOKUP($A:$A,CS!$A:$AK,3,FALSE),"")</f>
        <v/>
      </c>
      <c r="C509" s="85">
        <f>IFERROR(VLOOKUP($A:$A,CS!$A:$AK,4,FALSE),"")</f>
        <v/>
      </c>
      <c r="D509" s="85">
        <f>IFERROR(VLOOKUP($A:$A,CS!$A:$AK,5,FALSE),"")</f>
        <v/>
      </c>
      <c r="E509" s="85">
        <f>IFERROR(VLOOKUP($A:$A,CS!$A:$AK,7,FALSE),"")</f>
        <v/>
      </c>
      <c r="F509" s="85">
        <f>IFERROR(VLOOKUP($A:$A,CS!$A:$AK,8,FALSE),"")</f>
        <v/>
      </c>
      <c r="G509" s="85">
        <f>IFERROR(VLOOKUP($A:$A,CS!$A:$AK,10,FALSE),"")</f>
        <v/>
      </c>
      <c r="H509" s="85">
        <f>IFERROR(VLOOKUP($A:$A,CS!$A:$AK,14,FALSE),"")</f>
        <v/>
      </c>
      <c r="I509" s="85">
        <f>IFERROR(VLOOKUP($A:$A,CS!$A:$AK,15,FALSE),"")</f>
        <v/>
      </c>
      <c r="J509" s="85">
        <f>IFERROR(VLOOKUP($A:$A,CS!$A:$AK,18,FALSE),"")</f>
        <v/>
      </c>
      <c r="K509" s="85">
        <f>IFERROR(VLOOKUP($A:$A,CS!$A:$AK,19,FALSE),"")</f>
        <v/>
      </c>
      <c r="L509" s="85">
        <f>IFERROR(VLOOKUP($A:$A,CS!$A:$AK,20,FALSE),"")</f>
        <v/>
      </c>
      <c r="M509" s="85">
        <f>IFERROR(VLOOKUP($A:$A,CS!$A:$AK,22,FALSE),"")</f>
        <v/>
      </c>
      <c r="N509" s="85">
        <f>IFERROR(VLOOKUP($A:$A,CS!$A:$AK,19,FALSE),"")</f>
        <v/>
      </c>
      <c r="O509" s="85">
        <f>IFERROR(VLOOKUP($A:$A,CS!$A:$AK,23,FALSE),"")</f>
        <v/>
      </c>
      <c r="P509" s="85">
        <f>IFERROR(VLOOKUP($A:$A,CS!$A:$AK,24,FALSE),"")</f>
        <v/>
      </c>
      <c r="Q509" s="85">
        <f>IFERROR(VLOOKUP($A:$A,CS!$A:$AK,25,FALSE),"")</f>
        <v/>
      </c>
      <c r="R509" s="85">
        <f>IFERROR(VLOOKUP($A:$A,CS!$A:$AK,26,FALSE),"")</f>
        <v/>
      </c>
      <c r="S509" s="85">
        <f>IFERROR(VLOOKUP($A:$A,CS!$A:$AK,29,FALSE),"")</f>
        <v/>
      </c>
      <c r="T509" s="85">
        <f>IFERROR(VLOOKUP($A:$A,CS!$A:$AK,33,FALSE),"")</f>
        <v/>
      </c>
      <c r="U509" s="85">
        <f>IFERROR(VLOOKUP($A:$A,CS!$A:$AK,34,FALSE),"")</f>
        <v/>
      </c>
      <c r="V509" s="85">
        <f>IFERROR(VLOOKUP($A:$A,CS!$A:$AK,35,FALSE),"")</f>
        <v/>
      </c>
      <c r="W509" s="85">
        <f>IFERROR(VLOOKUP($A:$A,CS!$A:$AK,36,FALSE),"")</f>
        <v/>
      </c>
    </row>
    <row r="510" ht="16.5" customHeight="1">
      <c r="A510" s="158" t="n"/>
      <c r="B510" s="85">
        <f>IFERROR(VLOOKUP($A:$A,CS!$A:$AK,3,FALSE),"")</f>
        <v/>
      </c>
      <c r="C510" s="85">
        <f>IFERROR(VLOOKUP($A:$A,CS!$A:$AK,4,FALSE),"")</f>
        <v/>
      </c>
      <c r="D510" s="85">
        <f>IFERROR(VLOOKUP($A:$A,CS!$A:$AK,5,FALSE),"")</f>
        <v/>
      </c>
      <c r="E510" s="85">
        <f>IFERROR(VLOOKUP($A:$A,CS!$A:$AK,7,FALSE),"")</f>
        <v/>
      </c>
      <c r="F510" s="85">
        <f>IFERROR(VLOOKUP($A:$A,CS!$A:$AK,8,FALSE),"")</f>
        <v/>
      </c>
      <c r="G510" s="85">
        <f>IFERROR(VLOOKUP($A:$A,CS!$A:$AK,10,FALSE),"")</f>
        <v/>
      </c>
      <c r="H510" s="85">
        <f>IFERROR(VLOOKUP($A:$A,CS!$A:$AK,14,FALSE),"")</f>
        <v/>
      </c>
      <c r="I510" s="85">
        <f>IFERROR(VLOOKUP($A:$A,CS!$A:$AK,15,FALSE),"")</f>
        <v/>
      </c>
      <c r="J510" s="85">
        <f>IFERROR(VLOOKUP($A:$A,CS!$A:$AK,18,FALSE),"")</f>
        <v/>
      </c>
      <c r="K510" s="85">
        <f>IFERROR(VLOOKUP($A:$A,CS!$A:$AK,19,FALSE),"")</f>
        <v/>
      </c>
      <c r="L510" s="85">
        <f>IFERROR(VLOOKUP($A:$A,CS!$A:$AK,20,FALSE),"")</f>
        <v/>
      </c>
      <c r="M510" s="85">
        <f>IFERROR(VLOOKUP($A:$A,CS!$A:$AK,22,FALSE),"")</f>
        <v/>
      </c>
      <c r="N510" s="85">
        <f>IFERROR(VLOOKUP($A:$A,CS!$A:$AK,19,FALSE),"")</f>
        <v/>
      </c>
      <c r="O510" s="85">
        <f>IFERROR(VLOOKUP($A:$A,CS!$A:$AK,23,FALSE),"")</f>
        <v/>
      </c>
      <c r="P510" s="85">
        <f>IFERROR(VLOOKUP($A:$A,CS!$A:$AK,24,FALSE),"")</f>
        <v/>
      </c>
      <c r="Q510" s="85">
        <f>IFERROR(VLOOKUP($A:$A,CS!$A:$AK,25,FALSE),"")</f>
        <v/>
      </c>
      <c r="R510" s="85">
        <f>IFERROR(VLOOKUP($A:$A,CS!$A:$AK,26,FALSE),"")</f>
        <v/>
      </c>
      <c r="S510" s="85">
        <f>IFERROR(VLOOKUP($A:$A,CS!$A:$AK,29,FALSE),"")</f>
        <v/>
      </c>
      <c r="T510" s="85">
        <f>IFERROR(VLOOKUP($A:$A,CS!$A:$AK,33,FALSE),"")</f>
        <v/>
      </c>
      <c r="U510" s="85">
        <f>IFERROR(VLOOKUP($A:$A,CS!$A:$AK,34,FALSE),"")</f>
        <v/>
      </c>
      <c r="V510" s="85">
        <f>IFERROR(VLOOKUP($A:$A,CS!$A:$AK,35,FALSE),"")</f>
        <v/>
      </c>
      <c r="W510" s="85">
        <f>IFERROR(VLOOKUP($A:$A,CS!$A:$AK,36,FALSE),"")</f>
        <v/>
      </c>
    </row>
    <row r="511" ht="16.5" customHeight="1">
      <c r="A511" s="158" t="n"/>
      <c r="B511" s="85">
        <f>IFERROR(VLOOKUP($A:$A,CS!$A:$AK,3,FALSE),"")</f>
        <v/>
      </c>
      <c r="C511" s="85">
        <f>IFERROR(VLOOKUP($A:$A,CS!$A:$AK,4,FALSE),"")</f>
        <v/>
      </c>
      <c r="D511" s="85">
        <f>IFERROR(VLOOKUP($A:$A,CS!$A:$AK,5,FALSE),"")</f>
        <v/>
      </c>
      <c r="E511" s="85">
        <f>IFERROR(VLOOKUP($A:$A,CS!$A:$AK,7,FALSE),"")</f>
        <v/>
      </c>
      <c r="F511" s="85">
        <f>IFERROR(VLOOKUP($A:$A,CS!$A:$AK,8,FALSE),"")</f>
        <v/>
      </c>
      <c r="G511" s="85">
        <f>IFERROR(VLOOKUP($A:$A,CS!$A:$AK,10,FALSE),"")</f>
        <v/>
      </c>
      <c r="H511" s="85">
        <f>IFERROR(VLOOKUP($A:$A,CS!$A:$AK,14,FALSE),"")</f>
        <v/>
      </c>
      <c r="I511" s="85">
        <f>IFERROR(VLOOKUP($A:$A,CS!$A:$AK,15,FALSE),"")</f>
        <v/>
      </c>
      <c r="J511" s="85">
        <f>IFERROR(VLOOKUP($A:$A,CS!$A:$AK,18,FALSE),"")</f>
        <v/>
      </c>
      <c r="K511" s="85">
        <f>IFERROR(VLOOKUP($A:$A,CS!$A:$AK,19,FALSE),"")</f>
        <v/>
      </c>
      <c r="L511" s="85">
        <f>IFERROR(VLOOKUP($A:$A,CS!$A:$AK,20,FALSE),"")</f>
        <v/>
      </c>
      <c r="M511" s="85">
        <f>IFERROR(VLOOKUP($A:$A,CS!$A:$AK,22,FALSE),"")</f>
        <v/>
      </c>
      <c r="N511" s="85">
        <f>IFERROR(VLOOKUP($A:$A,CS!$A:$AK,19,FALSE),"")</f>
        <v/>
      </c>
      <c r="O511" s="85">
        <f>IFERROR(VLOOKUP($A:$A,CS!$A:$AK,23,FALSE),"")</f>
        <v/>
      </c>
      <c r="P511" s="85">
        <f>IFERROR(VLOOKUP($A:$A,CS!$A:$AK,24,FALSE),"")</f>
        <v/>
      </c>
      <c r="Q511" s="85">
        <f>IFERROR(VLOOKUP($A:$A,CS!$A:$AK,25,FALSE),"")</f>
        <v/>
      </c>
      <c r="R511" s="85">
        <f>IFERROR(VLOOKUP($A:$A,CS!$A:$AK,26,FALSE),"")</f>
        <v/>
      </c>
      <c r="S511" s="85">
        <f>IFERROR(VLOOKUP($A:$A,CS!$A:$AK,29,FALSE),"")</f>
        <v/>
      </c>
      <c r="T511" s="85">
        <f>IFERROR(VLOOKUP($A:$A,CS!$A:$AK,33,FALSE),"")</f>
        <v/>
      </c>
      <c r="U511" s="85">
        <f>IFERROR(VLOOKUP($A:$A,CS!$A:$AK,34,FALSE),"")</f>
        <v/>
      </c>
      <c r="V511" s="85">
        <f>IFERROR(VLOOKUP($A:$A,CS!$A:$AK,35,FALSE),"")</f>
        <v/>
      </c>
      <c r="W511" s="85">
        <f>IFERROR(VLOOKUP($A:$A,CS!$A:$AK,36,FALSE),"")</f>
        <v/>
      </c>
    </row>
    <row r="512" ht="16.5" customHeight="1">
      <c r="A512" s="158" t="n"/>
      <c r="B512" s="85">
        <f>IFERROR(VLOOKUP($A:$A,CS!$A:$AK,3,FALSE),"")</f>
        <v/>
      </c>
      <c r="C512" s="85">
        <f>IFERROR(VLOOKUP($A:$A,CS!$A:$AK,4,FALSE),"")</f>
        <v/>
      </c>
      <c r="D512" s="85">
        <f>IFERROR(VLOOKUP($A:$A,CS!$A:$AK,5,FALSE),"")</f>
        <v/>
      </c>
      <c r="E512" s="85">
        <f>IFERROR(VLOOKUP($A:$A,CS!$A:$AK,7,FALSE),"")</f>
        <v/>
      </c>
      <c r="F512" s="85">
        <f>IFERROR(VLOOKUP($A:$A,CS!$A:$AK,8,FALSE),"")</f>
        <v/>
      </c>
      <c r="G512" s="85">
        <f>IFERROR(VLOOKUP($A:$A,CS!$A:$AK,10,FALSE),"")</f>
        <v/>
      </c>
      <c r="H512" s="85">
        <f>IFERROR(VLOOKUP($A:$A,CS!$A:$AK,14,FALSE),"")</f>
        <v/>
      </c>
      <c r="I512" s="85">
        <f>IFERROR(VLOOKUP($A:$A,CS!$A:$AK,15,FALSE),"")</f>
        <v/>
      </c>
      <c r="J512" s="85">
        <f>IFERROR(VLOOKUP($A:$A,CS!$A:$AK,18,FALSE),"")</f>
        <v/>
      </c>
      <c r="K512" s="85">
        <f>IFERROR(VLOOKUP($A:$A,CS!$A:$AK,19,FALSE),"")</f>
        <v/>
      </c>
      <c r="L512" s="85">
        <f>IFERROR(VLOOKUP($A:$A,CS!$A:$AK,20,FALSE),"")</f>
        <v/>
      </c>
      <c r="M512" s="85">
        <f>IFERROR(VLOOKUP($A:$A,CS!$A:$AK,22,FALSE),"")</f>
        <v/>
      </c>
      <c r="N512" s="85">
        <f>IFERROR(VLOOKUP($A:$A,CS!$A:$AK,19,FALSE),"")</f>
        <v/>
      </c>
      <c r="O512" s="85">
        <f>IFERROR(VLOOKUP($A:$A,CS!$A:$AK,23,FALSE),"")</f>
        <v/>
      </c>
      <c r="P512" s="85">
        <f>IFERROR(VLOOKUP($A:$A,CS!$A:$AK,24,FALSE),"")</f>
        <v/>
      </c>
      <c r="Q512" s="85">
        <f>IFERROR(VLOOKUP($A:$A,CS!$A:$AK,25,FALSE),"")</f>
        <v/>
      </c>
      <c r="R512" s="85">
        <f>IFERROR(VLOOKUP($A:$A,CS!$A:$AK,26,FALSE),"")</f>
        <v/>
      </c>
      <c r="S512" s="85">
        <f>IFERROR(VLOOKUP($A:$A,CS!$A:$AK,29,FALSE),"")</f>
        <v/>
      </c>
      <c r="T512" s="85">
        <f>IFERROR(VLOOKUP($A:$A,CS!$A:$AK,33,FALSE),"")</f>
        <v/>
      </c>
      <c r="U512" s="85">
        <f>IFERROR(VLOOKUP($A:$A,CS!$A:$AK,34,FALSE),"")</f>
        <v/>
      </c>
      <c r="V512" s="85">
        <f>IFERROR(VLOOKUP($A:$A,CS!$A:$AK,35,FALSE),"")</f>
        <v/>
      </c>
      <c r="W512" s="85">
        <f>IFERROR(VLOOKUP($A:$A,CS!$A:$AK,36,FALSE),"")</f>
        <v/>
      </c>
    </row>
    <row r="513" ht="16.5" customHeight="1">
      <c r="A513" s="158" t="n"/>
      <c r="B513" s="85">
        <f>IFERROR(VLOOKUP($A:$A,CS!$A:$AK,3,FALSE),"")</f>
        <v/>
      </c>
      <c r="C513" s="85">
        <f>IFERROR(VLOOKUP($A:$A,CS!$A:$AK,4,FALSE),"")</f>
        <v/>
      </c>
      <c r="D513" s="85">
        <f>IFERROR(VLOOKUP($A:$A,CS!$A:$AK,5,FALSE),"")</f>
        <v/>
      </c>
      <c r="E513" s="85">
        <f>IFERROR(VLOOKUP($A:$A,CS!$A:$AK,7,FALSE),"")</f>
        <v/>
      </c>
      <c r="F513" s="85">
        <f>IFERROR(VLOOKUP($A:$A,CS!$A:$AK,8,FALSE),"")</f>
        <v/>
      </c>
      <c r="G513" s="85">
        <f>IFERROR(VLOOKUP($A:$A,CS!$A:$AK,10,FALSE),"")</f>
        <v/>
      </c>
      <c r="H513" s="85">
        <f>IFERROR(VLOOKUP($A:$A,CS!$A:$AK,14,FALSE),"")</f>
        <v/>
      </c>
      <c r="I513" s="85">
        <f>IFERROR(VLOOKUP($A:$A,CS!$A:$AK,15,FALSE),"")</f>
        <v/>
      </c>
      <c r="J513" s="85">
        <f>IFERROR(VLOOKUP($A:$A,CS!$A:$AK,18,FALSE),"")</f>
        <v/>
      </c>
      <c r="K513" s="85">
        <f>IFERROR(VLOOKUP($A:$A,CS!$A:$AK,19,FALSE),"")</f>
        <v/>
      </c>
      <c r="L513" s="85">
        <f>IFERROR(VLOOKUP($A:$A,CS!$A:$AK,20,FALSE),"")</f>
        <v/>
      </c>
      <c r="M513" s="85">
        <f>IFERROR(VLOOKUP($A:$A,CS!$A:$AK,22,FALSE),"")</f>
        <v/>
      </c>
      <c r="N513" s="85">
        <f>IFERROR(VLOOKUP($A:$A,CS!$A:$AK,19,FALSE),"")</f>
        <v/>
      </c>
      <c r="O513" s="85">
        <f>IFERROR(VLOOKUP($A:$A,CS!$A:$AK,23,FALSE),"")</f>
        <v/>
      </c>
      <c r="P513" s="85">
        <f>IFERROR(VLOOKUP($A:$A,CS!$A:$AK,24,FALSE),"")</f>
        <v/>
      </c>
      <c r="Q513" s="85">
        <f>IFERROR(VLOOKUP($A:$A,CS!$A:$AK,25,FALSE),"")</f>
        <v/>
      </c>
      <c r="R513" s="85">
        <f>IFERROR(VLOOKUP($A:$A,CS!$A:$AK,26,FALSE),"")</f>
        <v/>
      </c>
      <c r="S513" s="85">
        <f>IFERROR(VLOOKUP($A:$A,CS!$A:$AK,29,FALSE),"")</f>
        <v/>
      </c>
      <c r="T513" s="85">
        <f>IFERROR(VLOOKUP($A:$A,CS!$A:$AK,33,FALSE),"")</f>
        <v/>
      </c>
      <c r="U513" s="85">
        <f>IFERROR(VLOOKUP($A:$A,CS!$A:$AK,34,FALSE),"")</f>
        <v/>
      </c>
      <c r="V513" s="85">
        <f>IFERROR(VLOOKUP($A:$A,CS!$A:$AK,35,FALSE),"")</f>
        <v/>
      </c>
      <c r="W513" s="85">
        <f>IFERROR(VLOOKUP($A:$A,CS!$A:$AK,36,FALSE),"")</f>
        <v/>
      </c>
    </row>
    <row r="514" ht="16.5" customHeight="1">
      <c r="A514" s="158" t="n"/>
      <c r="B514" s="85">
        <f>IFERROR(VLOOKUP($A:$A,CS!$A:$AK,3,FALSE),"")</f>
        <v/>
      </c>
      <c r="C514" s="85">
        <f>IFERROR(VLOOKUP($A:$A,CS!$A:$AK,4,FALSE),"")</f>
        <v/>
      </c>
      <c r="D514" s="85">
        <f>IFERROR(VLOOKUP($A:$A,CS!$A:$AK,5,FALSE),"")</f>
        <v/>
      </c>
      <c r="E514" s="85">
        <f>IFERROR(VLOOKUP($A:$A,CS!$A:$AK,7,FALSE),"")</f>
        <v/>
      </c>
      <c r="F514" s="85">
        <f>IFERROR(VLOOKUP($A:$A,CS!$A:$AK,8,FALSE),"")</f>
        <v/>
      </c>
      <c r="G514" s="85">
        <f>IFERROR(VLOOKUP($A:$A,CS!$A:$AK,10,FALSE),"")</f>
        <v/>
      </c>
      <c r="H514" s="85">
        <f>IFERROR(VLOOKUP($A:$A,CS!$A:$AK,14,FALSE),"")</f>
        <v/>
      </c>
      <c r="I514" s="85">
        <f>IFERROR(VLOOKUP($A:$A,CS!$A:$AK,15,FALSE),"")</f>
        <v/>
      </c>
      <c r="J514" s="85">
        <f>IFERROR(VLOOKUP($A:$A,CS!$A:$AK,18,FALSE),"")</f>
        <v/>
      </c>
      <c r="K514" s="85">
        <f>IFERROR(VLOOKUP($A:$A,CS!$A:$AK,19,FALSE),"")</f>
        <v/>
      </c>
      <c r="L514" s="85">
        <f>IFERROR(VLOOKUP($A:$A,CS!$A:$AK,20,FALSE),"")</f>
        <v/>
      </c>
      <c r="M514" s="85">
        <f>IFERROR(VLOOKUP($A:$A,CS!$A:$AK,22,FALSE),"")</f>
        <v/>
      </c>
      <c r="N514" s="85">
        <f>IFERROR(VLOOKUP($A:$A,CS!$A:$AK,19,FALSE),"")</f>
        <v/>
      </c>
      <c r="O514" s="85">
        <f>IFERROR(VLOOKUP($A:$A,CS!$A:$AK,23,FALSE),"")</f>
        <v/>
      </c>
      <c r="P514" s="85">
        <f>IFERROR(VLOOKUP($A:$A,CS!$A:$AK,24,FALSE),"")</f>
        <v/>
      </c>
      <c r="Q514" s="85">
        <f>IFERROR(VLOOKUP($A:$A,CS!$A:$AK,25,FALSE),"")</f>
        <v/>
      </c>
      <c r="R514" s="85">
        <f>IFERROR(VLOOKUP($A:$A,CS!$A:$AK,26,FALSE),"")</f>
        <v/>
      </c>
      <c r="S514" s="85">
        <f>IFERROR(VLOOKUP($A:$A,CS!$A:$AK,29,FALSE),"")</f>
        <v/>
      </c>
      <c r="T514" s="85">
        <f>IFERROR(VLOOKUP($A:$A,CS!$A:$AK,33,FALSE),"")</f>
        <v/>
      </c>
      <c r="U514" s="85">
        <f>IFERROR(VLOOKUP($A:$A,CS!$A:$AK,34,FALSE),"")</f>
        <v/>
      </c>
      <c r="V514" s="85">
        <f>IFERROR(VLOOKUP($A:$A,CS!$A:$AK,35,FALSE),"")</f>
        <v/>
      </c>
      <c r="W514" s="85">
        <f>IFERROR(VLOOKUP($A:$A,CS!$A:$AK,36,FALSE),"")</f>
        <v/>
      </c>
    </row>
    <row r="515" ht="16.5" customHeight="1">
      <c r="A515" s="158" t="n"/>
      <c r="B515" s="85">
        <f>IFERROR(VLOOKUP($A:$A,CS!$A:$AK,3,FALSE),"")</f>
        <v/>
      </c>
      <c r="C515" s="85">
        <f>IFERROR(VLOOKUP($A:$A,CS!$A:$AK,4,FALSE),"")</f>
        <v/>
      </c>
      <c r="D515" s="85">
        <f>IFERROR(VLOOKUP($A:$A,CS!$A:$AK,5,FALSE),"")</f>
        <v/>
      </c>
      <c r="E515" s="85">
        <f>IFERROR(VLOOKUP($A:$A,CS!$A:$AK,7,FALSE),"")</f>
        <v/>
      </c>
      <c r="F515" s="85">
        <f>IFERROR(VLOOKUP($A:$A,CS!$A:$AK,8,FALSE),"")</f>
        <v/>
      </c>
      <c r="G515" s="85">
        <f>IFERROR(VLOOKUP($A:$A,CS!$A:$AK,10,FALSE),"")</f>
        <v/>
      </c>
      <c r="H515" s="85">
        <f>IFERROR(VLOOKUP($A:$A,CS!$A:$AK,14,FALSE),"")</f>
        <v/>
      </c>
      <c r="I515" s="85">
        <f>IFERROR(VLOOKUP($A:$A,CS!$A:$AK,15,FALSE),"")</f>
        <v/>
      </c>
      <c r="J515" s="85">
        <f>IFERROR(VLOOKUP($A:$A,CS!$A:$AK,18,FALSE),"")</f>
        <v/>
      </c>
      <c r="K515" s="85">
        <f>IFERROR(VLOOKUP($A:$A,CS!$A:$AK,19,FALSE),"")</f>
        <v/>
      </c>
      <c r="L515" s="85">
        <f>IFERROR(VLOOKUP($A:$A,CS!$A:$AK,20,FALSE),"")</f>
        <v/>
      </c>
      <c r="M515" s="85">
        <f>IFERROR(VLOOKUP($A:$A,CS!$A:$AK,22,FALSE),"")</f>
        <v/>
      </c>
      <c r="N515" s="85">
        <f>IFERROR(VLOOKUP($A:$A,CS!$A:$AK,19,FALSE),"")</f>
        <v/>
      </c>
      <c r="O515" s="85">
        <f>IFERROR(VLOOKUP($A:$A,CS!$A:$AK,23,FALSE),"")</f>
        <v/>
      </c>
      <c r="P515" s="85">
        <f>IFERROR(VLOOKUP($A:$A,CS!$A:$AK,24,FALSE),"")</f>
        <v/>
      </c>
      <c r="Q515" s="85">
        <f>IFERROR(VLOOKUP($A:$A,CS!$A:$AK,25,FALSE),"")</f>
        <v/>
      </c>
      <c r="R515" s="85">
        <f>IFERROR(VLOOKUP($A:$A,CS!$A:$AK,26,FALSE),"")</f>
        <v/>
      </c>
      <c r="S515" s="85">
        <f>IFERROR(VLOOKUP($A:$A,CS!$A:$AK,29,FALSE),"")</f>
        <v/>
      </c>
      <c r="T515" s="85">
        <f>IFERROR(VLOOKUP($A:$A,CS!$A:$AK,33,FALSE),"")</f>
        <v/>
      </c>
      <c r="U515" s="85">
        <f>IFERROR(VLOOKUP($A:$A,CS!$A:$AK,34,FALSE),"")</f>
        <v/>
      </c>
      <c r="V515" s="85">
        <f>IFERROR(VLOOKUP($A:$A,CS!$A:$AK,35,FALSE),"")</f>
        <v/>
      </c>
      <c r="W515" s="85">
        <f>IFERROR(VLOOKUP($A:$A,CS!$A:$AK,36,FALSE),"")</f>
        <v/>
      </c>
    </row>
    <row r="516" ht="16.5" customHeight="1">
      <c r="A516" s="158" t="n"/>
      <c r="B516" s="85">
        <f>IFERROR(VLOOKUP($A:$A,CS!$A:$AK,3,FALSE),"")</f>
        <v/>
      </c>
      <c r="C516" s="85">
        <f>IFERROR(VLOOKUP($A:$A,CS!$A:$AK,4,FALSE),"")</f>
        <v/>
      </c>
      <c r="D516" s="85">
        <f>IFERROR(VLOOKUP($A:$A,CS!$A:$AK,5,FALSE),"")</f>
        <v/>
      </c>
      <c r="E516" s="85">
        <f>IFERROR(VLOOKUP($A:$A,CS!$A:$AK,7,FALSE),"")</f>
        <v/>
      </c>
      <c r="F516" s="85">
        <f>IFERROR(VLOOKUP($A:$A,CS!$A:$AK,8,FALSE),"")</f>
        <v/>
      </c>
      <c r="G516" s="85">
        <f>IFERROR(VLOOKUP($A:$A,CS!$A:$AK,10,FALSE),"")</f>
        <v/>
      </c>
      <c r="H516" s="85">
        <f>IFERROR(VLOOKUP($A:$A,CS!$A:$AK,14,FALSE),"")</f>
        <v/>
      </c>
      <c r="I516" s="85">
        <f>IFERROR(VLOOKUP($A:$A,CS!$A:$AK,15,FALSE),"")</f>
        <v/>
      </c>
      <c r="J516" s="85">
        <f>IFERROR(VLOOKUP($A:$A,CS!$A:$AK,18,FALSE),"")</f>
        <v/>
      </c>
      <c r="K516" s="85">
        <f>IFERROR(VLOOKUP($A:$A,CS!$A:$AK,19,FALSE),"")</f>
        <v/>
      </c>
      <c r="L516" s="85">
        <f>IFERROR(VLOOKUP($A:$A,CS!$A:$AK,20,FALSE),"")</f>
        <v/>
      </c>
      <c r="M516" s="85">
        <f>IFERROR(VLOOKUP($A:$A,CS!$A:$AK,22,FALSE),"")</f>
        <v/>
      </c>
      <c r="N516" s="85">
        <f>IFERROR(VLOOKUP($A:$A,CS!$A:$AK,19,FALSE),"")</f>
        <v/>
      </c>
      <c r="O516" s="85">
        <f>IFERROR(VLOOKUP($A:$A,CS!$A:$AK,23,FALSE),"")</f>
        <v/>
      </c>
      <c r="P516" s="85">
        <f>IFERROR(VLOOKUP($A:$A,CS!$A:$AK,24,FALSE),"")</f>
        <v/>
      </c>
      <c r="Q516" s="85">
        <f>IFERROR(VLOOKUP($A:$A,CS!$A:$AK,25,FALSE),"")</f>
        <v/>
      </c>
      <c r="R516" s="85">
        <f>IFERROR(VLOOKUP($A:$A,CS!$A:$AK,26,FALSE),"")</f>
        <v/>
      </c>
      <c r="S516" s="85">
        <f>IFERROR(VLOOKUP($A:$A,CS!$A:$AK,29,FALSE),"")</f>
        <v/>
      </c>
      <c r="T516" s="85">
        <f>IFERROR(VLOOKUP($A:$A,CS!$A:$AK,33,FALSE),"")</f>
        <v/>
      </c>
      <c r="U516" s="85">
        <f>IFERROR(VLOOKUP($A:$A,CS!$A:$AK,34,FALSE),"")</f>
        <v/>
      </c>
      <c r="V516" s="85">
        <f>IFERROR(VLOOKUP($A:$A,CS!$A:$AK,35,FALSE),"")</f>
        <v/>
      </c>
      <c r="W516" s="85">
        <f>IFERROR(VLOOKUP($A:$A,CS!$A:$AK,36,FALSE),"")</f>
        <v/>
      </c>
    </row>
    <row r="517" ht="16.5" customHeight="1">
      <c r="A517" s="158" t="n"/>
      <c r="B517" s="85">
        <f>IFERROR(VLOOKUP($A:$A,CS!$A:$AK,3,FALSE),"")</f>
        <v/>
      </c>
      <c r="C517" s="85">
        <f>IFERROR(VLOOKUP($A:$A,CS!$A:$AK,4,FALSE),"")</f>
        <v/>
      </c>
      <c r="D517" s="85">
        <f>IFERROR(VLOOKUP($A:$A,CS!$A:$AK,5,FALSE),"")</f>
        <v/>
      </c>
      <c r="E517" s="85">
        <f>IFERROR(VLOOKUP($A:$A,CS!$A:$AK,7,FALSE),"")</f>
        <v/>
      </c>
      <c r="F517" s="85">
        <f>IFERROR(VLOOKUP($A:$A,CS!$A:$AK,8,FALSE),"")</f>
        <v/>
      </c>
      <c r="G517" s="85">
        <f>IFERROR(VLOOKUP($A:$A,CS!$A:$AK,10,FALSE),"")</f>
        <v/>
      </c>
      <c r="H517" s="85">
        <f>IFERROR(VLOOKUP($A:$A,CS!$A:$AK,14,FALSE),"")</f>
        <v/>
      </c>
      <c r="I517" s="85">
        <f>IFERROR(VLOOKUP($A:$A,CS!$A:$AK,15,FALSE),"")</f>
        <v/>
      </c>
      <c r="J517" s="85">
        <f>IFERROR(VLOOKUP($A:$A,CS!$A:$AK,18,FALSE),"")</f>
        <v/>
      </c>
      <c r="K517" s="85">
        <f>IFERROR(VLOOKUP($A:$A,CS!$A:$AK,19,FALSE),"")</f>
        <v/>
      </c>
      <c r="L517" s="85">
        <f>IFERROR(VLOOKUP($A:$A,CS!$A:$AK,20,FALSE),"")</f>
        <v/>
      </c>
      <c r="M517" s="85">
        <f>IFERROR(VLOOKUP($A:$A,CS!$A:$AK,22,FALSE),"")</f>
        <v/>
      </c>
      <c r="N517" s="85">
        <f>IFERROR(VLOOKUP($A:$A,CS!$A:$AK,19,FALSE),"")</f>
        <v/>
      </c>
      <c r="O517" s="85">
        <f>IFERROR(VLOOKUP($A:$A,CS!$A:$AK,23,FALSE),"")</f>
        <v/>
      </c>
      <c r="P517" s="85">
        <f>IFERROR(VLOOKUP($A:$A,CS!$A:$AK,24,FALSE),"")</f>
        <v/>
      </c>
      <c r="Q517" s="85">
        <f>IFERROR(VLOOKUP($A:$A,CS!$A:$AK,25,FALSE),"")</f>
        <v/>
      </c>
      <c r="R517" s="85">
        <f>IFERROR(VLOOKUP($A:$A,CS!$A:$AK,26,FALSE),"")</f>
        <v/>
      </c>
      <c r="S517" s="85">
        <f>IFERROR(VLOOKUP($A:$A,CS!$A:$AK,29,FALSE),"")</f>
        <v/>
      </c>
      <c r="T517" s="85">
        <f>IFERROR(VLOOKUP($A:$A,CS!$A:$AK,33,FALSE),"")</f>
        <v/>
      </c>
      <c r="U517" s="85">
        <f>IFERROR(VLOOKUP($A:$A,CS!$A:$AK,34,FALSE),"")</f>
        <v/>
      </c>
      <c r="V517" s="85">
        <f>IFERROR(VLOOKUP($A:$A,CS!$A:$AK,35,FALSE),"")</f>
        <v/>
      </c>
      <c r="W517" s="85">
        <f>IFERROR(VLOOKUP($A:$A,CS!$A:$AK,36,FALSE),"")</f>
        <v/>
      </c>
    </row>
    <row r="518" ht="16.5" customHeight="1">
      <c r="A518" s="158" t="n"/>
      <c r="B518" s="85">
        <f>IFERROR(VLOOKUP($A:$A,CS!$A:$AK,3,FALSE),"")</f>
        <v/>
      </c>
      <c r="C518" s="85">
        <f>IFERROR(VLOOKUP($A:$A,CS!$A:$AK,4,FALSE),"")</f>
        <v/>
      </c>
      <c r="D518" s="85">
        <f>IFERROR(VLOOKUP($A:$A,CS!$A:$AK,5,FALSE),"")</f>
        <v/>
      </c>
      <c r="E518" s="85">
        <f>IFERROR(VLOOKUP($A:$A,CS!$A:$AK,7,FALSE),"")</f>
        <v/>
      </c>
      <c r="F518" s="85">
        <f>IFERROR(VLOOKUP($A:$A,CS!$A:$AK,8,FALSE),"")</f>
        <v/>
      </c>
      <c r="G518" s="85">
        <f>IFERROR(VLOOKUP($A:$A,CS!$A:$AK,10,FALSE),"")</f>
        <v/>
      </c>
      <c r="H518" s="85">
        <f>IFERROR(VLOOKUP($A:$A,CS!$A:$AK,14,FALSE),"")</f>
        <v/>
      </c>
      <c r="I518" s="85">
        <f>IFERROR(VLOOKUP($A:$A,CS!$A:$AK,15,FALSE),"")</f>
        <v/>
      </c>
      <c r="J518" s="85">
        <f>IFERROR(VLOOKUP($A:$A,CS!$A:$AK,18,FALSE),"")</f>
        <v/>
      </c>
      <c r="K518" s="85">
        <f>IFERROR(VLOOKUP($A:$A,CS!$A:$AK,19,FALSE),"")</f>
        <v/>
      </c>
      <c r="L518" s="85">
        <f>IFERROR(VLOOKUP($A:$A,CS!$A:$AK,20,FALSE),"")</f>
        <v/>
      </c>
      <c r="M518" s="85">
        <f>IFERROR(VLOOKUP($A:$A,CS!$A:$AK,22,FALSE),"")</f>
        <v/>
      </c>
      <c r="N518" s="85">
        <f>IFERROR(VLOOKUP($A:$A,CS!$A:$AK,19,FALSE),"")</f>
        <v/>
      </c>
      <c r="O518" s="85">
        <f>IFERROR(VLOOKUP($A:$A,CS!$A:$AK,23,FALSE),"")</f>
        <v/>
      </c>
      <c r="P518" s="85">
        <f>IFERROR(VLOOKUP($A:$A,CS!$A:$AK,24,FALSE),"")</f>
        <v/>
      </c>
      <c r="Q518" s="85">
        <f>IFERROR(VLOOKUP($A:$A,CS!$A:$AK,25,FALSE),"")</f>
        <v/>
      </c>
      <c r="R518" s="85">
        <f>IFERROR(VLOOKUP($A:$A,CS!$A:$AK,26,FALSE),"")</f>
        <v/>
      </c>
      <c r="S518" s="85">
        <f>IFERROR(VLOOKUP($A:$A,CS!$A:$AK,29,FALSE),"")</f>
        <v/>
      </c>
      <c r="T518" s="85">
        <f>IFERROR(VLOOKUP($A:$A,CS!$A:$AK,33,FALSE),"")</f>
        <v/>
      </c>
      <c r="U518" s="85">
        <f>IFERROR(VLOOKUP($A:$A,CS!$A:$AK,34,FALSE),"")</f>
        <v/>
      </c>
      <c r="V518" s="85">
        <f>IFERROR(VLOOKUP($A:$A,CS!$A:$AK,35,FALSE),"")</f>
        <v/>
      </c>
      <c r="W518" s="85">
        <f>IFERROR(VLOOKUP($A:$A,CS!$A:$AK,36,FALSE),"")</f>
        <v/>
      </c>
    </row>
    <row r="519" ht="16.5" customHeight="1">
      <c r="A519" s="158" t="n"/>
      <c r="B519" s="85">
        <f>IFERROR(VLOOKUP($A:$A,CS!$A:$AK,3,FALSE),"")</f>
        <v/>
      </c>
      <c r="C519" s="85">
        <f>IFERROR(VLOOKUP($A:$A,CS!$A:$AK,4,FALSE),"")</f>
        <v/>
      </c>
      <c r="D519" s="85">
        <f>IFERROR(VLOOKUP($A:$A,CS!$A:$AK,5,FALSE),"")</f>
        <v/>
      </c>
      <c r="E519" s="85">
        <f>IFERROR(VLOOKUP($A:$A,CS!$A:$AK,7,FALSE),"")</f>
        <v/>
      </c>
      <c r="F519" s="85">
        <f>IFERROR(VLOOKUP($A:$A,CS!$A:$AK,8,FALSE),"")</f>
        <v/>
      </c>
      <c r="G519" s="85">
        <f>IFERROR(VLOOKUP($A:$A,CS!$A:$AK,10,FALSE),"")</f>
        <v/>
      </c>
      <c r="H519" s="85">
        <f>IFERROR(VLOOKUP($A:$A,CS!$A:$AK,14,FALSE),"")</f>
        <v/>
      </c>
      <c r="I519" s="85">
        <f>IFERROR(VLOOKUP($A:$A,CS!$A:$AK,15,FALSE),"")</f>
        <v/>
      </c>
      <c r="J519" s="85">
        <f>IFERROR(VLOOKUP($A:$A,CS!$A:$AK,18,FALSE),"")</f>
        <v/>
      </c>
      <c r="K519" s="85">
        <f>IFERROR(VLOOKUP($A:$A,CS!$A:$AK,19,FALSE),"")</f>
        <v/>
      </c>
      <c r="L519" s="85">
        <f>IFERROR(VLOOKUP($A:$A,CS!$A:$AK,20,FALSE),"")</f>
        <v/>
      </c>
      <c r="M519" s="85">
        <f>IFERROR(VLOOKUP($A:$A,CS!$A:$AK,22,FALSE),"")</f>
        <v/>
      </c>
      <c r="N519" s="85">
        <f>IFERROR(VLOOKUP($A:$A,CS!$A:$AK,19,FALSE),"")</f>
        <v/>
      </c>
      <c r="O519" s="85">
        <f>IFERROR(VLOOKUP($A:$A,CS!$A:$AK,23,FALSE),"")</f>
        <v/>
      </c>
      <c r="P519" s="85">
        <f>IFERROR(VLOOKUP($A:$A,CS!$A:$AK,24,FALSE),"")</f>
        <v/>
      </c>
      <c r="Q519" s="85">
        <f>IFERROR(VLOOKUP($A:$A,CS!$A:$AK,25,FALSE),"")</f>
        <v/>
      </c>
      <c r="R519" s="85">
        <f>IFERROR(VLOOKUP($A:$A,CS!$A:$AK,26,FALSE),"")</f>
        <v/>
      </c>
      <c r="S519" s="85">
        <f>IFERROR(VLOOKUP($A:$A,CS!$A:$AK,29,FALSE),"")</f>
        <v/>
      </c>
      <c r="T519" s="85">
        <f>IFERROR(VLOOKUP($A:$A,CS!$A:$AK,33,FALSE),"")</f>
        <v/>
      </c>
      <c r="U519" s="85">
        <f>IFERROR(VLOOKUP($A:$A,CS!$A:$AK,34,FALSE),"")</f>
        <v/>
      </c>
      <c r="V519" s="85">
        <f>IFERROR(VLOOKUP($A:$A,CS!$A:$AK,35,FALSE),"")</f>
        <v/>
      </c>
      <c r="W519" s="85">
        <f>IFERROR(VLOOKUP($A:$A,CS!$A:$AK,36,FALSE),"")</f>
        <v/>
      </c>
    </row>
    <row r="520" ht="16.5" customHeight="1">
      <c r="A520" s="158" t="n"/>
      <c r="B520" s="85">
        <f>IFERROR(VLOOKUP($A:$A,CS!$A:$AK,3,FALSE),"")</f>
        <v/>
      </c>
      <c r="C520" s="85">
        <f>IFERROR(VLOOKUP($A:$A,CS!$A:$AK,4,FALSE),"")</f>
        <v/>
      </c>
      <c r="D520" s="85">
        <f>IFERROR(VLOOKUP($A:$A,CS!$A:$AK,5,FALSE),"")</f>
        <v/>
      </c>
      <c r="E520" s="85">
        <f>IFERROR(VLOOKUP($A:$A,CS!$A:$AK,7,FALSE),"")</f>
        <v/>
      </c>
      <c r="F520" s="85">
        <f>IFERROR(VLOOKUP($A:$A,CS!$A:$AK,8,FALSE),"")</f>
        <v/>
      </c>
      <c r="G520" s="85">
        <f>IFERROR(VLOOKUP($A:$A,CS!$A:$AK,10,FALSE),"")</f>
        <v/>
      </c>
      <c r="H520" s="85">
        <f>IFERROR(VLOOKUP($A:$A,CS!$A:$AK,14,FALSE),"")</f>
        <v/>
      </c>
      <c r="I520" s="85">
        <f>IFERROR(VLOOKUP($A:$A,CS!$A:$AK,15,FALSE),"")</f>
        <v/>
      </c>
      <c r="J520" s="85">
        <f>IFERROR(VLOOKUP($A:$A,CS!$A:$AK,18,FALSE),"")</f>
        <v/>
      </c>
      <c r="K520" s="85">
        <f>IFERROR(VLOOKUP($A:$A,CS!$A:$AK,19,FALSE),"")</f>
        <v/>
      </c>
      <c r="L520" s="85">
        <f>IFERROR(VLOOKUP($A:$A,CS!$A:$AK,20,FALSE),"")</f>
        <v/>
      </c>
      <c r="M520" s="85">
        <f>IFERROR(VLOOKUP($A:$A,CS!$A:$AK,22,FALSE),"")</f>
        <v/>
      </c>
      <c r="N520" s="85">
        <f>IFERROR(VLOOKUP($A:$A,CS!$A:$AK,19,FALSE),"")</f>
        <v/>
      </c>
      <c r="O520" s="85">
        <f>IFERROR(VLOOKUP($A:$A,CS!$A:$AK,23,FALSE),"")</f>
        <v/>
      </c>
      <c r="P520" s="85">
        <f>IFERROR(VLOOKUP($A:$A,CS!$A:$AK,24,FALSE),"")</f>
        <v/>
      </c>
      <c r="Q520" s="85">
        <f>IFERROR(VLOOKUP($A:$A,CS!$A:$AK,25,FALSE),"")</f>
        <v/>
      </c>
      <c r="R520" s="85">
        <f>IFERROR(VLOOKUP($A:$A,CS!$A:$AK,26,FALSE),"")</f>
        <v/>
      </c>
      <c r="S520" s="85">
        <f>IFERROR(VLOOKUP($A:$A,CS!$A:$AK,29,FALSE),"")</f>
        <v/>
      </c>
      <c r="T520" s="85">
        <f>IFERROR(VLOOKUP($A:$A,CS!$A:$AK,33,FALSE),"")</f>
        <v/>
      </c>
      <c r="U520" s="85">
        <f>IFERROR(VLOOKUP($A:$A,CS!$A:$AK,34,FALSE),"")</f>
        <v/>
      </c>
      <c r="V520" s="85">
        <f>IFERROR(VLOOKUP($A:$A,CS!$A:$AK,35,FALSE),"")</f>
        <v/>
      </c>
      <c r="W520" s="85">
        <f>IFERROR(VLOOKUP($A:$A,CS!$A:$AK,36,FALSE),"")</f>
        <v/>
      </c>
    </row>
    <row r="521" ht="16.5" customHeight="1">
      <c r="A521" s="158" t="n"/>
      <c r="B521" s="85">
        <f>IFERROR(VLOOKUP($A:$A,CS!$A:$AK,3,FALSE),"")</f>
        <v/>
      </c>
      <c r="C521" s="85">
        <f>IFERROR(VLOOKUP($A:$A,CS!$A:$AK,4,FALSE),"")</f>
        <v/>
      </c>
      <c r="D521" s="85">
        <f>IFERROR(VLOOKUP($A:$A,CS!$A:$AK,5,FALSE),"")</f>
        <v/>
      </c>
      <c r="E521" s="85">
        <f>IFERROR(VLOOKUP($A:$A,CS!$A:$AK,7,FALSE),"")</f>
        <v/>
      </c>
      <c r="F521" s="85">
        <f>IFERROR(VLOOKUP($A:$A,CS!$A:$AK,8,FALSE),"")</f>
        <v/>
      </c>
      <c r="G521" s="85">
        <f>IFERROR(VLOOKUP($A:$A,CS!$A:$AK,10,FALSE),"")</f>
        <v/>
      </c>
      <c r="H521" s="85">
        <f>IFERROR(VLOOKUP($A:$A,CS!$A:$AK,14,FALSE),"")</f>
        <v/>
      </c>
      <c r="I521" s="85">
        <f>IFERROR(VLOOKUP($A:$A,CS!$A:$AK,15,FALSE),"")</f>
        <v/>
      </c>
      <c r="J521" s="85">
        <f>IFERROR(VLOOKUP($A:$A,CS!$A:$AK,18,FALSE),"")</f>
        <v/>
      </c>
      <c r="K521" s="85">
        <f>IFERROR(VLOOKUP($A:$A,CS!$A:$AK,19,FALSE),"")</f>
        <v/>
      </c>
      <c r="L521" s="85">
        <f>IFERROR(VLOOKUP($A:$A,CS!$A:$AK,20,FALSE),"")</f>
        <v/>
      </c>
      <c r="M521" s="85">
        <f>IFERROR(VLOOKUP($A:$A,CS!$A:$AK,22,FALSE),"")</f>
        <v/>
      </c>
      <c r="N521" s="85">
        <f>IFERROR(VLOOKUP($A:$A,CS!$A:$AK,19,FALSE),"")</f>
        <v/>
      </c>
      <c r="O521" s="85">
        <f>IFERROR(VLOOKUP($A:$A,CS!$A:$AK,23,FALSE),"")</f>
        <v/>
      </c>
      <c r="P521" s="85">
        <f>IFERROR(VLOOKUP($A:$A,CS!$A:$AK,24,FALSE),"")</f>
        <v/>
      </c>
      <c r="Q521" s="85">
        <f>IFERROR(VLOOKUP($A:$A,CS!$A:$AK,25,FALSE),"")</f>
        <v/>
      </c>
      <c r="R521" s="85">
        <f>IFERROR(VLOOKUP($A:$A,CS!$A:$AK,26,FALSE),"")</f>
        <v/>
      </c>
      <c r="S521" s="85">
        <f>IFERROR(VLOOKUP($A:$A,CS!$A:$AK,29,FALSE),"")</f>
        <v/>
      </c>
      <c r="T521" s="85">
        <f>IFERROR(VLOOKUP($A:$A,CS!$A:$AK,33,FALSE),"")</f>
        <v/>
      </c>
      <c r="U521" s="85">
        <f>IFERROR(VLOOKUP($A:$A,CS!$A:$AK,34,FALSE),"")</f>
        <v/>
      </c>
      <c r="V521" s="85">
        <f>IFERROR(VLOOKUP($A:$A,CS!$A:$AK,35,FALSE),"")</f>
        <v/>
      </c>
      <c r="W521" s="85">
        <f>IFERROR(VLOOKUP($A:$A,CS!$A:$AK,36,FALSE),"")</f>
        <v/>
      </c>
    </row>
    <row r="522" ht="16.5" customHeight="1">
      <c r="A522" s="158" t="n"/>
      <c r="B522" s="85">
        <f>IFERROR(VLOOKUP($A:$A,CS!$A:$AK,3,FALSE),"")</f>
        <v/>
      </c>
      <c r="C522" s="85">
        <f>IFERROR(VLOOKUP($A:$A,CS!$A:$AK,4,FALSE),"")</f>
        <v/>
      </c>
      <c r="D522" s="85">
        <f>IFERROR(VLOOKUP($A:$A,CS!$A:$AK,5,FALSE),"")</f>
        <v/>
      </c>
      <c r="E522" s="85">
        <f>IFERROR(VLOOKUP($A:$A,CS!$A:$AK,7,FALSE),"")</f>
        <v/>
      </c>
      <c r="F522" s="85">
        <f>IFERROR(VLOOKUP($A:$A,CS!$A:$AK,8,FALSE),"")</f>
        <v/>
      </c>
      <c r="G522" s="85">
        <f>IFERROR(VLOOKUP($A:$A,CS!$A:$AK,10,FALSE),"")</f>
        <v/>
      </c>
      <c r="H522" s="85">
        <f>IFERROR(VLOOKUP($A:$A,CS!$A:$AK,14,FALSE),"")</f>
        <v/>
      </c>
      <c r="I522" s="85">
        <f>IFERROR(VLOOKUP($A:$A,CS!$A:$AK,15,FALSE),"")</f>
        <v/>
      </c>
      <c r="J522" s="85">
        <f>IFERROR(VLOOKUP($A:$A,CS!$A:$AK,18,FALSE),"")</f>
        <v/>
      </c>
      <c r="K522" s="85">
        <f>IFERROR(VLOOKUP($A:$A,CS!$A:$AK,19,FALSE),"")</f>
        <v/>
      </c>
      <c r="L522" s="85">
        <f>IFERROR(VLOOKUP($A:$A,CS!$A:$AK,20,FALSE),"")</f>
        <v/>
      </c>
      <c r="M522" s="85">
        <f>IFERROR(VLOOKUP($A:$A,CS!$A:$AK,22,FALSE),"")</f>
        <v/>
      </c>
      <c r="N522" s="85">
        <f>IFERROR(VLOOKUP($A:$A,CS!$A:$AK,19,FALSE),"")</f>
        <v/>
      </c>
      <c r="O522" s="85">
        <f>IFERROR(VLOOKUP($A:$A,CS!$A:$AK,23,FALSE),"")</f>
        <v/>
      </c>
      <c r="P522" s="85">
        <f>IFERROR(VLOOKUP($A:$A,CS!$A:$AK,24,FALSE),"")</f>
        <v/>
      </c>
      <c r="Q522" s="85">
        <f>IFERROR(VLOOKUP($A:$A,CS!$A:$AK,25,FALSE),"")</f>
        <v/>
      </c>
      <c r="R522" s="85">
        <f>IFERROR(VLOOKUP($A:$A,CS!$A:$AK,26,FALSE),"")</f>
        <v/>
      </c>
      <c r="S522" s="85">
        <f>IFERROR(VLOOKUP($A:$A,CS!$A:$AK,29,FALSE),"")</f>
        <v/>
      </c>
      <c r="T522" s="85">
        <f>IFERROR(VLOOKUP($A:$A,CS!$A:$AK,33,FALSE),"")</f>
        <v/>
      </c>
      <c r="U522" s="85">
        <f>IFERROR(VLOOKUP($A:$A,CS!$A:$AK,34,FALSE),"")</f>
        <v/>
      </c>
      <c r="V522" s="85">
        <f>IFERROR(VLOOKUP($A:$A,CS!$A:$AK,35,FALSE),"")</f>
        <v/>
      </c>
      <c r="W522" s="85">
        <f>IFERROR(VLOOKUP($A:$A,CS!$A:$AK,36,FALSE),"")</f>
        <v/>
      </c>
    </row>
    <row r="523" ht="16.5" customHeight="1">
      <c r="A523" s="158" t="n"/>
      <c r="B523" s="85">
        <f>IFERROR(VLOOKUP($A:$A,CS!$A:$AK,3,FALSE),"")</f>
        <v/>
      </c>
      <c r="C523" s="85">
        <f>IFERROR(VLOOKUP($A:$A,CS!$A:$AK,4,FALSE),"")</f>
        <v/>
      </c>
      <c r="D523" s="85">
        <f>IFERROR(VLOOKUP($A:$A,CS!$A:$AK,5,FALSE),"")</f>
        <v/>
      </c>
      <c r="E523" s="85">
        <f>IFERROR(VLOOKUP($A:$A,CS!$A:$AK,7,FALSE),"")</f>
        <v/>
      </c>
      <c r="F523" s="85">
        <f>IFERROR(VLOOKUP($A:$A,CS!$A:$AK,8,FALSE),"")</f>
        <v/>
      </c>
      <c r="G523" s="85">
        <f>IFERROR(VLOOKUP($A:$A,CS!$A:$AK,10,FALSE),"")</f>
        <v/>
      </c>
      <c r="H523" s="85">
        <f>IFERROR(VLOOKUP($A:$A,CS!$A:$AK,14,FALSE),"")</f>
        <v/>
      </c>
      <c r="I523" s="85">
        <f>IFERROR(VLOOKUP($A:$A,CS!$A:$AK,15,FALSE),"")</f>
        <v/>
      </c>
      <c r="J523" s="85">
        <f>IFERROR(VLOOKUP($A:$A,CS!$A:$AK,18,FALSE),"")</f>
        <v/>
      </c>
      <c r="K523" s="85">
        <f>IFERROR(VLOOKUP($A:$A,CS!$A:$AK,19,FALSE),"")</f>
        <v/>
      </c>
      <c r="L523" s="85">
        <f>IFERROR(VLOOKUP($A:$A,CS!$A:$AK,20,FALSE),"")</f>
        <v/>
      </c>
      <c r="M523" s="85">
        <f>IFERROR(VLOOKUP($A:$A,CS!$A:$AK,22,FALSE),"")</f>
        <v/>
      </c>
      <c r="N523" s="85">
        <f>IFERROR(VLOOKUP($A:$A,CS!$A:$AK,19,FALSE),"")</f>
        <v/>
      </c>
      <c r="O523" s="85">
        <f>IFERROR(VLOOKUP($A:$A,CS!$A:$AK,23,FALSE),"")</f>
        <v/>
      </c>
      <c r="P523" s="85">
        <f>IFERROR(VLOOKUP($A:$A,CS!$A:$AK,24,FALSE),"")</f>
        <v/>
      </c>
      <c r="Q523" s="85">
        <f>IFERROR(VLOOKUP($A:$A,CS!$A:$AK,25,FALSE),"")</f>
        <v/>
      </c>
      <c r="R523" s="85">
        <f>IFERROR(VLOOKUP($A:$A,CS!$A:$AK,26,FALSE),"")</f>
        <v/>
      </c>
      <c r="S523" s="85">
        <f>IFERROR(VLOOKUP($A:$A,CS!$A:$AK,29,FALSE),"")</f>
        <v/>
      </c>
      <c r="T523" s="85">
        <f>IFERROR(VLOOKUP($A:$A,CS!$A:$AK,33,FALSE),"")</f>
        <v/>
      </c>
      <c r="U523" s="85">
        <f>IFERROR(VLOOKUP($A:$A,CS!$A:$AK,34,FALSE),"")</f>
        <v/>
      </c>
      <c r="V523" s="85">
        <f>IFERROR(VLOOKUP($A:$A,CS!$A:$AK,35,FALSE),"")</f>
        <v/>
      </c>
      <c r="W523" s="85">
        <f>IFERROR(VLOOKUP($A:$A,CS!$A:$AK,36,FALSE),"")</f>
        <v/>
      </c>
    </row>
    <row r="524" ht="16.5" customHeight="1">
      <c r="A524" s="158" t="n"/>
      <c r="B524" s="85">
        <f>IFERROR(VLOOKUP($A:$A,CS!$A:$AK,3,FALSE),"")</f>
        <v/>
      </c>
      <c r="C524" s="85">
        <f>IFERROR(VLOOKUP($A:$A,CS!$A:$AK,4,FALSE),"")</f>
        <v/>
      </c>
      <c r="D524" s="85">
        <f>IFERROR(VLOOKUP($A:$A,CS!$A:$AK,5,FALSE),"")</f>
        <v/>
      </c>
      <c r="E524" s="85">
        <f>IFERROR(VLOOKUP($A:$A,CS!$A:$AK,7,FALSE),"")</f>
        <v/>
      </c>
      <c r="F524" s="85">
        <f>IFERROR(VLOOKUP($A:$A,CS!$A:$AK,8,FALSE),"")</f>
        <v/>
      </c>
      <c r="G524" s="85">
        <f>IFERROR(VLOOKUP($A:$A,CS!$A:$AK,10,FALSE),"")</f>
        <v/>
      </c>
      <c r="H524" s="85">
        <f>IFERROR(VLOOKUP($A:$A,CS!$A:$AK,14,FALSE),"")</f>
        <v/>
      </c>
      <c r="I524" s="85">
        <f>IFERROR(VLOOKUP($A:$A,CS!$A:$AK,15,FALSE),"")</f>
        <v/>
      </c>
      <c r="J524" s="85">
        <f>IFERROR(VLOOKUP($A:$A,CS!$A:$AK,18,FALSE),"")</f>
        <v/>
      </c>
      <c r="K524" s="85">
        <f>IFERROR(VLOOKUP($A:$A,CS!$A:$AK,19,FALSE),"")</f>
        <v/>
      </c>
      <c r="L524" s="85">
        <f>IFERROR(VLOOKUP($A:$A,CS!$A:$AK,20,FALSE),"")</f>
        <v/>
      </c>
      <c r="M524" s="85">
        <f>IFERROR(VLOOKUP($A:$A,CS!$A:$AK,22,FALSE),"")</f>
        <v/>
      </c>
      <c r="N524" s="85">
        <f>IFERROR(VLOOKUP($A:$A,CS!$A:$AK,19,FALSE),"")</f>
        <v/>
      </c>
      <c r="O524" s="85">
        <f>IFERROR(VLOOKUP($A:$A,CS!$A:$AK,23,FALSE),"")</f>
        <v/>
      </c>
      <c r="P524" s="85">
        <f>IFERROR(VLOOKUP($A:$A,CS!$A:$AK,24,FALSE),"")</f>
        <v/>
      </c>
      <c r="Q524" s="85">
        <f>IFERROR(VLOOKUP($A:$A,CS!$A:$AK,25,FALSE),"")</f>
        <v/>
      </c>
      <c r="R524" s="85">
        <f>IFERROR(VLOOKUP($A:$A,CS!$A:$AK,26,FALSE),"")</f>
        <v/>
      </c>
      <c r="S524" s="85">
        <f>IFERROR(VLOOKUP($A:$A,CS!$A:$AK,29,FALSE),"")</f>
        <v/>
      </c>
      <c r="T524" s="85">
        <f>IFERROR(VLOOKUP($A:$A,CS!$A:$AK,33,FALSE),"")</f>
        <v/>
      </c>
      <c r="U524" s="85">
        <f>IFERROR(VLOOKUP($A:$A,CS!$A:$AK,34,FALSE),"")</f>
        <v/>
      </c>
      <c r="V524" s="85">
        <f>IFERROR(VLOOKUP($A:$A,CS!$A:$AK,35,FALSE),"")</f>
        <v/>
      </c>
      <c r="W524" s="85">
        <f>IFERROR(VLOOKUP($A:$A,CS!$A:$AK,36,FALSE),"")</f>
        <v/>
      </c>
    </row>
    <row r="525" ht="16.5" customHeight="1">
      <c r="A525" s="158" t="n"/>
      <c r="B525" s="85">
        <f>IFERROR(VLOOKUP($A:$A,CS!$A:$AK,3,FALSE),"")</f>
        <v/>
      </c>
      <c r="C525" s="85">
        <f>IFERROR(VLOOKUP($A:$A,CS!$A:$AK,4,FALSE),"")</f>
        <v/>
      </c>
      <c r="D525" s="85">
        <f>IFERROR(VLOOKUP($A:$A,CS!$A:$AK,5,FALSE),"")</f>
        <v/>
      </c>
      <c r="E525" s="85">
        <f>IFERROR(VLOOKUP($A:$A,CS!$A:$AK,7,FALSE),"")</f>
        <v/>
      </c>
      <c r="F525" s="85">
        <f>IFERROR(VLOOKUP($A:$A,CS!$A:$AK,8,FALSE),"")</f>
        <v/>
      </c>
      <c r="G525" s="85">
        <f>IFERROR(VLOOKUP($A:$A,CS!$A:$AK,10,FALSE),"")</f>
        <v/>
      </c>
      <c r="H525" s="85">
        <f>IFERROR(VLOOKUP($A:$A,CS!$A:$AK,14,FALSE),"")</f>
        <v/>
      </c>
      <c r="I525" s="85">
        <f>IFERROR(VLOOKUP($A:$A,CS!$A:$AK,15,FALSE),"")</f>
        <v/>
      </c>
      <c r="J525" s="85">
        <f>IFERROR(VLOOKUP($A:$A,CS!$A:$AK,18,FALSE),"")</f>
        <v/>
      </c>
      <c r="K525" s="85">
        <f>IFERROR(VLOOKUP($A:$A,CS!$A:$AK,19,FALSE),"")</f>
        <v/>
      </c>
      <c r="L525" s="85">
        <f>IFERROR(VLOOKUP($A:$A,CS!$A:$AK,20,FALSE),"")</f>
        <v/>
      </c>
      <c r="M525" s="85">
        <f>IFERROR(VLOOKUP($A:$A,CS!$A:$AK,22,FALSE),"")</f>
        <v/>
      </c>
      <c r="N525" s="85">
        <f>IFERROR(VLOOKUP($A:$A,CS!$A:$AK,19,FALSE),"")</f>
        <v/>
      </c>
      <c r="O525" s="85">
        <f>IFERROR(VLOOKUP($A:$A,CS!$A:$AK,23,FALSE),"")</f>
        <v/>
      </c>
      <c r="P525" s="85">
        <f>IFERROR(VLOOKUP($A:$A,CS!$A:$AK,24,FALSE),"")</f>
        <v/>
      </c>
      <c r="Q525" s="85">
        <f>IFERROR(VLOOKUP($A:$A,CS!$A:$AK,25,FALSE),"")</f>
        <v/>
      </c>
      <c r="R525" s="85">
        <f>IFERROR(VLOOKUP($A:$A,CS!$A:$AK,26,FALSE),"")</f>
        <v/>
      </c>
      <c r="S525" s="85">
        <f>IFERROR(VLOOKUP($A:$A,CS!$A:$AK,29,FALSE),"")</f>
        <v/>
      </c>
      <c r="T525" s="85">
        <f>IFERROR(VLOOKUP($A:$A,CS!$A:$AK,33,FALSE),"")</f>
        <v/>
      </c>
      <c r="U525" s="85">
        <f>IFERROR(VLOOKUP($A:$A,CS!$A:$AK,34,FALSE),"")</f>
        <v/>
      </c>
      <c r="V525" s="85">
        <f>IFERROR(VLOOKUP($A:$A,CS!$A:$AK,35,FALSE),"")</f>
        <v/>
      </c>
      <c r="W525" s="85">
        <f>IFERROR(VLOOKUP($A:$A,CS!$A:$AK,36,FALSE),"")</f>
        <v/>
      </c>
    </row>
    <row r="526" ht="16.5" customHeight="1">
      <c r="A526" s="158" t="n"/>
      <c r="B526" s="85">
        <f>IFERROR(VLOOKUP($A:$A,CS!$A:$AK,3,FALSE),"")</f>
        <v/>
      </c>
      <c r="C526" s="85">
        <f>IFERROR(VLOOKUP($A:$A,CS!$A:$AK,4,FALSE),"")</f>
        <v/>
      </c>
      <c r="D526" s="85">
        <f>IFERROR(VLOOKUP($A:$A,CS!$A:$AK,5,FALSE),"")</f>
        <v/>
      </c>
      <c r="E526" s="85">
        <f>IFERROR(VLOOKUP($A:$A,CS!$A:$AK,7,FALSE),"")</f>
        <v/>
      </c>
      <c r="F526" s="85">
        <f>IFERROR(VLOOKUP($A:$A,CS!$A:$AK,8,FALSE),"")</f>
        <v/>
      </c>
      <c r="G526" s="85">
        <f>IFERROR(VLOOKUP($A:$A,CS!$A:$AK,10,FALSE),"")</f>
        <v/>
      </c>
      <c r="H526" s="85">
        <f>IFERROR(VLOOKUP($A:$A,CS!$A:$AK,14,FALSE),"")</f>
        <v/>
      </c>
      <c r="I526" s="85">
        <f>IFERROR(VLOOKUP($A:$A,CS!$A:$AK,15,FALSE),"")</f>
        <v/>
      </c>
      <c r="J526" s="85">
        <f>IFERROR(VLOOKUP($A:$A,CS!$A:$AK,18,FALSE),"")</f>
        <v/>
      </c>
      <c r="K526" s="85">
        <f>IFERROR(VLOOKUP($A:$A,CS!$A:$AK,19,FALSE),"")</f>
        <v/>
      </c>
      <c r="L526" s="85">
        <f>IFERROR(VLOOKUP($A:$A,CS!$A:$AK,20,FALSE),"")</f>
        <v/>
      </c>
      <c r="M526" s="85">
        <f>IFERROR(VLOOKUP($A:$A,CS!$A:$AK,22,FALSE),"")</f>
        <v/>
      </c>
      <c r="N526" s="85">
        <f>IFERROR(VLOOKUP($A:$A,CS!$A:$AK,19,FALSE),"")</f>
        <v/>
      </c>
      <c r="O526" s="85">
        <f>IFERROR(VLOOKUP($A:$A,CS!$A:$AK,23,FALSE),"")</f>
        <v/>
      </c>
      <c r="P526" s="85">
        <f>IFERROR(VLOOKUP($A:$A,CS!$A:$AK,24,FALSE),"")</f>
        <v/>
      </c>
      <c r="Q526" s="85">
        <f>IFERROR(VLOOKUP($A:$A,CS!$A:$AK,25,FALSE),"")</f>
        <v/>
      </c>
      <c r="R526" s="85">
        <f>IFERROR(VLOOKUP($A:$A,CS!$A:$AK,26,FALSE),"")</f>
        <v/>
      </c>
      <c r="S526" s="85">
        <f>IFERROR(VLOOKUP($A:$A,CS!$A:$AK,29,FALSE),"")</f>
        <v/>
      </c>
      <c r="T526" s="85">
        <f>IFERROR(VLOOKUP($A:$A,CS!$A:$AK,33,FALSE),"")</f>
        <v/>
      </c>
      <c r="U526" s="85">
        <f>IFERROR(VLOOKUP($A:$A,CS!$A:$AK,34,FALSE),"")</f>
        <v/>
      </c>
      <c r="V526" s="85">
        <f>IFERROR(VLOOKUP($A:$A,CS!$A:$AK,35,FALSE),"")</f>
        <v/>
      </c>
      <c r="W526" s="85">
        <f>IFERROR(VLOOKUP($A:$A,CS!$A:$AK,36,FALSE),"")</f>
        <v/>
      </c>
    </row>
    <row r="527" ht="16.5" customHeight="1">
      <c r="A527" s="158" t="n"/>
      <c r="B527" s="85">
        <f>IFERROR(VLOOKUP($A:$A,CS!$A:$AK,3,FALSE),"")</f>
        <v/>
      </c>
      <c r="C527" s="85">
        <f>IFERROR(VLOOKUP($A:$A,CS!$A:$AK,4,FALSE),"")</f>
        <v/>
      </c>
      <c r="D527" s="85">
        <f>IFERROR(VLOOKUP($A:$A,CS!$A:$AK,5,FALSE),"")</f>
        <v/>
      </c>
      <c r="E527" s="85">
        <f>IFERROR(VLOOKUP($A:$A,CS!$A:$AK,7,FALSE),"")</f>
        <v/>
      </c>
      <c r="F527" s="85">
        <f>IFERROR(VLOOKUP($A:$A,CS!$A:$AK,8,FALSE),"")</f>
        <v/>
      </c>
      <c r="G527" s="85">
        <f>IFERROR(VLOOKUP($A:$A,CS!$A:$AK,10,FALSE),"")</f>
        <v/>
      </c>
      <c r="H527" s="85">
        <f>IFERROR(VLOOKUP($A:$A,CS!$A:$AK,14,FALSE),"")</f>
        <v/>
      </c>
      <c r="I527" s="85">
        <f>IFERROR(VLOOKUP($A:$A,CS!$A:$AK,15,FALSE),"")</f>
        <v/>
      </c>
      <c r="J527" s="85">
        <f>IFERROR(VLOOKUP($A:$A,CS!$A:$AK,18,FALSE),"")</f>
        <v/>
      </c>
      <c r="K527" s="85">
        <f>IFERROR(VLOOKUP($A:$A,CS!$A:$AK,19,FALSE),"")</f>
        <v/>
      </c>
      <c r="L527" s="85">
        <f>IFERROR(VLOOKUP($A:$A,CS!$A:$AK,20,FALSE),"")</f>
        <v/>
      </c>
      <c r="M527" s="85">
        <f>IFERROR(VLOOKUP($A:$A,CS!$A:$AK,22,FALSE),"")</f>
        <v/>
      </c>
      <c r="N527" s="85">
        <f>IFERROR(VLOOKUP($A:$A,CS!$A:$AK,19,FALSE),"")</f>
        <v/>
      </c>
      <c r="O527" s="85">
        <f>IFERROR(VLOOKUP($A:$A,CS!$A:$AK,23,FALSE),"")</f>
        <v/>
      </c>
      <c r="P527" s="85">
        <f>IFERROR(VLOOKUP($A:$A,CS!$A:$AK,24,FALSE),"")</f>
        <v/>
      </c>
      <c r="Q527" s="85">
        <f>IFERROR(VLOOKUP($A:$A,CS!$A:$AK,25,FALSE),"")</f>
        <v/>
      </c>
      <c r="R527" s="85">
        <f>IFERROR(VLOOKUP($A:$A,CS!$A:$AK,26,FALSE),"")</f>
        <v/>
      </c>
      <c r="S527" s="85">
        <f>IFERROR(VLOOKUP($A:$A,CS!$A:$AK,29,FALSE),"")</f>
        <v/>
      </c>
      <c r="T527" s="85">
        <f>IFERROR(VLOOKUP($A:$A,CS!$A:$AK,33,FALSE),"")</f>
        <v/>
      </c>
      <c r="U527" s="85">
        <f>IFERROR(VLOOKUP($A:$A,CS!$A:$AK,34,FALSE),"")</f>
        <v/>
      </c>
      <c r="V527" s="85">
        <f>IFERROR(VLOOKUP($A:$A,CS!$A:$AK,35,FALSE),"")</f>
        <v/>
      </c>
      <c r="W527" s="85">
        <f>IFERROR(VLOOKUP($A:$A,CS!$A:$AK,36,FALSE),"")</f>
        <v/>
      </c>
    </row>
    <row r="528" ht="16.5" customHeight="1">
      <c r="A528" s="158" t="n"/>
      <c r="B528" s="85">
        <f>IFERROR(VLOOKUP($A:$A,CS!$A:$AK,3,FALSE),"")</f>
        <v/>
      </c>
      <c r="C528" s="85">
        <f>IFERROR(VLOOKUP($A:$A,CS!$A:$AK,4,FALSE),"")</f>
        <v/>
      </c>
      <c r="D528" s="85">
        <f>IFERROR(VLOOKUP($A:$A,CS!$A:$AK,5,FALSE),"")</f>
        <v/>
      </c>
      <c r="E528" s="85">
        <f>IFERROR(VLOOKUP($A:$A,CS!$A:$AK,7,FALSE),"")</f>
        <v/>
      </c>
      <c r="F528" s="85">
        <f>IFERROR(VLOOKUP($A:$A,CS!$A:$AK,8,FALSE),"")</f>
        <v/>
      </c>
      <c r="G528" s="85">
        <f>IFERROR(VLOOKUP($A:$A,CS!$A:$AK,10,FALSE),"")</f>
        <v/>
      </c>
      <c r="H528" s="85">
        <f>IFERROR(VLOOKUP($A:$A,CS!$A:$AK,14,FALSE),"")</f>
        <v/>
      </c>
      <c r="I528" s="85">
        <f>IFERROR(VLOOKUP($A:$A,CS!$A:$AK,15,FALSE),"")</f>
        <v/>
      </c>
      <c r="J528" s="85">
        <f>IFERROR(VLOOKUP($A:$A,CS!$A:$AK,18,FALSE),"")</f>
        <v/>
      </c>
      <c r="K528" s="85">
        <f>IFERROR(VLOOKUP($A:$A,CS!$A:$AK,19,FALSE),"")</f>
        <v/>
      </c>
      <c r="L528" s="85">
        <f>IFERROR(VLOOKUP($A:$A,CS!$A:$AK,20,FALSE),"")</f>
        <v/>
      </c>
      <c r="M528" s="85">
        <f>IFERROR(VLOOKUP($A:$A,CS!$A:$AK,22,FALSE),"")</f>
        <v/>
      </c>
      <c r="N528" s="85">
        <f>IFERROR(VLOOKUP($A:$A,CS!$A:$AK,19,FALSE),"")</f>
        <v/>
      </c>
      <c r="O528" s="85">
        <f>IFERROR(VLOOKUP($A:$A,CS!$A:$AK,23,FALSE),"")</f>
        <v/>
      </c>
      <c r="P528" s="85">
        <f>IFERROR(VLOOKUP($A:$A,CS!$A:$AK,24,FALSE),"")</f>
        <v/>
      </c>
      <c r="Q528" s="85">
        <f>IFERROR(VLOOKUP($A:$A,CS!$A:$AK,25,FALSE),"")</f>
        <v/>
      </c>
      <c r="R528" s="85">
        <f>IFERROR(VLOOKUP($A:$A,CS!$A:$AK,26,FALSE),"")</f>
        <v/>
      </c>
      <c r="S528" s="85">
        <f>IFERROR(VLOOKUP($A:$A,CS!$A:$AK,29,FALSE),"")</f>
        <v/>
      </c>
      <c r="T528" s="85">
        <f>IFERROR(VLOOKUP($A:$A,CS!$A:$AK,33,FALSE),"")</f>
        <v/>
      </c>
      <c r="U528" s="85">
        <f>IFERROR(VLOOKUP($A:$A,CS!$A:$AK,34,FALSE),"")</f>
        <v/>
      </c>
      <c r="V528" s="85">
        <f>IFERROR(VLOOKUP($A:$A,CS!$A:$AK,35,FALSE),"")</f>
        <v/>
      </c>
      <c r="W528" s="85">
        <f>IFERROR(VLOOKUP($A:$A,CS!$A:$AK,36,FALSE),"")</f>
        <v/>
      </c>
    </row>
    <row r="529" ht="16.5" customHeight="1">
      <c r="A529" s="158" t="n"/>
      <c r="B529" s="85">
        <f>IFERROR(VLOOKUP($A:$A,CS!$A:$AK,3,FALSE),"")</f>
        <v/>
      </c>
      <c r="C529" s="85">
        <f>IFERROR(VLOOKUP($A:$A,CS!$A:$AK,4,FALSE),"")</f>
        <v/>
      </c>
      <c r="D529" s="85">
        <f>IFERROR(VLOOKUP($A:$A,CS!$A:$AK,5,FALSE),"")</f>
        <v/>
      </c>
      <c r="E529" s="85">
        <f>IFERROR(VLOOKUP($A:$A,CS!$A:$AK,7,FALSE),"")</f>
        <v/>
      </c>
      <c r="F529" s="85">
        <f>IFERROR(VLOOKUP($A:$A,CS!$A:$AK,8,FALSE),"")</f>
        <v/>
      </c>
      <c r="G529" s="85">
        <f>IFERROR(VLOOKUP($A:$A,CS!$A:$AK,10,FALSE),"")</f>
        <v/>
      </c>
      <c r="H529" s="85">
        <f>IFERROR(VLOOKUP($A:$A,CS!$A:$AK,14,FALSE),"")</f>
        <v/>
      </c>
      <c r="I529" s="85">
        <f>IFERROR(VLOOKUP($A:$A,CS!$A:$AK,15,FALSE),"")</f>
        <v/>
      </c>
      <c r="J529" s="85">
        <f>IFERROR(VLOOKUP($A:$A,CS!$A:$AK,18,FALSE),"")</f>
        <v/>
      </c>
      <c r="K529" s="85">
        <f>IFERROR(VLOOKUP($A:$A,CS!$A:$AK,19,FALSE),"")</f>
        <v/>
      </c>
      <c r="L529" s="85">
        <f>IFERROR(VLOOKUP($A:$A,CS!$A:$AK,20,FALSE),"")</f>
        <v/>
      </c>
      <c r="M529" s="85">
        <f>IFERROR(VLOOKUP($A:$A,CS!$A:$AK,22,FALSE),"")</f>
        <v/>
      </c>
      <c r="N529" s="85">
        <f>IFERROR(VLOOKUP($A:$A,CS!$A:$AK,19,FALSE),"")</f>
        <v/>
      </c>
      <c r="O529" s="85">
        <f>IFERROR(VLOOKUP($A:$A,CS!$A:$AK,23,FALSE),"")</f>
        <v/>
      </c>
      <c r="P529" s="85">
        <f>IFERROR(VLOOKUP($A:$A,CS!$A:$AK,24,FALSE),"")</f>
        <v/>
      </c>
      <c r="Q529" s="85">
        <f>IFERROR(VLOOKUP($A:$A,CS!$A:$AK,25,FALSE),"")</f>
        <v/>
      </c>
      <c r="R529" s="85">
        <f>IFERROR(VLOOKUP($A:$A,CS!$A:$AK,26,FALSE),"")</f>
        <v/>
      </c>
      <c r="S529" s="85">
        <f>IFERROR(VLOOKUP($A:$A,CS!$A:$AK,29,FALSE),"")</f>
        <v/>
      </c>
      <c r="T529" s="85">
        <f>IFERROR(VLOOKUP($A:$A,CS!$A:$AK,33,FALSE),"")</f>
        <v/>
      </c>
      <c r="U529" s="85">
        <f>IFERROR(VLOOKUP($A:$A,CS!$A:$AK,34,FALSE),"")</f>
        <v/>
      </c>
      <c r="V529" s="85">
        <f>IFERROR(VLOOKUP($A:$A,CS!$A:$AK,35,FALSE),"")</f>
        <v/>
      </c>
      <c r="W529" s="85">
        <f>IFERROR(VLOOKUP($A:$A,CS!$A:$AK,36,FALSE),"")</f>
        <v/>
      </c>
    </row>
    <row r="530" ht="16.5" customHeight="1">
      <c r="A530" s="158" t="n"/>
      <c r="B530" s="85">
        <f>IFERROR(VLOOKUP($A:$A,CS!$A:$AK,3,FALSE),"")</f>
        <v/>
      </c>
      <c r="C530" s="85">
        <f>IFERROR(VLOOKUP($A:$A,CS!$A:$AK,4,FALSE),"")</f>
        <v/>
      </c>
      <c r="D530" s="85">
        <f>IFERROR(VLOOKUP($A:$A,CS!$A:$AK,5,FALSE),"")</f>
        <v/>
      </c>
      <c r="E530" s="85">
        <f>IFERROR(VLOOKUP($A:$A,CS!$A:$AK,7,FALSE),"")</f>
        <v/>
      </c>
      <c r="F530" s="85">
        <f>IFERROR(VLOOKUP($A:$A,CS!$A:$AK,8,FALSE),"")</f>
        <v/>
      </c>
      <c r="G530" s="85">
        <f>IFERROR(VLOOKUP($A:$A,CS!$A:$AK,10,FALSE),"")</f>
        <v/>
      </c>
      <c r="H530" s="85">
        <f>IFERROR(VLOOKUP($A:$A,CS!$A:$AK,14,FALSE),"")</f>
        <v/>
      </c>
      <c r="I530" s="85">
        <f>IFERROR(VLOOKUP($A:$A,CS!$A:$AK,15,FALSE),"")</f>
        <v/>
      </c>
      <c r="J530" s="85">
        <f>IFERROR(VLOOKUP($A:$A,CS!$A:$AK,18,FALSE),"")</f>
        <v/>
      </c>
      <c r="K530" s="85">
        <f>IFERROR(VLOOKUP($A:$A,CS!$A:$AK,19,FALSE),"")</f>
        <v/>
      </c>
      <c r="L530" s="85">
        <f>IFERROR(VLOOKUP($A:$A,CS!$A:$AK,20,FALSE),"")</f>
        <v/>
      </c>
      <c r="M530" s="85">
        <f>IFERROR(VLOOKUP($A:$A,CS!$A:$AK,22,FALSE),"")</f>
        <v/>
      </c>
      <c r="N530" s="85">
        <f>IFERROR(VLOOKUP($A:$A,CS!$A:$AK,19,FALSE),"")</f>
        <v/>
      </c>
      <c r="O530" s="85">
        <f>IFERROR(VLOOKUP($A:$A,CS!$A:$AK,23,FALSE),"")</f>
        <v/>
      </c>
      <c r="P530" s="85">
        <f>IFERROR(VLOOKUP($A:$A,CS!$A:$AK,24,FALSE),"")</f>
        <v/>
      </c>
      <c r="Q530" s="85">
        <f>IFERROR(VLOOKUP($A:$A,CS!$A:$AK,25,FALSE),"")</f>
        <v/>
      </c>
      <c r="R530" s="85">
        <f>IFERROR(VLOOKUP($A:$A,CS!$A:$AK,26,FALSE),"")</f>
        <v/>
      </c>
      <c r="S530" s="85">
        <f>IFERROR(VLOOKUP($A:$A,CS!$A:$AK,29,FALSE),"")</f>
        <v/>
      </c>
      <c r="T530" s="85">
        <f>IFERROR(VLOOKUP($A:$A,CS!$A:$AK,33,FALSE),"")</f>
        <v/>
      </c>
      <c r="U530" s="85">
        <f>IFERROR(VLOOKUP($A:$A,CS!$A:$AK,34,FALSE),"")</f>
        <v/>
      </c>
      <c r="V530" s="85">
        <f>IFERROR(VLOOKUP($A:$A,CS!$A:$AK,35,FALSE),"")</f>
        <v/>
      </c>
      <c r="W530" s="85">
        <f>IFERROR(VLOOKUP($A:$A,CS!$A:$AK,36,FALSE),"")</f>
        <v/>
      </c>
    </row>
    <row r="531" ht="16.5" customHeight="1">
      <c r="A531" s="158" t="n"/>
      <c r="B531" s="85">
        <f>IFERROR(VLOOKUP($A:$A,CS!$A:$AK,3,FALSE),"")</f>
        <v/>
      </c>
      <c r="C531" s="85">
        <f>IFERROR(VLOOKUP($A:$A,CS!$A:$AK,4,FALSE),"")</f>
        <v/>
      </c>
      <c r="D531" s="85">
        <f>IFERROR(VLOOKUP($A:$A,CS!$A:$AK,5,FALSE),"")</f>
        <v/>
      </c>
      <c r="E531" s="85">
        <f>IFERROR(VLOOKUP($A:$A,CS!$A:$AK,7,FALSE),"")</f>
        <v/>
      </c>
      <c r="F531" s="85">
        <f>IFERROR(VLOOKUP($A:$A,CS!$A:$AK,8,FALSE),"")</f>
        <v/>
      </c>
      <c r="G531" s="85">
        <f>IFERROR(VLOOKUP($A:$A,CS!$A:$AK,10,FALSE),"")</f>
        <v/>
      </c>
      <c r="H531" s="85">
        <f>IFERROR(VLOOKUP($A:$A,CS!$A:$AK,14,FALSE),"")</f>
        <v/>
      </c>
      <c r="I531" s="85">
        <f>IFERROR(VLOOKUP($A:$A,CS!$A:$AK,15,FALSE),"")</f>
        <v/>
      </c>
      <c r="J531" s="85">
        <f>IFERROR(VLOOKUP($A:$A,CS!$A:$AK,18,FALSE),"")</f>
        <v/>
      </c>
      <c r="K531" s="85">
        <f>IFERROR(VLOOKUP($A:$A,CS!$A:$AK,19,FALSE),"")</f>
        <v/>
      </c>
      <c r="L531" s="85">
        <f>IFERROR(VLOOKUP($A:$A,CS!$A:$AK,20,FALSE),"")</f>
        <v/>
      </c>
      <c r="M531" s="85">
        <f>IFERROR(VLOOKUP($A:$A,CS!$A:$AK,22,FALSE),"")</f>
        <v/>
      </c>
      <c r="N531" s="85">
        <f>IFERROR(VLOOKUP($A:$A,CS!$A:$AK,19,FALSE),"")</f>
        <v/>
      </c>
      <c r="O531" s="85">
        <f>IFERROR(VLOOKUP($A:$A,CS!$A:$AK,23,FALSE),"")</f>
        <v/>
      </c>
      <c r="P531" s="85">
        <f>IFERROR(VLOOKUP($A:$A,CS!$A:$AK,24,FALSE),"")</f>
        <v/>
      </c>
      <c r="Q531" s="85">
        <f>IFERROR(VLOOKUP($A:$A,CS!$A:$AK,25,FALSE),"")</f>
        <v/>
      </c>
      <c r="R531" s="85">
        <f>IFERROR(VLOOKUP($A:$A,CS!$A:$AK,26,FALSE),"")</f>
        <v/>
      </c>
      <c r="S531" s="85">
        <f>IFERROR(VLOOKUP($A:$A,CS!$A:$AK,29,FALSE),"")</f>
        <v/>
      </c>
      <c r="T531" s="85">
        <f>IFERROR(VLOOKUP($A:$A,CS!$A:$AK,33,FALSE),"")</f>
        <v/>
      </c>
      <c r="U531" s="85">
        <f>IFERROR(VLOOKUP($A:$A,CS!$A:$AK,34,FALSE),"")</f>
        <v/>
      </c>
      <c r="V531" s="85">
        <f>IFERROR(VLOOKUP($A:$A,CS!$A:$AK,35,FALSE),"")</f>
        <v/>
      </c>
      <c r="W531" s="85">
        <f>IFERROR(VLOOKUP($A:$A,CS!$A:$AK,36,FALSE),"")</f>
        <v/>
      </c>
    </row>
    <row r="532" ht="16.5" customHeight="1">
      <c r="A532" s="158" t="n"/>
      <c r="B532" s="85">
        <f>IFERROR(VLOOKUP($A:$A,CS!$A:$AK,3,FALSE),"")</f>
        <v/>
      </c>
      <c r="C532" s="85">
        <f>IFERROR(VLOOKUP($A:$A,CS!$A:$AK,4,FALSE),"")</f>
        <v/>
      </c>
      <c r="D532" s="85">
        <f>IFERROR(VLOOKUP($A:$A,CS!$A:$AK,5,FALSE),"")</f>
        <v/>
      </c>
      <c r="E532" s="85">
        <f>IFERROR(VLOOKUP($A:$A,CS!$A:$AK,7,FALSE),"")</f>
        <v/>
      </c>
      <c r="F532" s="85">
        <f>IFERROR(VLOOKUP($A:$A,CS!$A:$AK,8,FALSE),"")</f>
        <v/>
      </c>
      <c r="G532" s="85">
        <f>IFERROR(VLOOKUP($A:$A,CS!$A:$AK,10,FALSE),"")</f>
        <v/>
      </c>
      <c r="H532" s="85">
        <f>IFERROR(VLOOKUP($A:$A,CS!$A:$AK,14,FALSE),"")</f>
        <v/>
      </c>
      <c r="I532" s="85">
        <f>IFERROR(VLOOKUP($A:$A,CS!$A:$AK,15,FALSE),"")</f>
        <v/>
      </c>
      <c r="J532" s="85">
        <f>IFERROR(VLOOKUP($A:$A,CS!$A:$AK,18,FALSE),"")</f>
        <v/>
      </c>
      <c r="K532" s="85">
        <f>IFERROR(VLOOKUP($A:$A,CS!$A:$AK,19,FALSE),"")</f>
        <v/>
      </c>
      <c r="L532" s="85">
        <f>IFERROR(VLOOKUP($A:$A,CS!$A:$AK,20,FALSE),"")</f>
        <v/>
      </c>
      <c r="M532" s="85">
        <f>IFERROR(VLOOKUP($A:$A,CS!$A:$AK,22,FALSE),"")</f>
        <v/>
      </c>
      <c r="N532" s="85">
        <f>IFERROR(VLOOKUP($A:$A,CS!$A:$AK,19,FALSE),"")</f>
        <v/>
      </c>
      <c r="O532" s="85">
        <f>IFERROR(VLOOKUP($A:$A,CS!$A:$AK,23,FALSE),"")</f>
        <v/>
      </c>
      <c r="P532" s="85">
        <f>IFERROR(VLOOKUP($A:$A,CS!$A:$AK,24,FALSE),"")</f>
        <v/>
      </c>
      <c r="Q532" s="85">
        <f>IFERROR(VLOOKUP($A:$A,CS!$A:$AK,25,FALSE),"")</f>
        <v/>
      </c>
      <c r="R532" s="85">
        <f>IFERROR(VLOOKUP($A:$A,CS!$A:$AK,26,FALSE),"")</f>
        <v/>
      </c>
      <c r="S532" s="85">
        <f>IFERROR(VLOOKUP($A:$A,CS!$A:$AK,29,FALSE),"")</f>
        <v/>
      </c>
      <c r="T532" s="85">
        <f>IFERROR(VLOOKUP($A:$A,CS!$A:$AK,33,FALSE),"")</f>
        <v/>
      </c>
      <c r="U532" s="85">
        <f>IFERROR(VLOOKUP($A:$A,CS!$A:$AK,34,FALSE),"")</f>
        <v/>
      </c>
      <c r="V532" s="85">
        <f>IFERROR(VLOOKUP($A:$A,CS!$A:$AK,35,FALSE),"")</f>
        <v/>
      </c>
      <c r="W532" s="85">
        <f>IFERROR(VLOOKUP($A:$A,CS!$A:$AK,36,FALSE),"")</f>
        <v/>
      </c>
    </row>
    <row r="533" ht="16.5" customHeight="1">
      <c r="A533" s="158" t="n"/>
      <c r="B533" s="85">
        <f>IFERROR(VLOOKUP($A:$A,CS!$A:$AK,3,FALSE),"")</f>
        <v/>
      </c>
      <c r="C533" s="85">
        <f>IFERROR(VLOOKUP($A:$A,CS!$A:$AK,4,FALSE),"")</f>
        <v/>
      </c>
      <c r="D533" s="85">
        <f>IFERROR(VLOOKUP($A:$A,CS!$A:$AK,5,FALSE),"")</f>
        <v/>
      </c>
      <c r="E533" s="85">
        <f>IFERROR(VLOOKUP($A:$A,CS!$A:$AK,7,FALSE),"")</f>
        <v/>
      </c>
      <c r="F533" s="85">
        <f>IFERROR(VLOOKUP($A:$A,CS!$A:$AK,8,FALSE),"")</f>
        <v/>
      </c>
      <c r="G533" s="85">
        <f>IFERROR(VLOOKUP($A:$A,CS!$A:$AK,10,FALSE),"")</f>
        <v/>
      </c>
      <c r="H533" s="85">
        <f>IFERROR(VLOOKUP($A:$A,CS!$A:$AK,14,FALSE),"")</f>
        <v/>
      </c>
      <c r="I533" s="85">
        <f>IFERROR(VLOOKUP($A:$A,CS!$A:$AK,15,FALSE),"")</f>
        <v/>
      </c>
      <c r="J533" s="85">
        <f>IFERROR(VLOOKUP($A:$A,CS!$A:$AK,18,FALSE),"")</f>
        <v/>
      </c>
      <c r="K533" s="85">
        <f>IFERROR(VLOOKUP($A:$A,CS!$A:$AK,19,FALSE),"")</f>
        <v/>
      </c>
      <c r="L533" s="85">
        <f>IFERROR(VLOOKUP($A:$A,CS!$A:$AK,20,FALSE),"")</f>
        <v/>
      </c>
      <c r="M533" s="85">
        <f>IFERROR(VLOOKUP($A:$A,CS!$A:$AK,22,FALSE),"")</f>
        <v/>
      </c>
      <c r="N533" s="85">
        <f>IFERROR(VLOOKUP($A:$A,CS!$A:$AK,19,FALSE),"")</f>
        <v/>
      </c>
      <c r="O533" s="85">
        <f>IFERROR(VLOOKUP($A:$A,CS!$A:$AK,23,FALSE),"")</f>
        <v/>
      </c>
      <c r="P533" s="85">
        <f>IFERROR(VLOOKUP($A:$A,CS!$A:$AK,24,FALSE),"")</f>
        <v/>
      </c>
      <c r="Q533" s="85">
        <f>IFERROR(VLOOKUP($A:$A,CS!$A:$AK,25,FALSE),"")</f>
        <v/>
      </c>
      <c r="R533" s="85">
        <f>IFERROR(VLOOKUP($A:$A,CS!$A:$AK,26,FALSE),"")</f>
        <v/>
      </c>
      <c r="S533" s="85">
        <f>IFERROR(VLOOKUP($A:$A,CS!$A:$AK,29,FALSE),"")</f>
        <v/>
      </c>
      <c r="T533" s="85">
        <f>IFERROR(VLOOKUP($A:$A,CS!$A:$AK,33,FALSE),"")</f>
        <v/>
      </c>
      <c r="U533" s="85">
        <f>IFERROR(VLOOKUP($A:$A,CS!$A:$AK,34,FALSE),"")</f>
        <v/>
      </c>
      <c r="V533" s="85">
        <f>IFERROR(VLOOKUP($A:$A,CS!$A:$AK,35,FALSE),"")</f>
        <v/>
      </c>
      <c r="W533" s="85">
        <f>IFERROR(VLOOKUP($A:$A,CS!$A:$AK,36,FALSE),"")</f>
        <v/>
      </c>
    </row>
    <row r="534" ht="16.5" customHeight="1">
      <c r="A534" s="158" t="n"/>
      <c r="B534" s="85">
        <f>IFERROR(VLOOKUP($A:$A,CS!$A:$AK,3,FALSE),"")</f>
        <v/>
      </c>
      <c r="C534" s="85">
        <f>IFERROR(VLOOKUP($A:$A,CS!$A:$AK,4,FALSE),"")</f>
        <v/>
      </c>
      <c r="D534" s="85">
        <f>IFERROR(VLOOKUP($A:$A,CS!$A:$AK,5,FALSE),"")</f>
        <v/>
      </c>
      <c r="E534" s="85">
        <f>IFERROR(VLOOKUP($A:$A,CS!$A:$AK,7,FALSE),"")</f>
        <v/>
      </c>
      <c r="F534" s="85">
        <f>IFERROR(VLOOKUP($A:$A,CS!$A:$AK,8,FALSE),"")</f>
        <v/>
      </c>
      <c r="G534" s="85">
        <f>IFERROR(VLOOKUP($A:$A,CS!$A:$AK,10,FALSE),"")</f>
        <v/>
      </c>
      <c r="H534" s="85">
        <f>IFERROR(VLOOKUP($A:$A,CS!$A:$AK,14,FALSE),"")</f>
        <v/>
      </c>
      <c r="I534" s="85">
        <f>IFERROR(VLOOKUP($A:$A,CS!$A:$AK,15,FALSE),"")</f>
        <v/>
      </c>
      <c r="J534" s="85">
        <f>IFERROR(VLOOKUP($A:$A,CS!$A:$AK,18,FALSE),"")</f>
        <v/>
      </c>
      <c r="K534" s="85">
        <f>IFERROR(VLOOKUP($A:$A,CS!$A:$AK,19,FALSE),"")</f>
        <v/>
      </c>
      <c r="L534" s="85">
        <f>IFERROR(VLOOKUP($A:$A,CS!$A:$AK,20,FALSE),"")</f>
        <v/>
      </c>
      <c r="M534" s="85">
        <f>IFERROR(VLOOKUP($A:$A,CS!$A:$AK,22,FALSE),"")</f>
        <v/>
      </c>
      <c r="N534" s="85">
        <f>IFERROR(VLOOKUP($A:$A,CS!$A:$AK,19,FALSE),"")</f>
        <v/>
      </c>
      <c r="O534" s="85">
        <f>IFERROR(VLOOKUP($A:$A,CS!$A:$AK,23,FALSE),"")</f>
        <v/>
      </c>
      <c r="P534" s="85">
        <f>IFERROR(VLOOKUP($A:$A,CS!$A:$AK,24,FALSE),"")</f>
        <v/>
      </c>
      <c r="Q534" s="85">
        <f>IFERROR(VLOOKUP($A:$A,CS!$A:$AK,25,FALSE),"")</f>
        <v/>
      </c>
      <c r="R534" s="85">
        <f>IFERROR(VLOOKUP($A:$A,CS!$A:$AK,26,FALSE),"")</f>
        <v/>
      </c>
      <c r="S534" s="85">
        <f>IFERROR(VLOOKUP($A:$A,CS!$A:$AK,29,FALSE),"")</f>
        <v/>
      </c>
      <c r="T534" s="85">
        <f>IFERROR(VLOOKUP($A:$A,CS!$A:$AK,33,FALSE),"")</f>
        <v/>
      </c>
      <c r="U534" s="85">
        <f>IFERROR(VLOOKUP($A:$A,CS!$A:$AK,34,FALSE),"")</f>
        <v/>
      </c>
      <c r="V534" s="85">
        <f>IFERROR(VLOOKUP($A:$A,CS!$A:$AK,35,FALSE),"")</f>
        <v/>
      </c>
      <c r="W534" s="85">
        <f>IFERROR(VLOOKUP($A:$A,CS!$A:$AK,36,FALSE),"")</f>
        <v/>
      </c>
    </row>
    <row r="535" ht="16.5" customHeight="1">
      <c r="A535" s="158" t="n"/>
      <c r="B535" s="85">
        <f>IFERROR(VLOOKUP($A:$A,CS!$A:$AK,3,FALSE),"")</f>
        <v/>
      </c>
      <c r="C535" s="85">
        <f>IFERROR(VLOOKUP($A:$A,CS!$A:$AK,4,FALSE),"")</f>
        <v/>
      </c>
      <c r="D535" s="85">
        <f>IFERROR(VLOOKUP($A:$A,CS!$A:$AK,5,FALSE),"")</f>
        <v/>
      </c>
      <c r="E535" s="85">
        <f>IFERROR(VLOOKUP($A:$A,CS!$A:$AK,7,FALSE),"")</f>
        <v/>
      </c>
      <c r="F535" s="85">
        <f>IFERROR(VLOOKUP($A:$A,CS!$A:$AK,8,FALSE),"")</f>
        <v/>
      </c>
      <c r="G535" s="85">
        <f>IFERROR(VLOOKUP($A:$A,CS!$A:$AK,10,FALSE),"")</f>
        <v/>
      </c>
      <c r="H535" s="85">
        <f>IFERROR(VLOOKUP($A:$A,CS!$A:$AK,14,FALSE),"")</f>
        <v/>
      </c>
      <c r="I535" s="85">
        <f>IFERROR(VLOOKUP($A:$A,CS!$A:$AK,15,FALSE),"")</f>
        <v/>
      </c>
      <c r="J535" s="85">
        <f>IFERROR(VLOOKUP($A:$A,CS!$A:$AK,18,FALSE),"")</f>
        <v/>
      </c>
      <c r="K535" s="85">
        <f>IFERROR(VLOOKUP($A:$A,CS!$A:$AK,19,FALSE),"")</f>
        <v/>
      </c>
      <c r="L535" s="85">
        <f>IFERROR(VLOOKUP($A:$A,CS!$A:$AK,20,FALSE),"")</f>
        <v/>
      </c>
      <c r="M535" s="85">
        <f>IFERROR(VLOOKUP($A:$A,CS!$A:$AK,22,FALSE),"")</f>
        <v/>
      </c>
      <c r="N535" s="85">
        <f>IFERROR(VLOOKUP($A:$A,CS!$A:$AK,19,FALSE),"")</f>
        <v/>
      </c>
      <c r="O535" s="85">
        <f>IFERROR(VLOOKUP($A:$A,CS!$A:$AK,23,FALSE),"")</f>
        <v/>
      </c>
      <c r="P535" s="85">
        <f>IFERROR(VLOOKUP($A:$A,CS!$A:$AK,24,FALSE),"")</f>
        <v/>
      </c>
      <c r="Q535" s="85">
        <f>IFERROR(VLOOKUP($A:$A,CS!$A:$AK,25,FALSE),"")</f>
        <v/>
      </c>
      <c r="R535" s="85">
        <f>IFERROR(VLOOKUP($A:$A,CS!$A:$AK,26,FALSE),"")</f>
        <v/>
      </c>
      <c r="S535" s="85">
        <f>IFERROR(VLOOKUP($A:$A,CS!$A:$AK,29,FALSE),"")</f>
        <v/>
      </c>
      <c r="T535" s="85">
        <f>IFERROR(VLOOKUP($A:$A,CS!$A:$AK,33,FALSE),"")</f>
        <v/>
      </c>
      <c r="U535" s="85">
        <f>IFERROR(VLOOKUP($A:$A,CS!$A:$AK,34,FALSE),"")</f>
        <v/>
      </c>
      <c r="V535" s="85">
        <f>IFERROR(VLOOKUP($A:$A,CS!$A:$AK,35,FALSE),"")</f>
        <v/>
      </c>
      <c r="W535" s="85">
        <f>IFERROR(VLOOKUP($A:$A,CS!$A:$AK,36,FALSE),"")</f>
        <v/>
      </c>
    </row>
    <row r="536" ht="16.5" customHeight="1">
      <c r="A536" s="158" t="n"/>
      <c r="B536" s="85">
        <f>IFERROR(VLOOKUP($A:$A,CS!$A:$AK,3,FALSE),"")</f>
        <v/>
      </c>
      <c r="C536" s="85">
        <f>IFERROR(VLOOKUP($A:$A,CS!$A:$AK,4,FALSE),"")</f>
        <v/>
      </c>
      <c r="D536" s="85">
        <f>IFERROR(VLOOKUP($A:$A,CS!$A:$AK,5,FALSE),"")</f>
        <v/>
      </c>
      <c r="E536" s="85">
        <f>IFERROR(VLOOKUP($A:$A,CS!$A:$AK,7,FALSE),"")</f>
        <v/>
      </c>
      <c r="F536" s="85">
        <f>IFERROR(VLOOKUP($A:$A,CS!$A:$AK,8,FALSE),"")</f>
        <v/>
      </c>
      <c r="G536" s="85">
        <f>IFERROR(VLOOKUP($A:$A,CS!$A:$AK,10,FALSE),"")</f>
        <v/>
      </c>
      <c r="H536" s="85">
        <f>IFERROR(VLOOKUP($A:$A,CS!$A:$AK,14,FALSE),"")</f>
        <v/>
      </c>
      <c r="I536" s="85">
        <f>IFERROR(VLOOKUP($A:$A,CS!$A:$AK,15,FALSE),"")</f>
        <v/>
      </c>
      <c r="J536" s="85">
        <f>IFERROR(VLOOKUP($A:$A,CS!$A:$AK,18,FALSE),"")</f>
        <v/>
      </c>
      <c r="K536" s="85">
        <f>IFERROR(VLOOKUP($A:$A,CS!$A:$AK,19,FALSE),"")</f>
        <v/>
      </c>
      <c r="L536" s="85">
        <f>IFERROR(VLOOKUP($A:$A,CS!$A:$AK,20,FALSE),"")</f>
        <v/>
      </c>
      <c r="M536" s="85">
        <f>IFERROR(VLOOKUP($A:$A,CS!$A:$AK,22,FALSE),"")</f>
        <v/>
      </c>
      <c r="N536" s="85">
        <f>IFERROR(VLOOKUP($A:$A,CS!$A:$AK,19,FALSE),"")</f>
        <v/>
      </c>
      <c r="O536" s="85">
        <f>IFERROR(VLOOKUP($A:$A,CS!$A:$AK,23,FALSE),"")</f>
        <v/>
      </c>
      <c r="P536" s="85">
        <f>IFERROR(VLOOKUP($A:$A,CS!$A:$AK,24,FALSE),"")</f>
        <v/>
      </c>
      <c r="Q536" s="85">
        <f>IFERROR(VLOOKUP($A:$A,CS!$A:$AK,25,FALSE),"")</f>
        <v/>
      </c>
      <c r="R536" s="85">
        <f>IFERROR(VLOOKUP($A:$A,CS!$A:$AK,26,FALSE),"")</f>
        <v/>
      </c>
      <c r="S536" s="85">
        <f>IFERROR(VLOOKUP($A:$A,CS!$A:$AK,29,FALSE),"")</f>
        <v/>
      </c>
      <c r="T536" s="85">
        <f>IFERROR(VLOOKUP($A:$A,CS!$A:$AK,33,FALSE),"")</f>
        <v/>
      </c>
      <c r="U536" s="85">
        <f>IFERROR(VLOOKUP($A:$A,CS!$A:$AK,34,FALSE),"")</f>
        <v/>
      </c>
      <c r="V536" s="85">
        <f>IFERROR(VLOOKUP($A:$A,CS!$A:$AK,35,FALSE),"")</f>
        <v/>
      </c>
      <c r="W536" s="85">
        <f>IFERROR(VLOOKUP($A:$A,CS!$A:$AK,36,FALSE),"")</f>
        <v/>
      </c>
    </row>
    <row r="537" ht="16.5" customHeight="1">
      <c r="A537" s="158" t="n"/>
      <c r="B537" s="85">
        <f>IFERROR(VLOOKUP($A:$A,CS!$A:$AK,3,FALSE),"")</f>
        <v/>
      </c>
      <c r="C537" s="85">
        <f>IFERROR(VLOOKUP($A:$A,CS!$A:$AK,4,FALSE),"")</f>
        <v/>
      </c>
      <c r="D537" s="85">
        <f>IFERROR(VLOOKUP($A:$A,CS!$A:$AK,5,FALSE),"")</f>
        <v/>
      </c>
      <c r="E537" s="85">
        <f>IFERROR(VLOOKUP($A:$A,CS!$A:$AK,7,FALSE),"")</f>
        <v/>
      </c>
      <c r="F537" s="85">
        <f>IFERROR(VLOOKUP($A:$A,CS!$A:$AK,8,FALSE),"")</f>
        <v/>
      </c>
      <c r="G537" s="85">
        <f>IFERROR(VLOOKUP($A:$A,CS!$A:$AK,10,FALSE),"")</f>
        <v/>
      </c>
      <c r="H537" s="85">
        <f>IFERROR(VLOOKUP($A:$A,CS!$A:$AK,14,FALSE),"")</f>
        <v/>
      </c>
      <c r="I537" s="85">
        <f>IFERROR(VLOOKUP($A:$A,CS!$A:$AK,15,FALSE),"")</f>
        <v/>
      </c>
      <c r="J537" s="85">
        <f>IFERROR(VLOOKUP($A:$A,CS!$A:$AK,18,FALSE),"")</f>
        <v/>
      </c>
      <c r="K537" s="85">
        <f>IFERROR(VLOOKUP($A:$A,CS!$A:$AK,19,FALSE),"")</f>
        <v/>
      </c>
      <c r="L537" s="85">
        <f>IFERROR(VLOOKUP($A:$A,CS!$A:$AK,20,FALSE),"")</f>
        <v/>
      </c>
      <c r="M537" s="85">
        <f>IFERROR(VLOOKUP($A:$A,CS!$A:$AK,22,FALSE),"")</f>
        <v/>
      </c>
      <c r="N537" s="85">
        <f>IFERROR(VLOOKUP($A:$A,CS!$A:$AK,19,FALSE),"")</f>
        <v/>
      </c>
      <c r="O537" s="85">
        <f>IFERROR(VLOOKUP($A:$A,CS!$A:$AK,23,FALSE),"")</f>
        <v/>
      </c>
      <c r="P537" s="85">
        <f>IFERROR(VLOOKUP($A:$A,CS!$A:$AK,24,FALSE),"")</f>
        <v/>
      </c>
      <c r="Q537" s="85">
        <f>IFERROR(VLOOKUP($A:$A,CS!$A:$AK,25,FALSE),"")</f>
        <v/>
      </c>
      <c r="R537" s="85">
        <f>IFERROR(VLOOKUP($A:$A,CS!$A:$AK,26,FALSE),"")</f>
        <v/>
      </c>
      <c r="S537" s="85">
        <f>IFERROR(VLOOKUP($A:$A,CS!$A:$AK,29,FALSE),"")</f>
        <v/>
      </c>
      <c r="T537" s="85">
        <f>IFERROR(VLOOKUP($A:$A,CS!$A:$AK,33,FALSE),"")</f>
        <v/>
      </c>
      <c r="U537" s="85">
        <f>IFERROR(VLOOKUP($A:$A,CS!$A:$AK,34,FALSE),"")</f>
        <v/>
      </c>
      <c r="V537" s="85">
        <f>IFERROR(VLOOKUP($A:$A,CS!$A:$AK,35,FALSE),"")</f>
        <v/>
      </c>
      <c r="W537" s="85">
        <f>IFERROR(VLOOKUP($A:$A,CS!$A:$AK,36,FALSE),"")</f>
        <v/>
      </c>
    </row>
    <row r="538" ht="16.5" customHeight="1">
      <c r="A538" s="158" t="n"/>
      <c r="B538" s="85">
        <f>IFERROR(VLOOKUP($A:$A,CS!$A:$AK,3,FALSE),"")</f>
        <v/>
      </c>
      <c r="C538" s="85">
        <f>IFERROR(VLOOKUP($A:$A,CS!$A:$AK,4,FALSE),"")</f>
        <v/>
      </c>
      <c r="D538" s="85">
        <f>IFERROR(VLOOKUP($A:$A,CS!$A:$AK,5,FALSE),"")</f>
        <v/>
      </c>
      <c r="E538" s="85">
        <f>IFERROR(VLOOKUP($A:$A,CS!$A:$AK,7,FALSE),"")</f>
        <v/>
      </c>
      <c r="F538" s="85">
        <f>IFERROR(VLOOKUP($A:$A,CS!$A:$AK,8,FALSE),"")</f>
        <v/>
      </c>
      <c r="G538" s="85">
        <f>IFERROR(VLOOKUP($A:$A,CS!$A:$AK,10,FALSE),"")</f>
        <v/>
      </c>
      <c r="H538" s="85">
        <f>IFERROR(VLOOKUP($A:$A,CS!$A:$AK,14,FALSE),"")</f>
        <v/>
      </c>
      <c r="I538" s="85">
        <f>IFERROR(VLOOKUP($A:$A,CS!$A:$AK,15,FALSE),"")</f>
        <v/>
      </c>
      <c r="J538" s="85">
        <f>IFERROR(VLOOKUP($A:$A,CS!$A:$AK,18,FALSE),"")</f>
        <v/>
      </c>
      <c r="K538" s="85">
        <f>IFERROR(VLOOKUP($A:$A,CS!$A:$AK,19,FALSE),"")</f>
        <v/>
      </c>
      <c r="L538" s="85">
        <f>IFERROR(VLOOKUP($A:$A,CS!$A:$AK,20,FALSE),"")</f>
        <v/>
      </c>
      <c r="M538" s="85">
        <f>IFERROR(VLOOKUP($A:$A,CS!$A:$AK,22,FALSE),"")</f>
        <v/>
      </c>
      <c r="N538" s="85">
        <f>IFERROR(VLOOKUP($A:$A,CS!$A:$AK,19,FALSE),"")</f>
        <v/>
      </c>
      <c r="O538" s="85">
        <f>IFERROR(VLOOKUP($A:$A,CS!$A:$AK,23,FALSE),"")</f>
        <v/>
      </c>
      <c r="P538" s="85">
        <f>IFERROR(VLOOKUP($A:$A,CS!$A:$AK,24,FALSE),"")</f>
        <v/>
      </c>
      <c r="Q538" s="85">
        <f>IFERROR(VLOOKUP($A:$A,CS!$A:$AK,25,FALSE),"")</f>
        <v/>
      </c>
      <c r="R538" s="85">
        <f>IFERROR(VLOOKUP($A:$A,CS!$A:$AK,26,FALSE),"")</f>
        <v/>
      </c>
      <c r="S538" s="85">
        <f>IFERROR(VLOOKUP($A:$A,CS!$A:$AK,29,FALSE),"")</f>
        <v/>
      </c>
      <c r="T538" s="85">
        <f>IFERROR(VLOOKUP($A:$A,CS!$A:$AK,33,FALSE),"")</f>
        <v/>
      </c>
      <c r="U538" s="85">
        <f>IFERROR(VLOOKUP($A:$A,CS!$A:$AK,34,FALSE),"")</f>
        <v/>
      </c>
      <c r="V538" s="85">
        <f>IFERROR(VLOOKUP($A:$A,CS!$A:$AK,35,FALSE),"")</f>
        <v/>
      </c>
      <c r="W538" s="85">
        <f>IFERROR(VLOOKUP($A:$A,CS!$A:$AK,36,FALSE),"")</f>
        <v/>
      </c>
    </row>
    <row r="539" ht="16.5" customHeight="1">
      <c r="A539" s="158" t="n"/>
      <c r="B539" s="85">
        <f>IFERROR(VLOOKUP($A:$A,CS!$A:$AK,3,FALSE),"")</f>
        <v/>
      </c>
      <c r="C539" s="85">
        <f>IFERROR(VLOOKUP($A:$A,CS!$A:$AK,4,FALSE),"")</f>
        <v/>
      </c>
      <c r="D539" s="85">
        <f>IFERROR(VLOOKUP($A:$A,CS!$A:$AK,5,FALSE),"")</f>
        <v/>
      </c>
      <c r="E539" s="85">
        <f>IFERROR(VLOOKUP($A:$A,CS!$A:$AK,7,FALSE),"")</f>
        <v/>
      </c>
      <c r="F539" s="85">
        <f>IFERROR(VLOOKUP($A:$A,CS!$A:$AK,8,FALSE),"")</f>
        <v/>
      </c>
      <c r="G539" s="85">
        <f>IFERROR(VLOOKUP($A:$A,CS!$A:$AK,10,FALSE),"")</f>
        <v/>
      </c>
      <c r="H539" s="85">
        <f>IFERROR(VLOOKUP($A:$A,CS!$A:$AK,14,FALSE),"")</f>
        <v/>
      </c>
      <c r="I539" s="85">
        <f>IFERROR(VLOOKUP($A:$A,CS!$A:$AK,15,FALSE),"")</f>
        <v/>
      </c>
      <c r="J539" s="85">
        <f>IFERROR(VLOOKUP($A:$A,CS!$A:$AK,18,FALSE),"")</f>
        <v/>
      </c>
      <c r="K539" s="85">
        <f>IFERROR(VLOOKUP($A:$A,CS!$A:$AK,19,FALSE),"")</f>
        <v/>
      </c>
      <c r="L539" s="85">
        <f>IFERROR(VLOOKUP($A:$A,CS!$A:$AK,20,FALSE),"")</f>
        <v/>
      </c>
      <c r="M539" s="85">
        <f>IFERROR(VLOOKUP($A:$A,CS!$A:$AK,22,FALSE),"")</f>
        <v/>
      </c>
      <c r="N539" s="85">
        <f>IFERROR(VLOOKUP($A:$A,CS!$A:$AK,19,FALSE),"")</f>
        <v/>
      </c>
      <c r="O539" s="85">
        <f>IFERROR(VLOOKUP($A:$A,CS!$A:$AK,23,FALSE),"")</f>
        <v/>
      </c>
      <c r="P539" s="85">
        <f>IFERROR(VLOOKUP($A:$A,CS!$A:$AK,24,FALSE),"")</f>
        <v/>
      </c>
      <c r="Q539" s="85">
        <f>IFERROR(VLOOKUP($A:$A,CS!$A:$AK,25,FALSE),"")</f>
        <v/>
      </c>
      <c r="R539" s="85">
        <f>IFERROR(VLOOKUP($A:$A,CS!$A:$AK,26,FALSE),"")</f>
        <v/>
      </c>
      <c r="S539" s="85">
        <f>IFERROR(VLOOKUP($A:$A,CS!$A:$AK,29,FALSE),"")</f>
        <v/>
      </c>
      <c r="T539" s="85">
        <f>IFERROR(VLOOKUP($A:$A,CS!$A:$AK,33,FALSE),"")</f>
        <v/>
      </c>
      <c r="U539" s="85">
        <f>IFERROR(VLOOKUP($A:$A,CS!$A:$AK,34,FALSE),"")</f>
        <v/>
      </c>
      <c r="V539" s="85">
        <f>IFERROR(VLOOKUP($A:$A,CS!$A:$AK,35,FALSE),"")</f>
        <v/>
      </c>
      <c r="W539" s="85">
        <f>IFERROR(VLOOKUP($A:$A,CS!$A:$AK,36,FALSE),"")</f>
        <v/>
      </c>
    </row>
    <row r="540" ht="16.5" customHeight="1">
      <c r="A540" s="158" t="n"/>
      <c r="B540" s="85">
        <f>IFERROR(VLOOKUP($A:$A,CS!$A:$AK,3,FALSE),"")</f>
        <v/>
      </c>
      <c r="C540" s="85">
        <f>IFERROR(VLOOKUP($A:$A,CS!$A:$AK,4,FALSE),"")</f>
        <v/>
      </c>
      <c r="D540" s="85">
        <f>IFERROR(VLOOKUP($A:$A,CS!$A:$AK,5,FALSE),"")</f>
        <v/>
      </c>
      <c r="E540" s="85">
        <f>IFERROR(VLOOKUP($A:$A,CS!$A:$AK,7,FALSE),"")</f>
        <v/>
      </c>
      <c r="F540" s="85">
        <f>IFERROR(VLOOKUP($A:$A,CS!$A:$AK,8,FALSE),"")</f>
        <v/>
      </c>
      <c r="G540" s="85">
        <f>IFERROR(VLOOKUP($A:$A,CS!$A:$AK,10,FALSE),"")</f>
        <v/>
      </c>
      <c r="H540" s="85">
        <f>IFERROR(VLOOKUP($A:$A,CS!$A:$AK,14,FALSE),"")</f>
        <v/>
      </c>
      <c r="I540" s="85">
        <f>IFERROR(VLOOKUP($A:$A,CS!$A:$AK,15,FALSE),"")</f>
        <v/>
      </c>
      <c r="J540" s="85">
        <f>IFERROR(VLOOKUP($A:$A,CS!$A:$AK,18,FALSE),"")</f>
        <v/>
      </c>
      <c r="K540" s="85">
        <f>IFERROR(VLOOKUP($A:$A,CS!$A:$AK,19,FALSE),"")</f>
        <v/>
      </c>
      <c r="L540" s="85">
        <f>IFERROR(VLOOKUP($A:$A,CS!$A:$AK,20,FALSE),"")</f>
        <v/>
      </c>
      <c r="M540" s="85">
        <f>IFERROR(VLOOKUP($A:$A,CS!$A:$AK,22,FALSE),"")</f>
        <v/>
      </c>
      <c r="N540" s="85">
        <f>IFERROR(VLOOKUP($A:$A,CS!$A:$AK,19,FALSE),"")</f>
        <v/>
      </c>
      <c r="O540" s="85">
        <f>IFERROR(VLOOKUP($A:$A,CS!$A:$AK,23,FALSE),"")</f>
        <v/>
      </c>
      <c r="P540" s="85">
        <f>IFERROR(VLOOKUP($A:$A,CS!$A:$AK,24,FALSE),"")</f>
        <v/>
      </c>
      <c r="Q540" s="85">
        <f>IFERROR(VLOOKUP($A:$A,CS!$A:$AK,25,FALSE),"")</f>
        <v/>
      </c>
      <c r="R540" s="85">
        <f>IFERROR(VLOOKUP($A:$A,CS!$A:$AK,26,FALSE),"")</f>
        <v/>
      </c>
      <c r="S540" s="85">
        <f>IFERROR(VLOOKUP($A:$A,CS!$A:$AK,29,FALSE),"")</f>
        <v/>
      </c>
      <c r="T540" s="85">
        <f>IFERROR(VLOOKUP($A:$A,CS!$A:$AK,33,FALSE),"")</f>
        <v/>
      </c>
      <c r="U540" s="85">
        <f>IFERROR(VLOOKUP($A:$A,CS!$A:$AK,34,FALSE),"")</f>
        <v/>
      </c>
      <c r="V540" s="85">
        <f>IFERROR(VLOOKUP($A:$A,CS!$A:$AK,35,FALSE),"")</f>
        <v/>
      </c>
      <c r="W540" s="85">
        <f>IFERROR(VLOOKUP($A:$A,CS!$A:$AK,36,FALSE),"")</f>
        <v/>
      </c>
    </row>
    <row r="541" ht="16.5" customHeight="1">
      <c r="A541" s="158" t="n"/>
      <c r="B541" s="85">
        <f>IFERROR(VLOOKUP($A:$A,CS!$A:$AK,3,FALSE),"")</f>
        <v/>
      </c>
      <c r="C541" s="85">
        <f>IFERROR(VLOOKUP($A:$A,CS!$A:$AK,4,FALSE),"")</f>
        <v/>
      </c>
      <c r="D541" s="85">
        <f>IFERROR(VLOOKUP($A:$A,CS!$A:$AK,5,FALSE),"")</f>
        <v/>
      </c>
      <c r="E541" s="85">
        <f>IFERROR(VLOOKUP($A:$A,CS!$A:$AK,7,FALSE),"")</f>
        <v/>
      </c>
      <c r="F541" s="85">
        <f>IFERROR(VLOOKUP($A:$A,CS!$A:$AK,8,FALSE),"")</f>
        <v/>
      </c>
      <c r="G541" s="85">
        <f>IFERROR(VLOOKUP($A:$A,CS!$A:$AK,10,FALSE),"")</f>
        <v/>
      </c>
      <c r="H541" s="85">
        <f>IFERROR(VLOOKUP($A:$A,CS!$A:$AK,14,FALSE),"")</f>
        <v/>
      </c>
      <c r="I541" s="85">
        <f>IFERROR(VLOOKUP($A:$A,CS!$A:$AK,15,FALSE),"")</f>
        <v/>
      </c>
      <c r="J541" s="85">
        <f>IFERROR(VLOOKUP($A:$A,CS!$A:$AK,18,FALSE),"")</f>
        <v/>
      </c>
      <c r="K541" s="85">
        <f>IFERROR(VLOOKUP($A:$A,CS!$A:$AK,19,FALSE),"")</f>
        <v/>
      </c>
      <c r="L541" s="85">
        <f>IFERROR(VLOOKUP($A:$A,CS!$A:$AK,20,FALSE),"")</f>
        <v/>
      </c>
      <c r="M541" s="85">
        <f>IFERROR(VLOOKUP($A:$A,CS!$A:$AK,22,FALSE),"")</f>
        <v/>
      </c>
      <c r="N541" s="85">
        <f>IFERROR(VLOOKUP($A:$A,CS!$A:$AK,19,FALSE),"")</f>
        <v/>
      </c>
      <c r="O541" s="85">
        <f>IFERROR(VLOOKUP($A:$A,CS!$A:$AK,23,FALSE),"")</f>
        <v/>
      </c>
      <c r="P541" s="85">
        <f>IFERROR(VLOOKUP($A:$A,CS!$A:$AK,24,FALSE),"")</f>
        <v/>
      </c>
      <c r="Q541" s="85">
        <f>IFERROR(VLOOKUP($A:$A,CS!$A:$AK,25,FALSE),"")</f>
        <v/>
      </c>
      <c r="R541" s="85">
        <f>IFERROR(VLOOKUP($A:$A,CS!$A:$AK,26,FALSE),"")</f>
        <v/>
      </c>
      <c r="S541" s="85">
        <f>IFERROR(VLOOKUP($A:$A,CS!$A:$AK,29,FALSE),"")</f>
        <v/>
      </c>
      <c r="T541" s="85">
        <f>IFERROR(VLOOKUP($A:$A,CS!$A:$AK,33,FALSE),"")</f>
        <v/>
      </c>
      <c r="U541" s="85">
        <f>IFERROR(VLOOKUP($A:$A,CS!$A:$AK,34,FALSE),"")</f>
        <v/>
      </c>
      <c r="V541" s="85">
        <f>IFERROR(VLOOKUP($A:$A,CS!$A:$AK,35,FALSE),"")</f>
        <v/>
      </c>
      <c r="W541" s="85">
        <f>IFERROR(VLOOKUP($A:$A,CS!$A:$AK,36,FALSE),"")</f>
        <v/>
      </c>
    </row>
    <row r="542" ht="16.5" customHeight="1">
      <c r="A542" s="158" t="n"/>
      <c r="B542" s="85">
        <f>IFERROR(VLOOKUP($A:$A,CS!$A:$AK,3,FALSE),"")</f>
        <v/>
      </c>
      <c r="C542" s="85">
        <f>IFERROR(VLOOKUP($A:$A,CS!$A:$AK,4,FALSE),"")</f>
        <v/>
      </c>
      <c r="D542" s="85">
        <f>IFERROR(VLOOKUP($A:$A,CS!$A:$AK,5,FALSE),"")</f>
        <v/>
      </c>
      <c r="E542" s="85">
        <f>IFERROR(VLOOKUP($A:$A,CS!$A:$AK,7,FALSE),"")</f>
        <v/>
      </c>
      <c r="F542" s="85">
        <f>IFERROR(VLOOKUP($A:$A,CS!$A:$AK,8,FALSE),"")</f>
        <v/>
      </c>
      <c r="G542" s="85">
        <f>IFERROR(VLOOKUP($A:$A,CS!$A:$AK,10,FALSE),"")</f>
        <v/>
      </c>
      <c r="H542" s="85">
        <f>IFERROR(VLOOKUP($A:$A,CS!$A:$AK,14,FALSE),"")</f>
        <v/>
      </c>
      <c r="I542" s="85">
        <f>IFERROR(VLOOKUP($A:$A,CS!$A:$AK,15,FALSE),"")</f>
        <v/>
      </c>
      <c r="J542" s="85">
        <f>IFERROR(VLOOKUP($A:$A,CS!$A:$AK,18,FALSE),"")</f>
        <v/>
      </c>
      <c r="K542" s="85">
        <f>IFERROR(VLOOKUP($A:$A,CS!$A:$AK,19,FALSE),"")</f>
        <v/>
      </c>
      <c r="L542" s="85">
        <f>IFERROR(VLOOKUP($A:$A,CS!$A:$AK,20,FALSE),"")</f>
        <v/>
      </c>
      <c r="M542" s="85">
        <f>IFERROR(VLOOKUP($A:$A,CS!$A:$AK,22,FALSE),"")</f>
        <v/>
      </c>
      <c r="N542" s="85">
        <f>IFERROR(VLOOKUP($A:$A,CS!$A:$AK,19,FALSE),"")</f>
        <v/>
      </c>
      <c r="O542" s="85">
        <f>IFERROR(VLOOKUP($A:$A,CS!$A:$AK,23,FALSE),"")</f>
        <v/>
      </c>
      <c r="P542" s="85">
        <f>IFERROR(VLOOKUP($A:$A,CS!$A:$AK,24,FALSE),"")</f>
        <v/>
      </c>
      <c r="Q542" s="85">
        <f>IFERROR(VLOOKUP($A:$A,CS!$A:$AK,25,FALSE),"")</f>
        <v/>
      </c>
      <c r="R542" s="85">
        <f>IFERROR(VLOOKUP($A:$A,CS!$A:$AK,26,FALSE),"")</f>
        <v/>
      </c>
      <c r="S542" s="85">
        <f>IFERROR(VLOOKUP($A:$A,CS!$A:$AK,29,FALSE),"")</f>
        <v/>
      </c>
      <c r="T542" s="85">
        <f>IFERROR(VLOOKUP($A:$A,CS!$A:$AK,33,FALSE),"")</f>
        <v/>
      </c>
      <c r="U542" s="85">
        <f>IFERROR(VLOOKUP($A:$A,CS!$A:$AK,34,FALSE),"")</f>
        <v/>
      </c>
      <c r="V542" s="85">
        <f>IFERROR(VLOOKUP($A:$A,CS!$A:$AK,35,FALSE),"")</f>
        <v/>
      </c>
      <c r="W542" s="85">
        <f>IFERROR(VLOOKUP($A:$A,CS!$A:$AK,36,FALSE),"")</f>
        <v/>
      </c>
    </row>
    <row r="543" ht="16.5" customHeight="1">
      <c r="A543" s="158" t="n"/>
      <c r="B543" s="85">
        <f>IFERROR(VLOOKUP($A:$A,CS!$A:$AK,3,FALSE),"")</f>
        <v/>
      </c>
      <c r="C543" s="85">
        <f>IFERROR(VLOOKUP($A:$A,CS!$A:$AK,4,FALSE),"")</f>
        <v/>
      </c>
      <c r="D543" s="85">
        <f>IFERROR(VLOOKUP($A:$A,CS!$A:$AK,5,FALSE),"")</f>
        <v/>
      </c>
      <c r="E543" s="85">
        <f>IFERROR(VLOOKUP($A:$A,CS!$A:$AK,7,FALSE),"")</f>
        <v/>
      </c>
      <c r="F543" s="85">
        <f>IFERROR(VLOOKUP($A:$A,CS!$A:$AK,8,FALSE),"")</f>
        <v/>
      </c>
      <c r="G543" s="85">
        <f>IFERROR(VLOOKUP($A:$A,CS!$A:$AK,10,FALSE),"")</f>
        <v/>
      </c>
      <c r="H543" s="85">
        <f>IFERROR(VLOOKUP($A:$A,CS!$A:$AK,14,FALSE),"")</f>
        <v/>
      </c>
      <c r="I543" s="85">
        <f>IFERROR(VLOOKUP($A:$A,CS!$A:$AK,15,FALSE),"")</f>
        <v/>
      </c>
      <c r="J543" s="85">
        <f>IFERROR(VLOOKUP($A:$A,CS!$A:$AK,18,FALSE),"")</f>
        <v/>
      </c>
      <c r="K543" s="85">
        <f>IFERROR(VLOOKUP($A:$A,CS!$A:$AK,19,FALSE),"")</f>
        <v/>
      </c>
      <c r="L543" s="85">
        <f>IFERROR(VLOOKUP($A:$A,CS!$A:$AK,20,FALSE),"")</f>
        <v/>
      </c>
      <c r="M543" s="85">
        <f>IFERROR(VLOOKUP($A:$A,CS!$A:$AK,22,FALSE),"")</f>
        <v/>
      </c>
      <c r="N543" s="85">
        <f>IFERROR(VLOOKUP($A:$A,CS!$A:$AK,19,FALSE),"")</f>
        <v/>
      </c>
      <c r="O543" s="85">
        <f>IFERROR(VLOOKUP($A:$A,CS!$A:$AK,23,FALSE),"")</f>
        <v/>
      </c>
      <c r="P543" s="85">
        <f>IFERROR(VLOOKUP($A:$A,CS!$A:$AK,24,FALSE),"")</f>
        <v/>
      </c>
      <c r="Q543" s="85">
        <f>IFERROR(VLOOKUP($A:$A,CS!$A:$AK,25,FALSE),"")</f>
        <v/>
      </c>
      <c r="R543" s="85">
        <f>IFERROR(VLOOKUP($A:$A,CS!$A:$AK,26,FALSE),"")</f>
        <v/>
      </c>
      <c r="S543" s="85">
        <f>IFERROR(VLOOKUP($A:$A,CS!$A:$AK,29,FALSE),"")</f>
        <v/>
      </c>
      <c r="T543" s="85">
        <f>IFERROR(VLOOKUP($A:$A,CS!$A:$AK,33,FALSE),"")</f>
        <v/>
      </c>
      <c r="U543" s="85">
        <f>IFERROR(VLOOKUP($A:$A,CS!$A:$AK,34,FALSE),"")</f>
        <v/>
      </c>
      <c r="V543" s="85">
        <f>IFERROR(VLOOKUP($A:$A,CS!$A:$AK,35,FALSE),"")</f>
        <v/>
      </c>
      <c r="W543" s="85">
        <f>IFERROR(VLOOKUP($A:$A,CS!$A:$AK,36,FALSE),"")</f>
        <v/>
      </c>
    </row>
    <row r="544" ht="16.5" customHeight="1">
      <c r="A544" s="158" t="n"/>
      <c r="B544" s="85">
        <f>IFERROR(VLOOKUP($A:$A,CS!$A:$AK,3,FALSE),"")</f>
        <v/>
      </c>
      <c r="C544" s="85">
        <f>IFERROR(VLOOKUP($A:$A,CS!$A:$AK,4,FALSE),"")</f>
        <v/>
      </c>
      <c r="D544" s="85">
        <f>IFERROR(VLOOKUP($A:$A,CS!$A:$AK,5,FALSE),"")</f>
        <v/>
      </c>
      <c r="E544" s="85">
        <f>IFERROR(VLOOKUP($A:$A,CS!$A:$AK,7,FALSE),"")</f>
        <v/>
      </c>
      <c r="F544" s="85">
        <f>IFERROR(VLOOKUP($A:$A,CS!$A:$AK,8,FALSE),"")</f>
        <v/>
      </c>
      <c r="G544" s="85">
        <f>IFERROR(VLOOKUP($A:$A,CS!$A:$AK,10,FALSE),"")</f>
        <v/>
      </c>
      <c r="H544" s="85">
        <f>IFERROR(VLOOKUP($A:$A,CS!$A:$AK,14,FALSE),"")</f>
        <v/>
      </c>
      <c r="I544" s="85">
        <f>IFERROR(VLOOKUP($A:$A,CS!$A:$AK,15,FALSE),"")</f>
        <v/>
      </c>
      <c r="J544" s="85">
        <f>IFERROR(VLOOKUP($A:$A,CS!$A:$AK,18,FALSE),"")</f>
        <v/>
      </c>
      <c r="K544" s="85">
        <f>IFERROR(VLOOKUP($A:$A,CS!$A:$AK,19,FALSE),"")</f>
        <v/>
      </c>
      <c r="L544" s="85">
        <f>IFERROR(VLOOKUP($A:$A,CS!$A:$AK,20,FALSE),"")</f>
        <v/>
      </c>
      <c r="M544" s="85">
        <f>IFERROR(VLOOKUP($A:$A,CS!$A:$AK,22,FALSE),"")</f>
        <v/>
      </c>
      <c r="N544" s="85">
        <f>IFERROR(VLOOKUP($A:$A,CS!$A:$AK,19,FALSE),"")</f>
        <v/>
      </c>
      <c r="O544" s="85">
        <f>IFERROR(VLOOKUP($A:$A,CS!$A:$AK,23,FALSE),"")</f>
        <v/>
      </c>
      <c r="P544" s="85">
        <f>IFERROR(VLOOKUP($A:$A,CS!$A:$AK,24,FALSE),"")</f>
        <v/>
      </c>
      <c r="Q544" s="85">
        <f>IFERROR(VLOOKUP($A:$A,CS!$A:$AK,25,FALSE),"")</f>
        <v/>
      </c>
      <c r="R544" s="85">
        <f>IFERROR(VLOOKUP($A:$A,CS!$A:$AK,26,FALSE),"")</f>
        <v/>
      </c>
      <c r="S544" s="85">
        <f>IFERROR(VLOOKUP($A:$A,CS!$A:$AK,29,FALSE),"")</f>
        <v/>
      </c>
      <c r="T544" s="85">
        <f>IFERROR(VLOOKUP($A:$A,CS!$A:$AK,33,FALSE),"")</f>
        <v/>
      </c>
      <c r="U544" s="85">
        <f>IFERROR(VLOOKUP($A:$A,CS!$A:$AK,34,FALSE),"")</f>
        <v/>
      </c>
      <c r="V544" s="85">
        <f>IFERROR(VLOOKUP($A:$A,CS!$A:$AK,35,FALSE),"")</f>
        <v/>
      </c>
      <c r="W544" s="85">
        <f>IFERROR(VLOOKUP($A:$A,CS!$A:$AK,36,FALSE),"")</f>
        <v/>
      </c>
    </row>
    <row r="545" ht="16.5" customHeight="1">
      <c r="A545" s="158" t="n"/>
      <c r="B545" s="85">
        <f>IFERROR(VLOOKUP($A:$A,CS!$A:$AK,3,FALSE),"")</f>
        <v/>
      </c>
      <c r="C545" s="85">
        <f>IFERROR(VLOOKUP($A:$A,CS!$A:$AK,4,FALSE),"")</f>
        <v/>
      </c>
      <c r="D545" s="85">
        <f>IFERROR(VLOOKUP($A:$A,CS!$A:$AK,5,FALSE),"")</f>
        <v/>
      </c>
      <c r="E545" s="85">
        <f>IFERROR(VLOOKUP($A:$A,CS!$A:$AK,7,FALSE),"")</f>
        <v/>
      </c>
      <c r="F545" s="85">
        <f>IFERROR(VLOOKUP($A:$A,CS!$A:$AK,8,FALSE),"")</f>
        <v/>
      </c>
      <c r="G545" s="85">
        <f>IFERROR(VLOOKUP($A:$A,CS!$A:$AK,10,FALSE),"")</f>
        <v/>
      </c>
      <c r="H545" s="85">
        <f>IFERROR(VLOOKUP($A:$A,CS!$A:$AK,14,FALSE),"")</f>
        <v/>
      </c>
      <c r="I545" s="85">
        <f>IFERROR(VLOOKUP($A:$A,CS!$A:$AK,15,FALSE),"")</f>
        <v/>
      </c>
      <c r="J545" s="85">
        <f>IFERROR(VLOOKUP($A:$A,CS!$A:$AK,18,FALSE),"")</f>
        <v/>
      </c>
      <c r="K545" s="85">
        <f>IFERROR(VLOOKUP($A:$A,CS!$A:$AK,19,FALSE),"")</f>
        <v/>
      </c>
      <c r="L545" s="85">
        <f>IFERROR(VLOOKUP($A:$A,CS!$A:$AK,20,FALSE),"")</f>
        <v/>
      </c>
      <c r="M545" s="85">
        <f>IFERROR(VLOOKUP($A:$A,CS!$A:$AK,22,FALSE),"")</f>
        <v/>
      </c>
      <c r="N545" s="85">
        <f>IFERROR(VLOOKUP($A:$A,CS!$A:$AK,19,FALSE),"")</f>
        <v/>
      </c>
      <c r="O545" s="85">
        <f>IFERROR(VLOOKUP($A:$A,CS!$A:$AK,23,FALSE),"")</f>
        <v/>
      </c>
      <c r="P545" s="85">
        <f>IFERROR(VLOOKUP($A:$A,CS!$A:$AK,24,FALSE),"")</f>
        <v/>
      </c>
      <c r="Q545" s="85">
        <f>IFERROR(VLOOKUP($A:$A,CS!$A:$AK,25,FALSE),"")</f>
        <v/>
      </c>
      <c r="R545" s="85">
        <f>IFERROR(VLOOKUP($A:$A,CS!$A:$AK,26,FALSE),"")</f>
        <v/>
      </c>
      <c r="S545" s="85">
        <f>IFERROR(VLOOKUP($A:$A,CS!$A:$AK,29,FALSE),"")</f>
        <v/>
      </c>
      <c r="T545" s="85">
        <f>IFERROR(VLOOKUP($A:$A,CS!$A:$AK,33,FALSE),"")</f>
        <v/>
      </c>
      <c r="U545" s="85">
        <f>IFERROR(VLOOKUP($A:$A,CS!$A:$AK,34,FALSE),"")</f>
        <v/>
      </c>
      <c r="V545" s="85">
        <f>IFERROR(VLOOKUP($A:$A,CS!$A:$AK,35,FALSE),"")</f>
        <v/>
      </c>
      <c r="W545" s="85">
        <f>IFERROR(VLOOKUP($A:$A,CS!$A:$AK,36,FALSE),"")</f>
        <v/>
      </c>
    </row>
    <row r="546" ht="16.5" customHeight="1">
      <c r="A546" s="158" t="n"/>
      <c r="B546" s="85">
        <f>IFERROR(VLOOKUP($A:$A,CS!$A:$AK,3,FALSE),"")</f>
        <v/>
      </c>
      <c r="C546" s="85">
        <f>IFERROR(VLOOKUP($A:$A,CS!$A:$AK,4,FALSE),"")</f>
        <v/>
      </c>
      <c r="D546" s="85">
        <f>IFERROR(VLOOKUP($A:$A,CS!$A:$AK,5,FALSE),"")</f>
        <v/>
      </c>
      <c r="E546" s="85">
        <f>IFERROR(VLOOKUP($A:$A,CS!$A:$AK,7,FALSE),"")</f>
        <v/>
      </c>
      <c r="F546" s="85">
        <f>IFERROR(VLOOKUP($A:$A,CS!$A:$AK,8,FALSE),"")</f>
        <v/>
      </c>
      <c r="G546" s="85">
        <f>IFERROR(VLOOKUP($A:$A,CS!$A:$AK,10,FALSE),"")</f>
        <v/>
      </c>
      <c r="H546" s="85">
        <f>IFERROR(VLOOKUP($A:$A,CS!$A:$AK,14,FALSE),"")</f>
        <v/>
      </c>
      <c r="I546" s="85">
        <f>IFERROR(VLOOKUP($A:$A,CS!$A:$AK,15,FALSE),"")</f>
        <v/>
      </c>
      <c r="J546" s="85">
        <f>IFERROR(VLOOKUP($A:$A,CS!$A:$AK,18,FALSE),"")</f>
        <v/>
      </c>
      <c r="K546" s="85">
        <f>IFERROR(VLOOKUP($A:$A,CS!$A:$AK,19,FALSE),"")</f>
        <v/>
      </c>
      <c r="L546" s="85">
        <f>IFERROR(VLOOKUP($A:$A,CS!$A:$AK,20,FALSE),"")</f>
        <v/>
      </c>
      <c r="M546" s="85">
        <f>IFERROR(VLOOKUP($A:$A,CS!$A:$AK,22,FALSE),"")</f>
        <v/>
      </c>
      <c r="N546" s="85">
        <f>IFERROR(VLOOKUP($A:$A,CS!$A:$AK,19,FALSE),"")</f>
        <v/>
      </c>
      <c r="O546" s="85">
        <f>IFERROR(VLOOKUP($A:$A,CS!$A:$AK,23,FALSE),"")</f>
        <v/>
      </c>
      <c r="P546" s="85">
        <f>IFERROR(VLOOKUP($A:$A,CS!$A:$AK,24,FALSE),"")</f>
        <v/>
      </c>
      <c r="Q546" s="85">
        <f>IFERROR(VLOOKUP($A:$A,CS!$A:$AK,25,FALSE),"")</f>
        <v/>
      </c>
      <c r="R546" s="85">
        <f>IFERROR(VLOOKUP($A:$A,CS!$A:$AK,26,FALSE),"")</f>
        <v/>
      </c>
      <c r="S546" s="85">
        <f>IFERROR(VLOOKUP($A:$A,CS!$A:$AK,29,FALSE),"")</f>
        <v/>
      </c>
      <c r="T546" s="85">
        <f>IFERROR(VLOOKUP($A:$A,CS!$A:$AK,33,FALSE),"")</f>
        <v/>
      </c>
      <c r="U546" s="85">
        <f>IFERROR(VLOOKUP($A:$A,CS!$A:$AK,34,FALSE),"")</f>
        <v/>
      </c>
      <c r="V546" s="85">
        <f>IFERROR(VLOOKUP($A:$A,CS!$A:$AK,35,FALSE),"")</f>
        <v/>
      </c>
      <c r="W546" s="85">
        <f>IFERROR(VLOOKUP($A:$A,CS!$A:$AK,36,FALSE),"")</f>
        <v/>
      </c>
    </row>
    <row r="547" ht="16.5" customHeight="1">
      <c r="A547" s="158" t="n"/>
      <c r="B547" s="85">
        <f>IFERROR(VLOOKUP($A:$A,CS!$A:$AK,3,FALSE),"")</f>
        <v/>
      </c>
      <c r="C547" s="85">
        <f>IFERROR(VLOOKUP($A:$A,CS!$A:$AK,4,FALSE),"")</f>
        <v/>
      </c>
      <c r="D547" s="85">
        <f>IFERROR(VLOOKUP($A:$A,CS!$A:$AK,5,FALSE),"")</f>
        <v/>
      </c>
      <c r="E547" s="85">
        <f>IFERROR(VLOOKUP($A:$A,CS!$A:$AK,7,FALSE),"")</f>
        <v/>
      </c>
      <c r="F547" s="85">
        <f>IFERROR(VLOOKUP($A:$A,CS!$A:$AK,8,FALSE),"")</f>
        <v/>
      </c>
      <c r="G547" s="85">
        <f>IFERROR(VLOOKUP($A:$A,CS!$A:$AK,10,FALSE),"")</f>
        <v/>
      </c>
      <c r="H547" s="85">
        <f>IFERROR(VLOOKUP($A:$A,CS!$A:$AK,14,FALSE),"")</f>
        <v/>
      </c>
      <c r="I547" s="85">
        <f>IFERROR(VLOOKUP($A:$A,CS!$A:$AK,15,FALSE),"")</f>
        <v/>
      </c>
      <c r="J547" s="85">
        <f>IFERROR(VLOOKUP($A:$A,CS!$A:$AK,18,FALSE),"")</f>
        <v/>
      </c>
      <c r="K547" s="85">
        <f>IFERROR(VLOOKUP($A:$A,CS!$A:$AK,19,FALSE),"")</f>
        <v/>
      </c>
      <c r="L547" s="85">
        <f>IFERROR(VLOOKUP($A:$A,CS!$A:$AK,20,FALSE),"")</f>
        <v/>
      </c>
      <c r="M547" s="85">
        <f>IFERROR(VLOOKUP($A:$A,CS!$A:$AK,22,FALSE),"")</f>
        <v/>
      </c>
      <c r="N547" s="85">
        <f>IFERROR(VLOOKUP($A:$A,CS!$A:$AK,19,FALSE),"")</f>
        <v/>
      </c>
      <c r="O547" s="85">
        <f>IFERROR(VLOOKUP($A:$A,CS!$A:$AK,23,FALSE),"")</f>
        <v/>
      </c>
      <c r="P547" s="85">
        <f>IFERROR(VLOOKUP($A:$A,CS!$A:$AK,24,FALSE),"")</f>
        <v/>
      </c>
      <c r="Q547" s="85">
        <f>IFERROR(VLOOKUP($A:$A,CS!$A:$AK,25,FALSE),"")</f>
        <v/>
      </c>
      <c r="R547" s="85">
        <f>IFERROR(VLOOKUP($A:$A,CS!$A:$AK,26,FALSE),"")</f>
        <v/>
      </c>
      <c r="S547" s="85">
        <f>IFERROR(VLOOKUP($A:$A,CS!$A:$AK,29,FALSE),"")</f>
        <v/>
      </c>
      <c r="T547" s="85">
        <f>IFERROR(VLOOKUP($A:$A,CS!$A:$AK,33,FALSE),"")</f>
        <v/>
      </c>
      <c r="U547" s="85">
        <f>IFERROR(VLOOKUP($A:$A,CS!$A:$AK,34,FALSE),"")</f>
        <v/>
      </c>
      <c r="V547" s="85">
        <f>IFERROR(VLOOKUP($A:$A,CS!$A:$AK,35,FALSE),"")</f>
        <v/>
      </c>
      <c r="W547" s="85">
        <f>IFERROR(VLOOKUP($A:$A,CS!$A:$AK,36,FALSE),"")</f>
        <v/>
      </c>
    </row>
    <row r="548" ht="16.5" customHeight="1">
      <c r="A548" s="158" t="n"/>
      <c r="B548" s="85">
        <f>IFERROR(VLOOKUP($A:$A,CS!$A:$AK,3,FALSE),"")</f>
        <v/>
      </c>
      <c r="C548" s="85">
        <f>IFERROR(VLOOKUP($A:$A,CS!$A:$AK,4,FALSE),"")</f>
        <v/>
      </c>
      <c r="D548" s="85">
        <f>IFERROR(VLOOKUP($A:$A,CS!$A:$AK,5,FALSE),"")</f>
        <v/>
      </c>
      <c r="E548" s="85">
        <f>IFERROR(VLOOKUP($A:$A,CS!$A:$AK,7,FALSE),"")</f>
        <v/>
      </c>
      <c r="F548" s="85">
        <f>IFERROR(VLOOKUP($A:$A,CS!$A:$AK,8,FALSE),"")</f>
        <v/>
      </c>
      <c r="G548" s="85">
        <f>IFERROR(VLOOKUP($A:$A,CS!$A:$AK,10,FALSE),"")</f>
        <v/>
      </c>
      <c r="H548" s="85">
        <f>IFERROR(VLOOKUP($A:$A,CS!$A:$AK,14,FALSE),"")</f>
        <v/>
      </c>
      <c r="I548" s="85">
        <f>IFERROR(VLOOKUP($A:$A,CS!$A:$AK,15,FALSE),"")</f>
        <v/>
      </c>
      <c r="J548" s="85">
        <f>IFERROR(VLOOKUP($A:$A,CS!$A:$AK,18,FALSE),"")</f>
        <v/>
      </c>
      <c r="K548" s="85">
        <f>IFERROR(VLOOKUP($A:$A,CS!$A:$AK,19,FALSE),"")</f>
        <v/>
      </c>
      <c r="L548" s="85">
        <f>IFERROR(VLOOKUP($A:$A,CS!$A:$AK,20,FALSE),"")</f>
        <v/>
      </c>
      <c r="M548" s="85">
        <f>IFERROR(VLOOKUP($A:$A,CS!$A:$AK,22,FALSE),"")</f>
        <v/>
      </c>
      <c r="N548" s="85">
        <f>IFERROR(VLOOKUP($A:$A,CS!$A:$AK,19,FALSE),"")</f>
        <v/>
      </c>
      <c r="O548" s="85">
        <f>IFERROR(VLOOKUP($A:$A,CS!$A:$AK,23,FALSE),"")</f>
        <v/>
      </c>
      <c r="P548" s="85">
        <f>IFERROR(VLOOKUP($A:$A,CS!$A:$AK,24,FALSE),"")</f>
        <v/>
      </c>
      <c r="Q548" s="85">
        <f>IFERROR(VLOOKUP($A:$A,CS!$A:$AK,25,FALSE),"")</f>
        <v/>
      </c>
      <c r="R548" s="85">
        <f>IFERROR(VLOOKUP($A:$A,CS!$A:$AK,26,FALSE),"")</f>
        <v/>
      </c>
      <c r="S548" s="85">
        <f>IFERROR(VLOOKUP($A:$A,CS!$A:$AK,29,FALSE),"")</f>
        <v/>
      </c>
      <c r="T548" s="85">
        <f>IFERROR(VLOOKUP($A:$A,CS!$A:$AK,33,FALSE),"")</f>
        <v/>
      </c>
      <c r="U548" s="85">
        <f>IFERROR(VLOOKUP($A:$A,CS!$A:$AK,34,FALSE),"")</f>
        <v/>
      </c>
      <c r="V548" s="85">
        <f>IFERROR(VLOOKUP($A:$A,CS!$A:$AK,35,FALSE),"")</f>
        <v/>
      </c>
      <c r="W548" s="85">
        <f>IFERROR(VLOOKUP($A:$A,CS!$A:$AK,36,FALSE),"")</f>
        <v/>
      </c>
    </row>
    <row r="549" ht="16.5" customHeight="1">
      <c r="A549" s="158" t="n"/>
      <c r="B549" s="85">
        <f>IFERROR(VLOOKUP($A:$A,CS!$A:$AK,3,FALSE),"")</f>
        <v/>
      </c>
      <c r="C549" s="85">
        <f>IFERROR(VLOOKUP($A:$A,CS!$A:$AK,4,FALSE),"")</f>
        <v/>
      </c>
      <c r="D549" s="85">
        <f>IFERROR(VLOOKUP($A:$A,CS!$A:$AK,5,FALSE),"")</f>
        <v/>
      </c>
      <c r="E549" s="85">
        <f>IFERROR(VLOOKUP($A:$A,CS!$A:$AK,7,FALSE),"")</f>
        <v/>
      </c>
      <c r="F549" s="85">
        <f>IFERROR(VLOOKUP($A:$A,CS!$A:$AK,8,FALSE),"")</f>
        <v/>
      </c>
      <c r="G549" s="85">
        <f>IFERROR(VLOOKUP($A:$A,CS!$A:$AK,10,FALSE),"")</f>
        <v/>
      </c>
      <c r="H549" s="85">
        <f>IFERROR(VLOOKUP($A:$A,CS!$A:$AK,14,FALSE),"")</f>
        <v/>
      </c>
      <c r="I549" s="85">
        <f>IFERROR(VLOOKUP($A:$A,CS!$A:$AK,15,FALSE),"")</f>
        <v/>
      </c>
      <c r="J549" s="85">
        <f>IFERROR(VLOOKUP($A:$A,CS!$A:$AK,18,FALSE),"")</f>
        <v/>
      </c>
      <c r="K549" s="85">
        <f>IFERROR(VLOOKUP($A:$A,CS!$A:$AK,19,FALSE),"")</f>
        <v/>
      </c>
      <c r="L549" s="85">
        <f>IFERROR(VLOOKUP($A:$A,CS!$A:$AK,20,FALSE),"")</f>
        <v/>
      </c>
      <c r="M549" s="85">
        <f>IFERROR(VLOOKUP($A:$A,CS!$A:$AK,22,FALSE),"")</f>
        <v/>
      </c>
      <c r="N549" s="85">
        <f>IFERROR(VLOOKUP($A:$A,CS!$A:$AK,19,FALSE),"")</f>
        <v/>
      </c>
      <c r="O549" s="85">
        <f>IFERROR(VLOOKUP($A:$A,CS!$A:$AK,23,FALSE),"")</f>
        <v/>
      </c>
      <c r="P549" s="85">
        <f>IFERROR(VLOOKUP($A:$A,CS!$A:$AK,24,FALSE),"")</f>
        <v/>
      </c>
      <c r="Q549" s="85">
        <f>IFERROR(VLOOKUP($A:$A,CS!$A:$AK,25,FALSE),"")</f>
        <v/>
      </c>
      <c r="R549" s="85">
        <f>IFERROR(VLOOKUP($A:$A,CS!$A:$AK,26,FALSE),"")</f>
        <v/>
      </c>
      <c r="S549" s="85">
        <f>IFERROR(VLOOKUP($A:$A,CS!$A:$AK,29,FALSE),"")</f>
        <v/>
      </c>
      <c r="T549" s="85">
        <f>IFERROR(VLOOKUP($A:$A,CS!$A:$AK,33,FALSE),"")</f>
        <v/>
      </c>
      <c r="U549" s="85">
        <f>IFERROR(VLOOKUP($A:$A,CS!$A:$AK,34,FALSE),"")</f>
        <v/>
      </c>
      <c r="V549" s="85">
        <f>IFERROR(VLOOKUP($A:$A,CS!$A:$AK,35,FALSE),"")</f>
        <v/>
      </c>
      <c r="W549" s="85">
        <f>IFERROR(VLOOKUP($A:$A,CS!$A:$AK,36,FALSE),"")</f>
        <v/>
      </c>
    </row>
    <row r="550" ht="16.5" customHeight="1">
      <c r="A550" s="158" t="n"/>
      <c r="B550" s="85">
        <f>IFERROR(VLOOKUP($A:$A,CS!$A:$AK,3,FALSE),"")</f>
        <v/>
      </c>
      <c r="C550" s="85">
        <f>IFERROR(VLOOKUP($A:$A,CS!$A:$AK,4,FALSE),"")</f>
        <v/>
      </c>
      <c r="D550" s="85">
        <f>IFERROR(VLOOKUP($A:$A,CS!$A:$AK,5,FALSE),"")</f>
        <v/>
      </c>
      <c r="E550" s="85">
        <f>IFERROR(VLOOKUP($A:$A,CS!$A:$AK,7,FALSE),"")</f>
        <v/>
      </c>
      <c r="F550" s="85">
        <f>IFERROR(VLOOKUP($A:$A,CS!$A:$AK,8,FALSE),"")</f>
        <v/>
      </c>
      <c r="G550" s="85">
        <f>IFERROR(VLOOKUP($A:$A,CS!$A:$AK,10,FALSE),"")</f>
        <v/>
      </c>
      <c r="H550" s="85">
        <f>IFERROR(VLOOKUP($A:$A,CS!$A:$AK,14,FALSE),"")</f>
        <v/>
      </c>
      <c r="I550" s="85">
        <f>IFERROR(VLOOKUP($A:$A,CS!$A:$AK,15,FALSE),"")</f>
        <v/>
      </c>
      <c r="J550" s="85">
        <f>IFERROR(VLOOKUP($A:$A,CS!$A:$AK,18,FALSE),"")</f>
        <v/>
      </c>
      <c r="K550" s="85">
        <f>IFERROR(VLOOKUP($A:$A,CS!$A:$AK,19,FALSE),"")</f>
        <v/>
      </c>
      <c r="L550" s="85">
        <f>IFERROR(VLOOKUP($A:$A,CS!$A:$AK,20,FALSE),"")</f>
        <v/>
      </c>
      <c r="M550" s="85">
        <f>IFERROR(VLOOKUP($A:$A,CS!$A:$AK,22,FALSE),"")</f>
        <v/>
      </c>
      <c r="N550" s="85">
        <f>IFERROR(VLOOKUP($A:$A,CS!$A:$AK,19,FALSE),"")</f>
        <v/>
      </c>
      <c r="O550" s="85">
        <f>IFERROR(VLOOKUP($A:$A,CS!$A:$AK,23,FALSE),"")</f>
        <v/>
      </c>
      <c r="P550" s="85">
        <f>IFERROR(VLOOKUP($A:$A,CS!$A:$AK,24,FALSE),"")</f>
        <v/>
      </c>
      <c r="Q550" s="85">
        <f>IFERROR(VLOOKUP($A:$A,CS!$A:$AK,25,FALSE),"")</f>
        <v/>
      </c>
      <c r="R550" s="85">
        <f>IFERROR(VLOOKUP($A:$A,CS!$A:$AK,26,FALSE),"")</f>
        <v/>
      </c>
      <c r="S550" s="85">
        <f>IFERROR(VLOOKUP($A:$A,CS!$A:$AK,29,FALSE),"")</f>
        <v/>
      </c>
      <c r="T550" s="85">
        <f>IFERROR(VLOOKUP($A:$A,CS!$A:$AK,33,FALSE),"")</f>
        <v/>
      </c>
      <c r="U550" s="85">
        <f>IFERROR(VLOOKUP($A:$A,CS!$A:$AK,34,FALSE),"")</f>
        <v/>
      </c>
      <c r="V550" s="85">
        <f>IFERROR(VLOOKUP($A:$A,CS!$A:$AK,35,FALSE),"")</f>
        <v/>
      </c>
      <c r="W550" s="85">
        <f>IFERROR(VLOOKUP($A:$A,CS!$A:$AK,36,FALSE),"")</f>
        <v/>
      </c>
    </row>
    <row r="551" ht="16.5" customHeight="1">
      <c r="A551" s="158" t="n"/>
      <c r="B551" s="85">
        <f>IFERROR(VLOOKUP($A:$A,CS!$A:$AK,3,FALSE),"")</f>
        <v/>
      </c>
      <c r="C551" s="85">
        <f>IFERROR(VLOOKUP($A:$A,CS!$A:$AK,4,FALSE),"")</f>
        <v/>
      </c>
      <c r="D551" s="85">
        <f>IFERROR(VLOOKUP($A:$A,CS!$A:$AK,5,FALSE),"")</f>
        <v/>
      </c>
      <c r="E551" s="85">
        <f>IFERROR(VLOOKUP($A:$A,CS!$A:$AK,7,FALSE),"")</f>
        <v/>
      </c>
      <c r="F551" s="85">
        <f>IFERROR(VLOOKUP($A:$A,CS!$A:$AK,8,FALSE),"")</f>
        <v/>
      </c>
      <c r="G551" s="85">
        <f>IFERROR(VLOOKUP($A:$A,CS!$A:$AK,10,FALSE),"")</f>
        <v/>
      </c>
      <c r="H551" s="85">
        <f>IFERROR(VLOOKUP($A:$A,CS!$A:$AK,14,FALSE),"")</f>
        <v/>
      </c>
      <c r="I551" s="85">
        <f>IFERROR(VLOOKUP($A:$A,CS!$A:$AK,15,FALSE),"")</f>
        <v/>
      </c>
      <c r="J551" s="85">
        <f>IFERROR(VLOOKUP($A:$A,CS!$A:$AK,18,FALSE),"")</f>
        <v/>
      </c>
      <c r="K551" s="85">
        <f>IFERROR(VLOOKUP($A:$A,CS!$A:$AK,19,FALSE),"")</f>
        <v/>
      </c>
      <c r="L551" s="85">
        <f>IFERROR(VLOOKUP($A:$A,CS!$A:$AK,20,FALSE),"")</f>
        <v/>
      </c>
      <c r="M551" s="85">
        <f>IFERROR(VLOOKUP($A:$A,CS!$A:$AK,22,FALSE),"")</f>
        <v/>
      </c>
      <c r="N551" s="85">
        <f>IFERROR(VLOOKUP($A:$A,CS!$A:$AK,19,FALSE),"")</f>
        <v/>
      </c>
      <c r="O551" s="85">
        <f>IFERROR(VLOOKUP($A:$A,CS!$A:$AK,23,FALSE),"")</f>
        <v/>
      </c>
      <c r="P551" s="85">
        <f>IFERROR(VLOOKUP($A:$A,CS!$A:$AK,24,FALSE),"")</f>
        <v/>
      </c>
      <c r="Q551" s="85">
        <f>IFERROR(VLOOKUP($A:$A,CS!$A:$AK,25,FALSE),"")</f>
        <v/>
      </c>
      <c r="R551" s="85">
        <f>IFERROR(VLOOKUP($A:$A,CS!$A:$AK,26,FALSE),"")</f>
        <v/>
      </c>
      <c r="S551" s="85">
        <f>IFERROR(VLOOKUP($A:$A,CS!$A:$AK,29,FALSE),"")</f>
        <v/>
      </c>
      <c r="T551" s="85">
        <f>IFERROR(VLOOKUP($A:$A,CS!$A:$AK,33,FALSE),"")</f>
        <v/>
      </c>
      <c r="U551" s="85">
        <f>IFERROR(VLOOKUP($A:$A,CS!$A:$AK,34,FALSE),"")</f>
        <v/>
      </c>
      <c r="V551" s="85">
        <f>IFERROR(VLOOKUP($A:$A,CS!$A:$AK,35,FALSE),"")</f>
        <v/>
      </c>
      <c r="W551" s="85">
        <f>IFERROR(VLOOKUP($A:$A,CS!$A:$AK,36,FALSE),"")</f>
        <v/>
      </c>
    </row>
    <row r="552" ht="16.5" customHeight="1">
      <c r="A552" s="158" t="n"/>
      <c r="B552" s="85">
        <f>IFERROR(VLOOKUP($A:$A,CS!$A:$AK,3,FALSE),"")</f>
        <v/>
      </c>
      <c r="C552" s="85">
        <f>IFERROR(VLOOKUP($A:$A,CS!$A:$AK,4,FALSE),"")</f>
        <v/>
      </c>
      <c r="D552" s="85">
        <f>IFERROR(VLOOKUP($A:$A,CS!$A:$AK,5,FALSE),"")</f>
        <v/>
      </c>
      <c r="E552" s="85">
        <f>IFERROR(VLOOKUP($A:$A,CS!$A:$AK,7,FALSE),"")</f>
        <v/>
      </c>
      <c r="F552" s="85">
        <f>IFERROR(VLOOKUP($A:$A,CS!$A:$AK,8,FALSE),"")</f>
        <v/>
      </c>
      <c r="G552" s="85">
        <f>IFERROR(VLOOKUP($A:$A,CS!$A:$AK,10,FALSE),"")</f>
        <v/>
      </c>
      <c r="H552" s="85">
        <f>IFERROR(VLOOKUP($A:$A,CS!$A:$AK,14,FALSE),"")</f>
        <v/>
      </c>
      <c r="I552" s="85">
        <f>IFERROR(VLOOKUP($A:$A,CS!$A:$AK,15,FALSE),"")</f>
        <v/>
      </c>
      <c r="J552" s="85">
        <f>IFERROR(VLOOKUP($A:$A,CS!$A:$AK,18,FALSE),"")</f>
        <v/>
      </c>
      <c r="K552" s="85">
        <f>IFERROR(VLOOKUP($A:$A,CS!$A:$AK,19,FALSE),"")</f>
        <v/>
      </c>
      <c r="L552" s="85">
        <f>IFERROR(VLOOKUP($A:$A,CS!$A:$AK,20,FALSE),"")</f>
        <v/>
      </c>
      <c r="M552" s="85">
        <f>IFERROR(VLOOKUP($A:$A,CS!$A:$AK,22,FALSE),"")</f>
        <v/>
      </c>
      <c r="N552" s="85">
        <f>IFERROR(VLOOKUP($A:$A,CS!$A:$AK,19,FALSE),"")</f>
        <v/>
      </c>
      <c r="O552" s="85">
        <f>IFERROR(VLOOKUP($A:$A,CS!$A:$AK,23,FALSE),"")</f>
        <v/>
      </c>
      <c r="P552" s="85">
        <f>IFERROR(VLOOKUP($A:$A,CS!$A:$AK,24,FALSE),"")</f>
        <v/>
      </c>
      <c r="Q552" s="85">
        <f>IFERROR(VLOOKUP($A:$A,CS!$A:$AK,25,FALSE),"")</f>
        <v/>
      </c>
      <c r="R552" s="85">
        <f>IFERROR(VLOOKUP($A:$A,CS!$A:$AK,26,FALSE),"")</f>
        <v/>
      </c>
      <c r="S552" s="85">
        <f>IFERROR(VLOOKUP($A:$A,CS!$A:$AK,29,FALSE),"")</f>
        <v/>
      </c>
      <c r="T552" s="85">
        <f>IFERROR(VLOOKUP($A:$A,CS!$A:$AK,33,FALSE),"")</f>
        <v/>
      </c>
      <c r="U552" s="85">
        <f>IFERROR(VLOOKUP($A:$A,CS!$A:$AK,34,FALSE),"")</f>
        <v/>
      </c>
      <c r="V552" s="85">
        <f>IFERROR(VLOOKUP($A:$A,CS!$A:$AK,35,FALSE),"")</f>
        <v/>
      </c>
      <c r="W552" s="85">
        <f>IFERROR(VLOOKUP($A:$A,CS!$A:$AK,36,FALSE),"")</f>
        <v/>
      </c>
    </row>
    <row r="553" ht="16.5" customHeight="1">
      <c r="A553" s="158" t="n"/>
      <c r="B553" s="85">
        <f>IFERROR(VLOOKUP($A:$A,CS!$A:$AK,3,FALSE),"")</f>
        <v/>
      </c>
      <c r="C553" s="85">
        <f>IFERROR(VLOOKUP($A:$A,CS!$A:$AK,4,FALSE),"")</f>
        <v/>
      </c>
      <c r="D553" s="85">
        <f>IFERROR(VLOOKUP($A:$A,CS!$A:$AK,5,FALSE),"")</f>
        <v/>
      </c>
      <c r="E553" s="85">
        <f>IFERROR(VLOOKUP($A:$A,CS!$A:$AK,7,FALSE),"")</f>
        <v/>
      </c>
      <c r="F553" s="85">
        <f>IFERROR(VLOOKUP($A:$A,CS!$A:$AK,8,FALSE),"")</f>
        <v/>
      </c>
      <c r="G553" s="85">
        <f>IFERROR(VLOOKUP($A:$A,CS!$A:$AK,10,FALSE),"")</f>
        <v/>
      </c>
      <c r="H553" s="85">
        <f>IFERROR(VLOOKUP($A:$A,CS!$A:$AK,14,FALSE),"")</f>
        <v/>
      </c>
      <c r="I553" s="85">
        <f>IFERROR(VLOOKUP($A:$A,CS!$A:$AK,15,FALSE),"")</f>
        <v/>
      </c>
      <c r="J553" s="85">
        <f>IFERROR(VLOOKUP($A:$A,CS!$A:$AK,18,FALSE),"")</f>
        <v/>
      </c>
      <c r="K553" s="85">
        <f>IFERROR(VLOOKUP($A:$A,CS!$A:$AK,19,FALSE),"")</f>
        <v/>
      </c>
      <c r="L553" s="85">
        <f>IFERROR(VLOOKUP($A:$A,CS!$A:$AK,20,FALSE),"")</f>
        <v/>
      </c>
      <c r="M553" s="85">
        <f>IFERROR(VLOOKUP($A:$A,CS!$A:$AK,22,FALSE),"")</f>
        <v/>
      </c>
      <c r="N553" s="85">
        <f>IFERROR(VLOOKUP($A:$A,CS!$A:$AK,19,FALSE),"")</f>
        <v/>
      </c>
      <c r="O553" s="85">
        <f>IFERROR(VLOOKUP($A:$A,CS!$A:$AK,23,FALSE),"")</f>
        <v/>
      </c>
      <c r="P553" s="85">
        <f>IFERROR(VLOOKUP($A:$A,CS!$A:$AK,24,FALSE),"")</f>
        <v/>
      </c>
      <c r="Q553" s="85">
        <f>IFERROR(VLOOKUP($A:$A,CS!$A:$AK,25,FALSE),"")</f>
        <v/>
      </c>
      <c r="R553" s="85">
        <f>IFERROR(VLOOKUP($A:$A,CS!$A:$AK,26,FALSE),"")</f>
        <v/>
      </c>
      <c r="S553" s="85">
        <f>IFERROR(VLOOKUP($A:$A,CS!$A:$AK,29,FALSE),"")</f>
        <v/>
      </c>
      <c r="T553" s="85">
        <f>IFERROR(VLOOKUP($A:$A,CS!$A:$AK,33,FALSE),"")</f>
        <v/>
      </c>
      <c r="U553" s="85">
        <f>IFERROR(VLOOKUP($A:$A,CS!$A:$AK,34,FALSE),"")</f>
        <v/>
      </c>
      <c r="V553" s="85">
        <f>IFERROR(VLOOKUP($A:$A,CS!$A:$AK,35,FALSE),"")</f>
        <v/>
      </c>
      <c r="W553" s="85">
        <f>IFERROR(VLOOKUP($A:$A,CS!$A:$AK,36,FALSE),"")</f>
        <v/>
      </c>
    </row>
    <row r="554" ht="16.5" customHeight="1">
      <c r="A554" s="158" t="n"/>
      <c r="B554" s="85">
        <f>IFERROR(VLOOKUP($A:$A,CS!$A:$AK,3,FALSE),"")</f>
        <v/>
      </c>
      <c r="C554" s="85">
        <f>IFERROR(VLOOKUP($A:$A,CS!$A:$AK,4,FALSE),"")</f>
        <v/>
      </c>
      <c r="D554" s="85">
        <f>IFERROR(VLOOKUP($A:$A,CS!$A:$AK,5,FALSE),"")</f>
        <v/>
      </c>
      <c r="E554" s="85">
        <f>IFERROR(VLOOKUP($A:$A,CS!$A:$AK,7,FALSE),"")</f>
        <v/>
      </c>
      <c r="F554" s="85">
        <f>IFERROR(VLOOKUP($A:$A,CS!$A:$AK,8,FALSE),"")</f>
        <v/>
      </c>
      <c r="G554" s="85">
        <f>IFERROR(VLOOKUP($A:$A,CS!$A:$AK,10,FALSE),"")</f>
        <v/>
      </c>
      <c r="H554" s="85">
        <f>IFERROR(VLOOKUP($A:$A,CS!$A:$AK,14,FALSE),"")</f>
        <v/>
      </c>
      <c r="I554" s="85">
        <f>IFERROR(VLOOKUP($A:$A,CS!$A:$AK,15,FALSE),"")</f>
        <v/>
      </c>
      <c r="J554" s="85">
        <f>IFERROR(VLOOKUP($A:$A,CS!$A:$AK,18,FALSE),"")</f>
        <v/>
      </c>
      <c r="K554" s="85">
        <f>IFERROR(VLOOKUP($A:$A,CS!$A:$AK,19,FALSE),"")</f>
        <v/>
      </c>
      <c r="L554" s="85">
        <f>IFERROR(VLOOKUP($A:$A,CS!$A:$AK,20,FALSE),"")</f>
        <v/>
      </c>
      <c r="M554" s="85">
        <f>IFERROR(VLOOKUP($A:$A,CS!$A:$AK,22,FALSE),"")</f>
        <v/>
      </c>
      <c r="N554" s="85">
        <f>IFERROR(VLOOKUP($A:$A,CS!$A:$AK,19,FALSE),"")</f>
        <v/>
      </c>
      <c r="O554" s="85">
        <f>IFERROR(VLOOKUP($A:$A,CS!$A:$AK,23,FALSE),"")</f>
        <v/>
      </c>
      <c r="P554" s="85">
        <f>IFERROR(VLOOKUP($A:$A,CS!$A:$AK,24,FALSE),"")</f>
        <v/>
      </c>
      <c r="Q554" s="85">
        <f>IFERROR(VLOOKUP($A:$A,CS!$A:$AK,25,FALSE),"")</f>
        <v/>
      </c>
      <c r="R554" s="85">
        <f>IFERROR(VLOOKUP($A:$A,CS!$A:$AK,26,FALSE),"")</f>
        <v/>
      </c>
      <c r="S554" s="85">
        <f>IFERROR(VLOOKUP($A:$A,CS!$A:$AK,29,FALSE),"")</f>
        <v/>
      </c>
      <c r="T554" s="85">
        <f>IFERROR(VLOOKUP($A:$A,CS!$A:$AK,33,FALSE),"")</f>
        <v/>
      </c>
      <c r="U554" s="85">
        <f>IFERROR(VLOOKUP($A:$A,CS!$A:$AK,34,FALSE),"")</f>
        <v/>
      </c>
      <c r="V554" s="85">
        <f>IFERROR(VLOOKUP($A:$A,CS!$A:$AK,35,FALSE),"")</f>
        <v/>
      </c>
      <c r="W554" s="85">
        <f>IFERROR(VLOOKUP($A:$A,CS!$A:$AK,36,FALSE),"")</f>
        <v/>
      </c>
    </row>
    <row r="555" ht="16.5" customHeight="1">
      <c r="A555" s="158" t="n"/>
      <c r="B555" s="85">
        <f>IFERROR(VLOOKUP($A:$A,CS!$A:$AK,3,FALSE),"")</f>
        <v/>
      </c>
      <c r="C555" s="85">
        <f>IFERROR(VLOOKUP($A:$A,CS!$A:$AK,4,FALSE),"")</f>
        <v/>
      </c>
      <c r="D555" s="85">
        <f>IFERROR(VLOOKUP($A:$A,CS!$A:$AK,5,FALSE),"")</f>
        <v/>
      </c>
      <c r="E555" s="85">
        <f>IFERROR(VLOOKUP($A:$A,CS!$A:$AK,7,FALSE),"")</f>
        <v/>
      </c>
      <c r="F555" s="85">
        <f>IFERROR(VLOOKUP($A:$A,CS!$A:$AK,8,FALSE),"")</f>
        <v/>
      </c>
      <c r="G555" s="85">
        <f>IFERROR(VLOOKUP($A:$A,CS!$A:$AK,10,FALSE),"")</f>
        <v/>
      </c>
      <c r="H555" s="85">
        <f>IFERROR(VLOOKUP($A:$A,CS!$A:$AK,14,FALSE),"")</f>
        <v/>
      </c>
      <c r="I555" s="85">
        <f>IFERROR(VLOOKUP($A:$A,CS!$A:$AK,15,FALSE),"")</f>
        <v/>
      </c>
      <c r="J555" s="85">
        <f>IFERROR(VLOOKUP($A:$A,CS!$A:$AK,18,FALSE),"")</f>
        <v/>
      </c>
      <c r="K555" s="85">
        <f>IFERROR(VLOOKUP($A:$A,CS!$A:$AK,19,FALSE),"")</f>
        <v/>
      </c>
      <c r="L555" s="85">
        <f>IFERROR(VLOOKUP($A:$A,CS!$A:$AK,20,FALSE),"")</f>
        <v/>
      </c>
      <c r="M555" s="85">
        <f>IFERROR(VLOOKUP($A:$A,CS!$A:$AK,22,FALSE),"")</f>
        <v/>
      </c>
      <c r="N555" s="85">
        <f>IFERROR(VLOOKUP($A:$A,CS!$A:$AK,19,FALSE),"")</f>
        <v/>
      </c>
      <c r="O555" s="85">
        <f>IFERROR(VLOOKUP($A:$A,CS!$A:$AK,23,FALSE),"")</f>
        <v/>
      </c>
      <c r="P555" s="85">
        <f>IFERROR(VLOOKUP($A:$A,CS!$A:$AK,24,FALSE),"")</f>
        <v/>
      </c>
      <c r="Q555" s="85">
        <f>IFERROR(VLOOKUP($A:$A,CS!$A:$AK,25,FALSE),"")</f>
        <v/>
      </c>
      <c r="R555" s="85">
        <f>IFERROR(VLOOKUP($A:$A,CS!$A:$AK,26,FALSE),"")</f>
        <v/>
      </c>
      <c r="S555" s="85">
        <f>IFERROR(VLOOKUP($A:$A,CS!$A:$AK,29,FALSE),"")</f>
        <v/>
      </c>
      <c r="T555" s="85">
        <f>IFERROR(VLOOKUP($A:$A,CS!$A:$AK,33,FALSE),"")</f>
        <v/>
      </c>
      <c r="U555" s="85">
        <f>IFERROR(VLOOKUP($A:$A,CS!$A:$AK,34,FALSE),"")</f>
        <v/>
      </c>
      <c r="V555" s="85">
        <f>IFERROR(VLOOKUP($A:$A,CS!$A:$AK,35,FALSE),"")</f>
        <v/>
      </c>
      <c r="W555" s="85">
        <f>IFERROR(VLOOKUP($A:$A,CS!$A:$AK,36,FALSE),"")</f>
        <v/>
      </c>
    </row>
    <row r="556" ht="16.5" customHeight="1">
      <c r="A556" s="158" t="n"/>
      <c r="B556" s="85">
        <f>IFERROR(VLOOKUP($A:$A,CS!$A:$AK,3,FALSE),"")</f>
        <v/>
      </c>
      <c r="C556" s="85">
        <f>IFERROR(VLOOKUP($A:$A,CS!$A:$AK,4,FALSE),"")</f>
        <v/>
      </c>
      <c r="D556" s="85">
        <f>IFERROR(VLOOKUP($A:$A,CS!$A:$AK,5,FALSE),"")</f>
        <v/>
      </c>
      <c r="E556" s="85">
        <f>IFERROR(VLOOKUP($A:$A,CS!$A:$AK,7,FALSE),"")</f>
        <v/>
      </c>
      <c r="F556" s="85">
        <f>IFERROR(VLOOKUP($A:$A,CS!$A:$AK,8,FALSE),"")</f>
        <v/>
      </c>
      <c r="G556" s="85">
        <f>IFERROR(VLOOKUP($A:$A,CS!$A:$AK,10,FALSE),"")</f>
        <v/>
      </c>
      <c r="H556" s="85">
        <f>IFERROR(VLOOKUP($A:$A,CS!$A:$AK,14,FALSE),"")</f>
        <v/>
      </c>
      <c r="I556" s="85">
        <f>IFERROR(VLOOKUP($A:$A,CS!$A:$AK,15,FALSE),"")</f>
        <v/>
      </c>
      <c r="J556" s="85">
        <f>IFERROR(VLOOKUP($A:$A,CS!$A:$AK,18,FALSE),"")</f>
        <v/>
      </c>
      <c r="K556" s="85">
        <f>IFERROR(VLOOKUP($A:$A,CS!$A:$AK,19,FALSE),"")</f>
        <v/>
      </c>
      <c r="L556" s="85">
        <f>IFERROR(VLOOKUP($A:$A,CS!$A:$AK,20,FALSE),"")</f>
        <v/>
      </c>
      <c r="M556" s="85">
        <f>IFERROR(VLOOKUP($A:$A,CS!$A:$AK,22,FALSE),"")</f>
        <v/>
      </c>
      <c r="N556" s="85">
        <f>IFERROR(VLOOKUP($A:$A,CS!$A:$AK,19,FALSE),"")</f>
        <v/>
      </c>
      <c r="O556" s="85">
        <f>IFERROR(VLOOKUP($A:$A,CS!$A:$AK,23,FALSE),"")</f>
        <v/>
      </c>
      <c r="P556" s="85">
        <f>IFERROR(VLOOKUP($A:$A,CS!$A:$AK,24,FALSE),"")</f>
        <v/>
      </c>
      <c r="Q556" s="85">
        <f>IFERROR(VLOOKUP($A:$A,CS!$A:$AK,25,FALSE),"")</f>
        <v/>
      </c>
      <c r="R556" s="85">
        <f>IFERROR(VLOOKUP($A:$A,CS!$A:$AK,26,FALSE),"")</f>
        <v/>
      </c>
      <c r="S556" s="85">
        <f>IFERROR(VLOOKUP($A:$A,CS!$A:$AK,29,FALSE),"")</f>
        <v/>
      </c>
      <c r="T556" s="85">
        <f>IFERROR(VLOOKUP($A:$A,CS!$A:$AK,33,FALSE),"")</f>
        <v/>
      </c>
      <c r="U556" s="85">
        <f>IFERROR(VLOOKUP($A:$A,CS!$A:$AK,34,FALSE),"")</f>
        <v/>
      </c>
      <c r="V556" s="85">
        <f>IFERROR(VLOOKUP($A:$A,CS!$A:$AK,35,FALSE),"")</f>
        <v/>
      </c>
      <c r="W556" s="85">
        <f>IFERROR(VLOOKUP($A:$A,CS!$A:$AK,36,FALSE),"")</f>
        <v/>
      </c>
    </row>
    <row r="557" ht="16.5" customHeight="1">
      <c r="A557" s="158" t="n"/>
      <c r="B557" s="85">
        <f>IFERROR(VLOOKUP($A:$A,CS!$A:$AK,3,FALSE),"")</f>
        <v/>
      </c>
      <c r="C557" s="85">
        <f>IFERROR(VLOOKUP($A:$A,CS!$A:$AK,4,FALSE),"")</f>
        <v/>
      </c>
      <c r="D557" s="85">
        <f>IFERROR(VLOOKUP($A:$A,CS!$A:$AK,5,FALSE),"")</f>
        <v/>
      </c>
      <c r="E557" s="85">
        <f>IFERROR(VLOOKUP($A:$A,CS!$A:$AK,7,FALSE),"")</f>
        <v/>
      </c>
      <c r="F557" s="85">
        <f>IFERROR(VLOOKUP($A:$A,CS!$A:$AK,8,FALSE),"")</f>
        <v/>
      </c>
      <c r="G557" s="85">
        <f>IFERROR(VLOOKUP($A:$A,CS!$A:$AK,10,FALSE),"")</f>
        <v/>
      </c>
      <c r="H557" s="85">
        <f>IFERROR(VLOOKUP($A:$A,CS!$A:$AK,14,FALSE),"")</f>
        <v/>
      </c>
      <c r="I557" s="85">
        <f>IFERROR(VLOOKUP($A:$A,CS!$A:$AK,15,FALSE),"")</f>
        <v/>
      </c>
      <c r="J557" s="85">
        <f>IFERROR(VLOOKUP($A:$A,CS!$A:$AK,18,FALSE),"")</f>
        <v/>
      </c>
      <c r="K557" s="85">
        <f>IFERROR(VLOOKUP($A:$A,CS!$A:$AK,19,FALSE),"")</f>
        <v/>
      </c>
      <c r="L557" s="85">
        <f>IFERROR(VLOOKUP($A:$A,CS!$A:$AK,20,FALSE),"")</f>
        <v/>
      </c>
      <c r="M557" s="85">
        <f>IFERROR(VLOOKUP($A:$A,CS!$A:$AK,22,FALSE),"")</f>
        <v/>
      </c>
      <c r="N557" s="85">
        <f>IFERROR(VLOOKUP($A:$A,CS!$A:$AK,19,FALSE),"")</f>
        <v/>
      </c>
      <c r="O557" s="85">
        <f>IFERROR(VLOOKUP($A:$A,CS!$A:$AK,23,FALSE),"")</f>
        <v/>
      </c>
      <c r="P557" s="85">
        <f>IFERROR(VLOOKUP($A:$A,CS!$A:$AK,24,FALSE),"")</f>
        <v/>
      </c>
      <c r="Q557" s="85">
        <f>IFERROR(VLOOKUP($A:$A,CS!$A:$AK,25,FALSE),"")</f>
        <v/>
      </c>
      <c r="R557" s="85">
        <f>IFERROR(VLOOKUP($A:$A,CS!$A:$AK,26,FALSE),"")</f>
        <v/>
      </c>
      <c r="S557" s="85">
        <f>IFERROR(VLOOKUP($A:$A,CS!$A:$AK,29,FALSE),"")</f>
        <v/>
      </c>
      <c r="T557" s="85">
        <f>IFERROR(VLOOKUP($A:$A,CS!$A:$AK,33,FALSE),"")</f>
        <v/>
      </c>
      <c r="U557" s="85">
        <f>IFERROR(VLOOKUP($A:$A,CS!$A:$AK,34,FALSE),"")</f>
        <v/>
      </c>
      <c r="V557" s="85">
        <f>IFERROR(VLOOKUP($A:$A,CS!$A:$AK,35,FALSE),"")</f>
        <v/>
      </c>
      <c r="W557" s="85">
        <f>IFERROR(VLOOKUP($A:$A,CS!$A:$AK,36,FALSE),"")</f>
        <v/>
      </c>
    </row>
    <row r="558" ht="16.5" customHeight="1">
      <c r="A558" s="158" t="n"/>
      <c r="B558" s="85">
        <f>IFERROR(VLOOKUP($A:$A,CS!$A:$AK,3,FALSE),"")</f>
        <v/>
      </c>
      <c r="C558" s="85">
        <f>IFERROR(VLOOKUP($A:$A,CS!$A:$AK,4,FALSE),"")</f>
        <v/>
      </c>
      <c r="D558" s="85">
        <f>IFERROR(VLOOKUP($A:$A,CS!$A:$AK,5,FALSE),"")</f>
        <v/>
      </c>
      <c r="E558" s="85">
        <f>IFERROR(VLOOKUP($A:$A,CS!$A:$AK,7,FALSE),"")</f>
        <v/>
      </c>
      <c r="F558" s="85">
        <f>IFERROR(VLOOKUP($A:$A,CS!$A:$AK,8,FALSE),"")</f>
        <v/>
      </c>
      <c r="G558" s="85">
        <f>IFERROR(VLOOKUP($A:$A,CS!$A:$AK,10,FALSE),"")</f>
        <v/>
      </c>
      <c r="H558" s="85">
        <f>IFERROR(VLOOKUP($A:$A,CS!$A:$AK,14,FALSE),"")</f>
        <v/>
      </c>
      <c r="I558" s="85">
        <f>IFERROR(VLOOKUP($A:$A,CS!$A:$AK,15,FALSE),"")</f>
        <v/>
      </c>
      <c r="J558" s="85">
        <f>IFERROR(VLOOKUP($A:$A,CS!$A:$AK,18,FALSE),"")</f>
        <v/>
      </c>
      <c r="K558" s="85">
        <f>IFERROR(VLOOKUP($A:$A,CS!$A:$AK,19,FALSE),"")</f>
        <v/>
      </c>
      <c r="L558" s="85">
        <f>IFERROR(VLOOKUP($A:$A,CS!$A:$AK,20,FALSE),"")</f>
        <v/>
      </c>
      <c r="M558" s="85">
        <f>IFERROR(VLOOKUP($A:$A,CS!$A:$AK,22,FALSE),"")</f>
        <v/>
      </c>
      <c r="N558" s="85">
        <f>IFERROR(VLOOKUP($A:$A,CS!$A:$AK,19,FALSE),"")</f>
        <v/>
      </c>
      <c r="O558" s="85">
        <f>IFERROR(VLOOKUP($A:$A,CS!$A:$AK,23,FALSE),"")</f>
        <v/>
      </c>
      <c r="P558" s="85">
        <f>IFERROR(VLOOKUP($A:$A,CS!$A:$AK,24,FALSE),"")</f>
        <v/>
      </c>
      <c r="Q558" s="85">
        <f>IFERROR(VLOOKUP($A:$A,CS!$A:$AK,25,FALSE),"")</f>
        <v/>
      </c>
      <c r="R558" s="85">
        <f>IFERROR(VLOOKUP($A:$A,CS!$A:$AK,26,FALSE),"")</f>
        <v/>
      </c>
      <c r="S558" s="85">
        <f>IFERROR(VLOOKUP($A:$A,CS!$A:$AK,29,FALSE),"")</f>
        <v/>
      </c>
      <c r="T558" s="85">
        <f>IFERROR(VLOOKUP($A:$A,CS!$A:$AK,33,FALSE),"")</f>
        <v/>
      </c>
      <c r="U558" s="85">
        <f>IFERROR(VLOOKUP($A:$A,CS!$A:$AK,34,FALSE),"")</f>
        <v/>
      </c>
      <c r="V558" s="85">
        <f>IFERROR(VLOOKUP($A:$A,CS!$A:$AK,35,FALSE),"")</f>
        <v/>
      </c>
      <c r="W558" s="85">
        <f>IFERROR(VLOOKUP($A:$A,CS!$A:$AK,36,FALSE),"")</f>
        <v/>
      </c>
    </row>
    <row r="559" ht="16.5" customHeight="1">
      <c r="A559" s="158" t="n"/>
      <c r="B559" s="85">
        <f>IFERROR(VLOOKUP($A:$A,CS!$A:$AK,3,FALSE),"")</f>
        <v/>
      </c>
      <c r="C559" s="85">
        <f>IFERROR(VLOOKUP($A:$A,CS!$A:$AK,4,FALSE),"")</f>
        <v/>
      </c>
      <c r="D559" s="85">
        <f>IFERROR(VLOOKUP($A:$A,CS!$A:$AK,5,FALSE),"")</f>
        <v/>
      </c>
      <c r="E559" s="85">
        <f>IFERROR(VLOOKUP($A:$A,CS!$A:$AK,7,FALSE),"")</f>
        <v/>
      </c>
      <c r="F559" s="85">
        <f>IFERROR(VLOOKUP($A:$A,CS!$A:$AK,8,FALSE),"")</f>
        <v/>
      </c>
      <c r="G559" s="85">
        <f>IFERROR(VLOOKUP($A:$A,CS!$A:$AK,10,FALSE),"")</f>
        <v/>
      </c>
      <c r="H559" s="85">
        <f>IFERROR(VLOOKUP($A:$A,CS!$A:$AK,14,FALSE),"")</f>
        <v/>
      </c>
      <c r="I559" s="85">
        <f>IFERROR(VLOOKUP($A:$A,CS!$A:$AK,15,FALSE),"")</f>
        <v/>
      </c>
      <c r="J559" s="85">
        <f>IFERROR(VLOOKUP($A:$A,CS!$A:$AK,18,FALSE),"")</f>
        <v/>
      </c>
      <c r="K559" s="85">
        <f>IFERROR(VLOOKUP($A:$A,CS!$A:$AK,19,FALSE),"")</f>
        <v/>
      </c>
      <c r="L559" s="85">
        <f>IFERROR(VLOOKUP($A:$A,CS!$A:$AK,20,FALSE),"")</f>
        <v/>
      </c>
      <c r="M559" s="85">
        <f>IFERROR(VLOOKUP($A:$A,CS!$A:$AK,22,FALSE),"")</f>
        <v/>
      </c>
      <c r="N559" s="85">
        <f>IFERROR(VLOOKUP($A:$A,CS!$A:$AK,19,FALSE),"")</f>
        <v/>
      </c>
      <c r="O559" s="85">
        <f>IFERROR(VLOOKUP($A:$A,CS!$A:$AK,23,FALSE),"")</f>
        <v/>
      </c>
      <c r="P559" s="85">
        <f>IFERROR(VLOOKUP($A:$A,CS!$A:$AK,24,FALSE),"")</f>
        <v/>
      </c>
      <c r="Q559" s="85">
        <f>IFERROR(VLOOKUP($A:$A,CS!$A:$AK,25,FALSE),"")</f>
        <v/>
      </c>
      <c r="R559" s="85">
        <f>IFERROR(VLOOKUP($A:$A,CS!$A:$AK,26,FALSE),"")</f>
        <v/>
      </c>
      <c r="S559" s="85">
        <f>IFERROR(VLOOKUP($A:$A,CS!$A:$AK,29,FALSE),"")</f>
        <v/>
      </c>
      <c r="T559" s="85">
        <f>IFERROR(VLOOKUP($A:$A,CS!$A:$AK,33,FALSE),"")</f>
        <v/>
      </c>
      <c r="U559" s="85">
        <f>IFERROR(VLOOKUP($A:$A,CS!$A:$AK,34,FALSE),"")</f>
        <v/>
      </c>
      <c r="V559" s="85">
        <f>IFERROR(VLOOKUP($A:$A,CS!$A:$AK,35,FALSE),"")</f>
        <v/>
      </c>
      <c r="W559" s="85">
        <f>IFERROR(VLOOKUP($A:$A,CS!$A:$AK,36,FALSE),"")</f>
        <v/>
      </c>
    </row>
    <row r="560" ht="16.5" customHeight="1">
      <c r="A560" s="158" t="n"/>
      <c r="B560" s="85">
        <f>IFERROR(VLOOKUP($A:$A,CS!$A:$AK,3,FALSE),"")</f>
        <v/>
      </c>
      <c r="C560" s="85">
        <f>IFERROR(VLOOKUP($A:$A,CS!$A:$AK,4,FALSE),"")</f>
        <v/>
      </c>
      <c r="D560" s="85">
        <f>IFERROR(VLOOKUP($A:$A,CS!$A:$AK,5,FALSE),"")</f>
        <v/>
      </c>
      <c r="E560" s="85">
        <f>IFERROR(VLOOKUP($A:$A,CS!$A:$AK,7,FALSE),"")</f>
        <v/>
      </c>
      <c r="F560" s="85">
        <f>IFERROR(VLOOKUP($A:$A,CS!$A:$AK,8,FALSE),"")</f>
        <v/>
      </c>
      <c r="G560" s="85">
        <f>IFERROR(VLOOKUP($A:$A,CS!$A:$AK,10,FALSE),"")</f>
        <v/>
      </c>
      <c r="H560" s="85">
        <f>IFERROR(VLOOKUP($A:$A,CS!$A:$AK,14,FALSE),"")</f>
        <v/>
      </c>
      <c r="I560" s="85">
        <f>IFERROR(VLOOKUP($A:$A,CS!$A:$AK,15,FALSE),"")</f>
        <v/>
      </c>
      <c r="J560" s="85">
        <f>IFERROR(VLOOKUP($A:$A,CS!$A:$AK,18,FALSE),"")</f>
        <v/>
      </c>
      <c r="K560" s="85">
        <f>IFERROR(VLOOKUP($A:$A,CS!$A:$AK,19,FALSE),"")</f>
        <v/>
      </c>
      <c r="L560" s="85">
        <f>IFERROR(VLOOKUP($A:$A,CS!$A:$AK,20,FALSE),"")</f>
        <v/>
      </c>
      <c r="M560" s="85">
        <f>IFERROR(VLOOKUP($A:$A,CS!$A:$AK,22,FALSE),"")</f>
        <v/>
      </c>
      <c r="N560" s="85">
        <f>IFERROR(VLOOKUP($A:$A,CS!$A:$AK,19,FALSE),"")</f>
        <v/>
      </c>
      <c r="O560" s="85">
        <f>IFERROR(VLOOKUP($A:$A,CS!$A:$AK,23,FALSE),"")</f>
        <v/>
      </c>
      <c r="P560" s="85">
        <f>IFERROR(VLOOKUP($A:$A,CS!$A:$AK,24,FALSE),"")</f>
        <v/>
      </c>
      <c r="Q560" s="85">
        <f>IFERROR(VLOOKUP($A:$A,CS!$A:$AK,25,FALSE),"")</f>
        <v/>
      </c>
      <c r="R560" s="85">
        <f>IFERROR(VLOOKUP($A:$A,CS!$A:$AK,26,FALSE),"")</f>
        <v/>
      </c>
      <c r="S560" s="85">
        <f>IFERROR(VLOOKUP($A:$A,CS!$A:$AK,29,FALSE),"")</f>
        <v/>
      </c>
      <c r="T560" s="85">
        <f>IFERROR(VLOOKUP($A:$A,CS!$A:$AK,33,FALSE),"")</f>
        <v/>
      </c>
      <c r="U560" s="85">
        <f>IFERROR(VLOOKUP($A:$A,CS!$A:$AK,34,FALSE),"")</f>
        <v/>
      </c>
      <c r="V560" s="85">
        <f>IFERROR(VLOOKUP($A:$A,CS!$A:$AK,35,FALSE),"")</f>
        <v/>
      </c>
      <c r="W560" s="85">
        <f>IFERROR(VLOOKUP($A:$A,CS!$A:$AK,36,FALSE),"")</f>
        <v/>
      </c>
    </row>
    <row r="561" ht="16.5" customHeight="1">
      <c r="A561" s="158" t="n"/>
      <c r="B561" s="85">
        <f>IFERROR(VLOOKUP($A:$A,CS!$A:$AK,3,FALSE),"")</f>
        <v/>
      </c>
      <c r="C561" s="85">
        <f>IFERROR(VLOOKUP($A:$A,CS!$A:$AK,4,FALSE),"")</f>
        <v/>
      </c>
      <c r="D561" s="85">
        <f>IFERROR(VLOOKUP($A:$A,CS!$A:$AK,5,FALSE),"")</f>
        <v/>
      </c>
      <c r="E561" s="85">
        <f>IFERROR(VLOOKUP($A:$A,CS!$A:$AK,7,FALSE),"")</f>
        <v/>
      </c>
      <c r="F561" s="85">
        <f>IFERROR(VLOOKUP($A:$A,CS!$A:$AK,8,FALSE),"")</f>
        <v/>
      </c>
      <c r="G561" s="85">
        <f>IFERROR(VLOOKUP($A:$A,CS!$A:$AK,10,FALSE),"")</f>
        <v/>
      </c>
      <c r="H561" s="85">
        <f>IFERROR(VLOOKUP($A:$A,CS!$A:$AK,14,FALSE),"")</f>
        <v/>
      </c>
      <c r="I561" s="85">
        <f>IFERROR(VLOOKUP($A:$A,CS!$A:$AK,15,FALSE),"")</f>
        <v/>
      </c>
      <c r="J561" s="85">
        <f>IFERROR(VLOOKUP($A:$A,CS!$A:$AK,18,FALSE),"")</f>
        <v/>
      </c>
      <c r="K561" s="85">
        <f>IFERROR(VLOOKUP($A:$A,CS!$A:$AK,19,FALSE),"")</f>
        <v/>
      </c>
      <c r="L561" s="85">
        <f>IFERROR(VLOOKUP($A:$A,CS!$A:$AK,20,FALSE),"")</f>
        <v/>
      </c>
      <c r="M561" s="85">
        <f>IFERROR(VLOOKUP($A:$A,CS!$A:$AK,22,FALSE),"")</f>
        <v/>
      </c>
      <c r="N561" s="85">
        <f>IFERROR(VLOOKUP($A:$A,CS!$A:$AK,19,FALSE),"")</f>
        <v/>
      </c>
      <c r="O561" s="85">
        <f>IFERROR(VLOOKUP($A:$A,CS!$A:$AK,23,FALSE),"")</f>
        <v/>
      </c>
      <c r="P561" s="85">
        <f>IFERROR(VLOOKUP($A:$A,CS!$A:$AK,24,FALSE),"")</f>
        <v/>
      </c>
      <c r="Q561" s="85">
        <f>IFERROR(VLOOKUP($A:$A,CS!$A:$AK,25,FALSE),"")</f>
        <v/>
      </c>
      <c r="R561" s="85">
        <f>IFERROR(VLOOKUP($A:$A,CS!$A:$AK,26,FALSE),"")</f>
        <v/>
      </c>
      <c r="S561" s="85">
        <f>IFERROR(VLOOKUP($A:$A,CS!$A:$AK,29,FALSE),"")</f>
        <v/>
      </c>
      <c r="T561" s="85">
        <f>IFERROR(VLOOKUP($A:$A,CS!$A:$AK,33,FALSE),"")</f>
        <v/>
      </c>
      <c r="U561" s="85">
        <f>IFERROR(VLOOKUP($A:$A,CS!$A:$AK,34,FALSE),"")</f>
        <v/>
      </c>
      <c r="V561" s="85">
        <f>IFERROR(VLOOKUP($A:$A,CS!$A:$AK,35,FALSE),"")</f>
        <v/>
      </c>
      <c r="W561" s="85">
        <f>IFERROR(VLOOKUP($A:$A,CS!$A:$AK,36,FALSE),"")</f>
        <v/>
      </c>
    </row>
    <row r="562" ht="16.5" customHeight="1">
      <c r="A562" s="158" t="n"/>
      <c r="B562" s="85">
        <f>IFERROR(VLOOKUP($A:$A,CS!$A:$AK,3,FALSE),"")</f>
        <v/>
      </c>
      <c r="C562" s="85">
        <f>IFERROR(VLOOKUP($A:$A,CS!$A:$AK,4,FALSE),"")</f>
        <v/>
      </c>
      <c r="D562" s="85">
        <f>IFERROR(VLOOKUP($A:$A,CS!$A:$AK,5,FALSE),"")</f>
        <v/>
      </c>
      <c r="E562" s="85">
        <f>IFERROR(VLOOKUP($A:$A,CS!$A:$AK,7,FALSE),"")</f>
        <v/>
      </c>
      <c r="F562" s="85">
        <f>IFERROR(VLOOKUP($A:$A,CS!$A:$AK,8,FALSE),"")</f>
        <v/>
      </c>
      <c r="G562" s="85">
        <f>IFERROR(VLOOKUP($A:$A,CS!$A:$AK,10,FALSE),"")</f>
        <v/>
      </c>
      <c r="H562" s="85">
        <f>IFERROR(VLOOKUP($A:$A,CS!$A:$AK,14,FALSE),"")</f>
        <v/>
      </c>
      <c r="I562" s="85">
        <f>IFERROR(VLOOKUP($A:$A,CS!$A:$AK,15,FALSE),"")</f>
        <v/>
      </c>
      <c r="J562" s="85">
        <f>IFERROR(VLOOKUP($A:$A,CS!$A:$AK,18,FALSE),"")</f>
        <v/>
      </c>
      <c r="K562" s="85">
        <f>IFERROR(VLOOKUP($A:$A,CS!$A:$AK,19,FALSE),"")</f>
        <v/>
      </c>
      <c r="L562" s="85">
        <f>IFERROR(VLOOKUP($A:$A,CS!$A:$AK,20,FALSE),"")</f>
        <v/>
      </c>
      <c r="M562" s="85">
        <f>IFERROR(VLOOKUP($A:$A,CS!$A:$AK,22,FALSE),"")</f>
        <v/>
      </c>
      <c r="N562" s="85">
        <f>IFERROR(VLOOKUP($A:$A,CS!$A:$AK,19,FALSE),"")</f>
        <v/>
      </c>
      <c r="O562" s="85">
        <f>IFERROR(VLOOKUP($A:$A,CS!$A:$AK,23,FALSE),"")</f>
        <v/>
      </c>
      <c r="P562" s="85">
        <f>IFERROR(VLOOKUP($A:$A,CS!$A:$AK,24,FALSE),"")</f>
        <v/>
      </c>
      <c r="Q562" s="85">
        <f>IFERROR(VLOOKUP($A:$A,CS!$A:$AK,25,FALSE),"")</f>
        <v/>
      </c>
      <c r="R562" s="85">
        <f>IFERROR(VLOOKUP($A:$A,CS!$A:$AK,26,FALSE),"")</f>
        <v/>
      </c>
      <c r="S562" s="85">
        <f>IFERROR(VLOOKUP($A:$A,CS!$A:$AK,29,FALSE),"")</f>
        <v/>
      </c>
      <c r="T562" s="85">
        <f>IFERROR(VLOOKUP($A:$A,CS!$A:$AK,33,FALSE),"")</f>
        <v/>
      </c>
      <c r="U562" s="85">
        <f>IFERROR(VLOOKUP($A:$A,CS!$A:$AK,34,FALSE),"")</f>
        <v/>
      </c>
      <c r="V562" s="85">
        <f>IFERROR(VLOOKUP($A:$A,CS!$A:$AK,35,FALSE),"")</f>
        <v/>
      </c>
      <c r="W562" s="85">
        <f>IFERROR(VLOOKUP($A:$A,CS!$A:$AK,36,FALSE),"")</f>
        <v/>
      </c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59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60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60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60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60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60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160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160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160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160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160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160" t="n"/>
      <c r="W574" s="92" t="n"/>
    </row>
    <row r="575" ht="16.5" customHeight="1">
      <c r="A575" s="89" t="n"/>
      <c r="B575" s="85" t="n"/>
      <c r="C575" s="85" t="n"/>
      <c r="D575" s="90" t="n"/>
      <c r="E575" s="85" t="n"/>
      <c r="F575" s="85" t="n"/>
      <c r="G575" s="85" t="n"/>
      <c r="H575" s="85" t="n"/>
      <c r="I575" s="85" t="n"/>
      <c r="J575" s="69" t="n"/>
      <c r="K575" s="85" t="n"/>
      <c r="L575" s="91" t="n"/>
      <c r="M575" s="85" t="n"/>
      <c r="N575" s="85" t="n"/>
      <c r="O575" s="91" t="n"/>
      <c r="P575" s="92" t="n"/>
      <c r="Q575" s="91" t="n"/>
      <c r="R575" s="91" t="n"/>
      <c r="S575" s="92" t="n"/>
      <c r="T575" s="93" t="n"/>
      <c r="U575" s="91" t="n"/>
      <c r="V575" s="160" t="n"/>
      <c r="W575" s="92" t="n"/>
    </row>
    <row r="576" ht="16.5" customHeight="1">
      <c r="A576" s="89" t="n"/>
      <c r="B576" s="85" t="n"/>
      <c r="C576" s="85" t="n"/>
      <c r="D576" s="90" t="n"/>
      <c r="E576" s="85" t="n"/>
      <c r="F576" s="85" t="n"/>
      <c r="G576" s="85" t="n"/>
      <c r="H576" s="85" t="n"/>
      <c r="I576" s="85" t="n"/>
      <c r="J576" s="69" t="n"/>
      <c r="K576" s="85" t="n"/>
      <c r="L576" s="91" t="n"/>
      <c r="M576" s="85" t="n"/>
      <c r="N576" s="85" t="n"/>
      <c r="O576" s="91" t="n"/>
      <c r="P576" s="92" t="n"/>
      <c r="Q576" s="91" t="n"/>
      <c r="R576" s="91" t="n"/>
      <c r="S576" s="92" t="n"/>
      <c r="T576" s="93" t="n"/>
      <c r="U576" s="91" t="n"/>
      <c r="V576" s="160" t="n"/>
      <c r="W576" s="92" t="n"/>
    </row>
    <row r="577" ht="16.5" customHeight="1">
      <c r="A577" s="89" t="n"/>
      <c r="B577" s="85" t="n"/>
      <c r="C577" s="85" t="n"/>
      <c r="D577" s="90" t="n"/>
      <c r="E577" s="85" t="n"/>
      <c r="F577" s="85" t="n"/>
      <c r="G577" s="85" t="n"/>
      <c r="H577" s="85" t="n"/>
      <c r="I577" s="85" t="n"/>
      <c r="J577" s="69" t="n"/>
      <c r="K577" s="85" t="n"/>
      <c r="L577" s="91" t="n"/>
      <c r="M577" s="85" t="n"/>
      <c r="N577" s="85" t="n"/>
      <c r="O577" s="91" t="n"/>
      <c r="P577" s="92" t="n"/>
      <c r="Q577" s="91" t="n"/>
      <c r="R577" s="91" t="n"/>
      <c r="S577" s="92" t="n"/>
      <c r="T577" s="93" t="n"/>
      <c r="U577" s="91" t="n"/>
      <c r="V577" s="160" t="n"/>
      <c r="W577" s="92" t="n"/>
    </row>
    <row r="578" ht="16.5" customHeight="1">
      <c r="A578" s="89" t="n"/>
      <c r="B578" s="85" t="n"/>
      <c r="C578" s="85" t="n"/>
      <c r="D578" s="90" t="n"/>
      <c r="E578" s="85" t="n"/>
      <c r="F578" s="85" t="n"/>
      <c r="G578" s="85" t="n"/>
      <c r="H578" s="85" t="n"/>
      <c r="I578" s="85" t="n"/>
      <c r="J578" s="69" t="n"/>
      <c r="K578" s="85" t="n"/>
      <c r="L578" s="91" t="n"/>
      <c r="M578" s="85" t="n"/>
      <c r="N578" s="85" t="n"/>
      <c r="O578" s="91" t="n"/>
      <c r="P578" s="92" t="n"/>
      <c r="Q578" s="91" t="n"/>
      <c r="R578" s="91" t="n"/>
      <c r="S578" s="92" t="n"/>
      <c r="T578" s="93" t="n"/>
      <c r="U578" s="91" t="n"/>
      <c r="V578" s="160" t="n"/>
      <c r="W578" s="92" t="n"/>
    </row>
    <row r="579" ht="16.5" customHeight="1">
      <c r="A579" s="89" t="n"/>
      <c r="B579" s="85" t="n"/>
      <c r="C579" s="85" t="n"/>
      <c r="D579" s="90" t="n"/>
      <c r="E579" s="85" t="n"/>
      <c r="F579" s="85" t="n"/>
      <c r="G579" s="85" t="n"/>
      <c r="H579" s="85" t="n"/>
      <c r="I579" s="85" t="n"/>
      <c r="J579" s="69" t="n"/>
      <c r="K579" s="85" t="n"/>
      <c r="L579" s="91" t="n"/>
      <c r="M579" s="85" t="n"/>
      <c r="N579" s="85" t="n"/>
      <c r="O579" s="91" t="n"/>
      <c r="P579" s="92" t="n"/>
      <c r="Q579" s="91" t="n"/>
      <c r="R579" s="91" t="n"/>
      <c r="S579" s="92" t="n"/>
      <c r="T579" s="93" t="n"/>
      <c r="U579" s="91" t="n"/>
      <c r="V579" s="160" t="n"/>
      <c r="W579" s="92" t="n"/>
    </row>
    <row r="580" ht="16.5" customHeight="1">
      <c r="A580" s="89" t="n"/>
      <c r="B580" s="85" t="n"/>
      <c r="C580" s="85" t="n"/>
      <c r="D580" s="90" t="n"/>
      <c r="E580" s="85" t="n"/>
      <c r="F580" s="85" t="n"/>
      <c r="G580" s="85" t="n"/>
      <c r="H580" s="85" t="n"/>
      <c r="I580" s="85" t="n"/>
      <c r="J580" s="69" t="n"/>
      <c r="K580" s="85" t="n"/>
      <c r="L580" s="91" t="n"/>
      <c r="M580" s="85" t="n"/>
      <c r="N580" s="85" t="n"/>
      <c r="O580" s="91" t="n"/>
      <c r="P580" s="92" t="n"/>
      <c r="Q580" s="91" t="n"/>
      <c r="R580" s="91" t="n"/>
      <c r="S580" s="92" t="n"/>
      <c r="T580" s="93" t="n"/>
      <c r="U580" s="91" t="n"/>
      <c r="V580" s="160" t="n"/>
      <c r="W580" s="92" t="n"/>
    </row>
    <row r="581" ht="16.5" customHeight="1">
      <c r="A581" s="89" t="n"/>
      <c r="B581" s="85" t="n"/>
      <c r="C581" s="85" t="n"/>
      <c r="D581" s="90" t="n"/>
      <c r="E581" s="85" t="n"/>
      <c r="F581" s="85" t="n"/>
      <c r="G581" s="85" t="n"/>
      <c r="H581" s="85" t="n"/>
      <c r="I581" s="85" t="n"/>
      <c r="J581" s="69" t="n"/>
      <c r="K581" s="85" t="n"/>
      <c r="L581" s="91" t="n"/>
      <c r="M581" s="85" t="n"/>
      <c r="N581" s="85" t="n"/>
      <c r="O581" s="91" t="n"/>
      <c r="P581" s="92" t="n"/>
      <c r="Q581" s="91" t="n"/>
      <c r="R581" s="91" t="n"/>
      <c r="S581" s="92" t="n"/>
      <c r="T581" s="93" t="n"/>
      <c r="U581" s="91" t="n"/>
      <c r="V581" s="160" t="n"/>
      <c r="W581" s="92" t="n"/>
    </row>
    <row r="582" ht="16.5" customHeight="1">
      <c r="A582" s="89" t="n"/>
      <c r="B582" s="85" t="n"/>
      <c r="C582" s="85" t="n"/>
      <c r="D582" s="90" t="n"/>
      <c r="E582" s="85" t="n"/>
      <c r="F582" s="85" t="n"/>
      <c r="G582" s="85" t="n"/>
      <c r="H582" s="85" t="n"/>
      <c r="I582" s="85" t="n"/>
      <c r="J582" s="69" t="n"/>
      <c r="K582" s="85" t="n"/>
      <c r="L582" s="91" t="n"/>
      <c r="M582" s="85" t="n"/>
      <c r="N582" s="85" t="n"/>
      <c r="O582" s="91" t="n"/>
      <c r="P582" s="92" t="n"/>
      <c r="Q582" s="91" t="n"/>
      <c r="R582" s="91" t="n"/>
      <c r="S582" s="92" t="n"/>
      <c r="T582" s="93" t="n"/>
      <c r="U582" s="91" t="n"/>
      <c r="V582" s="160" t="n"/>
      <c r="W582" s="92" t="n"/>
    </row>
    <row r="583" ht="16.5" customHeight="1">
      <c r="A583" s="89" t="n"/>
      <c r="B583" s="85" t="n"/>
      <c r="C583" s="85" t="n"/>
      <c r="D583" s="90" t="n"/>
      <c r="E583" s="85" t="n"/>
      <c r="F583" s="85" t="n"/>
      <c r="G583" s="85" t="n"/>
      <c r="H583" s="85" t="n"/>
      <c r="I583" s="85" t="n"/>
      <c r="J583" s="69" t="n"/>
      <c r="K583" s="85" t="n"/>
      <c r="L583" s="91" t="n"/>
      <c r="M583" s="85" t="n"/>
      <c r="N583" s="85" t="n"/>
      <c r="O583" s="91" t="n"/>
      <c r="P583" s="92" t="n"/>
      <c r="Q583" s="91" t="n"/>
      <c r="R583" s="91" t="n"/>
      <c r="S583" s="92" t="n"/>
      <c r="T583" s="93" t="n"/>
      <c r="U583" s="91" t="n"/>
      <c r="V583" s="160" t="n"/>
      <c r="W583" s="92" t="n"/>
    </row>
    <row r="584" ht="16.5" customHeight="1">
      <c r="A584" s="89" t="n"/>
      <c r="B584" s="85" t="n"/>
      <c r="C584" s="85" t="n"/>
      <c r="D584" s="90" t="n"/>
      <c r="E584" s="85" t="n"/>
      <c r="F584" s="85" t="n"/>
      <c r="G584" s="85" t="n"/>
      <c r="H584" s="85" t="n"/>
      <c r="I584" s="85" t="n"/>
      <c r="J584" s="69" t="n"/>
      <c r="K584" s="85" t="n"/>
      <c r="L584" s="91" t="n"/>
      <c r="M584" s="85" t="n"/>
      <c r="N584" s="85" t="n"/>
      <c r="O584" s="91" t="n"/>
      <c r="P584" s="92" t="n"/>
      <c r="Q584" s="91" t="n"/>
      <c r="R584" s="91" t="n"/>
      <c r="S584" s="92" t="n"/>
      <c r="T584" s="93" t="n"/>
      <c r="U584" s="91" t="n"/>
      <c r="V584" s="160" t="n"/>
      <c r="W584" s="92" t="n"/>
    </row>
    <row r="585" ht="16.5" customHeight="1">
      <c r="A585" s="89" t="n"/>
      <c r="B585" s="85" t="n"/>
      <c r="C585" s="85" t="n"/>
      <c r="D585" s="90" t="n"/>
      <c r="E585" s="85" t="n"/>
      <c r="F585" s="85" t="n"/>
      <c r="G585" s="85" t="n"/>
      <c r="H585" s="85" t="n"/>
      <c r="I585" s="85" t="n"/>
      <c r="J585" s="69" t="n"/>
      <c r="K585" s="85" t="n"/>
      <c r="L585" s="91" t="n"/>
      <c r="M585" s="85" t="n"/>
      <c r="N585" s="85" t="n"/>
      <c r="O585" s="91" t="n"/>
      <c r="P585" s="92" t="n"/>
      <c r="Q585" s="91" t="n"/>
      <c r="R585" s="91" t="n"/>
      <c r="S585" s="92" t="n"/>
      <c r="T585" s="93" t="n"/>
      <c r="U585" s="91" t="n"/>
      <c r="V585" s="160" t="n"/>
      <c r="W585" s="92" t="n"/>
    </row>
    <row r="586" ht="16.5" customHeight="1">
      <c r="A586" s="89" t="n"/>
      <c r="B586" s="85" t="n"/>
      <c r="C586" s="85" t="n"/>
      <c r="D586" s="90" t="n"/>
      <c r="E586" s="85" t="n"/>
      <c r="F586" s="85" t="n"/>
      <c r="G586" s="85" t="n"/>
      <c r="H586" s="85" t="n"/>
      <c r="I586" s="85" t="n"/>
      <c r="J586" s="69" t="n"/>
      <c r="K586" s="85" t="n"/>
      <c r="L586" s="91" t="n"/>
      <c r="M586" s="85" t="n"/>
      <c r="N586" s="85" t="n"/>
      <c r="O586" s="91" t="n"/>
      <c r="P586" s="92" t="n"/>
      <c r="Q586" s="91" t="n"/>
      <c r="R586" s="91" t="n"/>
      <c r="S586" s="92" t="n"/>
      <c r="T586" s="93" t="n"/>
      <c r="U586" s="91" t="n"/>
      <c r="V586" s="160" t="n"/>
      <c r="W586" s="92" t="n"/>
    </row>
    <row r="587" ht="16.5" customHeight="1">
      <c r="A587" s="89" t="n"/>
      <c r="B587" s="85" t="n"/>
      <c r="C587" s="85" t="n"/>
      <c r="D587" s="90" t="n"/>
      <c r="E587" s="85" t="n"/>
      <c r="F587" s="85" t="n"/>
      <c r="G587" s="85" t="n"/>
      <c r="H587" s="85" t="n"/>
      <c r="I587" s="85" t="n"/>
      <c r="J587" s="69" t="n"/>
      <c r="K587" s="85" t="n"/>
      <c r="L587" s="91" t="n"/>
      <c r="M587" s="85" t="n"/>
      <c r="N587" s="85" t="n"/>
      <c r="O587" s="91" t="n"/>
      <c r="P587" s="92" t="n"/>
      <c r="Q587" s="91" t="n"/>
      <c r="R587" s="91" t="n"/>
      <c r="S587" s="92" t="n"/>
      <c r="T587" s="93" t="n"/>
      <c r="U587" s="91" t="n"/>
      <c r="V587" s="160" t="n"/>
      <c r="W587" s="92" t="n"/>
    </row>
    <row r="588" ht="16.5" customHeight="1">
      <c r="A588" s="89" t="n"/>
      <c r="B588" s="85" t="n"/>
      <c r="C588" s="85" t="n"/>
      <c r="D588" s="90" t="n"/>
      <c r="E588" s="85" t="n"/>
      <c r="F588" s="85" t="n"/>
      <c r="G588" s="85" t="n"/>
      <c r="H588" s="85" t="n"/>
      <c r="I588" s="85" t="n"/>
      <c r="J588" s="69" t="n"/>
      <c r="K588" s="85" t="n"/>
      <c r="L588" s="91" t="n"/>
      <c r="M588" s="85" t="n"/>
      <c r="N588" s="85" t="n"/>
      <c r="O588" s="91" t="n"/>
      <c r="P588" s="92" t="n"/>
      <c r="Q588" s="91" t="n"/>
      <c r="R588" s="91" t="n"/>
      <c r="S588" s="92" t="n"/>
      <c r="T588" s="93" t="n"/>
      <c r="U588" s="91" t="n"/>
      <c r="V588" s="160" t="n"/>
      <c r="W588" s="92" t="n"/>
    </row>
    <row r="589" ht="16.5" customHeight="1">
      <c r="A589" s="89" t="n"/>
      <c r="B589" s="85" t="n"/>
      <c r="C589" s="85" t="n"/>
      <c r="D589" s="90" t="n"/>
      <c r="E589" s="85" t="n"/>
      <c r="F589" s="85" t="n"/>
      <c r="G589" s="85" t="n"/>
      <c r="H589" s="85" t="n"/>
      <c r="I589" s="85" t="n"/>
      <c r="J589" s="69" t="n"/>
      <c r="K589" s="85" t="n"/>
      <c r="L589" s="91" t="n"/>
      <c r="M589" s="85" t="n"/>
      <c r="N589" s="85" t="n"/>
      <c r="O589" s="91" t="n"/>
      <c r="P589" s="92" t="n"/>
      <c r="Q589" s="91" t="n"/>
      <c r="R589" s="91" t="n"/>
      <c r="S589" s="92" t="n"/>
      <c r="T589" s="93" t="n"/>
      <c r="U589" s="91" t="n"/>
      <c r="V589" s="160" t="n"/>
      <c r="W589" s="92" t="n"/>
    </row>
    <row r="590" ht="16.5" customHeight="1">
      <c r="A590" s="89" t="n"/>
      <c r="B590" s="85" t="n"/>
      <c r="C590" s="85" t="n"/>
      <c r="D590" s="90" t="n"/>
      <c r="E590" s="85" t="n"/>
      <c r="F590" s="85" t="n"/>
      <c r="G590" s="85" t="n"/>
      <c r="H590" s="85" t="n"/>
      <c r="I590" s="85" t="n"/>
      <c r="J590" s="69" t="n"/>
      <c r="K590" s="85" t="n"/>
      <c r="L590" s="91" t="n"/>
      <c r="M590" s="85" t="n"/>
      <c r="N590" s="85" t="n"/>
      <c r="O590" s="91" t="n"/>
      <c r="P590" s="92" t="n"/>
      <c r="Q590" s="91" t="n"/>
      <c r="R590" s="91" t="n"/>
      <c r="S590" s="92" t="n"/>
      <c r="T590" s="93" t="n"/>
      <c r="U590" s="91" t="n"/>
      <c r="V590" s="160" t="n"/>
      <c r="W590" s="92" t="n"/>
    </row>
    <row r="591" ht="16.5" customHeight="1">
      <c r="A591" s="89" t="n"/>
      <c r="B591" s="85" t="n"/>
      <c r="C591" s="85" t="n"/>
      <c r="D591" s="90" t="n"/>
      <c r="E591" s="85" t="n"/>
      <c r="F591" s="85" t="n"/>
      <c r="G591" s="85" t="n"/>
      <c r="H591" s="85" t="n"/>
      <c r="I591" s="85" t="n"/>
      <c r="J591" s="69" t="n"/>
      <c r="K591" s="85" t="n"/>
      <c r="L591" s="91" t="n"/>
      <c r="M591" s="85" t="n"/>
      <c r="N591" s="85" t="n"/>
      <c r="O591" s="91" t="n"/>
      <c r="P591" s="92" t="n"/>
      <c r="Q591" s="91" t="n"/>
      <c r="R591" s="91" t="n"/>
      <c r="S591" s="92" t="n"/>
      <c r="T591" s="93" t="n"/>
      <c r="U591" s="91" t="n"/>
      <c r="V591" s="160" t="n"/>
      <c r="W591" s="92" t="n"/>
    </row>
    <row r="592" ht="16.5" customHeight="1">
      <c r="A592" s="89" t="n"/>
      <c r="B592" s="85" t="n"/>
      <c r="C592" s="85" t="n"/>
      <c r="D592" s="90" t="n"/>
      <c r="E592" s="85" t="n"/>
      <c r="F592" s="85" t="n"/>
      <c r="G592" s="85" t="n"/>
      <c r="H592" s="85" t="n"/>
      <c r="I592" s="85" t="n"/>
      <c r="J592" s="69" t="n"/>
      <c r="K592" s="85" t="n"/>
      <c r="L592" s="91" t="n"/>
      <c r="M592" s="85" t="n"/>
      <c r="N592" s="85" t="n"/>
      <c r="O592" s="91" t="n"/>
      <c r="P592" s="92" t="n"/>
      <c r="Q592" s="91" t="n"/>
      <c r="R592" s="91" t="n"/>
      <c r="S592" s="92" t="n"/>
      <c r="T592" s="93" t="n"/>
      <c r="U592" s="91" t="n"/>
      <c r="V592" s="160" t="n"/>
      <c r="W592" s="92" t="n"/>
    </row>
    <row r="593" ht="16.5" customHeight="1">
      <c r="A593" s="89" t="n"/>
      <c r="B593" s="85" t="n"/>
      <c r="C593" s="85" t="n"/>
      <c r="D593" s="90" t="n"/>
      <c r="E593" s="85" t="n"/>
      <c r="F593" s="85" t="n"/>
      <c r="G593" s="85" t="n"/>
      <c r="H593" s="85" t="n"/>
      <c r="I593" s="85" t="n"/>
      <c r="J593" s="69" t="n"/>
      <c r="K593" s="85" t="n"/>
      <c r="L593" s="91" t="n"/>
      <c r="M593" s="85" t="n"/>
      <c r="N593" s="85" t="n"/>
      <c r="O593" s="91" t="n"/>
      <c r="P593" s="92" t="n"/>
      <c r="Q593" s="91" t="n"/>
      <c r="R593" s="91" t="n"/>
      <c r="S593" s="92" t="n"/>
      <c r="T593" s="93" t="n"/>
      <c r="U593" s="91" t="n"/>
      <c r="V593" s="160" t="n"/>
      <c r="W593" s="92" t="n"/>
    </row>
    <row r="594" ht="16.5" customHeight="1">
      <c r="A594" s="89" t="n"/>
      <c r="B594" s="85" t="n"/>
      <c r="C594" s="85" t="n"/>
      <c r="D594" s="90" t="n"/>
      <c r="E594" s="85" t="n"/>
      <c r="F594" s="85" t="n"/>
      <c r="G594" s="85" t="n"/>
      <c r="H594" s="85" t="n"/>
      <c r="I594" s="85" t="n"/>
      <c r="J594" s="69" t="n"/>
      <c r="K594" s="85" t="n"/>
      <c r="L594" s="91" t="n"/>
      <c r="M594" s="85" t="n"/>
      <c r="N594" s="85" t="n"/>
      <c r="O594" s="91" t="n"/>
      <c r="P594" s="92" t="n"/>
      <c r="Q594" s="91" t="n"/>
      <c r="R594" s="91" t="n"/>
      <c r="S594" s="92" t="n"/>
      <c r="T594" s="93" t="n"/>
      <c r="U594" s="91" t="n"/>
      <c r="V594" s="160" t="n"/>
      <c r="W594" s="92" t="n"/>
    </row>
    <row r="595" ht="16.5" customHeight="1">
      <c r="A595" s="89" t="n"/>
      <c r="B595" s="85" t="n"/>
      <c r="C595" s="85" t="n"/>
      <c r="D595" s="90" t="n"/>
      <c r="E595" s="85" t="n"/>
      <c r="F595" s="85" t="n"/>
      <c r="G595" s="85" t="n"/>
      <c r="H595" s="85" t="n"/>
      <c r="I595" s="85" t="n"/>
      <c r="J595" s="69" t="n"/>
      <c r="K595" s="85" t="n"/>
      <c r="L595" s="91" t="n"/>
      <c r="M595" s="85" t="n"/>
      <c r="N595" s="85" t="n"/>
      <c r="O595" s="91" t="n"/>
      <c r="P595" s="92" t="n"/>
      <c r="Q595" s="91" t="n"/>
      <c r="R595" s="91" t="n"/>
      <c r="S595" s="92" t="n"/>
      <c r="T595" s="93" t="n"/>
      <c r="U595" s="91" t="n"/>
      <c r="V595" s="160" t="n"/>
      <c r="W595" s="92" t="n"/>
    </row>
    <row r="596" ht="16.5" customHeight="1">
      <c r="A596" s="89" t="n"/>
      <c r="B596" s="85" t="n"/>
      <c r="C596" s="85" t="n"/>
      <c r="D596" s="90" t="n"/>
      <c r="E596" s="85" t="n"/>
      <c r="F596" s="85" t="n"/>
      <c r="G596" s="85" t="n"/>
      <c r="H596" s="85" t="n"/>
      <c r="I596" s="85" t="n"/>
      <c r="J596" s="69" t="n"/>
      <c r="K596" s="85" t="n"/>
      <c r="L596" s="91" t="n"/>
      <c r="M596" s="85" t="n"/>
      <c r="N596" s="85" t="n"/>
      <c r="O596" s="91" t="n"/>
      <c r="P596" s="92" t="n"/>
      <c r="Q596" s="91" t="n"/>
      <c r="R596" s="91" t="n"/>
      <c r="S596" s="92" t="n"/>
      <c r="T596" s="93" t="n"/>
      <c r="U596" s="91" t="n"/>
      <c r="V596" s="160" t="n"/>
      <c r="W596" s="92" t="n"/>
    </row>
    <row r="597" ht="16.5" customHeight="1">
      <c r="A597" s="89" t="n"/>
      <c r="B597" s="85" t="n"/>
      <c r="C597" s="85" t="n"/>
      <c r="D597" s="90" t="n"/>
      <c r="E597" s="85" t="n"/>
      <c r="F597" s="85" t="n"/>
      <c r="G597" s="85" t="n"/>
      <c r="H597" s="85" t="n"/>
      <c r="I597" s="85" t="n"/>
      <c r="J597" s="69" t="n"/>
      <c r="K597" s="85" t="n"/>
      <c r="L597" s="91" t="n"/>
      <c r="M597" s="85" t="n"/>
      <c r="N597" s="85" t="n"/>
      <c r="O597" s="91" t="n"/>
      <c r="P597" s="92" t="n"/>
      <c r="Q597" s="91" t="n"/>
      <c r="R597" s="91" t="n"/>
      <c r="S597" s="92" t="n"/>
      <c r="T597" s="93" t="n"/>
      <c r="U597" s="91" t="n"/>
      <c r="V597" s="160" t="n"/>
      <c r="W597" s="92" t="n"/>
    </row>
    <row r="598" ht="16.5" customHeight="1">
      <c r="A598" s="89" t="n"/>
      <c r="B598" s="85" t="n"/>
      <c r="C598" s="85" t="n"/>
      <c r="D598" s="90" t="n"/>
      <c r="E598" s="85" t="n"/>
      <c r="F598" s="85" t="n"/>
      <c r="G598" s="85" t="n"/>
      <c r="H598" s="85" t="n"/>
      <c r="I598" s="85" t="n"/>
      <c r="J598" s="69" t="n"/>
      <c r="K598" s="85" t="n"/>
      <c r="L598" s="91" t="n"/>
      <c r="M598" s="85" t="n"/>
      <c r="N598" s="85" t="n"/>
      <c r="O598" s="91" t="n"/>
      <c r="P598" s="92" t="n"/>
      <c r="Q598" s="91" t="n"/>
      <c r="R598" s="91" t="n"/>
      <c r="S598" s="92" t="n"/>
      <c r="T598" s="93" t="n"/>
      <c r="U598" s="91" t="n"/>
      <c r="V598" s="160" t="n"/>
      <c r="W598" s="92" t="n"/>
    </row>
    <row r="599" ht="16.5" customHeight="1">
      <c r="A599" s="89" t="n"/>
      <c r="B599" s="85" t="n"/>
      <c r="C599" s="85" t="n"/>
      <c r="D599" s="90" t="n"/>
      <c r="E599" s="85" t="n"/>
      <c r="F599" s="85" t="n"/>
      <c r="G599" s="85" t="n"/>
      <c r="H599" s="85" t="n"/>
      <c r="I599" s="85" t="n"/>
      <c r="J599" s="69" t="n"/>
      <c r="K599" s="85" t="n"/>
      <c r="L599" s="91" t="n"/>
      <c r="M599" s="85" t="n"/>
      <c r="N599" s="85" t="n"/>
      <c r="O599" s="91" t="n"/>
      <c r="P599" s="92" t="n"/>
      <c r="Q599" s="91" t="n"/>
      <c r="R599" s="91" t="n"/>
      <c r="S599" s="92" t="n"/>
      <c r="T599" s="93" t="n"/>
      <c r="U599" s="91" t="n"/>
      <c r="V599" s="160" t="n"/>
      <c r="W599" s="92" t="n"/>
    </row>
    <row r="600" ht="16.5" customHeight="1">
      <c r="A600" s="89" t="n"/>
      <c r="B600" s="85" t="n"/>
      <c r="C600" s="85" t="n"/>
      <c r="D600" s="90" t="n"/>
      <c r="E600" s="85" t="n"/>
      <c r="F600" s="85" t="n"/>
      <c r="G600" s="85" t="n"/>
      <c r="H600" s="85" t="n"/>
      <c r="I600" s="85" t="n"/>
      <c r="J600" s="69" t="n"/>
      <c r="K600" s="85" t="n"/>
      <c r="L600" s="91" t="n"/>
      <c r="M600" s="85" t="n"/>
      <c r="N600" s="85" t="n"/>
      <c r="O600" s="91" t="n"/>
      <c r="P600" s="92" t="n"/>
      <c r="Q600" s="91" t="n"/>
      <c r="R600" s="91" t="n"/>
      <c r="S600" s="92" t="n"/>
      <c r="T600" s="93" t="n"/>
      <c r="U600" s="91" t="n"/>
      <c r="V600" s="160" t="n"/>
      <c r="W600" s="92" t="n"/>
    </row>
    <row r="601" ht="16.5" customHeight="1">
      <c r="A601" s="89" t="n"/>
      <c r="B601" s="85" t="n"/>
      <c r="C601" s="85" t="n"/>
      <c r="D601" s="90" t="n"/>
      <c r="E601" s="85" t="n"/>
      <c r="F601" s="85" t="n"/>
      <c r="G601" s="85" t="n"/>
      <c r="H601" s="85" t="n"/>
      <c r="I601" s="85" t="n"/>
      <c r="J601" s="69" t="n"/>
      <c r="K601" s="85" t="n"/>
      <c r="L601" s="91" t="n"/>
      <c r="M601" s="85" t="n"/>
      <c r="N601" s="85" t="n"/>
      <c r="O601" s="91" t="n"/>
      <c r="P601" s="92" t="n"/>
      <c r="Q601" s="91" t="n"/>
      <c r="R601" s="91" t="n"/>
      <c r="S601" s="92" t="n"/>
      <c r="T601" s="93" t="n"/>
      <c r="U601" s="91" t="n"/>
      <c r="V601" s="160" t="n"/>
      <c r="W601" s="92" t="n"/>
    </row>
    <row r="602" ht="16.5" customHeight="1">
      <c r="A602" s="89" t="n"/>
      <c r="B602" s="85" t="n"/>
      <c r="C602" s="85" t="n"/>
      <c r="D602" s="90" t="n"/>
      <c r="E602" s="85" t="n"/>
      <c r="F602" s="85" t="n"/>
      <c r="G602" s="85" t="n"/>
      <c r="H602" s="85" t="n"/>
      <c r="I602" s="85" t="n"/>
      <c r="J602" s="69" t="n"/>
      <c r="K602" s="85" t="n"/>
      <c r="L602" s="91" t="n"/>
      <c r="M602" s="85" t="n"/>
      <c r="N602" s="85" t="n"/>
      <c r="O602" s="91" t="n"/>
      <c r="P602" s="92" t="n"/>
      <c r="Q602" s="91" t="n"/>
      <c r="R602" s="91" t="n"/>
      <c r="S602" s="92" t="n"/>
      <c r="T602" s="93" t="n"/>
      <c r="U602" s="91" t="n"/>
      <c r="V602" s="160" t="n"/>
      <c r="W602" s="92" t="n"/>
    </row>
    <row r="603" ht="16.5" customHeight="1">
      <c r="A603" s="89" t="n"/>
      <c r="B603" s="85" t="n"/>
      <c r="C603" s="85" t="n"/>
      <c r="D603" s="90" t="n"/>
      <c r="E603" s="85" t="n"/>
      <c r="F603" s="85" t="n"/>
      <c r="G603" s="85" t="n"/>
      <c r="H603" s="85" t="n"/>
      <c r="I603" s="85" t="n"/>
      <c r="J603" s="69" t="n"/>
      <c r="K603" s="85" t="n"/>
      <c r="L603" s="91" t="n"/>
      <c r="M603" s="85" t="n"/>
      <c r="N603" s="85" t="n"/>
      <c r="O603" s="91" t="n"/>
      <c r="P603" s="92" t="n"/>
      <c r="Q603" s="91" t="n"/>
      <c r="R603" s="91" t="n"/>
      <c r="S603" s="92" t="n"/>
      <c r="T603" s="93" t="n"/>
      <c r="U603" s="91" t="n"/>
      <c r="V603" s="160" t="n"/>
      <c r="W603" s="92" t="n"/>
    </row>
    <row r="604" ht="16.5" customHeight="1">
      <c r="A604" s="89" t="n"/>
      <c r="B604" s="85" t="n"/>
      <c r="C604" s="85" t="n"/>
      <c r="D604" s="90" t="n"/>
      <c r="E604" s="85" t="n"/>
      <c r="F604" s="85" t="n"/>
      <c r="G604" s="85" t="n"/>
      <c r="H604" s="85" t="n"/>
      <c r="I604" s="85" t="n"/>
      <c r="J604" s="69" t="n"/>
      <c r="K604" s="85" t="n"/>
      <c r="L604" s="91" t="n"/>
      <c r="M604" s="85" t="n"/>
      <c r="N604" s="85" t="n"/>
      <c r="O604" s="91" t="n"/>
      <c r="P604" s="92" t="n"/>
      <c r="Q604" s="91" t="n"/>
      <c r="R604" s="91" t="n"/>
      <c r="S604" s="92" t="n"/>
      <c r="T604" s="93" t="n"/>
      <c r="U604" s="91" t="n"/>
      <c r="V604" s="160" t="n"/>
      <c r="W604" s="92" t="n"/>
    </row>
    <row r="605" ht="16.5" customHeight="1">
      <c r="A605" s="89" t="n"/>
      <c r="B605" s="85" t="n"/>
      <c r="C605" s="85" t="n"/>
      <c r="D605" s="90" t="n"/>
      <c r="E605" s="85" t="n"/>
      <c r="F605" s="85" t="n"/>
      <c r="G605" s="85" t="n"/>
      <c r="H605" s="85" t="n"/>
      <c r="I605" s="85" t="n"/>
      <c r="J605" s="69" t="n"/>
      <c r="K605" s="85" t="n"/>
      <c r="L605" s="91" t="n"/>
      <c r="M605" s="85" t="n"/>
      <c r="N605" s="85" t="n"/>
      <c r="O605" s="91" t="n"/>
      <c r="P605" s="92" t="n"/>
      <c r="Q605" s="91" t="n"/>
      <c r="R605" s="91" t="n"/>
      <c r="S605" s="92" t="n"/>
      <c r="T605" s="93" t="n"/>
      <c r="U605" s="91" t="n"/>
      <c r="V605" s="160" t="n"/>
      <c r="W605" s="92" t="n"/>
    </row>
    <row r="606" ht="16.5" customHeight="1">
      <c r="A606" s="89" t="n"/>
      <c r="B606" s="85" t="n"/>
      <c r="C606" s="85" t="n"/>
      <c r="D606" s="90" t="n"/>
      <c r="E606" s="85" t="n"/>
      <c r="F606" s="85" t="n"/>
      <c r="G606" s="85" t="n"/>
      <c r="H606" s="85" t="n"/>
      <c r="I606" s="85" t="n"/>
      <c r="J606" s="69" t="n"/>
      <c r="K606" s="85" t="n"/>
      <c r="L606" s="91" t="n"/>
      <c r="M606" s="85" t="n"/>
      <c r="N606" s="85" t="n"/>
      <c r="O606" s="91" t="n"/>
      <c r="P606" s="92" t="n"/>
      <c r="Q606" s="91" t="n"/>
      <c r="R606" s="91" t="n"/>
      <c r="S606" s="92" t="n"/>
      <c r="T606" s="93" t="n"/>
      <c r="U606" s="91" t="n"/>
      <c r="V606" s="160" t="n"/>
      <c r="W606" s="92" t="n"/>
    </row>
    <row r="607" ht="16.5" customHeight="1">
      <c r="A607" s="89" t="n"/>
      <c r="B607" s="85" t="n"/>
      <c r="C607" s="85" t="n"/>
      <c r="D607" s="90" t="n"/>
      <c r="E607" s="85" t="n"/>
      <c r="F607" s="85" t="n"/>
      <c r="G607" s="85" t="n"/>
      <c r="H607" s="85" t="n"/>
      <c r="I607" s="85" t="n"/>
      <c r="J607" s="69" t="n"/>
      <c r="K607" s="85" t="n"/>
      <c r="L607" s="91" t="n"/>
      <c r="M607" s="85" t="n"/>
      <c r="N607" s="85" t="n"/>
      <c r="O607" s="91" t="n"/>
      <c r="P607" s="92" t="n"/>
      <c r="Q607" s="91" t="n"/>
      <c r="R607" s="91" t="n"/>
      <c r="S607" s="92" t="n"/>
      <c r="T607" s="93" t="n"/>
      <c r="U607" s="91" t="n"/>
      <c r="V607" s="160" t="n"/>
      <c r="W607" s="92" t="n"/>
    </row>
    <row r="608" ht="16.5" customHeight="1">
      <c r="A608" s="89" t="n"/>
      <c r="B608" s="85" t="n"/>
      <c r="C608" s="85" t="n"/>
      <c r="D608" s="90" t="n"/>
      <c r="E608" s="85" t="n"/>
      <c r="F608" s="85" t="n"/>
      <c r="G608" s="85" t="n"/>
      <c r="H608" s="85" t="n"/>
      <c r="I608" s="85" t="n"/>
      <c r="J608" s="69" t="n"/>
      <c r="K608" s="85" t="n"/>
      <c r="L608" s="91" t="n"/>
      <c r="M608" s="85" t="n"/>
      <c r="N608" s="85" t="n"/>
      <c r="O608" s="91" t="n"/>
      <c r="P608" s="92" t="n"/>
      <c r="Q608" s="91" t="n"/>
      <c r="R608" s="91" t="n"/>
      <c r="S608" s="92" t="n"/>
      <c r="T608" s="93" t="n"/>
      <c r="U608" s="91" t="n"/>
      <c r="V608" s="160" t="n"/>
      <c r="W608" s="92" t="n"/>
    </row>
    <row r="609" ht="16.5" customHeight="1">
      <c r="A609" s="89" t="n"/>
      <c r="B609" s="85" t="n"/>
      <c r="C609" s="85" t="n"/>
      <c r="D609" s="90" t="n"/>
      <c r="E609" s="85" t="n"/>
      <c r="F609" s="85" t="n"/>
      <c r="G609" s="85" t="n"/>
      <c r="H609" s="85" t="n"/>
      <c r="I609" s="85" t="n"/>
      <c r="J609" s="69" t="n"/>
      <c r="K609" s="85" t="n"/>
      <c r="L609" s="91" t="n"/>
      <c r="M609" s="85" t="n"/>
      <c r="N609" s="85" t="n"/>
      <c r="O609" s="91" t="n"/>
      <c r="P609" s="92" t="n"/>
      <c r="Q609" s="91" t="n"/>
      <c r="R609" s="91" t="n"/>
      <c r="S609" s="92" t="n"/>
      <c r="T609" s="93" t="n"/>
      <c r="U609" s="91" t="n"/>
      <c r="V609" s="160" t="n"/>
      <c r="W609" s="92" t="n"/>
    </row>
    <row r="610" ht="16.5" customHeight="1">
      <c r="A610" s="89" t="n"/>
      <c r="B610" s="85" t="n"/>
      <c r="C610" s="85" t="n"/>
      <c r="D610" s="90" t="n"/>
      <c r="E610" s="85" t="n"/>
      <c r="F610" s="85" t="n"/>
      <c r="G610" s="85" t="n"/>
      <c r="H610" s="85" t="n"/>
      <c r="I610" s="85" t="n"/>
      <c r="J610" s="69" t="n"/>
      <c r="K610" s="85" t="n"/>
      <c r="L610" s="91" t="n"/>
      <c r="M610" s="85" t="n"/>
      <c r="N610" s="85" t="n"/>
      <c r="O610" s="91" t="n"/>
      <c r="P610" s="92" t="n"/>
      <c r="Q610" s="91" t="n"/>
      <c r="R610" s="91" t="n"/>
      <c r="S610" s="92" t="n"/>
      <c r="T610" s="93" t="n"/>
      <c r="U610" s="91" t="n"/>
      <c r="V610" s="160" t="n"/>
      <c r="W610" s="92" t="n"/>
    </row>
    <row r="611" ht="16.5" customHeight="1">
      <c r="A611" s="89" t="n"/>
      <c r="B611" s="85" t="n"/>
      <c r="C611" s="85" t="n"/>
      <c r="D611" s="90" t="n"/>
      <c r="E611" s="85" t="n"/>
      <c r="F611" s="85" t="n"/>
      <c r="G611" s="85" t="n"/>
      <c r="H611" s="85" t="n"/>
      <c r="I611" s="85" t="n"/>
      <c r="J611" s="69" t="n"/>
      <c r="K611" s="85" t="n"/>
      <c r="L611" s="91" t="n"/>
      <c r="M611" s="85" t="n"/>
      <c r="N611" s="85" t="n"/>
      <c r="O611" s="91" t="n"/>
      <c r="P611" s="92" t="n"/>
      <c r="Q611" s="91" t="n"/>
      <c r="R611" s="91" t="n"/>
      <c r="S611" s="92" t="n"/>
      <c r="T611" s="93" t="n"/>
      <c r="U611" s="91" t="n"/>
      <c r="V611" s="160" t="n"/>
      <c r="W611" s="92" t="n"/>
    </row>
    <row r="612" ht="16.5" customHeight="1">
      <c r="A612" s="89" t="n"/>
      <c r="B612" s="85" t="n"/>
      <c r="C612" s="85" t="n"/>
      <c r="D612" s="90" t="n"/>
      <c r="E612" s="85" t="n"/>
      <c r="F612" s="85" t="n"/>
      <c r="G612" s="85" t="n"/>
      <c r="H612" s="85" t="n"/>
      <c r="I612" s="85" t="n"/>
      <c r="J612" s="69" t="n"/>
      <c r="K612" s="85" t="n"/>
      <c r="L612" s="91" t="n"/>
      <c r="M612" s="85" t="n"/>
      <c r="N612" s="85" t="n"/>
      <c r="O612" s="91" t="n"/>
      <c r="P612" s="92" t="n"/>
      <c r="Q612" s="91" t="n"/>
      <c r="R612" s="91" t="n"/>
      <c r="S612" s="92" t="n"/>
      <c r="T612" s="93" t="n"/>
      <c r="U612" s="91" t="n"/>
      <c r="V612" s="160" t="n"/>
      <c r="W612" s="92" t="n"/>
    </row>
    <row r="613" ht="16.5" customHeight="1">
      <c r="A613" s="89" t="n"/>
      <c r="B613" s="85" t="n"/>
      <c r="C613" s="85" t="n"/>
      <c r="D613" s="90" t="n"/>
      <c r="E613" s="85" t="n"/>
      <c r="F613" s="85" t="n"/>
      <c r="G613" s="85" t="n"/>
      <c r="H613" s="85" t="n"/>
      <c r="I613" s="85" t="n"/>
      <c r="J613" s="69" t="n"/>
      <c r="K613" s="85" t="n"/>
      <c r="L613" s="91" t="n"/>
      <c r="M613" s="85" t="n"/>
      <c r="N613" s="85" t="n"/>
      <c r="O613" s="91" t="n"/>
      <c r="P613" s="92" t="n"/>
      <c r="Q613" s="91" t="n"/>
      <c r="R613" s="91" t="n"/>
      <c r="S613" s="92" t="n"/>
      <c r="T613" s="93" t="n"/>
      <c r="U613" s="91" t="n"/>
      <c r="V613" s="160" t="n"/>
      <c r="W613" s="92" t="n"/>
    </row>
    <row r="614" ht="16.5" customHeight="1">
      <c r="A614" s="89" t="n"/>
      <c r="B614" s="85" t="n"/>
      <c r="C614" s="85" t="n"/>
      <c r="D614" s="90" t="n"/>
      <c r="E614" s="85" t="n"/>
      <c r="F614" s="85" t="n"/>
      <c r="G614" s="85" t="n"/>
      <c r="H614" s="85" t="n"/>
      <c r="I614" s="85" t="n"/>
      <c r="J614" s="69" t="n"/>
      <c r="K614" s="85" t="n"/>
      <c r="L614" s="91" t="n"/>
      <c r="M614" s="85" t="n"/>
      <c r="N614" s="85" t="n"/>
      <c r="O614" s="91" t="n"/>
      <c r="P614" s="92" t="n"/>
      <c r="Q614" s="91" t="n"/>
      <c r="R614" s="91" t="n"/>
      <c r="S614" s="92" t="n"/>
      <c r="T614" s="93" t="n"/>
      <c r="U614" s="91" t="n"/>
      <c r="V614" s="160" t="n"/>
      <c r="W614" s="92" t="n"/>
    </row>
    <row r="615" ht="16.5" customHeight="1">
      <c r="A615" s="89" t="n"/>
      <c r="B615" s="85" t="n"/>
      <c r="C615" s="85" t="n"/>
      <c r="D615" s="90" t="n"/>
      <c r="E615" s="85" t="n"/>
      <c r="F615" s="85" t="n"/>
      <c r="G615" s="85" t="n"/>
      <c r="H615" s="85" t="n"/>
      <c r="I615" s="85" t="n"/>
      <c r="J615" s="69" t="n"/>
      <c r="K615" s="85" t="n"/>
      <c r="L615" s="91" t="n"/>
      <c r="M615" s="85" t="n"/>
      <c r="N615" s="85" t="n"/>
      <c r="O615" s="91" t="n"/>
      <c r="P615" s="92" t="n"/>
      <c r="Q615" s="91" t="n"/>
      <c r="R615" s="91" t="n"/>
      <c r="S615" s="92" t="n"/>
      <c r="T615" s="93" t="n"/>
      <c r="U615" s="91" t="n"/>
      <c r="V615" s="160" t="n"/>
      <c r="W615" s="92" t="n"/>
    </row>
    <row r="616" ht="16.5" customHeight="1">
      <c r="A616" s="89" t="n"/>
      <c r="B616" s="85" t="n"/>
      <c r="C616" s="85" t="n"/>
      <c r="D616" s="90" t="n"/>
      <c r="E616" s="85" t="n"/>
      <c r="F616" s="85" t="n"/>
      <c r="G616" s="85" t="n"/>
      <c r="H616" s="85" t="n"/>
      <c r="I616" s="85" t="n"/>
      <c r="J616" s="69" t="n"/>
      <c r="K616" s="85" t="n"/>
      <c r="L616" s="91" t="n"/>
      <c r="M616" s="85" t="n"/>
      <c r="N616" s="85" t="n"/>
      <c r="O616" s="91" t="n"/>
      <c r="P616" s="92" t="n"/>
      <c r="Q616" s="91" t="n"/>
      <c r="R616" s="91" t="n"/>
      <c r="S616" s="92" t="n"/>
      <c r="T616" s="93" t="n"/>
      <c r="U616" s="91" t="n"/>
      <c r="V616" s="160" t="n"/>
      <c r="W616" s="92" t="n"/>
    </row>
    <row r="617" ht="16.5" customHeight="1">
      <c r="A617" s="89" t="n"/>
      <c r="B617" s="85" t="n"/>
      <c r="C617" s="85" t="n"/>
      <c r="D617" s="90" t="n"/>
      <c r="E617" s="85" t="n"/>
      <c r="F617" s="85" t="n"/>
      <c r="G617" s="85" t="n"/>
      <c r="H617" s="85" t="n"/>
      <c r="I617" s="85" t="n"/>
      <c r="J617" s="69" t="n"/>
      <c r="K617" s="85" t="n"/>
      <c r="L617" s="91" t="n"/>
      <c r="M617" s="85" t="n"/>
      <c r="N617" s="85" t="n"/>
      <c r="O617" s="91" t="n"/>
      <c r="P617" s="92" t="n"/>
      <c r="Q617" s="91" t="n"/>
      <c r="R617" s="91" t="n"/>
      <c r="S617" s="92" t="n"/>
      <c r="T617" s="93" t="n"/>
      <c r="U617" s="91" t="n"/>
      <c r="V617" s="160" t="n"/>
      <c r="W617" s="92" t="n"/>
    </row>
    <row r="618" ht="16.5" customHeight="1">
      <c r="A618" s="89" t="n"/>
      <c r="B618" s="85" t="n"/>
      <c r="C618" s="85" t="n"/>
      <c r="D618" s="90" t="n"/>
      <c r="E618" s="85" t="n"/>
      <c r="F618" s="85" t="n"/>
      <c r="G618" s="85" t="n"/>
      <c r="H618" s="85" t="n"/>
      <c r="I618" s="85" t="n"/>
      <c r="J618" s="69" t="n"/>
      <c r="K618" s="85" t="n"/>
      <c r="L618" s="91" t="n"/>
      <c r="M618" s="85" t="n"/>
      <c r="N618" s="85" t="n"/>
      <c r="O618" s="91" t="n"/>
      <c r="P618" s="92" t="n"/>
      <c r="Q618" s="91" t="n"/>
      <c r="R618" s="91" t="n"/>
      <c r="S618" s="92" t="n"/>
      <c r="T618" s="93" t="n"/>
      <c r="U618" s="91" t="n"/>
      <c r="V618" s="160" t="n"/>
      <c r="W618" s="92" t="n"/>
    </row>
    <row r="619" ht="16.5" customHeight="1">
      <c r="A619" s="89" t="n"/>
      <c r="B619" s="85" t="n"/>
      <c r="C619" s="85" t="n"/>
      <c r="D619" s="90" t="n"/>
      <c r="E619" s="85" t="n"/>
      <c r="F619" s="85" t="n"/>
      <c r="G619" s="85" t="n"/>
      <c r="H619" s="85" t="n"/>
      <c r="I619" s="85" t="n"/>
      <c r="J619" s="69" t="n"/>
      <c r="K619" s="85" t="n"/>
      <c r="L619" s="91" t="n"/>
      <c r="M619" s="85" t="n"/>
      <c r="N619" s="85" t="n"/>
      <c r="O619" s="91" t="n"/>
      <c r="P619" s="92" t="n"/>
      <c r="Q619" s="91" t="n"/>
      <c r="R619" s="91" t="n"/>
      <c r="S619" s="92" t="n"/>
      <c r="T619" s="93" t="n"/>
      <c r="U619" s="91" t="n"/>
      <c r="V619" s="160" t="n"/>
      <c r="W619" s="92" t="n"/>
    </row>
    <row r="620" ht="16.5" customHeight="1">
      <c r="A620" s="89" t="n"/>
      <c r="B620" s="85" t="n"/>
      <c r="C620" s="85" t="n"/>
      <c r="D620" s="90" t="n"/>
      <c r="E620" s="85" t="n"/>
      <c r="F620" s="85" t="n"/>
      <c r="G620" s="85" t="n"/>
      <c r="H620" s="85" t="n"/>
      <c r="I620" s="85" t="n"/>
      <c r="J620" s="69" t="n"/>
      <c r="K620" s="85" t="n"/>
      <c r="L620" s="91" t="n"/>
      <c r="M620" s="85" t="n"/>
      <c r="N620" s="85" t="n"/>
      <c r="O620" s="91" t="n"/>
      <c r="P620" s="92" t="n"/>
      <c r="Q620" s="91" t="n"/>
      <c r="R620" s="91" t="n"/>
      <c r="S620" s="92" t="n"/>
      <c r="T620" s="93" t="n"/>
      <c r="U620" s="91" t="n"/>
      <c r="V620" s="160" t="n"/>
      <c r="W620" s="92" t="n"/>
    </row>
    <row r="621" ht="16.5" customHeight="1">
      <c r="A621" s="89" t="n"/>
      <c r="B621" s="85" t="n"/>
      <c r="C621" s="85" t="n"/>
      <c r="D621" s="90" t="n"/>
      <c r="E621" s="85" t="n"/>
      <c r="F621" s="85" t="n"/>
      <c r="G621" s="85" t="n"/>
      <c r="H621" s="85" t="n"/>
      <c r="I621" s="85" t="n"/>
      <c r="J621" s="69" t="n"/>
      <c r="K621" s="85" t="n"/>
      <c r="L621" s="91" t="n"/>
      <c r="M621" s="85" t="n"/>
      <c r="N621" s="85" t="n"/>
      <c r="O621" s="91" t="n"/>
      <c r="P621" s="92" t="n"/>
      <c r="Q621" s="91" t="n"/>
      <c r="R621" s="91" t="n"/>
      <c r="S621" s="92" t="n"/>
      <c r="T621" s="93" t="n"/>
      <c r="U621" s="91" t="n"/>
      <c r="V621" s="160" t="n"/>
      <c r="W621" s="92" t="n"/>
    </row>
    <row r="622" ht="16.5" customHeight="1">
      <c r="A622" s="89" t="n"/>
      <c r="B622" s="85" t="n"/>
      <c r="C622" s="85" t="n"/>
      <c r="D622" s="90" t="n"/>
      <c r="E622" s="85" t="n"/>
      <c r="F622" s="85" t="n"/>
      <c r="G622" s="85" t="n"/>
      <c r="H622" s="85" t="n"/>
      <c r="I622" s="85" t="n"/>
      <c r="J622" s="69" t="n"/>
      <c r="K622" s="85" t="n"/>
      <c r="L622" s="91" t="n"/>
      <c r="M622" s="85" t="n"/>
      <c r="N622" s="85" t="n"/>
      <c r="O622" s="91" t="n"/>
      <c r="P622" s="92" t="n"/>
      <c r="Q622" s="91" t="n"/>
      <c r="R622" s="91" t="n"/>
      <c r="S622" s="92" t="n"/>
      <c r="T622" s="93" t="n"/>
      <c r="U622" s="91" t="n"/>
      <c r="V622" s="160" t="n"/>
      <c r="W622" s="92" t="n"/>
    </row>
    <row r="623" ht="16.5" customHeight="1">
      <c r="A623" s="89" t="n"/>
      <c r="B623" s="85" t="n"/>
      <c r="C623" s="85" t="n"/>
      <c r="D623" s="90" t="n"/>
      <c r="E623" s="85" t="n"/>
      <c r="F623" s="85" t="n"/>
      <c r="G623" s="85" t="n"/>
      <c r="H623" s="85" t="n"/>
      <c r="I623" s="85" t="n"/>
      <c r="J623" s="69" t="n"/>
      <c r="K623" s="85" t="n"/>
      <c r="L623" s="91" t="n"/>
      <c r="M623" s="85" t="n"/>
      <c r="N623" s="85" t="n"/>
      <c r="O623" s="91" t="n"/>
      <c r="P623" s="92" t="n"/>
      <c r="Q623" s="91" t="n"/>
      <c r="R623" s="91" t="n"/>
      <c r="S623" s="92" t="n"/>
      <c r="T623" s="93" t="n"/>
      <c r="U623" s="91" t="n"/>
      <c r="V623" s="160" t="n"/>
      <c r="W623" s="92" t="n"/>
    </row>
    <row r="624" ht="16.5" customHeight="1">
      <c r="A624" s="89" t="n"/>
      <c r="B624" s="85" t="n"/>
      <c r="C624" s="85" t="n"/>
      <c r="D624" s="90" t="n"/>
      <c r="E624" s="85" t="n"/>
      <c r="F624" s="85" t="n"/>
      <c r="G624" s="85" t="n"/>
      <c r="H624" s="85" t="n"/>
      <c r="I624" s="85" t="n"/>
      <c r="J624" s="69" t="n"/>
      <c r="K624" s="85" t="n"/>
      <c r="L624" s="91" t="n"/>
      <c r="M624" s="85" t="n"/>
      <c r="N624" s="85" t="n"/>
      <c r="O624" s="91" t="n"/>
      <c r="P624" s="92" t="n"/>
      <c r="Q624" s="91" t="n"/>
      <c r="R624" s="91" t="n"/>
      <c r="S624" s="92" t="n"/>
      <c r="T624" s="93" t="n"/>
      <c r="U624" s="91" t="n"/>
      <c r="V624" s="160" t="n"/>
      <c r="W624" s="92" t="n"/>
    </row>
    <row r="625" ht="16.5" customHeight="1">
      <c r="A625" s="89" t="n"/>
      <c r="B625" s="85" t="n"/>
      <c r="C625" s="85" t="n"/>
      <c r="D625" s="90" t="n"/>
      <c r="E625" s="85" t="n"/>
      <c r="F625" s="85" t="n"/>
      <c r="G625" s="85" t="n"/>
      <c r="H625" s="85" t="n"/>
      <c r="I625" s="85" t="n"/>
      <c r="J625" s="69" t="n"/>
      <c r="K625" s="85" t="n"/>
      <c r="L625" s="91" t="n"/>
      <c r="M625" s="85" t="n"/>
      <c r="N625" s="85" t="n"/>
      <c r="O625" s="91" t="n"/>
      <c r="P625" s="92" t="n"/>
      <c r="Q625" s="91" t="n"/>
      <c r="R625" s="91" t="n"/>
      <c r="S625" s="92" t="n"/>
      <c r="T625" s="93" t="n"/>
      <c r="U625" s="91" t="n"/>
      <c r="V625" s="160" t="n"/>
      <c r="W625" s="92" t="n"/>
    </row>
    <row r="626" ht="16.5" customHeight="1">
      <c r="A626" s="89" t="n"/>
      <c r="B626" s="85" t="n"/>
      <c r="C626" s="85" t="n"/>
      <c r="D626" s="90" t="n"/>
      <c r="E626" s="85" t="n"/>
      <c r="F626" s="85" t="n"/>
      <c r="G626" s="85" t="n"/>
      <c r="H626" s="85" t="n"/>
      <c r="I626" s="85" t="n"/>
      <c r="J626" s="69" t="n"/>
      <c r="K626" s="85" t="n"/>
      <c r="L626" s="91" t="n"/>
      <c r="M626" s="85" t="n"/>
      <c r="N626" s="85" t="n"/>
      <c r="O626" s="91" t="n"/>
      <c r="P626" s="92" t="n"/>
      <c r="Q626" s="91" t="n"/>
      <c r="R626" s="91" t="n"/>
      <c r="S626" s="92" t="n"/>
      <c r="T626" s="93" t="n"/>
      <c r="U626" s="91" t="n"/>
      <c r="V626" s="160" t="n"/>
      <c r="W626" s="92" t="n"/>
    </row>
    <row r="627" ht="16.5" customHeight="1">
      <c r="A627" s="89" t="n"/>
      <c r="B627" s="85" t="n"/>
      <c r="C627" s="85" t="n"/>
      <c r="D627" s="90" t="n"/>
      <c r="E627" s="85" t="n"/>
      <c r="F627" s="85" t="n"/>
      <c r="G627" s="85" t="n"/>
      <c r="H627" s="85" t="n"/>
      <c r="I627" s="85" t="n"/>
      <c r="J627" s="69" t="n"/>
      <c r="K627" s="85" t="n"/>
      <c r="L627" s="91" t="n"/>
      <c r="M627" s="85" t="n"/>
      <c r="N627" s="85" t="n"/>
      <c r="O627" s="91" t="n"/>
      <c r="P627" s="92" t="n"/>
      <c r="Q627" s="91" t="n"/>
      <c r="R627" s="91" t="n"/>
      <c r="S627" s="92" t="n"/>
      <c r="T627" s="93" t="n"/>
      <c r="U627" s="91" t="n"/>
      <c r="V627" s="160" t="n"/>
      <c r="W627" s="92" t="n"/>
    </row>
    <row r="628" ht="16.5" customHeight="1">
      <c r="A628" s="89" t="n"/>
      <c r="B628" s="85" t="n"/>
      <c r="C628" s="85" t="n"/>
      <c r="D628" s="90" t="n"/>
      <c r="E628" s="85" t="n"/>
      <c r="F628" s="85" t="n"/>
      <c r="G628" s="85" t="n"/>
      <c r="H628" s="85" t="n"/>
      <c r="I628" s="85" t="n"/>
      <c r="J628" s="69" t="n"/>
      <c r="K628" s="85" t="n"/>
      <c r="L628" s="91" t="n"/>
      <c r="M628" s="85" t="n"/>
      <c r="N628" s="85" t="n"/>
      <c r="O628" s="91" t="n"/>
      <c r="P628" s="92" t="n"/>
      <c r="Q628" s="91" t="n"/>
      <c r="R628" s="91" t="n"/>
      <c r="S628" s="92" t="n"/>
      <c r="T628" s="93" t="n"/>
      <c r="U628" s="91" t="n"/>
      <c r="V628" s="160" t="n"/>
      <c r="W628" s="92" t="n"/>
    </row>
    <row r="629" ht="16.5" customHeight="1">
      <c r="A629" s="89" t="n"/>
      <c r="B629" s="85" t="n"/>
      <c r="C629" s="85" t="n"/>
      <c r="D629" s="90" t="n"/>
      <c r="E629" s="85" t="n"/>
      <c r="F629" s="85" t="n"/>
      <c r="G629" s="85" t="n"/>
      <c r="H629" s="85" t="n"/>
      <c r="I629" s="85" t="n"/>
      <c r="J629" s="69" t="n"/>
      <c r="K629" s="85" t="n"/>
      <c r="L629" s="91" t="n"/>
      <c r="M629" s="85" t="n"/>
      <c r="N629" s="85" t="n"/>
      <c r="O629" s="91" t="n"/>
      <c r="P629" s="92" t="n"/>
      <c r="Q629" s="91" t="n"/>
      <c r="R629" s="91" t="n"/>
      <c r="S629" s="92" t="n"/>
      <c r="T629" s="93" t="n"/>
      <c r="U629" s="91" t="n"/>
      <c r="V629" s="160" t="n"/>
      <c r="W629" s="92" t="n"/>
    </row>
    <row r="630" ht="16.5" customHeight="1">
      <c r="A630" s="89" t="n"/>
      <c r="B630" s="85" t="n"/>
      <c r="C630" s="85" t="n"/>
      <c r="D630" s="90" t="n"/>
      <c r="E630" s="85" t="n"/>
      <c r="F630" s="85" t="n"/>
      <c r="G630" s="85" t="n"/>
      <c r="H630" s="85" t="n"/>
      <c r="I630" s="85" t="n"/>
      <c r="J630" s="69" t="n"/>
      <c r="K630" s="85" t="n"/>
      <c r="L630" s="91" t="n"/>
      <c r="M630" s="85" t="n"/>
      <c r="N630" s="85" t="n"/>
      <c r="O630" s="91" t="n"/>
      <c r="P630" s="92" t="n"/>
      <c r="Q630" s="91" t="n"/>
      <c r="R630" s="91" t="n"/>
      <c r="S630" s="92" t="n"/>
      <c r="T630" s="93" t="n"/>
      <c r="U630" s="91" t="n"/>
      <c r="V630" s="160" t="n"/>
      <c r="W630" s="92" t="n"/>
    </row>
    <row r="631" ht="16.5" customHeight="1">
      <c r="A631" s="89" t="n"/>
      <c r="B631" s="85" t="n"/>
      <c r="C631" s="85" t="n"/>
      <c r="D631" s="90" t="n"/>
      <c r="E631" s="85" t="n"/>
      <c r="F631" s="85" t="n"/>
      <c r="G631" s="85" t="n"/>
      <c r="H631" s="85" t="n"/>
      <c r="I631" s="85" t="n"/>
      <c r="J631" s="69" t="n"/>
      <c r="K631" s="85" t="n"/>
      <c r="L631" s="91" t="n"/>
      <c r="M631" s="85" t="n"/>
      <c r="N631" s="85" t="n"/>
      <c r="O631" s="91" t="n"/>
      <c r="P631" s="92" t="n"/>
      <c r="Q631" s="91" t="n"/>
      <c r="R631" s="91" t="n"/>
      <c r="S631" s="92" t="n"/>
      <c r="T631" s="93" t="n"/>
      <c r="U631" s="91" t="n"/>
      <c r="V631" s="160" t="n"/>
      <c r="W631" s="92" t="n"/>
    </row>
    <row r="632" ht="16.5" customHeight="1">
      <c r="A632" s="89" t="n"/>
      <c r="B632" s="85" t="n"/>
      <c r="C632" s="85" t="n"/>
      <c r="D632" s="90" t="n"/>
      <c r="E632" s="85" t="n"/>
      <c r="F632" s="85" t="n"/>
      <c r="G632" s="85" t="n"/>
      <c r="H632" s="85" t="n"/>
      <c r="I632" s="85" t="n"/>
      <c r="J632" s="69" t="n"/>
      <c r="K632" s="85" t="n"/>
      <c r="L632" s="91" t="n"/>
      <c r="M632" s="85" t="n"/>
      <c r="N632" s="85" t="n"/>
      <c r="O632" s="91" t="n"/>
      <c r="P632" s="92" t="n"/>
      <c r="Q632" s="91" t="n"/>
      <c r="R632" s="91" t="n"/>
      <c r="S632" s="92" t="n"/>
      <c r="T632" s="93" t="n"/>
      <c r="U632" s="91" t="n"/>
      <c r="V632" s="160" t="n"/>
      <c r="W632" s="92" t="n"/>
    </row>
    <row r="633" ht="16.5" customHeight="1">
      <c r="A633" s="89" t="n"/>
      <c r="B633" s="85" t="n"/>
      <c r="C633" s="85" t="n"/>
      <c r="D633" s="90" t="n"/>
      <c r="E633" s="85" t="n"/>
      <c r="F633" s="85" t="n"/>
      <c r="G633" s="85" t="n"/>
      <c r="H633" s="85" t="n"/>
      <c r="I633" s="85" t="n"/>
      <c r="J633" s="69" t="n"/>
      <c r="K633" s="85" t="n"/>
      <c r="L633" s="91" t="n"/>
      <c r="M633" s="85" t="n"/>
      <c r="N633" s="85" t="n"/>
      <c r="O633" s="91" t="n"/>
      <c r="P633" s="92" t="n"/>
      <c r="Q633" s="91" t="n"/>
      <c r="R633" s="91" t="n"/>
      <c r="S633" s="92" t="n"/>
      <c r="T633" s="93" t="n"/>
      <c r="U633" s="91" t="n"/>
      <c r="V633" s="160" t="n"/>
      <c r="W633" s="92" t="n"/>
    </row>
    <row r="634" ht="16.5" customHeight="1">
      <c r="A634" s="89" t="n"/>
      <c r="B634" s="85" t="n"/>
      <c r="C634" s="85" t="n"/>
      <c r="D634" s="90" t="n"/>
      <c r="E634" s="85" t="n"/>
      <c r="F634" s="85" t="n"/>
      <c r="G634" s="85" t="n"/>
      <c r="H634" s="85" t="n"/>
      <c r="I634" s="85" t="n"/>
      <c r="J634" s="69" t="n"/>
      <c r="K634" s="85" t="n"/>
      <c r="L634" s="91" t="n"/>
      <c r="M634" s="85" t="n"/>
      <c r="N634" s="85" t="n"/>
      <c r="O634" s="91" t="n"/>
      <c r="P634" s="92" t="n"/>
      <c r="Q634" s="91" t="n"/>
      <c r="R634" s="91" t="n"/>
      <c r="S634" s="92" t="n"/>
      <c r="T634" s="93" t="n"/>
      <c r="U634" s="91" t="n"/>
      <c r="V634" s="160" t="n"/>
      <c r="W634" s="92" t="n"/>
    </row>
    <row r="635" ht="16.5" customHeight="1">
      <c r="A635" s="89" t="n"/>
      <c r="B635" s="85" t="n"/>
      <c r="C635" s="85" t="n"/>
      <c r="D635" s="90" t="n"/>
      <c r="E635" s="85" t="n"/>
      <c r="F635" s="85" t="n"/>
      <c r="G635" s="85" t="n"/>
      <c r="H635" s="85" t="n"/>
      <c r="I635" s="85" t="n"/>
      <c r="J635" s="69" t="n"/>
      <c r="K635" s="85" t="n"/>
      <c r="L635" s="91" t="n"/>
      <c r="M635" s="85" t="n"/>
      <c r="N635" s="85" t="n"/>
      <c r="O635" s="91" t="n"/>
      <c r="P635" s="92" t="n"/>
      <c r="Q635" s="91" t="n"/>
      <c r="R635" s="91" t="n"/>
      <c r="S635" s="92" t="n"/>
      <c r="T635" s="93" t="n"/>
      <c r="U635" s="91" t="n"/>
      <c r="V635" s="160" t="n"/>
      <c r="W635" s="92" t="n"/>
    </row>
    <row r="636" ht="16.5" customHeight="1">
      <c r="A636" s="89" t="n"/>
      <c r="B636" s="85" t="n"/>
      <c r="C636" s="85" t="n"/>
      <c r="D636" s="90" t="n"/>
      <c r="E636" s="85" t="n"/>
      <c r="F636" s="85" t="n"/>
      <c r="G636" s="85" t="n"/>
      <c r="H636" s="85" t="n"/>
      <c r="I636" s="85" t="n"/>
      <c r="J636" s="69" t="n"/>
      <c r="K636" s="85" t="n"/>
      <c r="L636" s="91" t="n"/>
      <c r="M636" s="85" t="n"/>
      <c r="N636" s="85" t="n"/>
      <c r="O636" s="91" t="n"/>
      <c r="P636" s="92" t="n"/>
      <c r="Q636" s="91" t="n"/>
      <c r="R636" s="91" t="n"/>
      <c r="S636" s="92" t="n"/>
      <c r="T636" s="93" t="n"/>
      <c r="U636" s="91" t="n"/>
      <c r="V636" s="160" t="n"/>
      <c r="W636" s="92" t="n"/>
    </row>
    <row r="637" ht="16.5" customHeight="1">
      <c r="A637" s="89" t="n"/>
      <c r="B637" s="85" t="n"/>
      <c r="C637" s="85" t="n"/>
      <c r="D637" s="90" t="n"/>
      <c r="E637" s="85" t="n"/>
      <c r="F637" s="85" t="n"/>
      <c r="G637" s="85" t="n"/>
      <c r="H637" s="85" t="n"/>
      <c r="I637" s="85" t="n"/>
      <c r="J637" s="69" t="n"/>
      <c r="K637" s="85" t="n"/>
      <c r="L637" s="91" t="n"/>
      <c r="M637" s="85" t="n"/>
      <c r="N637" s="85" t="n"/>
      <c r="O637" s="91" t="n"/>
      <c r="P637" s="92" t="n"/>
      <c r="Q637" s="91" t="n"/>
      <c r="R637" s="91" t="n"/>
      <c r="S637" s="92" t="n"/>
      <c r="T637" s="93" t="n"/>
      <c r="U637" s="91" t="n"/>
      <c r="V637" s="160" t="n"/>
      <c r="W637" s="92" t="n"/>
    </row>
    <row r="638" ht="16.5" customHeight="1">
      <c r="A638" s="89" t="n"/>
      <c r="B638" s="85" t="n"/>
      <c r="C638" s="85" t="n"/>
      <c r="D638" s="90" t="n"/>
      <c r="E638" s="85" t="n"/>
      <c r="F638" s="85" t="n"/>
      <c r="G638" s="85" t="n"/>
      <c r="H638" s="85" t="n"/>
      <c r="I638" s="85" t="n"/>
      <c r="J638" s="69" t="n"/>
      <c r="K638" s="85" t="n"/>
      <c r="L638" s="91" t="n"/>
      <c r="M638" s="85" t="n"/>
      <c r="N638" s="85" t="n"/>
      <c r="O638" s="91" t="n"/>
      <c r="P638" s="92" t="n"/>
      <c r="Q638" s="91" t="n"/>
      <c r="R638" s="91" t="n"/>
      <c r="S638" s="92" t="n"/>
      <c r="T638" s="93" t="n"/>
      <c r="U638" s="91" t="n"/>
      <c r="V638" s="160" t="n"/>
      <c r="W638" s="92" t="n"/>
    </row>
    <row r="639" ht="16.5" customHeight="1">
      <c r="A639" s="89" t="n"/>
      <c r="B639" s="85" t="n"/>
      <c r="C639" s="85" t="n"/>
      <c r="D639" s="90" t="n"/>
      <c r="E639" s="85" t="n"/>
      <c r="F639" s="85" t="n"/>
      <c r="G639" s="85" t="n"/>
      <c r="H639" s="85" t="n"/>
      <c r="I639" s="85" t="n"/>
      <c r="J639" s="69" t="n"/>
      <c r="K639" s="85" t="n"/>
      <c r="L639" s="91" t="n"/>
      <c r="M639" s="85" t="n"/>
      <c r="N639" s="85" t="n"/>
      <c r="O639" s="91" t="n"/>
      <c r="P639" s="92" t="n"/>
      <c r="Q639" s="91" t="n"/>
      <c r="R639" s="91" t="n"/>
      <c r="S639" s="92" t="n"/>
      <c r="T639" s="93" t="n"/>
      <c r="U639" s="91" t="n"/>
      <c r="V639" s="160" t="n"/>
      <c r="W639" s="92" t="n"/>
    </row>
    <row r="640" ht="16.5" customHeight="1">
      <c r="A640" s="89" t="n"/>
      <c r="B640" s="85" t="n"/>
      <c r="C640" s="85" t="n"/>
      <c r="D640" s="90" t="n"/>
      <c r="E640" s="85" t="n"/>
      <c r="F640" s="85" t="n"/>
      <c r="G640" s="85" t="n"/>
      <c r="H640" s="85" t="n"/>
      <c r="I640" s="85" t="n"/>
      <c r="J640" s="69" t="n"/>
      <c r="K640" s="85" t="n"/>
      <c r="L640" s="91" t="n"/>
      <c r="M640" s="85" t="n"/>
      <c r="N640" s="85" t="n"/>
      <c r="O640" s="91" t="n"/>
      <c r="P640" s="92" t="n"/>
      <c r="Q640" s="91" t="n"/>
      <c r="R640" s="91" t="n"/>
      <c r="S640" s="92" t="n"/>
      <c r="T640" s="93" t="n"/>
      <c r="U640" s="91" t="n"/>
      <c r="V640" s="160" t="n"/>
      <c r="W640" s="92" t="n"/>
    </row>
    <row r="641" ht="16.5" customHeight="1">
      <c r="A641" s="89" t="n"/>
      <c r="B641" s="85" t="n"/>
      <c r="C641" s="85" t="n"/>
      <c r="D641" s="90" t="n"/>
      <c r="E641" s="85" t="n"/>
      <c r="F641" s="85" t="n"/>
      <c r="G641" s="85" t="n"/>
      <c r="H641" s="85" t="n"/>
      <c r="I641" s="85" t="n"/>
      <c r="J641" s="69" t="n"/>
      <c r="K641" s="85" t="n"/>
      <c r="L641" s="91" t="n"/>
      <c r="M641" s="85" t="n"/>
      <c r="N641" s="85" t="n"/>
      <c r="O641" s="91" t="n"/>
      <c r="P641" s="92" t="n"/>
      <c r="Q641" s="91" t="n"/>
      <c r="R641" s="91" t="n"/>
      <c r="S641" s="92" t="n"/>
      <c r="T641" s="93" t="n"/>
      <c r="U641" s="91" t="n"/>
      <c r="V641" s="160" t="n"/>
      <c r="W641" s="92" t="n"/>
    </row>
    <row r="642" ht="16.5" customHeight="1">
      <c r="A642" s="89" t="n"/>
      <c r="B642" s="85" t="n"/>
      <c r="C642" s="85" t="n"/>
      <c r="D642" s="90" t="n"/>
      <c r="E642" s="85" t="n"/>
      <c r="F642" s="85" t="n"/>
      <c r="G642" s="85" t="n"/>
      <c r="H642" s="85" t="n"/>
      <c r="I642" s="85" t="n"/>
      <c r="J642" s="69" t="n"/>
      <c r="K642" s="85" t="n"/>
      <c r="L642" s="91" t="n"/>
      <c r="M642" s="85" t="n"/>
      <c r="N642" s="85" t="n"/>
      <c r="O642" s="91" t="n"/>
      <c r="P642" s="92" t="n"/>
      <c r="Q642" s="91" t="n"/>
      <c r="R642" s="91" t="n"/>
      <c r="S642" s="92" t="n"/>
      <c r="T642" s="93" t="n"/>
      <c r="U642" s="91" t="n"/>
      <c r="V642" s="160" t="n"/>
      <c r="W642" s="92" t="n"/>
    </row>
    <row r="643" ht="16.5" customHeight="1">
      <c r="A643" s="89" t="n"/>
      <c r="B643" s="85" t="n"/>
      <c r="C643" s="85" t="n"/>
      <c r="D643" s="90" t="n"/>
      <c r="E643" s="85" t="n"/>
      <c r="F643" s="85" t="n"/>
      <c r="G643" s="85" t="n"/>
      <c r="H643" s="85" t="n"/>
      <c r="I643" s="85" t="n"/>
      <c r="J643" s="69" t="n"/>
      <c r="K643" s="85" t="n"/>
      <c r="L643" s="91" t="n"/>
      <c r="M643" s="85" t="n"/>
      <c r="N643" s="85" t="n"/>
      <c r="O643" s="91" t="n"/>
      <c r="P643" s="92" t="n"/>
      <c r="Q643" s="91" t="n"/>
      <c r="R643" s="91" t="n"/>
      <c r="S643" s="92" t="n"/>
      <c r="T643" s="93" t="n"/>
      <c r="U643" s="91" t="n"/>
      <c r="V643" s="160" t="n"/>
      <c r="W643" s="92" t="n"/>
    </row>
    <row r="644" ht="16.5" customHeight="1">
      <c r="A644" s="89" t="n"/>
      <c r="B644" s="85" t="n"/>
      <c r="C644" s="85" t="n"/>
      <c r="D644" s="90" t="n"/>
      <c r="E644" s="85" t="n"/>
      <c r="F644" s="85" t="n"/>
      <c r="G644" s="85" t="n"/>
      <c r="H644" s="85" t="n"/>
      <c r="I644" s="85" t="n"/>
      <c r="J644" s="69" t="n"/>
      <c r="K644" s="85" t="n"/>
      <c r="L644" s="91" t="n"/>
      <c r="M644" s="85" t="n"/>
      <c r="N644" s="85" t="n"/>
      <c r="O644" s="91" t="n"/>
      <c r="P644" s="92" t="n"/>
      <c r="Q644" s="91" t="n"/>
      <c r="R644" s="91" t="n"/>
      <c r="S644" s="92" t="n"/>
      <c r="T644" s="93" t="n"/>
      <c r="U644" s="91" t="n"/>
      <c r="V644" s="160" t="n"/>
      <c r="W644" s="92" t="n"/>
    </row>
    <row r="645" ht="16.5" customHeight="1">
      <c r="A645" s="89" t="n"/>
      <c r="B645" s="85" t="n"/>
      <c r="C645" s="85" t="n"/>
      <c r="D645" s="90" t="n"/>
      <c r="E645" s="85" t="n"/>
      <c r="F645" s="85" t="n"/>
      <c r="G645" s="85" t="n"/>
      <c r="H645" s="85" t="n"/>
      <c r="I645" s="85" t="n"/>
      <c r="J645" s="69" t="n"/>
      <c r="K645" s="85" t="n"/>
      <c r="L645" s="91" t="n"/>
      <c r="M645" s="85" t="n"/>
      <c r="N645" s="85" t="n"/>
      <c r="O645" s="91" t="n"/>
      <c r="P645" s="92" t="n"/>
      <c r="Q645" s="91" t="n"/>
      <c r="R645" s="91" t="n"/>
      <c r="S645" s="92" t="n"/>
      <c r="T645" s="93" t="n"/>
      <c r="U645" s="91" t="n"/>
      <c r="V645" s="160" t="n"/>
      <c r="W645" s="92" t="n"/>
    </row>
    <row r="646" ht="16.5" customHeight="1">
      <c r="A646" s="89" t="n"/>
      <c r="B646" s="85" t="n"/>
      <c r="C646" s="85" t="n"/>
      <c r="D646" s="90" t="n"/>
      <c r="E646" s="85" t="n"/>
      <c r="F646" s="85" t="n"/>
      <c r="G646" s="85" t="n"/>
      <c r="H646" s="85" t="n"/>
      <c r="I646" s="85" t="n"/>
      <c r="J646" s="69" t="n"/>
      <c r="K646" s="85" t="n"/>
      <c r="L646" s="91" t="n"/>
      <c r="M646" s="85" t="n"/>
      <c r="N646" s="85" t="n"/>
      <c r="O646" s="91" t="n"/>
      <c r="P646" s="92" t="n"/>
      <c r="Q646" s="91" t="n"/>
      <c r="R646" s="91" t="n"/>
      <c r="S646" s="92" t="n"/>
      <c r="T646" s="93" t="n"/>
      <c r="U646" s="91" t="n"/>
      <c r="V646" s="160" t="n"/>
      <c r="W646" s="92" t="n"/>
    </row>
    <row r="647" ht="16.5" customHeight="1">
      <c r="A647" s="89" t="n"/>
      <c r="B647" s="85" t="n"/>
      <c r="C647" s="85" t="n"/>
      <c r="D647" s="90" t="n"/>
      <c r="E647" s="85" t="n"/>
      <c r="F647" s="85" t="n"/>
      <c r="G647" s="85" t="n"/>
      <c r="H647" s="85" t="n"/>
      <c r="I647" s="85" t="n"/>
      <c r="J647" s="69" t="n"/>
      <c r="K647" s="85" t="n"/>
      <c r="L647" s="91" t="n"/>
      <c r="M647" s="85" t="n"/>
      <c r="N647" s="85" t="n"/>
      <c r="O647" s="91" t="n"/>
      <c r="P647" s="92" t="n"/>
      <c r="Q647" s="91" t="n"/>
      <c r="R647" s="91" t="n"/>
      <c r="S647" s="92" t="n"/>
      <c r="T647" s="93" t="n"/>
      <c r="U647" s="91" t="n"/>
      <c r="V647" s="160" t="n"/>
      <c r="W647" s="92" t="n"/>
    </row>
    <row r="648" ht="16.5" customHeight="1">
      <c r="A648" s="89" t="n"/>
      <c r="B648" s="85" t="n"/>
      <c r="C648" s="85" t="n"/>
      <c r="D648" s="90" t="n"/>
      <c r="E648" s="85" t="n"/>
      <c r="F648" s="85" t="n"/>
      <c r="G648" s="85" t="n"/>
      <c r="H648" s="85" t="n"/>
      <c r="I648" s="85" t="n"/>
      <c r="J648" s="69" t="n"/>
      <c r="K648" s="85" t="n"/>
      <c r="L648" s="91" t="n"/>
      <c r="M648" s="85" t="n"/>
      <c r="N648" s="85" t="n"/>
      <c r="O648" s="91" t="n"/>
      <c r="P648" s="92" t="n"/>
      <c r="Q648" s="91" t="n"/>
      <c r="R648" s="91" t="n"/>
      <c r="S648" s="92" t="n"/>
      <c r="T648" s="93" t="n"/>
      <c r="U648" s="91" t="n"/>
      <c r="V648" s="160" t="n"/>
      <c r="W648" s="92" t="n"/>
    </row>
    <row r="649" ht="16.5" customHeight="1">
      <c r="A649" s="89" t="n"/>
      <c r="B649" s="85" t="n"/>
      <c r="C649" s="85" t="n"/>
      <c r="D649" s="90" t="n"/>
      <c r="E649" s="85" t="n"/>
      <c r="F649" s="85" t="n"/>
      <c r="G649" s="85" t="n"/>
      <c r="H649" s="85" t="n"/>
      <c r="I649" s="85" t="n"/>
      <c r="J649" s="69" t="n"/>
      <c r="K649" s="85" t="n"/>
      <c r="L649" s="91" t="n"/>
      <c r="M649" s="85" t="n"/>
      <c r="N649" s="85" t="n"/>
      <c r="O649" s="91" t="n"/>
      <c r="P649" s="92" t="n"/>
      <c r="Q649" s="91" t="n"/>
      <c r="R649" s="91" t="n"/>
      <c r="S649" s="92" t="n"/>
      <c r="T649" s="93" t="n"/>
      <c r="U649" s="91" t="n"/>
      <c r="V649" s="160" t="n"/>
      <c r="W649" s="92" t="n"/>
    </row>
    <row r="650" ht="16.5" customHeight="1">
      <c r="A650" s="89" t="n"/>
      <c r="B650" s="85" t="n"/>
      <c r="C650" s="85" t="n"/>
      <c r="D650" s="90" t="n"/>
      <c r="E650" s="85" t="n"/>
      <c r="F650" s="85" t="n"/>
      <c r="G650" s="85" t="n"/>
      <c r="H650" s="85" t="n"/>
      <c r="I650" s="85" t="n"/>
      <c r="J650" s="69" t="n"/>
      <c r="K650" s="85" t="n"/>
      <c r="L650" s="91" t="n"/>
      <c r="M650" s="85" t="n"/>
      <c r="N650" s="85" t="n"/>
      <c r="O650" s="91" t="n"/>
      <c r="P650" s="92" t="n"/>
      <c r="Q650" s="91" t="n"/>
      <c r="R650" s="91" t="n"/>
      <c r="S650" s="92" t="n"/>
      <c r="T650" s="93" t="n"/>
      <c r="U650" s="91" t="n"/>
      <c r="V650" s="160" t="n"/>
      <c r="W650" s="92" t="n"/>
    </row>
    <row r="651" ht="16.5" customHeight="1">
      <c r="A651" s="89" t="n"/>
      <c r="B651" s="85" t="n"/>
      <c r="C651" s="85" t="n"/>
      <c r="D651" s="90" t="n"/>
      <c r="E651" s="85" t="n"/>
      <c r="F651" s="85" t="n"/>
      <c r="G651" s="85" t="n"/>
      <c r="H651" s="85" t="n"/>
      <c r="I651" s="85" t="n"/>
      <c r="J651" s="69" t="n"/>
      <c r="K651" s="85" t="n"/>
      <c r="L651" s="91" t="n"/>
      <c r="M651" s="85" t="n"/>
      <c r="N651" s="85" t="n"/>
      <c r="O651" s="91" t="n"/>
      <c r="P651" s="92" t="n"/>
      <c r="Q651" s="91" t="n"/>
      <c r="R651" s="91" t="n"/>
      <c r="S651" s="92" t="n"/>
      <c r="T651" s="93" t="n"/>
      <c r="U651" s="91" t="n"/>
      <c r="V651" s="160" t="n"/>
      <c r="W651" s="92" t="n"/>
    </row>
    <row r="652" ht="16.5" customHeight="1">
      <c r="A652" s="89" t="n"/>
      <c r="B652" s="85" t="n"/>
      <c r="C652" s="85" t="n"/>
      <c r="D652" s="90" t="n"/>
      <c r="E652" s="85" t="n"/>
      <c r="F652" s="85" t="n"/>
      <c r="G652" s="85" t="n"/>
      <c r="H652" s="85" t="n"/>
      <c r="I652" s="85" t="n"/>
      <c r="J652" s="69" t="n"/>
      <c r="K652" s="85" t="n"/>
      <c r="L652" s="91" t="n"/>
      <c r="M652" s="85" t="n"/>
      <c r="N652" s="85" t="n"/>
      <c r="O652" s="91" t="n"/>
      <c r="P652" s="92" t="n"/>
      <c r="Q652" s="91" t="n"/>
      <c r="R652" s="91" t="n"/>
      <c r="S652" s="92" t="n"/>
      <c r="T652" s="93" t="n"/>
      <c r="U652" s="91" t="n"/>
      <c r="V652" s="160" t="n"/>
      <c r="W652" s="92" t="n"/>
    </row>
    <row r="653" ht="16.5" customHeight="1">
      <c r="A653" s="89" t="n"/>
      <c r="B653" s="85" t="n"/>
      <c r="C653" s="85" t="n"/>
      <c r="D653" s="90" t="n"/>
      <c r="E653" s="85" t="n"/>
      <c r="F653" s="85" t="n"/>
      <c r="G653" s="85" t="n"/>
      <c r="H653" s="85" t="n"/>
      <c r="I653" s="85" t="n"/>
      <c r="J653" s="69" t="n"/>
      <c r="K653" s="85" t="n"/>
      <c r="L653" s="91" t="n"/>
      <c r="M653" s="85" t="n"/>
      <c r="N653" s="85" t="n"/>
      <c r="O653" s="91" t="n"/>
      <c r="P653" s="92" t="n"/>
      <c r="Q653" s="91" t="n"/>
      <c r="R653" s="91" t="n"/>
      <c r="S653" s="92" t="n"/>
      <c r="T653" s="93" t="n"/>
      <c r="U653" s="91" t="n"/>
      <c r="V653" s="160" t="n"/>
      <c r="W653" s="92" t="n"/>
    </row>
    <row r="654" ht="16.5" customHeight="1">
      <c r="A654" s="89" t="n"/>
      <c r="B654" s="85" t="n"/>
      <c r="C654" s="85" t="n"/>
      <c r="D654" s="90" t="n"/>
      <c r="E654" s="85" t="n"/>
      <c r="F654" s="85" t="n"/>
      <c r="G654" s="85" t="n"/>
      <c r="H654" s="85" t="n"/>
      <c r="I654" s="85" t="n"/>
      <c r="J654" s="69" t="n"/>
      <c r="K654" s="85" t="n"/>
      <c r="L654" s="91" t="n"/>
      <c r="M654" s="85" t="n"/>
      <c r="N654" s="85" t="n"/>
      <c r="O654" s="91" t="n"/>
      <c r="P654" s="92" t="n"/>
      <c r="Q654" s="91" t="n"/>
      <c r="R654" s="91" t="n"/>
      <c r="S654" s="92" t="n"/>
      <c r="T654" s="93" t="n"/>
      <c r="U654" s="91" t="n"/>
      <c r="V654" s="160" t="n"/>
      <c r="W654" s="92" t="n"/>
    </row>
    <row r="655" ht="16.5" customHeight="1">
      <c r="A655" s="89" t="n"/>
      <c r="B655" s="85" t="n"/>
      <c r="C655" s="85" t="n"/>
      <c r="D655" s="90" t="n"/>
      <c r="E655" s="85" t="n"/>
      <c r="F655" s="85" t="n"/>
      <c r="G655" s="85" t="n"/>
      <c r="H655" s="85" t="n"/>
      <c r="I655" s="85" t="n"/>
      <c r="J655" s="69" t="n"/>
      <c r="K655" s="85" t="n"/>
      <c r="L655" s="91" t="n"/>
      <c r="M655" s="85" t="n"/>
      <c r="N655" s="85" t="n"/>
      <c r="O655" s="91" t="n"/>
      <c r="P655" s="92" t="n"/>
      <c r="Q655" s="91" t="n"/>
      <c r="R655" s="91" t="n"/>
      <c r="S655" s="92" t="n"/>
      <c r="T655" s="93" t="n"/>
      <c r="U655" s="91" t="n"/>
      <c r="V655" s="160" t="n"/>
      <c r="W655" s="92" t="n"/>
    </row>
    <row r="656" ht="16.5" customHeight="1">
      <c r="A656" s="89" t="n"/>
      <c r="B656" s="85" t="n"/>
      <c r="C656" s="85" t="n"/>
      <c r="D656" s="90" t="n"/>
      <c r="E656" s="85" t="n"/>
      <c r="F656" s="85" t="n"/>
      <c r="G656" s="85" t="n"/>
      <c r="H656" s="85" t="n"/>
      <c r="I656" s="85" t="n"/>
      <c r="J656" s="69" t="n"/>
      <c r="K656" s="85" t="n"/>
      <c r="L656" s="91" t="n"/>
      <c r="M656" s="85" t="n"/>
      <c r="N656" s="85" t="n"/>
      <c r="O656" s="91" t="n"/>
      <c r="P656" s="92" t="n"/>
      <c r="Q656" s="91" t="n"/>
      <c r="R656" s="91" t="n"/>
      <c r="S656" s="92" t="n"/>
      <c r="T656" s="93" t="n"/>
      <c r="U656" s="91" t="n"/>
      <c r="V656" s="92" t="n"/>
      <c r="W656" s="92" t="n"/>
    </row>
    <row r="657" ht="16.5" customHeight="1">
      <c r="A657" s="89" t="n"/>
      <c r="B657" s="85" t="n"/>
      <c r="C657" s="85" t="n"/>
      <c r="D657" s="90" t="n"/>
      <c r="E657" s="85" t="n"/>
      <c r="F657" s="85" t="n"/>
      <c r="G657" s="85" t="n"/>
      <c r="H657" s="85" t="n"/>
      <c r="I657" s="85" t="n"/>
      <c r="J657" s="69" t="n"/>
      <c r="K657" s="85" t="n"/>
      <c r="L657" s="91" t="n"/>
      <c r="M657" s="85" t="n"/>
      <c r="N657" s="85" t="n"/>
      <c r="O657" s="91" t="n"/>
      <c r="P657" s="92" t="n"/>
      <c r="Q657" s="91" t="n"/>
      <c r="R657" s="91" t="n"/>
      <c r="S657" s="92" t="n"/>
      <c r="T657" s="93" t="n"/>
      <c r="U657" s="91" t="n"/>
      <c r="V657" s="92" t="n"/>
      <c r="W657" s="92" t="n"/>
    </row>
    <row r="658" ht="16.5" customHeight="1">
      <c r="A658" s="89" t="n"/>
      <c r="B658" s="85" t="n"/>
      <c r="C658" s="85" t="n"/>
      <c r="D658" s="90" t="n"/>
      <c r="E658" s="85" t="n"/>
      <c r="F658" s="85" t="n"/>
      <c r="G658" s="85" t="n"/>
      <c r="H658" s="85" t="n"/>
      <c r="I658" s="85" t="n"/>
      <c r="J658" s="69" t="n"/>
      <c r="K658" s="85" t="n"/>
      <c r="L658" s="91" t="n"/>
      <c r="M658" s="85" t="n"/>
      <c r="N658" s="85" t="n"/>
      <c r="O658" s="91" t="n"/>
      <c r="P658" s="92" t="n"/>
      <c r="Q658" s="91" t="n"/>
      <c r="R658" s="91" t="n"/>
      <c r="S658" s="92" t="n"/>
      <c r="T658" s="93" t="n"/>
      <c r="U658" s="91" t="n"/>
      <c r="V658" s="92" t="n"/>
      <c r="W658" s="92" t="n"/>
    </row>
    <row r="659" ht="16.5" customHeight="1">
      <c r="A659" s="89" t="n"/>
      <c r="B659" s="85" t="n"/>
      <c r="C659" s="85" t="n"/>
      <c r="D659" s="90" t="n"/>
      <c r="E659" s="85" t="n"/>
      <c r="F659" s="85" t="n"/>
      <c r="G659" s="85" t="n"/>
      <c r="H659" s="85" t="n"/>
      <c r="I659" s="85" t="n"/>
      <c r="J659" s="69" t="n"/>
      <c r="K659" s="85" t="n"/>
      <c r="L659" s="91" t="n"/>
      <c r="M659" s="85" t="n"/>
      <c r="N659" s="85" t="n"/>
      <c r="O659" s="91" t="n"/>
      <c r="P659" s="92" t="n"/>
      <c r="Q659" s="91" t="n"/>
      <c r="R659" s="91" t="n"/>
      <c r="S659" s="92" t="n"/>
      <c r="T659" s="93" t="n"/>
      <c r="U659" s="91" t="n"/>
      <c r="V659" s="92" t="n"/>
      <c r="W659" s="92" t="n"/>
    </row>
    <row r="660" ht="16.5" customHeight="1">
      <c r="A660" s="89" t="n"/>
      <c r="B660" s="85" t="n"/>
      <c r="C660" s="85" t="n"/>
      <c r="D660" s="90" t="n"/>
      <c r="E660" s="85" t="n"/>
      <c r="F660" s="85" t="n"/>
      <c r="G660" s="85" t="n"/>
      <c r="H660" s="85" t="n"/>
      <c r="I660" s="85" t="n"/>
      <c r="J660" s="69" t="n"/>
      <c r="K660" s="85" t="n"/>
      <c r="L660" s="91" t="n"/>
      <c r="M660" s="85" t="n"/>
      <c r="N660" s="85" t="n"/>
      <c r="O660" s="91" t="n"/>
      <c r="P660" s="92" t="n"/>
      <c r="Q660" s="91" t="n"/>
      <c r="R660" s="91" t="n"/>
      <c r="S660" s="92" t="n"/>
      <c r="T660" s="93" t="n"/>
      <c r="U660" s="91" t="n"/>
      <c r="V660" s="92" t="n"/>
      <c r="W660" s="92" t="n"/>
    </row>
    <row r="661" ht="16.5" customHeight="1">
      <c r="A661" s="89" t="n"/>
      <c r="B661" s="85" t="n"/>
      <c r="C661" s="85" t="n"/>
      <c r="D661" s="90" t="n"/>
      <c r="E661" s="85" t="n"/>
      <c r="F661" s="85" t="n"/>
      <c r="G661" s="85" t="n"/>
      <c r="H661" s="85" t="n"/>
      <c r="I661" s="85" t="n"/>
      <c r="J661" s="69" t="n"/>
      <c r="K661" s="85" t="n"/>
      <c r="L661" s="91" t="n"/>
      <c r="M661" s="85" t="n"/>
      <c r="N661" s="85" t="n"/>
      <c r="O661" s="91" t="n"/>
      <c r="P661" s="92" t="n"/>
      <c r="Q661" s="91" t="n"/>
      <c r="R661" s="91" t="n"/>
      <c r="S661" s="92" t="n"/>
      <c r="T661" s="93" t="n"/>
      <c r="U661" s="91" t="n"/>
      <c r="V661" s="92" t="n"/>
      <c r="W661" s="92" t="n"/>
    </row>
  </sheetData>
  <conditionalFormatting sqref="A563:A652">
    <cfRule type="duplicateValues" priority="5" dxfId="4"/>
  </conditionalFormatting>
  <conditionalFormatting sqref="A653:A661">
    <cfRule type="duplicateValues" priority="8" dxfId="4"/>
  </conditionalFormatting>
  <conditionalFormatting sqref="C563:C652">
    <cfRule type="duplicateValues" priority="6" dxfId="1"/>
  </conditionalFormatting>
  <conditionalFormatting sqref="C653:C661">
    <cfRule type="duplicateValues" priority="9" dxfId="1"/>
  </conditionalFormatting>
  <conditionalFormatting sqref="L563:L1048576">
    <cfRule type="cellIs" priority="2" operator="greaterThan" dxfId="1">
      <formula>0</formula>
    </cfRule>
  </conditionalFormatting>
  <conditionalFormatting sqref="O563:O661">
    <cfRule type="cellIs" priority="1" operator="lessThan" dxfId="0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4"/>
  <sheetViews>
    <sheetView tabSelected="0" workbookViewId="0">
      <selection activeCell="A4" sqref="A4:A39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27" t="n"/>
      <c r="R2" s="161">
        <f>SUM(R4:R574)</f>
        <v/>
      </c>
      <c r="S2" s="162" t="inlineStr">
        <is>
          <t>=</t>
        </is>
      </c>
      <c r="T2" s="161">
        <f>SUM(T4:T574)</f>
        <v/>
      </c>
      <c r="U2" s="161">
        <f>SUM(U4:U574)</f>
        <v/>
      </c>
      <c r="W2" s="43" t="n"/>
      <c r="X2" s="43" t="n"/>
    </row>
    <row r="3" ht="35.25" customFormat="1" customHeight="1" s="87">
      <c r="A3" s="163" t="inlineStr">
        <is>
          <t>Container No.</t>
        </is>
      </c>
      <c r="B3" s="163" t="inlineStr">
        <is>
          <t>Location</t>
        </is>
      </c>
      <c r="C3" s="163" t="inlineStr">
        <is>
          <t>Booking No.</t>
        </is>
      </c>
      <c r="D3" s="163" t="inlineStr">
        <is>
          <t>Shipper</t>
        </is>
      </c>
      <c r="E3" s="163" t="inlineStr">
        <is>
          <t>POL</t>
        </is>
      </c>
      <c r="F3" s="163" t="inlineStr">
        <is>
          <t>POD</t>
        </is>
      </c>
      <c r="G3" s="163" t="inlineStr">
        <is>
          <t>Type Size</t>
        </is>
      </c>
      <c r="H3" s="163" t="inlineStr">
        <is>
          <t>Vessel</t>
        </is>
      </c>
      <c r="I3" s="163" t="inlineStr">
        <is>
          <t>Voyage</t>
        </is>
      </c>
      <c r="J3" s="164" t="inlineStr">
        <is>
          <t>Original Schedule</t>
        </is>
      </c>
      <c r="K3" s="165" t="inlineStr">
        <is>
          <t>ATD</t>
        </is>
      </c>
      <c r="L3" s="164" t="inlineStr">
        <is>
          <t>Vssl Delay</t>
        </is>
      </c>
      <c r="M3" s="166" t="inlineStr">
        <is>
          <t>Date In</t>
        </is>
      </c>
      <c r="N3" s="166" t="inlineStr">
        <is>
          <t>Date Out</t>
        </is>
      </c>
      <c r="O3" s="167" t="inlineStr">
        <is>
          <t>Total Stay</t>
        </is>
      </c>
      <c r="P3" s="167" t="inlineStr">
        <is>
          <t xml:space="preserve">CONTRACT F/T </t>
        </is>
      </c>
      <c r="Q3" s="167" t="inlineStr">
        <is>
          <t>Over Days</t>
        </is>
      </c>
      <c r="R3" s="168" t="inlineStr">
        <is>
          <t>TTL Storage</t>
        </is>
      </c>
      <c r="S3" s="167" t="inlineStr">
        <is>
          <t>Free Time Customer</t>
        </is>
      </c>
      <c r="T3" s="169" t="inlineStr">
        <is>
          <t>CUSTOMER PAY</t>
        </is>
      </c>
      <c r="U3" s="168" t="inlineStr">
        <is>
          <t>HAL PAY</t>
        </is>
      </c>
      <c r="V3" s="170" t="inlineStr">
        <is>
          <t>Remark</t>
        </is>
      </c>
      <c r="W3" s="171" t="inlineStr">
        <is>
          <t>SALESNM</t>
        </is>
      </c>
      <c r="X3" s="86" t="n"/>
    </row>
    <row r="4">
      <c r="A4" s="172" t="inlineStr">
        <is>
          <t>BEAU2480647</t>
        </is>
      </c>
      <c r="B4" s="170" t="inlineStr">
        <is>
          <t>LCH04</t>
        </is>
      </c>
      <c r="C4" s="170" t="inlineStr">
        <is>
          <t>HASLS22260902438</t>
        </is>
      </c>
      <c r="D4" s="170" t="inlineStr">
        <is>
          <t>AWOT GLOBAL LOGISTICS (THAILAND) CO., LTD.</t>
        </is>
      </c>
      <c r="E4" s="170" t="inlineStr">
        <is>
          <t>THLCH</t>
        </is>
      </c>
      <c r="F4" s="170" t="inlineStr">
        <is>
          <t>JPTOS</t>
        </is>
      </c>
      <c r="G4" s="170" t="inlineStr">
        <is>
          <t>22GP</t>
        </is>
      </c>
      <c r="H4" s="170" t="inlineStr">
        <is>
          <t>SWAT</t>
        </is>
      </c>
      <c r="I4" s="170" t="inlineStr">
        <is>
          <t>2610N</t>
        </is>
      </c>
      <c r="J4" s="173">
        <f>IFERROR(VLOOKUP($A:$A,CS!$A:$AK,18,FALSE),"")</f>
        <v/>
      </c>
      <c r="K4" s="173" t="n">
        <v>46307</v>
      </c>
      <c r="L4" s="174">
        <f>IFERROR(VLOOKUP($A:$A,CS!$A:$AK,20,FALSE),"")</f>
        <v/>
      </c>
      <c r="M4" s="173" t="n">
        <v>46300</v>
      </c>
      <c r="N4" s="173" t="n">
        <v>46307</v>
      </c>
      <c r="O4" s="174" t="n">
        <v>8</v>
      </c>
      <c r="P4" s="174" t="n">
        <v>7</v>
      </c>
      <c r="Q4" s="174" t="n">
        <v>1</v>
      </c>
      <c r="R4" s="175" t="n">
        <v>125</v>
      </c>
      <c r="S4" s="174" t="n">
        <v>5</v>
      </c>
      <c r="T4" s="175" t="n">
        <v>0</v>
      </c>
      <c r="U4" s="175" t="n">
        <v>125</v>
      </c>
      <c r="V4" s="170">
        <f>IFERROR(VLOOKUP($A:$A,CS!$A:$AK,35,FALSE),"")</f>
        <v/>
      </c>
      <c r="W4" s="170" t="inlineStr">
        <is>
          <t>Pattarapong Saengthong</t>
        </is>
      </c>
    </row>
    <row r="5">
      <c r="A5" s="143" t="inlineStr">
        <is>
          <t>BEAU2513118</t>
        </is>
      </c>
      <c r="B5" s="170" t="inlineStr">
        <is>
          <t>LCH04</t>
        </is>
      </c>
      <c r="C5" s="170" t="inlineStr">
        <is>
          <t>HASLS22260902438</t>
        </is>
      </c>
      <c r="D5" s="170" t="inlineStr">
        <is>
          <t>AWOT GLOBAL LOGISTICS (THAILAND) CO., LTD.</t>
        </is>
      </c>
      <c r="E5" s="170" t="inlineStr">
        <is>
          <t>THLCH</t>
        </is>
      </c>
      <c r="F5" s="170" t="inlineStr">
        <is>
          <t>JPTOS</t>
        </is>
      </c>
      <c r="G5" s="170" t="inlineStr">
        <is>
          <t>22GP</t>
        </is>
      </c>
      <c r="H5" s="170" t="inlineStr">
        <is>
          <t>SWAT</t>
        </is>
      </c>
      <c r="I5" s="170" t="inlineStr">
        <is>
          <t>2610N</t>
        </is>
      </c>
      <c r="J5" s="173">
        <f>IFERROR(VLOOKUP($A:$A,CS!$A:$AK,18,FALSE),"")</f>
        <v/>
      </c>
      <c r="K5" s="173" t="n">
        <v>46307</v>
      </c>
      <c r="L5" s="174">
        <f>IFERROR(VLOOKUP($A:$A,CS!$A:$AK,20,FALSE),"")</f>
        <v/>
      </c>
      <c r="M5" s="173" t="n">
        <v>46300</v>
      </c>
      <c r="N5" s="173" t="n">
        <v>46307</v>
      </c>
      <c r="O5" s="174" t="n">
        <v>8</v>
      </c>
      <c r="P5" s="174" t="n">
        <v>7</v>
      </c>
      <c r="Q5" s="174" t="n">
        <v>1</v>
      </c>
      <c r="R5" s="175" t="n">
        <v>125</v>
      </c>
      <c r="S5" s="174" t="n">
        <v>5</v>
      </c>
      <c r="T5" s="175" t="n">
        <v>0</v>
      </c>
      <c r="U5" s="175" t="n">
        <v>125</v>
      </c>
      <c r="V5" s="170">
        <f>IFERROR(VLOOKUP($A:$A,CS!$A:$AK,35,FALSE),"")</f>
        <v/>
      </c>
      <c r="W5" s="170" t="inlineStr">
        <is>
          <t>Pattarapong Saengthong</t>
        </is>
      </c>
    </row>
    <row r="6">
      <c r="A6" s="143" t="inlineStr">
        <is>
          <t>BMOU2948199</t>
        </is>
      </c>
      <c r="B6" s="170" t="inlineStr">
        <is>
          <t>LCH04</t>
        </is>
      </c>
      <c r="C6" s="170" t="inlineStr">
        <is>
          <t>HASLS22260902438</t>
        </is>
      </c>
      <c r="D6" s="170" t="inlineStr">
        <is>
          <t>AWOT GLOBAL LOGISTICS (THAILAND) CO., LTD.</t>
        </is>
      </c>
      <c r="E6" s="170" t="inlineStr">
        <is>
          <t>THLCH</t>
        </is>
      </c>
      <c r="F6" s="170" t="inlineStr">
        <is>
          <t>JPTOS</t>
        </is>
      </c>
      <c r="G6" s="170" t="inlineStr">
        <is>
          <t>22GP</t>
        </is>
      </c>
      <c r="H6" s="170" t="inlineStr">
        <is>
          <t>SWAT</t>
        </is>
      </c>
      <c r="I6" s="170" t="inlineStr">
        <is>
          <t>2610N</t>
        </is>
      </c>
      <c r="J6" s="173">
        <f>IFERROR(VLOOKUP($A:$A,CS!$A:$AK,18,FALSE),"")</f>
        <v/>
      </c>
      <c r="K6" s="173" t="n">
        <v>46307</v>
      </c>
      <c r="L6" s="174">
        <f>IFERROR(VLOOKUP($A:$A,CS!$A:$AK,20,FALSE),"")</f>
        <v/>
      </c>
      <c r="M6" s="173" t="n">
        <v>46300</v>
      </c>
      <c r="N6" s="173" t="n">
        <v>46307</v>
      </c>
      <c r="O6" s="174" t="n">
        <v>8</v>
      </c>
      <c r="P6" s="174" t="n">
        <v>7</v>
      </c>
      <c r="Q6" s="174" t="n">
        <v>1</v>
      </c>
      <c r="R6" s="175" t="n">
        <v>125</v>
      </c>
      <c r="S6" s="174" t="n">
        <v>5</v>
      </c>
      <c r="T6" s="175" t="n">
        <v>0</v>
      </c>
      <c r="U6" s="175" t="n">
        <v>125</v>
      </c>
      <c r="V6" s="170">
        <f>IFERROR(VLOOKUP($A:$A,CS!$A:$AK,35,FALSE),"")</f>
        <v/>
      </c>
      <c r="W6" s="170" t="inlineStr">
        <is>
          <t>Pattarapong Saengthong</t>
        </is>
      </c>
    </row>
    <row r="7">
      <c r="A7" s="143" t="inlineStr">
        <is>
          <t>GLDU5657410</t>
        </is>
      </c>
      <c r="B7" s="170" t="inlineStr">
        <is>
          <t>LCH04</t>
        </is>
      </c>
      <c r="C7" s="170" t="inlineStr">
        <is>
          <t>HASLS22261000190</t>
        </is>
      </c>
      <c r="D7" s="170" t="inlineStr">
        <is>
          <t>SS EXCELLENT NETWORK CO.,LTD</t>
        </is>
      </c>
      <c r="E7" s="170" t="inlineStr">
        <is>
          <t>THLCH</t>
        </is>
      </c>
      <c r="F7" s="170" t="inlineStr">
        <is>
          <t>HKHKG</t>
        </is>
      </c>
      <c r="G7" s="170" t="inlineStr">
        <is>
          <t>22GP</t>
        </is>
      </c>
      <c r="H7" s="170" t="inlineStr">
        <is>
          <t>SWAT</t>
        </is>
      </c>
      <c r="I7" s="170" t="inlineStr">
        <is>
          <t>2610N</t>
        </is>
      </c>
      <c r="J7" s="173">
        <f>IFERROR(VLOOKUP($A:$A,CS!$A:$AK,18,FALSE),"")</f>
        <v/>
      </c>
      <c r="K7" s="173" t="n">
        <v>46307</v>
      </c>
      <c r="L7" s="174">
        <f>IFERROR(VLOOKUP($A:$A,CS!$A:$AK,20,FALSE),"")</f>
        <v/>
      </c>
      <c r="M7" s="173" t="n">
        <v>46301</v>
      </c>
      <c r="N7" s="173" t="n">
        <v>46307</v>
      </c>
      <c r="O7" s="174" t="n">
        <v>7</v>
      </c>
      <c r="P7" s="174" t="n">
        <v>7</v>
      </c>
      <c r="Q7" s="174" t="n">
        <v>0</v>
      </c>
      <c r="R7" s="175" t="n">
        <v>0</v>
      </c>
      <c r="S7" s="174" t="n">
        <v>5</v>
      </c>
      <c r="T7" s="175" t="n">
        <v>0</v>
      </c>
      <c r="U7" s="175" t="n">
        <v>0</v>
      </c>
      <c r="V7" s="170">
        <f>IFERROR(VLOOKUP($A:$A,CS!$A:$AK,35,FALSE),"")</f>
        <v/>
      </c>
      <c r="W7" s="170" t="inlineStr">
        <is>
          <t>Nannaapust Sukporntaweewat</t>
        </is>
      </c>
    </row>
    <row r="8">
      <c r="A8" s="143" t="inlineStr">
        <is>
          <t>HLHU8405871</t>
        </is>
      </c>
      <c r="B8" s="170" t="inlineStr">
        <is>
          <t>LCH04</t>
        </is>
      </c>
      <c r="C8" s="170" t="inlineStr">
        <is>
          <t>HASLS22260900756</t>
        </is>
      </c>
      <c r="D8" s="170" t="inlineStr">
        <is>
          <t>DOW CHEMICAL THAILAND LTD.</t>
        </is>
      </c>
      <c r="E8" s="170" t="inlineStr">
        <is>
          <t>THLCH</t>
        </is>
      </c>
      <c r="F8" s="170" t="inlineStr">
        <is>
          <t>JPTAK</t>
        </is>
      </c>
      <c r="G8" s="170" t="inlineStr">
        <is>
          <t>45GP</t>
        </is>
      </c>
      <c r="H8" s="170" t="inlineStr">
        <is>
          <t>SWAT</t>
        </is>
      </c>
      <c r="I8" s="170" t="inlineStr">
        <is>
          <t>2610N</t>
        </is>
      </c>
      <c r="J8" s="173">
        <f>IFERROR(VLOOKUP($A:$A,CS!$A:$AK,18,FALSE),"")</f>
        <v/>
      </c>
      <c r="K8" s="173" t="n">
        <v>46307</v>
      </c>
      <c r="L8" s="174">
        <f>IFERROR(VLOOKUP($A:$A,CS!$A:$AK,20,FALSE),"")</f>
        <v/>
      </c>
      <c r="M8" s="173" t="n">
        <v>46298</v>
      </c>
      <c r="N8" s="173" t="n">
        <v>46307</v>
      </c>
      <c r="O8" s="174" t="n">
        <v>10</v>
      </c>
      <c r="P8" s="174" t="n">
        <v>7</v>
      </c>
      <c r="Q8" s="174" t="n">
        <v>3</v>
      </c>
      <c r="R8" s="175" t="n">
        <v>750</v>
      </c>
      <c r="S8" s="174" t="n">
        <v>5</v>
      </c>
      <c r="T8" s="175" t="n">
        <v>0</v>
      </c>
      <c r="U8" s="175" t="n">
        <v>750</v>
      </c>
      <c r="V8" s="170">
        <f>IFERROR(VLOOKUP($A:$A,CS!$A:$AK,35,FALSE),"")</f>
        <v/>
      </c>
      <c r="W8" s="170" t="inlineStr">
        <is>
          <t>SEO JI YEONG</t>
        </is>
      </c>
    </row>
    <row r="9">
      <c r="A9" s="143" t="inlineStr">
        <is>
          <t>HLHU8491951</t>
        </is>
      </c>
      <c r="B9" s="170" t="inlineStr">
        <is>
          <t>LCH04</t>
        </is>
      </c>
      <c r="C9" s="170" t="inlineStr">
        <is>
          <t>HASLS22260900756</t>
        </is>
      </c>
      <c r="D9" s="170" t="inlineStr">
        <is>
          <t>DOW CHEMICAL THAILAND LTD.</t>
        </is>
      </c>
      <c r="E9" s="170" t="inlineStr">
        <is>
          <t>THLCH</t>
        </is>
      </c>
      <c r="F9" s="170" t="inlineStr">
        <is>
          <t>JPTAK</t>
        </is>
      </c>
      <c r="G9" s="170" t="inlineStr">
        <is>
          <t>45GP</t>
        </is>
      </c>
      <c r="H9" s="170" t="inlineStr">
        <is>
          <t>SWAT</t>
        </is>
      </c>
      <c r="I9" s="170" t="inlineStr">
        <is>
          <t>2610N</t>
        </is>
      </c>
      <c r="J9" s="173">
        <f>IFERROR(VLOOKUP($A:$A,CS!$A:$AK,18,FALSE),"")</f>
        <v/>
      </c>
      <c r="K9" s="173" t="n">
        <v>46307</v>
      </c>
      <c r="L9" s="174">
        <f>IFERROR(VLOOKUP($A:$A,CS!$A:$AK,20,FALSE),"")</f>
        <v/>
      </c>
      <c r="M9" s="173" t="n">
        <v>46298</v>
      </c>
      <c r="N9" s="173" t="n">
        <v>46307</v>
      </c>
      <c r="O9" s="174" t="n">
        <v>10</v>
      </c>
      <c r="P9" s="174" t="n">
        <v>7</v>
      </c>
      <c r="Q9" s="174" t="n">
        <v>3</v>
      </c>
      <c r="R9" s="175" t="n">
        <v>750</v>
      </c>
      <c r="S9" s="174" t="n">
        <v>5</v>
      </c>
      <c r="T9" s="175" t="n">
        <v>0</v>
      </c>
      <c r="U9" s="175" t="n">
        <v>750</v>
      </c>
      <c r="V9" s="170">
        <f>IFERROR(VLOOKUP($A:$A,CS!$A:$AK,35,FALSE),"")</f>
        <v/>
      </c>
      <c r="W9" s="170" t="inlineStr">
        <is>
          <t>SEO JI YEONG</t>
        </is>
      </c>
    </row>
    <row r="10">
      <c r="A10" s="143" t="inlineStr">
        <is>
          <t>KMLU2800320</t>
        </is>
      </c>
      <c r="B10" s="170" t="inlineStr">
        <is>
          <t>LCH04</t>
        </is>
      </c>
      <c r="C10" s="170" t="inlineStr">
        <is>
          <t>HASLS22260901340</t>
        </is>
      </c>
      <c r="D10" s="170" t="inlineStr">
        <is>
          <t>MERCURIAL LOGISTICS  CO.,LTD</t>
        </is>
      </c>
      <c r="E10" s="170" t="inlineStr">
        <is>
          <t>THLCH</t>
        </is>
      </c>
      <c r="F10" s="170" t="inlineStr">
        <is>
          <t>TWKEL</t>
        </is>
      </c>
      <c r="G10" s="170" t="inlineStr">
        <is>
          <t>22GP</t>
        </is>
      </c>
      <c r="H10" s="170" t="inlineStr">
        <is>
          <t>SWAT</t>
        </is>
      </c>
      <c r="I10" s="170" t="inlineStr">
        <is>
          <t>2610N</t>
        </is>
      </c>
      <c r="J10" s="173">
        <f>IFERROR(VLOOKUP($A:$A,CS!$A:$AK,18,FALSE),"")</f>
        <v/>
      </c>
      <c r="K10" s="173" t="n">
        <v>46307</v>
      </c>
      <c r="L10" s="174">
        <f>IFERROR(VLOOKUP($A:$A,CS!$A:$AK,20,FALSE),"")</f>
        <v/>
      </c>
      <c r="M10" s="173" t="n">
        <v>46301</v>
      </c>
      <c r="N10" s="173" t="n">
        <v>46307</v>
      </c>
      <c r="O10" s="174" t="n">
        <v>7</v>
      </c>
      <c r="P10" s="174" t="n">
        <v>7</v>
      </c>
      <c r="Q10" s="174" t="n">
        <v>0</v>
      </c>
      <c r="R10" s="175" t="n">
        <v>0</v>
      </c>
      <c r="S10" s="174" t="n">
        <v>5</v>
      </c>
      <c r="T10" s="175" t="n">
        <v>0</v>
      </c>
      <c r="U10" s="175" t="n">
        <v>0</v>
      </c>
      <c r="V10" s="170">
        <f>IFERROR(VLOOKUP($A:$A,CS!$A:$AK,35,FALSE),"")</f>
        <v/>
      </c>
      <c r="W10" s="170" t="inlineStr">
        <is>
          <t>Nannaapust Sukporntaweewat</t>
        </is>
      </c>
    </row>
    <row r="11">
      <c r="A11" s="143" t="inlineStr">
        <is>
          <t>SKHU8917094</t>
        </is>
      </c>
      <c r="B11" s="170" t="inlineStr">
        <is>
          <t>LCH04</t>
        </is>
      </c>
      <c r="C11" s="170" t="inlineStr">
        <is>
          <t>HASLS22260901169</t>
        </is>
      </c>
      <c r="D11" s="170" t="inlineStr">
        <is>
          <t>TOP INTER FREIGHT CO., LTD.</t>
        </is>
      </c>
      <c r="E11" s="170" t="inlineStr">
        <is>
          <t>THLCH</t>
        </is>
      </c>
      <c r="F11" s="170" t="inlineStr">
        <is>
          <t>TWKEL</t>
        </is>
      </c>
      <c r="G11" s="170" t="inlineStr">
        <is>
          <t>45GP</t>
        </is>
      </c>
      <c r="H11" s="170" t="inlineStr">
        <is>
          <t>SWAT</t>
        </is>
      </c>
      <c r="I11" s="170" t="inlineStr">
        <is>
          <t>2610N</t>
        </is>
      </c>
      <c r="J11" s="173">
        <f>IFERROR(VLOOKUP($A:$A,CS!$A:$AK,18,FALSE),"")</f>
        <v/>
      </c>
      <c r="K11" s="173" t="n">
        <v>46307</v>
      </c>
      <c r="L11" s="174">
        <f>IFERROR(VLOOKUP($A:$A,CS!$A:$AK,20,FALSE),"")</f>
        <v/>
      </c>
      <c r="M11" s="173" t="n">
        <v>46300</v>
      </c>
      <c r="N11" s="173" t="n">
        <v>46307</v>
      </c>
      <c r="O11" s="174" t="n">
        <v>8</v>
      </c>
      <c r="P11" s="174" t="n">
        <v>7</v>
      </c>
      <c r="Q11" s="174" t="n">
        <v>1</v>
      </c>
      <c r="R11" s="175" t="n">
        <v>250</v>
      </c>
      <c r="S11" s="174" t="n">
        <v>5</v>
      </c>
      <c r="T11" s="175" t="n">
        <v>0</v>
      </c>
      <c r="U11" s="175" t="n">
        <v>250</v>
      </c>
      <c r="V11" s="170">
        <f>IFERROR(VLOOKUP($A:$A,CS!$A:$AK,35,FALSE),"")</f>
        <v/>
      </c>
      <c r="W11" s="170" t="inlineStr">
        <is>
          <t>Arunphat W. (Aiw)</t>
        </is>
      </c>
    </row>
    <row r="12">
      <c r="A12" s="143" t="inlineStr">
        <is>
          <t>SKHU9416651</t>
        </is>
      </c>
      <c r="B12" s="170" t="inlineStr">
        <is>
          <t>LCH04</t>
        </is>
      </c>
      <c r="C12" s="170" t="inlineStr">
        <is>
          <t>HASLS22260900220</t>
        </is>
      </c>
      <c r="D12" s="170" t="inlineStr">
        <is>
          <t>BDP ASIA-PACIFIC LTD.</t>
        </is>
      </c>
      <c r="E12" s="170" t="inlineStr">
        <is>
          <t>THLCH</t>
        </is>
      </c>
      <c r="F12" s="170" t="inlineStr">
        <is>
          <t>TWKEL</t>
        </is>
      </c>
      <c r="G12" s="170" t="inlineStr">
        <is>
          <t>45GP</t>
        </is>
      </c>
      <c r="H12" s="170" t="inlineStr">
        <is>
          <t>SWAT</t>
        </is>
      </c>
      <c r="I12" s="170" t="inlineStr">
        <is>
          <t>2610N</t>
        </is>
      </c>
      <c r="J12" s="173">
        <f>IFERROR(VLOOKUP($A:$A,CS!$A:$AK,18,FALSE),"")</f>
        <v/>
      </c>
      <c r="K12" s="173" t="n">
        <v>46307</v>
      </c>
      <c r="L12" s="174">
        <f>IFERROR(VLOOKUP($A:$A,CS!$A:$AK,20,FALSE),"")</f>
        <v/>
      </c>
      <c r="M12" s="173" t="n">
        <v>46299</v>
      </c>
      <c r="N12" s="173" t="n">
        <v>46307</v>
      </c>
      <c r="O12" s="174" t="n">
        <v>9</v>
      </c>
      <c r="P12" s="174" t="n">
        <v>7</v>
      </c>
      <c r="Q12" s="174" t="n">
        <v>2</v>
      </c>
      <c r="R12" s="175" t="n">
        <v>500</v>
      </c>
      <c r="S12" s="174" t="n">
        <v>5</v>
      </c>
      <c r="T12" s="175" t="n">
        <v>0</v>
      </c>
      <c r="U12" s="175" t="n">
        <v>500</v>
      </c>
      <c r="V12" s="170">
        <f>IFERROR(VLOOKUP($A:$A,CS!$A:$AK,35,FALSE),"")</f>
        <v/>
      </c>
      <c r="W12" s="170" t="inlineStr">
        <is>
          <t>Nustsireerach</t>
        </is>
      </c>
    </row>
    <row r="13">
      <c r="A13" s="143" t="inlineStr">
        <is>
          <t>SKLU0574680</t>
        </is>
      </c>
      <c r="B13" s="170" t="inlineStr">
        <is>
          <t>LCH04</t>
        </is>
      </c>
      <c r="C13" s="170" t="inlineStr">
        <is>
          <t>HASLS22260900495</t>
        </is>
      </c>
      <c r="D13" s="170" t="inlineStr">
        <is>
          <t>KWE-KINTETSU WORLD EXPRESS (THAILAND) CO., LTD.</t>
        </is>
      </c>
      <c r="E13" s="170" t="inlineStr">
        <is>
          <t>THLCH</t>
        </is>
      </c>
      <c r="F13" s="170" t="inlineStr">
        <is>
          <t>HKHKG</t>
        </is>
      </c>
      <c r="G13" s="170" t="inlineStr">
        <is>
          <t>22GP</t>
        </is>
      </c>
      <c r="H13" s="170" t="inlineStr">
        <is>
          <t>SWAT</t>
        </is>
      </c>
      <c r="I13" s="170" t="inlineStr">
        <is>
          <t>2610N</t>
        </is>
      </c>
      <c r="J13" s="173">
        <f>IFERROR(VLOOKUP($A:$A,CS!$A:$AK,18,FALSE),"")</f>
        <v/>
      </c>
      <c r="K13" s="173" t="n">
        <v>46307</v>
      </c>
      <c r="L13" s="174">
        <f>IFERROR(VLOOKUP($A:$A,CS!$A:$AK,20,FALSE),"")</f>
        <v/>
      </c>
      <c r="M13" s="173" t="n">
        <v>46298</v>
      </c>
      <c r="N13" s="173" t="n">
        <v>46307</v>
      </c>
      <c r="O13" s="174" t="n">
        <v>10</v>
      </c>
      <c r="P13" s="174" t="n">
        <v>7</v>
      </c>
      <c r="Q13" s="174" t="n">
        <v>3</v>
      </c>
      <c r="R13" s="175" t="n">
        <v>375</v>
      </c>
      <c r="S13" s="174" t="n">
        <v>5</v>
      </c>
      <c r="T13" s="175" t="n">
        <v>0</v>
      </c>
      <c r="U13" s="175" t="n">
        <v>375</v>
      </c>
      <c r="V13" s="170">
        <f>IFERROR(VLOOKUP($A:$A,CS!$A:$AK,35,FALSE),"")</f>
        <v/>
      </c>
      <c r="W13" s="170" t="inlineStr">
        <is>
          <t>Arunphat W. (Aiw)</t>
        </is>
      </c>
    </row>
    <row r="14">
      <c r="A14" s="143" t="inlineStr">
        <is>
          <t>SKLU0586300</t>
        </is>
      </c>
      <c r="B14" s="170" t="inlineStr">
        <is>
          <t>LCH04</t>
        </is>
      </c>
      <c r="C14" s="170" t="inlineStr">
        <is>
          <t>HASLS22260902438</t>
        </is>
      </c>
      <c r="D14" s="170" t="inlineStr">
        <is>
          <t>AWOT GLOBAL LOGISTICS (THAILAND) CO., LTD.</t>
        </is>
      </c>
      <c r="E14" s="170" t="inlineStr">
        <is>
          <t>THLCH</t>
        </is>
      </c>
      <c r="F14" s="170" t="inlineStr">
        <is>
          <t>JPTOS</t>
        </is>
      </c>
      <c r="G14" s="170" t="inlineStr">
        <is>
          <t>22GP</t>
        </is>
      </c>
      <c r="H14" s="170" t="inlineStr">
        <is>
          <t>SWAT</t>
        </is>
      </c>
      <c r="I14" s="170" t="inlineStr">
        <is>
          <t>2610N</t>
        </is>
      </c>
      <c r="J14" s="173">
        <f>IFERROR(VLOOKUP($A:$A,CS!$A:$AK,18,FALSE),"")</f>
        <v/>
      </c>
      <c r="K14" s="173" t="n">
        <v>46307</v>
      </c>
      <c r="L14" s="174">
        <f>IFERROR(VLOOKUP($A:$A,CS!$A:$AK,20,FALSE),"")</f>
        <v/>
      </c>
      <c r="M14" s="173" t="n">
        <v>46300</v>
      </c>
      <c r="N14" s="173" t="n">
        <v>46307</v>
      </c>
      <c r="O14" s="174" t="n">
        <v>8</v>
      </c>
      <c r="P14" s="174" t="n">
        <v>7</v>
      </c>
      <c r="Q14" s="174" t="n">
        <v>1</v>
      </c>
      <c r="R14" s="175" t="n">
        <v>125</v>
      </c>
      <c r="S14" s="174" t="n">
        <v>5</v>
      </c>
      <c r="T14" s="175" t="n">
        <v>0</v>
      </c>
      <c r="U14" s="175" t="n">
        <v>125</v>
      </c>
      <c r="V14" s="170">
        <f>IFERROR(VLOOKUP($A:$A,CS!$A:$AK,35,FALSE),"")</f>
        <v/>
      </c>
      <c r="W14" s="170" t="inlineStr">
        <is>
          <t>Pattarapong Saengthong</t>
        </is>
      </c>
    </row>
    <row r="15">
      <c r="A15" s="143" t="inlineStr">
        <is>
          <t>SKLU0731840</t>
        </is>
      </c>
      <c r="B15" s="170" t="inlineStr">
        <is>
          <t>LCH04</t>
        </is>
      </c>
      <c r="C15" s="170" t="inlineStr">
        <is>
          <t>HASLS22261000204</t>
        </is>
      </c>
      <c r="D15" s="170" t="inlineStr">
        <is>
          <t>SS EXCELLENT NETWORK CO.,LTD</t>
        </is>
      </c>
      <c r="E15" s="170" t="inlineStr">
        <is>
          <t>THLCH</t>
        </is>
      </c>
      <c r="F15" s="170" t="inlineStr">
        <is>
          <t>HKHKG</t>
        </is>
      </c>
      <c r="G15" s="170" t="inlineStr">
        <is>
          <t>22GP</t>
        </is>
      </c>
      <c r="H15" s="170" t="inlineStr">
        <is>
          <t>SWAT</t>
        </is>
      </c>
      <c r="I15" s="170" t="inlineStr">
        <is>
          <t>2610N</t>
        </is>
      </c>
      <c r="J15" s="173">
        <f>IFERROR(VLOOKUP($A:$A,CS!$A:$AK,18,FALSE),"")</f>
        <v/>
      </c>
      <c r="K15" s="173" t="n">
        <v>46307</v>
      </c>
      <c r="L15" s="174">
        <f>IFERROR(VLOOKUP($A:$A,CS!$A:$AK,20,FALSE),"")</f>
        <v/>
      </c>
      <c r="M15" s="173" t="n">
        <v>46300</v>
      </c>
      <c r="N15" s="173" t="n">
        <v>46307</v>
      </c>
      <c r="O15" s="174" t="n">
        <v>8</v>
      </c>
      <c r="P15" s="174" t="n">
        <v>7</v>
      </c>
      <c r="Q15" s="174" t="n">
        <v>1</v>
      </c>
      <c r="R15" s="175" t="n">
        <v>125</v>
      </c>
      <c r="S15" s="174" t="n">
        <v>5</v>
      </c>
      <c r="T15" s="175" t="n">
        <v>0</v>
      </c>
      <c r="U15" s="175" t="n">
        <v>125</v>
      </c>
      <c r="V15" s="170">
        <f>IFERROR(VLOOKUP($A:$A,CS!$A:$AK,35,FALSE),"")</f>
        <v/>
      </c>
      <c r="W15" s="170" t="inlineStr">
        <is>
          <t>Nannaapust Sukporntaweewat</t>
        </is>
      </c>
    </row>
    <row r="16">
      <c r="A16" s="143" t="inlineStr">
        <is>
          <t>SKLU0737915</t>
        </is>
      </c>
      <c r="B16" s="170" t="inlineStr">
        <is>
          <t>LCH04</t>
        </is>
      </c>
      <c r="C16" s="170" t="inlineStr">
        <is>
          <t>HASLS22260901481</t>
        </is>
      </c>
      <c r="D16" s="170" t="inlineStr">
        <is>
          <t>SS EXCELLENT NETWORK CO.,LTD</t>
        </is>
      </c>
      <c r="E16" s="170" t="inlineStr">
        <is>
          <t>THLCH</t>
        </is>
      </c>
      <c r="F16" s="170" t="inlineStr">
        <is>
          <t>HKHKG</t>
        </is>
      </c>
      <c r="G16" s="170" t="inlineStr">
        <is>
          <t>22GP</t>
        </is>
      </c>
      <c r="H16" s="170" t="inlineStr">
        <is>
          <t>SWAT</t>
        </is>
      </c>
      <c r="I16" s="170" t="inlineStr">
        <is>
          <t>2610N</t>
        </is>
      </c>
      <c r="J16" s="173">
        <f>IFERROR(VLOOKUP($A:$A,CS!$A:$AK,18,FALSE),"")</f>
        <v/>
      </c>
      <c r="K16" s="173" t="n">
        <v>46307</v>
      </c>
      <c r="L16" s="174">
        <f>IFERROR(VLOOKUP($A:$A,CS!$A:$AK,20,FALSE),"")</f>
        <v/>
      </c>
      <c r="M16" s="173" t="n">
        <v>46304</v>
      </c>
      <c r="N16" s="173" t="n">
        <v>46307</v>
      </c>
      <c r="O16" s="174" t="n">
        <v>4</v>
      </c>
      <c r="P16" s="174" t="n">
        <v>7</v>
      </c>
      <c r="Q16" s="174" t="n">
        <v>0</v>
      </c>
      <c r="R16" s="175" t="n">
        <v>0</v>
      </c>
      <c r="S16" s="174" t="n">
        <v>5</v>
      </c>
      <c r="T16" s="175" t="n">
        <v>0</v>
      </c>
      <c r="U16" s="175" t="n">
        <v>0</v>
      </c>
      <c r="V16" s="170">
        <f>IFERROR(VLOOKUP($A:$A,CS!$A:$AK,35,FALSE),"")</f>
        <v/>
      </c>
      <c r="W16" s="170" t="inlineStr">
        <is>
          <t>Nannaapust Sukporntaweewat</t>
        </is>
      </c>
    </row>
    <row r="17">
      <c r="A17" s="143" t="inlineStr">
        <is>
          <t>SKLU0740040</t>
        </is>
      </c>
      <c r="B17" s="170" t="inlineStr">
        <is>
          <t>LCH04</t>
        </is>
      </c>
      <c r="C17" s="170" t="inlineStr">
        <is>
          <t>HASLS22260901339</t>
        </is>
      </c>
      <c r="D17" s="170" t="inlineStr">
        <is>
          <t>MERCURIAL LOGISTICS  CO.,LTD</t>
        </is>
      </c>
      <c r="E17" s="170" t="inlineStr">
        <is>
          <t>THLCH</t>
        </is>
      </c>
      <c r="F17" s="170" t="inlineStr">
        <is>
          <t>TWKEL</t>
        </is>
      </c>
      <c r="G17" s="170" t="inlineStr">
        <is>
          <t>22GP</t>
        </is>
      </c>
      <c r="H17" s="170" t="inlineStr">
        <is>
          <t>SWAT</t>
        </is>
      </c>
      <c r="I17" s="170" t="inlineStr">
        <is>
          <t>2610N</t>
        </is>
      </c>
      <c r="J17" s="173">
        <f>IFERROR(VLOOKUP($A:$A,CS!$A:$AK,18,FALSE),"")</f>
        <v/>
      </c>
      <c r="K17" s="173" t="n">
        <v>46307</v>
      </c>
      <c r="L17" s="174">
        <f>IFERROR(VLOOKUP($A:$A,CS!$A:$AK,20,FALSE),"")</f>
        <v/>
      </c>
      <c r="M17" s="173" t="n">
        <v>46301</v>
      </c>
      <c r="N17" s="173" t="n">
        <v>46307</v>
      </c>
      <c r="O17" s="174" t="n">
        <v>7</v>
      </c>
      <c r="P17" s="174" t="n">
        <v>7</v>
      </c>
      <c r="Q17" s="174" t="n">
        <v>0</v>
      </c>
      <c r="R17" s="175" t="n">
        <v>0</v>
      </c>
      <c r="S17" s="174" t="n">
        <v>5</v>
      </c>
      <c r="T17" s="175" t="n">
        <v>0</v>
      </c>
      <c r="U17" s="175" t="n">
        <v>0</v>
      </c>
      <c r="V17" s="170">
        <f>IFERROR(VLOOKUP($A:$A,CS!$A:$AK,35,FALSE),"")</f>
        <v/>
      </c>
      <c r="W17" s="170" t="inlineStr">
        <is>
          <t>Nannaapust Sukporntaweewat</t>
        </is>
      </c>
    </row>
    <row r="18">
      <c r="A18" s="143" t="inlineStr">
        <is>
          <t>SKLU1434446</t>
        </is>
      </c>
      <c r="B18" s="170" t="inlineStr">
        <is>
          <t>LCH04</t>
        </is>
      </c>
      <c r="C18" s="170" t="inlineStr">
        <is>
          <t>HASLS22260901339</t>
        </is>
      </c>
      <c r="D18" s="170" t="inlineStr">
        <is>
          <t>MERCURIAL LOGISTICS  CO.,LTD</t>
        </is>
      </c>
      <c r="E18" s="170" t="inlineStr">
        <is>
          <t>THLCH</t>
        </is>
      </c>
      <c r="F18" s="170" t="inlineStr">
        <is>
          <t>TWKEL</t>
        </is>
      </c>
      <c r="G18" s="170" t="inlineStr">
        <is>
          <t>22GP</t>
        </is>
      </c>
      <c r="H18" s="170" t="inlineStr">
        <is>
          <t>SWAT</t>
        </is>
      </c>
      <c r="I18" s="170" t="inlineStr">
        <is>
          <t>2610N</t>
        </is>
      </c>
      <c r="J18" s="173">
        <f>IFERROR(VLOOKUP($A:$A,CS!$A:$AK,18,FALSE),"")</f>
        <v/>
      </c>
      <c r="K18" s="173" t="n">
        <v>46307</v>
      </c>
      <c r="L18" s="174">
        <f>IFERROR(VLOOKUP($A:$A,CS!$A:$AK,20,FALSE),"")</f>
        <v/>
      </c>
      <c r="M18" s="173" t="n">
        <v>46301</v>
      </c>
      <c r="N18" s="173" t="n">
        <v>46307</v>
      </c>
      <c r="O18" s="174" t="n">
        <v>7</v>
      </c>
      <c r="P18" s="174" t="n">
        <v>7</v>
      </c>
      <c r="Q18" s="174" t="n">
        <v>0</v>
      </c>
      <c r="R18" s="175" t="n">
        <v>0</v>
      </c>
      <c r="S18" s="174" t="n">
        <v>5</v>
      </c>
      <c r="T18" s="175" t="n">
        <v>0</v>
      </c>
      <c r="U18" s="175" t="n">
        <v>0</v>
      </c>
      <c r="V18" s="170">
        <f>IFERROR(VLOOKUP($A:$A,CS!$A:$AK,35,FALSE),"")</f>
        <v/>
      </c>
      <c r="W18" s="170" t="inlineStr">
        <is>
          <t>Nannaapust Sukporntaweewat</t>
        </is>
      </c>
    </row>
    <row r="19">
      <c r="A19" s="143" t="inlineStr">
        <is>
          <t>SKLU1520760</t>
        </is>
      </c>
      <c r="B19" s="170" t="inlineStr">
        <is>
          <t>LCH04</t>
        </is>
      </c>
      <c r="C19" s="170" t="inlineStr">
        <is>
          <t>HASLS22260900459</t>
        </is>
      </c>
      <c r="D19" s="170" t="inlineStr">
        <is>
          <t>THAI POLYCARBONATE CO., LTD.</t>
        </is>
      </c>
      <c r="E19" s="170" t="inlineStr">
        <is>
          <t>THLCH</t>
        </is>
      </c>
      <c r="F19" s="170" t="inlineStr">
        <is>
          <t>CNSHK</t>
        </is>
      </c>
      <c r="G19" s="170" t="inlineStr">
        <is>
          <t>22GP</t>
        </is>
      </c>
      <c r="H19" s="170" t="inlineStr">
        <is>
          <t>SWAT</t>
        </is>
      </c>
      <c r="I19" s="170" t="inlineStr">
        <is>
          <t>2610N</t>
        </is>
      </c>
      <c r="J19" s="173">
        <f>IFERROR(VLOOKUP($A:$A,CS!$A:$AK,18,FALSE),"")</f>
        <v/>
      </c>
      <c r="K19" s="173" t="n">
        <v>46307</v>
      </c>
      <c r="L19" s="174">
        <f>IFERROR(VLOOKUP($A:$A,CS!$A:$AK,20,FALSE),"")</f>
        <v/>
      </c>
      <c r="M19" s="173" t="n">
        <v>46299</v>
      </c>
      <c r="N19" s="173" t="n">
        <v>46307</v>
      </c>
      <c r="O19" s="174" t="n">
        <v>9</v>
      </c>
      <c r="P19" s="174" t="n">
        <v>7</v>
      </c>
      <c r="Q19" s="174" t="n">
        <v>2</v>
      </c>
      <c r="R19" s="175" t="n">
        <v>250</v>
      </c>
      <c r="S19" s="174" t="n">
        <v>5</v>
      </c>
      <c r="T19" s="175" t="n">
        <v>0</v>
      </c>
      <c r="U19" s="175" t="n">
        <v>250</v>
      </c>
      <c r="V19" s="170">
        <f>IFERROR(VLOOKUP($A:$A,CS!$A:$AK,35,FALSE),"")</f>
        <v/>
      </c>
      <c r="W19" s="170" t="inlineStr">
        <is>
          <t>Vilaiporn</t>
        </is>
      </c>
    </row>
    <row r="20">
      <c r="A20" s="143" t="inlineStr">
        <is>
          <t>SKLU1572229</t>
        </is>
      </c>
      <c r="B20" s="170" t="inlineStr">
        <is>
          <t>LCH04</t>
        </is>
      </c>
      <c r="C20" s="170" t="inlineStr">
        <is>
          <t>HASLS22260901258</t>
        </is>
      </c>
      <c r="D20" s="170" t="inlineStr">
        <is>
          <t>DOW CHEMICAL THAILAND LTD.</t>
        </is>
      </c>
      <c r="E20" s="170" t="inlineStr">
        <is>
          <t>THLCH</t>
        </is>
      </c>
      <c r="F20" s="170" t="inlineStr">
        <is>
          <t>JPNGO</t>
        </is>
      </c>
      <c r="G20" s="170" t="inlineStr">
        <is>
          <t>22GP</t>
        </is>
      </c>
      <c r="H20" s="170" t="inlineStr">
        <is>
          <t>SWAT</t>
        </is>
      </c>
      <c r="I20" s="170" t="inlineStr">
        <is>
          <t>2610N</t>
        </is>
      </c>
      <c r="J20" s="173">
        <f>IFERROR(VLOOKUP($A:$A,CS!$A:$AK,18,FALSE),"")</f>
        <v/>
      </c>
      <c r="K20" s="173" t="n">
        <v>46307</v>
      </c>
      <c r="L20" s="174">
        <f>IFERROR(VLOOKUP($A:$A,CS!$A:$AK,20,FALSE),"")</f>
        <v/>
      </c>
      <c r="M20" s="173" t="n">
        <v>46299</v>
      </c>
      <c r="N20" s="173" t="n">
        <v>46307</v>
      </c>
      <c r="O20" s="174" t="n">
        <v>9</v>
      </c>
      <c r="P20" s="174" t="n">
        <v>7</v>
      </c>
      <c r="Q20" s="174" t="n">
        <v>2</v>
      </c>
      <c r="R20" s="175" t="n">
        <v>250</v>
      </c>
      <c r="S20" s="174" t="n">
        <v>5</v>
      </c>
      <c r="T20" s="175" t="n">
        <v>0</v>
      </c>
      <c r="U20" s="175" t="n">
        <v>250</v>
      </c>
      <c r="V20" s="170">
        <f>IFERROR(VLOOKUP($A:$A,CS!$A:$AK,35,FALSE),"")</f>
        <v/>
      </c>
      <c r="W20" s="170" t="inlineStr">
        <is>
          <t>SEO JI YEONG</t>
        </is>
      </c>
    </row>
    <row r="21">
      <c r="A21" s="143" t="inlineStr">
        <is>
          <t>SKLU1804582</t>
        </is>
      </c>
      <c r="B21" s="170" t="inlineStr">
        <is>
          <t>LCH04</t>
        </is>
      </c>
      <c r="C21" s="170" t="inlineStr">
        <is>
          <t>HASLS22260902438</t>
        </is>
      </c>
      <c r="D21" s="170" t="inlineStr">
        <is>
          <t>AWOT GLOBAL LOGISTICS (THAILAND) CO., LTD.</t>
        </is>
      </c>
      <c r="E21" s="170" t="inlineStr">
        <is>
          <t>THLCH</t>
        </is>
      </c>
      <c r="F21" s="170" t="inlineStr">
        <is>
          <t>JPTOS</t>
        </is>
      </c>
      <c r="G21" s="170" t="inlineStr">
        <is>
          <t>22GP</t>
        </is>
      </c>
      <c r="H21" s="170" t="inlineStr">
        <is>
          <t>SWAT</t>
        </is>
      </c>
      <c r="I21" s="170" t="inlineStr">
        <is>
          <t>2610N</t>
        </is>
      </c>
      <c r="J21" s="173">
        <f>IFERROR(VLOOKUP($A:$A,CS!$A:$AK,18,FALSE),"")</f>
        <v/>
      </c>
      <c r="K21" s="173" t="n">
        <v>46307</v>
      </c>
      <c r="L21" s="174">
        <f>IFERROR(VLOOKUP($A:$A,CS!$A:$AK,20,FALSE),"")</f>
        <v/>
      </c>
      <c r="M21" s="173" t="n">
        <v>46300</v>
      </c>
      <c r="N21" s="173" t="n">
        <v>46307</v>
      </c>
      <c r="O21" s="174" t="n">
        <v>8</v>
      </c>
      <c r="P21" s="174" t="n">
        <v>7</v>
      </c>
      <c r="Q21" s="174" t="n">
        <v>1</v>
      </c>
      <c r="R21" s="175" t="n">
        <v>125</v>
      </c>
      <c r="S21" s="174" t="n">
        <v>5</v>
      </c>
      <c r="T21" s="175" t="n">
        <v>0</v>
      </c>
      <c r="U21" s="175" t="n">
        <v>125</v>
      </c>
      <c r="V21" s="170">
        <f>IFERROR(VLOOKUP($A:$A,CS!$A:$AK,35,FALSE),"")</f>
        <v/>
      </c>
      <c r="W21" s="170" t="inlineStr">
        <is>
          <t>Pattarapong Saengthong</t>
        </is>
      </c>
    </row>
    <row r="22">
      <c r="A22" s="143" t="inlineStr">
        <is>
          <t>SKLU1902193</t>
        </is>
      </c>
      <c r="B22" s="170" t="inlineStr">
        <is>
          <t>LCH04</t>
        </is>
      </c>
      <c r="C22" s="170" t="inlineStr">
        <is>
          <t>HASLS22260900906</t>
        </is>
      </c>
      <c r="D22" s="170" t="inlineStr">
        <is>
          <t>THAI POLYCARBONATE CO., LTD.</t>
        </is>
      </c>
      <c r="E22" s="170" t="inlineStr">
        <is>
          <t>THLCH</t>
        </is>
      </c>
      <c r="F22" s="170" t="inlineStr">
        <is>
          <t>CNSHK</t>
        </is>
      </c>
      <c r="G22" s="170" t="inlineStr">
        <is>
          <t>22GP</t>
        </is>
      </c>
      <c r="H22" s="170" t="inlineStr">
        <is>
          <t>SWAT</t>
        </is>
      </c>
      <c r="I22" s="170" t="inlineStr">
        <is>
          <t>2610N</t>
        </is>
      </c>
      <c r="J22" s="173">
        <f>IFERROR(VLOOKUP($A:$A,CS!$A:$AK,18,FALSE),"")</f>
        <v/>
      </c>
      <c r="K22" s="173" t="n">
        <v>46307</v>
      </c>
      <c r="L22" s="174">
        <f>IFERROR(VLOOKUP($A:$A,CS!$A:$AK,20,FALSE),"")</f>
        <v/>
      </c>
      <c r="M22" s="173" t="n">
        <v>46300</v>
      </c>
      <c r="N22" s="173" t="n">
        <v>46307</v>
      </c>
      <c r="O22" s="174" t="n">
        <v>8</v>
      </c>
      <c r="P22" s="174" t="n">
        <v>7</v>
      </c>
      <c r="Q22" s="174" t="n">
        <v>1</v>
      </c>
      <c r="R22" s="175" t="n">
        <v>125</v>
      </c>
      <c r="S22" s="174" t="n">
        <v>5</v>
      </c>
      <c r="T22" s="175" t="n">
        <v>0</v>
      </c>
      <c r="U22" s="175" t="n">
        <v>125</v>
      </c>
      <c r="V22" s="170">
        <f>IFERROR(VLOOKUP($A:$A,CS!$A:$AK,35,FALSE),"")</f>
        <v/>
      </c>
      <c r="W22" s="170" t="inlineStr">
        <is>
          <t>Vilaiporn</t>
        </is>
      </c>
    </row>
    <row r="23">
      <c r="A23" s="143" t="inlineStr">
        <is>
          <t>SKLU1943905</t>
        </is>
      </c>
      <c r="B23" s="170" t="inlineStr">
        <is>
          <t>LCH04</t>
        </is>
      </c>
      <c r="C23" s="170" t="inlineStr">
        <is>
          <t>HASLS22260900459</t>
        </is>
      </c>
      <c r="D23" s="170" t="inlineStr">
        <is>
          <t>THAI POLYCARBONATE CO., LTD.</t>
        </is>
      </c>
      <c r="E23" s="170" t="inlineStr">
        <is>
          <t>THLCH</t>
        </is>
      </c>
      <c r="F23" s="170" t="inlineStr">
        <is>
          <t>CNSHK</t>
        </is>
      </c>
      <c r="G23" s="170" t="inlineStr">
        <is>
          <t>22GP</t>
        </is>
      </c>
      <c r="H23" s="170" t="inlineStr">
        <is>
          <t>SWAT</t>
        </is>
      </c>
      <c r="I23" s="170" t="inlineStr">
        <is>
          <t>2610N</t>
        </is>
      </c>
      <c r="J23" s="173">
        <f>IFERROR(VLOOKUP($A:$A,CS!$A:$AK,18,FALSE),"")</f>
        <v/>
      </c>
      <c r="K23" s="173" t="n">
        <v>46307</v>
      </c>
      <c r="L23" s="174">
        <f>IFERROR(VLOOKUP($A:$A,CS!$A:$AK,20,FALSE),"")</f>
        <v/>
      </c>
      <c r="M23" s="173" t="n">
        <v>46299</v>
      </c>
      <c r="N23" s="173" t="n">
        <v>46307</v>
      </c>
      <c r="O23" s="174" t="n">
        <v>9</v>
      </c>
      <c r="P23" s="174" t="n">
        <v>7</v>
      </c>
      <c r="Q23" s="174" t="n">
        <v>2</v>
      </c>
      <c r="R23" s="175" t="n">
        <v>250</v>
      </c>
      <c r="S23" s="174" t="n">
        <v>5</v>
      </c>
      <c r="T23" s="175" t="n">
        <v>0</v>
      </c>
      <c r="U23" s="175" t="n">
        <v>250</v>
      </c>
      <c r="V23" s="170">
        <f>IFERROR(VLOOKUP($A:$A,CS!$A:$AK,35,FALSE),"")</f>
        <v/>
      </c>
      <c r="W23" s="170" t="inlineStr">
        <is>
          <t>Vilaiporn</t>
        </is>
      </c>
    </row>
    <row r="24">
      <c r="A24" s="143" t="inlineStr">
        <is>
          <t>SKLU1964889</t>
        </is>
      </c>
      <c r="B24" s="170" t="inlineStr">
        <is>
          <t>LCH04</t>
        </is>
      </c>
      <c r="C24" s="170" t="inlineStr">
        <is>
          <t>HASLS22260900459</t>
        </is>
      </c>
      <c r="D24" s="170" t="inlineStr">
        <is>
          <t>THAI POLYCARBONATE CO., LTD.</t>
        </is>
      </c>
      <c r="E24" s="170" t="inlineStr">
        <is>
          <t>THLCH</t>
        </is>
      </c>
      <c r="F24" s="170" t="inlineStr">
        <is>
          <t>CNSHK</t>
        </is>
      </c>
      <c r="G24" s="170" t="inlineStr">
        <is>
          <t>22GP</t>
        </is>
      </c>
      <c r="H24" s="170" t="inlineStr">
        <is>
          <t>SWAT</t>
        </is>
      </c>
      <c r="I24" s="170" t="inlineStr">
        <is>
          <t>2610N</t>
        </is>
      </c>
      <c r="J24" s="173">
        <f>IFERROR(VLOOKUP($A:$A,CS!$A:$AK,18,FALSE),"")</f>
        <v/>
      </c>
      <c r="K24" s="173" t="n">
        <v>46307</v>
      </c>
      <c r="L24" s="174">
        <f>IFERROR(VLOOKUP($A:$A,CS!$A:$AK,20,FALSE),"")</f>
        <v/>
      </c>
      <c r="M24" s="173" t="n">
        <v>46299</v>
      </c>
      <c r="N24" s="173" t="n">
        <v>46307</v>
      </c>
      <c r="O24" s="174" t="n">
        <v>9</v>
      </c>
      <c r="P24" s="174" t="n">
        <v>7</v>
      </c>
      <c r="Q24" s="174" t="n">
        <v>2</v>
      </c>
      <c r="R24" s="175" t="n">
        <v>250</v>
      </c>
      <c r="S24" s="174" t="n">
        <v>5</v>
      </c>
      <c r="T24" s="175" t="n">
        <v>0</v>
      </c>
      <c r="U24" s="175" t="n">
        <v>250</v>
      </c>
      <c r="V24" s="170">
        <f>IFERROR(VLOOKUP($A:$A,CS!$A:$AK,35,FALSE),"")</f>
        <v/>
      </c>
      <c r="W24" s="170" t="inlineStr">
        <is>
          <t>Vilaiporn</t>
        </is>
      </c>
    </row>
    <row r="25">
      <c r="A25" s="143" t="inlineStr">
        <is>
          <t>SKLU1979467</t>
        </is>
      </c>
      <c r="B25" s="170" t="inlineStr">
        <is>
          <t>LCH04</t>
        </is>
      </c>
      <c r="C25" s="170" t="inlineStr">
        <is>
          <t>HASLS22260900459</t>
        </is>
      </c>
      <c r="D25" s="170" t="inlineStr">
        <is>
          <t>THAI POLYCARBONATE CO., LTD.</t>
        </is>
      </c>
      <c r="E25" s="170" t="inlineStr">
        <is>
          <t>THLCH</t>
        </is>
      </c>
      <c r="F25" s="170" t="inlineStr">
        <is>
          <t>CNSHK</t>
        </is>
      </c>
      <c r="G25" s="170" t="inlineStr">
        <is>
          <t>22GP</t>
        </is>
      </c>
      <c r="H25" s="170" t="inlineStr">
        <is>
          <t>SWAT</t>
        </is>
      </c>
      <c r="I25" s="170" t="inlineStr">
        <is>
          <t>2610N</t>
        </is>
      </c>
      <c r="J25" s="173">
        <f>IFERROR(VLOOKUP($A:$A,CS!$A:$AK,18,FALSE),"")</f>
        <v/>
      </c>
      <c r="K25" s="173" t="n">
        <v>46307</v>
      </c>
      <c r="L25" s="174">
        <f>IFERROR(VLOOKUP($A:$A,CS!$A:$AK,20,FALSE),"")</f>
        <v/>
      </c>
      <c r="M25" s="173" t="n">
        <v>46300</v>
      </c>
      <c r="N25" s="173" t="n">
        <v>46307</v>
      </c>
      <c r="O25" s="174" t="n">
        <v>8</v>
      </c>
      <c r="P25" s="174" t="n">
        <v>7</v>
      </c>
      <c r="Q25" s="174" t="n">
        <v>1</v>
      </c>
      <c r="R25" s="175" t="n">
        <v>125</v>
      </c>
      <c r="S25" s="174" t="n">
        <v>5</v>
      </c>
      <c r="T25" s="175" t="n">
        <v>0</v>
      </c>
      <c r="U25" s="175" t="n">
        <v>125</v>
      </c>
      <c r="V25" s="170">
        <f>IFERROR(VLOOKUP($A:$A,CS!$A:$AK,35,FALSE),"")</f>
        <v/>
      </c>
      <c r="W25" s="170" t="inlineStr">
        <is>
          <t>Vilaiporn</t>
        </is>
      </c>
    </row>
    <row r="26">
      <c r="A26" s="143" t="inlineStr">
        <is>
          <t>SKLU2016327</t>
        </is>
      </c>
      <c r="B26" s="170" t="inlineStr">
        <is>
          <t>LCH04</t>
        </is>
      </c>
      <c r="C26" s="170" t="inlineStr">
        <is>
          <t>HASLS22260902438</t>
        </is>
      </c>
      <c r="D26" s="170" t="inlineStr">
        <is>
          <t>AWOT GLOBAL LOGISTICS (THAILAND) CO., LTD.</t>
        </is>
      </c>
      <c r="E26" s="170" t="inlineStr">
        <is>
          <t>THLCH</t>
        </is>
      </c>
      <c r="F26" s="170" t="inlineStr">
        <is>
          <t>JPTOS</t>
        </is>
      </c>
      <c r="G26" s="170" t="inlineStr">
        <is>
          <t>22GP</t>
        </is>
      </c>
      <c r="H26" s="170" t="inlineStr">
        <is>
          <t>SWAT</t>
        </is>
      </c>
      <c r="I26" s="170" t="inlineStr">
        <is>
          <t>2610N</t>
        </is>
      </c>
      <c r="J26" s="173">
        <f>IFERROR(VLOOKUP($A:$A,CS!$A:$AK,18,FALSE),"")</f>
        <v/>
      </c>
      <c r="K26" s="173" t="n">
        <v>46307</v>
      </c>
      <c r="L26" s="174">
        <f>IFERROR(VLOOKUP($A:$A,CS!$A:$AK,20,FALSE),"")</f>
        <v/>
      </c>
      <c r="M26" s="173" t="n">
        <v>46300</v>
      </c>
      <c r="N26" s="173" t="n">
        <v>46307</v>
      </c>
      <c r="O26" s="174" t="n">
        <v>8</v>
      </c>
      <c r="P26" s="174" t="n">
        <v>7</v>
      </c>
      <c r="Q26" s="174" t="n">
        <v>1</v>
      </c>
      <c r="R26" s="175" t="n">
        <v>125</v>
      </c>
      <c r="S26" s="174" t="n">
        <v>5</v>
      </c>
      <c r="T26" s="175" t="n">
        <v>0</v>
      </c>
      <c r="U26" s="175" t="n">
        <v>125</v>
      </c>
      <c r="V26" s="170">
        <f>IFERROR(VLOOKUP($A:$A,CS!$A:$AK,35,FALSE),"")</f>
        <v/>
      </c>
      <c r="W26" s="170" t="inlineStr">
        <is>
          <t>Pattarapong Saengthong</t>
        </is>
      </c>
    </row>
    <row r="27">
      <c r="A27" s="143" t="inlineStr">
        <is>
          <t>SKLU2115850</t>
        </is>
      </c>
      <c r="B27" s="170" t="inlineStr">
        <is>
          <t>LCH04</t>
        </is>
      </c>
      <c r="C27" s="170" t="inlineStr">
        <is>
          <t>HASLS22260900459</t>
        </is>
      </c>
      <c r="D27" s="170" t="inlineStr">
        <is>
          <t>THAI POLYCARBONATE CO., LTD.</t>
        </is>
      </c>
      <c r="E27" s="170" t="inlineStr">
        <is>
          <t>THLCH</t>
        </is>
      </c>
      <c r="F27" s="170" t="inlineStr">
        <is>
          <t>CNSHK</t>
        </is>
      </c>
      <c r="G27" s="170" t="inlineStr">
        <is>
          <t>22GP</t>
        </is>
      </c>
      <c r="H27" s="170" t="inlineStr">
        <is>
          <t>SWAT</t>
        </is>
      </c>
      <c r="I27" s="170" t="inlineStr">
        <is>
          <t>2610N</t>
        </is>
      </c>
      <c r="J27" s="173">
        <f>IFERROR(VLOOKUP($A:$A,CS!$A:$AK,18,FALSE),"")</f>
        <v/>
      </c>
      <c r="K27" s="173" t="n">
        <v>46307</v>
      </c>
      <c r="L27" s="174">
        <f>IFERROR(VLOOKUP($A:$A,CS!$A:$AK,20,FALSE),"")</f>
        <v/>
      </c>
      <c r="M27" s="173" t="n">
        <v>46299</v>
      </c>
      <c r="N27" s="173" t="n">
        <v>46307</v>
      </c>
      <c r="O27" s="174" t="n">
        <v>9</v>
      </c>
      <c r="P27" s="174" t="n">
        <v>7</v>
      </c>
      <c r="Q27" s="174" t="n">
        <v>2</v>
      </c>
      <c r="R27" s="175" t="n">
        <v>250</v>
      </c>
      <c r="S27" s="174" t="n">
        <v>5</v>
      </c>
      <c r="T27" s="175" t="n">
        <v>0</v>
      </c>
      <c r="U27" s="175" t="n">
        <v>250</v>
      </c>
      <c r="V27" s="170">
        <f>IFERROR(VLOOKUP($A:$A,CS!$A:$AK,35,FALSE),"")</f>
        <v/>
      </c>
      <c r="W27" s="170" t="inlineStr">
        <is>
          <t>Vilaiporn</t>
        </is>
      </c>
    </row>
    <row r="28">
      <c r="A28" s="143" t="inlineStr">
        <is>
          <t>SKLU2300210</t>
        </is>
      </c>
      <c r="B28" s="170" t="inlineStr">
        <is>
          <t>LCH04</t>
        </is>
      </c>
      <c r="C28" s="170" t="inlineStr">
        <is>
          <t>HASLS22261000076</t>
        </is>
      </c>
      <c r="D28" s="170" t="inlineStr">
        <is>
          <t>UBE CHEMICALS (ASIA) PUBLIC COMPANY LIMITED</t>
        </is>
      </c>
      <c r="E28" s="170" t="inlineStr">
        <is>
          <t>THLCH</t>
        </is>
      </c>
      <c r="F28" s="170" t="inlineStr">
        <is>
          <t>TWKEL</t>
        </is>
      </c>
      <c r="G28" s="170" t="inlineStr">
        <is>
          <t>22GP</t>
        </is>
      </c>
      <c r="H28" s="170" t="inlineStr">
        <is>
          <t>SWAT</t>
        </is>
      </c>
      <c r="I28" s="170" t="inlineStr">
        <is>
          <t>2610N</t>
        </is>
      </c>
      <c r="J28" s="173">
        <f>IFERROR(VLOOKUP($A:$A,CS!$A:$AK,18,FALSE),"")</f>
        <v/>
      </c>
      <c r="K28" s="173" t="n">
        <v>46307</v>
      </c>
      <c r="L28" s="174">
        <f>IFERROR(VLOOKUP($A:$A,CS!$A:$AK,20,FALSE),"")</f>
        <v/>
      </c>
      <c r="M28" s="173" t="n">
        <v>46300</v>
      </c>
      <c r="N28" s="173" t="n">
        <v>46307</v>
      </c>
      <c r="O28" s="174" t="n">
        <v>8</v>
      </c>
      <c r="P28" s="174" t="n">
        <v>7</v>
      </c>
      <c r="Q28" s="174" t="n">
        <v>1</v>
      </c>
      <c r="R28" s="175" t="n">
        <v>125</v>
      </c>
      <c r="S28" s="174" t="n">
        <v>5</v>
      </c>
      <c r="T28" s="175" t="n">
        <v>0</v>
      </c>
      <c r="U28" s="175" t="n">
        <v>125</v>
      </c>
      <c r="V28" s="170">
        <f>IFERROR(VLOOKUP($A:$A,CS!$A:$AK,35,FALSE),"")</f>
        <v/>
      </c>
      <c r="W28" s="170" t="inlineStr">
        <is>
          <t>Tarn(Supaporn)</t>
        </is>
      </c>
    </row>
    <row r="29">
      <c r="A29" s="143" t="inlineStr">
        <is>
          <t>SKLU2323724</t>
        </is>
      </c>
      <c r="B29" s="170" t="inlineStr">
        <is>
          <t>LCH04</t>
        </is>
      </c>
      <c r="C29" s="170" t="inlineStr">
        <is>
          <t>HASLS22260802276</t>
        </is>
      </c>
      <c r="D29" s="170" t="inlineStr">
        <is>
          <t>COSMO LOGISTICS CO., LTD.</t>
        </is>
      </c>
      <c r="E29" s="170" t="inlineStr">
        <is>
          <t>THLCH</t>
        </is>
      </c>
      <c r="F29" s="170" t="inlineStr">
        <is>
          <t>TWKEL</t>
        </is>
      </c>
      <c r="G29" s="170" t="inlineStr">
        <is>
          <t>22GP</t>
        </is>
      </c>
      <c r="H29" s="170" t="inlineStr">
        <is>
          <t>SWAT</t>
        </is>
      </c>
      <c r="I29" s="170" t="inlineStr">
        <is>
          <t>2610N</t>
        </is>
      </c>
      <c r="J29" s="173">
        <f>IFERROR(VLOOKUP($A:$A,CS!$A:$AK,18,FALSE),"")</f>
        <v/>
      </c>
      <c r="K29" s="173" t="n">
        <v>46307</v>
      </c>
      <c r="L29" s="174">
        <f>IFERROR(VLOOKUP($A:$A,CS!$A:$AK,20,FALSE),"")</f>
        <v/>
      </c>
      <c r="M29" s="173" t="n">
        <v>46300</v>
      </c>
      <c r="N29" s="173" t="n">
        <v>46307</v>
      </c>
      <c r="O29" s="174" t="n">
        <v>8</v>
      </c>
      <c r="P29" s="174" t="n">
        <v>7</v>
      </c>
      <c r="Q29" s="174" t="n">
        <v>1</v>
      </c>
      <c r="R29" s="175" t="n">
        <v>125</v>
      </c>
      <c r="S29" s="174" t="n">
        <v>5</v>
      </c>
      <c r="T29" s="175" t="n">
        <v>0</v>
      </c>
      <c r="U29" s="175" t="n">
        <v>125</v>
      </c>
      <c r="V29" s="170">
        <f>IFERROR(VLOOKUP($A:$A,CS!$A:$AK,35,FALSE),"")</f>
        <v/>
      </c>
      <c r="W29" s="170" t="inlineStr">
        <is>
          <t>Sukunpoj Damrongying</t>
        </is>
      </c>
    </row>
    <row r="30">
      <c r="A30" s="143" t="inlineStr">
        <is>
          <t>SKRU9908013</t>
        </is>
      </c>
      <c r="B30" s="170" t="inlineStr">
        <is>
          <t>LCH04</t>
        </is>
      </c>
      <c r="C30" s="170" t="inlineStr">
        <is>
          <t>HASLS22260902538</t>
        </is>
      </c>
      <c r="D30" s="170" t="inlineStr">
        <is>
          <t>LAND SEA SKY CO., LTD.</t>
        </is>
      </c>
      <c r="E30" s="170" t="inlineStr">
        <is>
          <t>THLCH</t>
        </is>
      </c>
      <c r="F30" s="170" t="inlineStr">
        <is>
          <t>KRPUS</t>
        </is>
      </c>
      <c r="G30" s="170" t="inlineStr">
        <is>
          <t>45RE</t>
        </is>
      </c>
      <c r="H30" s="170" t="inlineStr">
        <is>
          <t>SWAT</t>
        </is>
      </c>
      <c r="I30" s="170" t="inlineStr">
        <is>
          <t>2610N</t>
        </is>
      </c>
      <c r="J30" s="173">
        <f>IFERROR(VLOOKUP($A:$A,CS!$A:$AK,18,FALSE),"")</f>
        <v/>
      </c>
      <c r="K30" s="173" t="n">
        <v>46307</v>
      </c>
      <c r="L30" s="174">
        <f>IFERROR(VLOOKUP($A:$A,CS!$A:$AK,20,FALSE),"")</f>
        <v/>
      </c>
      <c r="M30" s="173" t="n">
        <v>46301</v>
      </c>
      <c r="N30" s="173" t="n">
        <v>46307</v>
      </c>
      <c r="O30" s="174" t="n">
        <v>7</v>
      </c>
      <c r="P30" s="174" t="n">
        <v>7</v>
      </c>
      <c r="Q30" s="174" t="n">
        <v>0</v>
      </c>
      <c r="R30" s="175" t="n">
        <v>0</v>
      </c>
      <c r="S30" s="174" t="n">
        <v>3</v>
      </c>
      <c r="T30" s="175" t="n">
        <v>0</v>
      </c>
      <c r="U30" s="175" t="n">
        <v>0</v>
      </c>
      <c r="V30" s="170">
        <f>IFERROR(VLOOKUP($A:$A,CS!$A:$AK,35,FALSE),"")</f>
        <v/>
      </c>
      <c r="W30" s="170" t="inlineStr">
        <is>
          <t>Sukunpoj Damrongying</t>
        </is>
      </c>
    </row>
    <row r="31">
      <c r="A31" s="143" t="inlineStr">
        <is>
          <t>UETU2424695</t>
        </is>
      </c>
      <c r="B31" s="170" t="inlineStr">
        <is>
          <t>LCH04</t>
        </is>
      </c>
      <c r="C31" s="170" t="inlineStr">
        <is>
          <t>HASLS22260901481</t>
        </is>
      </c>
      <c r="D31" s="170" t="inlineStr">
        <is>
          <t>SS EXCELLENT NETWORK CO.,LTD</t>
        </is>
      </c>
      <c r="E31" s="170" t="inlineStr">
        <is>
          <t>THLCH</t>
        </is>
      </c>
      <c r="F31" s="170" t="inlineStr">
        <is>
          <t>HKHKG</t>
        </is>
      </c>
      <c r="G31" s="170" t="inlineStr">
        <is>
          <t>22GP</t>
        </is>
      </c>
      <c r="H31" s="170" t="inlineStr">
        <is>
          <t>SWAT</t>
        </is>
      </c>
      <c r="I31" s="170" t="inlineStr">
        <is>
          <t>2610N</t>
        </is>
      </c>
      <c r="J31" s="173">
        <f>IFERROR(VLOOKUP($A:$A,CS!$A:$AK,18,FALSE),"")</f>
        <v/>
      </c>
      <c r="K31" s="173" t="n">
        <v>46307</v>
      </c>
      <c r="L31" s="174">
        <f>IFERROR(VLOOKUP($A:$A,CS!$A:$AK,20,FALSE),"")</f>
        <v/>
      </c>
      <c r="M31" s="173" t="n">
        <v>46304</v>
      </c>
      <c r="N31" s="173" t="n">
        <v>46307</v>
      </c>
      <c r="O31" s="174" t="n">
        <v>4</v>
      </c>
      <c r="P31" s="174" t="n">
        <v>7</v>
      </c>
      <c r="Q31" s="174" t="n">
        <v>0</v>
      </c>
      <c r="R31" s="175" t="n">
        <v>0</v>
      </c>
      <c r="S31" s="174" t="n">
        <v>5</v>
      </c>
      <c r="T31" s="175" t="n">
        <v>0</v>
      </c>
      <c r="U31" s="175" t="n">
        <v>0</v>
      </c>
      <c r="V31" s="170">
        <f>IFERROR(VLOOKUP($A:$A,CS!$A:$AK,35,FALSE),"")</f>
        <v/>
      </c>
      <c r="W31" s="170" t="inlineStr">
        <is>
          <t>Nannaapust Sukporntaweewat</t>
        </is>
      </c>
    </row>
    <row r="32" ht="16.5" customHeight="1">
      <c r="A32" s="96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96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96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96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96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96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96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96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58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58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58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58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58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58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58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58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58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58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58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58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58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58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58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58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58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58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58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58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58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58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58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58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58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58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58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58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58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58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58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58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58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58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58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58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58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58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58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58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58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58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58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58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58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58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58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58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58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58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58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58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58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58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58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58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58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58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58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58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58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58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58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58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58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58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58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58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58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58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58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58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58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58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58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58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58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58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58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58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58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58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58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58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58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58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58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58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58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58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58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58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58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58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58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58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58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58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58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58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58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58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58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58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58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58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58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58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58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58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58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58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58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58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58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58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58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58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58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58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58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58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58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58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58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58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58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58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58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58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58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58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58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58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58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58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58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58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58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58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58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58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58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58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58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58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58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58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58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58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58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58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58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58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58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58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58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58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58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58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58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58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58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58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58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58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58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58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58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58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58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58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58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58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58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58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58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58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58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58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58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58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58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58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58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58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58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58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58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58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58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58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58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58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58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58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58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58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58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58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58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58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58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58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58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58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58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58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58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58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58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58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58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58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58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58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58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58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58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58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58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58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58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58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58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58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58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58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58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58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58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58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58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58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58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58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58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58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58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58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58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58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58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58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58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58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58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58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58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58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58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58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58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58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58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58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58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58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58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58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58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58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58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58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58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58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58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58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58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58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58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58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58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58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58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58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58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58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58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58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58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58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58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58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58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58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58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58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58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58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58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58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58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58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58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58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58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58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58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58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58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58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58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58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58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58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58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58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58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58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58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58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58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58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58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58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58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58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58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58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58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58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58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58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58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58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58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58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58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58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58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58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58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58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58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58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58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58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58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58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58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58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58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58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58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58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58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58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58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58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58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58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58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58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58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58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58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58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58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58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58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58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58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58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58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58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58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58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58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58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58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58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58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58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58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58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58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58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58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58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58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58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58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58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58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58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58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58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58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58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58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58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58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58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58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58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58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58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58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58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58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58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58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58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58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58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58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58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58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58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58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58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58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58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58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58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58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58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58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58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58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58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58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58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58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58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58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58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58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58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58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58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58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58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58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58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89" t="n"/>
      <c r="B476" s="85" t="n"/>
      <c r="C476" s="85" t="n"/>
      <c r="D476" s="90" t="n"/>
      <c r="E476" s="85" t="n"/>
      <c r="F476" s="85" t="n"/>
      <c r="G476" s="85" t="n"/>
      <c r="H476" s="85" t="n"/>
      <c r="I476" s="85" t="n"/>
      <c r="J476" s="69" t="n"/>
      <c r="K476" s="85" t="n"/>
      <c r="L476" s="91" t="n"/>
      <c r="M476" s="85" t="n"/>
      <c r="N476" s="85" t="n"/>
      <c r="O476" s="91" t="n"/>
      <c r="P476" s="92" t="n"/>
      <c r="Q476" s="91" t="n"/>
      <c r="R476" s="91" t="n"/>
      <c r="S476" s="92" t="n"/>
      <c r="T476" s="93" t="n"/>
      <c r="U476" s="91" t="n"/>
      <c r="V476" s="159" t="n"/>
      <c r="W476" s="92" t="n"/>
    </row>
    <row r="477" ht="16.5" customHeight="1">
      <c r="A477" s="89" t="n"/>
      <c r="B477" s="85" t="n"/>
      <c r="C477" s="85" t="n"/>
      <c r="D477" s="90" t="n"/>
      <c r="E477" s="85" t="n"/>
      <c r="F477" s="85" t="n"/>
      <c r="G477" s="85" t="n"/>
      <c r="H477" s="85" t="n"/>
      <c r="I477" s="85" t="n"/>
      <c r="J477" s="69" t="n"/>
      <c r="K477" s="85" t="n"/>
      <c r="L477" s="91" t="n"/>
      <c r="M477" s="85" t="n"/>
      <c r="N477" s="85" t="n"/>
      <c r="O477" s="91" t="n"/>
      <c r="P477" s="92" t="n"/>
      <c r="Q477" s="91" t="n"/>
      <c r="R477" s="91" t="n"/>
      <c r="S477" s="92" t="n"/>
      <c r="T477" s="93" t="n"/>
      <c r="U477" s="91" t="n"/>
      <c r="V477" s="160" t="n"/>
      <c r="W477" s="92" t="n"/>
    </row>
    <row r="478" ht="16.5" customHeight="1">
      <c r="A478" s="89" t="n"/>
      <c r="B478" s="85" t="n"/>
      <c r="C478" s="85" t="n"/>
      <c r="D478" s="90" t="n"/>
      <c r="E478" s="85" t="n"/>
      <c r="F478" s="85" t="n"/>
      <c r="G478" s="85" t="n"/>
      <c r="H478" s="85" t="n"/>
      <c r="I478" s="85" t="n"/>
      <c r="J478" s="69" t="n"/>
      <c r="K478" s="85" t="n"/>
      <c r="L478" s="91" t="n"/>
      <c r="M478" s="85" t="n"/>
      <c r="N478" s="85" t="n"/>
      <c r="O478" s="91" t="n"/>
      <c r="P478" s="92" t="n"/>
      <c r="Q478" s="91" t="n"/>
      <c r="R478" s="91" t="n"/>
      <c r="S478" s="92" t="n"/>
      <c r="T478" s="93" t="n"/>
      <c r="U478" s="91" t="n"/>
      <c r="V478" s="160" t="n"/>
      <c r="W478" s="92" t="n"/>
    </row>
    <row r="479" ht="16.5" customHeight="1">
      <c r="A479" s="89" t="n"/>
      <c r="B479" s="85" t="n"/>
      <c r="C479" s="85" t="n"/>
      <c r="D479" s="90" t="n"/>
      <c r="E479" s="85" t="n"/>
      <c r="F479" s="85" t="n"/>
      <c r="G479" s="85" t="n"/>
      <c r="H479" s="85" t="n"/>
      <c r="I479" s="85" t="n"/>
      <c r="J479" s="69" t="n"/>
      <c r="K479" s="85" t="n"/>
      <c r="L479" s="91" t="n"/>
      <c r="M479" s="85" t="n"/>
      <c r="N479" s="85" t="n"/>
      <c r="O479" s="91" t="n"/>
      <c r="P479" s="92" t="n"/>
      <c r="Q479" s="91" t="n"/>
      <c r="R479" s="91" t="n"/>
      <c r="S479" s="92" t="n"/>
      <c r="T479" s="93" t="n"/>
      <c r="U479" s="91" t="n"/>
      <c r="V479" s="160" t="n"/>
      <c r="W479" s="92" t="n"/>
    </row>
    <row r="480" ht="16.5" customHeight="1">
      <c r="A480" s="89" t="n"/>
      <c r="B480" s="85" t="n"/>
      <c r="C480" s="85" t="n"/>
      <c r="D480" s="90" t="n"/>
      <c r="E480" s="85" t="n"/>
      <c r="F480" s="85" t="n"/>
      <c r="G480" s="85" t="n"/>
      <c r="H480" s="85" t="n"/>
      <c r="I480" s="85" t="n"/>
      <c r="J480" s="69" t="n"/>
      <c r="K480" s="85" t="n"/>
      <c r="L480" s="91" t="n"/>
      <c r="M480" s="85" t="n"/>
      <c r="N480" s="85" t="n"/>
      <c r="O480" s="91" t="n"/>
      <c r="P480" s="92" t="n"/>
      <c r="Q480" s="91" t="n"/>
      <c r="R480" s="91" t="n"/>
      <c r="S480" s="92" t="n"/>
      <c r="T480" s="93" t="n"/>
      <c r="U480" s="91" t="n"/>
      <c r="V480" s="160" t="n"/>
      <c r="W480" s="92" t="n"/>
    </row>
    <row r="481" ht="16.5" customHeight="1">
      <c r="A481" s="89" t="n"/>
      <c r="B481" s="85" t="n"/>
      <c r="C481" s="85" t="n"/>
      <c r="D481" s="90" t="n"/>
      <c r="E481" s="85" t="n"/>
      <c r="F481" s="85" t="n"/>
      <c r="G481" s="85" t="n"/>
      <c r="H481" s="85" t="n"/>
      <c r="I481" s="85" t="n"/>
      <c r="J481" s="69" t="n"/>
      <c r="K481" s="85" t="n"/>
      <c r="L481" s="91" t="n"/>
      <c r="M481" s="85" t="n"/>
      <c r="N481" s="85" t="n"/>
      <c r="O481" s="91" t="n"/>
      <c r="P481" s="92" t="n"/>
      <c r="Q481" s="91" t="n"/>
      <c r="R481" s="91" t="n"/>
      <c r="S481" s="92" t="n"/>
      <c r="T481" s="93" t="n"/>
      <c r="U481" s="91" t="n"/>
      <c r="V481" s="160" t="n"/>
      <c r="W481" s="92" t="n"/>
    </row>
    <row r="482" ht="16.5" customHeight="1">
      <c r="A482" s="89" t="n"/>
      <c r="B482" s="85" t="n"/>
      <c r="C482" s="85" t="n"/>
      <c r="D482" s="90" t="n"/>
      <c r="E482" s="85" t="n"/>
      <c r="F482" s="85" t="n"/>
      <c r="G482" s="85" t="n"/>
      <c r="H482" s="85" t="n"/>
      <c r="I482" s="85" t="n"/>
      <c r="J482" s="69" t="n"/>
      <c r="K482" s="85" t="n"/>
      <c r="L482" s="91" t="n"/>
      <c r="M482" s="85" t="n"/>
      <c r="N482" s="85" t="n"/>
      <c r="O482" s="91" t="n"/>
      <c r="P482" s="92" t="n"/>
      <c r="Q482" s="91" t="n"/>
      <c r="R482" s="91" t="n"/>
      <c r="S482" s="92" t="n"/>
      <c r="T482" s="93" t="n"/>
      <c r="U482" s="91" t="n"/>
      <c r="V482" s="160" t="n"/>
      <c r="W482" s="92" t="n"/>
    </row>
    <row r="483" ht="16.5" customHeight="1">
      <c r="A483" s="89" t="n"/>
      <c r="B483" s="85" t="n"/>
      <c r="C483" s="85" t="n"/>
      <c r="D483" s="90" t="n"/>
      <c r="E483" s="85" t="n"/>
      <c r="F483" s="85" t="n"/>
      <c r="G483" s="85" t="n"/>
      <c r="H483" s="85" t="n"/>
      <c r="I483" s="85" t="n"/>
      <c r="J483" s="69" t="n"/>
      <c r="K483" s="85" t="n"/>
      <c r="L483" s="91" t="n"/>
      <c r="M483" s="85" t="n"/>
      <c r="N483" s="85" t="n"/>
      <c r="O483" s="91" t="n"/>
      <c r="P483" s="92" t="n"/>
      <c r="Q483" s="91" t="n"/>
      <c r="R483" s="91" t="n"/>
      <c r="S483" s="92" t="n"/>
      <c r="T483" s="93" t="n"/>
      <c r="U483" s="91" t="n"/>
      <c r="V483" s="160" t="n"/>
      <c r="W483" s="92" t="n"/>
    </row>
    <row r="484" ht="16.5" customHeight="1">
      <c r="A484" s="89" t="n"/>
      <c r="B484" s="85" t="n"/>
      <c r="C484" s="85" t="n"/>
      <c r="D484" s="90" t="n"/>
      <c r="E484" s="85" t="n"/>
      <c r="F484" s="85" t="n"/>
      <c r="G484" s="85" t="n"/>
      <c r="H484" s="85" t="n"/>
      <c r="I484" s="85" t="n"/>
      <c r="J484" s="69" t="n"/>
      <c r="K484" s="85" t="n"/>
      <c r="L484" s="91" t="n"/>
      <c r="M484" s="85" t="n"/>
      <c r="N484" s="85" t="n"/>
      <c r="O484" s="91" t="n"/>
      <c r="P484" s="92" t="n"/>
      <c r="Q484" s="91" t="n"/>
      <c r="R484" s="91" t="n"/>
      <c r="S484" s="92" t="n"/>
      <c r="T484" s="93" t="n"/>
      <c r="U484" s="91" t="n"/>
      <c r="V484" s="160" t="n"/>
      <c r="W484" s="92" t="n"/>
    </row>
    <row r="485" ht="16.5" customHeight="1">
      <c r="A485" s="89" t="n"/>
      <c r="B485" s="85" t="n"/>
      <c r="C485" s="85" t="n"/>
      <c r="D485" s="90" t="n"/>
      <c r="E485" s="85" t="n"/>
      <c r="F485" s="85" t="n"/>
      <c r="G485" s="85" t="n"/>
      <c r="H485" s="85" t="n"/>
      <c r="I485" s="85" t="n"/>
      <c r="J485" s="69" t="n"/>
      <c r="K485" s="85" t="n"/>
      <c r="L485" s="91" t="n"/>
      <c r="M485" s="85" t="n"/>
      <c r="N485" s="85" t="n"/>
      <c r="O485" s="91" t="n"/>
      <c r="P485" s="92" t="n"/>
      <c r="Q485" s="91" t="n"/>
      <c r="R485" s="91" t="n"/>
      <c r="S485" s="92" t="n"/>
      <c r="T485" s="93" t="n"/>
      <c r="U485" s="91" t="n"/>
      <c r="V485" s="160" t="n"/>
      <c r="W485" s="92" t="n"/>
    </row>
    <row r="486" ht="16.5" customHeight="1">
      <c r="A486" s="89" t="n"/>
      <c r="B486" s="85" t="n"/>
      <c r="C486" s="85" t="n"/>
      <c r="D486" s="90" t="n"/>
      <c r="E486" s="85" t="n"/>
      <c r="F486" s="85" t="n"/>
      <c r="G486" s="85" t="n"/>
      <c r="H486" s="85" t="n"/>
      <c r="I486" s="85" t="n"/>
      <c r="J486" s="69" t="n"/>
      <c r="K486" s="85" t="n"/>
      <c r="L486" s="91" t="n"/>
      <c r="M486" s="85" t="n"/>
      <c r="N486" s="85" t="n"/>
      <c r="O486" s="91" t="n"/>
      <c r="P486" s="92" t="n"/>
      <c r="Q486" s="91" t="n"/>
      <c r="R486" s="91" t="n"/>
      <c r="S486" s="92" t="n"/>
      <c r="T486" s="93" t="n"/>
      <c r="U486" s="91" t="n"/>
      <c r="V486" s="160" t="n"/>
      <c r="W486" s="92" t="n"/>
    </row>
    <row r="487" ht="16.5" customHeight="1">
      <c r="A487" s="89" t="n"/>
      <c r="B487" s="85" t="n"/>
      <c r="C487" s="85" t="n"/>
      <c r="D487" s="90" t="n"/>
      <c r="E487" s="85" t="n"/>
      <c r="F487" s="85" t="n"/>
      <c r="G487" s="85" t="n"/>
      <c r="H487" s="85" t="n"/>
      <c r="I487" s="85" t="n"/>
      <c r="J487" s="69" t="n"/>
      <c r="K487" s="85" t="n"/>
      <c r="L487" s="91" t="n"/>
      <c r="M487" s="85" t="n"/>
      <c r="N487" s="85" t="n"/>
      <c r="O487" s="91" t="n"/>
      <c r="P487" s="92" t="n"/>
      <c r="Q487" s="91" t="n"/>
      <c r="R487" s="91" t="n"/>
      <c r="S487" s="92" t="n"/>
      <c r="T487" s="93" t="n"/>
      <c r="U487" s="91" t="n"/>
      <c r="V487" s="160" t="n"/>
      <c r="W487" s="92" t="n"/>
    </row>
    <row r="488" ht="16.5" customHeight="1">
      <c r="A488" s="89" t="n"/>
      <c r="B488" s="85" t="n"/>
      <c r="C488" s="85" t="n"/>
      <c r="D488" s="90" t="n"/>
      <c r="E488" s="85" t="n"/>
      <c r="F488" s="85" t="n"/>
      <c r="G488" s="85" t="n"/>
      <c r="H488" s="85" t="n"/>
      <c r="I488" s="85" t="n"/>
      <c r="J488" s="69" t="n"/>
      <c r="K488" s="85" t="n"/>
      <c r="L488" s="91" t="n"/>
      <c r="M488" s="85" t="n"/>
      <c r="N488" s="85" t="n"/>
      <c r="O488" s="91" t="n"/>
      <c r="P488" s="92" t="n"/>
      <c r="Q488" s="91" t="n"/>
      <c r="R488" s="91" t="n"/>
      <c r="S488" s="92" t="n"/>
      <c r="T488" s="93" t="n"/>
      <c r="U488" s="91" t="n"/>
      <c r="V488" s="160" t="n"/>
      <c r="W488" s="92" t="n"/>
    </row>
    <row r="489" ht="16.5" customHeight="1">
      <c r="A489" s="89" t="n"/>
      <c r="B489" s="85" t="n"/>
      <c r="C489" s="85" t="n"/>
      <c r="D489" s="90" t="n"/>
      <c r="E489" s="85" t="n"/>
      <c r="F489" s="85" t="n"/>
      <c r="G489" s="85" t="n"/>
      <c r="H489" s="85" t="n"/>
      <c r="I489" s="85" t="n"/>
      <c r="J489" s="69" t="n"/>
      <c r="K489" s="85" t="n"/>
      <c r="L489" s="91" t="n"/>
      <c r="M489" s="85" t="n"/>
      <c r="N489" s="85" t="n"/>
      <c r="O489" s="91" t="n"/>
      <c r="P489" s="92" t="n"/>
      <c r="Q489" s="91" t="n"/>
      <c r="R489" s="91" t="n"/>
      <c r="S489" s="92" t="n"/>
      <c r="T489" s="93" t="n"/>
      <c r="U489" s="91" t="n"/>
      <c r="V489" s="160" t="n"/>
      <c r="W489" s="92" t="n"/>
    </row>
    <row r="490" ht="16.5" customHeight="1">
      <c r="A490" s="89" t="n"/>
      <c r="B490" s="85" t="n"/>
      <c r="C490" s="85" t="n"/>
      <c r="D490" s="90" t="n"/>
      <c r="E490" s="85" t="n"/>
      <c r="F490" s="85" t="n"/>
      <c r="G490" s="85" t="n"/>
      <c r="H490" s="85" t="n"/>
      <c r="I490" s="85" t="n"/>
      <c r="J490" s="69" t="n"/>
      <c r="K490" s="85" t="n"/>
      <c r="L490" s="91" t="n"/>
      <c r="M490" s="85" t="n"/>
      <c r="N490" s="85" t="n"/>
      <c r="O490" s="91" t="n"/>
      <c r="P490" s="92" t="n"/>
      <c r="Q490" s="91" t="n"/>
      <c r="R490" s="91" t="n"/>
      <c r="S490" s="92" t="n"/>
      <c r="T490" s="93" t="n"/>
      <c r="U490" s="91" t="n"/>
      <c r="V490" s="160" t="n"/>
      <c r="W490" s="92" t="n"/>
    </row>
    <row r="491" ht="16.5" customHeight="1">
      <c r="A491" s="89" t="n"/>
      <c r="B491" s="85" t="n"/>
      <c r="C491" s="85" t="n"/>
      <c r="D491" s="90" t="n"/>
      <c r="E491" s="85" t="n"/>
      <c r="F491" s="85" t="n"/>
      <c r="G491" s="85" t="n"/>
      <c r="H491" s="85" t="n"/>
      <c r="I491" s="85" t="n"/>
      <c r="J491" s="69" t="n"/>
      <c r="K491" s="85" t="n"/>
      <c r="L491" s="91" t="n"/>
      <c r="M491" s="85" t="n"/>
      <c r="N491" s="85" t="n"/>
      <c r="O491" s="91" t="n"/>
      <c r="P491" s="92" t="n"/>
      <c r="Q491" s="91" t="n"/>
      <c r="R491" s="91" t="n"/>
      <c r="S491" s="92" t="n"/>
      <c r="T491" s="93" t="n"/>
      <c r="U491" s="91" t="n"/>
      <c r="V491" s="160" t="n"/>
      <c r="W491" s="92" t="n"/>
    </row>
    <row r="492" ht="16.5" customHeight="1">
      <c r="A492" s="89" t="n"/>
      <c r="B492" s="85" t="n"/>
      <c r="C492" s="85" t="n"/>
      <c r="D492" s="90" t="n"/>
      <c r="E492" s="85" t="n"/>
      <c r="F492" s="85" t="n"/>
      <c r="G492" s="85" t="n"/>
      <c r="H492" s="85" t="n"/>
      <c r="I492" s="85" t="n"/>
      <c r="J492" s="69" t="n"/>
      <c r="K492" s="85" t="n"/>
      <c r="L492" s="91" t="n"/>
      <c r="M492" s="85" t="n"/>
      <c r="N492" s="85" t="n"/>
      <c r="O492" s="91" t="n"/>
      <c r="P492" s="92" t="n"/>
      <c r="Q492" s="91" t="n"/>
      <c r="R492" s="91" t="n"/>
      <c r="S492" s="92" t="n"/>
      <c r="T492" s="93" t="n"/>
      <c r="U492" s="91" t="n"/>
      <c r="V492" s="160" t="n"/>
      <c r="W492" s="92" t="n"/>
    </row>
    <row r="493" ht="16.5" customHeight="1">
      <c r="A493" s="89" t="n"/>
      <c r="B493" s="85" t="n"/>
      <c r="C493" s="85" t="n"/>
      <c r="D493" s="90" t="n"/>
      <c r="E493" s="85" t="n"/>
      <c r="F493" s="85" t="n"/>
      <c r="G493" s="85" t="n"/>
      <c r="H493" s="85" t="n"/>
      <c r="I493" s="85" t="n"/>
      <c r="J493" s="69" t="n"/>
      <c r="K493" s="85" t="n"/>
      <c r="L493" s="91" t="n"/>
      <c r="M493" s="85" t="n"/>
      <c r="N493" s="85" t="n"/>
      <c r="O493" s="91" t="n"/>
      <c r="P493" s="92" t="n"/>
      <c r="Q493" s="91" t="n"/>
      <c r="R493" s="91" t="n"/>
      <c r="S493" s="92" t="n"/>
      <c r="T493" s="93" t="n"/>
      <c r="U493" s="91" t="n"/>
      <c r="V493" s="160" t="n"/>
      <c r="W493" s="92" t="n"/>
    </row>
    <row r="494" ht="16.5" customHeight="1">
      <c r="A494" s="89" t="n"/>
      <c r="B494" s="85" t="n"/>
      <c r="C494" s="85" t="n"/>
      <c r="D494" s="90" t="n"/>
      <c r="E494" s="85" t="n"/>
      <c r="F494" s="85" t="n"/>
      <c r="G494" s="85" t="n"/>
      <c r="H494" s="85" t="n"/>
      <c r="I494" s="85" t="n"/>
      <c r="J494" s="69" t="n"/>
      <c r="K494" s="85" t="n"/>
      <c r="L494" s="91" t="n"/>
      <c r="M494" s="85" t="n"/>
      <c r="N494" s="85" t="n"/>
      <c r="O494" s="91" t="n"/>
      <c r="P494" s="92" t="n"/>
      <c r="Q494" s="91" t="n"/>
      <c r="R494" s="91" t="n"/>
      <c r="S494" s="92" t="n"/>
      <c r="T494" s="93" t="n"/>
      <c r="U494" s="91" t="n"/>
      <c r="V494" s="160" t="n"/>
      <c r="W494" s="92" t="n"/>
    </row>
    <row r="495" ht="16.5" customHeight="1">
      <c r="A495" s="89" t="n"/>
      <c r="B495" s="85" t="n"/>
      <c r="C495" s="85" t="n"/>
      <c r="D495" s="90" t="n"/>
      <c r="E495" s="85" t="n"/>
      <c r="F495" s="85" t="n"/>
      <c r="G495" s="85" t="n"/>
      <c r="H495" s="85" t="n"/>
      <c r="I495" s="85" t="n"/>
      <c r="J495" s="69" t="n"/>
      <c r="K495" s="85" t="n"/>
      <c r="L495" s="91" t="n"/>
      <c r="M495" s="85" t="n"/>
      <c r="N495" s="85" t="n"/>
      <c r="O495" s="91" t="n"/>
      <c r="P495" s="92" t="n"/>
      <c r="Q495" s="91" t="n"/>
      <c r="R495" s="91" t="n"/>
      <c r="S495" s="92" t="n"/>
      <c r="T495" s="93" t="n"/>
      <c r="U495" s="91" t="n"/>
      <c r="V495" s="160" t="n"/>
      <c r="W495" s="92" t="n"/>
    </row>
    <row r="496" ht="16.5" customHeight="1">
      <c r="A496" s="89" t="n"/>
      <c r="B496" s="85" t="n"/>
      <c r="C496" s="85" t="n"/>
      <c r="D496" s="90" t="n"/>
      <c r="E496" s="85" t="n"/>
      <c r="F496" s="85" t="n"/>
      <c r="G496" s="85" t="n"/>
      <c r="H496" s="85" t="n"/>
      <c r="I496" s="85" t="n"/>
      <c r="J496" s="69" t="n"/>
      <c r="K496" s="85" t="n"/>
      <c r="L496" s="91" t="n"/>
      <c r="M496" s="85" t="n"/>
      <c r="N496" s="85" t="n"/>
      <c r="O496" s="91" t="n"/>
      <c r="P496" s="92" t="n"/>
      <c r="Q496" s="91" t="n"/>
      <c r="R496" s="91" t="n"/>
      <c r="S496" s="92" t="n"/>
      <c r="T496" s="93" t="n"/>
      <c r="U496" s="91" t="n"/>
      <c r="V496" s="160" t="n"/>
      <c r="W496" s="92" t="n"/>
    </row>
    <row r="497" ht="16.5" customHeight="1">
      <c r="A497" s="89" t="n"/>
      <c r="B497" s="85" t="n"/>
      <c r="C497" s="85" t="n"/>
      <c r="D497" s="90" t="n"/>
      <c r="E497" s="85" t="n"/>
      <c r="F497" s="85" t="n"/>
      <c r="G497" s="85" t="n"/>
      <c r="H497" s="85" t="n"/>
      <c r="I497" s="85" t="n"/>
      <c r="J497" s="69" t="n"/>
      <c r="K497" s="85" t="n"/>
      <c r="L497" s="91" t="n"/>
      <c r="M497" s="85" t="n"/>
      <c r="N497" s="85" t="n"/>
      <c r="O497" s="91" t="n"/>
      <c r="P497" s="92" t="n"/>
      <c r="Q497" s="91" t="n"/>
      <c r="R497" s="91" t="n"/>
      <c r="S497" s="92" t="n"/>
      <c r="T497" s="93" t="n"/>
      <c r="U497" s="91" t="n"/>
      <c r="V497" s="160" t="n"/>
      <c r="W497" s="92" t="n"/>
    </row>
    <row r="498" ht="16.5" customHeight="1">
      <c r="A498" s="89" t="n"/>
      <c r="B498" s="85" t="n"/>
      <c r="C498" s="85" t="n"/>
      <c r="D498" s="90" t="n"/>
      <c r="E498" s="85" t="n"/>
      <c r="F498" s="85" t="n"/>
      <c r="G498" s="85" t="n"/>
      <c r="H498" s="85" t="n"/>
      <c r="I498" s="85" t="n"/>
      <c r="J498" s="69" t="n"/>
      <c r="K498" s="85" t="n"/>
      <c r="L498" s="91" t="n"/>
      <c r="M498" s="85" t="n"/>
      <c r="N498" s="85" t="n"/>
      <c r="O498" s="91" t="n"/>
      <c r="P498" s="92" t="n"/>
      <c r="Q498" s="91" t="n"/>
      <c r="R498" s="91" t="n"/>
      <c r="S498" s="92" t="n"/>
      <c r="T498" s="93" t="n"/>
      <c r="U498" s="91" t="n"/>
      <c r="V498" s="160" t="n"/>
      <c r="W498" s="92" t="n"/>
    </row>
    <row r="499" ht="16.5" customHeight="1">
      <c r="A499" s="89" t="n"/>
      <c r="B499" s="85" t="n"/>
      <c r="C499" s="85" t="n"/>
      <c r="D499" s="90" t="n"/>
      <c r="E499" s="85" t="n"/>
      <c r="F499" s="85" t="n"/>
      <c r="G499" s="85" t="n"/>
      <c r="H499" s="85" t="n"/>
      <c r="I499" s="85" t="n"/>
      <c r="J499" s="69" t="n"/>
      <c r="K499" s="85" t="n"/>
      <c r="L499" s="91" t="n"/>
      <c r="M499" s="85" t="n"/>
      <c r="N499" s="85" t="n"/>
      <c r="O499" s="91" t="n"/>
      <c r="P499" s="92" t="n"/>
      <c r="Q499" s="91" t="n"/>
      <c r="R499" s="91" t="n"/>
      <c r="S499" s="92" t="n"/>
      <c r="T499" s="93" t="n"/>
      <c r="U499" s="91" t="n"/>
      <c r="V499" s="160" t="n"/>
      <c r="W499" s="92" t="n"/>
    </row>
    <row r="500" ht="16.5" customHeight="1">
      <c r="A500" s="89" t="n"/>
      <c r="B500" s="85" t="n"/>
      <c r="C500" s="85" t="n"/>
      <c r="D500" s="90" t="n"/>
      <c r="E500" s="85" t="n"/>
      <c r="F500" s="85" t="n"/>
      <c r="G500" s="85" t="n"/>
      <c r="H500" s="85" t="n"/>
      <c r="I500" s="85" t="n"/>
      <c r="J500" s="69" t="n"/>
      <c r="K500" s="85" t="n"/>
      <c r="L500" s="91" t="n"/>
      <c r="M500" s="85" t="n"/>
      <c r="N500" s="85" t="n"/>
      <c r="O500" s="91" t="n"/>
      <c r="P500" s="92" t="n"/>
      <c r="Q500" s="91" t="n"/>
      <c r="R500" s="91" t="n"/>
      <c r="S500" s="92" t="n"/>
      <c r="T500" s="93" t="n"/>
      <c r="U500" s="91" t="n"/>
      <c r="V500" s="160" t="n"/>
      <c r="W500" s="92" t="n"/>
    </row>
    <row r="501" ht="16.5" customHeight="1">
      <c r="A501" s="89" t="n"/>
      <c r="B501" s="85" t="n"/>
      <c r="C501" s="85" t="n"/>
      <c r="D501" s="90" t="n"/>
      <c r="E501" s="85" t="n"/>
      <c r="F501" s="85" t="n"/>
      <c r="G501" s="85" t="n"/>
      <c r="H501" s="85" t="n"/>
      <c r="I501" s="85" t="n"/>
      <c r="J501" s="69" t="n"/>
      <c r="K501" s="85" t="n"/>
      <c r="L501" s="91" t="n"/>
      <c r="M501" s="85" t="n"/>
      <c r="N501" s="85" t="n"/>
      <c r="O501" s="91" t="n"/>
      <c r="P501" s="92" t="n"/>
      <c r="Q501" s="91" t="n"/>
      <c r="R501" s="91" t="n"/>
      <c r="S501" s="92" t="n"/>
      <c r="T501" s="93" t="n"/>
      <c r="U501" s="91" t="n"/>
      <c r="V501" s="160" t="n"/>
      <c r="W501" s="92" t="n"/>
    </row>
    <row r="502" ht="16.5" customHeight="1">
      <c r="A502" s="89" t="n"/>
      <c r="B502" s="85" t="n"/>
      <c r="C502" s="85" t="n"/>
      <c r="D502" s="90" t="n"/>
      <c r="E502" s="85" t="n"/>
      <c r="F502" s="85" t="n"/>
      <c r="G502" s="85" t="n"/>
      <c r="H502" s="85" t="n"/>
      <c r="I502" s="85" t="n"/>
      <c r="J502" s="69" t="n"/>
      <c r="K502" s="85" t="n"/>
      <c r="L502" s="91" t="n"/>
      <c r="M502" s="85" t="n"/>
      <c r="N502" s="85" t="n"/>
      <c r="O502" s="91" t="n"/>
      <c r="P502" s="92" t="n"/>
      <c r="Q502" s="91" t="n"/>
      <c r="R502" s="91" t="n"/>
      <c r="S502" s="92" t="n"/>
      <c r="T502" s="93" t="n"/>
      <c r="U502" s="91" t="n"/>
      <c r="V502" s="160" t="n"/>
      <c r="W502" s="92" t="n"/>
    </row>
    <row r="503" ht="16.5" customHeight="1">
      <c r="A503" s="89" t="n"/>
      <c r="B503" s="85" t="n"/>
      <c r="C503" s="85" t="n"/>
      <c r="D503" s="90" t="n"/>
      <c r="E503" s="85" t="n"/>
      <c r="F503" s="85" t="n"/>
      <c r="G503" s="85" t="n"/>
      <c r="H503" s="85" t="n"/>
      <c r="I503" s="85" t="n"/>
      <c r="J503" s="69" t="n"/>
      <c r="K503" s="85" t="n"/>
      <c r="L503" s="91" t="n"/>
      <c r="M503" s="85" t="n"/>
      <c r="N503" s="85" t="n"/>
      <c r="O503" s="91" t="n"/>
      <c r="P503" s="92" t="n"/>
      <c r="Q503" s="91" t="n"/>
      <c r="R503" s="91" t="n"/>
      <c r="S503" s="92" t="n"/>
      <c r="T503" s="93" t="n"/>
      <c r="U503" s="91" t="n"/>
      <c r="V503" s="160" t="n"/>
      <c r="W503" s="92" t="n"/>
    </row>
    <row r="504" ht="16.5" customHeight="1">
      <c r="A504" s="89" t="n"/>
      <c r="B504" s="85" t="n"/>
      <c r="C504" s="85" t="n"/>
      <c r="D504" s="90" t="n"/>
      <c r="E504" s="85" t="n"/>
      <c r="F504" s="85" t="n"/>
      <c r="G504" s="85" t="n"/>
      <c r="H504" s="85" t="n"/>
      <c r="I504" s="85" t="n"/>
      <c r="J504" s="69" t="n"/>
      <c r="K504" s="85" t="n"/>
      <c r="L504" s="91" t="n"/>
      <c r="M504" s="85" t="n"/>
      <c r="N504" s="85" t="n"/>
      <c r="O504" s="91" t="n"/>
      <c r="P504" s="92" t="n"/>
      <c r="Q504" s="91" t="n"/>
      <c r="R504" s="91" t="n"/>
      <c r="S504" s="92" t="n"/>
      <c r="T504" s="93" t="n"/>
      <c r="U504" s="91" t="n"/>
      <c r="V504" s="160" t="n"/>
      <c r="W504" s="92" t="n"/>
    </row>
    <row r="505" ht="16.5" customHeight="1">
      <c r="A505" s="89" t="n"/>
      <c r="B505" s="85" t="n"/>
      <c r="C505" s="85" t="n"/>
      <c r="D505" s="90" t="n"/>
      <c r="E505" s="85" t="n"/>
      <c r="F505" s="85" t="n"/>
      <c r="G505" s="85" t="n"/>
      <c r="H505" s="85" t="n"/>
      <c r="I505" s="85" t="n"/>
      <c r="J505" s="69" t="n"/>
      <c r="K505" s="85" t="n"/>
      <c r="L505" s="91" t="n"/>
      <c r="M505" s="85" t="n"/>
      <c r="N505" s="85" t="n"/>
      <c r="O505" s="91" t="n"/>
      <c r="P505" s="92" t="n"/>
      <c r="Q505" s="91" t="n"/>
      <c r="R505" s="91" t="n"/>
      <c r="S505" s="92" t="n"/>
      <c r="T505" s="93" t="n"/>
      <c r="U505" s="91" t="n"/>
      <c r="V505" s="160" t="n"/>
      <c r="W505" s="92" t="n"/>
    </row>
    <row r="506" ht="16.5" customHeight="1">
      <c r="A506" s="89" t="n"/>
      <c r="B506" s="85" t="n"/>
      <c r="C506" s="85" t="n"/>
      <c r="D506" s="90" t="n"/>
      <c r="E506" s="85" t="n"/>
      <c r="F506" s="85" t="n"/>
      <c r="G506" s="85" t="n"/>
      <c r="H506" s="85" t="n"/>
      <c r="I506" s="85" t="n"/>
      <c r="J506" s="69" t="n"/>
      <c r="K506" s="85" t="n"/>
      <c r="L506" s="91" t="n"/>
      <c r="M506" s="85" t="n"/>
      <c r="N506" s="85" t="n"/>
      <c r="O506" s="91" t="n"/>
      <c r="P506" s="92" t="n"/>
      <c r="Q506" s="91" t="n"/>
      <c r="R506" s="91" t="n"/>
      <c r="S506" s="92" t="n"/>
      <c r="T506" s="93" t="n"/>
      <c r="U506" s="91" t="n"/>
      <c r="V506" s="160" t="n"/>
      <c r="W506" s="92" t="n"/>
    </row>
    <row r="507" ht="16.5" customHeight="1">
      <c r="A507" s="89" t="n"/>
      <c r="B507" s="85" t="n"/>
      <c r="C507" s="85" t="n"/>
      <c r="D507" s="90" t="n"/>
      <c r="E507" s="85" t="n"/>
      <c r="F507" s="85" t="n"/>
      <c r="G507" s="85" t="n"/>
      <c r="H507" s="85" t="n"/>
      <c r="I507" s="85" t="n"/>
      <c r="J507" s="69" t="n"/>
      <c r="K507" s="85" t="n"/>
      <c r="L507" s="91" t="n"/>
      <c r="M507" s="85" t="n"/>
      <c r="N507" s="85" t="n"/>
      <c r="O507" s="91" t="n"/>
      <c r="P507" s="92" t="n"/>
      <c r="Q507" s="91" t="n"/>
      <c r="R507" s="91" t="n"/>
      <c r="S507" s="92" t="n"/>
      <c r="T507" s="93" t="n"/>
      <c r="U507" s="91" t="n"/>
      <c r="V507" s="160" t="n"/>
      <c r="W507" s="92" t="n"/>
    </row>
    <row r="508" ht="16.5" customHeight="1">
      <c r="A508" s="89" t="n"/>
      <c r="B508" s="85" t="n"/>
      <c r="C508" s="85" t="n"/>
      <c r="D508" s="90" t="n"/>
      <c r="E508" s="85" t="n"/>
      <c r="F508" s="85" t="n"/>
      <c r="G508" s="85" t="n"/>
      <c r="H508" s="85" t="n"/>
      <c r="I508" s="85" t="n"/>
      <c r="J508" s="69" t="n"/>
      <c r="K508" s="85" t="n"/>
      <c r="L508" s="91" t="n"/>
      <c r="M508" s="85" t="n"/>
      <c r="N508" s="85" t="n"/>
      <c r="O508" s="91" t="n"/>
      <c r="P508" s="92" t="n"/>
      <c r="Q508" s="91" t="n"/>
      <c r="R508" s="91" t="n"/>
      <c r="S508" s="92" t="n"/>
      <c r="T508" s="93" t="n"/>
      <c r="U508" s="91" t="n"/>
      <c r="V508" s="160" t="n"/>
      <c r="W508" s="92" t="n"/>
    </row>
    <row r="509" ht="16.5" customHeight="1">
      <c r="A509" s="89" t="n"/>
      <c r="B509" s="85" t="n"/>
      <c r="C509" s="85" t="n"/>
      <c r="D509" s="90" t="n"/>
      <c r="E509" s="85" t="n"/>
      <c r="F509" s="85" t="n"/>
      <c r="G509" s="85" t="n"/>
      <c r="H509" s="85" t="n"/>
      <c r="I509" s="85" t="n"/>
      <c r="J509" s="69" t="n"/>
      <c r="K509" s="85" t="n"/>
      <c r="L509" s="91" t="n"/>
      <c r="M509" s="85" t="n"/>
      <c r="N509" s="85" t="n"/>
      <c r="O509" s="91" t="n"/>
      <c r="P509" s="92" t="n"/>
      <c r="Q509" s="91" t="n"/>
      <c r="R509" s="91" t="n"/>
      <c r="S509" s="92" t="n"/>
      <c r="T509" s="93" t="n"/>
      <c r="U509" s="91" t="n"/>
      <c r="V509" s="160" t="n"/>
      <c r="W509" s="92" t="n"/>
    </row>
    <row r="510" ht="16.5" customHeight="1">
      <c r="A510" s="89" t="n"/>
      <c r="B510" s="85" t="n"/>
      <c r="C510" s="85" t="n"/>
      <c r="D510" s="90" t="n"/>
      <c r="E510" s="85" t="n"/>
      <c r="F510" s="85" t="n"/>
      <c r="G510" s="85" t="n"/>
      <c r="H510" s="85" t="n"/>
      <c r="I510" s="85" t="n"/>
      <c r="J510" s="69" t="n"/>
      <c r="K510" s="85" t="n"/>
      <c r="L510" s="91" t="n"/>
      <c r="M510" s="85" t="n"/>
      <c r="N510" s="85" t="n"/>
      <c r="O510" s="91" t="n"/>
      <c r="P510" s="92" t="n"/>
      <c r="Q510" s="91" t="n"/>
      <c r="R510" s="91" t="n"/>
      <c r="S510" s="92" t="n"/>
      <c r="T510" s="93" t="n"/>
      <c r="U510" s="91" t="n"/>
      <c r="V510" s="160" t="n"/>
      <c r="W510" s="92" t="n"/>
    </row>
    <row r="511" ht="16.5" customHeight="1">
      <c r="A511" s="89" t="n"/>
      <c r="B511" s="85" t="n"/>
      <c r="C511" s="85" t="n"/>
      <c r="D511" s="90" t="n"/>
      <c r="E511" s="85" t="n"/>
      <c r="F511" s="85" t="n"/>
      <c r="G511" s="85" t="n"/>
      <c r="H511" s="85" t="n"/>
      <c r="I511" s="85" t="n"/>
      <c r="J511" s="69" t="n"/>
      <c r="K511" s="85" t="n"/>
      <c r="L511" s="91" t="n"/>
      <c r="M511" s="85" t="n"/>
      <c r="N511" s="85" t="n"/>
      <c r="O511" s="91" t="n"/>
      <c r="P511" s="92" t="n"/>
      <c r="Q511" s="91" t="n"/>
      <c r="R511" s="91" t="n"/>
      <c r="S511" s="92" t="n"/>
      <c r="T511" s="93" t="n"/>
      <c r="U511" s="91" t="n"/>
      <c r="V511" s="160" t="n"/>
      <c r="W511" s="92" t="n"/>
    </row>
    <row r="512" ht="16.5" customHeight="1">
      <c r="A512" s="89" t="n"/>
      <c r="B512" s="85" t="n"/>
      <c r="C512" s="85" t="n"/>
      <c r="D512" s="90" t="n"/>
      <c r="E512" s="85" t="n"/>
      <c r="F512" s="85" t="n"/>
      <c r="G512" s="85" t="n"/>
      <c r="H512" s="85" t="n"/>
      <c r="I512" s="85" t="n"/>
      <c r="J512" s="69" t="n"/>
      <c r="K512" s="85" t="n"/>
      <c r="L512" s="91" t="n"/>
      <c r="M512" s="85" t="n"/>
      <c r="N512" s="85" t="n"/>
      <c r="O512" s="91" t="n"/>
      <c r="P512" s="92" t="n"/>
      <c r="Q512" s="91" t="n"/>
      <c r="R512" s="91" t="n"/>
      <c r="S512" s="92" t="n"/>
      <c r="T512" s="93" t="n"/>
      <c r="U512" s="91" t="n"/>
      <c r="V512" s="160" t="n"/>
      <c r="W512" s="92" t="n"/>
    </row>
    <row r="513" ht="16.5" customHeight="1">
      <c r="A513" s="89" t="n"/>
      <c r="B513" s="85" t="n"/>
      <c r="C513" s="85" t="n"/>
      <c r="D513" s="90" t="n"/>
      <c r="E513" s="85" t="n"/>
      <c r="F513" s="85" t="n"/>
      <c r="G513" s="85" t="n"/>
      <c r="H513" s="85" t="n"/>
      <c r="I513" s="85" t="n"/>
      <c r="J513" s="69" t="n"/>
      <c r="K513" s="85" t="n"/>
      <c r="L513" s="91" t="n"/>
      <c r="M513" s="85" t="n"/>
      <c r="N513" s="85" t="n"/>
      <c r="O513" s="91" t="n"/>
      <c r="P513" s="92" t="n"/>
      <c r="Q513" s="91" t="n"/>
      <c r="R513" s="91" t="n"/>
      <c r="S513" s="92" t="n"/>
      <c r="T513" s="93" t="n"/>
      <c r="U513" s="91" t="n"/>
      <c r="V513" s="160" t="n"/>
      <c r="W513" s="92" t="n"/>
    </row>
    <row r="514" ht="16.5" customHeight="1">
      <c r="A514" s="89" t="n"/>
      <c r="B514" s="85" t="n"/>
      <c r="C514" s="85" t="n"/>
      <c r="D514" s="90" t="n"/>
      <c r="E514" s="85" t="n"/>
      <c r="F514" s="85" t="n"/>
      <c r="G514" s="85" t="n"/>
      <c r="H514" s="85" t="n"/>
      <c r="I514" s="85" t="n"/>
      <c r="J514" s="69" t="n"/>
      <c r="K514" s="85" t="n"/>
      <c r="L514" s="91" t="n"/>
      <c r="M514" s="85" t="n"/>
      <c r="N514" s="85" t="n"/>
      <c r="O514" s="91" t="n"/>
      <c r="P514" s="92" t="n"/>
      <c r="Q514" s="91" t="n"/>
      <c r="R514" s="91" t="n"/>
      <c r="S514" s="92" t="n"/>
      <c r="T514" s="93" t="n"/>
      <c r="U514" s="91" t="n"/>
      <c r="V514" s="160" t="n"/>
      <c r="W514" s="92" t="n"/>
    </row>
    <row r="515" ht="16.5" customHeight="1">
      <c r="A515" s="89" t="n"/>
      <c r="B515" s="85" t="n"/>
      <c r="C515" s="85" t="n"/>
      <c r="D515" s="90" t="n"/>
      <c r="E515" s="85" t="n"/>
      <c r="F515" s="85" t="n"/>
      <c r="G515" s="85" t="n"/>
      <c r="H515" s="85" t="n"/>
      <c r="I515" s="85" t="n"/>
      <c r="J515" s="69" t="n"/>
      <c r="K515" s="85" t="n"/>
      <c r="L515" s="91" t="n"/>
      <c r="M515" s="85" t="n"/>
      <c r="N515" s="85" t="n"/>
      <c r="O515" s="91" t="n"/>
      <c r="P515" s="92" t="n"/>
      <c r="Q515" s="91" t="n"/>
      <c r="R515" s="91" t="n"/>
      <c r="S515" s="92" t="n"/>
      <c r="T515" s="93" t="n"/>
      <c r="U515" s="91" t="n"/>
      <c r="V515" s="160" t="n"/>
      <c r="W515" s="92" t="n"/>
    </row>
    <row r="516" ht="16.5" customHeight="1">
      <c r="A516" s="89" t="n"/>
      <c r="B516" s="85" t="n"/>
      <c r="C516" s="85" t="n"/>
      <c r="D516" s="90" t="n"/>
      <c r="E516" s="85" t="n"/>
      <c r="F516" s="85" t="n"/>
      <c r="G516" s="85" t="n"/>
      <c r="H516" s="85" t="n"/>
      <c r="I516" s="85" t="n"/>
      <c r="J516" s="69" t="n"/>
      <c r="K516" s="85" t="n"/>
      <c r="L516" s="91" t="n"/>
      <c r="M516" s="85" t="n"/>
      <c r="N516" s="85" t="n"/>
      <c r="O516" s="91" t="n"/>
      <c r="P516" s="92" t="n"/>
      <c r="Q516" s="91" t="n"/>
      <c r="R516" s="91" t="n"/>
      <c r="S516" s="92" t="n"/>
      <c r="T516" s="93" t="n"/>
      <c r="U516" s="91" t="n"/>
      <c r="V516" s="160" t="n"/>
      <c r="W516" s="92" t="n"/>
    </row>
    <row r="517" ht="16.5" customHeight="1">
      <c r="A517" s="89" t="n"/>
      <c r="B517" s="85" t="n"/>
      <c r="C517" s="85" t="n"/>
      <c r="D517" s="90" t="n"/>
      <c r="E517" s="85" t="n"/>
      <c r="F517" s="85" t="n"/>
      <c r="G517" s="85" t="n"/>
      <c r="H517" s="85" t="n"/>
      <c r="I517" s="85" t="n"/>
      <c r="J517" s="69" t="n"/>
      <c r="K517" s="85" t="n"/>
      <c r="L517" s="91" t="n"/>
      <c r="M517" s="85" t="n"/>
      <c r="N517" s="85" t="n"/>
      <c r="O517" s="91" t="n"/>
      <c r="P517" s="92" t="n"/>
      <c r="Q517" s="91" t="n"/>
      <c r="R517" s="91" t="n"/>
      <c r="S517" s="92" t="n"/>
      <c r="T517" s="93" t="n"/>
      <c r="U517" s="91" t="n"/>
      <c r="V517" s="160" t="n"/>
      <c r="W517" s="92" t="n"/>
    </row>
    <row r="518" ht="16.5" customHeight="1">
      <c r="A518" s="89" t="n"/>
      <c r="B518" s="85" t="n"/>
      <c r="C518" s="85" t="n"/>
      <c r="D518" s="90" t="n"/>
      <c r="E518" s="85" t="n"/>
      <c r="F518" s="85" t="n"/>
      <c r="G518" s="85" t="n"/>
      <c r="H518" s="85" t="n"/>
      <c r="I518" s="85" t="n"/>
      <c r="J518" s="69" t="n"/>
      <c r="K518" s="85" t="n"/>
      <c r="L518" s="91" t="n"/>
      <c r="M518" s="85" t="n"/>
      <c r="N518" s="85" t="n"/>
      <c r="O518" s="91" t="n"/>
      <c r="P518" s="92" t="n"/>
      <c r="Q518" s="91" t="n"/>
      <c r="R518" s="91" t="n"/>
      <c r="S518" s="92" t="n"/>
      <c r="T518" s="93" t="n"/>
      <c r="U518" s="91" t="n"/>
      <c r="V518" s="160" t="n"/>
      <c r="W518" s="92" t="n"/>
    </row>
    <row r="519" ht="16.5" customHeight="1">
      <c r="A519" s="89" t="n"/>
      <c r="B519" s="85" t="n"/>
      <c r="C519" s="85" t="n"/>
      <c r="D519" s="90" t="n"/>
      <c r="E519" s="85" t="n"/>
      <c r="F519" s="85" t="n"/>
      <c r="G519" s="85" t="n"/>
      <c r="H519" s="85" t="n"/>
      <c r="I519" s="85" t="n"/>
      <c r="J519" s="69" t="n"/>
      <c r="K519" s="85" t="n"/>
      <c r="L519" s="91" t="n"/>
      <c r="M519" s="85" t="n"/>
      <c r="N519" s="85" t="n"/>
      <c r="O519" s="91" t="n"/>
      <c r="P519" s="92" t="n"/>
      <c r="Q519" s="91" t="n"/>
      <c r="R519" s="91" t="n"/>
      <c r="S519" s="92" t="n"/>
      <c r="T519" s="93" t="n"/>
      <c r="U519" s="91" t="n"/>
      <c r="V519" s="160" t="n"/>
      <c r="W519" s="92" t="n"/>
    </row>
    <row r="520" ht="16.5" customHeight="1">
      <c r="A520" s="89" t="n"/>
      <c r="B520" s="85" t="n"/>
      <c r="C520" s="85" t="n"/>
      <c r="D520" s="90" t="n"/>
      <c r="E520" s="85" t="n"/>
      <c r="F520" s="85" t="n"/>
      <c r="G520" s="85" t="n"/>
      <c r="H520" s="85" t="n"/>
      <c r="I520" s="85" t="n"/>
      <c r="J520" s="69" t="n"/>
      <c r="K520" s="85" t="n"/>
      <c r="L520" s="91" t="n"/>
      <c r="M520" s="85" t="n"/>
      <c r="N520" s="85" t="n"/>
      <c r="O520" s="91" t="n"/>
      <c r="P520" s="92" t="n"/>
      <c r="Q520" s="91" t="n"/>
      <c r="R520" s="91" t="n"/>
      <c r="S520" s="92" t="n"/>
      <c r="T520" s="93" t="n"/>
      <c r="U520" s="91" t="n"/>
      <c r="V520" s="160" t="n"/>
      <c r="W520" s="92" t="n"/>
    </row>
    <row r="521" ht="16.5" customHeight="1">
      <c r="A521" s="89" t="n"/>
      <c r="B521" s="85" t="n"/>
      <c r="C521" s="85" t="n"/>
      <c r="D521" s="90" t="n"/>
      <c r="E521" s="85" t="n"/>
      <c r="F521" s="85" t="n"/>
      <c r="G521" s="85" t="n"/>
      <c r="H521" s="85" t="n"/>
      <c r="I521" s="85" t="n"/>
      <c r="J521" s="69" t="n"/>
      <c r="K521" s="85" t="n"/>
      <c r="L521" s="91" t="n"/>
      <c r="M521" s="85" t="n"/>
      <c r="N521" s="85" t="n"/>
      <c r="O521" s="91" t="n"/>
      <c r="P521" s="92" t="n"/>
      <c r="Q521" s="91" t="n"/>
      <c r="R521" s="91" t="n"/>
      <c r="S521" s="92" t="n"/>
      <c r="T521" s="93" t="n"/>
      <c r="U521" s="91" t="n"/>
      <c r="V521" s="160" t="n"/>
      <c r="W521" s="92" t="n"/>
    </row>
    <row r="522" ht="16.5" customHeight="1">
      <c r="A522" s="89" t="n"/>
      <c r="B522" s="85" t="n"/>
      <c r="C522" s="85" t="n"/>
      <c r="D522" s="90" t="n"/>
      <c r="E522" s="85" t="n"/>
      <c r="F522" s="85" t="n"/>
      <c r="G522" s="85" t="n"/>
      <c r="H522" s="85" t="n"/>
      <c r="I522" s="85" t="n"/>
      <c r="J522" s="69" t="n"/>
      <c r="K522" s="85" t="n"/>
      <c r="L522" s="91" t="n"/>
      <c r="M522" s="85" t="n"/>
      <c r="N522" s="85" t="n"/>
      <c r="O522" s="91" t="n"/>
      <c r="P522" s="92" t="n"/>
      <c r="Q522" s="91" t="n"/>
      <c r="R522" s="91" t="n"/>
      <c r="S522" s="92" t="n"/>
      <c r="T522" s="93" t="n"/>
      <c r="U522" s="91" t="n"/>
      <c r="V522" s="160" t="n"/>
      <c r="W522" s="92" t="n"/>
    </row>
    <row r="523" ht="16.5" customHeight="1">
      <c r="A523" s="89" t="n"/>
      <c r="B523" s="85" t="n"/>
      <c r="C523" s="85" t="n"/>
      <c r="D523" s="90" t="n"/>
      <c r="E523" s="85" t="n"/>
      <c r="F523" s="85" t="n"/>
      <c r="G523" s="85" t="n"/>
      <c r="H523" s="85" t="n"/>
      <c r="I523" s="85" t="n"/>
      <c r="J523" s="69" t="n"/>
      <c r="K523" s="85" t="n"/>
      <c r="L523" s="91" t="n"/>
      <c r="M523" s="85" t="n"/>
      <c r="N523" s="85" t="n"/>
      <c r="O523" s="91" t="n"/>
      <c r="P523" s="92" t="n"/>
      <c r="Q523" s="91" t="n"/>
      <c r="R523" s="91" t="n"/>
      <c r="S523" s="92" t="n"/>
      <c r="T523" s="93" t="n"/>
      <c r="U523" s="91" t="n"/>
      <c r="V523" s="160" t="n"/>
      <c r="W523" s="92" t="n"/>
    </row>
    <row r="524" ht="16.5" customHeight="1">
      <c r="A524" s="89" t="n"/>
      <c r="B524" s="85" t="n"/>
      <c r="C524" s="85" t="n"/>
      <c r="D524" s="90" t="n"/>
      <c r="E524" s="85" t="n"/>
      <c r="F524" s="85" t="n"/>
      <c r="G524" s="85" t="n"/>
      <c r="H524" s="85" t="n"/>
      <c r="I524" s="85" t="n"/>
      <c r="J524" s="69" t="n"/>
      <c r="K524" s="85" t="n"/>
      <c r="L524" s="91" t="n"/>
      <c r="M524" s="85" t="n"/>
      <c r="N524" s="85" t="n"/>
      <c r="O524" s="91" t="n"/>
      <c r="P524" s="92" t="n"/>
      <c r="Q524" s="91" t="n"/>
      <c r="R524" s="91" t="n"/>
      <c r="S524" s="92" t="n"/>
      <c r="T524" s="93" t="n"/>
      <c r="U524" s="91" t="n"/>
      <c r="V524" s="160" t="n"/>
      <c r="W524" s="92" t="n"/>
    </row>
    <row r="525" ht="16.5" customHeight="1">
      <c r="A525" s="89" t="n"/>
      <c r="B525" s="85" t="n"/>
      <c r="C525" s="85" t="n"/>
      <c r="D525" s="90" t="n"/>
      <c r="E525" s="85" t="n"/>
      <c r="F525" s="85" t="n"/>
      <c r="G525" s="85" t="n"/>
      <c r="H525" s="85" t="n"/>
      <c r="I525" s="85" t="n"/>
      <c r="J525" s="69" t="n"/>
      <c r="K525" s="85" t="n"/>
      <c r="L525" s="91" t="n"/>
      <c r="M525" s="85" t="n"/>
      <c r="N525" s="85" t="n"/>
      <c r="O525" s="91" t="n"/>
      <c r="P525" s="92" t="n"/>
      <c r="Q525" s="91" t="n"/>
      <c r="R525" s="91" t="n"/>
      <c r="S525" s="92" t="n"/>
      <c r="T525" s="93" t="n"/>
      <c r="U525" s="91" t="n"/>
      <c r="V525" s="160" t="n"/>
      <c r="W525" s="92" t="n"/>
    </row>
    <row r="526" ht="16.5" customHeight="1">
      <c r="A526" s="89" t="n"/>
      <c r="B526" s="85" t="n"/>
      <c r="C526" s="85" t="n"/>
      <c r="D526" s="90" t="n"/>
      <c r="E526" s="85" t="n"/>
      <c r="F526" s="85" t="n"/>
      <c r="G526" s="85" t="n"/>
      <c r="H526" s="85" t="n"/>
      <c r="I526" s="85" t="n"/>
      <c r="J526" s="69" t="n"/>
      <c r="K526" s="85" t="n"/>
      <c r="L526" s="91" t="n"/>
      <c r="M526" s="85" t="n"/>
      <c r="N526" s="85" t="n"/>
      <c r="O526" s="91" t="n"/>
      <c r="P526" s="92" t="n"/>
      <c r="Q526" s="91" t="n"/>
      <c r="R526" s="91" t="n"/>
      <c r="S526" s="92" t="n"/>
      <c r="T526" s="93" t="n"/>
      <c r="U526" s="91" t="n"/>
      <c r="V526" s="160" t="n"/>
      <c r="W526" s="92" t="n"/>
    </row>
    <row r="527" ht="16.5" customHeight="1">
      <c r="A527" s="89" t="n"/>
      <c r="B527" s="85" t="n"/>
      <c r="C527" s="85" t="n"/>
      <c r="D527" s="90" t="n"/>
      <c r="E527" s="85" t="n"/>
      <c r="F527" s="85" t="n"/>
      <c r="G527" s="85" t="n"/>
      <c r="H527" s="85" t="n"/>
      <c r="I527" s="85" t="n"/>
      <c r="J527" s="69" t="n"/>
      <c r="K527" s="85" t="n"/>
      <c r="L527" s="91" t="n"/>
      <c r="M527" s="85" t="n"/>
      <c r="N527" s="85" t="n"/>
      <c r="O527" s="91" t="n"/>
      <c r="P527" s="92" t="n"/>
      <c r="Q527" s="91" t="n"/>
      <c r="R527" s="91" t="n"/>
      <c r="S527" s="92" t="n"/>
      <c r="T527" s="93" t="n"/>
      <c r="U527" s="91" t="n"/>
      <c r="V527" s="160" t="n"/>
      <c r="W527" s="92" t="n"/>
    </row>
    <row r="528" ht="16.5" customHeight="1">
      <c r="A528" s="89" t="n"/>
      <c r="B528" s="85" t="n"/>
      <c r="C528" s="85" t="n"/>
      <c r="D528" s="90" t="n"/>
      <c r="E528" s="85" t="n"/>
      <c r="F528" s="85" t="n"/>
      <c r="G528" s="85" t="n"/>
      <c r="H528" s="85" t="n"/>
      <c r="I528" s="85" t="n"/>
      <c r="J528" s="69" t="n"/>
      <c r="K528" s="85" t="n"/>
      <c r="L528" s="91" t="n"/>
      <c r="M528" s="85" t="n"/>
      <c r="N528" s="85" t="n"/>
      <c r="O528" s="91" t="n"/>
      <c r="P528" s="92" t="n"/>
      <c r="Q528" s="91" t="n"/>
      <c r="R528" s="91" t="n"/>
      <c r="S528" s="92" t="n"/>
      <c r="T528" s="93" t="n"/>
      <c r="U528" s="91" t="n"/>
      <c r="V528" s="160" t="n"/>
      <c r="W528" s="92" t="n"/>
    </row>
    <row r="529" ht="16.5" customHeight="1">
      <c r="A529" s="89" t="n"/>
      <c r="B529" s="85" t="n"/>
      <c r="C529" s="85" t="n"/>
      <c r="D529" s="90" t="n"/>
      <c r="E529" s="85" t="n"/>
      <c r="F529" s="85" t="n"/>
      <c r="G529" s="85" t="n"/>
      <c r="H529" s="85" t="n"/>
      <c r="I529" s="85" t="n"/>
      <c r="J529" s="69" t="n"/>
      <c r="K529" s="85" t="n"/>
      <c r="L529" s="91" t="n"/>
      <c r="M529" s="85" t="n"/>
      <c r="N529" s="85" t="n"/>
      <c r="O529" s="91" t="n"/>
      <c r="P529" s="92" t="n"/>
      <c r="Q529" s="91" t="n"/>
      <c r="R529" s="91" t="n"/>
      <c r="S529" s="92" t="n"/>
      <c r="T529" s="93" t="n"/>
      <c r="U529" s="91" t="n"/>
      <c r="V529" s="160" t="n"/>
      <c r="W529" s="92" t="n"/>
    </row>
    <row r="530" ht="16.5" customHeight="1">
      <c r="A530" s="89" t="n"/>
      <c r="B530" s="85" t="n"/>
      <c r="C530" s="85" t="n"/>
      <c r="D530" s="90" t="n"/>
      <c r="E530" s="85" t="n"/>
      <c r="F530" s="85" t="n"/>
      <c r="G530" s="85" t="n"/>
      <c r="H530" s="85" t="n"/>
      <c r="I530" s="85" t="n"/>
      <c r="J530" s="69" t="n"/>
      <c r="K530" s="85" t="n"/>
      <c r="L530" s="91" t="n"/>
      <c r="M530" s="85" t="n"/>
      <c r="N530" s="85" t="n"/>
      <c r="O530" s="91" t="n"/>
      <c r="P530" s="92" t="n"/>
      <c r="Q530" s="91" t="n"/>
      <c r="R530" s="91" t="n"/>
      <c r="S530" s="92" t="n"/>
      <c r="T530" s="93" t="n"/>
      <c r="U530" s="91" t="n"/>
      <c r="V530" s="160" t="n"/>
      <c r="W530" s="92" t="n"/>
    </row>
    <row r="531" ht="16.5" customHeight="1">
      <c r="A531" s="89" t="n"/>
      <c r="B531" s="85" t="n"/>
      <c r="C531" s="85" t="n"/>
      <c r="D531" s="90" t="n"/>
      <c r="E531" s="85" t="n"/>
      <c r="F531" s="85" t="n"/>
      <c r="G531" s="85" t="n"/>
      <c r="H531" s="85" t="n"/>
      <c r="I531" s="85" t="n"/>
      <c r="J531" s="69" t="n"/>
      <c r="K531" s="85" t="n"/>
      <c r="L531" s="91" t="n"/>
      <c r="M531" s="85" t="n"/>
      <c r="N531" s="85" t="n"/>
      <c r="O531" s="91" t="n"/>
      <c r="P531" s="92" t="n"/>
      <c r="Q531" s="91" t="n"/>
      <c r="R531" s="91" t="n"/>
      <c r="S531" s="92" t="n"/>
      <c r="T531" s="93" t="n"/>
      <c r="U531" s="91" t="n"/>
      <c r="V531" s="160" t="n"/>
      <c r="W531" s="92" t="n"/>
    </row>
    <row r="532" ht="16.5" customHeight="1">
      <c r="A532" s="89" t="n"/>
      <c r="B532" s="85" t="n"/>
      <c r="C532" s="85" t="n"/>
      <c r="D532" s="90" t="n"/>
      <c r="E532" s="85" t="n"/>
      <c r="F532" s="85" t="n"/>
      <c r="G532" s="85" t="n"/>
      <c r="H532" s="85" t="n"/>
      <c r="I532" s="85" t="n"/>
      <c r="J532" s="69" t="n"/>
      <c r="K532" s="85" t="n"/>
      <c r="L532" s="91" t="n"/>
      <c r="M532" s="85" t="n"/>
      <c r="N532" s="85" t="n"/>
      <c r="O532" s="91" t="n"/>
      <c r="P532" s="92" t="n"/>
      <c r="Q532" s="91" t="n"/>
      <c r="R532" s="91" t="n"/>
      <c r="S532" s="92" t="n"/>
      <c r="T532" s="93" t="n"/>
      <c r="U532" s="91" t="n"/>
      <c r="V532" s="160" t="n"/>
      <c r="W532" s="92" t="n"/>
    </row>
    <row r="533" ht="16.5" customHeight="1">
      <c r="A533" s="89" t="n"/>
      <c r="B533" s="85" t="n"/>
      <c r="C533" s="85" t="n"/>
      <c r="D533" s="90" t="n"/>
      <c r="E533" s="85" t="n"/>
      <c r="F533" s="85" t="n"/>
      <c r="G533" s="85" t="n"/>
      <c r="H533" s="85" t="n"/>
      <c r="I533" s="85" t="n"/>
      <c r="J533" s="69" t="n"/>
      <c r="K533" s="85" t="n"/>
      <c r="L533" s="91" t="n"/>
      <c r="M533" s="85" t="n"/>
      <c r="N533" s="85" t="n"/>
      <c r="O533" s="91" t="n"/>
      <c r="P533" s="92" t="n"/>
      <c r="Q533" s="91" t="n"/>
      <c r="R533" s="91" t="n"/>
      <c r="S533" s="92" t="n"/>
      <c r="T533" s="93" t="n"/>
      <c r="U533" s="91" t="n"/>
      <c r="V533" s="160" t="n"/>
      <c r="W533" s="92" t="n"/>
    </row>
    <row r="534" ht="16.5" customHeight="1">
      <c r="A534" s="89" t="n"/>
      <c r="B534" s="85" t="n"/>
      <c r="C534" s="85" t="n"/>
      <c r="D534" s="90" t="n"/>
      <c r="E534" s="85" t="n"/>
      <c r="F534" s="85" t="n"/>
      <c r="G534" s="85" t="n"/>
      <c r="H534" s="85" t="n"/>
      <c r="I534" s="85" t="n"/>
      <c r="J534" s="69" t="n"/>
      <c r="K534" s="85" t="n"/>
      <c r="L534" s="91" t="n"/>
      <c r="M534" s="85" t="n"/>
      <c r="N534" s="85" t="n"/>
      <c r="O534" s="91" t="n"/>
      <c r="P534" s="92" t="n"/>
      <c r="Q534" s="91" t="n"/>
      <c r="R534" s="91" t="n"/>
      <c r="S534" s="92" t="n"/>
      <c r="T534" s="93" t="n"/>
      <c r="U534" s="91" t="n"/>
      <c r="V534" s="160" t="n"/>
      <c r="W534" s="92" t="n"/>
    </row>
    <row r="535" ht="16.5" customHeight="1">
      <c r="A535" s="89" t="n"/>
      <c r="B535" s="85" t="n"/>
      <c r="C535" s="85" t="n"/>
      <c r="D535" s="90" t="n"/>
      <c r="E535" s="85" t="n"/>
      <c r="F535" s="85" t="n"/>
      <c r="G535" s="85" t="n"/>
      <c r="H535" s="85" t="n"/>
      <c r="I535" s="85" t="n"/>
      <c r="J535" s="69" t="n"/>
      <c r="K535" s="85" t="n"/>
      <c r="L535" s="91" t="n"/>
      <c r="M535" s="85" t="n"/>
      <c r="N535" s="85" t="n"/>
      <c r="O535" s="91" t="n"/>
      <c r="P535" s="92" t="n"/>
      <c r="Q535" s="91" t="n"/>
      <c r="R535" s="91" t="n"/>
      <c r="S535" s="92" t="n"/>
      <c r="T535" s="93" t="n"/>
      <c r="U535" s="91" t="n"/>
      <c r="V535" s="160" t="n"/>
      <c r="W535" s="92" t="n"/>
    </row>
    <row r="536" ht="16.5" customHeight="1">
      <c r="A536" s="89" t="n"/>
      <c r="B536" s="85" t="n"/>
      <c r="C536" s="85" t="n"/>
      <c r="D536" s="90" t="n"/>
      <c r="E536" s="85" t="n"/>
      <c r="F536" s="85" t="n"/>
      <c r="G536" s="85" t="n"/>
      <c r="H536" s="85" t="n"/>
      <c r="I536" s="85" t="n"/>
      <c r="J536" s="69" t="n"/>
      <c r="K536" s="85" t="n"/>
      <c r="L536" s="91" t="n"/>
      <c r="M536" s="85" t="n"/>
      <c r="N536" s="85" t="n"/>
      <c r="O536" s="91" t="n"/>
      <c r="P536" s="92" t="n"/>
      <c r="Q536" s="91" t="n"/>
      <c r="R536" s="91" t="n"/>
      <c r="S536" s="92" t="n"/>
      <c r="T536" s="93" t="n"/>
      <c r="U536" s="91" t="n"/>
      <c r="V536" s="160" t="n"/>
      <c r="W536" s="92" t="n"/>
    </row>
    <row r="537" ht="16.5" customHeight="1">
      <c r="A537" s="89" t="n"/>
      <c r="B537" s="85" t="n"/>
      <c r="C537" s="85" t="n"/>
      <c r="D537" s="90" t="n"/>
      <c r="E537" s="85" t="n"/>
      <c r="F537" s="85" t="n"/>
      <c r="G537" s="85" t="n"/>
      <c r="H537" s="85" t="n"/>
      <c r="I537" s="85" t="n"/>
      <c r="J537" s="69" t="n"/>
      <c r="K537" s="85" t="n"/>
      <c r="L537" s="91" t="n"/>
      <c r="M537" s="85" t="n"/>
      <c r="N537" s="85" t="n"/>
      <c r="O537" s="91" t="n"/>
      <c r="P537" s="92" t="n"/>
      <c r="Q537" s="91" t="n"/>
      <c r="R537" s="91" t="n"/>
      <c r="S537" s="92" t="n"/>
      <c r="T537" s="93" t="n"/>
      <c r="U537" s="91" t="n"/>
      <c r="V537" s="160" t="n"/>
      <c r="W537" s="92" t="n"/>
    </row>
    <row r="538" ht="16.5" customHeight="1">
      <c r="A538" s="89" t="n"/>
      <c r="B538" s="85" t="n"/>
      <c r="C538" s="85" t="n"/>
      <c r="D538" s="90" t="n"/>
      <c r="E538" s="85" t="n"/>
      <c r="F538" s="85" t="n"/>
      <c r="G538" s="85" t="n"/>
      <c r="H538" s="85" t="n"/>
      <c r="I538" s="85" t="n"/>
      <c r="J538" s="69" t="n"/>
      <c r="K538" s="85" t="n"/>
      <c r="L538" s="91" t="n"/>
      <c r="M538" s="85" t="n"/>
      <c r="N538" s="85" t="n"/>
      <c r="O538" s="91" t="n"/>
      <c r="P538" s="92" t="n"/>
      <c r="Q538" s="91" t="n"/>
      <c r="R538" s="91" t="n"/>
      <c r="S538" s="92" t="n"/>
      <c r="T538" s="93" t="n"/>
      <c r="U538" s="91" t="n"/>
      <c r="V538" s="160" t="n"/>
      <c r="W538" s="92" t="n"/>
    </row>
    <row r="539" ht="16.5" customHeight="1">
      <c r="A539" s="89" t="n"/>
      <c r="B539" s="85" t="n"/>
      <c r="C539" s="85" t="n"/>
      <c r="D539" s="90" t="n"/>
      <c r="E539" s="85" t="n"/>
      <c r="F539" s="85" t="n"/>
      <c r="G539" s="85" t="n"/>
      <c r="H539" s="85" t="n"/>
      <c r="I539" s="85" t="n"/>
      <c r="J539" s="69" t="n"/>
      <c r="K539" s="85" t="n"/>
      <c r="L539" s="91" t="n"/>
      <c r="M539" s="85" t="n"/>
      <c r="N539" s="85" t="n"/>
      <c r="O539" s="91" t="n"/>
      <c r="P539" s="92" t="n"/>
      <c r="Q539" s="91" t="n"/>
      <c r="R539" s="91" t="n"/>
      <c r="S539" s="92" t="n"/>
      <c r="T539" s="93" t="n"/>
      <c r="U539" s="91" t="n"/>
      <c r="V539" s="160" t="n"/>
      <c r="W539" s="92" t="n"/>
    </row>
    <row r="540" ht="16.5" customHeight="1">
      <c r="A540" s="89" t="n"/>
      <c r="B540" s="85" t="n"/>
      <c r="C540" s="85" t="n"/>
      <c r="D540" s="90" t="n"/>
      <c r="E540" s="85" t="n"/>
      <c r="F540" s="85" t="n"/>
      <c r="G540" s="85" t="n"/>
      <c r="H540" s="85" t="n"/>
      <c r="I540" s="85" t="n"/>
      <c r="J540" s="69" t="n"/>
      <c r="K540" s="85" t="n"/>
      <c r="L540" s="91" t="n"/>
      <c r="M540" s="85" t="n"/>
      <c r="N540" s="85" t="n"/>
      <c r="O540" s="91" t="n"/>
      <c r="P540" s="92" t="n"/>
      <c r="Q540" s="91" t="n"/>
      <c r="R540" s="91" t="n"/>
      <c r="S540" s="92" t="n"/>
      <c r="T540" s="93" t="n"/>
      <c r="U540" s="91" t="n"/>
      <c r="V540" s="160" t="n"/>
      <c r="W540" s="92" t="n"/>
    </row>
    <row r="541" ht="16.5" customHeight="1">
      <c r="A541" s="89" t="n"/>
      <c r="B541" s="85" t="n"/>
      <c r="C541" s="85" t="n"/>
      <c r="D541" s="90" t="n"/>
      <c r="E541" s="85" t="n"/>
      <c r="F541" s="85" t="n"/>
      <c r="G541" s="85" t="n"/>
      <c r="H541" s="85" t="n"/>
      <c r="I541" s="85" t="n"/>
      <c r="J541" s="69" t="n"/>
      <c r="K541" s="85" t="n"/>
      <c r="L541" s="91" t="n"/>
      <c r="M541" s="85" t="n"/>
      <c r="N541" s="85" t="n"/>
      <c r="O541" s="91" t="n"/>
      <c r="P541" s="92" t="n"/>
      <c r="Q541" s="91" t="n"/>
      <c r="R541" s="91" t="n"/>
      <c r="S541" s="92" t="n"/>
      <c r="T541" s="93" t="n"/>
      <c r="U541" s="91" t="n"/>
      <c r="V541" s="160" t="n"/>
      <c r="W541" s="92" t="n"/>
    </row>
    <row r="542" ht="16.5" customHeight="1">
      <c r="A542" s="89" t="n"/>
      <c r="B542" s="85" t="n"/>
      <c r="C542" s="85" t="n"/>
      <c r="D542" s="90" t="n"/>
      <c r="E542" s="85" t="n"/>
      <c r="F542" s="85" t="n"/>
      <c r="G542" s="85" t="n"/>
      <c r="H542" s="85" t="n"/>
      <c r="I542" s="85" t="n"/>
      <c r="J542" s="69" t="n"/>
      <c r="K542" s="85" t="n"/>
      <c r="L542" s="91" t="n"/>
      <c r="M542" s="85" t="n"/>
      <c r="N542" s="85" t="n"/>
      <c r="O542" s="91" t="n"/>
      <c r="P542" s="92" t="n"/>
      <c r="Q542" s="91" t="n"/>
      <c r="R542" s="91" t="n"/>
      <c r="S542" s="92" t="n"/>
      <c r="T542" s="93" t="n"/>
      <c r="U542" s="91" t="n"/>
      <c r="V542" s="160" t="n"/>
      <c r="W542" s="92" t="n"/>
    </row>
    <row r="543" ht="16.5" customHeight="1">
      <c r="A543" s="89" t="n"/>
      <c r="B543" s="85" t="n"/>
      <c r="C543" s="85" t="n"/>
      <c r="D543" s="90" t="n"/>
      <c r="E543" s="85" t="n"/>
      <c r="F543" s="85" t="n"/>
      <c r="G543" s="85" t="n"/>
      <c r="H543" s="85" t="n"/>
      <c r="I543" s="85" t="n"/>
      <c r="J543" s="69" t="n"/>
      <c r="K543" s="85" t="n"/>
      <c r="L543" s="91" t="n"/>
      <c r="M543" s="85" t="n"/>
      <c r="N543" s="85" t="n"/>
      <c r="O543" s="91" t="n"/>
      <c r="P543" s="92" t="n"/>
      <c r="Q543" s="91" t="n"/>
      <c r="R543" s="91" t="n"/>
      <c r="S543" s="92" t="n"/>
      <c r="T543" s="93" t="n"/>
      <c r="U543" s="91" t="n"/>
      <c r="V543" s="160" t="n"/>
      <c r="W543" s="92" t="n"/>
    </row>
    <row r="544" ht="16.5" customHeight="1">
      <c r="A544" s="89" t="n"/>
      <c r="B544" s="85" t="n"/>
      <c r="C544" s="85" t="n"/>
      <c r="D544" s="90" t="n"/>
      <c r="E544" s="85" t="n"/>
      <c r="F544" s="85" t="n"/>
      <c r="G544" s="85" t="n"/>
      <c r="H544" s="85" t="n"/>
      <c r="I544" s="85" t="n"/>
      <c r="J544" s="69" t="n"/>
      <c r="K544" s="85" t="n"/>
      <c r="L544" s="91" t="n"/>
      <c r="M544" s="85" t="n"/>
      <c r="N544" s="85" t="n"/>
      <c r="O544" s="91" t="n"/>
      <c r="P544" s="92" t="n"/>
      <c r="Q544" s="91" t="n"/>
      <c r="R544" s="91" t="n"/>
      <c r="S544" s="92" t="n"/>
      <c r="T544" s="93" t="n"/>
      <c r="U544" s="91" t="n"/>
      <c r="V544" s="160" t="n"/>
      <c r="W544" s="92" t="n"/>
    </row>
    <row r="545" ht="16.5" customHeight="1">
      <c r="A545" s="89" t="n"/>
      <c r="B545" s="85" t="n"/>
      <c r="C545" s="85" t="n"/>
      <c r="D545" s="90" t="n"/>
      <c r="E545" s="85" t="n"/>
      <c r="F545" s="85" t="n"/>
      <c r="G545" s="85" t="n"/>
      <c r="H545" s="85" t="n"/>
      <c r="I545" s="85" t="n"/>
      <c r="J545" s="69" t="n"/>
      <c r="K545" s="85" t="n"/>
      <c r="L545" s="91" t="n"/>
      <c r="M545" s="85" t="n"/>
      <c r="N545" s="85" t="n"/>
      <c r="O545" s="91" t="n"/>
      <c r="P545" s="92" t="n"/>
      <c r="Q545" s="91" t="n"/>
      <c r="R545" s="91" t="n"/>
      <c r="S545" s="92" t="n"/>
      <c r="T545" s="93" t="n"/>
      <c r="U545" s="91" t="n"/>
      <c r="V545" s="160" t="n"/>
      <c r="W545" s="92" t="n"/>
    </row>
    <row r="546" ht="16.5" customHeight="1">
      <c r="A546" s="89" t="n"/>
      <c r="B546" s="85" t="n"/>
      <c r="C546" s="85" t="n"/>
      <c r="D546" s="90" t="n"/>
      <c r="E546" s="85" t="n"/>
      <c r="F546" s="85" t="n"/>
      <c r="G546" s="85" t="n"/>
      <c r="H546" s="85" t="n"/>
      <c r="I546" s="85" t="n"/>
      <c r="J546" s="69" t="n"/>
      <c r="K546" s="85" t="n"/>
      <c r="L546" s="91" t="n"/>
      <c r="M546" s="85" t="n"/>
      <c r="N546" s="85" t="n"/>
      <c r="O546" s="91" t="n"/>
      <c r="P546" s="92" t="n"/>
      <c r="Q546" s="91" t="n"/>
      <c r="R546" s="91" t="n"/>
      <c r="S546" s="92" t="n"/>
      <c r="T546" s="93" t="n"/>
      <c r="U546" s="91" t="n"/>
      <c r="V546" s="160" t="n"/>
      <c r="W546" s="92" t="n"/>
    </row>
    <row r="547" ht="16.5" customHeight="1">
      <c r="A547" s="89" t="n"/>
      <c r="B547" s="85" t="n"/>
      <c r="C547" s="85" t="n"/>
      <c r="D547" s="90" t="n"/>
      <c r="E547" s="85" t="n"/>
      <c r="F547" s="85" t="n"/>
      <c r="G547" s="85" t="n"/>
      <c r="H547" s="85" t="n"/>
      <c r="I547" s="85" t="n"/>
      <c r="J547" s="69" t="n"/>
      <c r="K547" s="85" t="n"/>
      <c r="L547" s="91" t="n"/>
      <c r="M547" s="85" t="n"/>
      <c r="N547" s="85" t="n"/>
      <c r="O547" s="91" t="n"/>
      <c r="P547" s="92" t="n"/>
      <c r="Q547" s="91" t="n"/>
      <c r="R547" s="91" t="n"/>
      <c r="S547" s="92" t="n"/>
      <c r="T547" s="93" t="n"/>
      <c r="U547" s="91" t="n"/>
      <c r="V547" s="160" t="n"/>
      <c r="W547" s="92" t="n"/>
    </row>
    <row r="548" ht="16.5" customHeight="1">
      <c r="A548" s="89" t="n"/>
      <c r="B548" s="85" t="n"/>
      <c r="C548" s="85" t="n"/>
      <c r="D548" s="90" t="n"/>
      <c r="E548" s="85" t="n"/>
      <c r="F548" s="85" t="n"/>
      <c r="G548" s="85" t="n"/>
      <c r="H548" s="85" t="n"/>
      <c r="I548" s="85" t="n"/>
      <c r="J548" s="69" t="n"/>
      <c r="K548" s="85" t="n"/>
      <c r="L548" s="91" t="n"/>
      <c r="M548" s="85" t="n"/>
      <c r="N548" s="85" t="n"/>
      <c r="O548" s="91" t="n"/>
      <c r="P548" s="92" t="n"/>
      <c r="Q548" s="91" t="n"/>
      <c r="R548" s="91" t="n"/>
      <c r="S548" s="92" t="n"/>
      <c r="T548" s="93" t="n"/>
      <c r="U548" s="91" t="n"/>
      <c r="V548" s="160" t="n"/>
      <c r="W548" s="92" t="n"/>
    </row>
    <row r="549" ht="16.5" customHeight="1">
      <c r="A549" s="89" t="n"/>
      <c r="B549" s="85" t="n"/>
      <c r="C549" s="85" t="n"/>
      <c r="D549" s="90" t="n"/>
      <c r="E549" s="85" t="n"/>
      <c r="F549" s="85" t="n"/>
      <c r="G549" s="85" t="n"/>
      <c r="H549" s="85" t="n"/>
      <c r="I549" s="85" t="n"/>
      <c r="J549" s="69" t="n"/>
      <c r="K549" s="85" t="n"/>
      <c r="L549" s="91" t="n"/>
      <c r="M549" s="85" t="n"/>
      <c r="N549" s="85" t="n"/>
      <c r="O549" s="91" t="n"/>
      <c r="P549" s="92" t="n"/>
      <c r="Q549" s="91" t="n"/>
      <c r="R549" s="91" t="n"/>
      <c r="S549" s="92" t="n"/>
      <c r="T549" s="93" t="n"/>
      <c r="U549" s="91" t="n"/>
      <c r="V549" s="160" t="n"/>
      <c r="W549" s="92" t="n"/>
    </row>
    <row r="550" ht="16.5" customHeight="1">
      <c r="A550" s="89" t="n"/>
      <c r="B550" s="85" t="n"/>
      <c r="C550" s="85" t="n"/>
      <c r="D550" s="90" t="n"/>
      <c r="E550" s="85" t="n"/>
      <c r="F550" s="85" t="n"/>
      <c r="G550" s="85" t="n"/>
      <c r="H550" s="85" t="n"/>
      <c r="I550" s="85" t="n"/>
      <c r="J550" s="69" t="n"/>
      <c r="K550" s="85" t="n"/>
      <c r="L550" s="91" t="n"/>
      <c r="M550" s="85" t="n"/>
      <c r="N550" s="85" t="n"/>
      <c r="O550" s="91" t="n"/>
      <c r="P550" s="92" t="n"/>
      <c r="Q550" s="91" t="n"/>
      <c r="R550" s="91" t="n"/>
      <c r="S550" s="92" t="n"/>
      <c r="T550" s="93" t="n"/>
      <c r="U550" s="91" t="n"/>
      <c r="V550" s="160" t="n"/>
      <c r="W550" s="92" t="n"/>
    </row>
    <row r="551" ht="16.5" customHeight="1">
      <c r="A551" s="89" t="n"/>
      <c r="B551" s="85" t="n"/>
      <c r="C551" s="85" t="n"/>
      <c r="D551" s="90" t="n"/>
      <c r="E551" s="85" t="n"/>
      <c r="F551" s="85" t="n"/>
      <c r="G551" s="85" t="n"/>
      <c r="H551" s="85" t="n"/>
      <c r="I551" s="85" t="n"/>
      <c r="J551" s="69" t="n"/>
      <c r="K551" s="85" t="n"/>
      <c r="L551" s="91" t="n"/>
      <c r="M551" s="85" t="n"/>
      <c r="N551" s="85" t="n"/>
      <c r="O551" s="91" t="n"/>
      <c r="P551" s="92" t="n"/>
      <c r="Q551" s="91" t="n"/>
      <c r="R551" s="91" t="n"/>
      <c r="S551" s="92" t="n"/>
      <c r="T551" s="93" t="n"/>
      <c r="U551" s="91" t="n"/>
      <c r="V551" s="160" t="n"/>
      <c r="W551" s="92" t="n"/>
    </row>
    <row r="552" ht="16.5" customHeight="1">
      <c r="A552" s="89" t="n"/>
      <c r="B552" s="85" t="n"/>
      <c r="C552" s="85" t="n"/>
      <c r="D552" s="90" t="n"/>
      <c r="E552" s="85" t="n"/>
      <c r="F552" s="85" t="n"/>
      <c r="G552" s="85" t="n"/>
      <c r="H552" s="85" t="n"/>
      <c r="I552" s="85" t="n"/>
      <c r="J552" s="69" t="n"/>
      <c r="K552" s="85" t="n"/>
      <c r="L552" s="91" t="n"/>
      <c r="M552" s="85" t="n"/>
      <c r="N552" s="85" t="n"/>
      <c r="O552" s="91" t="n"/>
      <c r="P552" s="92" t="n"/>
      <c r="Q552" s="91" t="n"/>
      <c r="R552" s="91" t="n"/>
      <c r="S552" s="92" t="n"/>
      <c r="T552" s="93" t="n"/>
      <c r="U552" s="91" t="n"/>
      <c r="V552" s="160" t="n"/>
      <c r="W552" s="92" t="n"/>
    </row>
    <row r="553" ht="16.5" customHeight="1">
      <c r="A553" s="89" t="n"/>
      <c r="B553" s="85" t="n"/>
      <c r="C553" s="85" t="n"/>
      <c r="D553" s="90" t="n"/>
      <c r="E553" s="85" t="n"/>
      <c r="F553" s="85" t="n"/>
      <c r="G553" s="85" t="n"/>
      <c r="H553" s="85" t="n"/>
      <c r="I553" s="85" t="n"/>
      <c r="J553" s="69" t="n"/>
      <c r="K553" s="85" t="n"/>
      <c r="L553" s="91" t="n"/>
      <c r="M553" s="85" t="n"/>
      <c r="N553" s="85" t="n"/>
      <c r="O553" s="91" t="n"/>
      <c r="P553" s="92" t="n"/>
      <c r="Q553" s="91" t="n"/>
      <c r="R553" s="91" t="n"/>
      <c r="S553" s="92" t="n"/>
      <c r="T553" s="93" t="n"/>
      <c r="U553" s="91" t="n"/>
      <c r="V553" s="160" t="n"/>
      <c r="W553" s="92" t="n"/>
    </row>
    <row r="554" ht="16.5" customHeight="1">
      <c r="A554" s="89" t="n"/>
      <c r="B554" s="85" t="n"/>
      <c r="C554" s="85" t="n"/>
      <c r="D554" s="90" t="n"/>
      <c r="E554" s="85" t="n"/>
      <c r="F554" s="85" t="n"/>
      <c r="G554" s="85" t="n"/>
      <c r="H554" s="85" t="n"/>
      <c r="I554" s="85" t="n"/>
      <c r="J554" s="69" t="n"/>
      <c r="K554" s="85" t="n"/>
      <c r="L554" s="91" t="n"/>
      <c r="M554" s="85" t="n"/>
      <c r="N554" s="85" t="n"/>
      <c r="O554" s="91" t="n"/>
      <c r="P554" s="92" t="n"/>
      <c r="Q554" s="91" t="n"/>
      <c r="R554" s="91" t="n"/>
      <c r="S554" s="92" t="n"/>
      <c r="T554" s="93" t="n"/>
      <c r="U554" s="91" t="n"/>
      <c r="V554" s="160" t="n"/>
      <c r="W554" s="92" t="n"/>
    </row>
    <row r="555" ht="16.5" customHeight="1">
      <c r="A555" s="89" t="n"/>
      <c r="B555" s="85" t="n"/>
      <c r="C555" s="85" t="n"/>
      <c r="D555" s="90" t="n"/>
      <c r="E555" s="85" t="n"/>
      <c r="F555" s="85" t="n"/>
      <c r="G555" s="85" t="n"/>
      <c r="H555" s="85" t="n"/>
      <c r="I555" s="85" t="n"/>
      <c r="J555" s="69" t="n"/>
      <c r="K555" s="85" t="n"/>
      <c r="L555" s="91" t="n"/>
      <c r="M555" s="85" t="n"/>
      <c r="N555" s="85" t="n"/>
      <c r="O555" s="91" t="n"/>
      <c r="P555" s="92" t="n"/>
      <c r="Q555" s="91" t="n"/>
      <c r="R555" s="91" t="n"/>
      <c r="S555" s="92" t="n"/>
      <c r="T555" s="93" t="n"/>
      <c r="U555" s="91" t="n"/>
      <c r="V555" s="160" t="n"/>
      <c r="W555" s="92" t="n"/>
    </row>
    <row r="556" ht="16.5" customHeight="1">
      <c r="A556" s="89" t="n"/>
      <c r="B556" s="85" t="n"/>
      <c r="C556" s="85" t="n"/>
      <c r="D556" s="90" t="n"/>
      <c r="E556" s="85" t="n"/>
      <c r="F556" s="85" t="n"/>
      <c r="G556" s="85" t="n"/>
      <c r="H556" s="85" t="n"/>
      <c r="I556" s="85" t="n"/>
      <c r="J556" s="69" t="n"/>
      <c r="K556" s="85" t="n"/>
      <c r="L556" s="91" t="n"/>
      <c r="M556" s="85" t="n"/>
      <c r="N556" s="85" t="n"/>
      <c r="O556" s="91" t="n"/>
      <c r="P556" s="92" t="n"/>
      <c r="Q556" s="91" t="n"/>
      <c r="R556" s="91" t="n"/>
      <c r="S556" s="92" t="n"/>
      <c r="T556" s="93" t="n"/>
      <c r="U556" s="91" t="n"/>
      <c r="V556" s="160" t="n"/>
      <c r="W556" s="92" t="n"/>
    </row>
    <row r="557" ht="16.5" customHeight="1">
      <c r="A557" s="89" t="n"/>
      <c r="B557" s="85" t="n"/>
      <c r="C557" s="85" t="n"/>
      <c r="D557" s="90" t="n"/>
      <c r="E557" s="85" t="n"/>
      <c r="F557" s="85" t="n"/>
      <c r="G557" s="85" t="n"/>
      <c r="H557" s="85" t="n"/>
      <c r="I557" s="85" t="n"/>
      <c r="J557" s="69" t="n"/>
      <c r="K557" s="85" t="n"/>
      <c r="L557" s="91" t="n"/>
      <c r="M557" s="85" t="n"/>
      <c r="N557" s="85" t="n"/>
      <c r="O557" s="91" t="n"/>
      <c r="P557" s="92" t="n"/>
      <c r="Q557" s="91" t="n"/>
      <c r="R557" s="91" t="n"/>
      <c r="S557" s="92" t="n"/>
      <c r="T557" s="93" t="n"/>
      <c r="U557" s="91" t="n"/>
      <c r="V557" s="160" t="n"/>
      <c r="W557" s="92" t="n"/>
    </row>
    <row r="558" ht="16.5" customHeight="1">
      <c r="A558" s="89" t="n"/>
      <c r="B558" s="85" t="n"/>
      <c r="C558" s="85" t="n"/>
      <c r="D558" s="90" t="n"/>
      <c r="E558" s="85" t="n"/>
      <c r="F558" s="85" t="n"/>
      <c r="G558" s="85" t="n"/>
      <c r="H558" s="85" t="n"/>
      <c r="I558" s="85" t="n"/>
      <c r="J558" s="69" t="n"/>
      <c r="K558" s="85" t="n"/>
      <c r="L558" s="91" t="n"/>
      <c r="M558" s="85" t="n"/>
      <c r="N558" s="85" t="n"/>
      <c r="O558" s="91" t="n"/>
      <c r="P558" s="92" t="n"/>
      <c r="Q558" s="91" t="n"/>
      <c r="R558" s="91" t="n"/>
      <c r="S558" s="92" t="n"/>
      <c r="T558" s="93" t="n"/>
      <c r="U558" s="91" t="n"/>
      <c r="V558" s="160" t="n"/>
      <c r="W558" s="92" t="n"/>
    </row>
    <row r="559" ht="16.5" customHeight="1">
      <c r="A559" s="89" t="n"/>
      <c r="B559" s="85" t="n"/>
      <c r="C559" s="85" t="n"/>
      <c r="D559" s="90" t="n"/>
      <c r="E559" s="85" t="n"/>
      <c r="F559" s="85" t="n"/>
      <c r="G559" s="85" t="n"/>
      <c r="H559" s="85" t="n"/>
      <c r="I559" s="85" t="n"/>
      <c r="J559" s="69" t="n"/>
      <c r="K559" s="85" t="n"/>
      <c r="L559" s="91" t="n"/>
      <c r="M559" s="85" t="n"/>
      <c r="N559" s="85" t="n"/>
      <c r="O559" s="91" t="n"/>
      <c r="P559" s="92" t="n"/>
      <c r="Q559" s="91" t="n"/>
      <c r="R559" s="91" t="n"/>
      <c r="S559" s="92" t="n"/>
      <c r="T559" s="93" t="n"/>
      <c r="U559" s="91" t="n"/>
      <c r="V559" s="160" t="n"/>
      <c r="W559" s="92" t="n"/>
    </row>
    <row r="560" ht="16.5" customHeight="1">
      <c r="A560" s="89" t="n"/>
      <c r="B560" s="85" t="n"/>
      <c r="C560" s="85" t="n"/>
      <c r="D560" s="90" t="n"/>
      <c r="E560" s="85" t="n"/>
      <c r="F560" s="85" t="n"/>
      <c r="G560" s="85" t="n"/>
      <c r="H560" s="85" t="n"/>
      <c r="I560" s="85" t="n"/>
      <c r="J560" s="69" t="n"/>
      <c r="K560" s="85" t="n"/>
      <c r="L560" s="91" t="n"/>
      <c r="M560" s="85" t="n"/>
      <c r="N560" s="85" t="n"/>
      <c r="O560" s="91" t="n"/>
      <c r="P560" s="92" t="n"/>
      <c r="Q560" s="91" t="n"/>
      <c r="R560" s="91" t="n"/>
      <c r="S560" s="92" t="n"/>
      <c r="T560" s="93" t="n"/>
      <c r="U560" s="91" t="n"/>
      <c r="V560" s="160" t="n"/>
      <c r="W560" s="92" t="n"/>
    </row>
    <row r="561" ht="16.5" customHeight="1">
      <c r="A561" s="89" t="n"/>
      <c r="B561" s="85" t="n"/>
      <c r="C561" s="85" t="n"/>
      <c r="D561" s="90" t="n"/>
      <c r="E561" s="85" t="n"/>
      <c r="F561" s="85" t="n"/>
      <c r="G561" s="85" t="n"/>
      <c r="H561" s="85" t="n"/>
      <c r="I561" s="85" t="n"/>
      <c r="J561" s="69" t="n"/>
      <c r="K561" s="85" t="n"/>
      <c r="L561" s="91" t="n"/>
      <c r="M561" s="85" t="n"/>
      <c r="N561" s="85" t="n"/>
      <c r="O561" s="91" t="n"/>
      <c r="P561" s="92" t="n"/>
      <c r="Q561" s="91" t="n"/>
      <c r="R561" s="91" t="n"/>
      <c r="S561" s="92" t="n"/>
      <c r="T561" s="93" t="n"/>
      <c r="U561" s="91" t="n"/>
      <c r="V561" s="160" t="n"/>
      <c r="W561" s="92" t="n"/>
    </row>
    <row r="562" ht="16.5" customHeight="1">
      <c r="A562" s="89" t="n"/>
      <c r="B562" s="85" t="n"/>
      <c r="C562" s="85" t="n"/>
      <c r="D562" s="90" t="n"/>
      <c r="E562" s="85" t="n"/>
      <c r="F562" s="85" t="n"/>
      <c r="G562" s="85" t="n"/>
      <c r="H562" s="85" t="n"/>
      <c r="I562" s="85" t="n"/>
      <c r="J562" s="69" t="n"/>
      <c r="K562" s="85" t="n"/>
      <c r="L562" s="91" t="n"/>
      <c r="M562" s="85" t="n"/>
      <c r="N562" s="85" t="n"/>
      <c r="O562" s="91" t="n"/>
      <c r="P562" s="92" t="n"/>
      <c r="Q562" s="91" t="n"/>
      <c r="R562" s="91" t="n"/>
      <c r="S562" s="92" t="n"/>
      <c r="T562" s="93" t="n"/>
      <c r="U562" s="91" t="n"/>
      <c r="V562" s="160" t="n"/>
      <c r="W562" s="92" t="n"/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60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60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60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60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60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60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92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92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92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92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92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92" t="n"/>
      <c r="W574" s="92" t="n"/>
    </row>
  </sheetData>
  <conditionalFormatting sqref="A476:A565">
    <cfRule type="duplicateValues" priority="5" dxfId="4"/>
  </conditionalFormatting>
  <conditionalFormatting sqref="A566:A574">
    <cfRule type="duplicateValues" priority="8" dxfId="4"/>
  </conditionalFormatting>
  <conditionalFormatting sqref="C476:C565">
    <cfRule type="duplicateValues" priority="6" dxfId="1"/>
  </conditionalFormatting>
  <conditionalFormatting sqref="C566:C574">
    <cfRule type="duplicateValues" priority="9" dxfId="1"/>
  </conditionalFormatting>
  <conditionalFormatting sqref="L476:L1048576">
    <cfRule type="cellIs" priority="2" operator="greaterThan" dxfId="1">
      <formula>0</formula>
    </cfRule>
  </conditionalFormatting>
  <conditionalFormatting sqref="O476:O574">
    <cfRule type="cellIs" priority="1" operator="lessThan" dxfId="0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77"/>
  <sheetViews>
    <sheetView tabSelected="0" workbookViewId="0">
      <selection activeCell="C14" sqref="C14"/>
    </sheetView>
  </sheetViews>
  <sheetFormatPr baseColWidth="8" defaultColWidth="11.75" defaultRowHeight="12.75"/>
  <cols>
    <col width="9.875" customWidth="1" style="6" min="1" max="1"/>
    <col width="10.875" customWidth="1" style="5" min="2" max="2"/>
    <col width="10.875" customWidth="1" style="6" min="3" max="3"/>
    <col width="9.125" customWidth="1" style="6" min="4" max="4"/>
    <col width="8.875" customWidth="1" style="6" min="5" max="5"/>
    <col width="5.75" customWidth="1" style="6" min="6" max="9"/>
    <col width="8.375" customWidth="1" style="6" min="10" max="10"/>
    <col width="6.625" customWidth="1" style="5" min="11" max="11"/>
    <col width="7.125" customWidth="1" style="5" min="12" max="12"/>
    <col width="6.625" customWidth="1" style="5" min="13" max="16"/>
    <col width="3.125" customWidth="1" style="5" min="17" max="17"/>
    <col width="6.625" customWidth="1" style="5" min="18" max="18"/>
    <col width="7.375" customWidth="1" style="5" min="19" max="19"/>
    <col width="6.625" customWidth="1" style="5" min="20" max="23"/>
    <col width="9" customWidth="1" style="6" min="24" max="24"/>
    <col hidden="1" width="5.875" customWidth="1" style="6" min="25" max="25"/>
    <col hidden="1" width="4.75" customWidth="1" style="6" min="26" max="29"/>
    <col hidden="1" width="5.25" customWidth="1" style="6" min="30" max="31"/>
    <col hidden="1" width="4.75" customWidth="1" style="5" min="32" max="35"/>
    <col hidden="1" width="5.25" customWidth="1" style="5" min="36" max="36"/>
    <col hidden="1" width="2.875" customWidth="1" style="6" min="37" max="37"/>
    <col hidden="1" width="4.75" customWidth="1" style="5" min="38" max="41"/>
    <col hidden="1" width="5.25" customWidth="1" style="5" min="42" max="42"/>
    <col hidden="1" width="6.125" customWidth="1" style="6" min="43" max="43"/>
    <col hidden="1" width="4.75" customWidth="1" style="5" min="44" max="47"/>
    <col hidden="1" width="5.25" customWidth="1" style="5" min="48" max="48"/>
    <col hidden="1" width="7.125" customWidth="1" style="5" min="49" max="49"/>
    <col width="11.75" customWidth="1" style="5" min="50" max="16384"/>
  </cols>
  <sheetData>
    <row r="1" ht="17.1" customHeight="1">
      <c r="A1" s="120" t="inlineStr">
        <is>
          <t>HAL / Terminal</t>
        </is>
      </c>
      <c r="B1" s="176" t="n"/>
      <c r="C1" s="176" t="n"/>
      <c r="D1" s="176" t="n"/>
      <c r="E1" s="176" t="n"/>
      <c r="F1" s="120" t="inlineStr">
        <is>
          <t>GP/RF</t>
        </is>
      </c>
      <c r="G1" s="176" t="n"/>
      <c r="H1" s="120" t="inlineStr">
        <is>
          <t>DG</t>
        </is>
      </c>
      <c r="I1" s="176" t="n"/>
      <c r="J1" s="41" t="inlineStr">
        <is>
          <t>G1</t>
        </is>
      </c>
      <c r="K1" s="16" t="inlineStr">
        <is>
          <t>GP/RF</t>
        </is>
      </c>
      <c r="L1" s="17" t="inlineStr">
        <is>
          <t xml:space="preserve">Terminal </t>
        </is>
      </c>
      <c r="M1" s="18" t="inlineStr">
        <is>
          <t>LCH04</t>
        </is>
      </c>
      <c r="N1" s="19" t="n"/>
      <c r="O1" s="19" t="n"/>
      <c r="P1" s="8" t="n"/>
      <c r="R1" s="16" t="inlineStr">
        <is>
          <t>DG</t>
        </is>
      </c>
      <c r="S1" s="17" t="inlineStr">
        <is>
          <t xml:space="preserve">Terminal </t>
        </is>
      </c>
      <c r="T1" s="18" t="inlineStr">
        <is>
          <t>LCH04</t>
        </is>
      </c>
      <c r="U1" s="19" t="n"/>
      <c r="V1" s="19" t="n"/>
      <c r="W1" s="8" t="n"/>
      <c r="X1" s="12" t="n"/>
      <c r="Y1" s="12" t="inlineStr">
        <is>
          <t>GP/RF</t>
        </is>
      </c>
      <c r="Z1" s="12" t="inlineStr">
        <is>
          <t>20'</t>
        </is>
      </c>
      <c r="AA1" s="12" t="n"/>
      <c r="AB1" s="12" t="n"/>
      <c r="AC1" s="12" t="n"/>
      <c r="AD1" s="12" t="n"/>
      <c r="AE1" s="12" t="inlineStr">
        <is>
          <t>GP/RF</t>
        </is>
      </c>
      <c r="AF1" s="12" t="inlineStr">
        <is>
          <t>40'</t>
        </is>
      </c>
      <c r="AG1" s="12" t="n"/>
      <c r="AH1" s="12" t="n"/>
      <c r="AI1" s="12" t="n"/>
      <c r="AJ1" s="12" t="n"/>
      <c r="AL1" s="7" t="inlineStr">
        <is>
          <t>DG</t>
        </is>
      </c>
      <c r="AM1" s="7" t="inlineStr">
        <is>
          <t>20'</t>
        </is>
      </c>
      <c r="AN1" s="38" t="n"/>
      <c r="AO1" s="38" t="n"/>
      <c r="AP1" s="38" t="n"/>
      <c r="AQ1" s="38" t="n"/>
      <c r="AR1" s="7" t="inlineStr">
        <is>
          <t>DG</t>
        </is>
      </c>
      <c r="AS1" s="7" t="inlineStr">
        <is>
          <t>40'</t>
        </is>
      </c>
      <c r="AT1" s="34" t="n"/>
      <c r="AU1" s="33" t="n"/>
      <c r="AV1" s="34" t="n"/>
      <c r="AW1" s="34" t="n"/>
    </row>
    <row r="2" ht="17.1" customHeight="1">
      <c r="A2" s="6" t="inlineStr">
        <is>
          <t>Terminal</t>
        </is>
      </c>
      <c r="B2" s="6" t="inlineStr">
        <is>
          <t>Port</t>
        </is>
      </c>
      <c r="C2" s="6" t="inlineStr">
        <is>
          <t>Code</t>
        </is>
      </c>
      <c r="D2" s="6" t="inlineStr">
        <is>
          <t>FreeTime</t>
        </is>
      </c>
      <c r="E2" s="6" t="inlineStr">
        <is>
          <t>Days</t>
        </is>
      </c>
      <c r="F2" s="6" t="inlineStr">
        <is>
          <t>20'</t>
        </is>
      </c>
      <c r="G2" s="6" t="inlineStr">
        <is>
          <t>40'</t>
        </is>
      </c>
      <c r="H2" s="6" t="inlineStr">
        <is>
          <t>20'</t>
        </is>
      </c>
      <c r="I2" s="6" t="inlineStr">
        <is>
          <t>40'</t>
        </is>
      </c>
      <c r="K2" s="6" t="inlineStr">
        <is>
          <t>Day</t>
        </is>
      </c>
      <c r="L2" s="6" t="inlineStr">
        <is>
          <t>สะสม 20'</t>
        </is>
      </c>
      <c r="M2" s="6" t="inlineStr">
        <is>
          <t>20'</t>
        </is>
      </c>
      <c r="N2" s="6" t="inlineStr">
        <is>
          <t>Day</t>
        </is>
      </c>
      <c r="O2" s="6" t="inlineStr">
        <is>
          <t>สะสม 40'</t>
        </is>
      </c>
      <c r="P2" s="6" t="inlineStr">
        <is>
          <t>40'</t>
        </is>
      </c>
      <c r="Q2" s="6" t="n"/>
      <c r="R2" s="6" t="inlineStr">
        <is>
          <t>Day</t>
        </is>
      </c>
      <c r="S2" s="6" t="inlineStr">
        <is>
          <t>สะสม 20'</t>
        </is>
      </c>
      <c r="T2" s="6" t="inlineStr">
        <is>
          <t>20'</t>
        </is>
      </c>
      <c r="U2" s="6" t="inlineStr">
        <is>
          <t>Day</t>
        </is>
      </c>
      <c r="V2" s="6" t="inlineStr">
        <is>
          <t>สะสม 40'</t>
        </is>
      </c>
      <c r="W2" s="6" t="inlineStr">
        <is>
          <t>40'</t>
        </is>
      </c>
      <c r="X2" s="12" t="n"/>
      <c r="Y2" s="37" t="n">
        <v>0</v>
      </c>
      <c r="Z2" s="33" t="n">
        <v>0</v>
      </c>
      <c r="AA2" s="33">
        <f>Z2</f>
        <v/>
      </c>
      <c r="AB2" s="33" t="n">
        <v>4</v>
      </c>
      <c r="AC2" s="34" t="n">
        <v>250</v>
      </c>
      <c r="AD2" s="34">
        <f>AA5+AC2</f>
        <v/>
      </c>
      <c r="AE2" s="37" t="n">
        <v>0</v>
      </c>
      <c r="AF2" s="33" t="n">
        <v>0</v>
      </c>
      <c r="AG2" s="33">
        <f>AF2</f>
        <v/>
      </c>
      <c r="AH2" s="33" t="n">
        <v>4</v>
      </c>
      <c r="AI2" s="34" t="n">
        <v>500</v>
      </c>
      <c r="AJ2" s="34">
        <f>AG5+AI2</f>
        <v/>
      </c>
      <c r="AL2" s="37" t="n">
        <v>0</v>
      </c>
      <c r="AM2" s="33" t="n">
        <v>0</v>
      </c>
      <c r="AN2" s="33">
        <f>AM2</f>
        <v/>
      </c>
      <c r="AO2" s="33" t="n">
        <v>4</v>
      </c>
      <c r="AP2" s="34" t="n">
        <v>750</v>
      </c>
      <c r="AQ2" s="34">
        <f>AN5+AP2</f>
        <v/>
      </c>
      <c r="AR2" s="37" t="n">
        <v>0</v>
      </c>
      <c r="AS2" s="33" t="n">
        <v>0</v>
      </c>
      <c r="AT2" s="33">
        <f>AS2</f>
        <v/>
      </c>
      <c r="AU2" s="33" t="n">
        <v>4</v>
      </c>
      <c r="AV2" s="34" t="n">
        <v>1500</v>
      </c>
      <c r="AW2" s="34">
        <f>AT5+AV2</f>
        <v/>
      </c>
    </row>
    <row r="3" ht="17.1" customHeight="1">
      <c r="A3" s="6" t="inlineStr">
        <is>
          <t>LCMT</t>
        </is>
      </c>
      <c r="B3" s="5" t="inlineStr">
        <is>
          <t>A0 / B1</t>
        </is>
      </c>
      <c r="C3" s="6" t="inlineStr">
        <is>
          <t>LCH04</t>
        </is>
      </c>
      <c r="D3" s="6" t="n">
        <v>7</v>
      </c>
      <c r="E3" s="21" t="inlineStr">
        <is>
          <t>1-3</t>
        </is>
      </c>
      <c r="F3" s="12" t="n">
        <v>125</v>
      </c>
      <c r="G3" s="12" t="n">
        <v>250</v>
      </c>
      <c r="H3" s="27" t="n">
        <v>375</v>
      </c>
      <c r="I3" s="27" t="n">
        <v>750</v>
      </c>
      <c r="J3" s="27" t="n"/>
      <c r="K3" s="6" t="n">
        <v>0</v>
      </c>
      <c r="L3" s="6" t="n">
        <v>0</v>
      </c>
      <c r="M3" s="25" t="n">
        <v>125</v>
      </c>
      <c r="N3" s="6" t="n">
        <v>0</v>
      </c>
      <c r="O3" s="6" t="n">
        <v>0</v>
      </c>
      <c r="P3" s="23" t="n">
        <v>250</v>
      </c>
      <c r="Q3" s="6" t="n"/>
      <c r="R3" s="6" t="n">
        <v>0</v>
      </c>
      <c r="S3" s="6" t="n">
        <v>0</v>
      </c>
      <c r="T3" s="27" t="n">
        <v>375</v>
      </c>
      <c r="U3" s="6" t="n">
        <v>0</v>
      </c>
      <c r="V3" s="6" t="n">
        <v>0</v>
      </c>
      <c r="W3" s="27" t="n">
        <v>750</v>
      </c>
      <c r="Y3" s="37" t="n">
        <v>1</v>
      </c>
      <c r="Z3" s="34" t="n">
        <v>125</v>
      </c>
      <c r="AA3" s="34">
        <f>Z2+Z3</f>
        <v/>
      </c>
      <c r="AB3" s="33" t="n">
        <v>5</v>
      </c>
      <c r="AC3" s="34" t="n">
        <v>250</v>
      </c>
      <c r="AD3" s="34">
        <f>AD2+AC3</f>
        <v/>
      </c>
      <c r="AE3" s="37" t="n">
        <v>1</v>
      </c>
      <c r="AF3" s="34" t="n">
        <v>250</v>
      </c>
      <c r="AG3" s="34">
        <f>AF2+AF3</f>
        <v/>
      </c>
      <c r="AH3" s="33" t="n">
        <v>5</v>
      </c>
      <c r="AI3" s="34" t="n">
        <v>500</v>
      </c>
      <c r="AJ3" s="34">
        <f>AJ2+AI3</f>
        <v/>
      </c>
      <c r="AL3" s="37" t="n">
        <v>1</v>
      </c>
      <c r="AM3" s="34" t="n">
        <v>375</v>
      </c>
      <c r="AN3" s="34">
        <f>AM2+AM3</f>
        <v/>
      </c>
      <c r="AO3" s="33" t="n">
        <v>5</v>
      </c>
      <c r="AP3" s="34" t="n">
        <v>750</v>
      </c>
      <c r="AQ3" s="34">
        <f>AQ2+AP3</f>
        <v/>
      </c>
      <c r="AR3" s="37" t="n">
        <v>1</v>
      </c>
      <c r="AS3" s="34" t="n">
        <v>750</v>
      </c>
      <c r="AT3" s="34">
        <f>AS2+AS3</f>
        <v/>
      </c>
      <c r="AU3" s="33" t="n">
        <v>5</v>
      </c>
      <c r="AV3" s="34" t="n">
        <v>1500</v>
      </c>
      <c r="AW3" s="34">
        <f>AW2+AV3</f>
        <v/>
      </c>
    </row>
    <row r="4" ht="17.1" customHeight="1">
      <c r="E4" s="21" t="inlineStr">
        <is>
          <t>4-10</t>
        </is>
      </c>
      <c r="F4" s="12" t="n">
        <v>250</v>
      </c>
      <c r="G4" s="12" t="n">
        <v>500</v>
      </c>
      <c r="H4" s="27" t="n">
        <v>750</v>
      </c>
      <c r="I4" s="27" t="n">
        <v>1500</v>
      </c>
      <c r="J4" s="27" t="n"/>
      <c r="K4" s="6" t="n">
        <v>3</v>
      </c>
      <c r="L4" s="29" t="n">
        <v>375</v>
      </c>
      <c r="M4" s="25" t="n">
        <v>250</v>
      </c>
      <c r="N4" s="6" t="n">
        <v>3</v>
      </c>
      <c r="O4" s="29" t="n">
        <v>750</v>
      </c>
      <c r="P4" s="23" t="n">
        <v>500</v>
      </c>
      <c r="Q4" s="6" t="n"/>
      <c r="R4" s="6" t="n">
        <v>3</v>
      </c>
      <c r="S4" s="31" t="n">
        <v>1125</v>
      </c>
      <c r="T4" s="27" t="n">
        <v>750</v>
      </c>
      <c r="U4" s="6" t="n">
        <v>3</v>
      </c>
      <c r="V4" s="31" t="n">
        <v>2250</v>
      </c>
      <c r="W4" s="27" t="n">
        <v>1500</v>
      </c>
      <c r="Y4" s="37" t="n">
        <v>2</v>
      </c>
      <c r="Z4" s="34" t="n">
        <v>125</v>
      </c>
      <c r="AA4" s="34">
        <f>AA3+Z4</f>
        <v/>
      </c>
      <c r="AB4" s="33" t="n">
        <v>6</v>
      </c>
      <c r="AC4" s="34" t="n">
        <v>250</v>
      </c>
      <c r="AD4" s="34">
        <f>AD3+AC4</f>
        <v/>
      </c>
      <c r="AE4" s="37" t="n">
        <v>2</v>
      </c>
      <c r="AF4" s="34" t="n">
        <v>250</v>
      </c>
      <c r="AG4" s="34">
        <f>AG3+AF4</f>
        <v/>
      </c>
      <c r="AH4" s="33" t="n">
        <v>6</v>
      </c>
      <c r="AI4" s="34" t="n">
        <v>500</v>
      </c>
      <c r="AJ4" s="34">
        <f>AJ3+AI4</f>
        <v/>
      </c>
      <c r="AL4" s="37" t="n">
        <v>2</v>
      </c>
      <c r="AM4" s="34" t="n">
        <v>375</v>
      </c>
      <c r="AN4" s="34">
        <f>AN3+AM4</f>
        <v/>
      </c>
      <c r="AO4" s="33" t="n">
        <v>6</v>
      </c>
      <c r="AP4" s="34" t="n">
        <v>750</v>
      </c>
      <c r="AQ4" s="34">
        <f>AQ3+AP4</f>
        <v/>
      </c>
      <c r="AR4" s="37" t="n">
        <v>2</v>
      </c>
      <c r="AS4" s="34" t="n">
        <v>750</v>
      </c>
      <c r="AT4" s="34">
        <f>AT3+AS4</f>
        <v/>
      </c>
      <c r="AU4" s="33" t="n">
        <v>6</v>
      </c>
      <c r="AV4" s="34" t="n">
        <v>1500</v>
      </c>
      <c r="AW4" s="34">
        <f>AW3+AV4</f>
        <v/>
      </c>
    </row>
    <row r="5" ht="17.1" customHeight="1">
      <c r="A5" s="10" t="n"/>
      <c r="B5" s="9" t="n"/>
      <c r="C5" s="10" t="n"/>
      <c r="D5" s="10" t="n"/>
      <c r="E5" s="22" t="inlineStr">
        <is>
          <t>11 ขึ้นไป</t>
        </is>
      </c>
      <c r="F5" s="112" t="n">
        <v>400</v>
      </c>
      <c r="G5" s="112" t="n">
        <v>800</v>
      </c>
      <c r="H5" s="28" t="n">
        <v>1200</v>
      </c>
      <c r="I5" s="28" t="n">
        <v>2400</v>
      </c>
      <c r="J5" s="27" t="n"/>
      <c r="K5" s="10" t="n">
        <v>10</v>
      </c>
      <c r="L5" s="30" t="n">
        <v>2275</v>
      </c>
      <c r="M5" s="26" t="n">
        <v>400</v>
      </c>
      <c r="N5" s="10" t="n">
        <v>10</v>
      </c>
      <c r="O5" s="30" t="n">
        <v>4550</v>
      </c>
      <c r="P5" s="24" t="n">
        <v>800</v>
      </c>
      <c r="Q5" s="6" t="n"/>
      <c r="R5" s="10" t="n">
        <v>10</v>
      </c>
      <c r="S5" s="32" t="n">
        <v>6825</v>
      </c>
      <c r="T5" s="28" t="n">
        <v>1200</v>
      </c>
      <c r="U5" s="10" t="n">
        <v>10</v>
      </c>
      <c r="V5" s="32" t="n">
        <v>13650</v>
      </c>
      <c r="W5" s="28" t="n">
        <v>2400</v>
      </c>
      <c r="Y5" s="37" t="n">
        <v>3</v>
      </c>
      <c r="Z5" s="34" t="n">
        <v>125</v>
      </c>
      <c r="AA5" s="35">
        <f>AA4+Z5</f>
        <v/>
      </c>
      <c r="AB5" s="33" t="n">
        <v>7</v>
      </c>
      <c r="AC5" s="34" t="n">
        <v>250</v>
      </c>
      <c r="AD5" s="34">
        <f>AD4+AC5</f>
        <v/>
      </c>
      <c r="AE5" s="37" t="n">
        <v>3</v>
      </c>
      <c r="AF5" s="34" t="n">
        <v>250</v>
      </c>
      <c r="AG5" s="35">
        <f>AG4+AF5</f>
        <v/>
      </c>
      <c r="AH5" s="33" t="n">
        <v>7</v>
      </c>
      <c r="AI5" s="34" t="n">
        <v>500</v>
      </c>
      <c r="AJ5" s="34">
        <f>AJ4+AI5</f>
        <v/>
      </c>
      <c r="AL5" s="37" t="n">
        <v>3</v>
      </c>
      <c r="AM5" s="34" t="n">
        <v>375</v>
      </c>
      <c r="AN5" s="36">
        <f>AN4+AM5</f>
        <v/>
      </c>
      <c r="AO5" s="33" t="n">
        <v>7</v>
      </c>
      <c r="AP5" s="34" t="n">
        <v>750</v>
      </c>
      <c r="AQ5" s="34">
        <f>AQ4+AP5</f>
        <v/>
      </c>
      <c r="AR5" s="37" t="n">
        <v>3</v>
      </c>
      <c r="AS5" s="34" t="n">
        <v>750</v>
      </c>
      <c r="AT5" s="36">
        <f>AT4+AS5</f>
        <v/>
      </c>
      <c r="AU5" s="33" t="n">
        <v>7</v>
      </c>
      <c r="AV5" s="34" t="n">
        <v>1500</v>
      </c>
      <c r="AW5" s="34">
        <f>AW4+AV5</f>
        <v/>
      </c>
    </row>
    <row r="6" ht="17.1" customHeight="1">
      <c r="E6" s="21" t="n"/>
      <c r="K6" s="6" t="n"/>
      <c r="L6" s="6" t="n"/>
      <c r="M6" s="15" t="n"/>
      <c r="N6" s="6" t="n"/>
      <c r="O6" s="6" t="n"/>
      <c r="P6" s="6" t="n"/>
      <c r="Q6" s="6" t="n"/>
      <c r="R6" s="6" t="n"/>
      <c r="S6" s="6" t="n"/>
      <c r="T6" s="15" t="n"/>
      <c r="U6" s="6" t="n"/>
      <c r="V6" s="6" t="n"/>
      <c r="W6" s="6" t="n"/>
      <c r="Y6" s="37" t="n"/>
      <c r="Z6" s="33" t="n"/>
      <c r="AA6" s="33" t="n"/>
      <c r="AB6" s="33" t="n">
        <v>8</v>
      </c>
      <c r="AC6" s="34" t="n">
        <v>250</v>
      </c>
      <c r="AD6" s="34">
        <f>AD5+AC6</f>
        <v/>
      </c>
      <c r="AE6" s="37" t="n"/>
      <c r="AF6" s="33" t="n"/>
      <c r="AG6" s="33" t="n"/>
      <c r="AH6" s="33" t="n">
        <v>8</v>
      </c>
      <c r="AI6" s="34" t="n">
        <v>500</v>
      </c>
      <c r="AJ6" s="34">
        <f>AJ5+AI6</f>
        <v/>
      </c>
      <c r="AL6" s="37" t="n"/>
      <c r="AM6" s="33" t="n"/>
      <c r="AN6" s="33" t="n"/>
      <c r="AO6" s="33" t="n">
        <v>8</v>
      </c>
      <c r="AP6" s="34" t="n">
        <v>750</v>
      </c>
      <c r="AQ6" s="34">
        <f>AQ5+AP6</f>
        <v/>
      </c>
      <c r="AR6" s="37" t="n"/>
      <c r="AS6" s="33" t="n"/>
      <c r="AT6" s="33" t="n"/>
      <c r="AU6" s="33" t="n">
        <v>8</v>
      </c>
      <c r="AV6" s="34" t="n">
        <v>1500</v>
      </c>
      <c r="AW6" s="34">
        <f>AW5+AV6</f>
        <v/>
      </c>
    </row>
    <row r="7" ht="17.1" customHeight="1">
      <c r="A7" s="120" t="inlineStr">
        <is>
          <t>HAL / Terminal</t>
        </is>
      </c>
      <c r="B7" s="176" t="n"/>
      <c r="C7" s="176" t="n"/>
      <c r="D7" s="176" t="n"/>
      <c r="E7" s="176" t="n"/>
      <c r="F7" s="120" t="inlineStr">
        <is>
          <t>GP/RF</t>
        </is>
      </c>
      <c r="G7" s="176" t="n"/>
      <c r="H7" s="120" t="inlineStr">
        <is>
          <t>DG</t>
        </is>
      </c>
      <c r="I7" s="176" t="n"/>
      <c r="J7" s="41" t="inlineStr">
        <is>
          <t>G2</t>
        </is>
      </c>
      <c r="K7" s="16" t="inlineStr">
        <is>
          <t>GP/RF</t>
        </is>
      </c>
      <c r="L7" s="17" t="inlineStr">
        <is>
          <t xml:space="preserve">Terminal </t>
        </is>
      </c>
      <c r="M7" s="18" t="inlineStr">
        <is>
          <t>LCH01</t>
        </is>
      </c>
      <c r="N7" s="17" t="inlineStr">
        <is>
          <t>LCH03</t>
        </is>
      </c>
      <c r="O7" s="18" t="inlineStr">
        <is>
          <t>LCH05</t>
        </is>
      </c>
      <c r="P7" s="17" t="inlineStr">
        <is>
          <t>LCH10</t>
        </is>
      </c>
      <c r="Q7" s="11" t="n"/>
      <c r="R7" s="16" t="inlineStr">
        <is>
          <t>DG</t>
        </is>
      </c>
      <c r="S7" s="17" t="inlineStr">
        <is>
          <t xml:space="preserve">Terminal </t>
        </is>
      </c>
      <c r="T7" s="18" t="inlineStr">
        <is>
          <t>LCH01</t>
        </is>
      </c>
      <c r="U7" s="17" t="inlineStr">
        <is>
          <t>LCH03</t>
        </is>
      </c>
      <c r="V7" s="18" t="inlineStr">
        <is>
          <t>LCH05</t>
        </is>
      </c>
      <c r="W7" s="17" t="inlineStr">
        <is>
          <t>LCH10</t>
        </is>
      </c>
      <c r="Y7" s="37" t="n"/>
      <c r="Z7" s="33" t="n"/>
      <c r="AA7" s="33" t="n"/>
      <c r="AB7" s="33" t="n">
        <v>9</v>
      </c>
      <c r="AC7" s="34" t="n">
        <v>250</v>
      </c>
      <c r="AD7" s="34">
        <f>AD6+AC7</f>
        <v/>
      </c>
      <c r="AE7" s="37" t="n"/>
      <c r="AF7" s="33" t="n"/>
      <c r="AG7" s="33" t="n"/>
      <c r="AH7" s="33" t="n">
        <v>9</v>
      </c>
      <c r="AI7" s="34" t="n">
        <v>500</v>
      </c>
      <c r="AJ7" s="34">
        <f>AJ6+AI7</f>
        <v/>
      </c>
      <c r="AL7" s="37" t="n"/>
      <c r="AM7" s="33" t="n"/>
      <c r="AN7" s="33" t="n"/>
      <c r="AO7" s="33" t="n">
        <v>9</v>
      </c>
      <c r="AP7" s="34" t="n">
        <v>750</v>
      </c>
      <c r="AQ7" s="34">
        <f>AQ6+AP7</f>
        <v/>
      </c>
      <c r="AR7" s="37" t="n"/>
      <c r="AS7" s="33" t="n"/>
      <c r="AT7" s="33" t="n"/>
      <c r="AU7" s="33" t="n">
        <v>9</v>
      </c>
      <c r="AV7" s="34" t="n">
        <v>1500</v>
      </c>
      <c r="AW7" s="34">
        <f>AW6+AV7</f>
        <v/>
      </c>
    </row>
    <row r="8" ht="17.1" customHeight="1">
      <c r="A8" s="6" t="inlineStr">
        <is>
          <t>Terminal</t>
        </is>
      </c>
      <c r="B8" s="6" t="inlineStr">
        <is>
          <t>Port</t>
        </is>
      </c>
      <c r="C8" s="6" t="inlineStr">
        <is>
          <t>Code</t>
        </is>
      </c>
      <c r="D8" s="6" t="inlineStr">
        <is>
          <t>FreeTime</t>
        </is>
      </c>
      <c r="E8" s="6" t="inlineStr">
        <is>
          <t>Days</t>
        </is>
      </c>
      <c r="F8" s="6" t="inlineStr">
        <is>
          <t>20'</t>
        </is>
      </c>
      <c r="G8" s="6" t="inlineStr">
        <is>
          <t>40'</t>
        </is>
      </c>
      <c r="H8" s="6" t="inlineStr">
        <is>
          <t>20'</t>
        </is>
      </c>
      <c r="I8" s="6" t="inlineStr">
        <is>
          <t>40'</t>
        </is>
      </c>
      <c r="M8" s="13" t="inlineStr">
        <is>
          <t>LCH02</t>
        </is>
      </c>
      <c r="N8" s="13" t="inlineStr">
        <is>
          <t>LCH09</t>
        </is>
      </c>
      <c r="T8" s="13" t="inlineStr">
        <is>
          <t>LCH02</t>
        </is>
      </c>
      <c r="U8" s="13" t="inlineStr">
        <is>
          <t>LCH09</t>
        </is>
      </c>
      <c r="Y8" s="37" t="n"/>
      <c r="Z8" s="33" t="n"/>
      <c r="AA8" s="33" t="n"/>
      <c r="AB8" s="33" t="n">
        <v>10</v>
      </c>
      <c r="AC8" s="34" t="n">
        <v>400</v>
      </c>
      <c r="AD8" s="35">
        <f>AD7+AC8</f>
        <v/>
      </c>
      <c r="AE8" s="37" t="n"/>
      <c r="AF8" s="33" t="n"/>
      <c r="AG8" s="33" t="n"/>
      <c r="AH8" s="33" t="n">
        <v>10</v>
      </c>
      <c r="AI8" s="34" t="n">
        <v>800</v>
      </c>
      <c r="AJ8" s="35">
        <f>AJ7+AI8</f>
        <v/>
      </c>
      <c r="AL8" s="37" t="n"/>
      <c r="AM8" s="33" t="n"/>
      <c r="AN8" s="33" t="n"/>
      <c r="AO8" s="33" t="n">
        <v>10</v>
      </c>
      <c r="AP8" s="34" t="n">
        <v>1200</v>
      </c>
      <c r="AQ8" s="36">
        <f>AQ7+AP8</f>
        <v/>
      </c>
      <c r="AR8" s="37" t="n"/>
      <c r="AS8" s="33" t="n"/>
      <c r="AT8" s="33" t="n"/>
      <c r="AU8" s="33" t="n">
        <v>10</v>
      </c>
      <c r="AV8" s="34" t="n">
        <v>2400</v>
      </c>
      <c r="AW8" s="36">
        <f>AW7+AV8</f>
        <v/>
      </c>
    </row>
    <row r="9" ht="17.1" customHeight="1">
      <c r="A9" s="6" t="inlineStr">
        <is>
          <t>ESCO</t>
        </is>
      </c>
      <c r="B9" s="5" t="inlineStr">
        <is>
          <t>B3</t>
        </is>
      </c>
      <c r="C9" s="6" t="inlineStr">
        <is>
          <t>LCH01</t>
        </is>
      </c>
      <c r="D9" s="6" t="n">
        <v>7</v>
      </c>
      <c r="E9" s="21" t="inlineStr">
        <is>
          <t>1-7</t>
        </is>
      </c>
      <c r="F9" s="23" t="n">
        <v>125</v>
      </c>
      <c r="G9" s="23" t="n">
        <v>250</v>
      </c>
      <c r="H9" s="27" t="n">
        <v>375</v>
      </c>
      <c r="I9" s="27" t="n">
        <v>750</v>
      </c>
      <c r="J9" s="27" t="n"/>
      <c r="K9" s="6" t="inlineStr">
        <is>
          <t>Day</t>
        </is>
      </c>
      <c r="L9" s="6" t="inlineStr">
        <is>
          <t>สะสม 20'</t>
        </is>
      </c>
      <c r="M9" s="6" t="inlineStr">
        <is>
          <t>20'</t>
        </is>
      </c>
      <c r="N9" s="6" t="inlineStr">
        <is>
          <t>Day</t>
        </is>
      </c>
      <c r="O9" s="6" t="inlineStr">
        <is>
          <t>สะสม 40'</t>
        </is>
      </c>
      <c r="P9" s="6" t="inlineStr">
        <is>
          <t>40'</t>
        </is>
      </c>
      <c r="Q9" s="6" t="n"/>
      <c r="R9" s="6" t="inlineStr">
        <is>
          <t>Day</t>
        </is>
      </c>
      <c r="S9" s="6" t="inlineStr">
        <is>
          <t>สะสม 20'</t>
        </is>
      </c>
      <c r="T9" s="6" t="inlineStr">
        <is>
          <t>20'</t>
        </is>
      </c>
      <c r="U9" s="6" t="inlineStr">
        <is>
          <t>Day</t>
        </is>
      </c>
      <c r="V9" s="6" t="inlineStr">
        <is>
          <t>สะสม 40'</t>
        </is>
      </c>
      <c r="W9" s="6" t="inlineStr">
        <is>
          <t>40'</t>
        </is>
      </c>
      <c r="Y9" s="2" t="n"/>
      <c r="Z9" s="1" t="n"/>
      <c r="AA9" s="1" t="n"/>
      <c r="AB9" s="1" t="n"/>
      <c r="AC9" s="3" t="n"/>
      <c r="AD9" s="3" t="n"/>
      <c r="AE9" s="2" t="n"/>
      <c r="AF9" s="1" t="n"/>
      <c r="AG9" s="1" t="n"/>
      <c r="AH9" s="1" t="n"/>
      <c r="AI9" s="3" t="n"/>
      <c r="AJ9" s="3" t="n"/>
      <c r="AL9" s="6" t="n"/>
      <c r="AQ9" s="5" t="n"/>
      <c r="AR9" s="6" t="n"/>
    </row>
    <row r="10" ht="17.1" customHeight="1">
      <c r="A10" s="6" t="inlineStr">
        <is>
          <t>TIPS</t>
        </is>
      </c>
      <c r="B10" s="5" t="inlineStr">
        <is>
          <t>B4</t>
        </is>
      </c>
      <c r="C10" s="6" t="inlineStr">
        <is>
          <t>LCH03</t>
        </is>
      </c>
      <c r="D10" s="6" t="n">
        <v>7</v>
      </c>
      <c r="E10" s="21" t="inlineStr">
        <is>
          <t>8-14</t>
        </is>
      </c>
      <c r="F10" s="23" t="n">
        <v>250</v>
      </c>
      <c r="G10" s="23" t="n">
        <v>500</v>
      </c>
      <c r="H10" s="27" t="n">
        <v>750</v>
      </c>
      <c r="I10" s="27" t="n">
        <v>1500</v>
      </c>
      <c r="J10" s="27" t="n"/>
      <c r="K10" s="6" t="n">
        <v>0</v>
      </c>
      <c r="L10" s="6" t="n">
        <v>0</v>
      </c>
      <c r="M10" s="25" t="n">
        <v>125</v>
      </c>
      <c r="N10" s="6" t="n">
        <v>0</v>
      </c>
      <c r="O10" s="6" t="n">
        <v>0</v>
      </c>
      <c r="P10" s="23" t="n">
        <v>250</v>
      </c>
      <c r="Q10" s="6" t="n"/>
      <c r="R10" s="6" t="n">
        <v>0</v>
      </c>
      <c r="S10" s="6" t="n">
        <v>0</v>
      </c>
      <c r="T10" s="27" t="n">
        <v>375</v>
      </c>
      <c r="U10" s="6" t="n">
        <v>0</v>
      </c>
      <c r="V10" s="6" t="n">
        <v>0</v>
      </c>
      <c r="W10" s="27" t="n">
        <v>750</v>
      </c>
      <c r="Y10" s="12" t="inlineStr">
        <is>
          <t>GP/RF</t>
        </is>
      </c>
      <c r="Z10" s="12" t="inlineStr">
        <is>
          <t>20'</t>
        </is>
      </c>
      <c r="AA10" s="12" t="n"/>
      <c r="AB10" s="12" t="n"/>
      <c r="AC10" s="12" t="n"/>
      <c r="AD10" s="12" t="n"/>
      <c r="AE10" s="12" t="inlineStr">
        <is>
          <t>GP/RF</t>
        </is>
      </c>
      <c r="AF10" s="12" t="inlineStr">
        <is>
          <t>40'</t>
        </is>
      </c>
      <c r="AG10" s="12" t="n"/>
      <c r="AH10" s="12" t="n"/>
      <c r="AI10" s="12" t="n"/>
      <c r="AJ10" s="12" t="n"/>
      <c r="AL10" s="7" t="inlineStr">
        <is>
          <t>DG</t>
        </is>
      </c>
      <c r="AM10" s="7" t="inlineStr">
        <is>
          <t>20'</t>
        </is>
      </c>
      <c r="AN10" s="38" t="n"/>
      <c r="AO10" s="38" t="n"/>
      <c r="AP10" s="38" t="n"/>
      <c r="AQ10" s="38" t="n"/>
      <c r="AR10" s="7" t="inlineStr">
        <is>
          <t>DG</t>
        </is>
      </c>
      <c r="AS10" s="7" t="inlineStr">
        <is>
          <t>40'</t>
        </is>
      </c>
      <c r="AT10" s="34" t="n"/>
      <c r="AU10" s="33" t="n"/>
      <c r="AV10" s="34" t="n"/>
      <c r="AW10" s="34" t="n"/>
    </row>
    <row r="11" ht="17.1" customHeight="1">
      <c r="E11" s="21" t="inlineStr">
        <is>
          <t>15 -ขึ้นไป</t>
        </is>
      </c>
      <c r="F11" s="23" t="n">
        <v>400</v>
      </c>
      <c r="G11" s="23" t="n">
        <v>800</v>
      </c>
      <c r="H11" s="27" t="n">
        <v>1200</v>
      </c>
      <c r="I11" s="27" t="n">
        <v>2400</v>
      </c>
      <c r="J11" s="27" t="n"/>
      <c r="K11" s="6" t="n">
        <v>7</v>
      </c>
      <c r="L11" s="29" t="n">
        <v>875</v>
      </c>
      <c r="M11" s="25" t="n">
        <v>250</v>
      </c>
      <c r="N11" s="6" t="n">
        <v>7</v>
      </c>
      <c r="O11" s="29" t="n">
        <v>1750</v>
      </c>
      <c r="P11" s="23" t="n">
        <v>500</v>
      </c>
      <c r="Q11" s="6" t="n"/>
      <c r="R11" s="6" t="n">
        <v>7</v>
      </c>
      <c r="S11" s="31" t="n">
        <v>2625</v>
      </c>
      <c r="T11" s="27" t="n">
        <v>750</v>
      </c>
      <c r="U11" s="6" t="n">
        <v>7</v>
      </c>
      <c r="V11" s="31" t="n">
        <v>5250</v>
      </c>
      <c r="W11" s="27" t="n">
        <v>1500</v>
      </c>
      <c r="Y11" s="2" t="n">
        <v>0</v>
      </c>
      <c r="Z11" s="1" t="n">
        <v>0</v>
      </c>
      <c r="AA11" s="1">
        <f>Z11</f>
        <v/>
      </c>
      <c r="AB11" s="1" t="n"/>
      <c r="AC11" s="1" t="n"/>
      <c r="AD11" s="1" t="n"/>
      <c r="AE11" s="2" t="n">
        <v>0</v>
      </c>
      <c r="AF11" s="1" t="n">
        <v>0</v>
      </c>
      <c r="AG11" s="1">
        <f>AF11</f>
        <v/>
      </c>
      <c r="AH11" s="1" t="n"/>
      <c r="AI11" s="1" t="n"/>
      <c r="AJ11" s="1" t="n"/>
      <c r="AL11" s="1" t="n">
        <v>0</v>
      </c>
      <c r="AM11" s="1" t="n">
        <v>0</v>
      </c>
      <c r="AN11" s="1">
        <f>AM11</f>
        <v/>
      </c>
      <c r="AO11" s="1" t="n"/>
      <c r="AP11" s="1" t="n"/>
      <c r="AQ11" s="1" t="n"/>
      <c r="AR11" s="1" t="n">
        <v>0</v>
      </c>
      <c r="AS11" s="1" t="n">
        <v>0</v>
      </c>
      <c r="AT11" s="1">
        <f>AS11</f>
        <v/>
      </c>
      <c r="AU11" s="1" t="n"/>
      <c r="AV11" s="1" t="n"/>
      <c r="AW11" s="1" t="n"/>
    </row>
    <row r="12" ht="17.1" customHeight="1">
      <c r="A12" s="6" t="inlineStr">
        <is>
          <t>LCIT</t>
        </is>
      </c>
      <c r="B12" s="5" t="inlineStr">
        <is>
          <t>C3 / B5</t>
        </is>
      </c>
      <c r="C12" s="6" t="inlineStr">
        <is>
          <t>LCH05</t>
        </is>
      </c>
      <c r="D12" s="6" t="n">
        <v>7</v>
      </c>
      <c r="E12" s="21" t="n"/>
      <c r="K12" s="6" t="n">
        <v>14</v>
      </c>
      <c r="L12" s="29" t="n">
        <v>2625</v>
      </c>
      <c r="M12" s="25" t="n">
        <v>400</v>
      </c>
      <c r="N12" s="6" t="n">
        <v>14</v>
      </c>
      <c r="O12" s="29" t="n">
        <v>5250</v>
      </c>
      <c r="P12" s="23" t="n">
        <v>800</v>
      </c>
      <c r="Q12" s="6" t="n"/>
      <c r="R12" s="6" t="n">
        <v>14</v>
      </c>
      <c r="S12" s="31" t="n">
        <v>7875</v>
      </c>
      <c r="T12" s="27" t="n">
        <v>1200</v>
      </c>
      <c r="U12" s="6" t="n">
        <v>14</v>
      </c>
      <c r="V12" s="31" t="n">
        <v>15750</v>
      </c>
      <c r="W12" s="27" t="n">
        <v>2400</v>
      </c>
      <c r="Y12" s="2" t="n">
        <v>1</v>
      </c>
      <c r="Z12" s="3" t="n">
        <v>125</v>
      </c>
      <c r="AA12" s="3">
        <f>Z11+Z12</f>
        <v/>
      </c>
      <c r="AB12" s="1" t="n">
        <v>8</v>
      </c>
      <c r="AC12" s="1" t="n">
        <v>250</v>
      </c>
      <c r="AD12" s="3">
        <f>AA18+AC12</f>
        <v/>
      </c>
      <c r="AE12" s="2" t="n">
        <v>1</v>
      </c>
      <c r="AF12" s="3" t="n">
        <v>250</v>
      </c>
      <c r="AG12" s="3">
        <f>AF11+AF12</f>
        <v/>
      </c>
      <c r="AH12" s="1" t="n">
        <v>8</v>
      </c>
      <c r="AI12" s="1" t="n">
        <v>500</v>
      </c>
      <c r="AJ12" s="3">
        <f>AG18+AI12</f>
        <v/>
      </c>
      <c r="AL12" s="1" t="n">
        <v>1</v>
      </c>
      <c r="AM12" s="3" t="n">
        <v>375</v>
      </c>
      <c r="AN12" s="3">
        <f>AM11+AM12</f>
        <v/>
      </c>
      <c r="AO12" s="1" t="n">
        <v>8</v>
      </c>
      <c r="AP12" s="1" t="n">
        <v>750</v>
      </c>
      <c r="AQ12" s="3">
        <f>AN18+AP12</f>
        <v/>
      </c>
      <c r="AR12" s="1" t="n">
        <v>1</v>
      </c>
      <c r="AS12" s="3" t="n">
        <v>750</v>
      </c>
      <c r="AT12" s="3">
        <f>AS11+AS12</f>
        <v/>
      </c>
      <c r="AU12" s="1" t="n">
        <v>8</v>
      </c>
      <c r="AV12" s="1" t="n">
        <v>1500</v>
      </c>
      <c r="AW12" s="3">
        <f>AT18+AV12</f>
        <v/>
      </c>
    </row>
    <row r="13" ht="17.1" customHeight="1">
      <c r="C13" s="6" t="inlineStr">
        <is>
          <t>LCH10</t>
        </is>
      </c>
      <c r="D13" s="6" t="n">
        <v>7</v>
      </c>
      <c r="E13" s="21" t="n"/>
      <c r="Y13" s="2" t="n">
        <v>2</v>
      </c>
      <c r="Z13" s="3" t="n">
        <v>125</v>
      </c>
      <c r="AA13" s="3">
        <f>AA12+Z13</f>
        <v/>
      </c>
      <c r="AB13" s="1" t="n">
        <v>9</v>
      </c>
      <c r="AC13" s="1" t="n">
        <v>250</v>
      </c>
      <c r="AD13" s="3">
        <f>AD12+AC13</f>
        <v/>
      </c>
      <c r="AE13" s="2" t="n">
        <v>2</v>
      </c>
      <c r="AF13" s="3" t="n">
        <v>250</v>
      </c>
      <c r="AG13" s="3">
        <f>AG12+AF13</f>
        <v/>
      </c>
      <c r="AH13" s="1" t="n">
        <v>9</v>
      </c>
      <c r="AI13" s="1" t="n">
        <v>500</v>
      </c>
      <c r="AJ13" s="3">
        <f>AJ12+AI13</f>
        <v/>
      </c>
      <c r="AL13" s="1" t="n">
        <v>2</v>
      </c>
      <c r="AM13" s="3" t="n">
        <v>375</v>
      </c>
      <c r="AN13" s="3">
        <f>AN12+AM13</f>
        <v/>
      </c>
      <c r="AO13" s="1" t="n">
        <v>9</v>
      </c>
      <c r="AP13" s="1" t="n">
        <v>750</v>
      </c>
      <c r="AQ13" s="3">
        <f>AQ12+AP13</f>
        <v/>
      </c>
      <c r="AR13" s="1" t="n">
        <v>2</v>
      </c>
      <c r="AS13" s="3" t="n">
        <v>750</v>
      </c>
      <c r="AT13" s="3">
        <f>AT12+AS13</f>
        <v/>
      </c>
      <c r="AU13" s="1" t="n">
        <v>9</v>
      </c>
      <c r="AV13" s="1" t="n">
        <v>1500</v>
      </c>
      <c r="AW13" s="3">
        <f>AW12+AV13</f>
        <v/>
      </c>
    </row>
    <row r="14" ht="17.1" customHeight="1">
      <c r="A14" s="6" t="inlineStr">
        <is>
          <t>Hutchison</t>
        </is>
      </c>
      <c r="B14" s="5" t="inlineStr">
        <is>
          <t>A2 / A3</t>
        </is>
      </c>
      <c r="C14" s="41" t="inlineStr">
        <is>
          <t>LCH03</t>
        </is>
      </c>
      <c r="D14" s="6" t="n">
        <v>7</v>
      </c>
      <c r="E14" s="21" t="n"/>
      <c r="X14" s="5" t="n"/>
      <c r="Y14" s="2" t="n">
        <v>3</v>
      </c>
      <c r="Z14" s="3" t="n">
        <v>125</v>
      </c>
      <c r="AA14" s="3">
        <f>AA13+Z14</f>
        <v/>
      </c>
      <c r="AB14" s="1" t="n">
        <v>10</v>
      </c>
      <c r="AC14" s="1" t="n">
        <v>250</v>
      </c>
      <c r="AD14" s="3">
        <f>AD13+AC14</f>
        <v/>
      </c>
      <c r="AE14" s="2" t="n">
        <v>3</v>
      </c>
      <c r="AF14" s="3" t="n">
        <v>250</v>
      </c>
      <c r="AG14" s="3">
        <f>AG13+AF14</f>
        <v/>
      </c>
      <c r="AH14" s="1" t="n">
        <v>10</v>
      </c>
      <c r="AI14" s="1" t="n">
        <v>500</v>
      </c>
      <c r="AJ14" s="3">
        <f>AJ13+AI14</f>
        <v/>
      </c>
      <c r="AL14" s="1" t="n">
        <v>3</v>
      </c>
      <c r="AM14" s="3" t="n">
        <v>375</v>
      </c>
      <c r="AN14" s="3">
        <f>AN13+AM14</f>
        <v/>
      </c>
      <c r="AO14" s="1" t="n">
        <v>10</v>
      </c>
      <c r="AP14" s="1" t="n">
        <v>750</v>
      </c>
      <c r="AQ14" s="3">
        <f>AQ13+AP14</f>
        <v/>
      </c>
      <c r="AR14" s="1" t="n">
        <v>3</v>
      </c>
      <c r="AS14" s="3" t="n">
        <v>750</v>
      </c>
      <c r="AT14" s="3">
        <f>AT13+AS14</f>
        <v/>
      </c>
      <c r="AU14" s="1" t="n">
        <v>10</v>
      </c>
      <c r="AV14" s="1" t="n">
        <v>1500</v>
      </c>
      <c r="AW14" s="3">
        <f>AW13+AV14</f>
        <v/>
      </c>
    </row>
    <row r="15" ht="17.1" customHeight="1">
      <c r="A15" s="10" t="n"/>
      <c r="B15" s="9" t="inlineStr">
        <is>
          <t>C1 / C2 / D1</t>
        </is>
      </c>
      <c r="C15" s="117" t="inlineStr">
        <is>
          <t>LCH06</t>
        </is>
      </c>
      <c r="D15" s="112" t="n">
        <v>7</v>
      </c>
      <c r="E15" s="22" t="n"/>
      <c r="F15" s="10" t="n"/>
      <c r="G15" s="10" t="n"/>
      <c r="H15" s="10" t="n"/>
      <c r="I15" s="10" t="n"/>
      <c r="K15" s="9" t="n"/>
      <c r="L15" s="9" t="n"/>
      <c r="M15" s="9" t="n"/>
      <c r="N15" s="9" t="n"/>
      <c r="O15" s="9" t="n"/>
      <c r="P15" s="9" t="n"/>
      <c r="R15" s="9" t="n"/>
      <c r="S15" s="9" t="n"/>
      <c r="T15" s="9" t="n"/>
      <c r="U15" s="9" t="n"/>
      <c r="V15" s="9" t="n"/>
      <c r="W15" s="9" t="n"/>
      <c r="X15" s="5" t="n"/>
      <c r="Y15" s="2" t="n">
        <v>4</v>
      </c>
      <c r="Z15" s="3" t="n">
        <v>125</v>
      </c>
      <c r="AA15" s="3">
        <f>AA14+Z15</f>
        <v/>
      </c>
      <c r="AB15" s="1" t="n">
        <v>11</v>
      </c>
      <c r="AC15" s="1" t="n">
        <v>250</v>
      </c>
      <c r="AD15" s="3">
        <f>AD14+AC15</f>
        <v/>
      </c>
      <c r="AE15" s="2" t="n">
        <v>4</v>
      </c>
      <c r="AF15" s="3" t="n">
        <v>250</v>
      </c>
      <c r="AG15" s="3">
        <f>AG14+AF15</f>
        <v/>
      </c>
      <c r="AH15" s="1" t="n">
        <v>11</v>
      </c>
      <c r="AI15" s="1" t="n">
        <v>500</v>
      </c>
      <c r="AJ15" s="3">
        <f>AJ14+AI15</f>
        <v/>
      </c>
      <c r="AL15" s="1" t="n">
        <v>4</v>
      </c>
      <c r="AM15" s="3" t="n">
        <v>375</v>
      </c>
      <c r="AN15" s="3">
        <f>AN14+AM15</f>
        <v/>
      </c>
      <c r="AO15" s="1" t="n">
        <v>11</v>
      </c>
      <c r="AP15" s="1" t="n">
        <v>750</v>
      </c>
      <c r="AQ15" s="3">
        <f>AQ14+AP15</f>
        <v/>
      </c>
      <c r="AR15" s="1" t="n">
        <v>4</v>
      </c>
      <c r="AS15" s="3" t="n">
        <v>750</v>
      </c>
      <c r="AT15" s="3">
        <f>AT14+AS15</f>
        <v/>
      </c>
      <c r="AU15" s="1" t="n">
        <v>11</v>
      </c>
      <c r="AV15" s="1" t="n">
        <v>1500</v>
      </c>
      <c r="AW15" s="3">
        <f>AW14+AV15</f>
        <v/>
      </c>
    </row>
    <row r="16" ht="17.1" customHeight="1">
      <c r="E16" s="21" t="n"/>
      <c r="X16" s="5" t="n"/>
      <c r="Y16" s="2" t="n">
        <v>5</v>
      </c>
      <c r="Z16" s="3" t="n">
        <v>125</v>
      </c>
      <c r="AA16" s="3">
        <f>AA15+Z16</f>
        <v/>
      </c>
      <c r="AB16" s="1" t="n">
        <v>12</v>
      </c>
      <c r="AC16" s="1" t="n">
        <v>250</v>
      </c>
      <c r="AD16" s="3">
        <f>AD15+AC16</f>
        <v/>
      </c>
      <c r="AE16" s="2" t="n">
        <v>5</v>
      </c>
      <c r="AF16" s="3" t="n">
        <v>250</v>
      </c>
      <c r="AG16" s="3">
        <f>AG15+AF16</f>
        <v/>
      </c>
      <c r="AH16" s="1" t="n">
        <v>12</v>
      </c>
      <c r="AI16" s="1" t="n">
        <v>500</v>
      </c>
      <c r="AJ16" s="3">
        <f>AJ15+AI16</f>
        <v/>
      </c>
      <c r="AL16" s="1" t="n">
        <v>5</v>
      </c>
      <c r="AM16" s="3" t="n">
        <v>375</v>
      </c>
      <c r="AN16" s="3">
        <f>AN15+AM16</f>
        <v/>
      </c>
      <c r="AO16" s="1" t="n">
        <v>12</v>
      </c>
      <c r="AP16" s="1" t="n">
        <v>750</v>
      </c>
      <c r="AQ16" s="3">
        <f>AQ15+AP16</f>
        <v/>
      </c>
      <c r="AR16" s="1" t="n">
        <v>5</v>
      </c>
      <c r="AS16" s="3" t="n">
        <v>750</v>
      </c>
      <c r="AT16" s="3">
        <f>AT15+AS16</f>
        <v/>
      </c>
      <c r="AU16" s="1" t="n">
        <v>12</v>
      </c>
      <c r="AV16" s="1" t="n">
        <v>1500</v>
      </c>
      <c r="AW16" s="3">
        <f>AW15+AV16</f>
        <v/>
      </c>
    </row>
    <row r="17" ht="17.1" customHeight="1">
      <c r="A17" s="120" t="inlineStr">
        <is>
          <t>HAL / Terminal</t>
        </is>
      </c>
      <c r="B17" s="176" t="n"/>
      <c r="C17" s="176" t="n"/>
      <c r="D17" s="176" t="n"/>
      <c r="E17" s="176" t="n"/>
      <c r="F17" s="120" t="inlineStr">
        <is>
          <t>GP/RF</t>
        </is>
      </c>
      <c r="G17" s="176" t="n"/>
      <c r="H17" s="120" t="inlineStr">
        <is>
          <t>DG</t>
        </is>
      </c>
      <c r="I17" s="176" t="n"/>
      <c r="J17" s="41" t="inlineStr">
        <is>
          <t>G3</t>
        </is>
      </c>
      <c r="K17" s="16" t="inlineStr">
        <is>
          <t>GP/RF</t>
        </is>
      </c>
      <c r="L17" s="17" t="inlineStr">
        <is>
          <t>Terminal</t>
        </is>
      </c>
      <c r="M17" s="17" t="inlineStr">
        <is>
          <t>BKK01</t>
        </is>
      </c>
      <c r="N17" s="17" t="inlineStr">
        <is>
          <t>BKK04</t>
        </is>
      </c>
      <c r="O17" s="20" t="n"/>
      <c r="P17" s="20" t="n"/>
      <c r="Q17" s="14" t="n"/>
      <c r="R17" s="16" t="inlineStr">
        <is>
          <t>DG</t>
        </is>
      </c>
      <c r="S17" s="17" t="inlineStr">
        <is>
          <t>Terminal</t>
        </is>
      </c>
      <c r="T17" s="17" t="inlineStr">
        <is>
          <t>BKK01</t>
        </is>
      </c>
      <c r="U17" s="17" t="inlineStr">
        <is>
          <t>BKK04</t>
        </is>
      </c>
      <c r="V17" s="20" t="n"/>
      <c r="W17" s="20" t="n"/>
      <c r="X17" s="5" t="n"/>
      <c r="Y17" s="2" t="n">
        <v>6</v>
      </c>
      <c r="Z17" s="3" t="n">
        <v>125</v>
      </c>
      <c r="AA17" s="3">
        <f>AA16+Z17</f>
        <v/>
      </c>
      <c r="AB17" s="1" t="n">
        <v>13</v>
      </c>
      <c r="AC17" s="1" t="n">
        <v>250</v>
      </c>
      <c r="AD17" s="3">
        <f>AD16+AC17</f>
        <v/>
      </c>
      <c r="AE17" s="2" t="n">
        <v>6</v>
      </c>
      <c r="AF17" s="3" t="n">
        <v>250</v>
      </c>
      <c r="AG17" s="3">
        <f>AG16+AF17</f>
        <v/>
      </c>
      <c r="AH17" s="1" t="n">
        <v>13</v>
      </c>
      <c r="AI17" s="1" t="n">
        <v>500</v>
      </c>
      <c r="AJ17" s="3">
        <f>AJ16+AI17</f>
        <v/>
      </c>
      <c r="AL17" s="1" t="n">
        <v>6</v>
      </c>
      <c r="AM17" s="3" t="n">
        <v>375</v>
      </c>
      <c r="AN17" s="3">
        <f>AN16+AM17</f>
        <v/>
      </c>
      <c r="AO17" s="1" t="n">
        <v>13</v>
      </c>
      <c r="AP17" s="1" t="n">
        <v>750</v>
      </c>
      <c r="AQ17" s="3">
        <f>AQ16+AP17</f>
        <v/>
      </c>
      <c r="AR17" s="1" t="n">
        <v>6</v>
      </c>
      <c r="AS17" s="3" t="n">
        <v>750</v>
      </c>
      <c r="AT17" s="3">
        <f>AT16+AS17</f>
        <v/>
      </c>
      <c r="AU17" s="1" t="n">
        <v>13</v>
      </c>
      <c r="AV17" s="1" t="n">
        <v>1500</v>
      </c>
      <c r="AW17" s="3">
        <f>AW16+AV17</f>
        <v/>
      </c>
    </row>
    <row r="18" ht="17.1" customHeight="1">
      <c r="A18" s="6" t="inlineStr">
        <is>
          <t>Terminal</t>
        </is>
      </c>
      <c r="B18" s="6" t="inlineStr">
        <is>
          <t>Port</t>
        </is>
      </c>
      <c r="C18" s="6" t="inlineStr">
        <is>
          <t>Code</t>
        </is>
      </c>
      <c r="D18" s="6" t="inlineStr">
        <is>
          <t>FreeTime</t>
        </is>
      </c>
      <c r="E18" s="6" t="inlineStr">
        <is>
          <t>Days</t>
        </is>
      </c>
      <c r="F18" s="6" t="inlineStr">
        <is>
          <t>20'</t>
        </is>
      </c>
      <c r="G18" s="6" t="inlineStr">
        <is>
          <t>40'</t>
        </is>
      </c>
      <c r="H18" s="6" t="inlineStr">
        <is>
          <t>20'</t>
        </is>
      </c>
      <c r="I18" s="6" t="inlineStr">
        <is>
          <t>40'</t>
        </is>
      </c>
      <c r="K18" s="6" t="inlineStr">
        <is>
          <t>Day</t>
        </is>
      </c>
      <c r="L18" s="6" t="inlineStr">
        <is>
          <t>สะสม 20'</t>
        </is>
      </c>
      <c r="M18" s="6" t="inlineStr">
        <is>
          <t>20'</t>
        </is>
      </c>
      <c r="N18" s="6" t="inlineStr">
        <is>
          <t>Day</t>
        </is>
      </c>
      <c r="O18" s="6" t="inlineStr">
        <is>
          <t>สะสม 40'</t>
        </is>
      </c>
      <c r="P18" s="6" t="inlineStr">
        <is>
          <t>40'</t>
        </is>
      </c>
      <c r="Q18" s="6" t="n"/>
      <c r="R18" s="6" t="inlineStr">
        <is>
          <t>Day</t>
        </is>
      </c>
      <c r="S18" s="6" t="inlineStr">
        <is>
          <t>สะสม 20'</t>
        </is>
      </c>
      <c r="T18" s="6" t="inlineStr">
        <is>
          <t>20'</t>
        </is>
      </c>
      <c r="U18" s="6" t="inlineStr">
        <is>
          <t>Day</t>
        </is>
      </c>
      <c r="V18" s="6" t="inlineStr">
        <is>
          <t>สะสม 40'</t>
        </is>
      </c>
      <c r="W18" s="6" t="inlineStr">
        <is>
          <t>40'</t>
        </is>
      </c>
      <c r="X18" s="5" t="n"/>
      <c r="Y18" s="2" t="n">
        <v>7</v>
      </c>
      <c r="Z18" s="3" t="n">
        <v>125</v>
      </c>
      <c r="AA18" s="35">
        <f>AA17+Z18</f>
        <v/>
      </c>
      <c r="AB18" s="1" t="n">
        <v>14</v>
      </c>
      <c r="AC18" s="1" t="n">
        <v>400</v>
      </c>
      <c r="AD18" s="35">
        <f>AD17+AC18</f>
        <v/>
      </c>
      <c r="AE18" s="2" t="n">
        <v>7</v>
      </c>
      <c r="AF18" s="3" t="n">
        <v>250</v>
      </c>
      <c r="AG18" s="35">
        <f>AG17+AF18</f>
        <v/>
      </c>
      <c r="AH18" s="1" t="n">
        <v>14</v>
      </c>
      <c r="AI18" s="1" t="n">
        <v>800</v>
      </c>
      <c r="AJ18" s="35">
        <f>AJ17+AI18</f>
        <v/>
      </c>
      <c r="AL18" s="1" t="n">
        <v>7</v>
      </c>
      <c r="AM18" s="3" t="n">
        <v>375</v>
      </c>
      <c r="AN18" s="36">
        <f>AN17+AM18</f>
        <v/>
      </c>
      <c r="AO18" s="1" t="n">
        <v>14</v>
      </c>
      <c r="AP18" s="1" t="n">
        <v>1200</v>
      </c>
      <c r="AQ18" s="36">
        <f>AQ17+AP18</f>
        <v/>
      </c>
      <c r="AR18" s="1" t="n">
        <v>7</v>
      </c>
      <c r="AS18" s="3" t="n">
        <v>750</v>
      </c>
      <c r="AT18" s="36">
        <f>AT17+AS18</f>
        <v/>
      </c>
      <c r="AU18" s="1" t="n">
        <v>14</v>
      </c>
      <c r="AV18" s="1" t="n">
        <v>2400</v>
      </c>
      <c r="AW18" s="36">
        <f>AW17+AV18</f>
        <v/>
      </c>
    </row>
    <row r="19" ht="17.1" customHeight="1">
      <c r="A19" s="6" t="inlineStr">
        <is>
          <t>PAT</t>
        </is>
      </c>
      <c r="C19" s="6" t="inlineStr">
        <is>
          <t>BKK01</t>
        </is>
      </c>
      <c r="D19" s="6" t="n">
        <v>3</v>
      </c>
      <c r="E19" s="21" t="inlineStr">
        <is>
          <t>1-7</t>
        </is>
      </c>
      <c r="F19" s="23" t="n">
        <v>160</v>
      </c>
      <c r="G19" s="23" t="n">
        <v>320</v>
      </c>
      <c r="H19" s="27" t="n">
        <v>480</v>
      </c>
      <c r="I19" s="27" t="n">
        <v>960</v>
      </c>
      <c r="J19" s="27" t="n"/>
      <c r="K19" s="6" t="n">
        <v>0</v>
      </c>
      <c r="L19" s="6" t="n">
        <v>0</v>
      </c>
      <c r="M19" s="25" t="n">
        <v>160</v>
      </c>
      <c r="N19" s="6" t="n">
        <v>0</v>
      </c>
      <c r="O19" s="6" t="n">
        <v>0</v>
      </c>
      <c r="P19" s="23" t="n">
        <v>320</v>
      </c>
      <c r="Q19" s="6" t="n"/>
      <c r="R19" s="6" t="n">
        <v>0</v>
      </c>
      <c r="S19" s="6" t="n">
        <v>0</v>
      </c>
      <c r="T19" s="27" t="n">
        <v>480</v>
      </c>
      <c r="U19" s="6" t="n">
        <v>0</v>
      </c>
      <c r="V19" s="6" t="n">
        <v>0</v>
      </c>
      <c r="W19" s="27" t="n">
        <v>960</v>
      </c>
      <c r="X19" s="5" t="n"/>
      <c r="AL19" s="1" t="n"/>
      <c r="AM19" s="3" t="n"/>
      <c r="AN19" s="3" t="n"/>
      <c r="AO19" s="1" t="n"/>
      <c r="AP19" s="1" t="n"/>
      <c r="AQ19" s="3" t="n"/>
    </row>
    <row r="20" ht="17.1" customHeight="1">
      <c r="C20" s="6" t="inlineStr">
        <is>
          <t>BKK04</t>
        </is>
      </c>
      <c r="D20" s="6" t="n">
        <v>3</v>
      </c>
      <c r="E20" s="21" t="inlineStr">
        <is>
          <t>8-14</t>
        </is>
      </c>
      <c r="F20" s="23" t="n">
        <v>275</v>
      </c>
      <c r="G20" s="23" t="n">
        <v>550</v>
      </c>
      <c r="H20" s="27" t="n">
        <v>825</v>
      </c>
      <c r="I20" s="27" t="n">
        <v>1650</v>
      </c>
      <c r="J20" s="27" t="n"/>
      <c r="K20" s="6" t="n">
        <v>7</v>
      </c>
      <c r="L20" s="29" t="n">
        <v>1120</v>
      </c>
      <c r="M20" s="25" t="n">
        <v>275</v>
      </c>
      <c r="N20" s="6" t="n">
        <v>7</v>
      </c>
      <c r="O20" s="29" t="n">
        <v>2240</v>
      </c>
      <c r="P20" s="23" t="n">
        <v>550</v>
      </c>
      <c r="Q20" s="6" t="n"/>
      <c r="R20" s="6" t="n">
        <v>7</v>
      </c>
      <c r="S20" s="31" t="n">
        <v>3360</v>
      </c>
      <c r="T20" s="27" t="n">
        <v>825</v>
      </c>
      <c r="U20" s="6" t="n">
        <v>7</v>
      </c>
      <c r="V20" s="31" t="n">
        <v>6720</v>
      </c>
      <c r="W20" s="27" t="n">
        <v>1650</v>
      </c>
      <c r="X20" s="5" t="n"/>
      <c r="Y20" s="12" t="inlineStr">
        <is>
          <t>GP/RF</t>
        </is>
      </c>
      <c r="Z20" s="12" t="inlineStr">
        <is>
          <t>20'</t>
        </is>
      </c>
      <c r="AA20" s="12" t="n"/>
      <c r="AB20" s="12" t="n"/>
      <c r="AC20" s="12" t="n"/>
      <c r="AD20" s="12" t="n"/>
      <c r="AE20" s="12" t="inlineStr">
        <is>
          <t>GP/RF</t>
        </is>
      </c>
      <c r="AF20" s="12" t="inlineStr">
        <is>
          <t>40'</t>
        </is>
      </c>
      <c r="AG20" s="12" t="n"/>
      <c r="AH20" s="12" t="n"/>
      <c r="AI20" s="12" t="n"/>
      <c r="AJ20" s="12" t="n"/>
      <c r="AL20" s="7" t="inlineStr">
        <is>
          <t>DG</t>
        </is>
      </c>
      <c r="AM20" s="7" t="inlineStr">
        <is>
          <t>20'</t>
        </is>
      </c>
      <c r="AN20" s="38" t="n"/>
      <c r="AO20" s="38" t="n"/>
      <c r="AP20" s="38" t="n"/>
      <c r="AQ20" s="38" t="n"/>
      <c r="AR20" s="7" t="inlineStr">
        <is>
          <t>DG</t>
        </is>
      </c>
      <c r="AS20" s="7" t="inlineStr">
        <is>
          <t>40'</t>
        </is>
      </c>
      <c r="AT20" s="34" t="n"/>
      <c r="AU20" s="33" t="n"/>
      <c r="AV20" s="34" t="n"/>
      <c r="AW20" s="34" t="n"/>
    </row>
    <row r="21" ht="17.1" customHeight="1">
      <c r="A21" s="10" t="n"/>
      <c r="B21" s="9" t="n"/>
      <c r="C21" s="10" t="n"/>
      <c r="D21" s="10" t="n"/>
      <c r="E21" s="22" t="inlineStr">
        <is>
          <t>15 -ขึ้นไป</t>
        </is>
      </c>
      <c r="F21" s="24" t="n">
        <v>390</v>
      </c>
      <c r="G21" s="24" t="n">
        <v>780</v>
      </c>
      <c r="H21" s="28" t="n">
        <v>1170</v>
      </c>
      <c r="I21" s="28" t="n">
        <v>2340</v>
      </c>
      <c r="J21" s="27" t="n"/>
      <c r="K21" s="10" t="n">
        <v>14</v>
      </c>
      <c r="L21" s="30" t="n">
        <v>3045</v>
      </c>
      <c r="M21" s="26" t="n">
        <v>390</v>
      </c>
      <c r="N21" s="10" t="n">
        <v>14</v>
      </c>
      <c r="O21" s="30" t="n">
        <v>6090</v>
      </c>
      <c r="P21" s="24" t="n">
        <v>780</v>
      </c>
      <c r="Q21" s="6" t="n"/>
      <c r="R21" s="10" t="n">
        <v>14</v>
      </c>
      <c r="S21" s="32" t="n">
        <v>9135</v>
      </c>
      <c r="T21" s="28" t="n">
        <v>1170</v>
      </c>
      <c r="U21" s="10" t="n">
        <v>14</v>
      </c>
      <c r="V21" s="32" t="n">
        <v>18270</v>
      </c>
      <c r="W21" s="28" t="n">
        <v>2340</v>
      </c>
      <c r="X21" s="5" t="n"/>
      <c r="Y21" s="1" t="n">
        <v>0</v>
      </c>
      <c r="Z21" s="1" t="n">
        <v>0</v>
      </c>
      <c r="AA21" s="1">
        <f>Z21</f>
        <v/>
      </c>
      <c r="AB21" s="1" t="n"/>
      <c r="AC21" s="1" t="n"/>
      <c r="AD21" s="1" t="n"/>
      <c r="AE21" s="1" t="n">
        <v>0</v>
      </c>
      <c r="AF21" s="1" t="n">
        <v>0</v>
      </c>
      <c r="AG21" s="1">
        <f>AF21</f>
        <v/>
      </c>
      <c r="AH21" s="1" t="n"/>
      <c r="AI21" s="1" t="n"/>
      <c r="AJ21" s="1" t="n"/>
      <c r="AL21" s="1" t="n">
        <v>0</v>
      </c>
      <c r="AM21" s="1" t="n">
        <v>0</v>
      </c>
      <c r="AN21" s="1">
        <f>AM21</f>
        <v/>
      </c>
      <c r="AO21" s="1" t="n"/>
      <c r="AP21" s="1" t="n"/>
      <c r="AQ21" s="1" t="n"/>
      <c r="AR21" s="1" t="n">
        <v>0</v>
      </c>
      <c r="AS21" s="1" t="n">
        <v>0</v>
      </c>
      <c r="AT21" s="1">
        <f>AS21</f>
        <v/>
      </c>
      <c r="AU21" s="1" t="n"/>
      <c r="AV21" s="1" t="n"/>
      <c r="AW21" s="1" t="n"/>
    </row>
    <row r="22" ht="17.1" customHeight="1">
      <c r="E22" s="21" t="n"/>
      <c r="K22" s="6" t="n"/>
      <c r="L22" s="6" t="n"/>
      <c r="M22" s="15" t="n"/>
      <c r="N22" s="6" t="n"/>
      <c r="O22" s="6" t="n"/>
      <c r="P22" s="6" t="n"/>
      <c r="Q22" s="6" t="n"/>
      <c r="R22" s="6" t="n"/>
      <c r="S22" s="6" t="n"/>
      <c r="T22" s="15" t="n"/>
      <c r="U22" s="6" t="n"/>
      <c r="V22" s="6" t="n"/>
      <c r="W22" s="6" t="n"/>
      <c r="X22" s="5" t="n"/>
      <c r="Y22" s="1" t="n">
        <v>1</v>
      </c>
      <c r="Z22" s="3" t="n">
        <v>160</v>
      </c>
      <c r="AA22" s="3">
        <f>Z21+Z22</f>
        <v/>
      </c>
      <c r="AB22" s="1" t="n">
        <v>8</v>
      </c>
      <c r="AC22" s="1" t="n">
        <v>275</v>
      </c>
      <c r="AD22" s="3">
        <f>AA28+AC22</f>
        <v/>
      </c>
      <c r="AE22" s="1" t="n">
        <v>1</v>
      </c>
      <c r="AF22" s="3" t="n">
        <v>320</v>
      </c>
      <c r="AG22" s="3">
        <f>AF21+AF22</f>
        <v/>
      </c>
      <c r="AH22" s="1" t="n">
        <v>8</v>
      </c>
      <c r="AI22" s="1" t="n">
        <v>550</v>
      </c>
      <c r="AJ22" s="3">
        <f>AG28+AI22</f>
        <v/>
      </c>
      <c r="AL22" s="1" t="n">
        <v>1</v>
      </c>
      <c r="AM22" s="3" t="n">
        <v>480</v>
      </c>
      <c r="AN22" s="3">
        <f>AM21+AM22</f>
        <v/>
      </c>
      <c r="AO22" s="1" t="n">
        <v>8</v>
      </c>
      <c r="AP22" s="1" t="n">
        <v>825</v>
      </c>
      <c r="AQ22" s="3">
        <f>AN28+AP22</f>
        <v/>
      </c>
      <c r="AR22" s="1" t="n">
        <v>1</v>
      </c>
      <c r="AS22" s="3" t="n">
        <v>960</v>
      </c>
      <c r="AT22" s="3">
        <f>AS21+AS22</f>
        <v/>
      </c>
      <c r="AU22" s="1" t="n">
        <v>8</v>
      </c>
      <c r="AV22" s="1" t="n">
        <v>1650</v>
      </c>
      <c r="AW22" s="3">
        <f>AT28+AV22</f>
        <v/>
      </c>
    </row>
    <row r="23" ht="17.1" customHeight="1">
      <c r="A23" s="120" t="inlineStr">
        <is>
          <t>HAL / Terminal</t>
        </is>
      </c>
      <c r="B23" s="176" t="n"/>
      <c r="C23" s="176" t="n"/>
      <c r="D23" s="176" t="n"/>
      <c r="E23" s="176" t="n"/>
      <c r="F23" s="120" t="inlineStr">
        <is>
          <t>GP/RF</t>
        </is>
      </c>
      <c r="G23" s="176" t="n"/>
      <c r="H23" s="120" t="inlineStr">
        <is>
          <t>DG</t>
        </is>
      </c>
      <c r="I23" s="176" t="n"/>
      <c r="J23" s="41" t="inlineStr">
        <is>
          <t>G4</t>
        </is>
      </c>
      <c r="K23" s="16" t="inlineStr">
        <is>
          <t>GP/RF</t>
        </is>
      </c>
      <c r="L23" s="17" t="inlineStr">
        <is>
          <t>Terminal</t>
        </is>
      </c>
      <c r="M23" s="17" t="inlineStr">
        <is>
          <t>BKK02</t>
        </is>
      </c>
      <c r="N23" s="20" t="n"/>
      <c r="O23" s="20" t="n"/>
      <c r="P23" s="20" t="n"/>
      <c r="Q23" s="14" t="n"/>
      <c r="R23" s="16" t="inlineStr">
        <is>
          <t>DG</t>
        </is>
      </c>
      <c r="S23" s="17" t="inlineStr">
        <is>
          <t>Terminal</t>
        </is>
      </c>
      <c r="T23" s="17" t="inlineStr">
        <is>
          <t>BKK02</t>
        </is>
      </c>
      <c r="U23" s="20" t="n"/>
      <c r="V23" s="20" t="n"/>
      <c r="W23" s="20" t="n"/>
      <c r="Y23" s="1" t="n">
        <v>2</v>
      </c>
      <c r="Z23" s="3" t="n">
        <v>160</v>
      </c>
      <c r="AA23" s="3">
        <f>AA22+Z23</f>
        <v/>
      </c>
      <c r="AB23" s="1" t="n">
        <v>9</v>
      </c>
      <c r="AC23" s="1" t="n">
        <v>275</v>
      </c>
      <c r="AD23" s="3">
        <f>AD22+AC23</f>
        <v/>
      </c>
      <c r="AE23" s="1" t="n">
        <v>2</v>
      </c>
      <c r="AF23" s="3" t="n">
        <v>320</v>
      </c>
      <c r="AG23" s="3">
        <f>AG22+AF23</f>
        <v/>
      </c>
      <c r="AH23" s="1" t="n">
        <v>9</v>
      </c>
      <c r="AI23" s="1" t="n">
        <v>550</v>
      </c>
      <c r="AJ23" s="3">
        <f>AJ22+AI23</f>
        <v/>
      </c>
      <c r="AL23" s="1" t="n">
        <v>2</v>
      </c>
      <c r="AM23" s="3" t="n">
        <v>480</v>
      </c>
      <c r="AN23" s="3">
        <f>AN22+AM23</f>
        <v/>
      </c>
      <c r="AO23" s="1" t="n">
        <v>9</v>
      </c>
      <c r="AP23" s="1" t="n">
        <v>825</v>
      </c>
      <c r="AQ23" s="3">
        <f>AQ22+AP23</f>
        <v/>
      </c>
      <c r="AR23" s="1" t="n">
        <v>2</v>
      </c>
      <c r="AS23" s="3" t="n">
        <v>960</v>
      </c>
      <c r="AT23" s="3">
        <f>AT22+AS23</f>
        <v/>
      </c>
      <c r="AU23" s="1" t="n">
        <v>9</v>
      </c>
      <c r="AV23" s="1" t="n">
        <v>1650</v>
      </c>
      <c r="AW23" s="3">
        <f>AW22+AV23</f>
        <v/>
      </c>
    </row>
    <row r="24" ht="17.1" customHeight="1">
      <c r="A24" s="6" t="inlineStr">
        <is>
          <t>Terminal</t>
        </is>
      </c>
      <c r="B24" s="6" t="inlineStr">
        <is>
          <t>Port</t>
        </is>
      </c>
      <c r="C24" s="6" t="inlineStr">
        <is>
          <t>Code</t>
        </is>
      </c>
      <c r="D24" s="6" t="inlineStr">
        <is>
          <t>FreeTime</t>
        </is>
      </c>
      <c r="E24" s="6" t="inlineStr">
        <is>
          <t>Days</t>
        </is>
      </c>
      <c r="F24" s="6" t="inlineStr">
        <is>
          <t>20'</t>
        </is>
      </c>
      <c r="G24" s="6" t="inlineStr">
        <is>
          <t>40'</t>
        </is>
      </c>
      <c r="H24" s="6" t="inlineStr">
        <is>
          <t>20'</t>
        </is>
      </c>
      <c r="I24" s="6" t="inlineStr">
        <is>
          <t>40'</t>
        </is>
      </c>
      <c r="K24" s="6" t="inlineStr">
        <is>
          <t>Day</t>
        </is>
      </c>
      <c r="L24" s="6" t="inlineStr">
        <is>
          <t>สะสม 20'</t>
        </is>
      </c>
      <c r="M24" s="6" t="inlineStr">
        <is>
          <t>20'</t>
        </is>
      </c>
      <c r="N24" s="6" t="inlineStr">
        <is>
          <t>Day</t>
        </is>
      </c>
      <c r="O24" s="6" t="inlineStr">
        <is>
          <t>สะสม 40'</t>
        </is>
      </c>
      <c r="P24" s="6" t="inlineStr">
        <is>
          <t>40'</t>
        </is>
      </c>
      <c r="Q24" s="6" t="n"/>
      <c r="R24" s="6" t="inlineStr">
        <is>
          <t>Day</t>
        </is>
      </c>
      <c r="S24" s="6" t="inlineStr">
        <is>
          <t>สะสม 20'</t>
        </is>
      </c>
      <c r="T24" s="6" t="inlineStr">
        <is>
          <t>20'</t>
        </is>
      </c>
      <c r="U24" s="6" t="inlineStr">
        <is>
          <t>Day</t>
        </is>
      </c>
      <c r="V24" s="6" t="inlineStr">
        <is>
          <t>สะสม 40'</t>
        </is>
      </c>
      <c r="W24" s="6" t="inlineStr">
        <is>
          <t>40'</t>
        </is>
      </c>
      <c r="Y24" s="1" t="n">
        <v>3</v>
      </c>
      <c r="Z24" s="3" t="n">
        <v>160</v>
      </c>
      <c r="AA24" s="3">
        <f>AA23+Z24</f>
        <v/>
      </c>
      <c r="AB24" s="1" t="n">
        <v>10</v>
      </c>
      <c r="AC24" s="1" t="n">
        <v>275</v>
      </c>
      <c r="AD24" s="3">
        <f>AD23+AC24</f>
        <v/>
      </c>
      <c r="AE24" s="1" t="n">
        <v>3</v>
      </c>
      <c r="AF24" s="3" t="n">
        <v>320</v>
      </c>
      <c r="AG24" s="3">
        <f>AG23+AF24</f>
        <v/>
      </c>
      <c r="AH24" s="1" t="n">
        <v>10</v>
      </c>
      <c r="AI24" s="1" t="n">
        <v>550</v>
      </c>
      <c r="AJ24" s="3">
        <f>AJ23+AI24</f>
        <v/>
      </c>
      <c r="AL24" s="1" t="n">
        <v>3</v>
      </c>
      <c r="AM24" s="3" t="n">
        <v>480</v>
      </c>
      <c r="AN24" s="3">
        <f>AN23+AM24</f>
        <v/>
      </c>
      <c r="AO24" s="1" t="n">
        <v>10</v>
      </c>
      <c r="AP24" s="1" t="n">
        <v>825</v>
      </c>
      <c r="AQ24" s="3">
        <f>AQ23+AP24</f>
        <v/>
      </c>
      <c r="AR24" s="1" t="n">
        <v>3</v>
      </c>
      <c r="AS24" s="3" t="n">
        <v>960</v>
      </c>
      <c r="AT24" s="3">
        <f>AT23+AS24</f>
        <v/>
      </c>
      <c r="AU24" s="1" t="n">
        <v>10</v>
      </c>
      <c r="AV24" s="1" t="n">
        <v>1650</v>
      </c>
      <c r="AW24" s="3">
        <f>AW23+AV24</f>
        <v/>
      </c>
    </row>
    <row r="25" ht="17.1" customHeight="1">
      <c r="A25" s="10" t="inlineStr">
        <is>
          <t>Unithai</t>
        </is>
      </c>
      <c r="B25" s="9" t="n"/>
      <c r="C25" s="10" t="inlineStr">
        <is>
          <t>BKK02</t>
        </is>
      </c>
      <c r="D25" s="117" t="n">
        <v>5</v>
      </c>
      <c r="E25" s="22" t="inlineStr">
        <is>
          <t>Flat Rate</t>
        </is>
      </c>
      <c r="F25" s="24" t="n">
        <v>50</v>
      </c>
      <c r="G25" s="24" t="n">
        <v>100</v>
      </c>
      <c r="H25" s="28" t="n">
        <v>150</v>
      </c>
      <c r="I25" s="28" t="n">
        <v>300</v>
      </c>
      <c r="J25" s="27" t="n"/>
      <c r="K25" s="10" t="n"/>
      <c r="L25" s="10" t="n"/>
      <c r="M25" s="26" t="n">
        <v>50</v>
      </c>
      <c r="N25" s="10" t="n"/>
      <c r="O25" s="10" t="n"/>
      <c r="P25" s="24" t="n">
        <v>100</v>
      </c>
      <c r="Q25" s="6" t="n"/>
      <c r="R25" s="10" t="n"/>
      <c r="S25" s="10" t="n"/>
      <c r="T25" s="28" t="n">
        <v>150</v>
      </c>
      <c r="U25" s="10" t="n"/>
      <c r="V25" s="10" t="n"/>
      <c r="W25" s="28" t="n">
        <v>300</v>
      </c>
      <c r="Y25" s="1" t="n">
        <v>4</v>
      </c>
      <c r="Z25" s="3" t="n">
        <v>160</v>
      </c>
      <c r="AA25" s="3">
        <f>AA24+Z25</f>
        <v/>
      </c>
      <c r="AB25" s="1" t="n">
        <v>11</v>
      </c>
      <c r="AC25" s="1" t="n">
        <v>275</v>
      </c>
      <c r="AD25" s="3">
        <f>AD24+AC25</f>
        <v/>
      </c>
      <c r="AE25" s="1" t="n">
        <v>4</v>
      </c>
      <c r="AF25" s="3" t="n">
        <v>320</v>
      </c>
      <c r="AG25" s="3">
        <f>AG24+AF25</f>
        <v/>
      </c>
      <c r="AH25" s="1" t="n">
        <v>11</v>
      </c>
      <c r="AI25" s="1" t="n">
        <v>550</v>
      </c>
      <c r="AJ25" s="3">
        <f>AJ24+AI25</f>
        <v/>
      </c>
      <c r="AL25" s="1" t="n">
        <v>4</v>
      </c>
      <c r="AM25" s="3" t="n">
        <v>480</v>
      </c>
      <c r="AN25" s="3">
        <f>AN24+AM25</f>
        <v/>
      </c>
      <c r="AO25" s="1" t="n">
        <v>11</v>
      </c>
      <c r="AP25" s="1" t="n">
        <v>825</v>
      </c>
      <c r="AQ25" s="3">
        <f>AQ24+AP25</f>
        <v/>
      </c>
      <c r="AR25" s="1" t="n">
        <v>4</v>
      </c>
      <c r="AS25" s="3" t="n">
        <v>960</v>
      </c>
      <c r="AT25" s="3">
        <f>AT24+AS25</f>
        <v/>
      </c>
      <c r="AU25" s="1" t="n">
        <v>11</v>
      </c>
      <c r="AV25" s="1" t="n">
        <v>1650</v>
      </c>
      <c r="AW25" s="3">
        <f>AW24+AV25</f>
        <v/>
      </c>
    </row>
    <row r="26" ht="17.1" customHeight="1">
      <c r="Y26" s="1" t="n">
        <v>5</v>
      </c>
      <c r="Z26" s="3" t="n">
        <v>160</v>
      </c>
      <c r="AA26" s="3">
        <f>AA25+Z26</f>
        <v/>
      </c>
      <c r="AB26" s="1" t="n">
        <v>12</v>
      </c>
      <c r="AC26" s="1" t="n">
        <v>275</v>
      </c>
      <c r="AD26" s="3">
        <f>AD25+AC26</f>
        <v/>
      </c>
      <c r="AE26" s="1" t="n">
        <v>5</v>
      </c>
      <c r="AF26" s="3" t="n">
        <v>320</v>
      </c>
      <c r="AG26" s="3">
        <f>AG25+AF26</f>
        <v/>
      </c>
      <c r="AH26" s="1" t="n">
        <v>12</v>
      </c>
      <c r="AI26" s="1" t="n">
        <v>550</v>
      </c>
      <c r="AJ26" s="3">
        <f>AJ25+AI26</f>
        <v/>
      </c>
      <c r="AL26" s="1" t="n">
        <v>5</v>
      </c>
      <c r="AM26" s="3" t="n">
        <v>480</v>
      </c>
      <c r="AN26" s="3">
        <f>AN25+AM26</f>
        <v/>
      </c>
      <c r="AO26" s="1" t="n">
        <v>12</v>
      </c>
      <c r="AP26" s="1" t="n">
        <v>825</v>
      </c>
      <c r="AQ26" s="3">
        <f>AQ25+AP26</f>
        <v/>
      </c>
      <c r="AR26" s="1" t="n">
        <v>5</v>
      </c>
      <c r="AS26" s="3" t="n">
        <v>960</v>
      </c>
      <c r="AT26" s="3">
        <f>AT25+AS26</f>
        <v/>
      </c>
      <c r="AU26" s="1" t="n">
        <v>12</v>
      </c>
      <c r="AV26" s="1" t="n">
        <v>1650</v>
      </c>
      <c r="AW26" s="3">
        <f>AW25+AV26</f>
        <v/>
      </c>
    </row>
    <row r="27" ht="17.1" customHeight="1">
      <c r="Y27" s="1" t="n">
        <v>6</v>
      </c>
      <c r="Z27" s="3" t="n">
        <v>160</v>
      </c>
      <c r="AA27" s="3">
        <f>AA26+Z27</f>
        <v/>
      </c>
      <c r="AB27" s="1" t="n">
        <v>13</v>
      </c>
      <c r="AC27" s="1" t="n">
        <v>275</v>
      </c>
      <c r="AD27" s="3">
        <f>AD26+AC27</f>
        <v/>
      </c>
      <c r="AE27" s="1" t="n">
        <v>6</v>
      </c>
      <c r="AF27" s="3" t="n">
        <v>320</v>
      </c>
      <c r="AG27" s="3">
        <f>AG26+AF27</f>
        <v/>
      </c>
      <c r="AH27" s="1" t="n">
        <v>13</v>
      </c>
      <c r="AI27" s="1" t="n">
        <v>550</v>
      </c>
      <c r="AJ27" s="3">
        <f>AJ26+AI27</f>
        <v/>
      </c>
      <c r="AL27" s="1" t="n">
        <v>6</v>
      </c>
      <c r="AM27" s="3" t="n">
        <v>480</v>
      </c>
      <c r="AN27" s="3">
        <f>AN26+AM27</f>
        <v/>
      </c>
      <c r="AO27" s="1" t="n">
        <v>13</v>
      </c>
      <c r="AP27" s="1" t="n">
        <v>825</v>
      </c>
      <c r="AQ27" s="3">
        <f>AQ26+AP27</f>
        <v/>
      </c>
      <c r="AR27" s="1" t="n">
        <v>6</v>
      </c>
      <c r="AS27" s="3" t="n">
        <v>960</v>
      </c>
      <c r="AT27" s="3">
        <f>AT26+AS27</f>
        <v/>
      </c>
      <c r="AU27" s="1" t="n">
        <v>13</v>
      </c>
      <c r="AV27" s="1" t="n">
        <v>1650</v>
      </c>
      <c r="AW27" s="3">
        <f>AW26+AV27</f>
        <v/>
      </c>
    </row>
    <row r="28" ht="17.1" customHeight="1">
      <c r="Y28" s="1" t="n">
        <v>7</v>
      </c>
      <c r="Z28" s="3" t="n">
        <v>160</v>
      </c>
      <c r="AA28" s="35">
        <f>AA27+Z28</f>
        <v/>
      </c>
      <c r="AB28" s="1" t="n">
        <v>14</v>
      </c>
      <c r="AC28" s="1" t="n">
        <v>390</v>
      </c>
      <c r="AD28" s="35">
        <f>AD27+AC28</f>
        <v/>
      </c>
      <c r="AE28" s="2" t="n">
        <v>7</v>
      </c>
      <c r="AF28" s="3" t="n">
        <v>320</v>
      </c>
      <c r="AG28" s="35">
        <f>AG27+AF28</f>
        <v/>
      </c>
      <c r="AH28" s="1" t="n">
        <v>14</v>
      </c>
      <c r="AI28" s="1" t="n">
        <v>780</v>
      </c>
      <c r="AJ28" s="35">
        <f>AJ27+AI28</f>
        <v/>
      </c>
      <c r="AL28" s="1" t="n">
        <v>7</v>
      </c>
      <c r="AM28" s="3" t="n">
        <v>480</v>
      </c>
      <c r="AN28" s="36">
        <f>AN27+AM28</f>
        <v/>
      </c>
      <c r="AO28" s="1" t="n">
        <v>14</v>
      </c>
      <c r="AP28" s="1" t="n">
        <v>1170</v>
      </c>
      <c r="AQ28" s="36">
        <f>AQ27+AP28</f>
        <v/>
      </c>
      <c r="AR28" s="1" t="n">
        <v>7</v>
      </c>
      <c r="AS28" s="3" t="n">
        <v>960</v>
      </c>
      <c r="AT28" s="36">
        <f>AT27+AS28</f>
        <v/>
      </c>
      <c r="AU28" s="1" t="n">
        <v>14</v>
      </c>
      <c r="AV28" s="1" t="n">
        <v>2340</v>
      </c>
      <c r="AW28" s="36">
        <f>AW27+AV28</f>
        <v/>
      </c>
    </row>
    <row r="29" ht="17.1" customHeight="1">
      <c r="Y29" s="1" t="n"/>
      <c r="Z29" s="3" t="n"/>
      <c r="AA29" s="34" t="n"/>
      <c r="AB29" s="1" t="n"/>
      <c r="AC29" s="1" t="n"/>
      <c r="AD29" s="34" t="n"/>
      <c r="AE29" s="2" t="n"/>
      <c r="AF29" s="3" t="n"/>
      <c r="AG29" s="34" t="n"/>
      <c r="AH29" s="1" t="n"/>
      <c r="AI29" s="1" t="n"/>
      <c r="AJ29" s="34" t="n"/>
      <c r="AL29" s="1" t="n"/>
      <c r="AM29" s="3" t="n"/>
      <c r="AN29" s="34" t="n"/>
      <c r="AO29" s="1" t="n"/>
      <c r="AP29" s="1" t="n"/>
      <c r="AQ29" s="34" t="n"/>
      <c r="AR29" s="1" t="n"/>
      <c r="AS29" s="3" t="n"/>
      <c r="AT29" s="34" t="n"/>
      <c r="AU29" s="1" t="n"/>
      <c r="AV29" s="1" t="n"/>
      <c r="AW29" s="34" t="n"/>
    </row>
    <row r="30" ht="17.1" customHeight="1">
      <c r="A30" s="12" t="inlineStr">
        <is>
          <t>Note</t>
        </is>
      </c>
      <c r="B30" s="14" t="inlineStr">
        <is>
          <t>BKK / RF / KTS + Freetime 1 วัน</t>
        </is>
      </c>
      <c r="J30" s="41" t="inlineStr">
        <is>
          <t>Customer</t>
        </is>
      </c>
      <c r="K30" s="16" t="inlineStr">
        <is>
          <t>GP/RF</t>
        </is>
      </c>
      <c r="L30" s="17" t="n"/>
      <c r="M30" s="17" t="n"/>
      <c r="N30" s="17" t="n"/>
      <c r="O30" s="20" t="n"/>
      <c r="P30" s="20" t="n"/>
      <c r="Q30" s="14" t="n"/>
      <c r="R30" s="16" t="inlineStr">
        <is>
          <t>DG</t>
        </is>
      </c>
      <c r="S30" s="17" t="n"/>
      <c r="T30" s="17" t="n"/>
      <c r="U30" s="17" t="n"/>
      <c r="V30" s="20" t="n"/>
      <c r="W30" s="20" t="n"/>
      <c r="Y30" s="12" t="inlineStr">
        <is>
          <t>GP/RF</t>
        </is>
      </c>
      <c r="Z30" s="12" t="inlineStr">
        <is>
          <t>20'</t>
        </is>
      </c>
      <c r="AA30" s="12" t="n"/>
      <c r="AB30" s="12" t="n"/>
      <c r="AC30" s="12" t="n"/>
      <c r="AD30" s="12" t="n"/>
      <c r="AE30" s="12" t="inlineStr">
        <is>
          <t>GP/RF</t>
        </is>
      </c>
      <c r="AF30" s="12" t="inlineStr">
        <is>
          <t>40'</t>
        </is>
      </c>
      <c r="AG30" s="12" t="n"/>
      <c r="AH30" s="12" t="n"/>
      <c r="AI30" s="12" t="n"/>
      <c r="AJ30" s="12" t="n"/>
      <c r="AL30" s="7" t="inlineStr">
        <is>
          <t>DG</t>
        </is>
      </c>
      <c r="AM30" s="7" t="inlineStr">
        <is>
          <t>20'</t>
        </is>
      </c>
      <c r="AN30" s="38" t="n"/>
      <c r="AO30" s="38" t="n"/>
      <c r="AP30" s="38" t="n"/>
      <c r="AQ30" s="38" t="n"/>
      <c r="AR30" s="7" t="inlineStr">
        <is>
          <t>DG</t>
        </is>
      </c>
      <c r="AS30" s="7" t="inlineStr">
        <is>
          <t>40'</t>
        </is>
      </c>
      <c r="AT30" s="34" t="n"/>
      <c r="AU30" s="33" t="n"/>
      <c r="AV30" s="34" t="n"/>
      <c r="AW30" s="34" t="n"/>
    </row>
    <row r="31" ht="17.1" customHeight="1">
      <c r="B31" s="14" t="inlineStr">
        <is>
          <t>BKK &amp; LCH / KHS + Freetime 1 วัน</t>
        </is>
      </c>
      <c r="K31" s="6" t="inlineStr">
        <is>
          <t>Day</t>
        </is>
      </c>
      <c r="L31" s="6" t="inlineStr">
        <is>
          <t>สะสม 20'</t>
        </is>
      </c>
      <c r="M31" s="6" t="inlineStr">
        <is>
          <t>20'</t>
        </is>
      </c>
      <c r="N31" s="6" t="inlineStr">
        <is>
          <t>Day</t>
        </is>
      </c>
      <c r="O31" s="6" t="inlineStr">
        <is>
          <t>สะสม 40'</t>
        </is>
      </c>
      <c r="P31" s="6" t="inlineStr">
        <is>
          <t>40'</t>
        </is>
      </c>
      <c r="Q31" s="6" t="n"/>
      <c r="R31" s="6" t="inlineStr">
        <is>
          <t>Day</t>
        </is>
      </c>
      <c r="S31" s="6" t="inlineStr">
        <is>
          <t>สะสม 20'</t>
        </is>
      </c>
      <c r="T31" s="6" t="inlineStr">
        <is>
          <t>20'</t>
        </is>
      </c>
      <c r="U31" s="6" t="inlineStr">
        <is>
          <t>Day</t>
        </is>
      </c>
      <c r="V31" s="6" t="inlineStr">
        <is>
          <t>สะสม 40'</t>
        </is>
      </c>
      <c r="W31" s="6" t="inlineStr">
        <is>
          <t>40'</t>
        </is>
      </c>
      <c r="Y31" s="37" t="n">
        <v>0</v>
      </c>
      <c r="Z31" s="33" t="n">
        <v>0</v>
      </c>
      <c r="AA31" s="33">
        <f>Z31</f>
        <v/>
      </c>
      <c r="AB31" s="33" t="n">
        <v>5</v>
      </c>
      <c r="AC31" s="34" t="n">
        <v>600</v>
      </c>
      <c r="AD31" s="34">
        <f>AA35+AC31</f>
        <v/>
      </c>
      <c r="AE31" s="37" t="n">
        <v>0</v>
      </c>
      <c r="AF31" s="33" t="n">
        <v>0</v>
      </c>
      <c r="AG31" s="33">
        <f>AF31</f>
        <v/>
      </c>
      <c r="AH31" s="33" t="n">
        <v>5</v>
      </c>
      <c r="AI31" s="34" t="n">
        <v>1200</v>
      </c>
      <c r="AJ31" s="34">
        <f>AG35+AI31</f>
        <v/>
      </c>
      <c r="AL31" s="37" t="n">
        <v>0</v>
      </c>
      <c r="AM31" s="33" t="n">
        <v>0</v>
      </c>
      <c r="AN31" s="33">
        <f>AM31</f>
        <v/>
      </c>
      <c r="AO31" s="33" t="n">
        <v>5</v>
      </c>
      <c r="AP31" s="34" t="n">
        <v>1800</v>
      </c>
      <c r="AQ31" s="34">
        <f>AN35+AP31</f>
        <v/>
      </c>
      <c r="AR31" s="37" t="n">
        <v>0</v>
      </c>
      <c r="AS31" s="33" t="n">
        <v>0</v>
      </c>
      <c r="AT31" s="33">
        <f>AS31</f>
        <v/>
      </c>
      <c r="AU31" s="33" t="n">
        <v>5</v>
      </c>
      <c r="AV31" s="34" t="n">
        <v>3600</v>
      </c>
      <c r="AW31" s="34">
        <f>AT35+AV31</f>
        <v/>
      </c>
    </row>
    <row r="32" ht="17.1" customFormat="1" customHeight="1" s="40">
      <c r="A32" s="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6" t="n">
        <v>0</v>
      </c>
      <c r="L32" s="6" t="n">
        <v>0</v>
      </c>
      <c r="M32" s="113" t="n">
        <v>375</v>
      </c>
      <c r="N32" s="6" t="n">
        <v>0</v>
      </c>
      <c r="O32" s="6" t="n">
        <v>0</v>
      </c>
      <c r="P32" s="115" t="n">
        <v>750</v>
      </c>
      <c r="Q32" s="6" t="n"/>
      <c r="R32" s="6" t="n">
        <v>0</v>
      </c>
      <c r="S32" s="6" t="n">
        <v>0</v>
      </c>
      <c r="T32" s="27" t="n">
        <v>900</v>
      </c>
      <c r="U32" s="6" t="n">
        <v>0</v>
      </c>
      <c r="V32" s="6" t="n">
        <v>0</v>
      </c>
      <c r="W32" s="27" t="n">
        <v>1800</v>
      </c>
      <c r="X32" s="39" t="n"/>
      <c r="Y32" s="37" t="n">
        <v>1</v>
      </c>
      <c r="Z32" s="34" t="n">
        <v>300</v>
      </c>
      <c r="AA32" s="34">
        <f>Z31+Z32</f>
        <v/>
      </c>
      <c r="AB32" s="33" t="n">
        <v>6</v>
      </c>
      <c r="AC32" s="34" t="n">
        <v>600</v>
      </c>
      <c r="AD32" s="34">
        <f>AD31+AC32</f>
        <v/>
      </c>
      <c r="AE32" s="37" t="n">
        <v>1</v>
      </c>
      <c r="AF32" s="34" t="n">
        <v>600</v>
      </c>
      <c r="AG32" s="34">
        <f>AF31+AF32</f>
        <v/>
      </c>
      <c r="AH32" s="33" t="n">
        <v>6</v>
      </c>
      <c r="AI32" s="34" t="n">
        <v>1200</v>
      </c>
      <c r="AJ32" s="34">
        <f>AJ31+AI32</f>
        <v/>
      </c>
      <c r="AK32" s="6" t="n"/>
      <c r="AL32" s="37" t="n">
        <v>1</v>
      </c>
      <c r="AM32" s="34" t="n">
        <v>900</v>
      </c>
      <c r="AN32" s="34">
        <f>AM31+AM32</f>
        <v/>
      </c>
      <c r="AO32" s="33" t="n">
        <v>6</v>
      </c>
      <c r="AP32" s="34" t="n">
        <v>1800</v>
      </c>
      <c r="AQ32" s="34">
        <f>AQ31+AP32</f>
        <v/>
      </c>
      <c r="AR32" s="37" t="n">
        <v>1</v>
      </c>
      <c r="AS32" s="34" t="n">
        <v>1800</v>
      </c>
      <c r="AT32" s="34">
        <f>AS31+AS32</f>
        <v/>
      </c>
      <c r="AU32" s="33" t="n">
        <v>6</v>
      </c>
      <c r="AV32" s="34" t="n">
        <v>3600</v>
      </c>
      <c r="AW32" s="34">
        <f>AW31+AV32</f>
        <v/>
      </c>
    </row>
    <row r="33" ht="17.1" customFormat="1" customHeight="1" s="40">
      <c r="A33" s="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6" t="n">
        <v>5</v>
      </c>
      <c r="L33" s="29" t="n">
        <v>1200</v>
      </c>
      <c r="M33" s="113" t="n">
        <v>750</v>
      </c>
      <c r="N33" s="6" t="n">
        <v>7</v>
      </c>
      <c r="O33" s="29" t="n">
        <v>2400</v>
      </c>
      <c r="P33" s="115" t="n">
        <v>1500</v>
      </c>
      <c r="Q33" s="6" t="n"/>
      <c r="R33" s="6" t="n">
        <v>5</v>
      </c>
      <c r="S33" s="31" t="n">
        <v>3360</v>
      </c>
      <c r="T33" s="27" t="n">
        <v>1800</v>
      </c>
      <c r="U33" s="6" t="n">
        <v>9</v>
      </c>
      <c r="V33" s="31" t="n">
        <v>6720</v>
      </c>
      <c r="W33" s="27" t="n">
        <v>3600</v>
      </c>
      <c r="X33" s="39" t="n"/>
      <c r="Y33" s="37" t="n">
        <v>2</v>
      </c>
      <c r="Z33" s="34" t="n">
        <v>300</v>
      </c>
      <c r="AA33" s="34">
        <f>AA32+Z33</f>
        <v/>
      </c>
      <c r="AB33" s="33" t="n">
        <v>7</v>
      </c>
      <c r="AC33" s="34" t="n">
        <v>600</v>
      </c>
      <c r="AD33" s="34">
        <f>AD32+AC33</f>
        <v/>
      </c>
      <c r="AE33" s="37" t="n">
        <v>2</v>
      </c>
      <c r="AF33" s="34" t="n">
        <v>600</v>
      </c>
      <c r="AG33" s="34">
        <f>AG32+AF33</f>
        <v/>
      </c>
      <c r="AH33" s="33" t="n">
        <v>7</v>
      </c>
      <c r="AI33" s="34" t="n">
        <v>1200</v>
      </c>
      <c r="AJ33" s="34">
        <f>AJ32+AI33</f>
        <v/>
      </c>
      <c r="AK33" s="6" t="n"/>
      <c r="AL33" s="37" t="n">
        <v>2</v>
      </c>
      <c r="AM33" s="34" t="n">
        <v>900</v>
      </c>
      <c r="AN33" s="34">
        <f>AN32+AM33</f>
        <v/>
      </c>
      <c r="AO33" s="33" t="n">
        <v>7</v>
      </c>
      <c r="AP33" s="34" t="n">
        <v>1800</v>
      </c>
      <c r="AQ33" s="34">
        <f>AQ32+AP33</f>
        <v/>
      </c>
      <c r="AR33" s="37" t="n">
        <v>2</v>
      </c>
      <c r="AS33" s="34" t="n">
        <v>1800</v>
      </c>
      <c r="AT33" s="34">
        <f>AT32+AS33</f>
        <v/>
      </c>
      <c r="AU33" s="33" t="n">
        <v>7</v>
      </c>
      <c r="AV33" s="34" t="n">
        <v>3600</v>
      </c>
      <c r="AW33" s="34">
        <f>AW32+AV33</f>
        <v/>
      </c>
    </row>
    <row r="34" ht="17.1" customFormat="1" customHeight="1" s="40">
      <c r="A34" s="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10" t="n">
        <v>9</v>
      </c>
      <c r="L34" s="30" t="n">
        <v>4800</v>
      </c>
      <c r="M34" s="114" t="n">
        <v>1500</v>
      </c>
      <c r="N34" s="10" t="n">
        <v>14</v>
      </c>
      <c r="O34" s="30" t="n">
        <v>9600</v>
      </c>
      <c r="P34" s="116" t="n">
        <v>3000</v>
      </c>
      <c r="Q34" s="6" t="n"/>
      <c r="R34" s="10" t="n">
        <v>9</v>
      </c>
      <c r="S34" s="32" t="n">
        <v>9135</v>
      </c>
      <c r="T34" s="28" t="n">
        <v>3600</v>
      </c>
      <c r="U34" s="10" t="n">
        <v>9</v>
      </c>
      <c r="V34" s="32" t="n">
        <v>18270</v>
      </c>
      <c r="W34" s="28" t="n">
        <v>7200</v>
      </c>
      <c r="X34" s="39" t="n"/>
      <c r="Y34" s="37" t="n">
        <v>3</v>
      </c>
      <c r="Z34" s="34" t="n">
        <v>300</v>
      </c>
      <c r="AA34" s="34">
        <f>AA33+Z34</f>
        <v/>
      </c>
      <c r="AB34" s="33" t="n">
        <v>8</v>
      </c>
      <c r="AC34" s="34" t="n">
        <v>600</v>
      </c>
      <c r="AD34" s="34">
        <f>AD33+AC34</f>
        <v/>
      </c>
      <c r="AE34" s="37" t="n">
        <v>3</v>
      </c>
      <c r="AF34" s="34" t="n">
        <v>600</v>
      </c>
      <c r="AG34" s="34">
        <f>AG33+AF34</f>
        <v/>
      </c>
      <c r="AH34" s="33" t="n">
        <v>8</v>
      </c>
      <c r="AI34" s="34" t="n">
        <v>1200</v>
      </c>
      <c r="AJ34" s="34">
        <f>AJ33+AI34</f>
        <v/>
      </c>
      <c r="AK34" s="6" t="n"/>
      <c r="AL34" s="37" t="n">
        <v>3</v>
      </c>
      <c r="AM34" s="34" t="n">
        <v>900</v>
      </c>
      <c r="AN34" s="34">
        <f>AN33+AM34</f>
        <v/>
      </c>
      <c r="AO34" s="33" t="n">
        <v>8</v>
      </c>
      <c r="AP34" s="34" t="n">
        <v>1800</v>
      </c>
      <c r="AQ34" s="34">
        <f>AQ33+AP34</f>
        <v/>
      </c>
      <c r="AR34" s="37" t="n">
        <v>3</v>
      </c>
      <c r="AS34" s="34" t="n">
        <v>1800</v>
      </c>
      <c r="AT34" s="34">
        <f>AT33+AS34</f>
        <v/>
      </c>
      <c r="AU34" s="33" t="n">
        <v>8</v>
      </c>
      <c r="AV34" s="34" t="n">
        <v>3600</v>
      </c>
      <c r="AW34" s="34">
        <f>AW33+AV34</f>
        <v/>
      </c>
    </row>
    <row r="35" ht="17.1" customFormat="1" customHeight="1" s="40">
      <c r="A35" s="5" t="n"/>
      <c r="C35" s="39" t="n"/>
      <c r="D35" s="39" t="n"/>
      <c r="E35" s="39" t="n"/>
      <c r="F35" s="39" t="n"/>
      <c r="G35" s="39" t="n"/>
      <c r="H35" s="39" t="n"/>
      <c r="I35" s="39" t="n"/>
      <c r="J35" s="39" t="n"/>
      <c r="X35" s="39" t="n"/>
      <c r="Y35" s="37" t="n">
        <v>4</v>
      </c>
      <c r="Z35" s="33" t="n">
        <v>300</v>
      </c>
      <c r="AA35" s="35">
        <f>AA34+Z35</f>
        <v/>
      </c>
      <c r="AB35" s="33" t="n">
        <v>9</v>
      </c>
      <c r="AC35" s="34" t="n">
        <v>1200</v>
      </c>
      <c r="AD35" s="35">
        <f>AD34+AC35</f>
        <v/>
      </c>
      <c r="AE35" s="37" t="n">
        <v>4</v>
      </c>
      <c r="AF35" s="33" t="n">
        <v>600</v>
      </c>
      <c r="AG35" s="35">
        <f>AG34+AF35</f>
        <v/>
      </c>
      <c r="AH35" s="33" t="n">
        <v>9</v>
      </c>
      <c r="AI35" s="34" t="n">
        <v>2400</v>
      </c>
      <c r="AJ35" s="35">
        <f>AJ34+AI35</f>
        <v/>
      </c>
      <c r="AK35" s="6" t="n"/>
      <c r="AL35" s="37" t="n">
        <v>4</v>
      </c>
      <c r="AM35" s="33" t="n">
        <v>900</v>
      </c>
      <c r="AN35" s="35">
        <f>AN34+AM35</f>
        <v/>
      </c>
      <c r="AO35" s="33" t="n">
        <v>9</v>
      </c>
      <c r="AP35" s="34" t="n">
        <v>3600</v>
      </c>
      <c r="AQ35" s="35">
        <f>AQ34+AP35</f>
        <v/>
      </c>
      <c r="AR35" s="37" t="n">
        <v>4</v>
      </c>
      <c r="AS35" s="33" t="n">
        <v>1800</v>
      </c>
      <c r="AT35" s="35">
        <f>AT34+AS35</f>
        <v/>
      </c>
      <c r="AU35" s="33" t="n">
        <v>9</v>
      </c>
      <c r="AV35" s="34" t="n">
        <v>7200</v>
      </c>
      <c r="AW35" s="35">
        <f>AW34+AV35</f>
        <v/>
      </c>
    </row>
    <row r="36" hidden="1" ht="17.1" customFormat="1" customHeight="1" s="40">
      <c r="A36" s="40" t="inlineStr">
        <is>
          <t>LCH04</t>
        </is>
      </c>
      <c r="B36" s="40" t="inlineStr">
        <is>
          <t>GP/RF</t>
        </is>
      </c>
      <c r="C36" s="40" t="inlineStr">
        <is>
          <t>IF(A37="20'",VLOOKUP(B37,$K$2:$M$5,2,TRUE)+(B37-VLOOKUP(B37,$K$2:$M$5,1,TRUE))*VLOOKUP(B37,$K$2:$M$5,3,TRUE),VLOOKUP(B37,$N$2:$P$5,2,TRUE)+(B37-VLOOKUP(B37,$N$2:$P$5,1,TRUE))*VLOOKUP(B37,$N$2:$P$5,3,TRUE))</t>
        </is>
      </c>
      <c r="D36" s="39" t="n"/>
      <c r="E36" s="39" t="n"/>
      <c r="F36" s="39" t="n"/>
      <c r="G36" s="39" t="n"/>
      <c r="H36" s="39" t="n"/>
      <c r="I36" s="39" t="n"/>
      <c r="J36" s="39" t="n"/>
      <c r="X36" s="39" t="n"/>
      <c r="Y36" s="37" t="n"/>
      <c r="Z36" s="33" t="n"/>
      <c r="AA36" s="33" t="n"/>
      <c r="AB36" s="33" t="n"/>
      <c r="AC36" s="34" t="n"/>
      <c r="AD36" s="34" t="n"/>
      <c r="AE36" s="37" t="n"/>
      <c r="AF36" s="33" t="n"/>
      <c r="AG36" s="33" t="n"/>
      <c r="AH36" s="33" t="n"/>
      <c r="AI36" s="34" t="n"/>
      <c r="AJ36" s="34" t="n"/>
      <c r="AK36" s="6" t="n"/>
      <c r="AL36" s="37" t="n"/>
      <c r="AM36" s="33" t="n"/>
      <c r="AN36" s="33" t="n"/>
      <c r="AO36" s="33" t="n"/>
      <c r="AP36" s="34" t="n"/>
      <c r="AQ36" s="34" t="n"/>
      <c r="AR36" s="37" t="n"/>
      <c r="AS36" s="33" t="n"/>
      <c r="AT36" s="33" t="n"/>
      <c r="AU36" s="33" t="n"/>
      <c r="AV36" s="34" t="n"/>
      <c r="AW36" s="34" t="n"/>
    </row>
    <row r="37" hidden="1" ht="17.1" customFormat="1" customHeight="1" s="40">
      <c r="B37" s="40" t="inlineStr">
        <is>
          <t>DG</t>
        </is>
      </c>
      <c r="C37" s="40" t="inlineStr">
        <is>
          <t>IF(A37="20'",VLOOKUP(B37,$R$2:$T$5,2,TRUE)+(B37-VLOOKUP(B37,$R$2:$T$5,1,TRUE))*VLOOKUP(B37,$R$2:$T$5,3,TRUE),VLOOKUP(B37,$U$2:$W$5,2,TRUE)+(B37-VLOOKUP(B37,$U$2:$W$5,1,TRUE))*VLOOKUP(B37,$U$2:$W$5,3,TRUE))</t>
        </is>
      </c>
      <c r="D37" s="39" t="n"/>
      <c r="E37" s="39" t="n"/>
      <c r="F37" s="39" t="n"/>
      <c r="G37" s="39" t="n"/>
      <c r="H37" s="39" t="n"/>
      <c r="I37" s="39" t="n"/>
      <c r="J37" s="39" t="n"/>
      <c r="X37" s="39" t="n"/>
      <c r="Y37" s="37" t="n"/>
      <c r="Z37" s="33" t="n"/>
      <c r="AA37" s="33" t="n"/>
      <c r="AB37" s="33" t="n"/>
      <c r="AC37" s="34" t="n"/>
      <c r="AD37" s="34" t="n"/>
      <c r="AE37" s="37" t="n"/>
      <c r="AF37" s="33" t="n"/>
      <c r="AG37" s="33" t="n"/>
      <c r="AH37" s="33" t="n"/>
      <c r="AI37" s="34" t="n"/>
      <c r="AJ37" s="34" t="n"/>
      <c r="AK37" s="6" t="n"/>
      <c r="AL37" s="37" t="n"/>
      <c r="AM37" s="33" t="n"/>
      <c r="AN37" s="33" t="n"/>
      <c r="AO37" s="33" t="n"/>
      <c r="AP37" s="34" t="n"/>
      <c r="AQ37" s="34" t="n"/>
      <c r="AR37" s="37" t="n"/>
      <c r="AS37" s="33" t="n"/>
      <c r="AT37" s="33" t="n"/>
      <c r="AU37" s="33" t="n"/>
      <c r="AV37" s="34" t="n"/>
      <c r="AW37" s="34" t="n"/>
    </row>
    <row r="38" hidden="1" ht="17.1" customFormat="1" customHeight="1" s="40">
      <c r="A38" s="40" t="inlineStr">
        <is>
          <t>BKK01/ BKK04</t>
        </is>
      </c>
      <c r="B38" s="40" t="inlineStr">
        <is>
          <t>GP/RF</t>
        </is>
      </c>
      <c r="C38" s="40" t="inlineStr">
        <is>
          <t>IF(A37="20'",VLOOKUP(B37,$K$18:$M$21,2,TRUE)+(B37-VLOOKUP(B37,$K$18:$M$21,1,TRUE))*VLOOKUP(B37,$K$18:$M$21,3,TRUE),VLOOKUP(B37,$N$18:$P$21,2,TRUE)+(B37-VLOOKUP(B37,$N$18:$P$21,1,TRUE))*VLOOKUP(B37,$N$18:$P$21,3,TRUE))</t>
        </is>
      </c>
      <c r="D38" s="39" t="n"/>
      <c r="E38" s="39" t="n"/>
      <c r="F38" s="39" t="n"/>
      <c r="G38" s="39" t="n"/>
      <c r="H38" s="39" t="n"/>
      <c r="I38" s="39" t="n"/>
      <c r="J38" s="39" t="n"/>
      <c r="X38" s="39" t="n"/>
    </row>
    <row r="39" hidden="1" ht="17.1" customFormat="1" customHeight="1" s="40">
      <c r="B39" s="40" t="inlineStr">
        <is>
          <t>DG</t>
        </is>
      </c>
      <c r="C39" s="40" t="inlineStr">
        <is>
          <t>IF(A37="20'",VLOOKUP(B37,$R$18:$T$21,2,TRUE)+(B37-VLOOKUP(B37,$R$18:$T$21,1,TRUE))*VLOOKUP(B37,$R$18:$T$21,3,TRUE),VLOOKUP(B37,$U$18:$W$21,2,TRUE)+(B37-VLOOKUP(B37,$U$18:$W$21,1,TRUE))*VLOOKUP(B37,$U$18:$W$21,3,TRUE))</t>
        </is>
      </c>
      <c r="D39" s="39" t="n"/>
      <c r="E39" s="39" t="n"/>
      <c r="F39" s="39" t="n"/>
      <c r="G39" s="39" t="n"/>
      <c r="H39" s="39" t="n"/>
      <c r="I39" s="39" t="n"/>
      <c r="J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K39" s="39" t="n"/>
      <c r="AQ39" s="39" t="n"/>
    </row>
    <row r="40" hidden="1" ht="17.1" customFormat="1" customHeight="1" s="40">
      <c r="A40" s="40" t="inlineStr">
        <is>
          <t>BKK02</t>
        </is>
      </c>
      <c r="B40" s="40" t="inlineStr">
        <is>
          <t>GP/RF</t>
        </is>
      </c>
      <c r="C40" s="40" t="inlineStr">
        <is>
          <t>IF(A40="20'",B40*$M$25,B40*$P$25)</t>
        </is>
      </c>
      <c r="D40" s="39" t="n"/>
      <c r="E40" s="39" t="n"/>
      <c r="F40" s="39" t="n"/>
      <c r="G40" s="39" t="n"/>
      <c r="H40" s="39" t="n"/>
      <c r="I40" s="39" t="n"/>
      <c r="J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K40" s="39" t="n"/>
      <c r="AQ40" s="39" t="n"/>
    </row>
    <row r="41" hidden="1" ht="17.1" customFormat="1" customHeight="1" s="40">
      <c r="A41" s="39" t="n"/>
      <c r="B41" s="40" t="inlineStr">
        <is>
          <t>DG</t>
        </is>
      </c>
      <c r="C41" s="40" t="inlineStr">
        <is>
          <t>IF(A40="20'",B40*$T$25,B40*$W$25)</t>
        </is>
      </c>
      <c r="D41" s="39" t="n"/>
      <c r="E41" s="39" t="n"/>
      <c r="F41" s="39" t="n"/>
      <c r="G41" s="39" t="n"/>
      <c r="H41" s="39" t="n"/>
      <c r="I41" s="39" t="n"/>
      <c r="J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K41" s="39" t="n"/>
      <c r="AQ41" s="39" t="n"/>
    </row>
    <row r="42" hidden="1" ht="17.1" customFormat="1" customHeight="1" s="40">
      <c r="A42" s="40" t="inlineStr">
        <is>
          <t>Other</t>
        </is>
      </c>
      <c r="B42" s="40" t="inlineStr">
        <is>
          <t>GP/RF</t>
        </is>
      </c>
      <c r="C42" s="40" t="inlineStr">
        <is>
          <t>IF(A41="20'",VLOOKUP(B41,$K$9:$M$12,2,TRUE)+(B41-VLOOKUP(B41,$K$9:$M$12,1,TRUE))*VLOOKUP(B41,$K$9:$M$12,3,TRUE),VLOOKUP(B41,$N$9:$P$12,2,TRUE)+(B41-VLOOKUP(B41,$N$9:$P$12,1,TRUE))*VLOOKUP(B41,$N$9:$P$12,3,TRUE))</t>
        </is>
      </c>
      <c r="D42" s="39" t="n"/>
      <c r="E42" s="39" t="n"/>
      <c r="F42" s="39" t="n"/>
      <c r="G42" s="39" t="n"/>
      <c r="H42" s="39" t="n"/>
      <c r="I42" s="39" t="n"/>
      <c r="J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K42" s="39" t="n"/>
      <c r="AQ42" s="39" t="n"/>
    </row>
    <row r="43" hidden="1" ht="17.1" customHeight="1">
      <c r="B43" s="40" t="inlineStr">
        <is>
          <t>DG</t>
        </is>
      </c>
      <c r="C43" s="40" t="inlineStr">
        <is>
          <t>IF(A41="20'",VLOOKUP(B41,$R$9:$T$12,2,TRUE)+(B41-VLOOKUP(B41,$R$9:$T$12,1,TRUE))*VLOOKUP(B41,$R$9:$T$12,3,TRUE),VLOOKUP(B41,$U$9:$W$12,2,TRUE)+(B41-VLOOKUP(B41,$U$9:$W$12,1,TRUE))*VLOOKUP(B41,$U$9:$W$12,3,TRUE))</t>
        </is>
      </c>
    </row>
    <row r="44" hidden="1" ht="17.1" customHeight="1"/>
    <row r="45" hidden="1" ht="17.1" customHeight="1">
      <c r="A45" s="2" t="inlineStr">
        <is>
          <t>size</t>
        </is>
      </c>
      <c r="B45" s="2" t="inlineStr">
        <is>
          <t>Day</t>
        </is>
      </c>
      <c r="C45" s="2" t="inlineStr">
        <is>
          <t xml:space="preserve">Amount </t>
        </is>
      </c>
    </row>
    <row r="46" hidden="1" ht="17.1" customHeight="1">
      <c r="A46" s="2" t="inlineStr">
        <is>
          <t>20'</t>
        </is>
      </c>
      <c r="B46" s="2" t="n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  <v/>
      </c>
    </row>
    <row r="47" hidden="1" ht="17.1" customHeight="1">
      <c r="A47" s="2" t="inlineStr">
        <is>
          <t>20'</t>
        </is>
      </c>
      <c r="B47" s="2" t="n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  <v/>
      </c>
    </row>
    <row r="48" hidden="1" ht="17.1" customHeight="1">
      <c r="A48" s="2" t="inlineStr">
        <is>
          <t>20'</t>
        </is>
      </c>
      <c r="B48" s="2" t="n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  <v/>
      </c>
      <c r="G48" s="5" t="n"/>
    </row>
    <row r="49" hidden="1" ht="17.1" customHeight="1">
      <c r="A49" s="2" t="inlineStr">
        <is>
          <t>20'</t>
        </is>
      </c>
      <c r="B49" s="2" t="n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  <v/>
      </c>
    </row>
    <row r="50" hidden="1" ht="17.1" customHeight="1">
      <c r="A50" s="2" t="inlineStr">
        <is>
          <t>20'</t>
        </is>
      </c>
      <c r="B50" s="2" t="n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  <v/>
      </c>
    </row>
    <row r="51" hidden="1" ht="17.1" customHeight="1">
      <c r="A51" s="2" t="inlineStr">
        <is>
          <t>20'</t>
        </is>
      </c>
      <c r="B51" s="2" t="n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  <v/>
      </c>
    </row>
    <row r="52" hidden="1" ht="17.1" customHeight="1">
      <c r="A52" s="2" t="inlineStr">
        <is>
          <t>20'</t>
        </is>
      </c>
      <c r="B52" s="2" t="n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  <v/>
      </c>
    </row>
    <row r="53" hidden="1" ht="17.1" customHeight="1">
      <c r="A53" s="2" t="inlineStr">
        <is>
          <t>20'</t>
        </is>
      </c>
      <c r="B53" s="2" t="n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  <v/>
      </c>
    </row>
    <row r="54" hidden="1" ht="17.1" customHeight="1">
      <c r="A54" s="2" t="inlineStr">
        <is>
          <t>20'</t>
        </is>
      </c>
      <c r="B54" s="2" t="n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  <v/>
      </c>
    </row>
    <row r="55" hidden="1" ht="17.1" customHeight="1">
      <c r="A55" s="2" t="inlineStr">
        <is>
          <t>20'</t>
        </is>
      </c>
      <c r="B55" s="2" t="n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  <v/>
      </c>
    </row>
    <row r="56" hidden="1" ht="17.1" customHeight="1">
      <c r="A56" s="2" t="inlineStr">
        <is>
          <t>20'</t>
        </is>
      </c>
      <c r="B56" s="2" t="n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  <v/>
      </c>
    </row>
    <row r="57" hidden="1" ht="17.1" customHeight="1">
      <c r="A57" s="2" t="inlineStr">
        <is>
          <t>20'</t>
        </is>
      </c>
      <c r="B57" s="2" t="n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  <v/>
      </c>
    </row>
    <row r="58" hidden="1" ht="17.1" customHeight="1">
      <c r="A58" s="2" t="inlineStr">
        <is>
          <t>20'</t>
        </is>
      </c>
      <c r="B58" s="2" t="n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  <v/>
      </c>
    </row>
    <row r="59" hidden="1" ht="17.1" customHeight="1">
      <c r="A59" s="2" t="inlineStr">
        <is>
          <t>20'</t>
        </is>
      </c>
      <c r="B59" s="2" t="n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  <v/>
      </c>
    </row>
    <row r="60" hidden="1" ht="17.1" customHeight="1">
      <c r="A60" s="2" t="inlineStr">
        <is>
          <t>20'</t>
        </is>
      </c>
      <c r="B60" s="2" t="n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  <v/>
      </c>
    </row>
    <row r="61" hidden="1" ht="17.1" customHeight="1">
      <c r="A61" s="2" t="inlineStr">
        <is>
          <t>20'</t>
        </is>
      </c>
      <c r="B61" s="2" t="n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  <v/>
      </c>
    </row>
    <row r="62" hidden="1" ht="17.1" customHeight="1">
      <c r="A62" s="2" t="inlineStr">
        <is>
          <t>40'</t>
        </is>
      </c>
      <c r="B62" s="2" t="n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  <v/>
      </c>
    </row>
    <row r="63" hidden="1" ht="17.1" customHeight="1">
      <c r="A63" s="2" t="inlineStr">
        <is>
          <t>40'</t>
        </is>
      </c>
      <c r="B63" s="2" t="n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  <v/>
      </c>
    </row>
    <row r="64" hidden="1" ht="17.1" customHeight="1">
      <c r="A64" s="2" t="inlineStr">
        <is>
          <t>40'</t>
        </is>
      </c>
      <c r="B64" s="2" t="n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  <v/>
      </c>
    </row>
    <row r="65" hidden="1" ht="17.1" customHeight="1">
      <c r="A65" s="2" t="inlineStr">
        <is>
          <t>40'</t>
        </is>
      </c>
      <c r="B65" s="2" t="n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  <v/>
      </c>
    </row>
    <row r="66" hidden="1" ht="17.1" customHeight="1">
      <c r="A66" s="2" t="inlineStr">
        <is>
          <t>40'</t>
        </is>
      </c>
      <c r="B66" s="2" t="n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  <v/>
      </c>
    </row>
    <row r="67" hidden="1" ht="17.1" customHeight="1">
      <c r="A67" s="2" t="inlineStr">
        <is>
          <t>40'</t>
        </is>
      </c>
      <c r="B67" s="2" t="n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  <v/>
      </c>
    </row>
    <row r="68" hidden="1" ht="17.1" customHeight="1">
      <c r="A68" s="2" t="inlineStr">
        <is>
          <t>40'</t>
        </is>
      </c>
      <c r="B68" s="2" t="n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  <v/>
      </c>
    </row>
    <row r="69" hidden="1" ht="17.1" customHeight="1">
      <c r="A69" s="2" t="inlineStr">
        <is>
          <t>40'</t>
        </is>
      </c>
      <c r="B69" s="2" t="n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  <v/>
      </c>
    </row>
    <row r="70" hidden="1" ht="17.1" customHeight="1">
      <c r="A70" s="2" t="inlineStr">
        <is>
          <t>40'</t>
        </is>
      </c>
      <c r="B70" s="2" t="n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  <v/>
      </c>
    </row>
    <row r="71" hidden="1" ht="17.1" customHeight="1">
      <c r="A71" s="2" t="inlineStr">
        <is>
          <t>40'</t>
        </is>
      </c>
      <c r="B71" s="2" t="n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  <v/>
      </c>
    </row>
    <row r="72" hidden="1" ht="17.1" customHeight="1">
      <c r="A72" s="2" t="inlineStr">
        <is>
          <t>40'</t>
        </is>
      </c>
      <c r="B72" s="2" t="n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  <v/>
      </c>
    </row>
    <row r="73" hidden="1" ht="17.1" customHeight="1">
      <c r="A73" s="2" t="inlineStr">
        <is>
          <t>40'</t>
        </is>
      </c>
      <c r="B73" s="2" t="n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  <v/>
      </c>
    </row>
    <row r="74" hidden="1" ht="17.1" customHeight="1">
      <c r="A74" s="2" t="inlineStr">
        <is>
          <t>40'</t>
        </is>
      </c>
      <c r="B74" s="2" t="n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  <v/>
      </c>
    </row>
    <row r="75" hidden="1" ht="17.1" customHeight="1">
      <c r="A75" s="2" t="inlineStr">
        <is>
          <t>40'</t>
        </is>
      </c>
      <c r="B75" s="2" t="n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  <v/>
      </c>
    </row>
    <row r="76" hidden="1" ht="17.1" customHeight="1">
      <c r="A76" s="2" t="inlineStr">
        <is>
          <t>40'</t>
        </is>
      </c>
      <c r="B76" s="2" t="n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  <v/>
      </c>
    </row>
    <row r="77" hidden="1" ht="17.1" customHeight="1">
      <c r="A77" s="2" t="inlineStr">
        <is>
          <t>40'</t>
        </is>
      </c>
      <c r="B77" s="2" t="n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  <v/>
      </c>
    </row>
  </sheetData>
  <mergeCells count="12">
    <mergeCell ref="A17:E17"/>
    <mergeCell ref="A7:E7"/>
    <mergeCell ref="H7:I7"/>
    <mergeCell ref="F23:G23"/>
    <mergeCell ref="H1:I1"/>
    <mergeCell ref="A1:E1"/>
    <mergeCell ref="A23:E23"/>
    <mergeCell ref="H23:I23"/>
    <mergeCell ref="F1:G1"/>
    <mergeCell ref="F17:G17"/>
    <mergeCell ref="F7:G7"/>
    <mergeCell ref="H17:I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</dc:creator>
  <dcterms:created xmlns:dcterms="http://purl.org/dc/terms/" xmlns:xsi="http://www.w3.org/2001/XMLSchema-instance" xsi:type="dcterms:W3CDTF">2017-05-05T08:05:46Z</dcterms:created>
  <dcterms:modified xmlns:dcterms="http://purl.org/dc/terms/" xmlns:xsi="http://www.w3.org/2001/XMLSchema-instance" xsi:type="dcterms:W3CDTF">2026-10-14T07:00:30Z</dcterms:modified>
  <cp:lastModifiedBy>office4</cp:lastModifiedBy>
  <cp:lastPrinted>2019-11-19T03:03:39Z</cp:lastPrinted>
</cp:coreProperties>
</file>