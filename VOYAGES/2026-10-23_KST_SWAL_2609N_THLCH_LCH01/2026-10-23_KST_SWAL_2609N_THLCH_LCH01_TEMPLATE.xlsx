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HALU2084043</t>
        </is>
      </c>
      <c r="B2" s="161" t="inlineStr">
        <is>
          <t>2026-10-23</t>
        </is>
      </c>
      <c r="C2" s="96" t="inlineStr">
        <is>
          <t>SWAL</t>
        </is>
      </c>
      <c r="D2" s="96" t="inlineStr">
        <is>
          <t>2609N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JPNAH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LCH01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HASLS22261000005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KST</t>
        </is>
      </c>
      <c r="U2" s="97" t="n"/>
      <c r="V2" s="96" t="inlineStr">
        <is>
          <t>TXG15006</t>
        </is>
      </c>
      <c r="W2" s="96" t="inlineStr">
        <is>
          <t>THAI POLYETHYLENE CO.,LTD.</t>
        </is>
      </c>
      <c r="X2" s="96" t="inlineStr">
        <is>
          <t>VED</t>
        </is>
      </c>
      <c r="Y2" s="96" t="inlineStr">
        <is>
          <t>TO ORDER OF MIZUHO BANK LTD., JAPAN</t>
        </is>
      </c>
      <c r="Z2" s="96" t="inlineStr">
        <is>
          <t>TOYO PLASTICS CO.,LTD.</t>
        </is>
      </c>
      <c r="AA2" s="97" t="n">
        <v>15147</v>
      </c>
      <c r="AB2" s="96" t="inlineStr">
        <is>
          <t>LCH01</t>
        </is>
      </c>
      <c r="AC2" s="96" t="inlineStr">
        <is>
          <t>NAH01</t>
        </is>
      </c>
    </row>
    <row r="3" ht="12" customHeight="1">
      <c r="A3" s="96" t="inlineStr">
        <is>
          <t>CXDU2376549</t>
        </is>
      </c>
      <c r="B3" s="161" t="inlineStr">
        <is>
          <t>2026-10-23</t>
        </is>
      </c>
      <c r="C3" s="96" t="inlineStr">
        <is>
          <t>SWAL</t>
        </is>
      </c>
      <c r="D3" s="96" t="inlineStr">
        <is>
          <t>2609N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KRINC</t>
        </is>
      </c>
      <c r="J3" s="96" t="inlineStr">
        <is>
          <t>KRINC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LCH01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HASLS22261000120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KST</t>
        </is>
      </c>
      <c r="U3" s="97" t="n"/>
      <c r="V3" s="96" t="inlineStr">
        <is>
          <t>TAO16L01</t>
        </is>
      </c>
      <c r="W3" s="96" t="inlineStr">
        <is>
          <t>MAXTOP LOGISTICS(THAILAND)CO.,LTD.</t>
        </is>
      </c>
      <c r="X3" s="96" t="inlineStr">
        <is>
          <t>VED</t>
        </is>
      </c>
      <c r="Y3" s="96" t="inlineStr">
        <is>
          <t>SEBANG EXPRESS CO., LTD</t>
        </is>
      </c>
      <c r="Z3" s="96" t="inlineStr">
        <is>
          <t>SEBANG EXPRESS CO., LTD</t>
        </is>
      </c>
      <c r="AA3" s="97" t="n">
        <v>24010</v>
      </c>
      <c r="AB3" s="96" t="inlineStr">
        <is>
          <t>LCH01</t>
        </is>
      </c>
      <c r="AC3" s="96" t="inlineStr">
        <is>
          <t>INC07</t>
        </is>
      </c>
    </row>
    <row r="4" ht="12" customHeight="1">
      <c r="A4" s="96" t="inlineStr">
        <is>
          <t>HALU2025185</t>
        </is>
      </c>
      <c r="B4" s="161" t="inlineStr">
        <is>
          <t>2026-10-23</t>
        </is>
      </c>
      <c r="C4" s="96" t="inlineStr">
        <is>
          <t>SWAL</t>
        </is>
      </c>
      <c r="D4" s="96" t="inlineStr">
        <is>
          <t>2609N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LCH01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HASLS22260800955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KST</t>
        </is>
      </c>
      <c r="U4" s="97" t="n"/>
      <c r="V4" s="96" t="inlineStr">
        <is>
          <t>TXG13016</t>
        </is>
      </c>
      <c r="W4" s="96" t="inlineStr">
        <is>
          <t>PTT GLOBAL CHEMICAL PUBLIC COMPANY</t>
        </is>
      </c>
      <c r="X4" s="96" t="inlineStr">
        <is>
          <t>VFD</t>
        </is>
      </c>
      <c r="Y4" s="96" t="inlineStr">
        <is>
          <t>TO THE ORDER OF JOINT STOCK</t>
        </is>
      </c>
      <c r="Z4" s="96" t="inlineStr">
        <is>
          <t>DANANG PLASTIC AND CHEMICAL JOINT</t>
        </is>
      </c>
      <c r="AA4" s="97" t="n">
        <v>18072</v>
      </c>
      <c r="AB4" s="96" t="inlineStr">
        <is>
          <t>LCH01</t>
        </is>
      </c>
      <c r="AC4" s="96" t="inlineStr">
        <is>
          <t>SGN03</t>
        </is>
      </c>
    </row>
    <row r="5" ht="12" customHeight="1">
      <c r="A5" s="96" t="inlineStr">
        <is>
          <t>HALU2086920</t>
        </is>
      </c>
      <c r="B5" s="161" t="inlineStr">
        <is>
          <t>2026-10-23</t>
        </is>
      </c>
      <c r="C5" s="96" t="inlineStr">
        <is>
          <t>SWAL</t>
        </is>
      </c>
      <c r="D5" s="96" t="inlineStr">
        <is>
          <t>2609N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LCH01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HASLS22260901975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KST</t>
        </is>
      </c>
      <c r="U5" s="97" t="n"/>
      <c r="V5" s="96" t="inlineStr">
        <is>
          <t>TXG15008</t>
        </is>
      </c>
      <c r="W5" s="96" t="inlineStr">
        <is>
          <t>T.C. PHARMACEUTICAL INDUSTRIES</t>
        </is>
      </c>
      <c r="X5" s="96" t="inlineStr">
        <is>
          <t>VFD</t>
        </is>
      </c>
      <c r="Y5" s="96" t="inlineStr">
        <is>
          <t>TCPVN COMPANY LIMITED</t>
        </is>
      </c>
      <c r="Z5" s="96" t="inlineStr">
        <is>
          <t>TCPVN COMPANY LIMITED</t>
        </is>
      </c>
      <c r="AA5" s="97" t="n">
        <v>19380</v>
      </c>
      <c r="AB5" s="96" t="inlineStr">
        <is>
          <t>LCH01</t>
        </is>
      </c>
      <c r="AC5" s="96" t="inlineStr">
        <is>
          <t>SGN03</t>
        </is>
      </c>
    </row>
    <row r="6" ht="12" customHeight="1">
      <c r="A6" s="96" t="inlineStr">
        <is>
          <t>SEGU9996370</t>
        </is>
      </c>
      <c r="B6" s="161" t="inlineStr">
        <is>
          <t>2026-10-23</t>
        </is>
      </c>
      <c r="C6" s="96" t="inlineStr">
        <is>
          <t>SWAL</t>
        </is>
      </c>
      <c r="D6" s="96" t="inlineStr">
        <is>
          <t>2609N</t>
        </is>
      </c>
      <c r="E6" s="96" t="inlineStr">
        <is>
          <t>22RE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LCH01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HASLS22260902731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KST</t>
        </is>
      </c>
      <c r="U6" s="97" t="n"/>
      <c r="V6" s="96" t="inlineStr">
        <is>
          <t>K0120024</t>
        </is>
      </c>
      <c r="W6" s="96" t="inlineStr">
        <is>
          <t>INITIAL FREIGHT CO.,LTD.</t>
        </is>
      </c>
      <c r="X6" s="96" t="inlineStr">
        <is>
          <t>VFD</t>
        </is>
      </c>
      <c r="Y6" s="96" t="inlineStr">
        <is>
          <t>BLUE OCEAN INTERNATIONAL SHIPPING</t>
        </is>
      </c>
      <c r="Z6" s="96" t="inlineStr">
        <is>
          <t>BLUE OCEAN INTERNATIONAL SHIPPING</t>
        </is>
      </c>
      <c r="AA6" s="97" t="n">
        <v>11833.5</v>
      </c>
      <c r="AB6" s="96" t="inlineStr">
        <is>
          <t>LCH01</t>
        </is>
      </c>
      <c r="AC6" s="96" t="inlineStr">
        <is>
          <t>SGN03</t>
        </is>
      </c>
    </row>
    <row r="7" ht="12" customHeight="1">
      <c r="A7" s="96" t="inlineStr">
        <is>
          <t>SKRU9902740</t>
        </is>
      </c>
      <c r="B7" s="161" t="inlineStr">
        <is>
          <t>2026-10-23</t>
        </is>
      </c>
      <c r="C7" s="96" t="inlineStr">
        <is>
          <t>SWAL</t>
        </is>
      </c>
      <c r="D7" s="96" t="inlineStr">
        <is>
          <t>2609N</t>
        </is>
      </c>
      <c r="E7" s="96" t="inlineStr">
        <is>
          <t>45RE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LCH01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HASLS22261000863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KST</t>
        </is>
      </c>
      <c r="U7" s="97" t="n"/>
      <c r="V7" s="96" t="inlineStr">
        <is>
          <t>K0120025</t>
        </is>
      </c>
      <c r="W7" s="96" t="inlineStr">
        <is>
          <t>GOLDEN SEA FROZEN FOODS CO.,LTD.</t>
        </is>
      </c>
      <c r="X7" s="96" t="inlineStr">
        <is>
          <t>VFD</t>
        </is>
      </c>
      <c r="Y7" s="96" t="inlineStr">
        <is>
          <t>HAI ANH IMPORT EXPORT BUSINESS</t>
        </is>
      </c>
      <c r="Z7" s="96" t="inlineStr">
        <is>
          <t>HAI ANH IMPORT EXPORT BUSINESS</t>
        </is>
      </c>
      <c r="AA7" s="97" t="n">
        <v>22760</v>
      </c>
      <c r="AB7" s="96" t="inlineStr">
        <is>
          <t>LCH01</t>
        </is>
      </c>
      <c r="AC7" s="96" t="inlineStr">
        <is>
          <t>SGN03</t>
        </is>
      </c>
    </row>
    <row r="8" ht="12" customHeight="1">
      <c r="A8" s="96" t="inlineStr">
        <is>
          <t>SKLU3516590</t>
        </is>
      </c>
      <c r="B8" s="161" t="inlineStr">
        <is>
          <t>2026-10-23</t>
        </is>
      </c>
      <c r="C8" s="96" t="inlineStr">
        <is>
          <t>SWAL</t>
        </is>
      </c>
      <c r="D8" s="96" t="inlineStr">
        <is>
          <t>2609N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LCH01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HASLS22260902686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KST</t>
        </is>
      </c>
      <c r="U8" s="97" t="n"/>
      <c r="V8" s="96" t="inlineStr">
        <is>
          <t>C0420003</t>
        </is>
      </c>
      <c r="W8" s="96" t="inlineStr">
        <is>
          <t>TAPIOCA DEVELOPMENT</t>
        </is>
      </c>
      <c r="X8" s="96" t="inlineStr">
        <is>
          <t>VFD</t>
        </is>
      </c>
      <c r="Y8" s="96" t="inlineStr">
        <is>
          <t>SHINEROAD FOOD</t>
        </is>
      </c>
      <c r="Z8" s="96" t="inlineStr">
        <is>
          <t>SHINEROAD FOOD</t>
        </is>
      </c>
      <c r="AA8" s="97" t="n">
        <v>20320</v>
      </c>
      <c r="AB8" s="96" t="inlineStr">
        <is>
          <t>LCH01</t>
        </is>
      </c>
      <c r="AC8" s="96" t="inlineStr">
        <is>
          <t>SGN03</t>
        </is>
      </c>
    </row>
    <row r="9" ht="12" customHeight="1">
      <c r="A9" s="96" t="inlineStr">
        <is>
          <t>SKLU2349101</t>
        </is>
      </c>
      <c r="B9" s="161" t="inlineStr">
        <is>
          <t>2026-10-23</t>
        </is>
      </c>
      <c r="C9" s="96" t="inlineStr">
        <is>
          <t>SWAL</t>
        </is>
      </c>
      <c r="D9" s="96" t="inlineStr">
        <is>
          <t>2609N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LCH01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HASLS22260902686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KST</t>
        </is>
      </c>
      <c r="U9" s="97" t="n"/>
      <c r="V9" s="96" t="inlineStr">
        <is>
          <t>K0120021</t>
        </is>
      </c>
      <c r="W9" s="96" t="inlineStr">
        <is>
          <t>TAPIOCA DEVELOPMENT</t>
        </is>
      </c>
      <c r="X9" s="96" t="inlineStr">
        <is>
          <t>VFD</t>
        </is>
      </c>
      <c r="Y9" s="96" t="inlineStr">
        <is>
          <t>SHINEROAD FOOD</t>
        </is>
      </c>
      <c r="Z9" s="96" t="inlineStr">
        <is>
          <t>SHINEROAD FOOD</t>
        </is>
      </c>
      <c r="AA9" s="97" t="n">
        <v>20320</v>
      </c>
      <c r="AB9" s="96" t="inlineStr">
        <is>
          <t>LCH01</t>
        </is>
      </c>
      <c r="AC9" s="96" t="inlineStr">
        <is>
          <t>SGN03</t>
        </is>
      </c>
    </row>
    <row r="10" ht="12" customHeight="1">
      <c r="A10" s="96" t="inlineStr">
        <is>
          <t>TRHU1676534</t>
        </is>
      </c>
      <c r="B10" s="161" t="inlineStr">
        <is>
          <t>2026-10-23</t>
        </is>
      </c>
      <c r="C10" s="96" t="inlineStr">
        <is>
          <t>SWAL</t>
        </is>
      </c>
      <c r="D10" s="96" t="inlineStr">
        <is>
          <t>2609N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LCH01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HASLS22260902657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KST</t>
        </is>
      </c>
      <c r="U10" s="97" t="n"/>
      <c r="V10" s="96" t="inlineStr">
        <is>
          <t>K0120021</t>
        </is>
      </c>
      <c r="W10" s="96" t="inlineStr">
        <is>
          <t>ACCORD PILOT LOGISTICS (THAILAND)</t>
        </is>
      </c>
      <c r="X10" s="96" t="inlineStr">
        <is>
          <t>VED</t>
        </is>
      </c>
      <c r="Y10" s="96" t="inlineStr">
        <is>
          <t>MP CONSOL CO.,LTD.</t>
        </is>
      </c>
      <c r="Z10" s="96" t="inlineStr">
        <is>
          <t>MP CONSOL CO.,LTD.</t>
        </is>
      </c>
      <c r="AA10" s="97" t="n">
        <v>530.51</v>
      </c>
      <c r="AB10" s="96" t="inlineStr">
        <is>
          <t>LCH01</t>
        </is>
      </c>
      <c r="AC10" s="96" t="inlineStr">
        <is>
          <t>SGN03</t>
        </is>
      </c>
    </row>
    <row r="11" ht="12" customHeight="1">
      <c r="A11" s="96" t="inlineStr">
        <is>
          <t>SKLU0557512</t>
        </is>
      </c>
      <c r="B11" s="161" t="inlineStr">
        <is>
          <t>2026-10-23</t>
        </is>
      </c>
      <c r="C11" s="96" t="inlineStr">
        <is>
          <t>SWAL</t>
        </is>
      </c>
      <c r="D11" s="96" t="inlineStr">
        <is>
          <t>2609N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KRPUS</t>
        </is>
      </c>
      <c r="J11" s="96" t="inlineStr">
        <is>
          <t>JPYKK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LCH01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HASLS22260902632</t>
        </is>
      </c>
      <c r="R11" s="96" t="inlineStr">
        <is>
          <t>Y</t>
        </is>
      </c>
      <c r="S11" s="96" t="inlineStr">
        <is>
          <t>N</t>
        </is>
      </c>
      <c r="T11" s="96" t="inlineStr">
        <is>
          <t>KST</t>
        </is>
      </c>
      <c r="U11" s="97" t="n"/>
      <c r="V11" s="96" t="inlineStr">
        <is>
          <t>K0120021</t>
        </is>
      </c>
      <c r="W11" s="96" t="inlineStr">
        <is>
          <t>SIAM POLYETHYLENE CO., LTD.</t>
        </is>
      </c>
      <c r="X11" s="96" t="inlineStr">
        <is>
          <t>VED</t>
        </is>
      </c>
      <c r="Y11" s="96" t="inlineStr">
        <is>
          <t>DOW CHEMICAL JAPAN LIMITED</t>
        </is>
      </c>
      <c r="Z11" s="96" t="inlineStr">
        <is>
          <t>THE SHIBUSAWA WAREHOUSE CO., LTD.</t>
        </is>
      </c>
      <c r="AA11" s="97" t="n">
        <v>16730</v>
      </c>
      <c r="AB11" s="96" t="inlineStr">
        <is>
          <t>LCH01</t>
        </is>
      </c>
      <c r="AC11" s="96" t="inlineStr">
        <is>
          <t>YKK01</t>
        </is>
      </c>
    </row>
    <row r="12" ht="12" customHeight="1">
      <c r="A12" s="96" t="inlineStr">
        <is>
          <t>SKLU2473391</t>
        </is>
      </c>
      <c r="B12" s="161" t="inlineStr">
        <is>
          <t>2026-10-23</t>
        </is>
      </c>
      <c r="C12" s="96" t="inlineStr">
        <is>
          <t>SWAL</t>
        </is>
      </c>
      <c r="D12" s="96" t="inlineStr">
        <is>
          <t>2609N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KRPUS</t>
        </is>
      </c>
      <c r="J12" s="96" t="inlineStr">
        <is>
          <t>JPNGO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LCH01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HASLS22260902627</t>
        </is>
      </c>
      <c r="R12" s="96" t="inlineStr">
        <is>
          <t>Y</t>
        </is>
      </c>
      <c r="S12" s="96" t="inlineStr">
        <is>
          <t>N</t>
        </is>
      </c>
      <c r="T12" s="96" t="inlineStr">
        <is>
          <t>KST</t>
        </is>
      </c>
      <c r="U12" s="97" t="n"/>
      <c r="V12" s="96" t="inlineStr">
        <is>
          <t>K0120021</t>
        </is>
      </c>
      <c r="W12" s="96" t="inlineStr">
        <is>
          <t>SIAM POLYETHYLENE CO., LTD.</t>
        </is>
      </c>
      <c r="X12" s="96" t="inlineStr">
        <is>
          <t>ONL</t>
        </is>
      </c>
      <c r="Y12" s="96" t="inlineStr">
        <is>
          <t>DOW CHEMICAL JAPAN LIMITED</t>
        </is>
      </c>
      <c r="Z12" s="96" t="inlineStr">
        <is>
          <t>THE SHIBUSAWA WAREHOUSE CO., LTD.</t>
        </is>
      </c>
      <c r="AA12" s="97" t="n">
        <v>16840</v>
      </c>
      <c r="AB12" s="96" t="inlineStr">
        <is>
          <t>LCH01</t>
        </is>
      </c>
      <c r="AC12" s="96" t="inlineStr">
        <is>
          <t>NGO01</t>
        </is>
      </c>
    </row>
    <row r="13" ht="12" customHeight="1">
      <c r="A13" s="96" t="inlineStr">
        <is>
          <t>SKLU0521130</t>
        </is>
      </c>
      <c r="B13" s="161" t="inlineStr">
        <is>
          <t>2026-10-23</t>
        </is>
      </c>
      <c r="C13" s="96" t="inlineStr">
        <is>
          <t>SWAL</t>
        </is>
      </c>
      <c r="D13" s="96" t="inlineStr">
        <is>
          <t>2609N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KRPUS</t>
        </is>
      </c>
      <c r="J13" s="96" t="inlineStr">
        <is>
          <t>JPYKK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LCH01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HASLS22260902630</t>
        </is>
      </c>
      <c r="R13" s="96" t="inlineStr">
        <is>
          <t>Y</t>
        </is>
      </c>
      <c r="S13" s="96" t="inlineStr">
        <is>
          <t>N</t>
        </is>
      </c>
      <c r="T13" s="96" t="inlineStr">
        <is>
          <t>KST</t>
        </is>
      </c>
      <c r="U13" s="97" t="n"/>
      <c r="V13" s="96" t="inlineStr">
        <is>
          <t>K0120021</t>
        </is>
      </c>
      <c r="W13" s="96" t="inlineStr">
        <is>
          <t>SIAM POLYETHYLENE CO., LTD.</t>
        </is>
      </c>
      <c r="X13" s="96" t="inlineStr">
        <is>
          <t>VFD</t>
        </is>
      </c>
      <c r="Y13" s="96" t="inlineStr">
        <is>
          <t>DOW CHEMICAL JAPAN LIMITED</t>
        </is>
      </c>
      <c r="Z13" s="96" t="inlineStr">
        <is>
          <t>THE SHIBUSAWA WAREHOUSE CO., LTD.</t>
        </is>
      </c>
      <c r="AA13" s="97" t="n">
        <v>16820</v>
      </c>
      <c r="AB13" s="96" t="inlineStr">
        <is>
          <t>LCH01</t>
        </is>
      </c>
      <c r="AC13" s="96" t="inlineStr">
        <is>
          <t>YKK01</t>
        </is>
      </c>
    </row>
    <row r="14" ht="12" customHeight="1">
      <c r="A14" s="96" t="inlineStr">
        <is>
          <t>SKLU2363265</t>
        </is>
      </c>
      <c r="B14" s="161" t="inlineStr">
        <is>
          <t>2026-10-23</t>
        </is>
      </c>
      <c r="C14" s="96" t="inlineStr">
        <is>
          <t>SWAL</t>
        </is>
      </c>
      <c r="D14" s="96" t="inlineStr">
        <is>
          <t>2609N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KRPUS</t>
        </is>
      </c>
      <c r="J14" s="96" t="inlineStr">
        <is>
          <t>JPNGO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LCH01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HASLS22260902626</t>
        </is>
      </c>
      <c r="R14" s="96" t="inlineStr">
        <is>
          <t>Y</t>
        </is>
      </c>
      <c r="S14" s="96" t="inlineStr">
        <is>
          <t>N</t>
        </is>
      </c>
      <c r="T14" s="96" t="inlineStr">
        <is>
          <t>KST</t>
        </is>
      </c>
      <c r="U14" s="97" t="n"/>
      <c r="V14" s="96" t="inlineStr">
        <is>
          <t>K0120021</t>
        </is>
      </c>
      <c r="W14" s="96" t="inlineStr">
        <is>
          <t>SIAM POLYETHYLENE CO., LTD.</t>
        </is>
      </c>
      <c r="X14" s="96" t="inlineStr">
        <is>
          <t>ONL</t>
        </is>
      </c>
      <c r="Y14" s="96" t="inlineStr">
        <is>
          <t>DOW CHEMICAL JAPAN LIMITED</t>
        </is>
      </c>
      <c r="Z14" s="96" t="inlineStr">
        <is>
          <t>THE SHIBUSAWA WAREHOUSE CO., LTD.</t>
        </is>
      </c>
      <c r="AA14" s="97" t="n">
        <v>17010</v>
      </c>
      <c r="AB14" s="96" t="inlineStr">
        <is>
          <t>LCH01</t>
        </is>
      </c>
      <c r="AC14" s="96" t="inlineStr">
        <is>
          <t>NGO03</t>
        </is>
      </c>
    </row>
    <row r="15" ht="12" customHeight="1">
      <c r="A15" s="96" t="inlineStr">
        <is>
          <t>SKLU2101727</t>
        </is>
      </c>
      <c r="B15" s="161" t="inlineStr">
        <is>
          <t>2026-10-23</t>
        </is>
      </c>
      <c r="C15" s="96" t="inlineStr">
        <is>
          <t>SWAL</t>
        </is>
      </c>
      <c r="D15" s="96" t="inlineStr">
        <is>
          <t>2609N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KRINC</t>
        </is>
      </c>
      <c r="J15" s="96" t="inlineStr">
        <is>
          <t>KRINC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LCH01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HASLS22261000120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KST</t>
        </is>
      </c>
      <c r="U15" s="97" t="n"/>
      <c r="V15" s="96" t="inlineStr">
        <is>
          <t>K0120021</t>
        </is>
      </c>
      <c r="W15" s="96" t="inlineStr">
        <is>
          <t>MAXTOP LOGISTICS(THAILAND)CO.,LTD.</t>
        </is>
      </c>
      <c r="X15" s="96" t="inlineStr">
        <is>
          <t>VED</t>
        </is>
      </c>
      <c r="Y15" s="96" t="inlineStr">
        <is>
          <t>SEBANG EXPRESS CO., LTD</t>
        </is>
      </c>
      <c r="Z15" s="96" t="inlineStr">
        <is>
          <t>SEBANG EXPRESS CO., LTD</t>
        </is>
      </c>
      <c r="AA15" s="97" t="n">
        <v>23780</v>
      </c>
      <c r="AB15" s="96" t="inlineStr">
        <is>
          <t>LCH01</t>
        </is>
      </c>
      <c r="AC15" s="96" t="inlineStr">
        <is>
          <t>INC07</t>
        </is>
      </c>
    </row>
    <row r="16" ht="12" customHeight="1">
      <c r="A16" s="96" t="inlineStr">
        <is>
          <t>SKLU1553830</t>
        </is>
      </c>
      <c r="B16" s="161" t="inlineStr">
        <is>
          <t>2026-10-23</t>
        </is>
      </c>
      <c r="C16" s="96" t="inlineStr">
        <is>
          <t>SWAL</t>
        </is>
      </c>
      <c r="D16" s="96" t="inlineStr">
        <is>
          <t>2609N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KRINC</t>
        </is>
      </c>
      <c r="J16" s="96" t="inlineStr">
        <is>
          <t>KRINC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LCH01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HASLS22261000120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KST</t>
        </is>
      </c>
      <c r="U16" s="97" t="n"/>
      <c r="V16" s="96" t="inlineStr">
        <is>
          <t>K0120021</t>
        </is>
      </c>
      <c r="W16" s="96" t="inlineStr">
        <is>
          <t>MAXTOP LOGISTICS(THAILAND)CO.,LTD.</t>
        </is>
      </c>
      <c r="X16" s="96" t="inlineStr">
        <is>
          <t>VED</t>
        </is>
      </c>
      <c r="Y16" s="96" t="inlineStr">
        <is>
          <t>SEBANG EXPRESS CO., LTD</t>
        </is>
      </c>
      <c r="Z16" s="96" t="inlineStr">
        <is>
          <t>SEBANG EXPRESS CO., LTD</t>
        </is>
      </c>
      <c r="AA16" s="97" t="n">
        <v>24290</v>
      </c>
      <c r="AB16" s="96" t="inlineStr">
        <is>
          <t>LCH01</t>
        </is>
      </c>
      <c r="AC16" s="96" t="inlineStr">
        <is>
          <t>INC07</t>
        </is>
      </c>
    </row>
    <row r="17" ht="12" customHeight="1">
      <c r="A17" s="96" t="inlineStr">
        <is>
          <t>SKLU1586238</t>
        </is>
      </c>
      <c r="B17" s="161" t="inlineStr">
        <is>
          <t>2026-10-23</t>
        </is>
      </c>
      <c r="C17" s="96" t="inlineStr">
        <is>
          <t>SWAL</t>
        </is>
      </c>
      <c r="D17" s="96" t="inlineStr">
        <is>
          <t>2609N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KRINC</t>
        </is>
      </c>
      <c r="J17" s="96" t="inlineStr">
        <is>
          <t>KRINC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LCH01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HASLS22261000120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KST</t>
        </is>
      </c>
      <c r="U17" s="97" t="n"/>
      <c r="V17" s="96" t="inlineStr">
        <is>
          <t>K0120021</t>
        </is>
      </c>
      <c r="W17" s="96" t="inlineStr">
        <is>
          <t>MAXTOP LOGISTICS(THAILAND)CO.,LTD.</t>
        </is>
      </c>
      <c r="X17" s="96" t="inlineStr">
        <is>
          <t>VED</t>
        </is>
      </c>
      <c r="Y17" s="96" t="inlineStr">
        <is>
          <t>SEBANG EXPRESS CO., LTD</t>
        </is>
      </c>
      <c r="Z17" s="96" t="inlineStr">
        <is>
          <t>SEBANG EXPRESS CO., LTD</t>
        </is>
      </c>
      <c r="AA17" s="97" t="n">
        <v>12490</v>
      </c>
      <c r="AB17" s="96" t="inlineStr">
        <is>
          <t>LCH01</t>
        </is>
      </c>
      <c r="AC17" s="96" t="inlineStr">
        <is>
          <t>INC07</t>
        </is>
      </c>
    </row>
    <row r="18" ht="12" customHeight="1">
      <c r="A18" s="96" t="inlineStr">
        <is>
          <t>SKLU1106452</t>
        </is>
      </c>
      <c r="B18" s="161" t="inlineStr">
        <is>
          <t>2026-10-23</t>
        </is>
      </c>
      <c r="C18" s="96" t="inlineStr">
        <is>
          <t>SWAL</t>
        </is>
      </c>
      <c r="D18" s="96" t="inlineStr">
        <is>
          <t>2609N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KRINC</t>
        </is>
      </c>
      <c r="J18" s="96" t="inlineStr">
        <is>
          <t>KRINC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LCH01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HASLS22261000120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KST</t>
        </is>
      </c>
      <c r="U18" s="97" t="n"/>
      <c r="V18" s="96" t="inlineStr">
        <is>
          <t>K0120021</t>
        </is>
      </c>
      <c r="W18" s="96" t="inlineStr">
        <is>
          <t>MAXTOP LOGISTICS(THAILAND)CO.,LTD.</t>
        </is>
      </c>
      <c r="X18" s="96" t="inlineStr">
        <is>
          <t>VED</t>
        </is>
      </c>
      <c r="Y18" s="96" t="inlineStr">
        <is>
          <t>SEBANG EXPRESS CO., LTD</t>
        </is>
      </c>
      <c r="Z18" s="96" t="inlineStr">
        <is>
          <t>SEBANG EXPRESS CO., LTD</t>
        </is>
      </c>
      <c r="AA18" s="97" t="n">
        <v>23770</v>
      </c>
      <c r="AB18" s="96" t="inlineStr">
        <is>
          <t>LCH01</t>
        </is>
      </c>
      <c r="AC18" s="96" t="inlineStr">
        <is>
          <t>INC07</t>
        </is>
      </c>
    </row>
    <row r="19" ht="12" customHeight="1">
      <c r="A19" s="96" t="inlineStr">
        <is>
          <t>SKLU2105770</t>
        </is>
      </c>
      <c r="B19" s="161" t="inlineStr">
        <is>
          <t>2026-10-23</t>
        </is>
      </c>
      <c r="C19" s="96" t="inlineStr">
        <is>
          <t>SWAL</t>
        </is>
      </c>
      <c r="D19" s="96" t="inlineStr">
        <is>
          <t>2609N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KRINC</t>
        </is>
      </c>
      <c r="J19" s="96" t="inlineStr">
        <is>
          <t>KRINC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LCH01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HASLS22261000120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KST</t>
        </is>
      </c>
      <c r="U19" s="97" t="n"/>
      <c r="V19" s="96" t="inlineStr">
        <is>
          <t>K0120021</t>
        </is>
      </c>
      <c r="W19" s="96" t="inlineStr">
        <is>
          <t>MAXTOP LOGISTICS(THAILAND)CO.,LTD.</t>
        </is>
      </c>
      <c r="X19" s="96" t="inlineStr">
        <is>
          <t>VFD</t>
        </is>
      </c>
      <c r="Y19" s="96" t="inlineStr">
        <is>
          <t>SEBANG EXPRESS CO., LTD</t>
        </is>
      </c>
      <c r="Z19" s="96" t="inlineStr">
        <is>
          <t>SEBANG EXPRESS CO., LTD</t>
        </is>
      </c>
      <c r="AA19" s="97" t="n">
        <v>23200</v>
      </c>
      <c r="AB19" s="96" t="inlineStr">
        <is>
          <t>LCH01</t>
        </is>
      </c>
      <c r="AC19" s="96" t="inlineStr">
        <is>
          <t>INC07</t>
        </is>
      </c>
    </row>
    <row r="20" ht="12" customHeight="1">
      <c r="A20" s="96" t="inlineStr">
        <is>
          <t>SKLU1331520</t>
        </is>
      </c>
      <c r="B20" s="161" t="inlineStr">
        <is>
          <t>2026-10-23</t>
        </is>
      </c>
      <c r="C20" s="96" t="inlineStr">
        <is>
          <t>SWAL</t>
        </is>
      </c>
      <c r="D20" s="96" t="inlineStr">
        <is>
          <t>2609N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LCH01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HASLS22260800955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KST</t>
        </is>
      </c>
      <c r="U20" s="97" t="n"/>
      <c r="V20" s="96" t="inlineStr">
        <is>
          <t>K0120021</t>
        </is>
      </c>
      <c r="W20" s="96" t="inlineStr">
        <is>
          <t>PTT GLOBAL CHEMICAL PUBLIC COMPANY</t>
        </is>
      </c>
      <c r="X20" s="96" t="inlineStr">
        <is>
          <t>VFD</t>
        </is>
      </c>
      <c r="Y20" s="96" t="inlineStr">
        <is>
          <t>TO THE ORDER OF JOINT STOCK</t>
        </is>
      </c>
      <c r="Z20" s="96" t="inlineStr">
        <is>
          <t>DANANG PLASTIC AND CHEMICAL JOINT</t>
        </is>
      </c>
      <c r="AA20" s="97" t="n">
        <v>18072</v>
      </c>
      <c r="AB20" s="96" t="inlineStr">
        <is>
          <t>LCH01</t>
        </is>
      </c>
      <c r="AC20" s="96" t="inlineStr">
        <is>
          <t>SGN03</t>
        </is>
      </c>
    </row>
    <row r="21" ht="12" customHeight="1">
      <c r="A21" s="96" t="inlineStr">
        <is>
          <t>SKLU1439005</t>
        </is>
      </c>
      <c r="B21" s="161" t="inlineStr">
        <is>
          <t>2026-10-23</t>
        </is>
      </c>
      <c r="C21" s="96" t="inlineStr">
        <is>
          <t>SWAL</t>
        </is>
      </c>
      <c r="D21" s="96" t="inlineStr">
        <is>
          <t>2609N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LCH01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HASLS22260800955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KST</t>
        </is>
      </c>
      <c r="U21" s="97" t="n"/>
      <c r="V21" s="96" t="inlineStr">
        <is>
          <t>K0120021</t>
        </is>
      </c>
      <c r="W21" s="96" t="inlineStr">
        <is>
          <t>PTT GLOBAL CHEMICAL PUBLIC COMPANY</t>
        </is>
      </c>
      <c r="X21" s="96" t="inlineStr">
        <is>
          <t>VFD</t>
        </is>
      </c>
      <c r="Y21" s="96" t="inlineStr">
        <is>
          <t>TO THE ORDER OF JOINT STOCK</t>
        </is>
      </c>
      <c r="Z21" s="96" t="inlineStr">
        <is>
          <t>DANANG PLASTIC AND CHEMICAL JOINT</t>
        </is>
      </c>
      <c r="AA21" s="97" t="n">
        <v>18072</v>
      </c>
      <c r="AB21" s="96" t="inlineStr">
        <is>
          <t>LCH01</t>
        </is>
      </c>
      <c r="AC21" s="96" t="inlineStr">
        <is>
          <t>SGN03</t>
        </is>
      </c>
    </row>
    <row r="22" ht="12" customHeight="1">
      <c r="A22" s="96" t="inlineStr">
        <is>
          <t>SKLU1534337</t>
        </is>
      </c>
      <c r="B22" s="161" t="inlineStr">
        <is>
          <t>2026-10-23</t>
        </is>
      </c>
      <c r="C22" s="96" t="inlineStr">
        <is>
          <t>SWAL</t>
        </is>
      </c>
      <c r="D22" s="96" t="inlineStr">
        <is>
          <t>2609N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LCH01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HASLS22260800955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KST</t>
        </is>
      </c>
      <c r="U22" s="97" t="n"/>
      <c r="V22" s="96" t="inlineStr">
        <is>
          <t>K0120021</t>
        </is>
      </c>
      <c r="W22" s="96" t="inlineStr">
        <is>
          <t>PTT GLOBAL CHEMICAL PUBLIC COMPANY</t>
        </is>
      </c>
      <c r="X22" s="96" t="inlineStr">
        <is>
          <t>VED</t>
        </is>
      </c>
      <c r="Y22" s="96" t="inlineStr">
        <is>
          <t>TO THE ORDER OF JOINT STOCK</t>
        </is>
      </c>
      <c r="Z22" s="96" t="inlineStr">
        <is>
          <t>DANANG PLASTIC AND CHEMICAL JOINT</t>
        </is>
      </c>
      <c r="AA22" s="97" t="n">
        <v>18072</v>
      </c>
      <c r="AB22" s="96" t="inlineStr">
        <is>
          <t>LCH01</t>
        </is>
      </c>
      <c r="AC22" s="96" t="inlineStr">
        <is>
          <t>SGN03</t>
        </is>
      </c>
    </row>
    <row r="23" ht="12" customHeight="1">
      <c r="A23" s="96" t="inlineStr">
        <is>
          <t>SKLU2082150</t>
        </is>
      </c>
      <c r="B23" s="161" t="inlineStr">
        <is>
          <t>2026-10-23</t>
        </is>
      </c>
      <c r="C23" s="96" t="inlineStr">
        <is>
          <t>SWAL</t>
        </is>
      </c>
      <c r="D23" s="96" t="inlineStr">
        <is>
          <t>2609N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LCH01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HASLS22260800955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KST</t>
        </is>
      </c>
      <c r="U23" s="97" t="n"/>
      <c r="V23" s="96" t="inlineStr">
        <is>
          <t>K0120021</t>
        </is>
      </c>
      <c r="W23" s="96" t="inlineStr">
        <is>
          <t>PTT GLOBAL CHEMICAL PUBLIC COMPANY</t>
        </is>
      </c>
      <c r="X23" s="96" t="inlineStr">
        <is>
          <t>VED</t>
        </is>
      </c>
      <c r="Y23" s="96" t="inlineStr">
        <is>
          <t>TO THE ORDER OF JOINT STOCK</t>
        </is>
      </c>
      <c r="Z23" s="96" t="inlineStr">
        <is>
          <t>DANANG PLASTIC AND CHEMICAL JOINT</t>
        </is>
      </c>
      <c r="AA23" s="97" t="n">
        <v>18072</v>
      </c>
      <c r="AB23" s="96" t="inlineStr">
        <is>
          <t>LCH01</t>
        </is>
      </c>
      <c r="AC23" s="96" t="inlineStr">
        <is>
          <t>SGN03</t>
        </is>
      </c>
    </row>
    <row r="24" ht="12" customHeight="1">
      <c r="A24" s="96" t="inlineStr">
        <is>
          <t>SKLU1501797</t>
        </is>
      </c>
      <c r="B24" s="161" t="inlineStr">
        <is>
          <t>2026-10-23</t>
        </is>
      </c>
      <c r="C24" s="96" t="inlineStr">
        <is>
          <t>SWAL</t>
        </is>
      </c>
      <c r="D24" s="96" t="inlineStr">
        <is>
          <t>2609N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LCH01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HASLS22260901975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KST</t>
        </is>
      </c>
      <c r="U24" s="97" t="n"/>
      <c r="V24" s="96" t="inlineStr">
        <is>
          <t>K0120021</t>
        </is>
      </c>
      <c r="W24" s="96" t="inlineStr">
        <is>
          <t>T.C. PHARMACEUTICAL INDUSTRIES</t>
        </is>
      </c>
      <c r="X24" s="96" t="inlineStr">
        <is>
          <t>VED</t>
        </is>
      </c>
      <c r="Y24" s="96" t="inlineStr">
        <is>
          <t>TCPVN COMPANY LIMITED</t>
        </is>
      </c>
      <c r="Z24" s="96" t="inlineStr">
        <is>
          <t>TCPVN COMPANY LIMITED</t>
        </is>
      </c>
      <c r="AA24" s="97" t="n">
        <v>19380</v>
      </c>
      <c r="AB24" s="96" t="inlineStr">
        <is>
          <t>LCH01</t>
        </is>
      </c>
      <c r="AC24" s="96" t="inlineStr">
        <is>
          <t>SGN03</t>
        </is>
      </c>
    </row>
    <row r="25" ht="12" customHeight="1">
      <c r="A25" s="96" t="inlineStr">
        <is>
          <t>SKLU1513627</t>
        </is>
      </c>
      <c r="B25" s="161" t="inlineStr">
        <is>
          <t>2026-10-23</t>
        </is>
      </c>
      <c r="C25" s="96" t="inlineStr">
        <is>
          <t>SWAL</t>
        </is>
      </c>
      <c r="D25" s="96" t="inlineStr">
        <is>
          <t>2609N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LCH01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HASLS22260901975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KST</t>
        </is>
      </c>
      <c r="U25" s="97" t="n"/>
      <c r="V25" s="96" t="inlineStr">
        <is>
          <t>K0120021</t>
        </is>
      </c>
      <c r="W25" s="96" t="inlineStr">
        <is>
          <t>T.C. PHARMACEUTICAL INDUSTRIES</t>
        </is>
      </c>
      <c r="X25" s="96" t="inlineStr">
        <is>
          <t>VED</t>
        </is>
      </c>
      <c r="Y25" s="96" t="inlineStr">
        <is>
          <t>TCPVN COMPANY LIMITED</t>
        </is>
      </c>
      <c r="Z25" s="96" t="inlineStr">
        <is>
          <t>TCPVN COMPANY LIMITED</t>
        </is>
      </c>
      <c r="AA25" s="97" t="n">
        <v>19380</v>
      </c>
      <c r="AB25" s="96" t="inlineStr">
        <is>
          <t>LCH01</t>
        </is>
      </c>
      <c r="AC25" s="96" t="inlineStr">
        <is>
          <t>SGN03</t>
        </is>
      </c>
    </row>
    <row r="26" ht="12" customHeight="1">
      <c r="A26" s="96" t="inlineStr">
        <is>
          <t>SKLU1625036</t>
        </is>
      </c>
      <c r="B26" s="161" t="inlineStr">
        <is>
          <t>2026-10-23</t>
        </is>
      </c>
      <c r="C26" s="96" t="inlineStr">
        <is>
          <t>SWAL</t>
        </is>
      </c>
      <c r="D26" s="96" t="inlineStr">
        <is>
          <t>2609N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LCH01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HASLS22260901975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KST</t>
        </is>
      </c>
      <c r="U26" s="97" t="n"/>
      <c r="V26" s="96" t="inlineStr">
        <is>
          <t>K0120021</t>
        </is>
      </c>
      <c r="W26" s="96" t="inlineStr">
        <is>
          <t>T.C. PHARMACEUTICAL INDUSTRIES</t>
        </is>
      </c>
      <c r="X26" s="96" t="inlineStr">
        <is>
          <t>VED</t>
        </is>
      </c>
      <c r="Y26" s="96" t="inlineStr">
        <is>
          <t>TCPVN COMPANY LIMITED</t>
        </is>
      </c>
      <c r="Z26" s="96" t="inlineStr">
        <is>
          <t>TCPVN COMPANY LIMITED</t>
        </is>
      </c>
      <c r="AA26" s="97" t="n">
        <v>19380</v>
      </c>
      <c r="AB26" s="96" t="inlineStr">
        <is>
          <t>LCH01</t>
        </is>
      </c>
      <c r="AC26" s="96" t="inlineStr">
        <is>
          <t>SGN03</t>
        </is>
      </c>
    </row>
    <row r="27" ht="12" customHeight="1">
      <c r="A27" s="96" t="inlineStr">
        <is>
          <t>SKLU1947393</t>
        </is>
      </c>
      <c r="B27" s="161" t="inlineStr">
        <is>
          <t>2026-10-23</t>
        </is>
      </c>
      <c r="C27" s="96" t="inlineStr">
        <is>
          <t>SWAL</t>
        </is>
      </c>
      <c r="D27" s="96" t="inlineStr">
        <is>
          <t>2609N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LCH01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HASLS22260901975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KST</t>
        </is>
      </c>
      <c r="U27" s="97" t="n"/>
      <c r="V27" s="96" t="inlineStr">
        <is>
          <t>K0120021</t>
        </is>
      </c>
      <c r="W27" s="96" t="inlineStr">
        <is>
          <t>T.C. PHARMACEUTICAL INDUSTRIES</t>
        </is>
      </c>
      <c r="X27" s="96" t="inlineStr">
        <is>
          <t>VED</t>
        </is>
      </c>
      <c r="Y27" s="96" t="inlineStr">
        <is>
          <t>TCPVN COMPANY LIMITED</t>
        </is>
      </c>
      <c r="Z27" s="96" t="inlineStr">
        <is>
          <t>TCPVN COMPANY LIMITED</t>
        </is>
      </c>
      <c r="AA27" s="97" t="n">
        <v>19380</v>
      </c>
      <c r="AB27" s="96" t="inlineStr">
        <is>
          <t>LCH01</t>
        </is>
      </c>
      <c r="AC27" s="96" t="inlineStr">
        <is>
          <t>SGN03</t>
        </is>
      </c>
    </row>
    <row r="28" ht="12" customHeight="1">
      <c r="A28" s="96" t="inlineStr">
        <is>
          <t>SKLU1995302</t>
        </is>
      </c>
      <c r="B28" s="161" t="inlineStr">
        <is>
          <t>2026-10-23</t>
        </is>
      </c>
      <c r="C28" s="96" t="inlineStr">
        <is>
          <t>SWAL</t>
        </is>
      </c>
      <c r="D28" s="96" t="inlineStr">
        <is>
          <t>2609N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LCH01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HASLS22260901975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KST</t>
        </is>
      </c>
      <c r="U28" s="97" t="n"/>
      <c r="V28" s="96" t="inlineStr">
        <is>
          <t>K0120021</t>
        </is>
      </c>
      <c r="W28" s="96" t="inlineStr">
        <is>
          <t>T.C. PHARMACEUTICAL INDUSTRIES</t>
        </is>
      </c>
      <c r="X28" s="96" t="inlineStr">
        <is>
          <t>VED</t>
        </is>
      </c>
      <c r="Y28" s="96" t="inlineStr">
        <is>
          <t>TCPVN COMPANY LIMITED</t>
        </is>
      </c>
      <c r="Z28" s="96" t="inlineStr">
        <is>
          <t>TCPVN COMPANY LIMITED</t>
        </is>
      </c>
      <c r="AA28" s="97" t="n">
        <v>19380</v>
      </c>
      <c r="AB28" s="96" t="inlineStr">
        <is>
          <t>LCH01</t>
        </is>
      </c>
      <c r="AC28" s="96" t="inlineStr">
        <is>
          <t>SGN03</t>
        </is>
      </c>
    </row>
    <row r="29" ht="12" customHeight="1">
      <c r="A29" s="96" t="inlineStr">
        <is>
          <t>SKLU2312123</t>
        </is>
      </c>
      <c r="B29" s="161" t="inlineStr">
        <is>
          <t>2026-10-23</t>
        </is>
      </c>
      <c r="C29" s="96" t="inlineStr">
        <is>
          <t>SWAL</t>
        </is>
      </c>
      <c r="D29" s="96" t="inlineStr">
        <is>
          <t>2609N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LCH01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HASLS22260901975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KST</t>
        </is>
      </c>
      <c r="U29" s="97" t="n"/>
      <c r="V29" s="96" t="inlineStr">
        <is>
          <t>K0120021</t>
        </is>
      </c>
      <c r="W29" s="96" t="inlineStr">
        <is>
          <t>T.C. PHARMACEUTICAL INDUSTRIES</t>
        </is>
      </c>
      <c r="X29" s="96" t="inlineStr">
        <is>
          <t>VED</t>
        </is>
      </c>
      <c r="Y29" s="96" t="inlineStr">
        <is>
          <t>TCPVN COMPANY LIMITED</t>
        </is>
      </c>
      <c r="Z29" s="96" t="inlineStr">
        <is>
          <t>TCPVN COMPANY LIMITED</t>
        </is>
      </c>
      <c r="AA29" s="97" t="n">
        <v>19380</v>
      </c>
      <c r="AB29" s="96" t="inlineStr">
        <is>
          <t>LCH01</t>
        </is>
      </c>
      <c r="AC29" s="96" t="inlineStr">
        <is>
          <t>SGN03</t>
        </is>
      </c>
    </row>
    <row r="30" ht="12" customHeight="1">
      <c r="A30" s="96" t="inlineStr">
        <is>
          <t>SKLU2329595</t>
        </is>
      </c>
      <c r="B30" s="161" t="inlineStr">
        <is>
          <t>2026-10-23</t>
        </is>
      </c>
      <c r="C30" s="96" t="inlineStr">
        <is>
          <t>SWAL</t>
        </is>
      </c>
      <c r="D30" s="96" t="inlineStr">
        <is>
          <t>2609N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LCH01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HASLS22260901975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KST</t>
        </is>
      </c>
      <c r="U30" s="97" t="n"/>
      <c r="V30" s="96" t="inlineStr">
        <is>
          <t>K0120021</t>
        </is>
      </c>
      <c r="W30" s="96" t="inlineStr">
        <is>
          <t>T.C. PHARMACEUTICAL INDUSTRIES</t>
        </is>
      </c>
      <c r="X30" s="96" t="inlineStr">
        <is>
          <t>VED</t>
        </is>
      </c>
      <c r="Y30" s="96" t="inlineStr">
        <is>
          <t>TCPVN COMPANY LIMITED</t>
        </is>
      </c>
      <c r="Z30" s="96" t="inlineStr">
        <is>
          <t>TCPVN COMPANY LIMITED</t>
        </is>
      </c>
      <c r="AA30" s="97" t="n">
        <v>19380</v>
      </c>
      <c r="AB30" s="96" t="inlineStr">
        <is>
          <t>LCH01</t>
        </is>
      </c>
      <c r="AC30" s="96" t="inlineStr">
        <is>
          <t>SGN03</t>
        </is>
      </c>
    </row>
    <row r="31" ht="12" customHeight="1">
      <c r="A31" s="96" t="inlineStr">
        <is>
          <t>SKLU2351259</t>
        </is>
      </c>
      <c r="B31" s="161" t="inlineStr">
        <is>
          <t>2026-10-23</t>
        </is>
      </c>
      <c r="C31" s="96" t="inlineStr">
        <is>
          <t>SWAL</t>
        </is>
      </c>
      <c r="D31" s="96" t="inlineStr">
        <is>
          <t>2609N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LCH01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HASLS22260901975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KST</t>
        </is>
      </c>
      <c r="U31" s="97" t="n"/>
      <c r="V31" s="96" t="inlineStr">
        <is>
          <t>K0120021</t>
        </is>
      </c>
      <c r="W31" s="96" t="inlineStr">
        <is>
          <t>T.C. PHARMACEUTICAL INDUSTRIES</t>
        </is>
      </c>
      <c r="X31" s="96" t="inlineStr">
        <is>
          <t>VED</t>
        </is>
      </c>
      <c r="Y31" s="96" t="inlineStr">
        <is>
          <t>TCPVN COMPANY LIMITED</t>
        </is>
      </c>
      <c r="Z31" s="96" t="inlineStr">
        <is>
          <t>TCPVN COMPANY LIMITED</t>
        </is>
      </c>
      <c r="AA31" s="97" t="n">
        <v>19380</v>
      </c>
      <c r="AB31" s="96" t="inlineStr">
        <is>
          <t>LCH01</t>
        </is>
      </c>
      <c r="AC31" s="96" t="inlineStr">
        <is>
          <t>SGN03</t>
        </is>
      </c>
    </row>
    <row r="32" ht="12" customHeight="1">
      <c r="A32" s="96" t="inlineStr">
        <is>
          <t>SKLU3504645</t>
        </is>
      </c>
      <c r="B32" s="161" t="inlineStr">
        <is>
          <t>2026-10-23</t>
        </is>
      </c>
      <c r="C32" s="96" t="inlineStr">
        <is>
          <t>SWAL</t>
        </is>
      </c>
      <c r="D32" s="96" t="inlineStr">
        <is>
          <t>2609N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LCH01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HASLS22260901975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KST</t>
        </is>
      </c>
      <c r="U32" s="97" t="n"/>
      <c r="V32" s="96" t="inlineStr">
        <is>
          <t>K0120021</t>
        </is>
      </c>
      <c r="W32" s="96" t="inlineStr">
        <is>
          <t>T.C. PHARMACEUTICAL INDUSTRIES</t>
        </is>
      </c>
      <c r="X32" s="96" t="inlineStr">
        <is>
          <t>VED</t>
        </is>
      </c>
      <c r="Y32" s="96" t="inlineStr">
        <is>
          <t>TCPVN COMPANY LIMITED</t>
        </is>
      </c>
      <c r="Z32" s="96" t="inlineStr">
        <is>
          <t>TCPVN COMPANY LIMITED</t>
        </is>
      </c>
      <c r="AA32" s="97" t="n">
        <v>19380</v>
      </c>
      <c r="AB32" s="96" t="inlineStr">
        <is>
          <t>LCH01</t>
        </is>
      </c>
      <c r="AC32" s="96" t="inlineStr">
        <is>
          <t>SGN03</t>
        </is>
      </c>
    </row>
    <row r="33" ht="12" customHeight="1">
      <c r="A33" s="96" t="inlineStr">
        <is>
          <t>TGCU2412747</t>
        </is>
      </c>
      <c r="B33" s="161" t="inlineStr">
        <is>
          <t>2026-10-23</t>
        </is>
      </c>
      <c r="C33" s="96" t="inlineStr">
        <is>
          <t>SWAL</t>
        </is>
      </c>
      <c r="D33" s="96" t="inlineStr">
        <is>
          <t>2609N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KRINC</t>
        </is>
      </c>
      <c r="J33" s="96" t="inlineStr">
        <is>
          <t>KRINC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LCH01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HASLS22261000275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KST</t>
        </is>
      </c>
      <c r="U33" s="97" t="n"/>
      <c r="V33" s="96" t="inlineStr">
        <is>
          <t>K0120021</t>
        </is>
      </c>
      <c r="W33" s="96" t="inlineStr">
        <is>
          <t>THAI MFC CO.,LTD.</t>
        </is>
      </c>
      <c r="X33" s="96" t="inlineStr">
        <is>
          <t>VFD</t>
        </is>
      </c>
      <c r="Y33" s="96" t="inlineStr">
        <is>
          <t>EADER MELAMINE CO. LTD.</t>
        </is>
      </c>
      <c r="Z33" s="96" t="inlineStr">
        <is>
          <t>EADER MELAMINE CO. LTD.</t>
        </is>
      </c>
      <c r="AA33" s="97" t="n">
        <v>14740</v>
      </c>
      <c r="AB33" s="96" t="inlineStr">
        <is>
          <t>LCH01</t>
        </is>
      </c>
      <c r="AC33" s="96" t="inlineStr">
        <is>
          <t>INC07</t>
        </is>
      </c>
    </row>
    <row r="34" ht="12" customHeight="1">
      <c r="A34" s="96" t="inlineStr">
        <is>
          <t>SKLU2013903</t>
        </is>
      </c>
      <c r="B34" s="161" t="inlineStr">
        <is>
          <t>2026-10-23</t>
        </is>
      </c>
      <c r="C34" s="96" t="inlineStr">
        <is>
          <t>SWAL</t>
        </is>
      </c>
      <c r="D34" s="96" t="inlineStr">
        <is>
          <t>2609N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KRPUS</t>
        </is>
      </c>
      <c r="J34" s="96" t="inlineStr">
        <is>
          <t>JPNAH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LCH01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HASLS22261000005</t>
        </is>
      </c>
      <c r="R34" s="96" t="inlineStr">
        <is>
          <t>Y</t>
        </is>
      </c>
      <c r="S34" s="96" t="inlineStr">
        <is>
          <t>N</t>
        </is>
      </c>
      <c r="T34" s="96" t="inlineStr">
        <is>
          <t>KST</t>
        </is>
      </c>
      <c r="U34" s="97" t="n"/>
      <c r="V34" s="96" t="inlineStr">
        <is>
          <t>K0120021</t>
        </is>
      </c>
      <c r="W34" s="96" t="inlineStr">
        <is>
          <t>THAI POLYETHYLENE CO.,LTD.</t>
        </is>
      </c>
      <c r="X34" s="96" t="inlineStr">
        <is>
          <t>VFD</t>
        </is>
      </c>
      <c r="Y34" s="96" t="inlineStr">
        <is>
          <t>TO ORDER OF MIZUHO BANK LTD., JAPAN</t>
        </is>
      </c>
      <c r="Z34" s="96" t="inlineStr">
        <is>
          <t>TOYO PLASTICS CO.,LTD.</t>
        </is>
      </c>
      <c r="AA34" s="97" t="n">
        <v>15147</v>
      </c>
      <c r="AB34" s="96" t="inlineStr">
        <is>
          <t>LCH01</t>
        </is>
      </c>
      <c r="AC34" s="96" t="inlineStr">
        <is>
          <t>NAH01</t>
        </is>
      </c>
    </row>
    <row r="35" ht="12" customHeight="1">
      <c r="A35" s="96" t="inlineStr">
        <is>
          <t>SKLU1590855</t>
        </is>
      </c>
      <c r="B35" s="161" t="inlineStr">
        <is>
          <t>2026-10-23</t>
        </is>
      </c>
      <c r="C35" s="96" t="inlineStr">
        <is>
          <t>SWAL</t>
        </is>
      </c>
      <c r="D35" s="96" t="inlineStr">
        <is>
          <t>2609N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KRINC</t>
        </is>
      </c>
      <c r="J35" s="96" t="inlineStr">
        <is>
          <t>KRINC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LCH01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HASLS22261001238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KST</t>
        </is>
      </c>
      <c r="U35" s="97" t="n"/>
      <c r="V35" s="96" t="inlineStr">
        <is>
          <t>K0120021</t>
        </is>
      </c>
      <c r="W35" s="96" t="inlineStr">
        <is>
          <t>HTNS (THAILAND) CO.,LTD.</t>
        </is>
      </c>
      <c r="X35" s="96" t="inlineStr">
        <is>
          <t>VFD</t>
        </is>
      </c>
      <c r="Y35" s="96" t="inlineStr">
        <is>
          <t>HANARO TNS CO., LTD.</t>
        </is>
      </c>
      <c r="Z35" s="96" t="inlineStr">
        <is>
          <t>HANARO TNS CO., LTD.</t>
        </is>
      </c>
      <c r="AA35" s="97" t="n">
        <v>1155</v>
      </c>
      <c r="AB35" s="96" t="inlineStr">
        <is>
          <t>LCH01</t>
        </is>
      </c>
      <c r="AC35" s="96" t="inlineStr">
        <is>
          <t>INC07</t>
        </is>
      </c>
    </row>
    <row r="36" ht="12" customHeight="1">
      <c r="A36" s="96" t="inlineStr">
        <is>
          <t>SKLU1904642</t>
        </is>
      </c>
      <c r="B36" s="161" t="inlineStr">
        <is>
          <t>2026-10-23</t>
        </is>
      </c>
      <c r="C36" s="96" t="inlineStr">
        <is>
          <t>SWAL</t>
        </is>
      </c>
      <c r="D36" s="96" t="inlineStr">
        <is>
          <t>2609N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LCH01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HASLS22260901975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KST</t>
        </is>
      </c>
      <c r="U36" s="97" t="n"/>
      <c r="V36" s="96" t="inlineStr">
        <is>
          <t>S1120012</t>
        </is>
      </c>
      <c r="W36" s="96" t="inlineStr">
        <is>
          <t>T.C. PHARMACEUTICAL INDUSTRIES</t>
        </is>
      </c>
      <c r="X36" s="96" t="inlineStr">
        <is>
          <t>VED</t>
        </is>
      </c>
      <c r="Y36" s="96" t="inlineStr">
        <is>
          <t>TCPVN COMPANY LIMITED</t>
        </is>
      </c>
      <c r="Z36" s="96" t="inlineStr">
        <is>
          <t>TCPVN COMPANY LIMITED</t>
        </is>
      </c>
      <c r="AA36" s="97" t="n">
        <v>19380</v>
      </c>
      <c r="AB36" s="96" t="inlineStr">
        <is>
          <t>LCH01</t>
        </is>
      </c>
      <c r="AC36" s="96" t="inlineStr">
        <is>
          <t>SGN03</t>
        </is>
      </c>
    </row>
    <row r="37" ht="12" customHeight="1">
      <c r="A37" s="96" t="inlineStr">
        <is>
          <t>HALU2108470</t>
        </is>
      </c>
      <c r="B37" s="161" t="inlineStr">
        <is>
          <t>2026-10-23</t>
        </is>
      </c>
      <c r="C37" s="96" t="inlineStr">
        <is>
          <t>SWAL</t>
        </is>
      </c>
      <c r="D37" s="96" t="inlineStr">
        <is>
          <t>2609N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KRPUS</t>
        </is>
      </c>
      <c r="J37" s="96" t="inlineStr">
        <is>
          <t>JPNGO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LCH01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HASLS22260902625</t>
        </is>
      </c>
      <c r="R37" s="96" t="inlineStr">
        <is>
          <t>Y</t>
        </is>
      </c>
      <c r="S37" s="96" t="inlineStr">
        <is>
          <t>N</t>
        </is>
      </c>
      <c r="T37" s="96" t="inlineStr">
        <is>
          <t>KST</t>
        </is>
      </c>
      <c r="U37" s="97" t="n"/>
      <c r="V37" s="96" t="inlineStr">
        <is>
          <t>C0521003</t>
        </is>
      </c>
      <c r="W37" s="96" t="inlineStr">
        <is>
          <t>SIAM POLYETHYLENE CO., LTD.</t>
        </is>
      </c>
      <c r="X37" s="96" t="inlineStr">
        <is>
          <t>RTN</t>
        </is>
      </c>
      <c r="Y37" s="96" t="inlineStr">
        <is>
          <t>DOW CHEMICAL JAPAN LIMITED</t>
        </is>
      </c>
      <c r="Z37" s="96" t="inlineStr">
        <is>
          <t>THE SHIBUSAWA WAREHOUSE CO., LTD.</t>
        </is>
      </c>
      <c r="AA37" s="97" t="n">
        <v>16860</v>
      </c>
      <c r="AB37" s="96" t="inlineStr">
        <is>
          <t>LCH01</t>
        </is>
      </c>
      <c r="AC37" s="96" t="inlineStr">
        <is>
          <t>NGO01</t>
        </is>
      </c>
    </row>
    <row r="38" ht="12" customHeight="1">
      <c r="A38" s="96" t="inlineStr">
        <is>
          <t>HALU2309540</t>
        </is>
      </c>
      <c r="B38" s="161" t="inlineStr">
        <is>
          <t>2026-10-23</t>
        </is>
      </c>
      <c r="C38" s="96" t="inlineStr">
        <is>
          <t>SWAL</t>
        </is>
      </c>
      <c r="D38" s="96" t="inlineStr">
        <is>
          <t>2609N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KRINC</t>
        </is>
      </c>
      <c r="J38" s="96" t="inlineStr">
        <is>
          <t>KRINC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LCH01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HASLS22260901820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KST</t>
        </is>
      </c>
      <c r="U38" s="97" t="n"/>
      <c r="V38" s="96" t="inlineStr">
        <is>
          <t>C0223001</t>
        </is>
      </c>
      <c r="W38" s="96" t="inlineStr">
        <is>
          <t>H &amp; FRIENDS GTL (THAILAND) CO.,LTD.</t>
        </is>
      </c>
      <c r="X38" s="96" t="inlineStr">
        <is>
          <t>VFD</t>
        </is>
      </c>
      <c r="Y38" s="96" t="inlineStr">
        <is>
          <t>TRANSWORLD LOGISTICS INC.</t>
        </is>
      </c>
      <c r="Z38" s="96" t="inlineStr">
        <is>
          <t>TRANSWORLD LOGISTICS INC.</t>
        </is>
      </c>
      <c r="AA38" s="97" t="n">
        <v>17780</v>
      </c>
      <c r="AB38" s="96" t="inlineStr">
        <is>
          <t>LCH01</t>
        </is>
      </c>
      <c r="AC38" s="96" t="inlineStr">
        <is>
          <t>INC07</t>
        </is>
      </c>
    </row>
    <row r="39" ht="12" customHeight="1">
      <c r="A39" s="96" t="inlineStr">
        <is>
          <t>HALU2310773</t>
        </is>
      </c>
      <c r="B39" s="161" t="inlineStr">
        <is>
          <t>2026-10-23</t>
        </is>
      </c>
      <c r="C39" s="96" t="inlineStr">
        <is>
          <t>SWAL</t>
        </is>
      </c>
      <c r="D39" s="96" t="inlineStr">
        <is>
          <t>2609N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LCH01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HASLS22260800955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KST</t>
        </is>
      </c>
      <c r="U39" s="97" t="n"/>
      <c r="V39" s="96" t="inlineStr">
        <is>
          <t>C0223001</t>
        </is>
      </c>
      <c r="W39" s="96" t="inlineStr">
        <is>
          <t>PTT GLOBAL CHEMICAL PUBLIC COMPANY</t>
        </is>
      </c>
      <c r="X39" s="96" t="inlineStr">
        <is>
          <t>VFD</t>
        </is>
      </c>
      <c r="Y39" s="96" t="inlineStr">
        <is>
          <t>TO THE ORDER OF JOINT STOCK</t>
        </is>
      </c>
      <c r="Z39" s="96" t="inlineStr">
        <is>
          <t>DANANG PLASTIC AND CHEMICAL JOINT</t>
        </is>
      </c>
      <c r="AA39" s="97" t="n">
        <v>18072</v>
      </c>
      <c r="AB39" s="96" t="inlineStr">
        <is>
          <t>LCH01</t>
        </is>
      </c>
      <c r="AC39" s="96" t="inlineStr">
        <is>
          <t>SGN03</t>
        </is>
      </c>
    </row>
    <row r="40" ht="12" customHeight="1">
      <c r="A40" s="96" t="inlineStr">
        <is>
          <t>HALU2329721</t>
        </is>
      </c>
      <c r="B40" s="161" t="inlineStr">
        <is>
          <t>2026-10-23</t>
        </is>
      </c>
      <c r="C40" s="96" t="inlineStr">
        <is>
          <t>SWAL</t>
        </is>
      </c>
      <c r="D40" s="96" t="inlineStr">
        <is>
          <t>2609N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KRINC</t>
        </is>
      </c>
      <c r="J40" s="96" t="inlineStr">
        <is>
          <t>KRINC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LCH01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HASLS22261000120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KST</t>
        </is>
      </c>
      <c r="U40" s="97" t="n"/>
      <c r="V40" s="96" t="inlineStr">
        <is>
          <t>C0423001</t>
        </is>
      </c>
      <c r="W40" s="96" t="inlineStr">
        <is>
          <t>MAXTOP LOGISTICS(THAILAND)CO.,LTD.</t>
        </is>
      </c>
      <c r="X40" s="96" t="inlineStr">
        <is>
          <t>VFD</t>
        </is>
      </c>
      <c r="Y40" s="96" t="inlineStr">
        <is>
          <t>SEBANG EXPRESS CO., LTD</t>
        </is>
      </c>
      <c r="Z40" s="96" t="inlineStr">
        <is>
          <t>SEBANG EXPRESS CO., LTD</t>
        </is>
      </c>
      <c r="AA40" s="97" t="n">
        <v>23940</v>
      </c>
      <c r="AB40" s="96" t="inlineStr">
        <is>
          <t>LCH01</t>
        </is>
      </c>
      <c r="AC40" s="96" t="inlineStr">
        <is>
          <t>INC07</t>
        </is>
      </c>
    </row>
    <row r="41" ht="12" customHeight="1">
      <c r="A41" s="96" t="inlineStr">
        <is>
          <t>HLHU8439887</t>
        </is>
      </c>
      <c r="B41" s="161" t="inlineStr">
        <is>
          <t>2026-10-23</t>
        </is>
      </c>
      <c r="C41" s="96" t="inlineStr">
        <is>
          <t>SWAL</t>
        </is>
      </c>
      <c r="D41" s="96" t="inlineStr">
        <is>
          <t>2609N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KRINC</t>
        </is>
      </c>
      <c r="J41" s="96" t="inlineStr">
        <is>
          <t>KRINC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LCH01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HASLS22261000471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KST</t>
        </is>
      </c>
      <c r="U41" s="97" t="n"/>
      <c r="V41" s="96" t="inlineStr">
        <is>
          <t>C0124001</t>
        </is>
      </c>
      <c r="W41" s="96" t="inlineStr">
        <is>
          <t>LX PANTOS (THAILAND) CO., LTD.</t>
        </is>
      </c>
      <c r="X41" s="96" t="inlineStr">
        <is>
          <t>VFD</t>
        </is>
      </c>
      <c r="Y41" s="96" t="inlineStr">
        <is>
          <t>LX PANTOS CO., LTD.</t>
        </is>
      </c>
      <c r="Z41" s="96" t="inlineStr">
        <is>
          <t>LX PANTOS CO., LTD.</t>
        </is>
      </c>
      <c r="AA41" s="97" t="n">
        <v>6379.86</v>
      </c>
      <c r="AB41" s="96" t="inlineStr">
        <is>
          <t>LCH01</t>
        </is>
      </c>
      <c r="AC41" s="96" t="inlineStr">
        <is>
          <t>INC07</t>
        </is>
      </c>
    </row>
    <row r="42" ht="12" customHeight="1">
      <c r="A42" s="96" t="inlineStr">
        <is>
          <t>HALU2364928</t>
        </is>
      </c>
      <c r="B42" s="161" t="inlineStr">
        <is>
          <t>2026-10-23</t>
        </is>
      </c>
      <c r="C42" s="96" t="inlineStr">
        <is>
          <t>SWAL</t>
        </is>
      </c>
      <c r="D42" s="96" t="inlineStr">
        <is>
          <t>2609N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KRPUS</t>
        </is>
      </c>
      <c r="J42" s="96" t="inlineStr">
        <is>
          <t>JPYKK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LCH01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HASLS22260902633</t>
        </is>
      </c>
      <c r="R42" s="96" t="inlineStr">
        <is>
          <t>Y</t>
        </is>
      </c>
      <c r="S42" s="96" t="inlineStr">
        <is>
          <t>N</t>
        </is>
      </c>
      <c r="T42" s="96" t="inlineStr">
        <is>
          <t>KST</t>
        </is>
      </c>
      <c r="U42" s="97" t="n"/>
      <c r="V42" s="96" t="inlineStr">
        <is>
          <t>C0324003</t>
        </is>
      </c>
      <c r="W42" s="96" t="inlineStr">
        <is>
          <t>SIAM POLYETHYLENE CO., LTD.</t>
        </is>
      </c>
      <c r="X42" s="96" t="inlineStr">
        <is>
          <t>VED</t>
        </is>
      </c>
      <c r="Y42" s="96" t="inlineStr">
        <is>
          <t>DOW CHEMICAL JAPAN LIMITED</t>
        </is>
      </c>
      <c r="Z42" s="96" t="inlineStr">
        <is>
          <t>THE SHIBUSAWA WAREHOUSE CO., LTD.</t>
        </is>
      </c>
      <c r="AA42" s="97" t="n">
        <v>16710</v>
      </c>
      <c r="AB42" s="96" t="inlineStr">
        <is>
          <t>LCH01</t>
        </is>
      </c>
      <c r="AC42" s="96" t="inlineStr">
        <is>
          <t>YKK01</t>
        </is>
      </c>
    </row>
    <row r="43" ht="12" customHeight="1">
      <c r="A43" s="96" t="inlineStr">
        <is>
          <t>HALU8500702</t>
        </is>
      </c>
      <c r="B43" s="161" t="inlineStr">
        <is>
          <t>2026-10-23</t>
        </is>
      </c>
      <c r="C43" s="96" t="inlineStr">
        <is>
          <t>SWAL</t>
        </is>
      </c>
      <c r="D43" s="96" t="inlineStr">
        <is>
          <t>2609N</t>
        </is>
      </c>
      <c r="E43" s="96" t="inlineStr">
        <is>
          <t>45RE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KRPUS</t>
        </is>
      </c>
      <c r="J43" s="96" t="inlineStr">
        <is>
          <t>KRPUS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LCH01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HASLS22261000469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KST</t>
        </is>
      </c>
      <c r="U43" s="97" t="n"/>
      <c r="V43" s="96" t="inlineStr">
        <is>
          <t>C0825001</t>
        </is>
      </c>
      <c r="W43" s="96" t="inlineStr">
        <is>
          <t>LAEMTHONG POULTRY CO., LTD.</t>
        </is>
      </c>
      <c r="X43" s="96" t="inlineStr">
        <is>
          <t>VFD</t>
        </is>
      </c>
      <c r="Y43" s="96" t="inlineStr">
        <is>
          <t>TO THE ORDER OF</t>
        </is>
      </c>
      <c r="Z43" s="96" t="inlineStr">
        <is>
          <t>DONG IL COLD STORAGE CO.,LTD.</t>
        </is>
      </c>
      <c r="AA43" s="97" t="n">
        <v>24640</v>
      </c>
      <c r="AB43" s="96" t="inlineStr">
        <is>
          <t>LCH01</t>
        </is>
      </c>
      <c r="AC43" s="96" t="inlineStr">
        <is>
          <t>PUS05</t>
        </is>
      </c>
    </row>
    <row r="44" ht="12" customHeight="1">
      <c r="A44" s="96" t="inlineStr">
        <is>
          <t>HALU2540328</t>
        </is>
      </c>
      <c r="B44" s="161" t="inlineStr">
        <is>
          <t>2026-10-23</t>
        </is>
      </c>
      <c r="C44" s="96" t="inlineStr">
        <is>
          <t>SWAL</t>
        </is>
      </c>
      <c r="D44" s="96" t="inlineStr">
        <is>
          <t>2609N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KRPUS</t>
        </is>
      </c>
      <c r="J44" s="96" t="inlineStr">
        <is>
          <t>JPYKK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LCH01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HASLS22260902631</t>
        </is>
      </c>
      <c r="R44" s="96" t="inlineStr">
        <is>
          <t>Y</t>
        </is>
      </c>
      <c r="S44" s="96" t="inlineStr">
        <is>
          <t>N</t>
        </is>
      </c>
      <c r="T44" s="96" t="inlineStr">
        <is>
          <t>KST</t>
        </is>
      </c>
      <c r="U44" s="97" t="n"/>
      <c r="V44" s="96" t="inlineStr">
        <is>
          <t>C0125002</t>
        </is>
      </c>
      <c r="W44" s="96" t="inlineStr">
        <is>
          <t>SIAM POLYETHYLENE CO., LTD.</t>
        </is>
      </c>
      <c r="X44" s="96" t="inlineStr">
        <is>
          <t>VFD</t>
        </is>
      </c>
      <c r="Y44" s="96" t="inlineStr">
        <is>
          <t>DOW CHEMICAL JAPAN LIMITED</t>
        </is>
      </c>
      <c r="Z44" s="96" t="inlineStr">
        <is>
          <t>THE SHIBUSAWA WAREHOUSE CO., LTD.</t>
        </is>
      </c>
      <c r="AA44" s="97" t="n">
        <v>16720</v>
      </c>
      <c r="AB44" s="96" t="inlineStr">
        <is>
          <t>LCH01</t>
        </is>
      </c>
      <c r="AC44" s="96" t="inlineStr">
        <is>
          <t>YKK01</t>
        </is>
      </c>
    </row>
    <row r="45" ht="12" customHeight="1">
      <c r="A45" s="96" t="inlineStr">
        <is>
          <t>HALU2518108</t>
        </is>
      </c>
      <c r="B45" s="161" t="inlineStr">
        <is>
          <t>2026-10-23</t>
        </is>
      </c>
      <c r="C45" s="96" t="inlineStr">
        <is>
          <t>SWAL</t>
        </is>
      </c>
      <c r="D45" s="96" t="inlineStr">
        <is>
          <t>2609N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LCH01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HASLS22260901975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KST</t>
        </is>
      </c>
      <c r="U45" s="97" t="n"/>
      <c r="V45" s="96" t="inlineStr">
        <is>
          <t>C0125002</t>
        </is>
      </c>
      <c r="W45" s="96" t="inlineStr">
        <is>
          <t>T.C. PHARMACEUTICAL INDUSTRIES</t>
        </is>
      </c>
      <c r="X45" s="96" t="inlineStr">
        <is>
          <t>VED</t>
        </is>
      </c>
      <c r="Y45" s="96" t="inlineStr">
        <is>
          <t>TCPVN COMPANY LIMITED</t>
        </is>
      </c>
      <c r="Z45" s="96" t="inlineStr">
        <is>
          <t>TCPVN COMPANY LIMITED</t>
        </is>
      </c>
      <c r="AA45" s="97" t="n">
        <v>19380</v>
      </c>
      <c r="AB45" s="96" t="inlineStr">
        <is>
          <t>LCH01</t>
        </is>
      </c>
      <c r="AC45" s="96" t="inlineStr">
        <is>
          <t>SGN03</t>
        </is>
      </c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3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HASLS22260800955</t>
        </is>
      </c>
      <c r="B2" s="96" t="inlineStr">
        <is>
          <t>20'x6</t>
        </is>
      </c>
      <c r="C2" s="97" t="n">
        <v>6</v>
      </c>
      <c r="D2" s="97" t="n">
        <v>6</v>
      </c>
      <c r="E2" s="97" t="n"/>
      <c r="F2" s="97" t="n">
        <v>0</v>
      </c>
      <c r="G2" s="97" t="n">
        <v>6</v>
      </c>
      <c r="H2" s="97" t="n">
        <v>0</v>
      </c>
      <c r="I2" s="97" t="n">
        <v>0</v>
      </c>
      <c r="J2" s="97" t="n">
        <v>6</v>
      </c>
      <c r="K2" s="96" t="inlineStr">
        <is>
          <t>N</t>
        </is>
      </c>
      <c r="L2" s="96" t="inlineStr">
        <is>
          <t>KST</t>
        </is>
      </c>
      <c r="M2" s="96" t="inlineStr">
        <is>
          <t>SWAL</t>
        </is>
      </c>
      <c r="N2" s="96" t="inlineStr">
        <is>
          <t>2609N</t>
        </is>
      </c>
      <c r="O2" s="96" t="inlineStr">
        <is>
          <t>THLCH</t>
        </is>
      </c>
      <c r="P2" s="96" t="inlineStr">
        <is>
          <t>LCH01</t>
        </is>
      </c>
      <c r="Q2" s="96" t="inlineStr">
        <is>
          <t>IA</t>
        </is>
      </c>
      <c r="R2" s="161" t="inlineStr">
        <is>
          <t>2026-10-23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2026-10-24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WHA GC LOGISTICS COMPANY LIMITED</t>
        </is>
      </c>
      <c r="AB2" s="96" t="inlineStr">
        <is>
          <t>PTT GLOBAL CHEMICAL PUBLIC COMPANY LIMITED</t>
        </is>
      </c>
      <c r="AC2" s="163" t="n">
        <v>108432</v>
      </c>
      <c r="AD2" s="163" t="n">
        <v>121632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TBKK13</t>
        </is>
      </c>
      <c r="AN2" s="96" t="inlineStr">
        <is>
          <t>Dharaporn</t>
        </is>
      </c>
      <c r="AO2" s="96" t="inlineStr">
        <is>
          <t>LOW DENSITY POLYETHYLENE LDPE INNOPLUS</t>
        </is>
      </c>
      <c r="AP2" s="96" t="inlineStr">
        <is>
          <t>PARTIAL MASTER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CY-RTN : 02-09/10/2026</t>
        </is>
      </c>
      <c r="BA2" s="97" t="inlineStr">
        <is>
          <t>ROLL OVER FORM PREIVOUS VSL KUS 2616N BY ALLOCAITON TEAM MS.TARN APRPOVED COST IS UNDER HA DD.12/10
SI DD.8/10/26
FM SWCP 2609N BY K'FERN DD.03/09/20225
[Split] - HASLS22260902297 / HASLS22260902298</t>
        </is>
      </c>
      <c r="BB2" s="96" t="inlineStr">
        <is>
          <t>P</t>
        </is>
      </c>
      <c r="BC2" s="161" t="inlineStr">
        <is>
          <t>2026-08-13</t>
        </is>
      </c>
      <c r="BD2" s="161" t="inlineStr">
        <is>
          <t>2026-10-13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2026-10-02</t>
        </is>
      </c>
      <c r="BM2" s="127" t="n"/>
      <c r="BN2" s="127" t="n">
        <v>6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wannicha.p@wha-gc.com</t>
        </is>
      </c>
      <c r="CJ2" s="96" t="inlineStr">
        <is>
          <t>PTT GLOBAL CHEMICAL PUBLIC COMPANY</t>
        </is>
      </c>
      <c r="CK2" s="96" t="inlineStr">
        <is>
          <t>TO THE ORDER OF JOINT STOCK</t>
        </is>
      </c>
      <c r="CL2" s="96" t="inlineStr">
        <is>
          <t>DANANG PLASTIC AND CHEMICAL JOINT</t>
        </is>
      </c>
      <c r="CM2" s="97" t="inlineStr">
        <is>
          <t>CLOSED</t>
        </is>
      </c>
      <c r="CN2" s="96" t="inlineStr">
        <is>
          <t>202610201700</t>
        </is>
      </c>
      <c r="CO2" s="96" t="inlineStr">
        <is>
          <t>202610211600</t>
        </is>
      </c>
      <c r="CP2" s="97" t="n"/>
      <c r="CQ2" s="96" t="inlineStr">
        <is>
          <t>S22-2309036</t>
        </is>
      </c>
      <c r="CR2" s="96" t="inlineStr">
        <is>
          <t>TH02GR</t>
        </is>
      </c>
      <c r="CS2" s="96" t="inlineStr">
        <is>
          <t>WHA GC LOGISTICS COMPANY LIMITED</t>
        </is>
      </c>
      <c r="CT2" s="96" t="inlineStr">
        <is>
          <t>Y</t>
        </is>
      </c>
      <c r="CU2" s="97" t="n"/>
      <c r="CV2" s="97" t="n"/>
      <c r="CW2" s="161" t="inlineStr">
        <is>
          <t>2026-10-20</t>
        </is>
      </c>
      <c r="CX2" s="97" t="inlineStr">
        <is>
          <t>390110</t>
        </is>
      </c>
      <c r="CY2" s="156" t="inlineStr">
        <is>
          <t>ROLL OVER FORM PREIVOUS VSL KUS 2616N BY ALLOCAITON TEAM MS.TARN APRPOVED COST IS UNDER HA DD.12/10</t>
        </is>
      </c>
    </row>
    <row r="3" ht="12" customHeight="1">
      <c r="A3" s="116" t="inlineStr">
        <is>
          <t>HASLS22260901820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KST</t>
        </is>
      </c>
      <c r="M3" s="96" t="inlineStr">
        <is>
          <t>SWAL</t>
        </is>
      </c>
      <c r="N3" s="96" t="inlineStr">
        <is>
          <t>2609N</t>
        </is>
      </c>
      <c r="O3" s="96" t="inlineStr">
        <is>
          <t>THLCH</t>
        </is>
      </c>
      <c r="P3" s="96" t="inlineStr">
        <is>
          <t>LCH01</t>
        </is>
      </c>
      <c r="Q3" s="96" t="inlineStr">
        <is>
          <t>IA</t>
        </is>
      </c>
      <c r="R3" s="161" t="inlineStr">
        <is>
          <t>2026-10-23</t>
        </is>
      </c>
      <c r="S3" s="96" t="inlineStr">
        <is>
          <t>KRINC</t>
        </is>
      </c>
      <c r="T3" s="96" t="inlineStr">
        <is>
          <t>INC07</t>
        </is>
      </c>
      <c r="U3" s="96" t="inlineStr">
        <is>
          <t>KRINC</t>
        </is>
      </c>
      <c r="V3" s="161" t="inlineStr">
        <is>
          <t>2026-10-30</t>
        </is>
      </c>
      <c r="W3" s="96" t="inlineStr">
        <is>
          <t>KR</t>
        </is>
      </c>
      <c r="X3" s="97" t="n"/>
      <c r="Y3" s="97" t="n"/>
      <c r="Z3" s="97" t="n"/>
      <c r="AA3" s="96" t="inlineStr">
        <is>
          <t>H &amp; FRIENDS GTL (THAILAND) CO., LTD.</t>
        </is>
      </c>
      <c r="AB3" s="96" t="inlineStr">
        <is>
          <t>INGREDION (THAILAND) CO., LTD.</t>
        </is>
      </c>
      <c r="AC3" s="163" t="n">
        <v>17780</v>
      </c>
      <c r="AD3" s="163" t="n">
        <v>19980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CON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H2602</t>
        </is>
      </c>
      <c r="AN3" s="96" t="inlineStr">
        <is>
          <t>Kim jaewon</t>
        </is>
      </c>
      <c r="AO3" s="96" t="inlineStr">
        <is>
          <t>MODIFIED TAPIOCA STARCH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2026-10-15, Return : 2026-10-16</t>
        </is>
      </c>
      <c r="BA3" s="97" t="inlineStr">
        <is>
          <t>**PLS do not change the vessel without asking us first**Request Container good food grade / No damage / No smell / Clean CNTR / DRYHEUNG-A S/C NO: K01-2101025**PLS not change vessel without asked us first**</t>
        </is>
      </c>
      <c r="BB3" s="96" t="inlineStr">
        <is>
          <t>C</t>
        </is>
      </c>
      <c r="BC3" s="161" t="inlineStr">
        <is>
          <t>2026-09-21</t>
        </is>
      </c>
      <c r="BD3" s="161" t="inlineStr">
        <is>
          <t>2026-10-20</t>
        </is>
      </c>
      <c r="BE3" s="96" t="inlineStr">
        <is>
          <t>Y</t>
        </is>
      </c>
      <c r="BF3" s="96" t="inlineStr">
        <is>
          <t>MODIFIED TAPIOCA STARCH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2026-10-15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bkksea@hnfriends.com</t>
        </is>
      </c>
      <c r="CJ3" s="96" t="inlineStr">
        <is>
          <t>H &amp; FRIENDS GTL (THAILAND) CO.,LTD.</t>
        </is>
      </c>
      <c r="CK3" s="96" t="inlineStr">
        <is>
          <t>TRANSWORLD LOGISTICS INC.</t>
        </is>
      </c>
      <c r="CL3" s="96" t="inlineStr">
        <is>
          <t>TRANSWORLD LOGISTICS INC.</t>
        </is>
      </c>
      <c r="CM3" s="97" t="n"/>
      <c r="CN3" s="96" t="inlineStr">
        <is>
          <t>202610201700</t>
        </is>
      </c>
      <c r="CO3" s="96" t="inlineStr">
        <is>
          <t>202610211600</t>
        </is>
      </c>
      <c r="CP3" s="97" t="n"/>
      <c r="CQ3" s="96" t="inlineStr">
        <is>
          <t>K01-2101025</t>
        </is>
      </c>
      <c r="CR3" s="96" t="inlineStr">
        <is>
          <t>THTIK5</t>
        </is>
      </c>
      <c r="CS3" s="96" t="inlineStr">
        <is>
          <t>H &amp; FRIENDS GTL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2026-10-20</t>
        </is>
      </c>
      <c r="CX3" s="97" t="n"/>
      <c r="CY3" s="183" t="n"/>
    </row>
    <row r="4" ht="12" customHeight="1">
      <c r="A4" s="116" t="inlineStr">
        <is>
          <t>HASLS22260901975</t>
        </is>
      </c>
      <c r="B4" s="96" t="inlineStr">
        <is>
          <t>20'x12</t>
        </is>
      </c>
      <c r="C4" s="97" t="n">
        <v>12</v>
      </c>
      <c r="D4" s="97" t="n">
        <v>12</v>
      </c>
      <c r="E4" s="97" t="n"/>
      <c r="F4" s="97" t="n">
        <v>0</v>
      </c>
      <c r="G4" s="97" t="n">
        <v>12</v>
      </c>
      <c r="H4" s="97" t="n">
        <v>0</v>
      </c>
      <c r="I4" s="97" t="n">
        <v>0</v>
      </c>
      <c r="J4" s="97" t="n">
        <v>12</v>
      </c>
      <c r="K4" s="96" t="inlineStr">
        <is>
          <t>N</t>
        </is>
      </c>
      <c r="L4" s="96" t="inlineStr">
        <is>
          <t>KST</t>
        </is>
      </c>
      <c r="M4" s="96" t="inlineStr">
        <is>
          <t>SWAL</t>
        </is>
      </c>
      <c r="N4" s="96" t="inlineStr">
        <is>
          <t>2609N</t>
        </is>
      </c>
      <c r="O4" s="96" t="inlineStr">
        <is>
          <t>THLCH</t>
        </is>
      </c>
      <c r="P4" s="96" t="inlineStr">
        <is>
          <t>LCH01</t>
        </is>
      </c>
      <c r="Q4" s="96" t="inlineStr">
        <is>
          <t>IA</t>
        </is>
      </c>
      <c r="R4" s="161" t="inlineStr">
        <is>
          <t>2026-10-23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2026-10-24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EVERGREEN LOGISTICS (THAILAND) CO., LTD.</t>
        </is>
      </c>
      <c r="AB4" s="96" t="inlineStr">
        <is>
          <t>T.C.PHARMACEUTICAL INDUSTRIES CO., LTD.</t>
        </is>
      </c>
      <c r="AC4" s="163" t="n">
        <v>232560</v>
      </c>
      <c r="AD4" s="163" t="n">
        <v>258960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TH0031</t>
        </is>
      </c>
      <c r="AN4" s="96" t="inlineStr">
        <is>
          <t>Pattarapong Saengthong</t>
        </is>
      </c>
      <c r="AO4" s="96" t="inlineStr">
        <is>
          <t>ENERGY DRINK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 xml:space="preserve">Pickup : 2026-10-10, Return : 2026-10-12 
 ** PLEASE CHECK OPEN GATE BEFORE RETURN CNTR **
</t>
        </is>
      </c>
      <c r="BA4" s="97" t="inlineStr">
        <is>
          <t xml:space="preserve">ROLL OVER FROM PREVIOUS VSL KUS 2616N BY ALLOCATION TEAM MS.TARN APRPOVED COST IS UNDER HA DD.12/10
FM PCCP 2610N &amp; P'KUNG CFM DD 05/10 
G.W. 19,040 PER CONT. </t>
        </is>
      </c>
      <c r="BB4" s="96" t="inlineStr">
        <is>
          <t>P</t>
        </is>
      </c>
      <c r="BC4" s="161" t="inlineStr">
        <is>
          <t>2026-09-22</t>
        </is>
      </c>
      <c r="BD4" s="161" t="inlineStr">
        <is>
          <t>2026-10-12</t>
        </is>
      </c>
      <c r="BE4" s="96" t="inlineStr">
        <is>
          <t>Y</t>
        </is>
      </c>
      <c r="BF4" s="96" t="inlineStr">
        <is>
          <t>ENERGY DRINK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2026-10-10</t>
        </is>
      </c>
      <c r="BM4" s="127" t="n"/>
      <c r="BN4" s="127" t="n">
        <v>12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pongsakorn@th.evergreen-logistics.com</t>
        </is>
      </c>
      <c r="CJ4" s="96" t="inlineStr">
        <is>
          <t>T.C. PHARMACEUTICAL INDUSTRIES</t>
        </is>
      </c>
      <c r="CK4" s="96" t="inlineStr">
        <is>
          <t>TCPVN COMPANY LIMITED</t>
        </is>
      </c>
      <c r="CL4" s="96" t="inlineStr">
        <is>
          <t>TCPVN COMPANY LIMITED</t>
        </is>
      </c>
      <c r="CM4" s="97" t="inlineStr">
        <is>
          <t>CLOSED</t>
        </is>
      </c>
      <c r="CN4" s="96" t="inlineStr">
        <is>
          <t>202610201700</t>
        </is>
      </c>
      <c r="CO4" s="96" t="inlineStr">
        <is>
          <t>202610211600</t>
        </is>
      </c>
      <c r="CP4" s="97" t="n"/>
      <c r="CQ4" s="96" t="inlineStr">
        <is>
          <t>S22-2607001</t>
        </is>
      </c>
      <c r="CR4" s="96" t="inlineStr">
        <is>
          <t>TH01G9</t>
        </is>
      </c>
      <c r="CS4" s="96" t="inlineStr">
        <is>
          <t>EVERGREEN LOGISTICS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2026-10-20</t>
        </is>
      </c>
      <c r="CX4" s="97" t="inlineStr">
        <is>
          <t>220299</t>
        </is>
      </c>
      <c r="CY4" s="183" t="inlineStr">
        <is>
          <t>ROLL OVER FROM PREVIOUS VSL KUS 2616N BY ALLOCATION TEAM MS.TARN APRPOVED COST IS UNDER HA DD.12/10</t>
        </is>
      </c>
    </row>
    <row r="5" ht="12" customHeight="1">
      <c r="A5" s="116" t="inlineStr">
        <is>
          <t>HASLS22260902473</t>
        </is>
      </c>
      <c r="B5" s="96" t="inlineStr">
        <is>
          <t>40Hx5</t>
        </is>
      </c>
      <c r="C5" s="97" t="n">
        <v>0</v>
      </c>
      <c r="D5" s="97" t="n">
        <v>0</v>
      </c>
      <c r="E5" s="97" t="n"/>
      <c r="F5" s="97" t="n">
        <v>0</v>
      </c>
      <c r="G5" s="97" t="n">
        <v>0</v>
      </c>
      <c r="H5" s="97" t="n">
        <v>0</v>
      </c>
      <c r="I5" s="97" t="n">
        <v>5</v>
      </c>
      <c r="J5" s="97" t="n">
        <v>10</v>
      </c>
      <c r="K5" s="96" t="inlineStr">
        <is>
          <t>SOC</t>
        </is>
      </c>
      <c r="L5" s="96" t="inlineStr">
        <is>
          <t>KST</t>
        </is>
      </c>
      <c r="M5" s="96" t="inlineStr">
        <is>
          <t>SWAL</t>
        </is>
      </c>
      <c r="N5" s="96" t="inlineStr">
        <is>
          <t>2609N</t>
        </is>
      </c>
      <c r="O5" s="96" t="inlineStr">
        <is>
          <t>THLCH</t>
        </is>
      </c>
      <c r="P5" s="96" t="inlineStr">
        <is>
          <t>LCH01</t>
        </is>
      </c>
      <c r="Q5" s="96" t="inlineStr">
        <is>
          <t>IA</t>
        </is>
      </c>
      <c r="R5" s="161" t="inlineStr">
        <is>
          <t>2026-10-23</t>
        </is>
      </c>
      <c r="S5" s="96" t="inlineStr">
        <is>
          <t>RUVST</t>
        </is>
      </c>
      <c r="T5" s="96" t="inlineStr">
        <is>
          <t>VST01</t>
        </is>
      </c>
      <c r="U5" s="96" t="inlineStr">
        <is>
          <t>RUVST</t>
        </is>
      </c>
      <c r="V5" s="161" t="inlineStr">
        <is>
          <t>2026-11-07</t>
        </is>
      </c>
      <c r="W5" s="96" t="inlineStr">
        <is>
          <t>RU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SWIFT CARGO LIMITED</t>
        </is>
      </c>
      <c r="AB5" s="96" t="inlineStr">
        <is>
          <t>YOKOHAMA TIRE MANUFACTURING (THAILAND) CO., LTD.</t>
        </is>
      </c>
      <c r="AC5" s="163" t="n">
        <v>51648.235</v>
      </c>
      <c r="AD5" s="163" t="n">
        <v>71648.235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RUVO04</t>
        </is>
      </c>
      <c r="AN5" s="96" t="inlineStr">
        <is>
          <t>Victoria Shitova</t>
        </is>
      </c>
      <c r="AO5" s="96" t="inlineStr">
        <is>
          <t>NEW "YOKOHAMA" BRAND TIRES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SWAL/2609N/11/01[FIX] Pickup : 2026-10-16, Return : 2026-10-18 SOC 
USTOMS FORMALITY (SOC) BY HAL = 5,000 BAHT</t>
        </is>
      </c>
      <c r="BA5" s="97" t="inlineStr">
        <is>
          <t>RQST CHANGE VSL NAME FROM SWMM 2610N BY HA DD.15/10
FM PP TERM DD 07/10 
Drop off : St.Petersburg CUSTOMS FORMALITY (SOC) BY HAL = 5,000 BAHT  // NEW SEAL 5QTYS = THB1,250
FM HMVY 2609N 08/10
FM RUVVO 19/10Drop Off : St.PetersburgPlease filled S/C :  R01-2309017</t>
        </is>
      </c>
      <c r="BB5" s="96" t="inlineStr">
        <is>
          <t>C</t>
        </is>
      </c>
      <c r="BC5" s="161" t="inlineStr">
        <is>
          <t>2026-09-27</t>
        </is>
      </c>
      <c r="BD5" s="161" t="inlineStr">
        <is>
          <t>2026-10-21</t>
        </is>
      </c>
      <c r="BE5" s="96" t="inlineStr">
        <is>
          <t>Y</t>
        </is>
      </c>
      <c r="BF5" s="96" t="inlineStr">
        <is>
          <t xml:space="preserve">NEW TYRES 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n"/>
      <c r="BL5" s="161" t="inlineStr">
        <is>
          <t>2026-10-16</t>
        </is>
      </c>
      <c r="BM5" s="127" t="n"/>
      <c r="BN5" s="127" t="n"/>
      <c r="BO5" s="127" t="n"/>
      <c r="BP5" s="127" t="n">
        <v>5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3</v>
      </c>
      <c r="CA5" s="96" t="inlineStr">
        <is>
          <t>Y</t>
        </is>
      </c>
      <c r="CB5" s="97" t="n"/>
      <c r="CC5" s="96" t="inlineStr">
        <is>
          <t>LCH01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[SWAL/2609N]; T/S(1st): KRPUS [SDTR/2631N]; POD: RUVST [/]</t>
        </is>
      </c>
      <c r="CI5" s="96" t="inlineStr">
        <is>
          <t>csbkk@swiftcargo.com</t>
        </is>
      </c>
      <c r="CJ5" s="96" t="inlineStr">
        <is>
          <t>YOKOHAMA TIRE MANUFACTURING</t>
        </is>
      </c>
      <c r="CK5" s="96" t="inlineStr">
        <is>
          <t>YOKOHAMA RUSSIA LLC</t>
        </is>
      </c>
      <c r="CL5" s="96" t="inlineStr">
        <is>
          <t>YOKOHAMA RUSSIA LLC</t>
        </is>
      </c>
      <c r="CM5" s="97" t="n"/>
      <c r="CN5" s="96" t="inlineStr">
        <is>
          <t>202610201700</t>
        </is>
      </c>
      <c r="CO5" s="96" t="inlineStr">
        <is>
          <t>202610211600</t>
        </is>
      </c>
      <c r="CP5" s="97" t="n"/>
      <c r="CQ5" s="96" t="inlineStr">
        <is>
          <t>R01-2309017</t>
        </is>
      </c>
      <c r="CR5" s="96" t="inlineStr">
        <is>
          <t>THTRTX</t>
        </is>
      </c>
      <c r="CS5" s="96" t="inlineStr">
        <is>
          <t>SWIFT CARGO LIMITED</t>
        </is>
      </c>
      <c r="CT5" s="96" t="inlineStr">
        <is>
          <t>N</t>
        </is>
      </c>
      <c r="CU5" s="97" t="n"/>
      <c r="CV5" s="97" t="n"/>
      <c r="CW5" s="161" t="inlineStr">
        <is>
          <t>2026-10-23</t>
        </is>
      </c>
      <c r="CX5" s="97" t="inlineStr">
        <is>
          <t>401110</t>
        </is>
      </c>
      <c r="CY5" s="183" t="n"/>
    </row>
    <row r="6" ht="12" customHeight="1">
      <c r="A6" s="116" t="inlineStr">
        <is>
          <t>HASLS22260902480</t>
        </is>
      </c>
      <c r="B6" s="96" t="inlineStr">
        <is>
          <t>40Hx5</t>
        </is>
      </c>
      <c r="C6" s="97" t="n">
        <v>0</v>
      </c>
      <c r="D6" s="97" t="n">
        <v>0</v>
      </c>
      <c r="E6" s="97" t="n"/>
      <c r="F6" s="97" t="n">
        <v>0</v>
      </c>
      <c r="G6" s="97" t="n">
        <v>0</v>
      </c>
      <c r="H6" s="97" t="n">
        <v>0</v>
      </c>
      <c r="I6" s="97" t="n">
        <v>5</v>
      </c>
      <c r="J6" s="97" t="n">
        <v>10</v>
      </c>
      <c r="K6" s="96" t="inlineStr">
        <is>
          <t>SOC</t>
        </is>
      </c>
      <c r="L6" s="96" t="inlineStr">
        <is>
          <t>KST</t>
        </is>
      </c>
      <c r="M6" s="96" t="inlineStr">
        <is>
          <t>SWAL</t>
        </is>
      </c>
      <c r="N6" s="96" t="inlineStr">
        <is>
          <t>2609N</t>
        </is>
      </c>
      <c r="O6" s="96" t="inlineStr">
        <is>
          <t>THLCH</t>
        </is>
      </c>
      <c r="P6" s="96" t="inlineStr">
        <is>
          <t>LCH01</t>
        </is>
      </c>
      <c r="Q6" s="96" t="inlineStr">
        <is>
          <t>IA</t>
        </is>
      </c>
      <c r="R6" s="161" t="inlineStr">
        <is>
          <t>2026-10-23</t>
        </is>
      </c>
      <c r="S6" s="96" t="inlineStr">
        <is>
          <t>RUVST</t>
        </is>
      </c>
      <c r="T6" s="96" t="inlineStr">
        <is>
          <t>VST01</t>
        </is>
      </c>
      <c r="U6" s="96" t="inlineStr">
        <is>
          <t>RUVST</t>
        </is>
      </c>
      <c r="V6" s="161" t="inlineStr">
        <is>
          <t>2026-11-07</t>
        </is>
      </c>
      <c r="W6" s="96" t="inlineStr">
        <is>
          <t>RU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SWIFT CARGO LIMITED</t>
        </is>
      </c>
      <c r="AB6" s="96" t="inlineStr">
        <is>
          <t>YOKOHAMA TIRE MANUFACTURING (THAILAND) CO., LTD.</t>
        </is>
      </c>
      <c r="AC6" s="163" t="n">
        <v>56156.952</v>
      </c>
      <c r="AD6" s="163" t="n">
        <v>76156.952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RUVO04</t>
        </is>
      </c>
      <c r="AN6" s="96" t="inlineStr">
        <is>
          <t>Victoria Shitova</t>
        </is>
      </c>
      <c r="AO6" s="96" t="inlineStr">
        <is>
          <t>NEW "YOKOHAMA" BRAND TIRES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SWAL/2609N/11/01[FIX] Pickup : 2026-10-16, Return : 2026-10-18 SOC 
CUSTOMS FORMALITY (SOC) BY HAL = 5,000 BAHT </t>
        </is>
      </c>
      <c r="BA6" s="97" t="inlineStr">
        <is>
          <t>RQST CHANGE VSL NAME FROM SWMM 2610N BY HA DD.15/10
Drop off : St.Petersburg CUSTOMS FORMALITY (SOC) BY HAL = 5,000 BAHT  // NEW SEAL 5QTYS = THB1,250
FM PP TERM DD 07/10   
FM HMVY 2609N 08/10
FM RUVVO 19/10Drop Off : St.PetersburgPlease filled S/C :  R01-2309017</t>
        </is>
      </c>
      <c r="BB6" s="96" t="inlineStr">
        <is>
          <t>C</t>
        </is>
      </c>
      <c r="BC6" s="161" t="inlineStr">
        <is>
          <t>2026-09-27</t>
        </is>
      </c>
      <c r="BD6" s="161" t="inlineStr">
        <is>
          <t>2026-10-21</t>
        </is>
      </c>
      <c r="BE6" s="96" t="inlineStr">
        <is>
          <t>Y</t>
        </is>
      </c>
      <c r="BF6" s="96" t="inlineStr">
        <is>
          <t xml:space="preserve">NEW TYRES 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n"/>
      <c r="BL6" s="161" t="inlineStr">
        <is>
          <t>2026-10-16</t>
        </is>
      </c>
      <c r="BM6" s="127" t="n"/>
      <c r="BN6" s="127" t="n"/>
      <c r="BO6" s="127" t="n"/>
      <c r="BP6" s="127" t="n">
        <v>5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3</v>
      </c>
      <c r="CA6" s="96" t="inlineStr">
        <is>
          <t>Y</t>
        </is>
      </c>
      <c r="CB6" s="97" t="n"/>
      <c r="CC6" s="96" t="inlineStr">
        <is>
          <t>LCH01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THLCH [SWAL/2609N]; T/S(1st): KRPUS [SDTR/2631N]; POD: RUVST [/]</t>
        </is>
      </c>
      <c r="CI6" s="96" t="inlineStr">
        <is>
          <t>csbkk@swiftcargo.com</t>
        </is>
      </c>
      <c r="CJ6" s="96" t="inlineStr">
        <is>
          <t>YOKOHAMA TIRE MANUFACTURING</t>
        </is>
      </c>
      <c r="CK6" s="96" t="inlineStr">
        <is>
          <t>YOKOHAMA RUSSIA LLC</t>
        </is>
      </c>
      <c r="CL6" s="96" t="inlineStr">
        <is>
          <t>YOKOHAMA RUSSIA LLC</t>
        </is>
      </c>
      <c r="CM6" s="97" t="n"/>
      <c r="CN6" s="96" t="inlineStr">
        <is>
          <t>202610201700</t>
        </is>
      </c>
      <c r="CO6" s="96" t="inlineStr">
        <is>
          <t>202610211600</t>
        </is>
      </c>
      <c r="CP6" s="97" t="n"/>
      <c r="CQ6" s="96" t="inlineStr">
        <is>
          <t>R01-2309017</t>
        </is>
      </c>
      <c r="CR6" s="96" t="inlineStr">
        <is>
          <t>THTRTX</t>
        </is>
      </c>
      <c r="CS6" s="96" t="inlineStr">
        <is>
          <t>SWIFT CARGO LIMITED</t>
        </is>
      </c>
      <c r="CT6" s="96" t="inlineStr">
        <is>
          <t>N</t>
        </is>
      </c>
      <c r="CU6" s="97" t="n"/>
      <c r="CV6" s="97" t="n"/>
      <c r="CW6" s="161" t="inlineStr">
        <is>
          <t>2026-10-23</t>
        </is>
      </c>
      <c r="CX6" s="97" t="inlineStr">
        <is>
          <t>401110</t>
        </is>
      </c>
      <c r="CY6" s="183" t="n"/>
    </row>
    <row r="7" ht="12" customHeight="1">
      <c r="A7" s="116" t="inlineStr">
        <is>
          <t>HASLS22260902625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KST</t>
        </is>
      </c>
      <c r="M7" s="96" t="inlineStr">
        <is>
          <t>SWAL</t>
        </is>
      </c>
      <c r="N7" s="96" t="inlineStr">
        <is>
          <t>2609N</t>
        </is>
      </c>
      <c r="O7" s="96" t="inlineStr">
        <is>
          <t>THLCH</t>
        </is>
      </c>
      <c r="P7" s="96" t="inlineStr">
        <is>
          <t>LCH01</t>
        </is>
      </c>
      <c r="Q7" s="96" t="inlineStr">
        <is>
          <t>IA</t>
        </is>
      </c>
      <c r="R7" s="161" t="inlineStr">
        <is>
          <t>2026-10-23</t>
        </is>
      </c>
      <c r="S7" s="96" t="inlineStr">
        <is>
          <t>JPNGO</t>
        </is>
      </c>
      <c r="T7" s="96" t="inlineStr">
        <is>
          <t>NGO01</t>
        </is>
      </c>
      <c r="U7" s="96" t="inlineStr">
        <is>
          <t>JPNGO</t>
        </is>
      </c>
      <c r="V7" s="161" t="inlineStr">
        <is>
          <t>2026-11-10</t>
        </is>
      </c>
      <c r="W7" s="96" t="inlineStr">
        <is>
          <t>JP</t>
        </is>
      </c>
      <c r="X7" s="97" t="n"/>
      <c r="Y7" s="97" t="inlineStr">
        <is>
          <t>PUS05</t>
        </is>
      </c>
      <c r="Z7" s="97" t="inlineStr">
        <is>
          <t>KRPUS</t>
        </is>
      </c>
      <c r="AA7" s="96" t="inlineStr">
        <is>
          <t>DOW CHEMICAL THAILAND LTD.</t>
        </is>
      </c>
      <c r="AB7" s="96" t="inlineStr">
        <is>
          <t>SIAM POLYETHYLENE CO., LTD.</t>
        </is>
      </c>
      <c r="AC7" s="163" t="n">
        <v>16860</v>
      </c>
      <c r="AD7" s="163" t="n">
        <v>19060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B0004</t>
        </is>
      </c>
      <c r="AN7" s="96" t="inlineStr">
        <is>
          <t>SEO JI YEONG</t>
        </is>
      </c>
      <c r="AO7" s="96" t="inlineStr">
        <is>
          <t>ELITE TM 5220LC ENHANCED POLYETHYLENE RESIN BULK</t>
        </is>
      </c>
      <c r="AP7" s="96" t="inlineStr">
        <is>
          <t>T/S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SWAL/2609N/11/01 Pickup : 2026-10-12, Return : 2026-10-17</t>
        </is>
      </c>
      <c r="BA7" s="97" t="inlineStr">
        <is>
          <t>HALU2108470 / 143293 MOVE CNTR FM AGENT SKR DD.19/10/2026</t>
        </is>
      </c>
      <c r="BB7" s="96" t="inlineStr">
        <is>
          <t>P</t>
        </is>
      </c>
      <c r="BC7" s="161" t="inlineStr">
        <is>
          <t>2026-09-29</t>
        </is>
      </c>
      <c r="BD7" s="161" t="inlineStr">
        <is>
          <t>2026-10-21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2026-10-12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>
        <v>6</v>
      </c>
      <c r="CA7" s="96" t="inlineStr">
        <is>
          <t>Y</t>
        </is>
      </c>
      <c r="CB7" s="97" t="n"/>
      <c r="CC7" s="96" t="inlineStr">
        <is>
          <t>LCH01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inlineStr">
        <is>
          <t>POL: THLCH [SWAL/2609N]; T/S(1st): KRPUS [HAHP/2640S]; POD: JPNGO [/]</t>
        </is>
      </c>
      <c r="CI7" s="96" t="inlineStr">
        <is>
          <t>rattiya.w@psabdp.com</t>
        </is>
      </c>
      <c r="CJ7" s="96" t="inlineStr">
        <is>
          <t>SIAM POLYETHYLENE CO., LTD.</t>
        </is>
      </c>
      <c r="CK7" s="96" t="inlineStr">
        <is>
          <t>DOW CHEMICAL JAPAN LIMITED</t>
        </is>
      </c>
      <c r="CL7" s="96" t="inlineStr">
        <is>
          <t>THE SHIBUSAWA WAREHOUSE CO., LTD.</t>
        </is>
      </c>
      <c r="CM7" s="97" t="n"/>
      <c r="CN7" s="96" t="inlineStr">
        <is>
          <t>202610201700</t>
        </is>
      </c>
      <c r="CO7" s="96" t="inlineStr">
        <is>
          <t>202610211600</t>
        </is>
      </c>
      <c r="CP7" s="97" t="n"/>
      <c r="CQ7" s="96" t="inlineStr">
        <is>
          <t>76492-25003</t>
        </is>
      </c>
      <c r="CR7" s="96" t="inlineStr">
        <is>
          <t>THTJG3</t>
        </is>
      </c>
      <c r="CS7" s="96" t="inlineStr">
        <is>
          <t>DOW CHEMICAL THAILAND LTD.</t>
        </is>
      </c>
      <c r="CT7" s="96" t="inlineStr">
        <is>
          <t>N</t>
        </is>
      </c>
      <c r="CU7" s="97" t="n"/>
      <c r="CV7" s="97" t="n"/>
      <c r="CW7" s="161" t="inlineStr">
        <is>
          <t>2026-10-20</t>
        </is>
      </c>
      <c r="CX7" s="97" t="inlineStr">
        <is>
          <t>390140</t>
        </is>
      </c>
      <c r="CY7" s="183" t="n"/>
    </row>
    <row r="8" ht="12" customHeight="1">
      <c r="A8" s="116" t="inlineStr">
        <is>
          <t>HASLS22260902626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KST</t>
        </is>
      </c>
      <c r="M8" s="96" t="inlineStr">
        <is>
          <t>SWAL</t>
        </is>
      </c>
      <c r="N8" s="96" t="inlineStr">
        <is>
          <t>2609N</t>
        </is>
      </c>
      <c r="O8" s="96" t="inlineStr">
        <is>
          <t>THLCH</t>
        </is>
      </c>
      <c r="P8" s="96" t="inlineStr">
        <is>
          <t>LCH01</t>
        </is>
      </c>
      <c r="Q8" s="96" t="inlineStr">
        <is>
          <t>IA</t>
        </is>
      </c>
      <c r="R8" s="161" t="inlineStr">
        <is>
          <t>2026-10-23</t>
        </is>
      </c>
      <c r="S8" s="96" t="inlineStr">
        <is>
          <t>JPNGO</t>
        </is>
      </c>
      <c r="T8" s="96" t="inlineStr">
        <is>
          <t>NGO03</t>
        </is>
      </c>
      <c r="U8" s="96" t="inlineStr">
        <is>
          <t>JPNGO</t>
        </is>
      </c>
      <c r="V8" s="161" t="inlineStr">
        <is>
          <t>2026-11-07</t>
        </is>
      </c>
      <c r="W8" s="96" t="inlineStr">
        <is>
          <t>JP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DOW CHEMICAL THAILAND LTD.</t>
        </is>
      </c>
      <c r="AB8" s="96" t="inlineStr">
        <is>
          <t>SIAM POLYETHYLENE CO., LTD.</t>
        </is>
      </c>
      <c r="AC8" s="163" t="n">
        <v>17010</v>
      </c>
      <c r="AD8" s="163" t="n">
        <v>19210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B0004</t>
        </is>
      </c>
      <c r="AN8" s="96" t="inlineStr">
        <is>
          <t>SEO JI YEONG</t>
        </is>
      </c>
      <c r="AO8" s="96" t="inlineStr">
        <is>
          <t>ELITE TM 5220LC ENHANCED POLYETHYLENE RESIN BULK</t>
        </is>
      </c>
      <c r="AP8" s="96" t="inlineStr">
        <is>
          <t>T/S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SWAL/2609N/11/01 Pickup : 2026-10-12, Return : 2026-10-17</t>
        </is>
      </c>
      <c r="BA8" s="97" t="inlineStr">
        <is>
          <t>SKLU2363265 / 143292 MOVE CNTR FM AGENT SKR DD.19/10/2026</t>
        </is>
      </c>
      <c r="BB8" s="96" t="inlineStr">
        <is>
          <t>P</t>
        </is>
      </c>
      <c r="BC8" s="161" t="inlineStr">
        <is>
          <t>2026-09-29</t>
        </is>
      </c>
      <c r="BD8" s="161" t="inlineStr">
        <is>
          <t>2026-10-21</t>
        </is>
      </c>
      <c r="BE8" s="96" t="inlineStr">
        <is>
          <t>Y</t>
        </is>
      </c>
      <c r="BF8" s="96" t="inlineStr">
        <is>
          <t>RESIN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2026-10-12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2</v>
      </c>
      <c r="CA8" s="96" t="inlineStr">
        <is>
          <t>Y</t>
        </is>
      </c>
      <c r="CB8" s="97" t="n"/>
      <c r="CC8" s="96" t="inlineStr">
        <is>
          <t>LCH01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[SWAL/2609N]; T/S(1st): KRPUS [DJFT/0208S]; POD: JPNGO [/]</t>
        </is>
      </c>
      <c r="CI8" s="96" t="inlineStr">
        <is>
          <t>rattiya.w@psabdp.com</t>
        </is>
      </c>
      <c r="CJ8" s="96" t="inlineStr">
        <is>
          <t>SIAM POLYETHYLENE CO., LTD.</t>
        </is>
      </c>
      <c r="CK8" s="96" t="inlineStr">
        <is>
          <t>DOW CHEMICAL JAPAN LIMITED</t>
        </is>
      </c>
      <c r="CL8" s="96" t="inlineStr">
        <is>
          <t>THE SHIBUSAWA WAREHOUSE CO., LTD.</t>
        </is>
      </c>
      <c r="CM8" s="97" t="n"/>
      <c r="CN8" s="96" t="inlineStr">
        <is>
          <t>202610201700</t>
        </is>
      </c>
      <c r="CO8" s="96" t="inlineStr">
        <is>
          <t>202610211600</t>
        </is>
      </c>
      <c r="CP8" s="97" t="n"/>
      <c r="CQ8" s="96" t="inlineStr">
        <is>
          <t>76492-25003</t>
        </is>
      </c>
      <c r="CR8" s="96" t="inlineStr">
        <is>
          <t>THTJG3</t>
        </is>
      </c>
      <c r="CS8" s="96" t="inlineStr">
        <is>
          <t>DOW CHEMICAL THAILAND LTD.</t>
        </is>
      </c>
      <c r="CT8" s="96" t="inlineStr">
        <is>
          <t>N</t>
        </is>
      </c>
      <c r="CU8" s="97" t="n"/>
      <c r="CV8" s="97" t="n"/>
      <c r="CW8" s="161" t="inlineStr">
        <is>
          <t>2026-10-20</t>
        </is>
      </c>
      <c r="CX8" s="97" t="inlineStr">
        <is>
          <t>390140</t>
        </is>
      </c>
      <c r="CY8" s="183" t="n"/>
    </row>
    <row r="9" ht="12" customHeight="1">
      <c r="A9" s="116" t="inlineStr">
        <is>
          <t>HASLS22260902627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KST</t>
        </is>
      </c>
      <c r="M9" s="96" t="inlineStr">
        <is>
          <t>SWAL</t>
        </is>
      </c>
      <c r="N9" s="96" t="inlineStr">
        <is>
          <t>2609N</t>
        </is>
      </c>
      <c r="O9" s="96" t="inlineStr">
        <is>
          <t>THLCH</t>
        </is>
      </c>
      <c r="P9" s="96" t="inlineStr">
        <is>
          <t>LCH01</t>
        </is>
      </c>
      <c r="Q9" s="96" t="inlineStr">
        <is>
          <t>IA</t>
        </is>
      </c>
      <c r="R9" s="161" t="inlineStr">
        <is>
          <t>2026-10-23</t>
        </is>
      </c>
      <c r="S9" s="96" t="inlineStr">
        <is>
          <t>JPNGO</t>
        </is>
      </c>
      <c r="T9" s="96" t="inlineStr">
        <is>
          <t>NGO01</t>
        </is>
      </c>
      <c r="U9" s="96" t="inlineStr">
        <is>
          <t>JPNGO</t>
        </is>
      </c>
      <c r="V9" s="161" t="inlineStr">
        <is>
          <t>2026-11-10</t>
        </is>
      </c>
      <c r="W9" s="96" t="inlineStr">
        <is>
          <t>JP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DOW CHEMICAL THAILAND LTD.</t>
        </is>
      </c>
      <c r="AB9" s="96" t="inlineStr">
        <is>
          <t>SIAM POLYETHYLENE CO., LTD.</t>
        </is>
      </c>
      <c r="AC9" s="163" t="n">
        <v>16840</v>
      </c>
      <c r="AD9" s="163" t="n">
        <v>19040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B0004</t>
        </is>
      </c>
      <c r="AN9" s="96" t="inlineStr">
        <is>
          <t>SEO JI YEONG</t>
        </is>
      </c>
      <c r="AO9" s="96" t="inlineStr">
        <is>
          <t>ELITE TM 5220LC ENHANCED POLYETHYLENE RESIN BULK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SWAL/2609N/11/01 Pickup : 2026-10-12, Return : 2026-10-17</t>
        </is>
      </c>
      <c r="BA9" s="97" t="inlineStr">
        <is>
          <t>SKLU24733941 / 144423 MOVE CNTR FM AGENT SKR DD.19/10/2026</t>
        </is>
      </c>
      <c r="BB9" s="96" t="inlineStr">
        <is>
          <t>P</t>
        </is>
      </c>
      <c r="BC9" s="161" t="inlineStr">
        <is>
          <t>2026-09-29</t>
        </is>
      </c>
      <c r="BD9" s="161" t="inlineStr">
        <is>
          <t>2026-10-21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2026-10-12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6</v>
      </c>
      <c r="CA9" s="96" t="inlineStr">
        <is>
          <t>Y</t>
        </is>
      </c>
      <c r="CB9" s="97" t="n"/>
      <c r="CC9" s="96" t="inlineStr">
        <is>
          <t>LCH01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THLCH [SWAL/2609N]; T/S(1st): KRPUS [HAHP/2640S]; POD: JPNGO [/]</t>
        </is>
      </c>
      <c r="CI9" s="96" t="inlineStr">
        <is>
          <t>rattiya.w@psabdp.com</t>
        </is>
      </c>
      <c r="CJ9" s="96" t="inlineStr">
        <is>
          <t>SIAM POLYETHYLENE CO., LTD.</t>
        </is>
      </c>
      <c r="CK9" s="96" t="inlineStr">
        <is>
          <t>DOW CHEMICAL JAPAN LIMITED</t>
        </is>
      </c>
      <c r="CL9" s="96" t="inlineStr">
        <is>
          <t>THE SHIBUSAWA WAREHOUSE CO., LTD.</t>
        </is>
      </c>
      <c r="CM9" s="97" t="n"/>
      <c r="CN9" s="96" t="inlineStr">
        <is>
          <t>202610201700</t>
        </is>
      </c>
      <c r="CO9" s="96" t="inlineStr">
        <is>
          <t>202610211600</t>
        </is>
      </c>
      <c r="CP9" s="97" t="n"/>
      <c r="CQ9" s="96" t="inlineStr">
        <is>
          <t>76492-25003</t>
        </is>
      </c>
      <c r="CR9" s="96" t="inlineStr">
        <is>
          <t>THTJG3</t>
        </is>
      </c>
      <c r="CS9" s="96" t="inlineStr">
        <is>
          <t>DOW CHEMICAL THAILAND LTD.</t>
        </is>
      </c>
      <c r="CT9" s="96" t="inlineStr">
        <is>
          <t>N</t>
        </is>
      </c>
      <c r="CU9" s="97" t="n"/>
      <c r="CV9" s="97" t="n"/>
      <c r="CW9" s="161" t="inlineStr">
        <is>
          <t>2026-10-20</t>
        </is>
      </c>
      <c r="CX9" s="97" t="inlineStr">
        <is>
          <t>390140</t>
        </is>
      </c>
      <c r="CY9" s="183" t="n"/>
    </row>
    <row r="10" ht="12" customHeight="1">
      <c r="A10" s="116" t="inlineStr">
        <is>
          <t>HASLS22260902630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KST</t>
        </is>
      </c>
      <c r="M10" s="96" t="inlineStr">
        <is>
          <t>SWAL</t>
        </is>
      </c>
      <c r="N10" s="96" t="inlineStr">
        <is>
          <t>2609N</t>
        </is>
      </c>
      <c r="O10" s="96" t="inlineStr">
        <is>
          <t>THLCH</t>
        </is>
      </c>
      <c r="P10" s="96" t="inlineStr">
        <is>
          <t>LCH01</t>
        </is>
      </c>
      <c r="Q10" s="96" t="inlineStr">
        <is>
          <t>IA</t>
        </is>
      </c>
      <c r="R10" s="161" t="inlineStr">
        <is>
          <t>2026-10-23</t>
        </is>
      </c>
      <c r="S10" s="96" t="inlineStr">
        <is>
          <t>JPYKK</t>
        </is>
      </c>
      <c r="T10" s="96" t="inlineStr">
        <is>
          <t>YKK01</t>
        </is>
      </c>
      <c r="U10" s="96" t="inlineStr">
        <is>
          <t>JPYKK</t>
        </is>
      </c>
      <c r="V10" s="161" t="inlineStr">
        <is>
          <t>2026-11-08</t>
        </is>
      </c>
      <c r="W10" s="96" t="inlineStr">
        <is>
          <t>JP</t>
        </is>
      </c>
      <c r="X10" s="97" t="n"/>
      <c r="Y10" s="97" t="inlineStr">
        <is>
          <t>PUS05</t>
        </is>
      </c>
      <c r="Z10" s="97" t="inlineStr">
        <is>
          <t>KRPUS</t>
        </is>
      </c>
      <c r="AA10" s="96" t="inlineStr">
        <is>
          <t>DOW CHEMICAL THAILAND LTD.</t>
        </is>
      </c>
      <c r="AB10" s="96" t="inlineStr">
        <is>
          <t>SIAM POLYETHYLENE CO., LTD.</t>
        </is>
      </c>
      <c r="AC10" s="163" t="n">
        <v>16820</v>
      </c>
      <c r="AD10" s="163" t="n">
        <v>19020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B0004</t>
        </is>
      </c>
      <c r="AN10" s="96" t="inlineStr">
        <is>
          <t>SEO JI YEONG</t>
        </is>
      </c>
      <c r="AO10" s="96" t="inlineStr">
        <is>
          <t>ELITE TM 5220LC ENHANCED POLYETHYLENE RESIN BULK</t>
        </is>
      </c>
      <c r="AP10" s="96" t="inlineStr">
        <is>
          <t>T/S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SWAL/2609N/11/01 Pickup : 2026-10-12, Return : 2026-10-17</t>
        </is>
      </c>
      <c r="BA10" s="97" t="inlineStr">
        <is>
          <t>1X20' SEABULK "1.Pls send Email to  kittima.t@bdpint.com 2.Issue SEA WAYBILL "</t>
        </is>
      </c>
      <c r="BB10" s="96" t="inlineStr">
        <is>
          <t>P</t>
        </is>
      </c>
      <c r="BC10" s="161" t="inlineStr">
        <is>
          <t>2026-09-29</t>
        </is>
      </c>
      <c r="BD10" s="161" t="inlineStr">
        <is>
          <t>2026-10-21</t>
        </is>
      </c>
      <c r="BE10" s="96" t="inlineStr">
        <is>
          <t>Y</t>
        </is>
      </c>
      <c r="BF10" s="96" t="inlineStr">
        <is>
          <t>RESIN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2026-10-12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>
        <v>3</v>
      </c>
      <c r="CA10" s="96" t="inlineStr">
        <is>
          <t>Y</t>
        </is>
      </c>
      <c r="CB10" s="97" t="n"/>
      <c r="CC10" s="96" t="inlineStr">
        <is>
          <t>LCH01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inlineStr">
        <is>
          <t>POL: THLCH [SWAL/2609N]; T/S(1st): KRPUS [PCSS/2636E]; POD: JPYKK [/]</t>
        </is>
      </c>
      <c r="CI10" s="96" t="inlineStr">
        <is>
          <t>rattiya.w@psabdp.com</t>
        </is>
      </c>
      <c r="CJ10" s="96" t="inlineStr">
        <is>
          <t>SIAM POLYETHYLENE CO., LTD.</t>
        </is>
      </c>
      <c r="CK10" s="96" t="inlineStr">
        <is>
          <t>DOW CHEMICAL JAPAN LIMITED</t>
        </is>
      </c>
      <c r="CL10" s="96" t="inlineStr">
        <is>
          <t>THE SHIBUSAWA WAREHOUSE CO., LTD.</t>
        </is>
      </c>
      <c r="CM10" s="97" t="n"/>
      <c r="CN10" s="96" t="inlineStr">
        <is>
          <t>202610201700</t>
        </is>
      </c>
      <c r="CO10" s="96" t="inlineStr">
        <is>
          <t>202610211600</t>
        </is>
      </c>
      <c r="CP10" s="97" t="n"/>
      <c r="CQ10" s="96" t="inlineStr">
        <is>
          <t>76492-25003</t>
        </is>
      </c>
      <c r="CR10" s="96" t="inlineStr">
        <is>
          <t>THTJG3</t>
        </is>
      </c>
      <c r="CS10" s="96" t="inlineStr">
        <is>
          <t>DOW CHEMICAL THAILAND LTD.</t>
        </is>
      </c>
      <c r="CT10" s="96" t="inlineStr">
        <is>
          <t>N</t>
        </is>
      </c>
      <c r="CU10" s="97" t="n"/>
      <c r="CV10" s="97" t="n"/>
      <c r="CW10" s="161" t="inlineStr">
        <is>
          <t>2026-10-20</t>
        </is>
      </c>
      <c r="CX10" s="97" t="inlineStr">
        <is>
          <t>390140</t>
        </is>
      </c>
      <c r="CY10" s="183" t="n"/>
    </row>
    <row r="11" ht="12" customHeight="1">
      <c r="A11" s="116" t="inlineStr">
        <is>
          <t>HASLS22260902631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KST</t>
        </is>
      </c>
      <c r="M11" s="96" t="inlineStr">
        <is>
          <t>SWAL</t>
        </is>
      </c>
      <c r="N11" s="96" t="inlineStr">
        <is>
          <t>2609N</t>
        </is>
      </c>
      <c r="O11" s="96" t="inlineStr">
        <is>
          <t>THLCH</t>
        </is>
      </c>
      <c r="P11" s="96" t="inlineStr">
        <is>
          <t>LCH01</t>
        </is>
      </c>
      <c r="Q11" s="96" t="inlineStr">
        <is>
          <t>IA</t>
        </is>
      </c>
      <c r="R11" s="161" t="inlineStr">
        <is>
          <t>2026-10-23</t>
        </is>
      </c>
      <c r="S11" s="96" t="inlineStr">
        <is>
          <t>JPYKK</t>
        </is>
      </c>
      <c r="T11" s="96" t="inlineStr">
        <is>
          <t>YKK01</t>
        </is>
      </c>
      <c r="U11" s="96" t="inlineStr">
        <is>
          <t>JPYKK</t>
        </is>
      </c>
      <c r="V11" s="161" t="inlineStr">
        <is>
          <t>2026-11-08</t>
        </is>
      </c>
      <c r="W11" s="96" t="inlineStr">
        <is>
          <t>JP</t>
        </is>
      </c>
      <c r="X11" s="97" t="n"/>
      <c r="Y11" s="97" t="inlineStr">
        <is>
          <t>PUS05</t>
        </is>
      </c>
      <c r="Z11" s="97" t="inlineStr">
        <is>
          <t>KRPUS</t>
        </is>
      </c>
      <c r="AA11" s="96" t="inlineStr">
        <is>
          <t>DOW CHEMICAL THAILAND LTD.</t>
        </is>
      </c>
      <c r="AB11" s="96" t="inlineStr">
        <is>
          <t>SIAM POLYETHYLENE CO., LTD.</t>
        </is>
      </c>
      <c r="AC11" s="163" t="n">
        <v>16720</v>
      </c>
      <c r="AD11" s="163" t="n">
        <v>18920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B0004</t>
        </is>
      </c>
      <c r="AN11" s="96" t="inlineStr">
        <is>
          <t>SEO JI YEONG</t>
        </is>
      </c>
      <c r="AO11" s="96" t="inlineStr">
        <is>
          <t>ELITE TM 5220LC ENHANCED POLYETHYLENE RESIN BULK</t>
        </is>
      </c>
      <c r="AP11" s="96" t="inlineStr">
        <is>
          <t>T/S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SWAL/2609N/11/01 Pickup : 2026-10-12, Return : 2026-10-17</t>
        </is>
      </c>
      <c r="BA11" s="97" t="inlineStr">
        <is>
          <t>1X20' SEABULK "1.Pls send Email to  kittima.t@bdpint.com 2.Issue SEA WAYBILL "</t>
        </is>
      </c>
      <c r="BB11" s="96" t="inlineStr">
        <is>
          <t>P</t>
        </is>
      </c>
      <c r="BC11" s="161" t="inlineStr">
        <is>
          <t>2026-09-29</t>
        </is>
      </c>
      <c r="BD11" s="161" t="inlineStr">
        <is>
          <t>2026-10-21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2026-10-12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3</v>
      </c>
      <c r="CA11" s="96" t="inlineStr">
        <is>
          <t>Y</t>
        </is>
      </c>
      <c r="CB11" s="97" t="n"/>
      <c r="CC11" s="96" t="inlineStr">
        <is>
          <t>LCH01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THLCH [SWAL/2609N]; T/S(1st): KRPUS [PCSS/2636E]; POD: JPYKK [/]</t>
        </is>
      </c>
      <c r="CI11" s="96" t="inlineStr">
        <is>
          <t>rattiya.w@psabdp.com</t>
        </is>
      </c>
      <c r="CJ11" s="96" t="inlineStr">
        <is>
          <t>SIAM POLYETHYLENE CO., LTD.</t>
        </is>
      </c>
      <c r="CK11" s="96" t="inlineStr">
        <is>
          <t>DOW CHEMICAL JAPAN LIMITED</t>
        </is>
      </c>
      <c r="CL11" s="96" t="inlineStr">
        <is>
          <t>THE SHIBUSAWA WAREHOUSE CO., LTD.</t>
        </is>
      </c>
      <c r="CM11" s="97" t="n"/>
      <c r="CN11" s="96" t="inlineStr">
        <is>
          <t>202610201700</t>
        </is>
      </c>
      <c r="CO11" s="96" t="inlineStr">
        <is>
          <t>202610211600</t>
        </is>
      </c>
      <c r="CP11" s="97" t="n"/>
      <c r="CQ11" s="96" t="inlineStr">
        <is>
          <t>76492-25003</t>
        </is>
      </c>
      <c r="CR11" s="96" t="inlineStr">
        <is>
          <t>THTJG3</t>
        </is>
      </c>
      <c r="CS11" s="96" t="inlineStr">
        <is>
          <t>DOW CHEMICAL THAILAND LTD.</t>
        </is>
      </c>
      <c r="CT11" s="96" t="inlineStr">
        <is>
          <t>N</t>
        </is>
      </c>
      <c r="CU11" s="97" t="n"/>
      <c r="CV11" s="97" t="n"/>
      <c r="CW11" s="161" t="inlineStr">
        <is>
          <t>2026-10-20</t>
        </is>
      </c>
      <c r="CX11" s="97" t="inlineStr">
        <is>
          <t>390140</t>
        </is>
      </c>
      <c r="CY11" s="183" t="n"/>
    </row>
    <row r="12" ht="12" customHeight="1">
      <c r="A12" s="116" t="inlineStr">
        <is>
          <t>HASLS22260902632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KST</t>
        </is>
      </c>
      <c r="M12" s="96" t="inlineStr">
        <is>
          <t>SWAL</t>
        </is>
      </c>
      <c r="N12" s="96" t="inlineStr">
        <is>
          <t>2609N</t>
        </is>
      </c>
      <c r="O12" s="96" t="inlineStr">
        <is>
          <t>THLCH</t>
        </is>
      </c>
      <c r="P12" s="96" t="inlineStr">
        <is>
          <t>LCH01</t>
        </is>
      </c>
      <c r="Q12" s="96" t="inlineStr">
        <is>
          <t>IA</t>
        </is>
      </c>
      <c r="R12" s="161" t="inlineStr">
        <is>
          <t>2026-10-23</t>
        </is>
      </c>
      <c r="S12" s="96" t="inlineStr">
        <is>
          <t>JPYKK</t>
        </is>
      </c>
      <c r="T12" s="96" t="inlineStr">
        <is>
          <t>YKK01</t>
        </is>
      </c>
      <c r="U12" s="96" t="inlineStr">
        <is>
          <t>JPYKK</t>
        </is>
      </c>
      <c r="V12" s="161" t="inlineStr">
        <is>
          <t>2026-11-08</t>
        </is>
      </c>
      <c r="W12" s="96" t="inlineStr">
        <is>
          <t>JP</t>
        </is>
      </c>
      <c r="X12" s="97" t="n"/>
      <c r="Y12" s="97" t="inlineStr">
        <is>
          <t>PUS05</t>
        </is>
      </c>
      <c r="Z12" s="97" t="inlineStr">
        <is>
          <t>KRPUS</t>
        </is>
      </c>
      <c r="AA12" s="96" t="inlineStr">
        <is>
          <t>DOW CHEMICAL THAILAND LTD.</t>
        </is>
      </c>
      <c r="AB12" s="96" t="inlineStr">
        <is>
          <t>SIAM POLYETHYLENE CO., LTD.</t>
        </is>
      </c>
      <c r="AC12" s="163" t="n">
        <v>16730</v>
      </c>
      <c r="AD12" s="163" t="n">
        <v>18930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B0004</t>
        </is>
      </c>
      <c r="AN12" s="96" t="inlineStr">
        <is>
          <t>SEO JI YEONG</t>
        </is>
      </c>
      <c r="AO12" s="96" t="inlineStr">
        <is>
          <t>ELITE TM  5260LC ENHANCED POLYETHYLENE RESIN BULK</t>
        </is>
      </c>
      <c r="AP12" s="96" t="inlineStr">
        <is>
          <t>T/S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SWAL/2609N/10/30 Pickup : 2026-10-12, Return : 2026-10-17</t>
        </is>
      </c>
      <c r="BA12" s="97" t="inlineStr">
        <is>
          <t>1X20' SEABULK "1.Pls send Email to  kittima.t@bdpint.com 2.Issue SEA WAYBILL "</t>
        </is>
      </c>
      <c r="BB12" s="96" t="inlineStr">
        <is>
          <t>P</t>
        </is>
      </c>
      <c r="BC12" s="161" t="inlineStr">
        <is>
          <t>2026-09-29</t>
        </is>
      </c>
      <c r="BD12" s="161" t="inlineStr">
        <is>
          <t>2026-10-21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2026-10-12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3</v>
      </c>
      <c r="CA12" s="96" t="inlineStr">
        <is>
          <t>Y</t>
        </is>
      </c>
      <c r="CB12" s="97" t="n"/>
      <c r="CC12" s="96" t="inlineStr">
        <is>
          <t>LCH01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inlineStr">
        <is>
          <t>POL: THLCH [SWAL/2609N]; T/S(1st): KRPUS [PCSS/2636E]; POD: JPYKK [/]</t>
        </is>
      </c>
      <c r="CI12" s="96" t="inlineStr">
        <is>
          <t>rattiya.w@psabdp.com</t>
        </is>
      </c>
      <c r="CJ12" s="96" t="inlineStr">
        <is>
          <t>SIAM POLYETHYLENE CO., LTD.</t>
        </is>
      </c>
      <c r="CK12" s="96" t="inlineStr">
        <is>
          <t>DOW CHEMICAL JAPAN LIMITED</t>
        </is>
      </c>
      <c r="CL12" s="96" t="inlineStr">
        <is>
          <t>THE SHIBUSAWA WAREHOUSE CO., LTD.</t>
        </is>
      </c>
      <c r="CM12" s="97" t="n"/>
      <c r="CN12" s="96" t="inlineStr">
        <is>
          <t>202610201700</t>
        </is>
      </c>
      <c r="CO12" s="96" t="inlineStr">
        <is>
          <t>202610211600</t>
        </is>
      </c>
      <c r="CP12" s="97" t="n"/>
      <c r="CQ12" s="96" t="inlineStr">
        <is>
          <t>76492-25003</t>
        </is>
      </c>
      <c r="CR12" s="96" t="inlineStr">
        <is>
          <t>THTJG3</t>
        </is>
      </c>
      <c r="CS12" s="96" t="inlineStr">
        <is>
          <t>DOW CHEMICAL THAILAND LTD.</t>
        </is>
      </c>
      <c r="CT12" s="96" t="inlineStr">
        <is>
          <t>N</t>
        </is>
      </c>
      <c r="CU12" s="97" t="n"/>
      <c r="CV12" s="97" t="n"/>
      <c r="CW12" s="161" t="inlineStr">
        <is>
          <t>2026-10-20</t>
        </is>
      </c>
      <c r="CX12" s="97" t="inlineStr">
        <is>
          <t>390140</t>
        </is>
      </c>
      <c r="CY12" s="183" t="n"/>
    </row>
    <row r="13" ht="12" customHeight="1">
      <c r="A13" s="116" t="inlineStr">
        <is>
          <t>HASLS22260902633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KST</t>
        </is>
      </c>
      <c r="M13" s="96" t="inlineStr">
        <is>
          <t>SWAL</t>
        </is>
      </c>
      <c r="N13" s="96" t="inlineStr">
        <is>
          <t>2609N</t>
        </is>
      </c>
      <c r="O13" s="96" t="inlineStr">
        <is>
          <t>THLCH</t>
        </is>
      </c>
      <c r="P13" s="96" t="inlineStr">
        <is>
          <t>LCH01</t>
        </is>
      </c>
      <c r="Q13" s="96" t="inlineStr">
        <is>
          <t>IA</t>
        </is>
      </c>
      <c r="R13" s="161" t="inlineStr">
        <is>
          <t>2026-10-23</t>
        </is>
      </c>
      <c r="S13" s="96" t="inlineStr">
        <is>
          <t>JPYKK</t>
        </is>
      </c>
      <c r="T13" s="96" t="inlineStr">
        <is>
          <t>YKK01</t>
        </is>
      </c>
      <c r="U13" s="96" t="inlineStr">
        <is>
          <t>JPYKK</t>
        </is>
      </c>
      <c r="V13" s="161" t="inlineStr">
        <is>
          <t>2026-11-15</t>
        </is>
      </c>
      <c r="W13" s="96" t="inlineStr">
        <is>
          <t>JP</t>
        </is>
      </c>
      <c r="X13" s="97" t="n"/>
      <c r="Y13" s="97" t="inlineStr">
        <is>
          <t>PUS05</t>
        </is>
      </c>
      <c r="Z13" s="97" t="inlineStr">
        <is>
          <t>KRPUS</t>
        </is>
      </c>
      <c r="AA13" s="96" t="inlineStr">
        <is>
          <t>DOW CHEMICAL THAILAND LTD.</t>
        </is>
      </c>
      <c r="AB13" s="96" t="inlineStr">
        <is>
          <t>SIAM POLYETHYLENE CO., LTD.</t>
        </is>
      </c>
      <c r="AC13" s="163" t="n">
        <v>16710</v>
      </c>
      <c r="AD13" s="163" t="n">
        <v>18910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B0004</t>
        </is>
      </c>
      <c r="AN13" s="96" t="inlineStr">
        <is>
          <t>SEO JI YEONG</t>
        </is>
      </c>
      <c r="AO13" s="96" t="inlineStr">
        <is>
          <t>ELITE TM 5260LC ENHANCED POLYETHYLENE RESIN BULK</t>
        </is>
      </c>
      <c r="AP13" s="96" t="inlineStr">
        <is>
          <t>T/S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SWAL/2609N/11/01 Pickup : 2026-10-12, Return : 2026-10-17</t>
        </is>
      </c>
      <c r="BA13" s="97" t="inlineStr">
        <is>
          <t>1X20' SEABULK "1.Pls send Email to  kittima.t@bdpint.com 2.Issue SEA WAYBILL "</t>
        </is>
      </c>
      <c r="BB13" s="96" t="inlineStr">
        <is>
          <t>P</t>
        </is>
      </c>
      <c r="BC13" s="161" t="inlineStr">
        <is>
          <t>2026-09-29</t>
        </is>
      </c>
      <c r="BD13" s="161" t="inlineStr">
        <is>
          <t>2026-10-21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2026-10-12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9</v>
      </c>
      <c r="CA13" s="96" t="inlineStr">
        <is>
          <t>Y</t>
        </is>
      </c>
      <c r="CB13" s="97" t="n"/>
      <c r="CC13" s="96" t="inlineStr">
        <is>
          <t>LCH01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inlineStr">
        <is>
          <t>POL: THLCH [SWAL/2609N]; T/S(1st): KRPUS [PCSS/2637E]; POD: JPYKK [/]</t>
        </is>
      </c>
      <c r="CI13" s="96" t="inlineStr">
        <is>
          <t>rattiya.w@psabdp.com</t>
        </is>
      </c>
      <c r="CJ13" s="96" t="inlineStr">
        <is>
          <t>SIAM POLYETHYLENE CO., LTD.</t>
        </is>
      </c>
      <c r="CK13" s="96" t="inlineStr">
        <is>
          <t>DOW CHEMICAL JAPAN LIMITED</t>
        </is>
      </c>
      <c r="CL13" s="96" t="inlineStr">
        <is>
          <t>THE SHIBUSAWA WAREHOUSE CO., LTD.</t>
        </is>
      </c>
      <c r="CM13" s="97" t="n"/>
      <c r="CN13" s="96" t="inlineStr">
        <is>
          <t>202610201700</t>
        </is>
      </c>
      <c r="CO13" s="96" t="inlineStr">
        <is>
          <t>202610211600</t>
        </is>
      </c>
      <c r="CP13" s="97" t="n"/>
      <c r="CQ13" s="96" t="inlineStr">
        <is>
          <t>76492-25003</t>
        </is>
      </c>
      <c r="CR13" s="96" t="inlineStr">
        <is>
          <t>THTJG3</t>
        </is>
      </c>
      <c r="CS13" s="96" t="inlineStr">
        <is>
          <t>DOW CHEMICAL THAILAND LTD.</t>
        </is>
      </c>
      <c r="CT13" s="96" t="inlineStr">
        <is>
          <t>N</t>
        </is>
      </c>
      <c r="CU13" s="97" t="n"/>
      <c r="CV13" s="97" t="n"/>
      <c r="CW13" s="161" t="inlineStr">
        <is>
          <t>2026-10-20</t>
        </is>
      </c>
      <c r="CX13" s="97" t="inlineStr">
        <is>
          <t>390140</t>
        </is>
      </c>
      <c r="CY13" s="183" t="n"/>
    </row>
    <row r="14" ht="12" customHeight="1">
      <c r="A14" s="116" t="inlineStr">
        <is>
          <t>HASLS22260902657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KST</t>
        </is>
      </c>
      <c r="M14" s="96" t="inlineStr">
        <is>
          <t>SWAL</t>
        </is>
      </c>
      <c r="N14" s="96" t="inlineStr">
        <is>
          <t>2609N</t>
        </is>
      </c>
      <c r="O14" s="96" t="inlineStr">
        <is>
          <t>THLCH</t>
        </is>
      </c>
      <c r="P14" s="96" t="inlineStr">
        <is>
          <t>LCH01</t>
        </is>
      </c>
      <c r="Q14" s="96" t="inlineStr">
        <is>
          <t>IA</t>
        </is>
      </c>
      <c r="R14" s="161" t="inlineStr">
        <is>
          <t>2026-10-23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2026-10-24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ACCORD PILOT LOGISTICS (THAILAND) CO., LTD.</t>
        </is>
      </c>
      <c r="AB14" s="96" t="inlineStr">
        <is>
          <t>FUJIKURA AUTOMOTIVE (THAILAND) LTD.</t>
        </is>
      </c>
      <c r="AC14" s="163" t="n">
        <v>530.51</v>
      </c>
      <c r="AD14" s="163" t="n">
        <v>2730.51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TBKK19</t>
        </is>
      </c>
      <c r="AN14" s="96" t="inlineStr">
        <is>
          <t>Kanokporn</t>
        </is>
      </c>
      <c r="AO14" s="96" t="inlineStr">
        <is>
          <t>FOAM, INNER (AUTOMOTIVE PARTS)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2026-10-14, Return : 2026-10-15 (1ST RTN DD: 16/10/26 WO/RENT)
**CHECK OPENGATE BEFORE RETURN CNTR**
</t>
        </is>
      </c>
      <c r="BA14" s="97" t="inlineStr">
        <is>
          <t xml:space="preserve">1. REQUEST GOOD &amp; CLEAN CONTAINER ( CONTAINER GRADE A+++) </t>
        </is>
      </c>
      <c r="BB14" s="96" t="inlineStr">
        <is>
          <t>P</t>
        </is>
      </c>
      <c r="BC14" s="161" t="inlineStr">
        <is>
          <t>2026-09-29</t>
        </is>
      </c>
      <c r="BD14" s="161" t="inlineStr">
        <is>
          <t>2026-10-14</t>
        </is>
      </c>
      <c r="BE14" s="96" t="inlineStr">
        <is>
          <t>Y</t>
        </is>
      </c>
      <c r="BF14" s="96" t="inlineStr">
        <is>
          <t>AUTOMOTIVE PARTS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2026-10-14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sirapohn@pilot.co.th</t>
        </is>
      </c>
      <c r="CJ14" s="96" t="inlineStr">
        <is>
          <t>ACCORD PILOT LOGISTICS (THAILAND)</t>
        </is>
      </c>
      <c r="CK14" s="96" t="inlineStr">
        <is>
          <t>MP CONSOL CO.,LTD.</t>
        </is>
      </c>
      <c r="CL14" s="96" t="inlineStr">
        <is>
          <t>MP CONSOL CO.,LTD.</t>
        </is>
      </c>
      <c r="CM14" s="97" t="inlineStr">
        <is>
          <t>CLOSED</t>
        </is>
      </c>
      <c r="CN14" s="96" t="inlineStr">
        <is>
          <t>202610201700</t>
        </is>
      </c>
      <c r="CO14" s="96" t="inlineStr">
        <is>
          <t>202610211600</t>
        </is>
      </c>
      <c r="CP14" s="97" t="n"/>
      <c r="CQ14" s="96" t="inlineStr">
        <is>
          <t>S19-2308037</t>
        </is>
      </c>
      <c r="CR14" s="96" t="inlineStr">
        <is>
          <t>THTIPI</t>
        </is>
      </c>
      <c r="CS14" s="96" t="inlineStr">
        <is>
          <t>ACCORD PILOT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2026-10-20</t>
        </is>
      </c>
      <c r="CX14" s="97" t="inlineStr">
        <is>
          <t>400811</t>
        </is>
      </c>
      <c r="CY14" s="183" t="n"/>
    </row>
    <row r="15" ht="12" customHeight="1">
      <c r="A15" s="116" t="inlineStr">
        <is>
          <t>HASLS22260902686</t>
        </is>
      </c>
      <c r="B15" s="96" t="inlineStr">
        <is>
          <t>20'x2</t>
        </is>
      </c>
      <c r="C15" s="97" t="n">
        <v>2</v>
      </c>
      <c r="D15" s="97" t="n">
        <v>2</v>
      </c>
      <c r="E15" s="97" t="n"/>
      <c r="F15" s="97" t="n">
        <v>0</v>
      </c>
      <c r="G15" s="97" t="n">
        <v>2</v>
      </c>
      <c r="H15" s="97" t="n">
        <v>0</v>
      </c>
      <c r="I15" s="97" t="n">
        <v>0</v>
      </c>
      <c r="J15" s="97" t="n">
        <v>2</v>
      </c>
      <c r="K15" s="96" t="inlineStr">
        <is>
          <t>N</t>
        </is>
      </c>
      <c r="L15" s="96" t="inlineStr">
        <is>
          <t>KST</t>
        </is>
      </c>
      <c r="M15" s="96" t="inlineStr">
        <is>
          <t>SWAL</t>
        </is>
      </c>
      <c r="N15" s="96" t="inlineStr">
        <is>
          <t>2609N</t>
        </is>
      </c>
      <c r="O15" s="96" t="inlineStr">
        <is>
          <t>THLCH</t>
        </is>
      </c>
      <c r="P15" s="96" t="inlineStr">
        <is>
          <t>LCH01</t>
        </is>
      </c>
      <c r="Q15" s="96" t="inlineStr">
        <is>
          <t>IA</t>
        </is>
      </c>
      <c r="R15" s="161" t="inlineStr">
        <is>
          <t>2026-10-23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2026-10-24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UNITED MARINE LOGISTIC CO., LTD.</t>
        </is>
      </c>
      <c r="AB15" s="96" t="inlineStr">
        <is>
          <t>TAPIOCA DEVELOPMENT CORP., LTD.</t>
        </is>
      </c>
      <c r="AC15" s="163" t="n">
        <v>40640</v>
      </c>
      <c r="AD15" s="163" t="n">
        <v>45040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TH0011</t>
        </is>
      </c>
      <c r="AN15" s="96" t="inlineStr">
        <is>
          <t>Nannaapust Sukporntaweewat</t>
        </is>
      </c>
      <c r="AO15" s="96" t="inlineStr">
        <is>
          <t>MODIFIED TAPIOCA STARCH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2026-10-10, Return : 2026-10-12 (1ST RTN DD: 11/10/26 WO/RENT)
**CHECK OPENGATE BEFORE RETURN CNTR**</t>
        </is>
      </c>
      <c r="BA15" s="97" t="inlineStr">
        <is>
          <t>ROLL OVER FORM PREIVOUS VSL KUS 2616N BY ALLOCAITON TEAM MS.TARN APRPOVED COST IS UNDER HA DD.12/10</t>
        </is>
      </c>
      <c r="BB15" s="96" t="inlineStr">
        <is>
          <t>P</t>
        </is>
      </c>
      <c r="BC15" s="161" t="inlineStr">
        <is>
          <t>2026-09-29</t>
        </is>
      </c>
      <c r="BD15" s="161" t="inlineStr">
        <is>
          <t>2026-10-14</t>
        </is>
      </c>
      <c r="BE15" s="96" t="inlineStr">
        <is>
          <t>Y</t>
        </is>
      </c>
      <c r="BF15" s="96" t="inlineStr">
        <is>
          <t>TAPIOCA STARCH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2026-10-06</t>
        </is>
      </c>
      <c r="BM15" s="127" t="n"/>
      <c r="BN15" s="127" t="n">
        <v>2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customer@umac.co.th</t>
        </is>
      </c>
      <c r="CJ15" s="96" t="inlineStr">
        <is>
          <t>TAPIOCA DEVELOPMENT</t>
        </is>
      </c>
      <c r="CK15" s="96" t="inlineStr">
        <is>
          <t>SHINEROAD FOOD</t>
        </is>
      </c>
      <c r="CL15" s="96" t="inlineStr">
        <is>
          <t>SHINEROAD FOOD</t>
        </is>
      </c>
      <c r="CM15" s="97" t="inlineStr">
        <is>
          <t>CLOSED</t>
        </is>
      </c>
      <c r="CN15" s="96" t="inlineStr">
        <is>
          <t>202610201700</t>
        </is>
      </c>
      <c r="CO15" s="96" t="inlineStr">
        <is>
          <t>202610211600</t>
        </is>
      </c>
      <c r="CP15" s="97" t="n"/>
      <c r="CQ15" s="96" t="inlineStr">
        <is>
          <t>S22-2406015</t>
        </is>
      </c>
      <c r="CR15" s="96" t="inlineStr">
        <is>
          <t>BB1277</t>
        </is>
      </c>
      <c r="CS15" s="96" t="inlineStr">
        <is>
          <t>UNITED MARINE LOGISTIC CO., LTD.</t>
        </is>
      </c>
      <c r="CT15" s="96" t="inlineStr">
        <is>
          <t>N</t>
        </is>
      </c>
      <c r="CU15" s="97" t="n"/>
      <c r="CV15" s="97" t="n"/>
      <c r="CW15" s="161" t="inlineStr">
        <is>
          <t>2026-10-20</t>
        </is>
      </c>
      <c r="CX15" s="97" t="inlineStr">
        <is>
          <t>350510</t>
        </is>
      </c>
      <c r="CY15" s="183" t="inlineStr">
        <is>
          <t>ROLL OVER FORM PREIVOUS VSL KUS 2616N BY ALLOCAITON TEAM MS.TARN APRPOVED COST IS UNDER HA DD.12/10</t>
        </is>
      </c>
    </row>
    <row r="16" ht="12" customHeight="1">
      <c r="A16" s="116" t="inlineStr">
        <is>
          <t>HASLS22260902731</t>
        </is>
      </c>
      <c r="B16" s="96" t="inlineStr">
        <is>
          <t>20RFx1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KST</t>
        </is>
      </c>
      <c r="M16" s="96" t="inlineStr">
        <is>
          <t>SWAL</t>
        </is>
      </c>
      <c r="N16" s="96" t="inlineStr">
        <is>
          <t>2609N</t>
        </is>
      </c>
      <c r="O16" s="96" t="inlineStr">
        <is>
          <t>THLCH</t>
        </is>
      </c>
      <c r="P16" s="96" t="inlineStr">
        <is>
          <t>LCH01</t>
        </is>
      </c>
      <c r="Q16" s="96" t="inlineStr">
        <is>
          <t>IA</t>
        </is>
      </c>
      <c r="R16" s="161" t="inlineStr">
        <is>
          <t>2026-10-23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2026-10-24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INITIAL FREIGHT CO., LTD.</t>
        </is>
      </c>
      <c r="AB16" s="96" t="inlineStr">
        <is>
          <t>THAI LOTTE CO., LTD.</t>
        </is>
      </c>
      <c r="AC16" s="163" t="n">
        <v>11833.5</v>
      </c>
      <c r="AD16" s="163" t="n">
        <v>14033.5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CON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VSGN33</t>
        </is>
      </c>
      <c r="AN16" s="96" t="inlineStr">
        <is>
          <t>Nguyen Van Nam</t>
        </is>
      </c>
      <c r="AO16" s="96" t="inlineStr">
        <is>
          <t>COATED BULK BUBBLE LOTTE FUSEN NOMI GUM</t>
        </is>
      </c>
      <c r="AP16" s="96" t="inlineStr">
        <is>
          <t>Normal</t>
        </is>
      </c>
      <c r="AQ16" s="97" t="n"/>
      <c r="AR16" s="97" t="n"/>
      <c r="AS16" s="97" t="inlineStr">
        <is>
          <t>RF// MIN:+20.0 MAX:+20.0 [COVER:CLOSE]</t>
        </is>
      </c>
      <c r="AT16" s="97" t="inlineStr">
        <is>
          <t xml:space="preserve">22REx1 </t>
        </is>
      </c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2026-10-20, Return : 2026-10-20 RF22REx1 (Temp +20.0 / Vent Close) 
CLS TIME 22/10/26 @10.00   </t>
        </is>
      </c>
      <c r="BA16" s="97" t="inlineStr">
        <is>
          <t>FM SWIC 2611N 08/10*** S21-2405030*** KEEP IN COLD STORAGE AT TEMPERATURE+20 oC, NO VENT, NO PRECOOL*** REQUEST CONTAINER GOOD GRADE &amp; CLEAN(Grade A)</t>
        </is>
      </c>
      <c r="BB16" s="96" t="inlineStr">
        <is>
          <t>C</t>
        </is>
      </c>
      <c r="BC16" s="161" t="inlineStr">
        <is>
          <t>2026-09-29</t>
        </is>
      </c>
      <c r="BD16" s="161" t="inlineStr">
        <is>
          <t>2026-10-21</t>
        </is>
      </c>
      <c r="BE16" s="96" t="inlineStr">
        <is>
          <t>Y</t>
        </is>
      </c>
      <c r="BF16" s="96" t="inlineStr">
        <is>
          <t>GUM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2026-10-20</t>
        </is>
      </c>
      <c r="BM16" s="127" t="n"/>
      <c r="BN16" s="127" t="n"/>
      <c r="BO16" s="127" t="n"/>
      <c r="BP16" s="127" t="n"/>
      <c r="BQ16" s="127" t="n">
        <v>1</v>
      </c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cs4@initialfreight.com</t>
        </is>
      </c>
      <c r="CJ16" s="96" t="inlineStr">
        <is>
          <t>INITIAL FREIGHT CO.,LTD.</t>
        </is>
      </c>
      <c r="CK16" s="96" t="inlineStr">
        <is>
          <t>BLUE OCEAN INTERNATIONAL SHIPPING</t>
        </is>
      </c>
      <c r="CL16" s="96" t="inlineStr">
        <is>
          <t>BLUE OCEAN INTERNATIONAL SHIPPING</t>
        </is>
      </c>
      <c r="CM16" s="97" t="inlineStr">
        <is>
          <t>CLOSED</t>
        </is>
      </c>
      <c r="CN16" s="96" t="inlineStr">
        <is>
          <t>202610201700</t>
        </is>
      </c>
      <c r="CO16" s="96" t="inlineStr">
        <is>
          <t>202610211600</t>
        </is>
      </c>
      <c r="CP16" s="97" t="inlineStr">
        <is>
          <t>22RE x1: RF(Temp:+20.0' / Cover:CLOSE)</t>
        </is>
      </c>
      <c r="CQ16" s="96" t="inlineStr">
        <is>
          <t>S21-2405030</t>
        </is>
      </c>
      <c r="CR16" s="96" t="inlineStr">
        <is>
          <t>TH04HH</t>
        </is>
      </c>
      <c r="CS16" s="96" t="inlineStr">
        <is>
          <t>INITIAL FREIGHT CO., LTD.</t>
        </is>
      </c>
      <c r="CT16" s="96" t="inlineStr">
        <is>
          <t>N</t>
        </is>
      </c>
      <c r="CU16" s="97" t="n"/>
      <c r="CV16" s="97" t="n"/>
      <c r="CW16" s="161" t="inlineStr">
        <is>
          <t>2026-10-22</t>
        </is>
      </c>
      <c r="CX16" s="97" t="inlineStr">
        <is>
          <t>170410</t>
        </is>
      </c>
      <c r="CY16" s="183" t="n"/>
    </row>
    <row r="17" ht="12" customHeight="1">
      <c r="A17" s="116" t="inlineStr">
        <is>
          <t>HASLS22261000005</t>
        </is>
      </c>
      <c r="B17" s="96" t="inlineStr">
        <is>
          <t>20'x2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KST</t>
        </is>
      </c>
      <c r="M17" s="96" t="inlineStr">
        <is>
          <t>SWAL</t>
        </is>
      </c>
      <c r="N17" s="96" t="inlineStr">
        <is>
          <t>2609N</t>
        </is>
      </c>
      <c r="O17" s="96" t="inlineStr">
        <is>
          <t>THLCH</t>
        </is>
      </c>
      <c r="P17" s="96" t="inlineStr">
        <is>
          <t>LCH01</t>
        </is>
      </c>
      <c r="Q17" s="96" t="inlineStr">
        <is>
          <t>IA</t>
        </is>
      </c>
      <c r="R17" s="161" t="inlineStr">
        <is>
          <t>2026-10-23</t>
        </is>
      </c>
      <c r="S17" s="96" t="inlineStr">
        <is>
          <t>JPNAH</t>
        </is>
      </c>
      <c r="T17" s="96" t="inlineStr">
        <is>
          <t>NAH01</t>
        </is>
      </c>
      <c r="U17" s="96" t="inlineStr">
        <is>
          <t>JPNAH</t>
        </is>
      </c>
      <c r="V17" s="161" t="inlineStr">
        <is>
          <t>2026-11-09</t>
        </is>
      </c>
      <c r="W17" s="96" t="inlineStr">
        <is>
          <t>JP</t>
        </is>
      </c>
      <c r="X17" s="97" t="n"/>
      <c r="Y17" s="97" t="inlineStr">
        <is>
          <t>PUS05</t>
        </is>
      </c>
      <c r="Z17" s="97" t="inlineStr">
        <is>
          <t>KRPUS</t>
        </is>
      </c>
      <c r="AA17" s="96" t="inlineStr">
        <is>
          <t>SCGJWD LOGISTICS PUBLIC COMPANY LIMITED</t>
        </is>
      </c>
      <c r="AB17" s="96" t="inlineStr">
        <is>
          <t>THAI POLYETHYLENE CO., LTD.</t>
        </is>
      </c>
      <c r="AC17" s="163" t="n">
        <v>30294</v>
      </c>
      <c r="AD17" s="163" t="n">
        <v>34694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TBKK19</t>
        </is>
      </c>
      <c r="AN17" s="96" t="inlineStr">
        <is>
          <t>Kanokporn</t>
        </is>
      </c>
      <c r="AO17" s="96" t="inlineStr">
        <is>
          <t>HIGH DENSITY POLYETHYLENE RESIN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CY-RTN :09-12/10/2026 (INV : 3031061705) // FM KJT 2611N BY HAL DD.12/10
EXTEND CLOSTING TIME  2026-10-15 @ 23.59
</t>
        </is>
      </c>
      <c r="BA17" s="97" t="inlineStr">
        <is>
          <t>ROLL OVER FROM PREVIOUS VSL SWBT 2616N BY ALLOCATION TEAM MS.TARN APPROVED COST IS UNDER HA DD.15/10
FM KJT 2611N BY HAL DD.12/10</t>
        </is>
      </c>
      <c r="BB17" s="96" t="inlineStr">
        <is>
          <t>P</t>
        </is>
      </c>
      <c r="BC17" s="161" t="inlineStr">
        <is>
          <t>2026-10-01</t>
        </is>
      </c>
      <c r="BD17" s="161" t="inlineStr">
        <is>
          <t>2026-10-21</t>
        </is>
      </c>
      <c r="BE17" s="96" t="inlineStr">
        <is>
          <t>Y</t>
        </is>
      </c>
      <c r="BF17" s="96" t="inlineStr">
        <is>
          <t>RESIN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2026-10-07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>
        <v>3</v>
      </c>
      <c r="CA17" s="96" t="n"/>
      <c r="CB17" s="97" t="n"/>
      <c r="CC17" s="96" t="inlineStr">
        <is>
          <t>LCH01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inlineStr">
        <is>
          <t>POL: THLCH [SWAL/2609N]; T/S(1st): KRPUS [IEM/0119S]; POD: JPNAH [/]</t>
        </is>
      </c>
      <c r="CI17" s="96" t="inlineStr">
        <is>
          <t>natwalad@scgjwd.com</t>
        </is>
      </c>
      <c r="CJ17" s="96" t="inlineStr">
        <is>
          <t>THAI POLYETHYLENE CO.,LTD.</t>
        </is>
      </c>
      <c r="CK17" s="96" t="inlineStr">
        <is>
          <t>TO ORDER OF MIZUHO BANK LTD., JAPAN</t>
        </is>
      </c>
      <c r="CL17" s="96" t="inlineStr">
        <is>
          <t>TOYO PLASTICS CO.,LTD.</t>
        </is>
      </c>
      <c r="CM17" s="97" t="n"/>
      <c r="CN17" s="96" t="inlineStr">
        <is>
          <t>202610201700</t>
        </is>
      </c>
      <c r="CO17" s="96" t="inlineStr">
        <is>
          <t>202610211600</t>
        </is>
      </c>
      <c r="CP17" s="97" t="n"/>
      <c r="CQ17" s="96" t="inlineStr">
        <is>
          <t>S19-2308040</t>
        </is>
      </c>
      <c r="CR17" s="96" t="inlineStr">
        <is>
          <t>TH0235</t>
        </is>
      </c>
      <c r="CS17" s="96" t="inlineStr">
        <is>
          <t>SCGJWD LOGISTICS PUBLIC COMPANY LIMITED</t>
        </is>
      </c>
      <c r="CT17" s="96" t="inlineStr">
        <is>
          <t>N</t>
        </is>
      </c>
      <c r="CU17" s="97" t="n"/>
      <c r="CV17" s="97" t="n"/>
      <c r="CW17" s="161" t="inlineStr">
        <is>
          <t>2026-10-20</t>
        </is>
      </c>
      <c r="CX17" s="97" t="inlineStr">
        <is>
          <t>390120</t>
        </is>
      </c>
      <c r="CY17" s="183" t="inlineStr">
        <is>
          <t>ROLL OVER FROM PREVIOUS VSL SWBT 2616N BY ALLOCATION TEAM MS.TARN APPROVED COST IS UNDER HA DD.15/10</t>
        </is>
      </c>
    </row>
    <row r="18" ht="12" customHeight="1">
      <c r="A18" s="116" t="inlineStr">
        <is>
          <t>HASLS22261000120</t>
        </is>
      </c>
      <c r="B18" s="96" t="inlineStr">
        <is>
          <t>20'x7</t>
        </is>
      </c>
      <c r="C18" s="97" t="n">
        <v>7</v>
      </c>
      <c r="D18" s="97" t="n">
        <v>7</v>
      </c>
      <c r="E18" s="97" t="n"/>
      <c r="F18" s="97" t="n">
        <v>0</v>
      </c>
      <c r="G18" s="97" t="n">
        <v>7</v>
      </c>
      <c r="H18" s="97" t="n">
        <v>0</v>
      </c>
      <c r="I18" s="97" t="n">
        <v>0</v>
      </c>
      <c r="J18" s="97" t="n">
        <v>7</v>
      </c>
      <c r="K18" s="96" t="inlineStr">
        <is>
          <t>N</t>
        </is>
      </c>
      <c r="L18" s="96" t="inlineStr">
        <is>
          <t>KST</t>
        </is>
      </c>
      <c r="M18" s="96" t="inlineStr">
        <is>
          <t>SWAL</t>
        </is>
      </c>
      <c r="N18" s="96" t="inlineStr">
        <is>
          <t>2609N</t>
        </is>
      </c>
      <c r="O18" s="96" t="inlineStr">
        <is>
          <t>THLCH</t>
        </is>
      </c>
      <c r="P18" s="96" t="inlineStr">
        <is>
          <t>LCH01</t>
        </is>
      </c>
      <c r="Q18" s="96" t="inlineStr">
        <is>
          <t>IA</t>
        </is>
      </c>
      <c r="R18" s="161" t="inlineStr">
        <is>
          <t>2026-10-23</t>
        </is>
      </c>
      <c r="S18" s="96" t="inlineStr">
        <is>
          <t>KRINC</t>
        </is>
      </c>
      <c r="T18" s="96" t="inlineStr">
        <is>
          <t>INC07</t>
        </is>
      </c>
      <c r="U18" s="96" t="inlineStr">
        <is>
          <t>KRINC</t>
        </is>
      </c>
      <c r="V18" s="161" t="inlineStr">
        <is>
          <t>2026-10-30</t>
        </is>
      </c>
      <c r="W18" s="96" t="inlineStr">
        <is>
          <t>KR</t>
        </is>
      </c>
      <c r="X18" s="97" t="n"/>
      <c r="Y18" s="97" t="n"/>
      <c r="Z18" s="97" t="n"/>
      <c r="AA18" s="96" t="inlineStr">
        <is>
          <t>MAXTOP LOGISTICS (THAILAND) CO., LTD.</t>
        </is>
      </c>
      <c r="AB18" s="96" t="inlineStr">
        <is>
          <t>POSCO COATED STEEL (THAILAND) CO., LTD.</t>
        </is>
      </c>
      <c r="AC18" s="163" t="n">
        <v>155480</v>
      </c>
      <c r="AD18" s="163" t="n">
        <v>170880</v>
      </c>
      <c r="AE18" s="96" t="inlineStr">
        <is>
          <t>OK</t>
        </is>
      </c>
      <c r="AF18" s="96" t="n"/>
      <c r="AG18" s="97" t="n"/>
      <c r="AH18" s="96" t="inlineStr">
        <is>
          <t>CON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TBKK97</t>
        </is>
      </c>
      <c r="AN18" s="96" t="inlineStr">
        <is>
          <t>Arunphat W. (Aiw)</t>
        </is>
      </c>
      <c r="AO18" s="96" t="inlineStr">
        <is>
          <t>WASTE ZN DROSS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2026-10-12, Return : 2026-10-16
**CHECK OPENGATE BEFORE RETURN CNTR**</t>
        </is>
      </c>
      <c r="BA18" s="97" t="n"/>
      <c r="BB18" s="96" t="inlineStr">
        <is>
          <t>P</t>
        </is>
      </c>
      <c r="BC18" s="161" t="inlineStr">
        <is>
          <t>2026-10-02</t>
        </is>
      </c>
      <c r="BD18" s="161" t="inlineStr">
        <is>
          <t>2026-10-21</t>
        </is>
      </c>
      <c r="BE18" s="96" t="inlineStr">
        <is>
          <t>Y</t>
        </is>
      </c>
      <c r="BF18" s="96" t="inlineStr">
        <is>
          <t>TOP &amp; BOTTOM DROSS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2026-10-12</t>
        </is>
      </c>
      <c r="BM18" s="127" t="n"/>
      <c r="BN18" s="127" t="n">
        <v>7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maxtop.thai@maxlogis.com</t>
        </is>
      </c>
      <c r="CJ18" s="96" t="inlineStr">
        <is>
          <t>MAXTOP LOGISTICS(THAILAND)CO.,LTD.</t>
        </is>
      </c>
      <c r="CK18" s="96" t="inlineStr">
        <is>
          <t>SEBANG EXPRESS CO., LTD</t>
        </is>
      </c>
      <c r="CL18" s="96" t="inlineStr">
        <is>
          <t>SEBANG EXPRESS CO., LTD</t>
        </is>
      </c>
      <c r="CM18" s="97" t="n"/>
      <c r="CN18" s="96" t="inlineStr">
        <is>
          <t>202610201700</t>
        </is>
      </c>
      <c r="CO18" s="96" t="inlineStr">
        <is>
          <t>202610211600</t>
        </is>
      </c>
      <c r="CP18" s="97" t="n"/>
      <c r="CQ18" s="96" t="inlineStr">
        <is>
          <t>S22-2602020</t>
        </is>
      </c>
      <c r="CR18" s="96" t="inlineStr">
        <is>
          <t>THTTF4</t>
        </is>
      </c>
      <c r="CS18" s="96" t="inlineStr">
        <is>
          <t>MAXTOP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2026-10-20</t>
        </is>
      </c>
      <c r="CX18" s="97" t="n"/>
      <c r="CY18" s="183" t="n"/>
    </row>
    <row r="19" ht="12" customHeight="1">
      <c r="A19" s="116" t="inlineStr">
        <is>
          <t>HASLS22261000275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KST</t>
        </is>
      </c>
      <c r="M19" s="96" t="inlineStr">
        <is>
          <t>SWAL</t>
        </is>
      </c>
      <c r="N19" s="96" t="inlineStr">
        <is>
          <t>2609N</t>
        </is>
      </c>
      <c r="O19" s="96" t="inlineStr">
        <is>
          <t>THLCH</t>
        </is>
      </c>
      <c r="P19" s="96" t="inlineStr">
        <is>
          <t>LCH01</t>
        </is>
      </c>
      <c r="Q19" s="96" t="inlineStr">
        <is>
          <t>IA</t>
        </is>
      </c>
      <c r="R19" s="161" t="inlineStr">
        <is>
          <t>2026-10-23</t>
        </is>
      </c>
      <c r="S19" s="96" t="inlineStr">
        <is>
          <t>KRINC</t>
        </is>
      </c>
      <c r="T19" s="96" t="inlineStr">
        <is>
          <t>INC07</t>
        </is>
      </c>
      <c r="U19" s="96" t="inlineStr">
        <is>
          <t>KRINC</t>
        </is>
      </c>
      <c r="V19" s="161" t="inlineStr">
        <is>
          <t>2026-10-30</t>
        </is>
      </c>
      <c r="W19" s="96" t="inlineStr">
        <is>
          <t>KR</t>
        </is>
      </c>
      <c r="X19" s="97" t="n"/>
      <c r="Y19" s="97" t="n"/>
      <c r="Z19" s="97" t="n"/>
      <c r="AA19" s="96" t="inlineStr">
        <is>
          <t>THAI MFC CO., LTD.</t>
        </is>
      </c>
      <c r="AB19" s="96" t="inlineStr">
        <is>
          <t>THAI MFC CO., LTD.</t>
        </is>
      </c>
      <c r="AC19" s="163" t="n">
        <v>14740</v>
      </c>
      <c r="AD19" s="163" t="n">
        <v>16940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TBKK19</t>
        </is>
      </c>
      <c r="AN19" s="96" t="inlineStr">
        <is>
          <t>Kanokporn</t>
        </is>
      </c>
      <c r="AO19" s="96" t="inlineStr">
        <is>
          <t>MELAMINE MOULDING COMPOUND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>Pickup : 2026-10-12, Return : 2026-10-16</t>
        </is>
      </c>
      <c r="BA19" s="97" t="inlineStr">
        <is>
          <t>REQUEST SURRENDER BL</t>
        </is>
      </c>
      <c r="BB19" s="96" t="inlineStr">
        <is>
          <t>P</t>
        </is>
      </c>
      <c r="BC19" s="161" t="inlineStr">
        <is>
          <t>2026-10-05</t>
        </is>
      </c>
      <c r="BD19" s="161" t="inlineStr">
        <is>
          <t>2026-10-21</t>
        </is>
      </c>
      <c r="BE19" s="96" t="inlineStr">
        <is>
          <t>Y</t>
        </is>
      </c>
      <c r="BF19" s="96" t="inlineStr">
        <is>
          <t>MELAMINE MOULDING COMPOUND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LCH27</t>
        </is>
      </c>
      <c r="BL19" s="161" t="inlineStr">
        <is>
          <t>2026-10-12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thanetpp@scg.com;jiratchp@scg.com</t>
        </is>
      </c>
      <c r="CJ19" s="96" t="inlineStr">
        <is>
          <t>THAI MFC CO.,LTD.</t>
        </is>
      </c>
      <c r="CK19" s="96" t="inlineStr">
        <is>
          <t>EADER MELAMINE CO. LTD.</t>
        </is>
      </c>
      <c r="CL19" s="96" t="inlineStr">
        <is>
          <t>EADER MELAMINE CO. LTD.</t>
        </is>
      </c>
      <c r="CM19" s="97" t="n"/>
      <c r="CN19" s="96" t="inlineStr">
        <is>
          <t>202610201700</t>
        </is>
      </c>
      <c r="CO19" s="96" t="inlineStr">
        <is>
          <t>202610211600</t>
        </is>
      </c>
      <c r="CP19" s="97" t="n"/>
      <c r="CQ19" s="96" t="inlineStr">
        <is>
          <t>BKK14A0342-1</t>
        </is>
      </c>
      <c r="CR19" s="96" t="inlineStr">
        <is>
          <t>TH03KL</t>
        </is>
      </c>
      <c r="CS19" s="96" t="inlineStr">
        <is>
          <t>THAI MFC CO., LTD.</t>
        </is>
      </c>
      <c r="CT19" s="96" t="inlineStr">
        <is>
          <t>N</t>
        </is>
      </c>
      <c r="CU19" s="97" t="n"/>
      <c r="CV19" s="97" t="n"/>
      <c r="CW19" s="161" t="inlineStr">
        <is>
          <t>2026-10-20</t>
        </is>
      </c>
      <c r="CX19" s="97" t="n"/>
      <c r="CY19" s="183" t="n"/>
    </row>
    <row r="20" ht="12" customHeight="1">
      <c r="A20" s="116" t="inlineStr">
        <is>
          <t>HASLS22261000469</t>
        </is>
      </c>
      <c r="B20" s="96" t="inlineStr">
        <is>
          <t>R40Hx1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KST</t>
        </is>
      </c>
      <c r="M20" s="96" t="inlineStr">
        <is>
          <t>SWAL</t>
        </is>
      </c>
      <c r="N20" s="96" t="inlineStr">
        <is>
          <t>2609N</t>
        </is>
      </c>
      <c r="O20" s="96" t="inlineStr">
        <is>
          <t>THLCH</t>
        </is>
      </c>
      <c r="P20" s="96" t="inlineStr">
        <is>
          <t>LCH01</t>
        </is>
      </c>
      <c r="Q20" s="96" t="inlineStr">
        <is>
          <t>IA</t>
        </is>
      </c>
      <c r="R20" s="161" t="inlineStr">
        <is>
          <t>2026-10-23</t>
        </is>
      </c>
      <c r="S20" s="96" t="inlineStr">
        <is>
          <t>KRPUS</t>
        </is>
      </c>
      <c r="T20" s="96" t="inlineStr">
        <is>
          <t>PUS05</t>
        </is>
      </c>
      <c r="U20" s="96" t="inlineStr">
        <is>
          <t>KRPUS</t>
        </is>
      </c>
      <c r="V20" s="161" t="inlineStr">
        <is>
          <t>2026-11-01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META GLOBAL MARITIME (THAILAND) CO., LTD.</t>
        </is>
      </c>
      <c r="AB20" s="96" t="inlineStr">
        <is>
          <t>LAEMTHONG POULTRY CO., LTD.</t>
        </is>
      </c>
      <c r="AC20" s="163" t="n">
        <v>24640</v>
      </c>
      <c r="AD20" s="163" t="n">
        <v>28640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TH0042</t>
        </is>
      </c>
      <c r="AN20" s="96" t="inlineStr">
        <is>
          <t>Sukunpoj Damrongying</t>
        </is>
      </c>
      <c r="AO20" s="96" t="inlineStr">
        <is>
          <t>FROZEN CHICKEN</t>
        </is>
      </c>
      <c r="AP20" s="96" t="inlineStr">
        <is>
          <t>Normal</t>
        </is>
      </c>
      <c r="AQ20" s="97" t="n"/>
      <c r="AR20" s="97" t="n"/>
      <c r="AS20" s="97" t="inlineStr">
        <is>
          <t>RF// MIN:-18.0 MAX:-18.0 [COVER:CLOSE]</t>
        </is>
      </c>
      <c r="AT20" s="97" t="inlineStr">
        <is>
          <t xml:space="preserve">45REx1 </t>
        </is>
      </c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Pickup : 2026-10-14, Return : 2026-10-16  (Temp -18.0℃ / Vent Close)
CLS TIME DD.19/10/2026 @ 12.00Hrs. *1ST RETURN CNTR DD.18/10/2026 WIHTOUT CHARGE*</t>
        </is>
      </c>
      <c r="BA20" s="97" t="inlineStr">
        <is>
          <t>CY - BKK :  14/10/2026RTN - LCH : 16/10/2026</t>
        </is>
      </c>
      <c r="BB20" s="96" t="inlineStr">
        <is>
          <t>P</t>
        </is>
      </c>
      <c r="BC20" s="161" t="inlineStr">
        <is>
          <t>2026-10-07</t>
        </is>
      </c>
      <c r="BD20" s="161" t="inlineStr">
        <is>
          <t>2026-10-15</t>
        </is>
      </c>
      <c r="BE20" s="96" t="inlineStr">
        <is>
          <t>Y</t>
        </is>
      </c>
      <c r="BF20" s="96" t="inlineStr">
        <is>
          <t>FROZEN CHICKEN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2026-10-14</t>
        </is>
      </c>
      <c r="BM20" s="127" t="n"/>
      <c r="BN20" s="127" t="n"/>
      <c r="BO20" s="127" t="n"/>
      <c r="BP20" s="127" t="n"/>
      <c r="BQ20" s="127" t="n"/>
      <c r="BR20" s="127" t="n">
        <v>1</v>
      </c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Center@gbmt.co.th</t>
        </is>
      </c>
      <c r="CJ20" s="96" t="inlineStr">
        <is>
          <t>LAEMTHONG POULTRY CO., LTD.</t>
        </is>
      </c>
      <c r="CK20" s="96" t="inlineStr">
        <is>
          <t>TO THE ORDER OF</t>
        </is>
      </c>
      <c r="CL20" s="96" t="inlineStr">
        <is>
          <t>DONG IL COLD STORAGE CO.,LTD.</t>
        </is>
      </c>
      <c r="CM20" s="97" t="n"/>
      <c r="CN20" s="96" t="inlineStr">
        <is>
          <t>202610201700</t>
        </is>
      </c>
      <c r="CO20" s="96" t="inlineStr">
        <is>
          <t>202610211600</t>
        </is>
      </c>
      <c r="CP20" s="97" t="inlineStr">
        <is>
          <t>45RE x1: RF(Temp:-18.0' / Cover:CLOSE)</t>
        </is>
      </c>
      <c r="CQ20" s="96" t="inlineStr">
        <is>
          <t>S22-2609002</t>
        </is>
      </c>
      <c r="CR20" s="96" t="inlineStr">
        <is>
          <t>THTX73</t>
        </is>
      </c>
      <c r="CS20" s="96" t="inlineStr">
        <is>
          <t>META GLOBAL MARITIME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2026-10-20</t>
        </is>
      </c>
      <c r="CX20" s="97" t="n"/>
      <c r="CY20" s="183" t="n"/>
    </row>
    <row r="21" ht="12" customHeight="1">
      <c r="A21" s="116" t="inlineStr">
        <is>
          <t>HASLS22261000471</t>
        </is>
      </c>
      <c r="B21" s="96" t="inlineStr">
        <is>
          <t>40Hx1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0</v>
      </c>
      <c r="H21" s="97" t="n">
        <v>0</v>
      </c>
      <c r="I21" s="97" t="n">
        <v>1</v>
      </c>
      <c r="J21" s="97" t="n">
        <v>2</v>
      </c>
      <c r="K21" s="96" t="inlineStr">
        <is>
          <t>N</t>
        </is>
      </c>
      <c r="L21" s="96" t="inlineStr">
        <is>
          <t>KST</t>
        </is>
      </c>
      <c r="M21" s="96" t="inlineStr">
        <is>
          <t>SWAL</t>
        </is>
      </c>
      <c r="N21" s="96" t="inlineStr">
        <is>
          <t>2609N</t>
        </is>
      </c>
      <c r="O21" s="96" t="inlineStr">
        <is>
          <t>THLCH</t>
        </is>
      </c>
      <c r="P21" s="96" t="inlineStr">
        <is>
          <t>LCH01</t>
        </is>
      </c>
      <c r="Q21" s="96" t="inlineStr">
        <is>
          <t>IA</t>
        </is>
      </c>
      <c r="R21" s="161" t="inlineStr">
        <is>
          <t>2026-10-23</t>
        </is>
      </c>
      <c r="S21" s="96" t="inlineStr">
        <is>
          <t>KRINC</t>
        </is>
      </c>
      <c r="T21" s="96" t="inlineStr">
        <is>
          <t>INC07</t>
        </is>
      </c>
      <c r="U21" s="96" t="inlineStr">
        <is>
          <t>KRINC</t>
        </is>
      </c>
      <c r="V21" s="161" t="inlineStr">
        <is>
          <t>2026-10-30</t>
        </is>
      </c>
      <c r="W21" s="96" t="inlineStr">
        <is>
          <t>KR</t>
        </is>
      </c>
      <c r="X21" s="97" t="n"/>
      <c r="Y21" s="97" t="n"/>
      <c r="Z21" s="97" t="n"/>
      <c r="AA21" s="96" t="inlineStr">
        <is>
          <t>LX PANTOS (THAILAND) CO., LTD.</t>
        </is>
      </c>
      <c r="AB21" s="96" t="inlineStr">
        <is>
          <t>ROFU (THAILAND) LTD.</t>
        </is>
      </c>
      <c r="AC21" s="163" t="n">
        <v>6379.86</v>
      </c>
      <c r="AD21" s="163" t="n">
        <v>10379.86</v>
      </c>
      <c r="AE21" s="96" t="inlineStr">
        <is>
          <t>OK</t>
        </is>
      </c>
      <c r="AF21" s="96" t="n"/>
      <c r="AG21" s="97" t="n"/>
      <c r="AH21" s="96" t="inlineStr">
        <is>
          <t>CON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H2602</t>
        </is>
      </c>
      <c r="AN21" s="96" t="inlineStr">
        <is>
          <t>Kim jaewon</t>
        </is>
      </c>
      <c r="AO21" s="96" t="inlineStr">
        <is>
          <t>SHOES : KEEN BRAND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 xml:space="preserve">Pickup : 2026-10-15, Return : 2026-10-16 
 ** PLEASE CHECK OPEN GATE BEFORE RETURN CNTR **
</t>
        </is>
      </c>
      <c r="BA21" s="97" t="inlineStr">
        <is>
          <t>SI DD.19/10/26</t>
        </is>
      </c>
      <c r="BB21" s="96" t="inlineStr">
        <is>
          <t>C</t>
        </is>
      </c>
      <c r="BC21" s="161" t="inlineStr">
        <is>
          <t>2026-10-06</t>
        </is>
      </c>
      <c r="BD21" s="161" t="inlineStr">
        <is>
          <t>2026-10-21</t>
        </is>
      </c>
      <c r="BE21" s="96" t="inlineStr">
        <is>
          <t>Y</t>
        </is>
      </c>
      <c r="BF21" s="96" t="inlineStr">
        <is>
          <t>SHOES KEEN BRAND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2026-10-15</t>
        </is>
      </c>
      <c r="BM21" s="127" t="n"/>
      <c r="BN21" s="127" t="n"/>
      <c r="BO21" s="127" t="n"/>
      <c r="BP21" s="127" t="n">
        <v>1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th.seaopenex@lxpantos.com</t>
        </is>
      </c>
      <c r="CJ21" s="96" t="inlineStr">
        <is>
          <t>LX PANTOS (THAILAND) CO., LTD.</t>
        </is>
      </c>
      <c r="CK21" s="96" t="inlineStr">
        <is>
          <t>LX PANTOS CO., LTD.</t>
        </is>
      </c>
      <c r="CL21" s="96" t="inlineStr">
        <is>
          <t>LX PANTOS CO., LTD.</t>
        </is>
      </c>
      <c r="CM21" s="97" t="n"/>
      <c r="CN21" s="96" t="inlineStr">
        <is>
          <t>202610201700</t>
        </is>
      </c>
      <c r="CO21" s="96" t="inlineStr">
        <is>
          <t>202610211600</t>
        </is>
      </c>
      <c r="CP21" s="97" t="n"/>
      <c r="CQ21" s="96" t="inlineStr">
        <is>
          <t>K01-2112121</t>
        </is>
      </c>
      <c r="CR21" s="96" t="inlineStr">
        <is>
          <t>THTRJ5</t>
        </is>
      </c>
      <c r="CS21" s="96" t="inlineStr">
        <is>
          <t>LX PANTOS (THAILAND) CO., LTD.</t>
        </is>
      </c>
      <c r="CT21" s="96" t="inlineStr">
        <is>
          <t>N</t>
        </is>
      </c>
      <c r="CU21" s="97" t="n"/>
      <c r="CV21" s="97" t="n"/>
      <c r="CW21" s="161" t="inlineStr">
        <is>
          <t>2026-10-20</t>
        </is>
      </c>
      <c r="CX21" s="97" t="n"/>
      <c r="CY21" s="183" t="n"/>
    </row>
    <row r="22" ht="12" customHeight="1">
      <c r="A22" s="116" t="inlineStr">
        <is>
          <t>HASLS22261000863</t>
        </is>
      </c>
      <c r="B22" s="96" t="inlineStr">
        <is>
          <t>R40Hx1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KST</t>
        </is>
      </c>
      <c r="M22" s="96" t="inlineStr">
        <is>
          <t>SWAL</t>
        </is>
      </c>
      <c r="N22" s="96" t="inlineStr">
        <is>
          <t>2609N</t>
        </is>
      </c>
      <c r="O22" s="96" t="inlineStr">
        <is>
          <t>THLCH</t>
        </is>
      </c>
      <c r="P22" s="96" t="inlineStr">
        <is>
          <t>LCH01</t>
        </is>
      </c>
      <c r="Q22" s="96" t="inlineStr">
        <is>
          <t>IA</t>
        </is>
      </c>
      <c r="R22" s="161" t="inlineStr">
        <is>
          <t>2026-10-23</t>
        </is>
      </c>
      <c r="S22" s="96" t="inlineStr">
        <is>
          <t>VNSGN</t>
        </is>
      </c>
      <c r="T22" s="96" t="inlineStr">
        <is>
          <t>SGN03</t>
        </is>
      </c>
      <c r="U22" s="96" t="inlineStr">
        <is>
          <t>VNSGN</t>
        </is>
      </c>
      <c r="V22" s="161" t="inlineStr">
        <is>
          <t>2026-10-24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GOLDEN SEA FROZEN FOODS CO.,LTD</t>
        </is>
      </c>
      <c r="AB22" s="96" t="inlineStr">
        <is>
          <t>GOLDEN SEA FROZEN FOODS CO.,LTD</t>
        </is>
      </c>
      <c r="AC22" s="163" t="n">
        <v>22760</v>
      </c>
      <c r="AD22" s="163" t="n">
        <v>26760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FROZEN COBIA FISH , FROZEN RABBIT FISH</t>
        </is>
      </c>
      <c r="AP22" s="96" t="inlineStr">
        <is>
          <t>Normal</t>
        </is>
      </c>
      <c r="AQ22" s="97" t="n"/>
      <c r="AR22" s="97" t="n"/>
      <c r="AS22" s="97" t="inlineStr">
        <is>
          <t>RF// MIN:-18.0 MAX:-18.0 [COVER:CLOSE]</t>
        </is>
      </c>
      <c r="AT22" s="97" t="inlineStr">
        <is>
          <t xml:space="preserve">45REx1 </t>
        </is>
      </c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 xml:space="preserve">Pickup : 2026-10-14, Return : 2026-10-18 (Temp -18.0 / Vent Close) 
CLS TIME 19/10/26 @18.00 </t>
        </is>
      </c>
      <c r="BA22" s="97" t="inlineStr">
        <is>
          <t>SI DD.21/10/26</t>
        </is>
      </c>
      <c r="BB22" s="96" t="inlineStr">
        <is>
          <t>P</t>
        </is>
      </c>
      <c r="BC22" s="161" t="inlineStr">
        <is>
          <t>2026-10-12</t>
        </is>
      </c>
      <c r="BD22" s="161" t="inlineStr">
        <is>
          <t>2026-10-21</t>
        </is>
      </c>
      <c r="BE22" s="96" t="inlineStr">
        <is>
          <t>Y</t>
        </is>
      </c>
      <c r="BF22" s="96" t="inlineStr">
        <is>
          <t>FROZEN FISH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LCH27</t>
        </is>
      </c>
      <c r="BL22" s="161" t="inlineStr">
        <is>
          <t>2026-10-14</t>
        </is>
      </c>
      <c r="BM22" s="127" t="n"/>
      <c r="BN22" s="127" t="n"/>
      <c r="BO22" s="127" t="n"/>
      <c r="BP22" s="127" t="n"/>
      <c r="BQ22" s="127" t="n"/>
      <c r="BR22" s="127" t="n">
        <v>1</v>
      </c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gsf.goldensea@gmail.com</t>
        </is>
      </c>
      <c r="CJ22" s="96" t="inlineStr">
        <is>
          <t>GOLDEN SEA FROZEN FOODS CO.,LTD.</t>
        </is>
      </c>
      <c r="CK22" s="96" t="inlineStr">
        <is>
          <t>HAI ANH IMPORT EXPORT BUSINESS</t>
        </is>
      </c>
      <c r="CL22" s="96" t="inlineStr">
        <is>
          <t>HAI ANH IMPORT EXPORT BUSINESS</t>
        </is>
      </c>
      <c r="CM22" s="97" t="inlineStr">
        <is>
          <t>CLOSED</t>
        </is>
      </c>
      <c r="CN22" s="96" t="inlineStr">
        <is>
          <t>202610201700</t>
        </is>
      </c>
      <c r="CO22" s="96" t="inlineStr">
        <is>
          <t>202610211600</t>
        </is>
      </c>
      <c r="CP22" s="97" t="inlineStr">
        <is>
          <t>45RE x1: RF(Temp:-18.0' / Cover:CLOSE)</t>
        </is>
      </c>
      <c r="CQ22" s="96" t="inlineStr">
        <is>
          <t>S22-2507029</t>
        </is>
      </c>
      <c r="CR22" s="96" t="inlineStr">
        <is>
          <t>THTXYN</t>
        </is>
      </c>
      <c r="CS22" s="96" t="inlineStr">
        <is>
          <t>GOLDEN SEA FROZEN FOODS CO.,LTD</t>
        </is>
      </c>
      <c r="CT22" s="96" t="inlineStr">
        <is>
          <t>N</t>
        </is>
      </c>
      <c r="CU22" s="97" t="n"/>
      <c r="CV22" s="97" t="n"/>
      <c r="CW22" s="161" t="inlineStr">
        <is>
          <t>2026-10-20</t>
        </is>
      </c>
      <c r="CX22" s="97" t="inlineStr">
        <is>
          <t>030389</t>
        </is>
      </c>
      <c r="CY22" s="183" t="n"/>
    </row>
    <row r="23" ht="12" customHeight="1">
      <c r="A23" s="116" t="inlineStr">
        <is>
          <t>HASLS22261001238</t>
        </is>
      </c>
      <c r="B23" s="96" t="inlineStr">
        <is>
          <t>20'x1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1</v>
      </c>
      <c r="H23" s="97" t="n">
        <v>0</v>
      </c>
      <c r="I23" s="97" t="n">
        <v>0</v>
      </c>
      <c r="J23" s="97" t="n">
        <v>1</v>
      </c>
      <c r="K23" s="96" t="inlineStr">
        <is>
          <t>N</t>
        </is>
      </c>
      <c r="L23" s="96" t="inlineStr">
        <is>
          <t>KST</t>
        </is>
      </c>
      <c r="M23" s="96" t="inlineStr">
        <is>
          <t>SWAL</t>
        </is>
      </c>
      <c r="N23" s="96" t="inlineStr">
        <is>
          <t>2609N</t>
        </is>
      </c>
      <c r="O23" s="96" t="inlineStr">
        <is>
          <t>THLCH</t>
        </is>
      </c>
      <c r="P23" s="96" t="inlineStr">
        <is>
          <t>LCH01</t>
        </is>
      </c>
      <c r="Q23" s="96" t="inlineStr">
        <is>
          <t>IA</t>
        </is>
      </c>
      <c r="R23" s="161" t="inlineStr">
        <is>
          <t>2026-10-23</t>
        </is>
      </c>
      <c r="S23" s="96" t="inlineStr">
        <is>
          <t>KRINC</t>
        </is>
      </c>
      <c r="T23" s="96" t="inlineStr">
        <is>
          <t>INC07</t>
        </is>
      </c>
      <c r="U23" s="96" t="inlineStr">
        <is>
          <t>KRINC</t>
        </is>
      </c>
      <c r="V23" s="161" t="inlineStr">
        <is>
          <t>2026-10-30</t>
        </is>
      </c>
      <c r="W23" s="96" t="inlineStr">
        <is>
          <t>KR</t>
        </is>
      </c>
      <c r="X23" s="97" t="n"/>
      <c r="Y23" s="97" t="n"/>
      <c r="Z23" s="97" t="n"/>
      <c r="AA23" s="96" t="inlineStr">
        <is>
          <t>HTNS (THAILAND) CO.,LTD.</t>
        </is>
      </c>
      <c r="AB23" s="96" t="inlineStr">
        <is>
          <t>THAI MAIN TECH CO., LTD.</t>
        </is>
      </c>
      <c r="AC23" s="163" t="n">
        <v>1155</v>
      </c>
      <c r="AD23" s="163" t="n">
        <v>3355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CON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TBKK97</t>
        </is>
      </c>
      <c r="AN23" s="96" t="inlineStr">
        <is>
          <t>Arunphat W. (Aiw)</t>
        </is>
      </c>
      <c r="AO23" s="96" t="inlineStr">
        <is>
          <t>SILICONE RING FOR CHOPSTICKS (SILICONE TUBE FOR BREAST PUMP)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Pickup : 2026-10-20, Return : 2026-10-20 // EXTEND CLS TIME 21/10 @16.00 
 ** PLEASE CHECK OPEN GATE BEFORE RETURN CNTR **
</t>
        </is>
      </c>
      <c r="BA23" s="97" t="inlineStr">
        <is>
          <t xml:space="preserve">P'TARN CFM 19/10Requested extend closing time till 03.00am / Oct 21  </t>
        </is>
      </c>
      <c r="BB23" s="96" t="inlineStr">
        <is>
          <t>P</t>
        </is>
      </c>
      <c r="BC23" s="161" t="inlineStr">
        <is>
          <t>2026-10-16</t>
        </is>
      </c>
      <c r="BD23" s="161" t="inlineStr">
        <is>
          <t>2026-10-21</t>
        </is>
      </c>
      <c r="BE23" s="96" t="inlineStr">
        <is>
          <t>Y</t>
        </is>
      </c>
      <c r="BF23" s="96" t="inlineStr">
        <is>
          <t>SILICONE RING FOR CHOPSTICKS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2026-10-20</t>
        </is>
      </c>
      <c r="BM23" s="127" t="n"/>
      <c r="BN23" s="127" t="n">
        <v>1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LCH01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sea.bkk@htns.com</t>
        </is>
      </c>
      <c r="CJ23" s="96" t="inlineStr">
        <is>
          <t>HTNS (THAILAND) CO.,LTD.</t>
        </is>
      </c>
      <c r="CK23" s="96" t="inlineStr">
        <is>
          <t>HANARO TNS CO., LTD.</t>
        </is>
      </c>
      <c r="CL23" s="96" t="inlineStr">
        <is>
          <t>HANARO TNS CO., LTD.</t>
        </is>
      </c>
      <c r="CM23" s="97" t="n"/>
      <c r="CN23" s="96" t="inlineStr">
        <is>
          <t>202610201700</t>
        </is>
      </c>
      <c r="CO23" s="96" t="inlineStr">
        <is>
          <t>202610211600</t>
        </is>
      </c>
      <c r="CP23" s="97" t="n"/>
      <c r="CQ23" s="96" t="inlineStr">
        <is>
          <t>S22-2310017</t>
        </is>
      </c>
      <c r="CR23" s="96" t="inlineStr">
        <is>
          <t>THTIOX</t>
        </is>
      </c>
      <c r="CS23" s="96" t="inlineStr">
        <is>
          <t>HTNS (THAILAND) CO.,LTD.</t>
        </is>
      </c>
      <c r="CT23" s="96" t="inlineStr">
        <is>
          <t>N</t>
        </is>
      </c>
      <c r="CU23" s="97" t="n"/>
      <c r="CV23" s="97" t="n"/>
      <c r="CW23" s="161" t="inlineStr">
        <is>
          <t>2026-10-23</t>
        </is>
      </c>
      <c r="CX23" s="97" t="n"/>
      <c r="CY23" s="183" t="n"/>
    </row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CXDU2376549</t>
        </is>
      </c>
      <c r="B2" s="108" t="inlineStr">
        <is>
          <t>LCH01</t>
        </is>
      </c>
      <c r="C2" s="108" t="inlineStr">
        <is>
          <t>IFV</t>
        </is>
      </c>
      <c r="D2" s="172" t="inlineStr">
        <is>
          <t>2026-10-17</t>
        </is>
      </c>
      <c r="E2" s="173" t="inlineStr">
        <is>
          <t>2303</t>
        </is>
      </c>
      <c r="F2" s="96" t="inlineStr">
        <is>
          <t>HASLS22261000120</t>
        </is>
      </c>
      <c r="G2" s="96" t="inlineStr">
        <is>
          <t>MAXTOP LOGISTICS (THAILAND) CO., LTD.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HASLS22261000120</t>
        </is>
      </c>
      <c r="N2" s="96" t="inlineStr">
        <is>
          <t xml:space="preserve">20'x7 </t>
        </is>
      </c>
      <c r="O2" s="111" t="inlineStr">
        <is>
          <t>2015</t>
        </is>
      </c>
      <c r="P2" s="111" t="n"/>
      <c r="Q2" s="111" t="n"/>
      <c r="R2" s="96" t="inlineStr">
        <is>
          <t>SWAL</t>
        </is>
      </c>
      <c r="S2" s="96" t="inlineStr">
        <is>
          <t>2609N</t>
        </is>
      </c>
      <c r="T2" s="96" t="inlineStr">
        <is>
          <t>LCH01</t>
        </is>
      </c>
      <c r="U2" s="96" t="inlineStr">
        <is>
          <t>THLCH</t>
        </is>
      </c>
      <c r="V2" s="161" t="inlineStr">
        <is>
          <t>2026-10-23</t>
        </is>
      </c>
      <c r="W2" s="96" t="inlineStr">
        <is>
          <t>KRINC</t>
        </is>
      </c>
      <c r="X2" s="161" t="inlineStr">
        <is>
          <t>2026-10-30</t>
        </is>
      </c>
      <c r="Y2" s="97" t="n"/>
      <c r="Z2" s="97" t="n"/>
      <c r="AA2" s="97" t="n"/>
      <c r="AB2" s="97" t="n"/>
      <c r="AC2" s="97" t="n"/>
      <c r="AD2" s="161" t="inlineStr">
        <is>
          <t>2026-10-18</t>
        </is>
      </c>
      <c r="AE2" s="174" t="inlineStr">
        <is>
          <t>0210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SEBANG EXPRESS CO., LTD</t>
        </is>
      </c>
      <c r="AK2" s="130" t="n"/>
    </row>
    <row r="3" ht="12" customHeight="1">
      <c r="A3" s="108" t="inlineStr">
        <is>
          <t>HALU2025185</t>
        </is>
      </c>
      <c r="B3" s="108" t="inlineStr">
        <is>
          <t>LCH01</t>
        </is>
      </c>
      <c r="C3" s="108" t="inlineStr">
        <is>
          <t>IFV</t>
        </is>
      </c>
      <c r="D3" s="172" t="inlineStr">
        <is>
          <t>2026-10-17</t>
        </is>
      </c>
      <c r="E3" s="173" t="inlineStr">
        <is>
          <t>1208</t>
        </is>
      </c>
      <c r="F3" s="96" t="inlineStr">
        <is>
          <t>HASLS22260800955</t>
        </is>
      </c>
      <c r="G3" s="96" t="inlineStr">
        <is>
          <t>WHA GC LOGISTICS COMPANY LIMITED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HASLS22260800955</t>
        </is>
      </c>
      <c r="N3" s="96" t="inlineStr">
        <is>
          <t xml:space="preserve">20'x6 </t>
        </is>
      </c>
      <c r="O3" s="111" t="inlineStr">
        <is>
          <t>2013</t>
        </is>
      </c>
      <c r="P3" s="111" t="n"/>
      <c r="Q3" s="111" t="n"/>
      <c r="R3" s="96" t="inlineStr">
        <is>
          <t>SWAL</t>
        </is>
      </c>
      <c r="S3" s="96" t="inlineStr">
        <is>
          <t>2609N</t>
        </is>
      </c>
      <c r="T3" s="96" t="inlineStr">
        <is>
          <t>LCH01</t>
        </is>
      </c>
      <c r="U3" s="96" t="inlineStr">
        <is>
          <t>THLCH</t>
        </is>
      </c>
      <c r="V3" s="161" t="inlineStr">
        <is>
          <t>2026-10-23</t>
        </is>
      </c>
      <c r="W3" s="96" t="inlineStr">
        <is>
          <t>VNSGN</t>
        </is>
      </c>
      <c r="X3" s="161" t="inlineStr">
        <is>
          <t>2026-10-24</t>
        </is>
      </c>
      <c r="Y3" s="97" t="n"/>
      <c r="Z3" s="97" t="n"/>
      <c r="AA3" s="97" t="n"/>
      <c r="AB3" s="97" t="n"/>
      <c r="AC3" s="97" t="n"/>
      <c r="AD3" s="161" t="inlineStr">
        <is>
          <t>2026-10-17</t>
        </is>
      </c>
      <c r="AE3" s="174" t="inlineStr">
        <is>
          <t>1510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TO THE ORDER OF JOINT STOCK</t>
        </is>
      </c>
      <c r="AK3" s="130" t="n"/>
    </row>
    <row r="4" ht="12" customHeight="1">
      <c r="A4" s="108" t="inlineStr">
        <is>
          <t>HALU2084043</t>
        </is>
      </c>
      <c r="B4" s="108" t="inlineStr">
        <is>
          <t>LCH01</t>
        </is>
      </c>
      <c r="C4" s="108" t="inlineStr">
        <is>
          <t>IFV</t>
        </is>
      </c>
      <c r="D4" s="172" t="inlineStr">
        <is>
          <t>2026-10-19</t>
        </is>
      </c>
      <c r="E4" s="173" t="inlineStr">
        <is>
          <t>1754</t>
        </is>
      </c>
      <c r="F4" s="96" t="inlineStr">
        <is>
          <t>HASLS22261000005</t>
        </is>
      </c>
      <c r="G4" s="96" t="inlineStr">
        <is>
          <t>SCGJWD LOGISTICS PUBLIC COMPANY LIMITED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HASLS22261000005</t>
        </is>
      </c>
      <c r="N4" s="96" t="inlineStr">
        <is>
          <t xml:space="preserve">20'x2 </t>
        </is>
      </c>
      <c r="O4" s="111" t="inlineStr">
        <is>
          <t>2015</t>
        </is>
      </c>
      <c r="P4" s="111" t="n"/>
      <c r="Q4" s="111" t="n"/>
      <c r="R4" s="96" t="inlineStr">
        <is>
          <t>SWAL</t>
        </is>
      </c>
      <c r="S4" s="96" t="inlineStr">
        <is>
          <t>2609N</t>
        </is>
      </c>
      <c r="T4" s="96" t="inlineStr">
        <is>
          <t>LCH01</t>
        </is>
      </c>
      <c r="U4" s="96" t="inlineStr">
        <is>
          <t>THLCH</t>
        </is>
      </c>
      <c r="V4" s="161" t="inlineStr">
        <is>
          <t>2026-10-23</t>
        </is>
      </c>
      <c r="W4" s="96" t="inlineStr">
        <is>
          <t>JPNAH</t>
        </is>
      </c>
      <c r="X4" s="161" t="inlineStr">
        <is>
          <t>2026-11-01</t>
        </is>
      </c>
      <c r="Y4" s="97" t="n"/>
      <c r="Z4" s="97" t="n"/>
      <c r="AA4" s="97" t="n"/>
      <c r="AB4" s="97" t="n"/>
      <c r="AC4" s="97" t="n"/>
      <c r="AD4" s="161" t="inlineStr">
        <is>
          <t>2026-10-19</t>
        </is>
      </c>
      <c r="AE4" s="174" t="inlineStr">
        <is>
          <t>2110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TO ORDER OF MIZUHO BANK LTD., JAPAN</t>
        </is>
      </c>
      <c r="AK4" s="130" t="n"/>
    </row>
    <row r="5" ht="12" customHeight="1">
      <c r="A5" s="108" t="inlineStr">
        <is>
          <t>HALU2086920</t>
        </is>
      </c>
      <c r="B5" s="108" t="inlineStr">
        <is>
          <t>LCH01</t>
        </is>
      </c>
      <c r="C5" s="108" t="inlineStr">
        <is>
          <t>IFV</t>
        </is>
      </c>
      <c r="D5" s="172" t="inlineStr">
        <is>
          <t>2026-10-17</t>
        </is>
      </c>
      <c r="E5" s="173" t="inlineStr">
        <is>
          <t>1050</t>
        </is>
      </c>
      <c r="F5" s="96" t="inlineStr">
        <is>
          <t>HASLS22260901975</t>
        </is>
      </c>
      <c r="G5" s="96" t="inlineStr">
        <is>
          <t>EVERGREEN LOGISTICS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HASLS22260901975</t>
        </is>
      </c>
      <c r="N5" s="96" t="inlineStr">
        <is>
          <t xml:space="preserve">20'x12 </t>
        </is>
      </c>
      <c r="O5" s="111" t="inlineStr">
        <is>
          <t>2015</t>
        </is>
      </c>
      <c r="P5" s="111" t="n"/>
      <c r="Q5" s="111" t="n"/>
      <c r="R5" s="96" t="inlineStr">
        <is>
          <t>SWAL</t>
        </is>
      </c>
      <c r="S5" s="96" t="inlineStr">
        <is>
          <t>2609N</t>
        </is>
      </c>
      <c r="T5" s="96" t="inlineStr">
        <is>
          <t>LCH01</t>
        </is>
      </c>
      <c r="U5" s="96" t="inlineStr">
        <is>
          <t>THLCH</t>
        </is>
      </c>
      <c r="V5" s="161" t="inlineStr">
        <is>
          <t>2026-10-23</t>
        </is>
      </c>
      <c r="W5" s="96" t="inlineStr">
        <is>
          <t>VNSGN</t>
        </is>
      </c>
      <c r="X5" s="161" t="inlineStr">
        <is>
          <t>2026-10-24</t>
        </is>
      </c>
      <c r="Y5" s="97" t="n"/>
      <c r="Z5" s="97" t="n"/>
      <c r="AA5" s="97" t="n"/>
      <c r="AB5" s="97" t="n"/>
      <c r="AC5" s="97" t="n"/>
      <c r="AD5" s="161" t="inlineStr">
        <is>
          <t>2026-10-17</t>
        </is>
      </c>
      <c r="AE5" s="174" t="inlineStr">
        <is>
          <t>1410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TCPVN COMPANY LIMITED</t>
        </is>
      </c>
      <c r="AK5" s="130" t="n"/>
    </row>
    <row r="6" ht="12" customHeight="1">
      <c r="A6" s="108" t="inlineStr">
        <is>
          <t>HALU2108470</t>
        </is>
      </c>
      <c r="B6" s="108" t="inlineStr">
        <is>
          <t>LCH01</t>
        </is>
      </c>
      <c r="C6" s="108" t="inlineStr">
        <is>
          <t>IFV</t>
        </is>
      </c>
      <c r="D6" s="172" t="inlineStr">
        <is>
          <t>2026-10-18</t>
        </is>
      </c>
      <c r="E6" s="173" t="inlineStr">
        <is>
          <t>0504</t>
        </is>
      </c>
      <c r="F6" s="96" t="inlineStr">
        <is>
          <t>HASLS22260902625</t>
        </is>
      </c>
      <c r="G6" s="96" t="inlineStr">
        <is>
          <t>DOW CHEMICAL THAILAND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HASLS22260902625</t>
        </is>
      </c>
      <c r="N6" s="96" t="inlineStr">
        <is>
          <t xml:space="preserve">20'x1 </t>
        </is>
      </c>
      <c r="O6" s="111" t="inlineStr">
        <is>
          <t>2021</t>
        </is>
      </c>
      <c r="P6" s="111" t="n"/>
      <c r="Q6" s="111" t="n"/>
      <c r="R6" s="96" t="inlineStr">
        <is>
          <t>SWAL</t>
        </is>
      </c>
      <c r="S6" s="96" t="inlineStr">
        <is>
          <t>2609N</t>
        </is>
      </c>
      <c r="T6" s="96" t="inlineStr">
        <is>
          <t>LCH01</t>
        </is>
      </c>
      <c r="U6" s="96" t="inlineStr">
        <is>
          <t>THLCH</t>
        </is>
      </c>
      <c r="V6" s="161" t="inlineStr">
        <is>
          <t>2026-10-23</t>
        </is>
      </c>
      <c r="W6" s="96" t="inlineStr">
        <is>
          <t>JPNGO</t>
        </is>
      </c>
      <c r="X6" s="161" t="inlineStr">
        <is>
          <t>2026-11-01</t>
        </is>
      </c>
      <c r="Y6" s="97" t="n"/>
      <c r="Z6" s="97" t="n"/>
      <c r="AA6" s="97" t="n"/>
      <c r="AB6" s="97" t="n"/>
      <c r="AC6" s="97" t="n"/>
      <c r="AD6" s="161" t="inlineStr">
        <is>
          <t>2026-10-18</t>
        </is>
      </c>
      <c r="AE6" s="174" t="inlineStr">
        <is>
          <t>0810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DOW CHEMICAL JAPAN LIMITED</t>
        </is>
      </c>
      <c r="AK6" s="130" t="n"/>
    </row>
    <row r="7" ht="12" customHeight="1">
      <c r="A7" s="108" t="inlineStr">
        <is>
          <t>HALU2309540</t>
        </is>
      </c>
      <c r="B7" s="108" t="inlineStr">
        <is>
          <t>LCH01</t>
        </is>
      </c>
      <c r="C7" s="108" t="inlineStr">
        <is>
          <t>IFV</t>
        </is>
      </c>
      <c r="D7" s="172" t="inlineStr">
        <is>
          <t>2026-10-17</t>
        </is>
      </c>
      <c r="E7" s="173" t="inlineStr">
        <is>
          <t>1026</t>
        </is>
      </c>
      <c r="F7" s="96" t="inlineStr">
        <is>
          <t>HASLS22260901820</t>
        </is>
      </c>
      <c r="G7" s="96" t="inlineStr">
        <is>
          <t>H &amp; FRIENDS GTL (THAILAND)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HASLS22260901820</t>
        </is>
      </c>
      <c r="N7" s="96" t="inlineStr">
        <is>
          <t xml:space="preserve">20'x1 </t>
        </is>
      </c>
      <c r="O7" s="111" t="inlineStr">
        <is>
          <t>2023</t>
        </is>
      </c>
      <c r="P7" s="111" t="n"/>
      <c r="Q7" s="111" t="n"/>
      <c r="R7" s="96" t="inlineStr">
        <is>
          <t>SWAL</t>
        </is>
      </c>
      <c r="S7" s="96" t="inlineStr">
        <is>
          <t>2609N</t>
        </is>
      </c>
      <c r="T7" s="96" t="inlineStr">
        <is>
          <t>LCH01</t>
        </is>
      </c>
      <c r="U7" s="96" t="inlineStr">
        <is>
          <t>THLCH</t>
        </is>
      </c>
      <c r="V7" s="161" t="inlineStr">
        <is>
          <t>2026-10-23</t>
        </is>
      </c>
      <c r="W7" s="96" t="inlineStr">
        <is>
          <t>KRINC</t>
        </is>
      </c>
      <c r="X7" s="161" t="inlineStr">
        <is>
          <t>2026-10-30</t>
        </is>
      </c>
      <c r="Y7" s="97" t="n"/>
      <c r="Z7" s="97" t="n"/>
      <c r="AA7" s="97" t="n"/>
      <c r="AB7" s="97" t="n"/>
      <c r="AC7" s="97" t="n"/>
      <c r="AD7" s="161" t="inlineStr">
        <is>
          <t>2026-10-17</t>
        </is>
      </c>
      <c r="AE7" s="174" t="inlineStr">
        <is>
          <t>1310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TRANSWORLD LOGISTICS INC.</t>
        </is>
      </c>
      <c r="AK7" s="130" t="n"/>
    </row>
    <row r="8" ht="12" customHeight="1">
      <c r="A8" s="108" t="inlineStr">
        <is>
          <t>HALU2310773</t>
        </is>
      </c>
      <c r="B8" s="108" t="inlineStr">
        <is>
          <t>LCH01</t>
        </is>
      </c>
      <c r="C8" s="108" t="inlineStr">
        <is>
          <t>IFV</t>
        </is>
      </c>
      <c r="D8" s="172" t="inlineStr">
        <is>
          <t>2026-10-17</t>
        </is>
      </c>
      <c r="E8" s="173" t="inlineStr">
        <is>
          <t>0955</t>
        </is>
      </c>
      <c r="F8" s="96" t="inlineStr">
        <is>
          <t>HASLS22260800955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HASLS22260800955</t>
        </is>
      </c>
      <c r="N8" s="96" t="inlineStr">
        <is>
          <t xml:space="preserve">20'x6 </t>
        </is>
      </c>
      <c r="O8" s="111" t="inlineStr">
        <is>
          <t>2023</t>
        </is>
      </c>
      <c r="P8" s="111" t="n"/>
      <c r="Q8" s="111" t="n"/>
      <c r="R8" s="96" t="inlineStr">
        <is>
          <t>SWAL</t>
        </is>
      </c>
      <c r="S8" s="96" t="inlineStr">
        <is>
          <t>2609N</t>
        </is>
      </c>
      <c r="T8" s="96" t="inlineStr">
        <is>
          <t>LCH01</t>
        </is>
      </c>
      <c r="U8" s="96" t="inlineStr">
        <is>
          <t>THLCH</t>
        </is>
      </c>
      <c r="V8" s="161" t="inlineStr">
        <is>
          <t>2026-10-23</t>
        </is>
      </c>
      <c r="W8" s="96" t="inlineStr">
        <is>
          <t>VNSGN</t>
        </is>
      </c>
      <c r="X8" s="161" t="inlineStr">
        <is>
          <t>2026-10-24</t>
        </is>
      </c>
      <c r="Y8" s="97" t="n"/>
      <c r="Z8" s="97" t="n"/>
      <c r="AA8" s="97" t="n"/>
      <c r="AB8" s="97" t="n"/>
      <c r="AC8" s="97" t="n"/>
      <c r="AD8" s="161" t="inlineStr">
        <is>
          <t>2026-10-17</t>
        </is>
      </c>
      <c r="AE8" s="174" t="inlineStr">
        <is>
          <t>1310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TO THE ORDER OF JOINT STOCK</t>
        </is>
      </c>
      <c r="AK8" s="130" t="n"/>
    </row>
    <row r="9" ht="12" customHeight="1">
      <c r="A9" s="108" t="inlineStr">
        <is>
          <t>HALU2329721</t>
        </is>
      </c>
      <c r="B9" s="108" t="inlineStr">
        <is>
          <t>LCH01</t>
        </is>
      </c>
      <c r="C9" s="108" t="inlineStr">
        <is>
          <t>IFV</t>
        </is>
      </c>
      <c r="D9" s="172" t="inlineStr">
        <is>
          <t>2026-10-17</t>
        </is>
      </c>
      <c r="E9" s="173" t="inlineStr">
        <is>
          <t>1454</t>
        </is>
      </c>
      <c r="F9" s="96" t="inlineStr">
        <is>
          <t>HASLS22261000120</t>
        </is>
      </c>
      <c r="G9" s="96" t="inlineStr">
        <is>
          <t>MAXTOP LOGISTICS (THAILAND)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HASLS22261000120</t>
        </is>
      </c>
      <c r="N9" s="96" t="inlineStr">
        <is>
          <t xml:space="preserve">20'x7 </t>
        </is>
      </c>
      <c r="O9" s="111" t="inlineStr">
        <is>
          <t>2023</t>
        </is>
      </c>
      <c r="P9" s="111" t="n"/>
      <c r="Q9" s="111" t="n"/>
      <c r="R9" s="96" t="inlineStr">
        <is>
          <t>SWAL</t>
        </is>
      </c>
      <c r="S9" s="96" t="inlineStr">
        <is>
          <t>2609N</t>
        </is>
      </c>
      <c r="T9" s="96" t="inlineStr">
        <is>
          <t>LCH01</t>
        </is>
      </c>
      <c r="U9" s="96" t="inlineStr">
        <is>
          <t>THLCH</t>
        </is>
      </c>
      <c r="V9" s="161" t="inlineStr">
        <is>
          <t>2026-10-23</t>
        </is>
      </c>
      <c r="W9" s="96" t="inlineStr">
        <is>
          <t>KRINC</t>
        </is>
      </c>
      <c r="X9" s="161" t="inlineStr">
        <is>
          <t>2026-10-30</t>
        </is>
      </c>
      <c r="Y9" s="97" t="n"/>
      <c r="Z9" s="97" t="n"/>
      <c r="AA9" s="97" t="n"/>
      <c r="AB9" s="97" t="n"/>
      <c r="AC9" s="97" t="n"/>
      <c r="AD9" s="161" t="inlineStr">
        <is>
          <t>2026-10-17</t>
        </is>
      </c>
      <c r="AE9" s="174" t="inlineStr">
        <is>
          <t>1810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SEBANG EXPRESS CO., LTD</t>
        </is>
      </c>
      <c r="AK9" s="130" t="n"/>
    </row>
    <row r="10" ht="12" customHeight="1">
      <c r="A10" s="108" t="inlineStr">
        <is>
          <t>HALU2364928</t>
        </is>
      </c>
      <c r="B10" s="108" t="inlineStr">
        <is>
          <t>LCH01</t>
        </is>
      </c>
      <c r="C10" s="108" t="inlineStr">
        <is>
          <t>IFV</t>
        </is>
      </c>
      <c r="D10" s="172" t="inlineStr">
        <is>
          <t>2026-10-18</t>
        </is>
      </c>
      <c r="E10" s="173" t="inlineStr">
        <is>
          <t>1023</t>
        </is>
      </c>
      <c r="F10" s="96" t="inlineStr">
        <is>
          <t>HASLS22260902633</t>
        </is>
      </c>
      <c r="G10" s="96" t="inlineStr">
        <is>
          <t>DOW CHEMICAL THAILAND LTD.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HASLS22260902633</t>
        </is>
      </c>
      <c r="N10" s="96" t="inlineStr">
        <is>
          <t xml:space="preserve">20'x1 </t>
        </is>
      </c>
      <c r="O10" s="111" t="inlineStr">
        <is>
          <t>2023</t>
        </is>
      </c>
      <c r="P10" s="111" t="n"/>
      <c r="Q10" s="111" t="n"/>
      <c r="R10" s="96" t="inlineStr">
        <is>
          <t>SWAL</t>
        </is>
      </c>
      <c r="S10" s="96" t="inlineStr">
        <is>
          <t>2609N</t>
        </is>
      </c>
      <c r="T10" s="96" t="inlineStr">
        <is>
          <t>LCH01</t>
        </is>
      </c>
      <c r="U10" s="96" t="inlineStr">
        <is>
          <t>THLCH</t>
        </is>
      </c>
      <c r="V10" s="161" t="inlineStr">
        <is>
          <t>2026-10-23</t>
        </is>
      </c>
      <c r="W10" s="96" t="inlineStr">
        <is>
          <t>JPYKK</t>
        </is>
      </c>
      <c r="X10" s="161" t="inlineStr">
        <is>
          <t>2026-11-01</t>
        </is>
      </c>
      <c r="Y10" s="97" t="n"/>
      <c r="Z10" s="97" t="n"/>
      <c r="AA10" s="97" t="n"/>
      <c r="AB10" s="97" t="n"/>
      <c r="AC10" s="97" t="n"/>
      <c r="AD10" s="161" t="inlineStr">
        <is>
          <t>2026-10-18</t>
        </is>
      </c>
      <c r="AE10" s="174" t="inlineStr">
        <is>
          <t>1310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DOW CHEMICAL JAPAN LIMITED</t>
        </is>
      </c>
      <c r="AK10" s="130" t="n"/>
    </row>
    <row r="11" ht="12" customHeight="1">
      <c r="A11" s="108" t="inlineStr">
        <is>
          <t>HALU2518108</t>
        </is>
      </c>
      <c r="B11" s="108" t="inlineStr">
        <is>
          <t>LCH01</t>
        </is>
      </c>
      <c r="C11" s="108" t="inlineStr">
        <is>
          <t>IFV</t>
        </is>
      </c>
      <c r="D11" s="172" t="inlineStr">
        <is>
          <t>2026-10-17</t>
        </is>
      </c>
      <c r="E11" s="173" t="inlineStr">
        <is>
          <t>0841</t>
        </is>
      </c>
      <c r="F11" s="96" t="inlineStr">
        <is>
          <t>HASLS22260901975</t>
        </is>
      </c>
      <c r="G11" s="96" t="inlineStr">
        <is>
          <t>EVERGREEN LOGISTICS (THAILAND) CO., 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HASLS22260901975</t>
        </is>
      </c>
      <c r="N11" s="96" t="inlineStr">
        <is>
          <t xml:space="preserve">20'x12 </t>
        </is>
      </c>
      <c r="O11" s="111" t="inlineStr">
        <is>
          <t>2025</t>
        </is>
      </c>
      <c r="P11" s="111" t="n"/>
      <c r="Q11" s="111" t="n"/>
      <c r="R11" s="96" t="inlineStr">
        <is>
          <t>SWAL</t>
        </is>
      </c>
      <c r="S11" s="96" t="inlineStr">
        <is>
          <t>2609N</t>
        </is>
      </c>
      <c r="T11" s="96" t="inlineStr">
        <is>
          <t>LCH01</t>
        </is>
      </c>
      <c r="U11" s="96" t="inlineStr">
        <is>
          <t>THLCH</t>
        </is>
      </c>
      <c r="V11" s="161" t="inlineStr">
        <is>
          <t>2026-10-23</t>
        </is>
      </c>
      <c r="W11" s="96" t="inlineStr">
        <is>
          <t>VNSGN</t>
        </is>
      </c>
      <c r="X11" s="161" t="inlineStr">
        <is>
          <t>2026-10-24</t>
        </is>
      </c>
      <c r="Y11" s="97" t="n"/>
      <c r="Z11" s="97" t="n"/>
      <c r="AA11" s="97" t="n"/>
      <c r="AB11" s="97" t="n"/>
      <c r="AC11" s="97" t="n"/>
      <c r="AD11" s="161" t="inlineStr">
        <is>
          <t>2026-10-17</t>
        </is>
      </c>
      <c r="AE11" s="174" t="inlineStr">
        <is>
          <t>1110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TCPVN COMPANY LIMITED</t>
        </is>
      </c>
      <c r="AK11" s="130" t="n"/>
    </row>
    <row r="12" ht="12" customHeight="1">
      <c r="A12" s="108" t="inlineStr">
        <is>
          <t>HALU2540328</t>
        </is>
      </c>
      <c r="B12" s="108" t="inlineStr">
        <is>
          <t>LCH01</t>
        </is>
      </c>
      <c r="C12" s="108" t="inlineStr">
        <is>
          <t>IFV</t>
        </is>
      </c>
      <c r="D12" s="172" t="inlineStr">
        <is>
          <t>2026-10-18</t>
        </is>
      </c>
      <c r="E12" s="173" t="inlineStr">
        <is>
          <t>0202</t>
        </is>
      </c>
      <c r="F12" s="96" t="inlineStr">
        <is>
          <t>HASLS22260902631</t>
        </is>
      </c>
      <c r="G12" s="96" t="inlineStr">
        <is>
          <t>DOW CHEMICAL THAILAND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HASLS22260902631</t>
        </is>
      </c>
      <c r="N12" s="96" t="inlineStr">
        <is>
          <t xml:space="preserve">20'x1 </t>
        </is>
      </c>
      <c r="O12" s="111" t="inlineStr">
        <is>
          <t>2025</t>
        </is>
      </c>
      <c r="P12" s="111" t="n"/>
      <c r="Q12" s="111" t="n"/>
      <c r="R12" s="96" t="inlineStr">
        <is>
          <t>SWAL</t>
        </is>
      </c>
      <c r="S12" s="96" t="inlineStr">
        <is>
          <t>2609N</t>
        </is>
      </c>
      <c r="T12" s="96" t="inlineStr">
        <is>
          <t>LCH01</t>
        </is>
      </c>
      <c r="U12" s="96" t="inlineStr">
        <is>
          <t>THLCH</t>
        </is>
      </c>
      <c r="V12" s="161" t="inlineStr">
        <is>
          <t>2026-10-23</t>
        </is>
      </c>
      <c r="W12" s="96" t="inlineStr">
        <is>
          <t>JPYKK</t>
        </is>
      </c>
      <c r="X12" s="161" t="inlineStr">
        <is>
          <t>2026-11-01</t>
        </is>
      </c>
      <c r="Y12" s="97" t="n"/>
      <c r="Z12" s="97" t="n"/>
      <c r="AA12" s="97" t="n"/>
      <c r="AB12" s="97" t="n"/>
      <c r="AC12" s="97" t="n"/>
      <c r="AD12" s="161" t="inlineStr">
        <is>
          <t>2026-10-18</t>
        </is>
      </c>
      <c r="AE12" s="174" t="inlineStr">
        <is>
          <t>0510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DOW CHEMICAL JAPAN LIMITED</t>
        </is>
      </c>
      <c r="AK12" s="130" t="n"/>
    </row>
    <row r="13" ht="12" customHeight="1">
      <c r="A13" s="108" t="inlineStr">
        <is>
          <t>HALU8500702</t>
        </is>
      </c>
      <c r="B13" s="108" t="inlineStr">
        <is>
          <t>LCH01</t>
        </is>
      </c>
      <c r="C13" s="108" t="inlineStr">
        <is>
          <t>IFV</t>
        </is>
      </c>
      <c r="D13" s="172" t="inlineStr">
        <is>
          <t>2026-10-16</t>
        </is>
      </c>
      <c r="E13" s="173" t="inlineStr">
        <is>
          <t>0052</t>
        </is>
      </c>
      <c r="F13" s="96" t="inlineStr">
        <is>
          <t>HASLS22261000469</t>
        </is>
      </c>
      <c r="G13" s="96" t="inlineStr">
        <is>
          <t>META GLOBAL MARITIME (THAILAND) CO., LTD.</t>
        </is>
      </c>
      <c r="H13" s="111" t="inlineStr">
        <is>
          <t>45RE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HASLS22261000469</t>
        </is>
      </c>
      <c r="N13" s="96" t="inlineStr">
        <is>
          <t xml:space="preserve">R40Hx1 </t>
        </is>
      </c>
      <c r="O13" s="111" t="inlineStr">
        <is>
          <t>2025</t>
        </is>
      </c>
      <c r="P13" s="111" t="inlineStr">
        <is>
          <t>CARRIER</t>
        </is>
      </c>
      <c r="Q13" s="111" t="inlineStr">
        <is>
          <t>69NT40-571-112</t>
        </is>
      </c>
      <c r="R13" s="96" t="inlineStr">
        <is>
          <t>SWAL</t>
        </is>
      </c>
      <c r="S13" s="96" t="inlineStr">
        <is>
          <t>2609N</t>
        </is>
      </c>
      <c r="T13" s="96" t="inlineStr">
        <is>
          <t>LCH01</t>
        </is>
      </c>
      <c r="U13" s="96" t="inlineStr">
        <is>
          <t>THLCH</t>
        </is>
      </c>
      <c r="V13" s="161" t="inlineStr">
        <is>
          <t>2026-10-23</t>
        </is>
      </c>
      <c r="W13" s="96" t="inlineStr">
        <is>
          <t>KRPUS</t>
        </is>
      </c>
      <c r="X13" s="161" t="inlineStr">
        <is>
          <t>2026-11-01</t>
        </is>
      </c>
      <c r="Y13" s="97" t="n"/>
      <c r="Z13" s="97" t="n"/>
      <c r="AA13" s="97" t="n"/>
      <c r="AB13" s="97" t="n"/>
      <c r="AC13" s="97" t="n"/>
      <c r="AD13" s="161" t="inlineStr">
        <is>
          <t>2026-10-16</t>
        </is>
      </c>
      <c r="AE13" s="174" t="inlineStr">
        <is>
          <t>0410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TO THE ORDER OF</t>
        </is>
      </c>
      <c r="AK13" s="130" t="n"/>
    </row>
    <row r="14" ht="12" customHeight="1">
      <c r="A14" s="108" t="inlineStr">
        <is>
          <t>HLHU8439887</t>
        </is>
      </c>
      <c r="B14" s="108" t="inlineStr">
        <is>
          <t>LCH01</t>
        </is>
      </c>
      <c r="C14" s="108" t="inlineStr">
        <is>
          <t>IFV</t>
        </is>
      </c>
      <c r="D14" s="172" t="inlineStr">
        <is>
          <t>2026-10-17</t>
        </is>
      </c>
      <c r="E14" s="173" t="inlineStr">
        <is>
          <t>0050</t>
        </is>
      </c>
      <c r="F14" s="96" t="inlineStr">
        <is>
          <t>HASLS22261000471</t>
        </is>
      </c>
      <c r="G14" s="96" t="inlineStr">
        <is>
          <t>LX PANTOS (THAILAND)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HASLS22261000471</t>
        </is>
      </c>
      <c r="N14" s="96" t="inlineStr">
        <is>
          <t xml:space="preserve">40Hx1 </t>
        </is>
      </c>
      <c r="O14" s="111" t="inlineStr">
        <is>
          <t>2024</t>
        </is>
      </c>
      <c r="P14" s="111" t="n"/>
      <c r="Q14" s="111" t="n"/>
      <c r="R14" s="96" t="inlineStr">
        <is>
          <t>SWAL</t>
        </is>
      </c>
      <c r="S14" s="96" t="inlineStr">
        <is>
          <t>2609N</t>
        </is>
      </c>
      <c r="T14" s="96" t="inlineStr">
        <is>
          <t>LCH01</t>
        </is>
      </c>
      <c r="U14" s="96" t="inlineStr">
        <is>
          <t>THLCH</t>
        </is>
      </c>
      <c r="V14" s="161" t="inlineStr">
        <is>
          <t>2026-10-23</t>
        </is>
      </c>
      <c r="W14" s="96" t="inlineStr">
        <is>
          <t>KRINC</t>
        </is>
      </c>
      <c r="X14" s="161" t="inlineStr">
        <is>
          <t>2026-10-30</t>
        </is>
      </c>
      <c r="Y14" s="97" t="n"/>
      <c r="Z14" s="97" t="n"/>
      <c r="AA14" s="97" t="n"/>
      <c r="AB14" s="97" t="n"/>
      <c r="AC14" s="97" t="n"/>
      <c r="AD14" s="161" t="inlineStr">
        <is>
          <t>2026-10-17</t>
        </is>
      </c>
      <c r="AE14" s="174" t="inlineStr">
        <is>
          <t>0410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LX PANTOS CO., LTD.</t>
        </is>
      </c>
      <c r="AK14" s="130" t="n"/>
    </row>
    <row r="15" ht="12" customHeight="1">
      <c r="A15" s="108" t="inlineStr">
        <is>
          <t>SEGU9996370</t>
        </is>
      </c>
      <c r="B15" s="108" t="inlineStr">
        <is>
          <t>LCH01</t>
        </is>
      </c>
      <c r="C15" s="108" t="inlineStr">
        <is>
          <t>IFV</t>
        </is>
      </c>
      <c r="D15" s="172" t="inlineStr">
        <is>
          <t>2026-10-20</t>
        </is>
      </c>
      <c r="E15" s="173" t="inlineStr">
        <is>
          <t>1747</t>
        </is>
      </c>
      <c r="F15" s="96" t="inlineStr">
        <is>
          <t>HASLS22260902731</t>
        </is>
      </c>
      <c r="G15" s="96" t="inlineStr">
        <is>
          <t>INITIAL FREIGHT CO., LTD.</t>
        </is>
      </c>
      <c r="H15" s="111" t="inlineStr">
        <is>
          <t>22RE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HASLS22260902731</t>
        </is>
      </c>
      <c r="N15" s="96" t="inlineStr">
        <is>
          <t xml:space="preserve">20RFx1 </t>
        </is>
      </c>
      <c r="O15" s="111" t="inlineStr">
        <is>
          <t>2021</t>
        </is>
      </c>
      <c r="P15" s="111" t="inlineStr">
        <is>
          <t>CARRIER</t>
        </is>
      </c>
      <c r="Q15" s="111" t="inlineStr">
        <is>
          <t>69NT40-561-503</t>
        </is>
      </c>
      <c r="R15" s="96" t="inlineStr">
        <is>
          <t>SWAL</t>
        </is>
      </c>
      <c r="S15" s="96" t="inlineStr">
        <is>
          <t>2609N</t>
        </is>
      </c>
      <c r="T15" s="96" t="inlineStr">
        <is>
          <t>LCH01</t>
        </is>
      </c>
      <c r="U15" s="96" t="inlineStr">
        <is>
          <t>THLCH</t>
        </is>
      </c>
      <c r="V15" s="161" t="inlineStr">
        <is>
          <t>2026-10-23</t>
        </is>
      </c>
      <c r="W15" s="96" t="inlineStr">
        <is>
          <t>VNSGN</t>
        </is>
      </c>
      <c r="X15" s="161" t="inlineStr">
        <is>
          <t>2026-10-24</t>
        </is>
      </c>
      <c r="Y15" s="97" t="n"/>
      <c r="Z15" s="97" t="n"/>
      <c r="AA15" s="97" t="n"/>
      <c r="AB15" s="97" t="n"/>
      <c r="AC15" s="97" t="n"/>
      <c r="AD15" s="161" t="inlineStr">
        <is>
          <t>2026-10-20</t>
        </is>
      </c>
      <c r="AE15" s="174" t="inlineStr">
        <is>
          <t>2010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BLUE OCEAN INTERNATIONAL SHIPPING</t>
        </is>
      </c>
      <c r="AK15" s="130" t="n"/>
    </row>
    <row r="16" ht="12" customHeight="1">
      <c r="A16" s="108" t="inlineStr">
        <is>
          <t>SKLU0521130</t>
        </is>
      </c>
      <c r="B16" s="108" t="inlineStr">
        <is>
          <t>LCH01</t>
        </is>
      </c>
      <c r="C16" s="108" t="inlineStr">
        <is>
          <t>IFV</t>
        </is>
      </c>
      <c r="D16" s="172" t="inlineStr">
        <is>
          <t>2026-10-18</t>
        </is>
      </c>
      <c r="E16" s="173" t="inlineStr">
        <is>
          <t>1036</t>
        </is>
      </c>
      <c r="F16" s="96" t="inlineStr">
        <is>
          <t>HASLS22260902630</t>
        </is>
      </c>
      <c r="G16" s="96" t="inlineStr">
        <is>
          <t>DOW CHEMICAL THAILAND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HASLS22260902630</t>
        </is>
      </c>
      <c r="N16" s="96" t="inlineStr">
        <is>
          <t xml:space="preserve">20'x1 </t>
        </is>
      </c>
      <c r="O16" s="111" t="inlineStr">
        <is>
          <t>2025</t>
        </is>
      </c>
      <c r="P16" s="111" t="n"/>
      <c r="Q16" s="111" t="n"/>
      <c r="R16" s="96" t="inlineStr">
        <is>
          <t>SWAL</t>
        </is>
      </c>
      <c r="S16" s="96" t="inlineStr">
        <is>
          <t>2609N</t>
        </is>
      </c>
      <c r="T16" s="96" t="inlineStr">
        <is>
          <t>LCH01</t>
        </is>
      </c>
      <c r="U16" s="96" t="inlineStr">
        <is>
          <t>THLCH</t>
        </is>
      </c>
      <c r="V16" s="161" t="inlineStr">
        <is>
          <t>2026-10-23</t>
        </is>
      </c>
      <c r="W16" s="96" t="inlineStr">
        <is>
          <t>JPYKK</t>
        </is>
      </c>
      <c r="X16" s="161" t="inlineStr">
        <is>
          <t>2026-11-01</t>
        </is>
      </c>
      <c r="Y16" s="97" t="n"/>
      <c r="Z16" s="97" t="n"/>
      <c r="AA16" s="97" t="n"/>
      <c r="AB16" s="97" t="n"/>
      <c r="AC16" s="97" t="n"/>
      <c r="AD16" s="161" t="inlineStr">
        <is>
          <t>2026-10-18</t>
        </is>
      </c>
      <c r="AE16" s="174" t="inlineStr">
        <is>
          <t>1310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DOW CHEMICAL JAPAN LIMITED</t>
        </is>
      </c>
      <c r="AK16" s="130" t="n"/>
    </row>
    <row r="17" ht="12" customHeight="1">
      <c r="A17" s="108" t="inlineStr">
        <is>
          <t>SKLU0557512</t>
        </is>
      </c>
      <c r="B17" s="108" t="inlineStr">
        <is>
          <t>LCH01</t>
        </is>
      </c>
      <c r="C17" s="108" t="inlineStr">
        <is>
          <t>IFV</t>
        </is>
      </c>
      <c r="D17" s="172" t="inlineStr">
        <is>
          <t>2026-10-18</t>
        </is>
      </c>
      <c r="E17" s="173" t="inlineStr">
        <is>
          <t>1117</t>
        </is>
      </c>
      <c r="F17" s="96" t="inlineStr">
        <is>
          <t>HASLS22260902632</t>
        </is>
      </c>
      <c r="G17" s="96" t="inlineStr">
        <is>
          <t>DOW CHEMICAL THAILAND LTD.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HASLS22260902632</t>
        </is>
      </c>
      <c r="N17" s="96" t="inlineStr">
        <is>
          <t xml:space="preserve">20'x1 </t>
        </is>
      </c>
      <c r="O17" s="111" t="inlineStr">
        <is>
          <t>2025</t>
        </is>
      </c>
      <c r="P17" s="111" t="n"/>
      <c r="Q17" s="111" t="n"/>
      <c r="R17" s="96" t="inlineStr">
        <is>
          <t>SWAL</t>
        </is>
      </c>
      <c r="S17" s="96" t="inlineStr">
        <is>
          <t>2609N</t>
        </is>
      </c>
      <c r="T17" s="96" t="inlineStr">
        <is>
          <t>LCH01</t>
        </is>
      </c>
      <c r="U17" s="96" t="inlineStr">
        <is>
          <t>THLCH</t>
        </is>
      </c>
      <c r="V17" s="161" t="inlineStr">
        <is>
          <t>2026-10-23</t>
        </is>
      </c>
      <c r="W17" s="96" t="inlineStr">
        <is>
          <t>JPYKK</t>
        </is>
      </c>
      <c r="X17" s="161" t="inlineStr">
        <is>
          <t>2026-11-01</t>
        </is>
      </c>
      <c r="Y17" s="97" t="n"/>
      <c r="Z17" s="97" t="n"/>
      <c r="AA17" s="97" t="n"/>
      <c r="AB17" s="97" t="n"/>
      <c r="AC17" s="97" t="n"/>
      <c r="AD17" s="161" t="inlineStr">
        <is>
          <t>2026-10-18</t>
        </is>
      </c>
      <c r="AE17" s="174" t="inlineStr">
        <is>
          <t>1410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DOW CHEMICAL JAPAN LIMITED</t>
        </is>
      </c>
      <c r="AK17" s="130" t="n"/>
    </row>
    <row r="18" ht="12" customHeight="1">
      <c r="A18" s="108" t="inlineStr">
        <is>
          <t>SKLU1106452</t>
        </is>
      </c>
      <c r="B18" s="108" t="inlineStr">
        <is>
          <t>LCH01</t>
        </is>
      </c>
      <c r="C18" s="108" t="inlineStr">
        <is>
          <t>IFV</t>
        </is>
      </c>
      <c r="D18" s="172" t="inlineStr">
        <is>
          <t>2026-10-17</t>
        </is>
      </c>
      <c r="E18" s="173" t="inlineStr">
        <is>
          <t>1434</t>
        </is>
      </c>
      <c r="F18" s="96" t="inlineStr">
        <is>
          <t>HASLS22261000120</t>
        </is>
      </c>
      <c r="G18" s="96" t="inlineStr">
        <is>
          <t>MAXTOP LOGISTICS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HASLS22261000120</t>
        </is>
      </c>
      <c r="N18" s="96" t="inlineStr">
        <is>
          <t xml:space="preserve">20'x7 </t>
        </is>
      </c>
      <c r="O18" s="111" t="inlineStr">
        <is>
          <t>2011</t>
        </is>
      </c>
      <c r="P18" s="111" t="n"/>
      <c r="Q18" s="111" t="n"/>
      <c r="R18" s="96" t="inlineStr">
        <is>
          <t>SWAL</t>
        </is>
      </c>
      <c r="S18" s="96" t="inlineStr">
        <is>
          <t>2609N</t>
        </is>
      </c>
      <c r="T18" s="96" t="inlineStr">
        <is>
          <t>LCH01</t>
        </is>
      </c>
      <c r="U18" s="96" t="inlineStr">
        <is>
          <t>THLCH</t>
        </is>
      </c>
      <c r="V18" s="161" t="inlineStr">
        <is>
          <t>2026-10-23</t>
        </is>
      </c>
      <c r="W18" s="96" t="inlineStr">
        <is>
          <t>KRINC</t>
        </is>
      </c>
      <c r="X18" s="161" t="inlineStr">
        <is>
          <t>2026-10-30</t>
        </is>
      </c>
      <c r="Y18" s="97" t="n"/>
      <c r="Z18" s="97" t="n"/>
      <c r="AA18" s="97" t="n"/>
      <c r="AB18" s="97" t="n"/>
      <c r="AC18" s="97" t="n"/>
      <c r="AD18" s="161" t="inlineStr">
        <is>
          <t>2026-10-17</t>
        </is>
      </c>
      <c r="AE18" s="174" t="inlineStr">
        <is>
          <t>1710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SEBANG EXPRESS CO., LTD</t>
        </is>
      </c>
      <c r="AK18" s="130" t="n"/>
    </row>
    <row r="19" ht="12" customHeight="1">
      <c r="A19" s="108" t="inlineStr">
        <is>
          <t>SKLU1331520</t>
        </is>
      </c>
      <c r="B19" s="108" t="inlineStr">
        <is>
          <t>LCH01</t>
        </is>
      </c>
      <c r="C19" s="108" t="inlineStr">
        <is>
          <t>IFV</t>
        </is>
      </c>
      <c r="D19" s="172" t="inlineStr">
        <is>
          <t>2026-10-17</t>
        </is>
      </c>
      <c r="E19" s="173" t="inlineStr">
        <is>
          <t>0932</t>
        </is>
      </c>
      <c r="F19" s="96" t="inlineStr">
        <is>
          <t>HASLS22260800955</t>
        </is>
      </c>
      <c r="G19" s="96" t="inlineStr">
        <is>
          <t>WHA GC LOGISTICS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HASLS22260800955</t>
        </is>
      </c>
      <c r="N19" s="96" t="inlineStr">
        <is>
          <t xml:space="preserve">20'x6 </t>
        </is>
      </c>
      <c r="O19" s="111" t="inlineStr">
        <is>
          <t>2013</t>
        </is>
      </c>
      <c r="P19" s="111" t="n"/>
      <c r="Q19" s="111" t="n"/>
      <c r="R19" s="96" t="inlineStr">
        <is>
          <t>SWAL</t>
        </is>
      </c>
      <c r="S19" s="96" t="inlineStr">
        <is>
          <t>2609N</t>
        </is>
      </c>
      <c r="T19" s="96" t="inlineStr">
        <is>
          <t>LCH01</t>
        </is>
      </c>
      <c r="U19" s="96" t="inlineStr">
        <is>
          <t>THLCH</t>
        </is>
      </c>
      <c r="V19" s="161" t="inlineStr">
        <is>
          <t>2026-10-23</t>
        </is>
      </c>
      <c r="W19" s="96" t="inlineStr">
        <is>
          <t>VNSGN</t>
        </is>
      </c>
      <c r="X19" s="161" t="inlineStr">
        <is>
          <t>2026-10-24</t>
        </is>
      </c>
      <c r="Y19" s="97" t="n"/>
      <c r="Z19" s="97" t="n"/>
      <c r="AA19" s="97" t="n"/>
      <c r="AB19" s="97" t="n"/>
      <c r="AC19" s="97" t="n"/>
      <c r="AD19" s="161" t="inlineStr">
        <is>
          <t>2026-10-17</t>
        </is>
      </c>
      <c r="AE19" s="174" t="inlineStr">
        <is>
          <t>1310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TO THE ORDER OF JOINT STOCK</t>
        </is>
      </c>
      <c r="AK19" s="130" t="n"/>
    </row>
    <row r="20" ht="12" customHeight="1">
      <c r="A20" s="108" t="inlineStr">
        <is>
          <t>SKLU1439005</t>
        </is>
      </c>
      <c r="B20" s="108" t="inlineStr">
        <is>
          <t>LCH01</t>
        </is>
      </c>
      <c r="C20" s="108" t="inlineStr">
        <is>
          <t>IFV</t>
        </is>
      </c>
      <c r="D20" s="172" t="inlineStr">
        <is>
          <t>2026-10-17</t>
        </is>
      </c>
      <c r="E20" s="173" t="inlineStr">
        <is>
          <t>0933</t>
        </is>
      </c>
      <c r="F20" s="96" t="inlineStr">
        <is>
          <t>HASLS22260800955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HASLS22260800955</t>
        </is>
      </c>
      <c r="N20" s="96" t="inlineStr">
        <is>
          <t xml:space="preserve">20'x6 </t>
        </is>
      </c>
      <c r="O20" s="111" t="inlineStr">
        <is>
          <t>2014</t>
        </is>
      </c>
      <c r="P20" s="111" t="n"/>
      <c r="Q20" s="111" t="n"/>
      <c r="R20" s="96" t="inlineStr">
        <is>
          <t>SWAL</t>
        </is>
      </c>
      <c r="S20" s="96" t="inlineStr">
        <is>
          <t>2609N</t>
        </is>
      </c>
      <c r="T20" s="96" t="inlineStr">
        <is>
          <t>LCH01</t>
        </is>
      </c>
      <c r="U20" s="96" t="inlineStr">
        <is>
          <t>THLCH</t>
        </is>
      </c>
      <c r="V20" s="161" t="inlineStr">
        <is>
          <t>2026-10-23</t>
        </is>
      </c>
      <c r="W20" s="96" t="inlineStr">
        <is>
          <t>VNSGN</t>
        </is>
      </c>
      <c r="X20" s="161" t="inlineStr">
        <is>
          <t>2026-10-24</t>
        </is>
      </c>
      <c r="Y20" s="97" t="n"/>
      <c r="Z20" s="97" t="n"/>
      <c r="AA20" s="97" t="n"/>
      <c r="AB20" s="97" t="n"/>
      <c r="AC20" s="97" t="n"/>
      <c r="AD20" s="161" t="inlineStr">
        <is>
          <t>2026-10-17</t>
        </is>
      </c>
      <c r="AE20" s="174" t="inlineStr">
        <is>
          <t>1310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THE ORDER OF JOINT STOCK</t>
        </is>
      </c>
      <c r="AK20" s="130" t="n"/>
    </row>
    <row r="21" ht="12" customHeight="1">
      <c r="A21" s="108" t="inlineStr">
        <is>
          <t>SKLU1501797</t>
        </is>
      </c>
      <c r="B21" s="108" t="inlineStr">
        <is>
          <t>LCH01</t>
        </is>
      </c>
      <c r="C21" s="108" t="inlineStr">
        <is>
          <t>IFV</t>
        </is>
      </c>
      <c r="D21" s="172" t="inlineStr">
        <is>
          <t>2026-10-17</t>
        </is>
      </c>
      <c r="E21" s="173" t="inlineStr">
        <is>
          <t>1059</t>
        </is>
      </c>
      <c r="F21" s="96" t="inlineStr">
        <is>
          <t>HASLS22260901975</t>
        </is>
      </c>
      <c r="G21" s="96" t="inlineStr">
        <is>
          <t>EVERGREEN LOGISTICS (THAILAND)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HASLS22260901975</t>
        </is>
      </c>
      <c r="N21" s="96" t="inlineStr">
        <is>
          <t xml:space="preserve">20'x12 </t>
        </is>
      </c>
      <c r="O21" s="111" t="inlineStr">
        <is>
          <t>2015</t>
        </is>
      </c>
      <c r="P21" s="111" t="n"/>
      <c r="Q21" s="111" t="n"/>
      <c r="R21" s="96" t="inlineStr">
        <is>
          <t>SWAL</t>
        </is>
      </c>
      <c r="S21" s="96" t="inlineStr">
        <is>
          <t>2609N</t>
        </is>
      </c>
      <c r="T21" s="96" t="inlineStr">
        <is>
          <t>LCH01</t>
        </is>
      </c>
      <c r="U21" s="96" t="inlineStr">
        <is>
          <t>THLCH</t>
        </is>
      </c>
      <c r="V21" s="161" t="inlineStr">
        <is>
          <t>2026-10-23</t>
        </is>
      </c>
      <c r="W21" s="96" t="inlineStr">
        <is>
          <t>VNSGN</t>
        </is>
      </c>
      <c r="X21" s="161" t="inlineStr">
        <is>
          <t>2026-10-24</t>
        </is>
      </c>
      <c r="Y21" s="97" t="n"/>
      <c r="Z21" s="97" t="n"/>
      <c r="AA21" s="97" t="n"/>
      <c r="AB21" s="97" t="n"/>
      <c r="AC21" s="97" t="n"/>
      <c r="AD21" s="161" t="inlineStr">
        <is>
          <t>2026-10-17</t>
        </is>
      </c>
      <c r="AE21" s="174" t="inlineStr">
        <is>
          <t>1410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TCPVN COMPANY LIMITED</t>
        </is>
      </c>
      <c r="AK21" s="130" t="n"/>
    </row>
    <row r="22" ht="12" customHeight="1">
      <c r="A22" s="108" t="inlineStr">
        <is>
          <t>SKLU1513627</t>
        </is>
      </c>
      <c r="B22" s="108" t="inlineStr">
        <is>
          <t>LCH01</t>
        </is>
      </c>
      <c r="C22" s="108" t="inlineStr">
        <is>
          <t>IFV</t>
        </is>
      </c>
      <c r="D22" s="172" t="inlineStr">
        <is>
          <t>2026-10-16</t>
        </is>
      </c>
      <c r="E22" s="173" t="inlineStr">
        <is>
          <t>2339</t>
        </is>
      </c>
      <c r="F22" s="96" t="inlineStr">
        <is>
          <t>HASLS22260901975</t>
        </is>
      </c>
      <c r="G22" s="96" t="inlineStr">
        <is>
          <t>EVERGREEN LOGISTICS (THAILAND) CO., LTD.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HASLS22260901975</t>
        </is>
      </c>
      <c r="N22" s="96" t="inlineStr">
        <is>
          <t xml:space="preserve">20'x12 </t>
        </is>
      </c>
      <c r="O22" s="111" t="inlineStr">
        <is>
          <t>2015</t>
        </is>
      </c>
      <c r="P22" s="111" t="n"/>
      <c r="Q22" s="111" t="n"/>
      <c r="R22" s="96" t="inlineStr">
        <is>
          <t>SWAL</t>
        </is>
      </c>
      <c r="S22" s="96" t="inlineStr">
        <is>
          <t>2609N</t>
        </is>
      </c>
      <c r="T22" s="96" t="inlineStr">
        <is>
          <t>LCH01</t>
        </is>
      </c>
      <c r="U22" s="96" t="inlineStr">
        <is>
          <t>THLCH</t>
        </is>
      </c>
      <c r="V22" s="161" t="inlineStr">
        <is>
          <t>2026-10-23</t>
        </is>
      </c>
      <c r="W22" s="96" t="inlineStr">
        <is>
          <t>VNSGN</t>
        </is>
      </c>
      <c r="X22" s="161" t="inlineStr">
        <is>
          <t>2026-10-24</t>
        </is>
      </c>
      <c r="Y22" s="97" t="n"/>
      <c r="Z22" s="97" t="n"/>
      <c r="AA22" s="97" t="n"/>
      <c r="AB22" s="97" t="n"/>
      <c r="AC22" s="97" t="n"/>
      <c r="AD22" s="161" t="inlineStr">
        <is>
          <t>2026-10-17</t>
        </is>
      </c>
      <c r="AE22" s="174" t="inlineStr">
        <is>
          <t>0210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TCPVN COMPANY LIMITED</t>
        </is>
      </c>
      <c r="AK22" s="130" t="n"/>
    </row>
    <row r="23" ht="12" customHeight="1">
      <c r="A23" s="108" t="inlineStr">
        <is>
          <t>SKLU1534337</t>
        </is>
      </c>
      <c r="B23" s="108" t="inlineStr">
        <is>
          <t>LCH01</t>
        </is>
      </c>
      <c r="C23" s="108" t="inlineStr">
        <is>
          <t>IFV</t>
        </is>
      </c>
      <c r="D23" s="172" t="inlineStr">
        <is>
          <t>2026-10-17</t>
        </is>
      </c>
      <c r="E23" s="173" t="inlineStr">
        <is>
          <t>0958</t>
        </is>
      </c>
      <c r="F23" s="96" t="inlineStr">
        <is>
          <t>HASLS22260800955</t>
        </is>
      </c>
      <c r="G23" s="96" t="inlineStr">
        <is>
          <t>WHA GC LOGISTICS COMPANY LIMITED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HASLS22260800955</t>
        </is>
      </c>
      <c r="N23" s="96" t="inlineStr">
        <is>
          <t xml:space="preserve">20'x6 </t>
        </is>
      </c>
      <c r="O23" s="111" t="inlineStr">
        <is>
          <t>2015</t>
        </is>
      </c>
      <c r="P23" s="111" t="n"/>
      <c r="Q23" s="111" t="n"/>
      <c r="R23" s="96" t="inlineStr">
        <is>
          <t>SWAL</t>
        </is>
      </c>
      <c r="S23" s="96" t="inlineStr">
        <is>
          <t>2609N</t>
        </is>
      </c>
      <c r="T23" s="96" t="inlineStr">
        <is>
          <t>LCH01</t>
        </is>
      </c>
      <c r="U23" s="96" t="inlineStr">
        <is>
          <t>THLCH</t>
        </is>
      </c>
      <c r="V23" s="161" t="inlineStr">
        <is>
          <t>2026-10-23</t>
        </is>
      </c>
      <c r="W23" s="96" t="inlineStr">
        <is>
          <t>VNSGN</t>
        </is>
      </c>
      <c r="X23" s="161" t="inlineStr">
        <is>
          <t>2026-10-24</t>
        </is>
      </c>
      <c r="Y23" s="97" t="n"/>
      <c r="Z23" s="97" t="n"/>
      <c r="AA23" s="97" t="n"/>
      <c r="AB23" s="97" t="n"/>
      <c r="AC23" s="97" t="n"/>
      <c r="AD23" s="161" t="inlineStr">
        <is>
          <t>2026-10-17</t>
        </is>
      </c>
      <c r="AE23" s="174" t="inlineStr">
        <is>
          <t>1310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 THE ORDER OF JOINT STOCK</t>
        </is>
      </c>
      <c r="AK23" s="130" t="n"/>
    </row>
    <row r="24" ht="12" customHeight="1">
      <c r="A24" s="108" t="inlineStr">
        <is>
          <t>SKLU1553830</t>
        </is>
      </c>
      <c r="B24" s="108" t="inlineStr">
        <is>
          <t>LCH01</t>
        </is>
      </c>
      <c r="C24" s="108" t="inlineStr">
        <is>
          <t>IFV</t>
        </is>
      </c>
      <c r="D24" s="172" t="inlineStr">
        <is>
          <t>2026-10-17</t>
        </is>
      </c>
      <c r="E24" s="173" t="inlineStr">
        <is>
          <t>1243</t>
        </is>
      </c>
      <c r="F24" s="96" t="inlineStr">
        <is>
          <t>HASLS22261000120</t>
        </is>
      </c>
      <c r="G24" s="96" t="inlineStr">
        <is>
          <t>MAXTOP LOGISTICS (THAILAND) CO., LTD.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HASLS22261000120</t>
        </is>
      </c>
      <c r="N24" s="96" t="inlineStr">
        <is>
          <t xml:space="preserve">20'x7 </t>
        </is>
      </c>
      <c r="O24" s="111" t="inlineStr">
        <is>
          <t>2015</t>
        </is>
      </c>
      <c r="P24" s="111" t="n"/>
      <c r="Q24" s="111" t="n"/>
      <c r="R24" s="96" t="inlineStr">
        <is>
          <t>SWAL</t>
        </is>
      </c>
      <c r="S24" s="96" t="inlineStr">
        <is>
          <t>2609N</t>
        </is>
      </c>
      <c r="T24" s="96" t="inlineStr">
        <is>
          <t>LCH01</t>
        </is>
      </c>
      <c r="U24" s="96" t="inlineStr">
        <is>
          <t>THLCH</t>
        </is>
      </c>
      <c r="V24" s="161" t="inlineStr">
        <is>
          <t>2026-10-23</t>
        </is>
      </c>
      <c r="W24" s="96" t="inlineStr">
        <is>
          <t>KRINC</t>
        </is>
      </c>
      <c r="X24" s="161" t="inlineStr">
        <is>
          <t>2026-10-30</t>
        </is>
      </c>
      <c r="Y24" s="97" t="n"/>
      <c r="Z24" s="97" t="n"/>
      <c r="AA24" s="97" t="n"/>
      <c r="AB24" s="97" t="n"/>
      <c r="AC24" s="97" t="n"/>
      <c r="AD24" s="161" t="inlineStr">
        <is>
          <t>2026-10-17</t>
        </is>
      </c>
      <c r="AE24" s="174" t="inlineStr">
        <is>
          <t>1610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SEBANG EXPRESS CO., LTD</t>
        </is>
      </c>
      <c r="AK24" s="130" t="n"/>
    </row>
    <row r="25" ht="12" customHeight="1">
      <c r="A25" s="108" t="inlineStr">
        <is>
          <t>SKLU1586238</t>
        </is>
      </c>
      <c r="B25" s="108" t="inlineStr">
        <is>
          <t>LCH01</t>
        </is>
      </c>
      <c r="C25" s="108" t="inlineStr">
        <is>
          <t>IFV</t>
        </is>
      </c>
      <c r="D25" s="172" t="inlineStr">
        <is>
          <t>2026-10-17</t>
        </is>
      </c>
      <c r="E25" s="173" t="inlineStr">
        <is>
          <t>2120</t>
        </is>
      </c>
      <c r="F25" s="96" t="inlineStr">
        <is>
          <t>HASLS22261000120</t>
        </is>
      </c>
      <c r="G25" s="96" t="inlineStr">
        <is>
          <t>MAXTOP LOGISTICS (THAILAND) CO., LTD.</t>
        </is>
      </c>
      <c r="H25" s="111" t="inlineStr">
        <is>
          <t>22GP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HASLS22261000120</t>
        </is>
      </c>
      <c r="N25" s="96" t="inlineStr">
        <is>
          <t xml:space="preserve">20'x7 </t>
        </is>
      </c>
      <c r="O25" s="111" t="inlineStr">
        <is>
          <t>2015</t>
        </is>
      </c>
      <c r="P25" s="111" t="n"/>
      <c r="Q25" s="111" t="n"/>
      <c r="R25" s="96" t="inlineStr">
        <is>
          <t>SWAL</t>
        </is>
      </c>
      <c r="S25" s="96" t="inlineStr">
        <is>
          <t>2609N</t>
        </is>
      </c>
      <c r="T25" s="96" t="inlineStr">
        <is>
          <t>LCH01</t>
        </is>
      </c>
      <c r="U25" s="96" t="inlineStr">
        <is>
          <t>THLCH</t>
        </is>
      </c>
      <c r="V25" s="161" t="inlineStr">
        <is>
          <t>2026-10-23</t>
        </is>
      </c>
      <c r="W25" s="96" t="inlineStr">
        <is>
          <t>KRINC</t>
        </is>
      </c>
      <c r="X25" s="161" t="inlineStr">
        <is>
          <t>2026-10-30</t>
        </is>
      </c>
      <c r="Y25" s="97" t="n"/>
      <c r="Z25" s="97" t="n"/>
      <c r="AA25" s="97" t="n"/>
      <c r="AB25" s="97" t="n"/>
      <c r="AC25" s="97" t="n"/>
      <c r="AD25" s="161" t="inlineStr">
        <is>
          <t>2026-10-18</t>
        </is>
      </c>
      <c r="AE25" s="174" t="inlineStr">
        <is>
          <t>0010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SEBANG EXPRESS CO., LTD</t>
        </is>
      </c>
      <c r="AK25" s="130" t="n"/>
    </row>
    <row r="26" ht="12" customHeight="1">
      <c r="A26" s="108" t="inlineStr">
        <is>
          <t>SKLU1590855</t>
        </is>
      </c>
      <c r="B26" s="108" t="inlineStr">
        <is>
          <t>LCH01</t>
        </is>
      </c>
      <c r="C26" s="108" t="inlineStr">
        <is>
          <t>IFV</t>
        </is>
      </c>
      <c r="D26" s="172" t="inlineStr">
        <is>
          <t>2026-10-20</t>
        </is>
      </c>
      <c r="E26" s="173" t="inlineStr">
        <is>
          <t>1741</t>
        </is>
      </c>
      <c r="F26" s="96" t="inlineStr">
        <is>
          <t>HASLS22261001238</t>
        </is>
      </c>
      <c r="G26" s="96" t="inlineStr">
        <is>
          <t>HTNS (THAILAND) CO.,LTD.</t>
        </is>
      </c>
      <c r="H26" s="111" t="inlineStr">
        <is>
          <t>22GP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HASLS22261001238</t>
        </is>
      </c>
      <c r="N26" s="96" t="inlineStr">
        <is>
          <t xml:space="preserve">20'x1 </t>
        </is>
      </c>
      <c r="O26" s="111" t="inlineStr">
        <is>
          <t>2015</t>
        </is>
      </c>
      <c r="P26" s="111" t="n"/>
      <c r="Q26" s="111" t="n"/>
      <c r="R26" s="96" t="inlineStr">
        <is>
          <t>SWAL</t>
        </is>
      </c>
      <c r="S26" s="96" t="inlineStr">
        <is>
          <t>2609N</t>
        </is>
      </c>
      <c r="T26" s="96" t="inlineStr">
        <is>
          <t>LCH01</t>
        </is>
      </c>
      <c r="U26" s="96" t="inlineStr">
        <is>
          <t>THLCH</t>
        </is>
      </c>
      <c r="V26" s="161" t="inlineStr">
        <is>
          <t>2026-10-23</t>
        </is>
      </c>
      <c r="W26" s="96" t="inlineStr">
        <is>
          <t>KRINC</t>
        </is>
      </c>
      <c r="X26" s="161" t="inlineStr">
        <is>
          <t>2026-10-30</t>
        </is>
      </c>
      <c r="Y26" s="97" t="n"/>
      <c r="Z26" s="97" t="n"/>
      <c r="AA26" s="97" t="n"/>
      <c r="AB26" s="97" t="n"/>
      <c r="AC26" s="97" t="n"/>
      <c r="AD26" s="161" t="inlineStr">
        <is>
          <t>2026-10-20</t>
        </is>
      </c>
      <c r="AE26" s="174" t="inlineStr">
        <is>
          <t>2210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HANARO TNS CO., LTD.</t>
        </is>
      </c>
      <c r="AK26" s="130" t="n"/>
    </row>
    <row r="27" ht="12" customHeight="1">
      <c r="A27" s="108" t="inlineStr">
        <is>
          <t>SKLU1625036</t>
        </is>
      </c>
      <c r="B27" s="108" t="inlineStr">
        <is>
          <t>LCH01</t>
        </is>
      </c>
      <c r="C27" s="108" t="inlineStr">
        <is>
          <t>IFV</t>
        </is>
      </c>
      <c r="D27" s="172" t="inlineStr">
        <is>
          <t>2026-10-17</t>
        </is>
      </c>
      <c r="E27" s="173" t="inlineStr">
        <is>
          <t>1208</t>
        </is>
      </c>
      <c r="F27" s="96" t="inlineStr">
        <is>
          <t>HASLS22260901975</t>
        </is>
      </c>
      <c r="G27" s="96" t="inlineStr">
        <is>
          <t>EVERGREEN LOGISTICS (THAILAND) CO., LTD.</t>
        </is>
      </c>
      <c r="H27" s="111" t="inlineStr">
        <is>
          <t>22GP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HASLS22260901975</t>
        </is>
      </c>
      <c r="N27" s="96" t="inlineStr">
        <is>
          <t xml:space="preserve">20'x12 </t>
        </is>
      </c>
      <c r="O27" s="111" t="inlineStr">
        <is>
          <t>2016</t>
        </is>
      </c>
      <c r="P27" s="111" t="n"/>
      <c r="Q27" s="111" t="n"/>
      <c r="R27" s="96" t="inlineStr">
        <is>
          <t>SWAL</t>
        </is>
      </c>
      <c r="S27" s="96" t="inlineStr">
        <is>
          <t>2609N</t>
        </is>
      </c>
      <c r="T27" s="96" t="inlineStr">
        <is>
          <t>LCH01</t>
        </is>
      </c>
      <c r="U27" s="96" t="inlineStr">
        <is>
          <t>THLCH</t>
        </is>
      </c>
      <c r="V27" s="161" t="inlineStr">
        <is>
          <t>2026-10-23</t>
        </is>
      </c>
      <c r="W27" s="96" t="inlineStr">
        <is>
          <t>VNSGN</t>
        </is>
      </c>
      <c r="X27" s="161" t="inlineStr">
        <is>
          <t>2026-10-24</t>
        </is>
      </c>
      <c r="Y27" s="97" t="n"/>
      <c r="Z27" s="97" t="n"/>
      <c r="AA27" s="97" t="n"/>
      <c r="AB27" s="97" t="n"/>
      <c r="AC27" s="97" t="n"/>
      <c r="AD27" s="161" t="inlineStr">
        <is>
          <t>2026-10-17</t>
        </is>
      </c>
      <c r="AE27" s="174" t="inlineStr">
        <is>
          <t>1510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TCPVN COMPANY LIMITED</t>
        </is>
      </c>
      <c r="AK27" s="130" t="n"/>
    </row>
    <row r="28" ht="12" customHeight="1">
      <c r="A28" s="108" t="inlineStr">
        <is>
          <t>SKLU1904642</t>
        </is>
      </c>
      <c r="B28" s="108" t="inlineStr">
        <is>
          <t>LCH01</t>
        </is>
      </c>
      <c r="C28" s="108" t="inlineStr">
        <is>
          <t>IFV</t>
        </is>
      </c>
      <c r="D28" s="172" t="inlineStr">
        <is>
          <t>2026-10-17</t>
        </is>
      </c>
      <c r="E28" s="173" t="inlineStr">
        <is>
          <t>1218</t>
        </is>
      </c>
      <c r="F28" s="96" t="inlineStr">
        <is>
          <t>HASLS22260901975</t>
        </is>
      </c>
      <c r="G28" s="96" t="inlineStr">
        <is>
          <t>EVERGREEN LOGISTICS (THAILAND) CO., LTD.</t>
        </is>
      </c>
      <c r="H28" s="111" t="inlineStr">
        <is>
          <t>22GP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HASLS22260901975</t>
        </is>
      </c>
      <c r="N28" s="96" t="inlineStr">
        <is>
          <t xml:space="preserve">20'x12 </t>
        </is>
      </c>
      <c r="O28" s="111" t="inlineStr">
        <is>
          <t>2019</t>
        </is>
      </c>
      <c r="P28" s="111" t="n"/>
      <c r="Q28" s="111" t="n"/>
      <c r="R28" s="96" t="inlineStr">
        <is>
          <t>SWAL</t>
        </is>
      </c>
      <c r="S28" s="96" t="inlineStr">
        <is>
          <t>2609N</t>
        </is>
      </c>
      <c r="T28" s="96" t="inlineStr">
        <is>
          <t>LCH01</t>
        </is>
      </c>
      <c r="U28" s="96" t="inlineStr">
        <is>
          <t>THLCH</t>
        </is>
      </c>
      <c r="V28" s="161" t="inlineStr">
        <is>
          <t>2026-10-23</t>
        </is>
      </c>
      <c r="W28" s="96" t="inlineStr">
        <is>
          <t>VNSGN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2026-10-17</t>
        </is>
      </c>
      <c r="AE28" s="174" t="inlineStr">
        <is>
          <t>1510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TCPVN COMPANY LIMITED</t>
        </is>
      </c>
      <c r="AK28" s="130" t="n"/>
    </row>
    <row r="29" ht="12" customHeight="1">
      <c r="A29" s="108" t="inlineStr">
        <is>
          <t>SKLU1947393</t>
        </is>
      </c>
      <c r="B29" s="108" t="inlineStr">
        <is>
          <t>LCH01</t>
        </is>
      </c>
      <c r="C29" s="108" t="inlineStr">
        <is>
          <t>IFV</t>
        </is>
      </c>
      <c r="D29" s="172" t="inlineStr">
        <is>
          <t>2026-10-17</t>
        </is>
      </c>
      <c r="E29" s="173" t="inlineStr">
        <is>
          <t>1217</t>
        </is>
      </c>
      <c r="F29" s="96" t="inlineStr">
        <is>
          <t>HASLS22260901975</t>
        </is>
      </c>
      <c r="G29" s="96" t="inlineStr">
        <is>
          <t>EVERGREEN LOGISTICS (THAILAND) CO., LTD.</t>
        </is>
      </c>
      <c r="H29" s="111" t="inlineStr">
        <is>
          <t>22GP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HASLS22260901975</t>
        </is>
      </c>
      <c r="N29" s="96" t="inlineStr">
        <is>
          <t xml:space="preserve">20'x12 </t>
        </is>
      </c>
      <c r="O29" s="111" t="inlineStr">
        <is>
          <t>2019</t>
        </is>
      </c>
      <c r="P29" s="111" t="n"/>
      <c r="Q29" s="111" t="n"/>
      <c r="R29" s="96" t="inlineStr">
        <is>
          <t>SWAL</t>
        </is>
      </c>
      <c r="S29" s="96" t="inlineStr">
        <is>
          <t>2609N</t>
        </is>
      </c>
      <c r="T29" s="96" t="inlineStr">
        <is>
          <t>LCH01</t>
        </is>
      </c>
      <c r="U29" s="96" t="inlineStr">
        <is>
          <t>THLCH</t>
        </is>
      </c>
      <c r="V29" s="161" t="inlineStr">
        <is>
          <t>2026-10-23</t>
        </is>
      </c>
      <c r="W29" s="96" t="inlineStr">
        <is>
          <t>VNSGN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2026-10-17</t>
        </is>
      </c>
      <c r="AE29" s="174" t="inlineStr">
        <is>
          <t>1510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TCPVN COMPANY LIMITED</t>
        </is>
      </c>
      <c r="AK29" s="130" t="n"/>
    </row>
    <row r="30" ht="12" customHeight="1">
      <c r="A30" s="108" t="inlineStr">
        <is>
          <t>SKLU1995302</t>
        </is>
      </c>
      <c r="B30" s="108" t="inlineStr">
        <is>
          <t>LCH01</t>
        </is>
      </c>
      <c r="C30" s="108" t="inlineStr">
        <is>
          <t>IFV</t>
        </is>
      </c>
      <c r="D30" s="172" t="inlineStr">
        <is>
          <t>2026-10-17</t>
        </is>
      </c>
      <c r="E30" s="173" t="inlineStr">
        <is>
          <t>0842</t>
        </is>
      </c>
      <c r="F30" s="96" t="inlineStr">
        <is>
          <t>HASLS22260901975</t>
        </is>
      </c>
      <c r="G30" s="96" t="inlineStr">
        <is>
          <t>EVERGREEN LOGISTICS (THAILAND) CO., LTD.</t>
        </is>
      </c>
      <c r="H30" s="111" t="inlineStr">
        <is>
          <t>22GP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HASLS22260901975</t>
        </is>
      </c>
      <c r="N30" s="96" t="inlineStr">
        <is>
          <t xml:space="preserve">20'x12 </t>
        </is>
      </c>
      <c r="O30" s="111" t="inlineStr">
        <is>
          <t>2019</t>
        </is>
      </c>
      <c r="P30" s="111" t="n"/>
      <c r="Q30" s="111" t="n"/>
      <c r="R30" s="96" t="inlineStr">
        <is>
          <t>SWAL</t>
        </is>
      </c>
      <c r="S30" s="96" t="inlineStr">
        <is>
          <t>2609N</t>
        </is>
      </c>
      <c r="T30" s="96" t="inlineStr">
        <is>
          <t>LCH01</t>
        </is>
      </c>
      <c r="U30" s="96" t="inlineStr">
        <is>
          <t>THLCH</t>
        </is>
      </c>
      <c r="V30" s="161" t="inlineStr">
        <is>
          <t>2026-10-23</t>
        </is>
      </c>
      <c r="W30" s="96" t="inlineStr">
        <is>
          <t>VNSGN</t>
        </is>
      </c>
      <c r="X30" s="161" t="inlineStr">
        <is>
          <t>2026-10-24</t>
        </is>
      </c>
      <c r="Y30" s="97" t="n"/>
      <c r="Z30" s="97" t="n"/>
      <c r="AA30" s="97" t="n"/>
      <c r="AB30" s="97" t="n"/>
      <c r="AC30" s="97" t="n"/>
      <c r="AD30" s="161" t="inlineStr">
        <is>
          <t>2026-10-17</t>
        </is>
      </c>
      <c r="AE30" s="174" t="inlineStr">
        <is>
          <t>1110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TCPVN COMPANY LIMITED</t>
        </is>
      </c>
      <c r="AK30" s="130" t="n"/>
    </row>
    <row r="31" ht="12" customHeight="1">
      <c r="A31" s="108" t="inlineStr">
        <is>
          <t>SKLU2013903</t>
        </is>
      </c>
      <c r="B31" s="108" t="inlineStr">
        <is>
          <t>LCH01</t>
        </is>
      </c>
      <c r="C31" s="108" t="inlineStr">
        <is>
          <t>IFV</t>
        </is>
      </c>
      <c r="D31" s="172" t="inlineStr">
        <is>
          <t>2026-10-19</t>
        </is>
      </c>
      <c r="E31" s="173" t="inlineStr">
        <is>
          <t>1755</t>
        </is>
      </c>
      <c r="F31" s="96" t="inlineStr">
        <is>
          <t>HASLS22261000005</t>
        </is>
      </c>
      <c r="G31" s="96" t="inlineStr">
        <is>
          <t>SCGJWD LOGISTICS PUBLIC COMPANY LIMITED</t>
        </is>
      </c>
      <c r="H31" s="111" t="inlineStr">
        <is>
          <t>22GP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HASLS22261000005</t>
        </is>
      </c>
      <c r="N31" s="96" t="inlineStr">
        <is>
          <t xml:space="preserve">20'x2 </t>
        </is>
      </c>
      <c r="O31" s="111" t="inlineStr">
        <is>
          <t>2019</t>
        </is>
      </c>
      <c r="P31" s="111" t="n"/>
      <c r="Q31" s="111" t="n"/>
      <c r="R31" s="96" t="inlineStr">
        <is>
          <t>SWAL</t>
        </is>
      </c>
      <c r="S31" s="96" t="inlineStr">
        <is>
          <t>2609N</t>
        </is>
      </c>
      <c r="T31" s="96" t="inlineStr">
        <is>
          <t>LCH01</t>
        </is>
      </c>
      <c r="U31" s="96" t="inlineStr">
        <is>
          <t>THLCH</t>
        </is>
      </c>
      <c r="V31" s="161" t="inlineStr">
        <is>
          <t>2026-10-23</t>
        </is>
      </c>
      <c r="W31" s="96" t="inlineStr">
        <is>
          <t>JPNAH</t>
        </is>
      </c>
      <c r="X31" s="161" t="inlineStr">
        <is>
          <t>2026-11-01</t>
        </is>
      </c>
      <c r="Y31" s="97" t="n"/>
      <c r="Z31" s="97" t="n"/>
      <c r="AA31" s="97" t="n"/>
      <c r="AB31" s="97" t="n"/>
      <c r="AC31" s="97" t="n"/>
      <c r="AD31" s="161" t="inlineStr">
        <is>
          <t>2026-10-19</t>
        </is>
      </c>
      <c r="AE31" s="174" t="inlineStr">
        <is>
          <t>2110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TO ORDER OF MIZUHO BANK LTD., JAPAN</t>
        </is>
      </c>
      <c r="AK31" s="130" t="n"/>
    </row>
    <row r="32" ht="12" customHeight="1">
      <c r="A32" s="108" t="inlineStr">
        <is>
          <t>SKLU2082150</t>
        </is>
      </c>
      <c r="B32" s="108" t="inlineStr">
        <is>
          <t>LCH01</t>
        </is>
      </c>
      <c r="C32" s="108" t="inlineStr">
        <is>
          <t>IFV</t>
        </is>
      </c>
      <c r="D32" s="172" t="inlineStr">
        <is>
          <t>2026-10-17</t>
        </is>
      </c>
      <c r="E32" s="173" t="inlineStr">
        <is>
          <t>0955</t>
        </is>
      </c>
      <c r="F32" s="96" t="inlineStr">
        <is>
          <t>HASLS22260800955</t>
        </is>
      </c>
      <c r="G32" s="96" t="inlineStr">
        <is>
          <t>WHA GC LOGISTICS COMPANY LIMITED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HASLS22260800955</t>
        </is>
      </c>
      <c r="N32" s="96" t="inlineStr">
        <is>
          <t xml:space="preserve">20'x6 </t>
        </is>
      </c>
      <c r="O32" s="111" t="inlineStr">
        <is>
          <t>2019</t>
        </is>
      </c>
      <c r="P32" s="111" t="n"/>
      <c r="Q32" s="111" t="n"/>
      <c r="R32" s="96" t="inlineStr">
        <is>
          <t>SWAL</t>
        </is>
      </c>
      <c r="S32" s="96" t="inlineStr">
        <is>
          <t>2609N</t>
        </is>
      </c>
      <c r="T32" s="96" t="inlineStr">
        <is>
          <t>LCH01</t>
        </is>
      </c>
      <c r="U32" s="96" t="inlineStr">
        <is>
          <t>THLCH</t>
        </is>
      </c>
      <c r="V32" s="161" t="inlineStr">
        <is>
          <t>2026-10-23</t>
        </is>
      </c>
      <c r="W32" s="96" t="inlineStr">
        <is>
          <t>VNSGN</t>
        </is>
      </c>
      <c r="X32" s="161" t="inlineStr">
        <is>
          <t>2026-10-24</t>
        </is>
      </c>
      <c r="Y32" s="97" t="n"/>
      <c r="Z32" s="97" t="n"/>
      <c r="AA32" s="97" t="n"/>
      <c r="AB32" s="97" t="n"/>
      <c r="AC32" s="97" t="n"/>
      <c r="AD32" s="161" t="inlineStr">
        <is>
          <t>2026-10-17</t>
        </is>
      </c>
      <c r="AE32" s="174" t="inlineStr">
        <is>
          <t>1310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TO THE ORDER OF JOINT STOCK</t>
        </is>
      </c>
      <c r="AK32" s="130" t="n"/>
    </row>
    <row r="33" ht="12" customHeight="1">
      <c r="A33" s="108" t="inlineStr">
        <is>
          <t>SKLU2101727</t>
        </is>
      </c>
      <c r="B33" s="108" t="inlineStr">
        <is>
          <t>LCH01</t>
        </is>
      </c>
      <c r="C33" s="108" t="inlineStr">
        <is>
          <t>IFV</t>
        </is>
      </c>
      <c r="D33" s="172" t="inlineStr">
        <is>
          <t>2026-10-17</t>
        </is>
      </c>
      <c r="E33" s="173" t="inlineStr">
        <is>
          <t>1409</t>
        </is>
      </c>
      <c r="F33" s="96" t="inlineStr">
        <is>
          <t>HASLS22261000120</t>
        </is>
      </c>
      <c r="G33" s="96" t="inlineStr">
        <is>
          <t>MAXTOP LOGISTICS (THAILAND) CO., LTD.</t>
        </is>
      </c>
      <c r="H33" s="111" t="inlineStr">
        <is>
          <t>22GP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HASLS22261000120</t>
        </is>
      </c>
      <c r="N33" s="96" t="inlineStr">
        <is>
          <t xml:space="preserve">20'x7 </t>
        </is>
      </c>
      <c r="O33" s="111" t="inlineStr">
        <is>
          <t>2021</t>
        </is>
      </c>
      <c r="P33" s="111" t="n"/>
      <c r="Q33" s="111" t="n"/>
      <c r="R33" s="96" t="inlineStr">
        <is>
          <t>SWAL</t>
        </is>
      </c>
      <c r="S33" s="96" t="inlineStr">
        <is>
          <t>2609N</t>
        </is>
      </c>
      <c r="T33" s="96" t="inlineStr">
        <is>
          <t>LCH01</t>
        </is>
      </c>
      <c r="U33" s="96" t="inlineStr">
        <is>
          <t>THLCH</t>
        </is>
      </c>
      <c r="V33" s="161" t="inlineStr">
        <is>
          <t>2026-10-23</t>
        </is>
      </c>
      <c r="W33" s="96" t="inlineStr">
        <is>
          <t>KRINC</t>
        </is>
      </c>
      <c r="X33" s="161" t="inlineStr">
        <is>
          <t>2026-10-30</t>
        </is>
      </c>
      <c r="Y33" s="97" t="n"/>
      <c r="Z33" s="97" t="n"/>
      <c r="AA33" s="97" t="n"/>
      <c r="AB33" s="97" t="n"/>
      <c r="AC33" s="97" t="n"/>
      <c r="AD33" s="161" t="inlineStr">
        <is>
          <t>2026-10-17</t>
        </is>
      </c>
      <c r="AE33" s="174" t="inlineStr">
        <is>
          <t>1710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SEBANG EXPRESS CO., LTD</t>
        </is>
      </c>
      <c r="AK33" s="130" t="n"/>
    </row>
    <row r="34" ht="12" customHeight="1">
      <c r="A34" s="108" t="inlineStr">
        <is>
          <t>SKLU2105770</t>
        </is>
      </c>
      <c r="B34" s="108" t="inlineStr">
        <is>
          <t>LCH01</t>
        </is>
      </c>
      <c r="C34" s="108" t="inlineStr">
        <is>
          <t>IFV</t>
        </is>
      </c>
      <c r="D34" s="172" t="inlineStr">
        <is>
          <t>2026-10-17</t>
        </is>
      </c>
      <c r="E34" s="173" t="inlineStr">
        <is>
          <t>2305</t>
        </is>
      </c>
      <c r="F34" s="96" t="inlineStr">
        <is>
          <t>HASLS22261000120</t>
        </is>
      </c>
      <c r="G34" s="96" t="inlineStr">
        <is>
          <t>MAXTOP LOGISTICS (THAILAND) CO., LTD.</t>
        </is>
      </c>
      <c r="H34" s="111" t="inlineStr">
        <is>
          <t>22GP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HASLS22261000120</t>
        </is>
      </c>
      <c r="N34" s="96" t="inlineStr">
        <is>
          <t xml:space="preserve">20'x7 </t>
        </is>
      </c>
      <c r="O34" s="111" t="inlineStr">
        <is>
          <t>2021</t>
        </is>
      </c>
      <c r="P34" s="111" t="n"/>
      <c r="Q34" s="111" t="n"/>
      <c r="R34" s="96" t="inlineStr">
        <is>
          <t>SWAL</t>
        </is>
      </c>
      <c r="S34" s="96" t="inlineStr">
        <is>
          <t>2609N</t>
        </is>
      </c>
      <c r="T34" s="96" t="inlineStr">
        <is>
          <t>LCH01</t>
        </is>
      </c>
      <c r="U34" s="96" t="inlineStr">
        <is>
          <t>THLCH</t>
        </is>
      </c>
      <c r="V34" s="161" t="inlineStr">
        <is>
          <t>2026-10-23</t>
        </is>
      </c>
      <c r="W34" s="96" t="inlineStr">
        <is>
          <t>KRINC</t>
        </is>
      </c>
      <c r="X34" s="161" t="inlineStr">
        <is>
          <t>2026-10-30</t>
        </is>
      </c>
      <c r="Y34" s="97" t="n"/>
      <c r="Z34" s="97" t="n"/>
      <c r="AA34" s="97" t="n"/>
      <c r="AB34" s="97" t="n"/>
      <c r="AC34" s="97" t="n"/>
      <c r="AD34" s="161" t="inlineStr">
        <is>
          <t>2026-10-18</t>
        </is>
      </c>
      <c r="AE34" s="174" t="inlineStr">
        <is>
          <t>0210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SEBANG EXPRESS CO., LTD</t>
        </is>
      </c>
      <c r="AK34" s="130" t="n"/>
    </row>
    <row r="35" ht="12" customHeight="1">
      <c r="A35" s="108" t="inlineStr">
        <is>
          <t>SKLU2312123</t>
        </is>
      </c>
      <c r="B35" s="108" t="inlineStr">
        <is>
          <t>LCH01</t>
        </is>
      </c>
      <c r="C35" s="108" t="inlineStr">
        <is>
          <t>IFV</t>
        </is>
      </c>
      <c r="D35" s="172" t="inlineStr">
        <is>
          <t>2026-10-16</t>
        </is>
      </c>
      <c r="E35" s="173" t="inlineStr">
        <is>
          <t>0225</t>
        </is>
      </c>
      <c r="F35" s="96" t="inlineStr">
        <is>
          <t>HASLS22260901975</t>
        </is>
      </c>
      <c r="G35" s="96" t="inlineStr">
        <is>
          <t>EVERGREEN LOGISTICS (THAILAND) CO., LTD.</t>
        </is>
      </c>
      <c r="H35" s="111" t="inlineStr">
        <is>
          <t>22GP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HASLS22260901975</t>
        </is>
      </c>
      <c r="N35" s="96" t="inlineStr">
        <is>
          <t xml:space="preserve">20'x12 </t>
        </is>
      </c>
      <c r="O35" s="111" t="inlineStr">
        <is>
          <t>2023</t>
        </is>
      </c>
      <c r="P35" s="111" t="n"/>
      <c r="Q35" s="111" t="n"/>
      <c r="R35" s="96" t="inlineStr">
        <is>
          <t>SWAL</t>
        </is>
      </c>
      <c r="S35" s="96" t="inlineStr">
        <is>
          <t>2609N</t>
        </is>
      </c>
      <c r="T35" s="96" t="inlineStr">
        <is>
          <t>LCH01</t>
        </is>
      </c>
      <c r="U35" s="96" t="inlineStr">
        <is>
          <t>THLCH</t>
        </is>
      </c>
      <c r="V35" s="161" t="inlineStr">
        <is>
          <t>2026-10-23</t>
        </is>
      </c>
      <c r="W35" s="96" t="inlineStr">
        <is>
          <t>VNSGN</t>
        </is>
      </c>
      <c r="X35" s="161" t="inlineStr">
        <is>
          <t>2026-10-24</t>
        </is>
      </c>
      <c r="Y35" s="97" t="n"/>
      <c r="Z35" s="97" t="n"/>
      <c r="AA35" s="97" t="n"/>
      <c r="AB35" s="97" t="n"/>
      <c r="AC35" s="97" t="n"/>
      <c r="AD35" s="161" t="inlineStr">
        <is>
          <t>2026-10-16</t>
        </is>
      </c>
      <c r="AE35" s="174" t="inlineStr">
        <is>
          <t>0510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TCPVN COMPANY LIMITED</t>
        </is>
      </c>
      <c r="AK35" s="130" t="n"/>
    </row>
    <row r="36" ht="12" customHeight="1">
      <c r="A36" s="108" t="inlineStr">
        <is>
          <t>SKLU2329595</t>
        </is>
      </c>
      <c r="B36" s="108" t="inlineStr">
        <is>
          <t>LCH01</t>
        </is>
      </c>
      <c r="C36" s="108" t="inlineStr">
        <is>
          <t>IFV</t>
        </is>
      </c>
      <c r="D36" s="172" t="inlineStr">
        <is>
          <t>2026-10-16</t>
        </is>
      </c>
      <c r="E36" s="173" t="inlineStr">
        <is>
          <t>2340</t>
        </is>
      </c>
      <c r="F36" s="96" t="inlineStr">
        <is>
          <t>HASLS22260901975</t>
        </is>
      </c>
      <c r="G36" s="96" t="inlineStr">
        <is>
          <t>EVERGREEN LOGISTICS (THAILAND) CO., LTD.</t>
        </is>
      </c>
      <c r="H36" s="111" t="inlineStr">
        <is>
          <t>22GP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HASLS22260901975</t>
        </is>
      </c>
      <c r="N36" s="96" t="inlineStr">
        <is>
          <t xml:space="preserve">20'x12 </t>
        </is>
      </c>
      <c r="O36" s="111" t="inlineStr">
        <is>
          <t>2023</t>
        </is>
      </c>
      <c r="P36" s="111" t="n"/>
      <c r="Q36" s="111" t="n"/>
      <c r="R36" s="96" t="inlineStr">
        <is>
          <t>SWAL</t>
        </is>
      </c>
      <c r="S36" s="96" t="inlineStr">
        <is>
          <t>2609N</t>
        </is>
      </c>
      <c r="T36" s="96" t="inlineStr">
        <is>
          <t>LCH01</t>
        </is>
      </c>
      <c r="U36" s="96" t="inlineStr">
        <is>
          <t>THLCH</t>
        </is>
      </c>
      <c r="V36" s="161" t="inlineStr">
        <is>
          <t>2026-10-23</t>
        </is>
      </c>
      <c r="W36" s="96" t="inlineStr">
        <is>
          <t>VNSGN</t>
        </is>
      </c>
      <c r="X36" s="161" t="inlineStr">
        <is>
          <t>2026-10-24</t>
        </is>
      </c>
      <c r="Y36" s="97" t="n"/>
      <c r="Z36" s="97" t="n"/>
      <c r="AA36" s="97" t="n"/>
      <c r="AB36" s="97" t="n"/>
      <c r="AC36" s="97" t="n"/>
      <c r="AD36" s="161" t="inlineStr">
        <is>
          <t>2026-10-17</t>
        </is>
      </c>
      <c r="AE36" s="174" t="inlineStr">
        <is>
          <t>0210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TCPVN COMPANY LIMITED</t>
        </is>
      </c>
      <c r="AK36" s="130" t="n"/>
    </row>
    <row r="37" ht="12" customHeight="1">
      <c r="A37" s="108" t="inlineStr">
        <is>
          <t>SKLU2349101</t>
        </is>
      </c>
      <c r="B37" s="108" t="inlineStr">
        <is>
          <t>LCH01</t>
        </is>
      </c>
      <c r="C37" s="108" t="inlineStr">
        <is>
          <t>IFV</t>
        </is>
      </c>
      <c r="D37" s="172" t="inlineStr">
        <is>
          <t>2026-10-16</t>
        </is>
      </c>
      <c r="E37" s="173" t="inlineStr">
        <is>
          <t>0250</t>
        </is>
      </c>
      <c r="F37" s="96" t="inlineStr">
        <is>
          <t>HASLS22260902686</t>
        </is>
      </c>
      <c r="G37" s="96" t="inlineStr">
        <is>
          <t>UNITED MARINE LOGISTIC CO., LTD.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HASLS22260902686</t>
        </is>
      </c>
      <c r="N37" s="96" t="inlineStr">
        <is>
          <t xml:space="preserve">20'x2 </t>
        </is>
      </c>
      <c r="O37" s="111" t="inlineStr">
        <is>
          <t>2023</t>
        </is>
      </c>
      <c r="P37" s="111" t="n"/>
      <c r="Q37" s="111" t="n"/>
      <c r="R37" s="96" t="inlineStr">
        <is>
          <t>SWAL</t>
        </is>
      </c>
      <c r="S37" s="96" t="inlineStr">
        <is>
          <t>2609N</t>
        </is>
      </c>
      <c r="T37" s="96" t="inlineStr">
        <is>
          <t>LCH01</t>
        </is>
      </c>
      <c r="U37" s="96" t="inlineStr">
        <is>
          <t>THLCH</t>
        </is>
      </c>
      <c r="V37" s="161" t="inlineStr">
        <is>
          <t>2026-10-23</t>
        </is>
      </c>
      <c r="W37" s="96" t="inlineStr">
        <is>
          <t>VNSGN</t>
        </is>
      </c>
      <c r="X37" s="161" t="inlineStr">
        <is>
          <t>2026-10-24</t>
        </is>
      </c>
      <c r="Y37" s="97" t="n"/>
      <c r="Z37" s="97" t="n"/>
      <c r="AA37" s="97" t="n"/>
      <c r="AB37" s="97" t="n"/>
      <c r="AC37" s="97" t="n"/>
      <c r="AD37" s="161" t="inlineStr">
        <is>
          <t>2026-10-16</t>
        </is>
      </c>
      <c r="AE37" s="174" t="inlineStr">
        <is>
          <t>0510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SHINEROAD FOOD</t>
        </is>
      </c>
      <c r="AK37" s="130" t="n"/>
    </row>
    <row r="38" ht="12" customHeight="1">
      <c r="A38" s="108" t="inlineStr">
        <is>
          <t>SKLU2351259</t>
        </is>
      </c>
      <c r="B38" s="108" t="inlineStr">
        <is>
          <t>LCH01</t>
        </is>
      </c>
      <c r="C38" s="108" t="inlineStr">
        <is>
          <t>IFV</t>
        </is>
      </c>
      <c r="D38" s="172" t="inlineStr">
        <is>
          <t>2026-10-17</t>
        </is>
      </c>
      <c r="E38" s="173" t="inlineStr">
        <is>
          <t>1051</t>
        </is>
      </c>
      <c r="F38" s="96" t="inlineStr">
        <is>
          <t>HASLS22260901975</t>
        </is>
      </c>
      <c r="G38" s="96" t="inlineStr">
        <is>
          <t>EVERGREEN LOGISTICS (THAILAND) CO., LTD.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HASLS22260901975</t>
        </is>
      </c>
      <c r="N38" s="96" t="inlineStr">
        <is>
          <t xml:space="preserve">20'x12 </t>
        </is>
      </c>
      <c r="O38" s="111" t="inlineStr">
        <is>
          <t>2023</t>
        </is>
      </c>
      <c r="P38" s="111" t="n"/>
      <c r="Q38" s="111" t="n"/>
      <c r="R38" s="96" t="inlineStr">
        <is>
          <t>SWAL</t>
        </is>
      </c>
      <c r="S38" s="96" t="inlineStr">
        <is>
          <t>2609N</t>
        </is>
      </c>
      <c r="T38" s="96" t="inlineStr">
        <is>
          <t>LCH01</t>
        </is>
      </c>
      <c r="U38" s="96" t="inlineStr">
        <is>
          <t>THLCH</t>
        </is>
      </c>
      <c r="V38" s="161" t="inlineStr">
        <is>
          <t>2026-10-23</t>
        </is>
      </c>
      <c r="W38" s="96" t="inlineStr">
        <is>
          <t>VNSGN</t>
        </is>
      </c>
      <c r="X38" s="161" t="inlineStr">
        <is>
          <t>2026-10-24</t>
        </is>
      </c>
      <c r="Y38" s="97" t="n"/>
      <c r="Z38" s="97" t="n"/>
      <c r="AA38" s="97" t="n"/>
      <c r="AB38" s="97" t="n"/>
      <c r="AC38" s="97" t="n"/>
      <c r="AD38" s="161" t="inlineStr">
        <is>
          <t>2026-10-17</t>
        </is>
      </c>
      <c r="AE38" s="174" t="inlineStr">
        <is>
          <t>1410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TCPVN COMPANY LIMITED</t>
        </is>
      </c>
      <c r="AK38" s="130" t="n"/>
    </row>
    <row r="39" ht="12" customHeight="1">
      <c r="A39" s="108" t="inlineStr">
        <is>
          <t>SKLU2363265</t>
        </is>
      </c>
      <c r="B39" s="108" t="inlineStr">
        <is>
          <t>LCH01</t>
        </is>
      </c>
      <c r="C39" s="108" t="inlineStr">
        <is>
          <t>IFV</t>
        </is>
      </c>
      <c r="D39" s="172" t="inlineStr">
        <is>
          <t>2026-10-18</t>
        </is>
      </c>
      <c r="E39" s="173" t="inlineStr">
        <is>
          <t>0424</t>
        </is>
      </c>
      <c r="F39" s="96" t="inlineStr">
        <is>
          <t>HASLS22260902626</t>
        </is>
      </c>
      <c r="G39" s="96" t="inlineStr">
        <is>
          <t>DOW CHEMICAL THAILAND LTD.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HASLS22260902626</t>
        </is>
      </c>
      <c r="N39" s="96" t="inlineStr">
        <is>
          <t xml:space="preserve">20'x1 </t>
        </is>
      </c>
      <c r="O39" s="111" t="inlineStr">
        <is>
          <t>2023</t>
        </is>
      </c>
      <c r="P39" s="111" t="n"/>
      <c r="Q39" s="111" t="n"/>
      <c r="R39" s="96" t="inlineStr">
        <is>
          <t>SWAL</t>
        </is>
      </c>
      <c r="S39" s="96" t="inlineStr">
        <is>
          <t>2609N</t>
        </is>
      </c>
      <c r="T39" s="96" t="inlineStr">
        <is>
          <t>LCH01</t>
        </is>
      </c>
      <c r="U39" s="96" t="inlineStr">
        <is>
          <t>THLCH</t>
        </is>
      </c>
      <c r="V39" s="161" t="inlineStr">
        <is>
          <t>2026-10-23</t>
        </is>
      </c>
      <c r="W39" s="96" t="inlineStr">
        <is>
          <t>JPNGO</t>
        </is>
      </c>
      <c r="X39" s="161" t="inlineStr">
        <is>
          <t>2026-11-01</t>
        </is>
      </c>
      <c r="Y39" s="97" t="n"/>
      <c r="Z39" s="97" t="n"/>
      <c r="AA39" s="97" t="n"/>
      <c r="AB39" s="97" t="n"/>
      <c r="AC39" s="97" t="n"/>
      <c r="AD39" s="161" t="inlineStr">
        <is>
          <t>2026-10-18</t>
        </is>
      </c>
      <c r="AE39" s="174" t="inlineStr">
        <is>
          <t>0710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DOW CHEMICAL JAPAN LIMITED</t>
        </is>
      </c>
      <c r="AK39" s="130" t="n"/>
    </row>
    <row r="40" ht="12" customHeight="1">
      <c r="A40" s="108" t="inlineStr">
        <is>
          <t>SKLU2473391</t>
        </is>
      </c>
      <c r="B40" s="108" t="inlineStr">
        <is>
          <t>LCH01</t>
        </is>
      </c>
      <c r="C40" s="108" t="inlineStr">
        <is>
          <t>IFV</t>
        </is>
      </c>
      <c r="D40" s="172" t="inlineStr">
        <is>
          <t>2026-10-18</t>
        </is>
      </c>
      <c r="E40" s="173" t="inlineStr">
        <is>
          <t>1000</t>
        </is>
      </c>
      <c r="F40" s="96" t="inlineStr">
        <is>
          <t>HASLS22260902627</t>
        </is>
      </c>
      <c r="G40" s="96" t="inlineStr">
        <is>
          <t>DOW CHEMICAL THAILAND LTD.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HASLS22260902627</t>
        </is>
      </c>
      <c r="N40" s="96" t="inlineStr">
        <is>
          <t xml:space="preserve">20'x1 </t>
        </is>
      </c>
      <c r="O40" s="111" t="inlineStr">
        <is>
          <t>2024</t>
        </is>
      </c>
      <c r="P40" s="111" t="n"/>
      <c r="Q40" s="111" t="n"/>
      <c r="R40" s="96" t="inlineStr">
        <is>
          <t>SWAL</t>
        </is>
      </c>
      <c r="S40" s="96" t="inlineStr">
        <is>
          <t>2609N</t>
        </is>
      </c>
      <c r="T40" s="96" t="inlineStr">
        <is>
          <t>LCH01</t>
        </is>
      </c>
      <c r="U40" s="96" t="inlineStr">
        <is>
          <t>THLCH</t>
        </is>
      </c>
      <c r="V40" s="161" t="inlineStr">
        <is>
          <t>2026-10-23</t>
        </is>
      </c>
      <c r="W40" s="96" t="inlineStr">
        <is>
          <t>JPNGO</t>
        </is>
      </c>
      <c r="X40" s="161" t="inlineStr">
        <is>
          <t>2026-11-01</t>
        </is>
      </c>
      <c r="Y40" s="97" t="n"/>
      <c r="Z40" s="97" t="n"/>
      <c r="AA40" s="97" t="n"/>
      <c r="AB40" s="97" t="n"/>
      <c r="AC40" s="97" t="n"/>
      <c r="AD40" s="161" t="inlineStr">
        <is>
          <t>2026-10-18</t>
        </is>
      </c>
      <c r="AE40" s="174" t="inlineStr">
        <is>
          <t>1310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DOW CHEMICAL JAPAN LIMITED</t>
        </is>
      </c>
      <c r="AK40" s="130" t="n"/>
    </row>
    <row r="41" ht="12" customHeight="1">
      <c r="A41" s="108" t="inlineStr">
        <is>
          <t>SKLU3504645</t>
        </is>
      </c>
      <c r="B41" s="108" t="inlineStr">
        <is>
          <t>LCH01</t>
        </is>
      </c>
      <c r="C41" s="108" t="inlineStr">
        <is>
          <t>IFV</t>
        </is>
      </c>
      <c r="D41" s="172" t="inlineStr">
        <is>
          <t>2026-10-17</t>
        </is>
      </c>
      <c r="E41" s="173" t="inlineStr">
        <is>
          <t>1059</t>
        </is>
      </c>
      <c r="F41" s="96" t="inlineStr">
        <is>
          <t>HASLS22260901975</t>
        </is>
      </c>
      <c r="G41" s="96" t="inlineStr">
        <is>
          <t>EVERGREEN LOGISTICS (THAILAND) CO., LTD.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HASLS22260901975</t>
        </is>
      </c>
      <c r="N41" s="96" t="inlineStr">
        <is>
          <t xml:space="preserve">20'x12 </t>
        </is>
      </c>
      <c r="O41" s="111" t="inlineStr">
        <is>
          <t>2015</t>
        </is>
      </c>
      <c r="P41" s="111" t="n"/>
      <c r="Q41" s="111" t="n"/>
      <c r="R41" s="96" t="inlineStr">
        <is>
          <t>SWAL</t>
        </is>
      </c>
      <c r="S41" s="96" t="inlineStr">
        <is>
          <t>2609N</t>
        </is>
      </c>
      <c r="T41" s="96" t="inlineStr">
        <is>
          <t>LCH01</t>
        </is>
      </c>
      <c r="U41" s="96" t="inlineStr">
        <is>
          <t>THLCH</t>
        </is>
      </c>
      <c r="V41" s="161" t="inlineStr">
        <is>
          <t>2026-10-23</t>
        </is>
      </c>
      <c r="W41" s="96" t="inlineStr">
        <is>
          <t>VNSGN</t>
        </is>
      </c>
      <c r="X41" s="161" t="inlineStr">
        <is>
          <t>2026-10-24</t>
        </is>
      </c>
      <c r="Y41" s="97" t="n"/>
      <c r="Z41" s="97" t="n"/>
      <c r="AA41" s="97" t="n"/>
      <c r="AB41" s="97" t="n"/>
      <c r="AC41" s="97" t="n"/>
      <c r="AD41" s="161" t="inlineStr">
        <is>
          <t>2026-10-17</t>
        </is>
      </c>
      <c r="AE41" s="174" t="inlineStr">
        <is>
          <t>1410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TCPVN COMPANY LIMITED</t>
        </is>
      </c>
      <c r="AK41" s="130" t="n"/>
    </row>
    <row r="42" ht="12" customHeight="1">
      <c r="A42" s="108" t="inlineStr">
        <is>
          <t>SKLU3516590</t>
        </is>
      </c>
      <c r="B42" s="108" t="inlineStr">
        <is>
          <t>LCH01</t>
        </is>
      </c>
      <c r="C42" s="108" t="inlineStr">
        <is>
          <t>IFV</t>
        </is>
      </c>
      <c r="D42" s="172" t="inlineStr">
        <is>
          <t>2026-10-17</t>
        </is>
      </c>
      <c r="E42" s="173" t="inlineStr">
        <is>
          <t>0958</t>
        </is>
      </c>
      <c r="F42" s="96" t="inlineStr">
        <is>
          <t>HASLS22260902686</t>
        </is>
      </c>
      <c r="G42" s="96" t="inlineStr">
        <is>
          <t>UNITED MARINE LOGISTIC CO., LTD.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HASLS22260902686</t>
        </is>
      </c>
      <c r="N42" s="96" t="inlineStr">
        <is>
          <t xml:space="preserve">20'x2 </t>
        </is>
      </c>
      <c r="O42" s="111" t="inlineStr">
        <is>
          <t>2015</t>
        </is>
      </c>
      <c r="P42" s="111" t="n"/>
      <c r="Q42" s="111" t="n"/>
      <c r="R42" s="96" t="inlineStr">
        <is>
          <t>SWAL</t>
        </is>
      </c>
      <c r="S42" s="96" t="inlineStr">
        <is>
          <t>2609N</t>
        </is>
      </c>
      <c r="T42" s="96" t="inlineStr">
        <is>
          <t>LCH01</t>
        </is>
      </c>
      <c r="U42" s="96" t="inlineStr">
        <is>
          <t>THLCH</t>
        </is>
      </c>
      <c r="V42" s="161" t="inlineStr">
        <is>
          <t>2026-10-23</t>
        </is>
      </c>
      <c r="W42" s="96" t="inlineStr">
        <is>
          <t>VNSGN</t>
        </is>
      </c>
      <c r="X42" s="161" t="inlineStr">
        <is>
          <t>2026-10-24</t>
        </is>
      </c>
      <c r="Y42" s="97" t="n"/>
      <c r="Z42" s="97" t="n"/>
      <c r="AA42" s="97" t="n"/>
      <c r="AB42" s="97" t="n"/>
      <c r="AC42" s="97" t="n"/>
      <c r="AD42" s="161" t="inlineStr">
        <is>
          <t>2026-10-17</t>
        </is>
      </c>
      <c r="AE42" s="174" t="inlineStr">
        <is>
          <t>1310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SHINEROAD FOOD</t>
        </is>
      </c>
      <c r="AK42" s="130" t="n"/>
    </row>
    <row r="43" ht="12" customHeight="1">
      <c r="A43" s="108" t="inlineStr">
        <is>
          <t>SKRU9902740</t>
        </is>
      </c>
      <c r="B43" s="108" t="inlineStr">
        <is>
          <t>LCH01</t>
        </is>
      </c>
      <c r="C43" s="108" t="inlineStr">
        <is>
          <t>IFV</t>
        </is>
      </c>
      <c r="D43" s="172" t="inlineStr">
        <is>
          <t>2026-10-21</t>
        </is>
      </c>
      <c r="E43" s="173" t="inlineStr">
        <is>
          <t>0952</t>
        </is>
      </c>
      <c r="F43" s="96" t="inlineStr">
        <is>
          <t>HASLS22261000863</t>
        </is>
      </c>
      <c r="G43" s="96" t="inlineStr">
        <is>
          <t>GOLDEN SEA FROZEN FOODS CO.,LTD</t>
        </is>
      </c>
      <c r="H43" s="111" t="inlineStr">
        <is>
          <t>45RE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HASLS22261000863</t>
        </is>
      </c>
      <c r="N43" s="96" t="inlineStr">
        <is>
          <t xml:space="preserve">R40Hx1 </t>
        </is>
      </c>
      <c r="O43" s="111" t="inlineStr">
        <is>
          <t>2019</t>
        </is>
      </c>
      <c r="P43" s="111" t="inlineStr">
        <is>
          <t>CARRIER</t>
        </is>
      </c>
      <c r="Q43" s="111" t="inlineStr">
        <is>
          <t>PRIME LINE</t>
        </is>
      </c>
      <c r="R43" s="96" t="inlineStr">
        <is>
          <t>SWAL</t>
        </is>
      </c>
      <c r="S43" s="96" t="inlineStr">
        <is>
          <t>2609N</t>
        </is>
      </c>
      <c r="T43" s="96" t="inlineStr">
        <is>
          <t>LCH01</t>
        </is>
      </c>
      <c r="U43" s="96" t="inlineStr">
        <is>
          <t>THLCH</t>
        </is>
      </c>
      <c r="V43" s="161" t="inlineStr">
        <is>
          <t>2026-10-23</t>
        </is>
      </c>
      <c r="W43" s="96" t="inlineStr">
        <is>
          <t>VNSGN</t>
        </is>
      </c>
      <c r="X43" s="161" t="inlineStr">
        <is>
          <t>2026-10-24</t>
        </is>
      </c>
      <c r="Y43" s="97" t="n"/>
      <c r="Z43" s="97" t="n"/>
      <c r="AA43" s="97" t="n"/>
      <c r="AB43" s="97" t="n"/>
      <c r="AC43" s="97" t="n"/>
      <c r="AD43" s="161" t="inlineStr">
        <is>
          <t>2026-10-21</t>
        </is>
      </c>
      <c r="AE43" s="174" t="inlineStr">
        <is>
          <t>1303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HAI ANH IMPORT EXPORT BUSINESS</t>
        </is>
      </c>
      <c r="AK43" s="130" t="n"/>
    </row>
    <row r="44" ht="12" customHeight="1">
      <c r="A44" s="108" t="inlineStr">
        <is>
          <t>TGCU2412747</t>
        </is>
      </c>
      <c r="B44" s="108" t="inlineStr">
        <is>
          <t>LCH01</t>
        </is>
      </c>
      <c r="C44" s="108" t="inlineStr">
        <is>
          <t>IFV</t>
        </is>
      </c>
      <c r="D44" s="172" t="inlineStr">
        <is>
          <t>2026-10-14</t>
        </is>
      </c>
      <c r="E44" s="173" t="inlineStr">
        <is>
          <t>1304</t>
        </is>
      </c>
      <c r="F44" s="96" t="inlineStr">
        <is>
          <t>HASLS22261000275</t>
        </is>
      </c>
      <c r="G44" s="96" t="inlineStr">
        <is>
          <t>THAI MFC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HASLS22261000275</t>
        </is>
      </c>
      <c r="N44" s="96" t="inlineStr">
        <is>
          <t xml:space="preserve">20'x1 </t>
        </is>
      </c>
      <c r="O44" s="111" t="inlineStr">
        <is>
          <t>2023</t>
        </is>
      </c>
      <c r="P44" s="111" t="n"/>
      <c r="Q44" s="111" t="n"/>
      <c r="R44" s="96" t="inlineStr">
        <is>
          <t>SWAL</t>
        </is>
      </c>
      <c r="S44" s="96" t="inlineStr">
        <is>
          <t>2609N</t>
        </is>
      </c>
      <c r="T44" s="96" t="inlineStr">
        <is>
          <t>LCH01</t>
        </is>
      </c>
      <c r="U44" s="96" t="inlineStr">
        <is>
          <t>THLCH</t>
        </is>
      </c>
      <c r="V44" s="161" t="inlineStr">
        <is>
          <t>2026-10-23</t>
        </is>
      </c>
      <c r="W44" s="96" t="inlineStr">
        <is>
          <t>KRINC</t>
        </is>
      </c>
      <c r="X44" s="161" t="inlineStr">
        <is>
          <t>2026-10-30</t>
        </is>
      </c>
      <c r="Y44" s="97" t="n"/>
      <c r="Z44" s="97" t="n"/>
      <c r="AA44" s="97" t="n"/>
      <c r="AB44" s="97" t="n"/>
      <c r="AC44" s="97" t="n"/>
      <c r="AD44" s="161" t="inlineStr">
        <is>
          <t>2026-10-14</t>
        </is>
      </c>
      <c r="AE44" s="174" t="inlineStr">
        <is>
          <t>1609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EADER MELAMINE CO. LTD.</t>
        </is>
      </c>
      <c r="AK44" s="130" t="n"/>
    </row>
    <row r="45" ht="12" customHeight="1">
      <c r="A45" s="108" t="inlineStr">
        <is>
          <t>TRHU1676534</t>
        </is>
      </c>
      <c r="B45" s="108" t="inlineStr">
        <is>
          <t>LCH01</t>
        </is>
      </c>
      <c r="C45" s="108" t="inlineStr">
        <is>
          <t>IFV</t>
        </is>
      </c>
      <c r="D45" s="172" t="inlineStr">
        <is>
          <t>2026-10-16</t>
        </is>
      </c>
      <c r="E45" s="173" t="inlineStr">
        <is>
          <t>1808</t>
        </is>
      </c>
      <c r="F45" s="96" t="inlineStr">
        <is>
          <t>HASLS22260902657</t>
        </is>
      </c>
      <c r="G45" s="96" t="inlineStr">
        <is>
          <t>ACCORD PILOT LOGISTICS (THAILAND) CO., LTD.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HASLS22260902657</t>
        </is>
      </c>
      <c r="N45" s="96" t="inlineStr">
        <is>
          <t xml:space="preserve">20'x1 </t>
        </is>
      </c>
      <c r="O45" s="111" t="inlineStr">
        <is>
          <t>2012</t>
        </is>
      </c>
      <c r="P45" s="111" t="n"/>
      <c r="Q45" s="111" t="n"/>
      <c r="R45" s="96" t="inlineStr">
        <is>
          <t>SWAL</t>
        </is>
      </c>
      <c r="S45" s="96" t="inlineStr">
        <is>
          <t>2609N</t>
        </is>
      </c>
      <c r="T45" s="96" t="inlineStr">
        <is>
          <t>LCH01</t>
        </is>
      </c>
      <c r="U45" s="96" t="inlineStr">
        <is>
          <t>THLCH</t>
        </is>
      </c>
      <c r="V45" s="161" t="inlineStr">
        <is>
          <t>2026-10-23</t>
        </is>
      </c>
      <c r="W45" s="96" t="inlineStr">
        <is>
          <t>VNSGN</t>
        </is>
      </c>
      <c r="X45" s="161" t="inlineStr">
        <is>
          <t>2026-10-24</t>
        </is>
      </c>
      <c r="Y45" s="97" t="n"/>
      <c r="Z45" s="97" t="n"/>
      <c r="AA45" s="97" t="n"/>
      <c r="AB45" s="97" t="n"/>
      <c r="AC45" s="97" t="n"/>
      <c r="AD45" s="161" t="inlineStr">
        <is>
          <t>2026-10-16</t>
        </is>
      </c>
      <c r="AE45" s="174" t="inlineStr">
        <is>
          <t>2110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MP CONSOL CO.,LTD.</t>
        </is>
      </c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1250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1250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CXDU2376549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LCH01</v>
      </c>
      <c r="D3" s="61" t="str">
        <f>VLOOKUP(A3,'1.Loading'!A:R,17,FALSE)</f>
        <v>HASLS22261000120</v>
      </c>
      <c r="E3" s="62" t="str">
        <f>VLOOKUP(D3,'2.Bookinglist'!A:CT,27,FALSE)</f>
        <v>MAXTOP LOGISTICS (THAILAND) CO., LTD.</v>
      </c>
      <c r="F3" s="62" t="str">
        <f>VLOOKUP(D3,'2.Bookinglist'!A:CT,28,FALSE)</f>
        <v>POSCO COATED STEEL (THAILAND)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KRINC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SWAL</v>
      </c>
      <c r="P3" s="61" t="str">
        <f>VLOOKUP(A3,'1.Loading'!A:R,4,FALSE)</f>
        <v>2609N</v>
      </c>
      <c r="Q3" s="61" t="str">
        <f>VLOOKUP(D3,'2.Bookinglist'!A:CT,12,FALSE)</f>
        <v>KST</v>
      </c>
      <c r="R3" s="60" t="str">
        <f>IF(LEFT(K3,2)="22","20'","40'")</f>
        <v>20'</v>
      </c>
      <c r="S3" s="101" t="n"/>
      <c r="T3" s="61" t="str">
        <f>VLOOKUP(A3,'1.Loading'!A:R,2,FALSE)</f>
        <v>2026-10-23</v>
      </c>
      <c r="U3" s="63">
        <f>T3-S3</f>
        <v>46318</v>
      </c>
      <c r="V3" s="178" t="n"/>
      <c r="W3" s="61" t="str">
        <f>VLOOKUP(A3,'3.GateMove'!A:D,4,FALSE)</f>
        <v>2026-10-17</v>
      </c>
      <c r="X3" s="63">
        <f>((T3-W3)+1)</f>
        <v>7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46319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2026-10-20</v>
      </c>
      <c r="AM3" s="60" t="str">
        <f>VLOOKUP(D3,'2.Bookinglist'!A:BK,63,FALSE)</f>
        <v>LCHY5</v>
      </c>
      <c r="AN3" s="62" t="str">
        <f>VLOOKUP(D3,'2.Bookinglist'!A:AZ,52,FALSE)</f>
        <v>Pickup : 2026-10-12, Return : 2026-10-16
**CHECK OPENGATE BEFORE RETURN CNTR**</v>
      </c>
      <c r="AO3" s="62">
        <f>VLOOKUP(D3,'2.Bookinglist'!A:CY,103,FALSE)</f>
        <v>0</v>
      </c>
    </row>
    <row r="4" ht="12.95" customHeight="1">
      <c r="A4" s="96" t="inlineStr">
        <is>
          <t>HALU2025185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LCH01</v>
      </c>
      <c r="D4" s="61" t="str">
        <f>VLOOKUP(A4,'1.Loading'!A:R,17,FALSE)</f>
        <v>HASLS22260800955</v>
      </c>
      <c r="E4" s="62" t="str">
        <f>VLOOKUP(D4,'2.Bookinglist'!A:CT,27,FALSE)</f>
        <v>WHA GC LOGISTICS COMPANY LIMITED</v>
      </c>
      <c r="F4" s="62" t="str">
        <f>VLOOKUP(D4,'2.Bookinglist'!A:CT,28,FALSE)</f>
        <v>PTT GLOBAL CHEMICAL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SWAL</v>
      </c>
      <c r="P4" s="61" t="str">
        <f>VLOOKUP(A4,'1.Loading'!A:R,4,FALSE)</f>
        <v>2609N</v>
      </c>
      <c r="Q4" s="61" t="str">
        <f>VLOOKUP(D4,'2.Bookinglist'!A:CT,12,FALSE)</f>
        <v>KST</v>
      </c>
      <c r="R4" s="60" t="str">
        <f>IF(LEFT(K4,2)="22","20'","40'")</f>
        <v>20'</v>
      </c>
      <c r="S4" s="185" t="n"/>
      <c r="T4" s="61" t="str">
        <f>VLOOKUP(A4,'1.Loading'!A:R,2,FALSE)</f>
        <v>2026-10-23</v>
      </c>
      <c r="U4" s="63">
        <f>T4-S4</f>
        <v>46318</v>
      </c>
      <c r="V4" s="186" t="n"/>
      <c r="W4" s="61" t="str">
        <f>VLOOKUP(A4,'3.GateMove'!A:D,4,FALSE)</f>
        <v>2026-10-17</v>
      </c>
      <c r="X4" s="63">
        <f>((T4-W4)+1)</f>
        <v>7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46319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Dharaporn</v>
      </c>
      <c r="AL4" s="60" t="str">
        <f>VLOOKUP(D4,'2.Bookinglist'!A:CW,101,FALSE)</f>
        <v>2026-10-20</v>
      </c>
      <c r="AM4" s="60" t="str">
        <f>VLOOKUP(D4,'2.Bookinglist'!A:BK,63,FALSE)</f>
        <v>LCHY5</v>
      </c>
      <c r="AN4" s="62" t="str">
        <f>VLOOKUP(D4,'2.Bookinglist'!A:AZ,52,FALSE)</f>
        <v>CY-RTN : 02-09/10/2026</v>
      </c>
      <c r="AO4" s="62" t="str">
        <f>VLOOKUP(D4,'2.Bookinglist'!A:CY,103,FALSE)</f>
        <v>ROLL OVER FORM PREIVOUS VSL KUS 2616N BY ALLOCAITON TEAM MS.TARN APRPOVED COST IS UNDER HA DD.12/10</v>
      </c>
    </row>
    <row r="5" ht="12.95" customHeight="1">
      <c r="A5" s="96" t="inlineStr">
        <is>
          <t>HALU2084043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LCH01</v>
      </c>
      <c r="D5" s="61" t="str">
        <f>VLOOKUP(A5,'1.Loading'!A:R,17,FALSE)</f>
        <v>HASLS22261000005</v>
      </c>
      <c r="E5" s="62" t="str">
        <f>VLOOKUP(D5,'2.Bookinglist'!A:CT,27,FALSE)</f>
        <v>SCGJWD LOGISTICS PUBLIC COMPANY LIMITED</v>
      </c>
      <c r="F5" s="62" t="str">
        <f>VLOOKUP(D5,'2.Bookinglist'!A:CT,28,FALSE)</f>
        <v>THAI POLYETHYLENE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JPNAH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SWAL</v>
      </c>
      <c r="P5" s="61" t="str">
        <f>VLOOKUP(A5,'1.Loading'!A:R,4,FALSE)</f>
        <v>2609N</v>
      </c>
      <c r="Q5" s="61" t="str">
        <f>VLOOKUP(D5,'2.Bookinglist'!A:CT,12,FALSE)</f>
        <v>KST</v>
      </c>
      <c r="R5" s="60" t="str">
        <f>IF(LEFT(K5,2)="22","20'","40'")</f>
        <v>20'</v>
      </c>
      <c r="S5" s="185" t="n"/>
      <c r="T5" s="61" t="str">
        <f>VLOOKUP(A5,'1.Loading'!A:R,2,FALSE)</f>
        <v>2026-10-23</v>
      </c>
      <c r="U5" s="63">
        <f>T5-S5</f>
        <v>46318</v>
      </c>
      <c r="V5" s="186" t="n"/>
      <c r="W5" s="61" t="str">
        <f>VLOOKUP(A5,'3.GateMove'!A:D,4,FALSE)</f>
        <v>2026-10-19</v>
      </c>
      <c r="X5" s="63">
        <f>((T5-W5)+1)</f>
        <v>5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46319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Kanokporn</v>
      </c>
      <c r="AL5" s="60" t="str">
        <f>VLOOKUP(D5,'2.Bookinglist'!A:CW,101,FALSE)</f>
        <v>2026-10-20</v>
      </c>
      <c r="AM5" s="60" t="str">
        <f>VLOOKUP(D5,'2.Bookinglist'!A:BK,63,FALSE)</f>
        <v>LCHY5</v>
      </c>
      <c r="AN5" s="62" t="str">
        <f>VLOOKUP(D5,'2.Bookinglist'!A:AZ,52,FALSE)</f>
        <v>CY-RTN :09-12/10/2026 (INV : 3031061705) // FM KJT 2611N BY HAL DD.12/10
EXTEND CLOSTING TIME  2026-10-15 @ 23.59
</v>
      </c>
      <c r="AO5" s="62" t="str">
        <f>VLOOKUP(D5,'2.Bookinglist'!A:CY,103,FALSE)</f>
        <v>ROLL OVER FROM PREVIOUS VSL SWBT 2616N BY ALLOCATION TEAM MS.TARN APPROVED COST IS UNDER HA DD.15/10</v>
      </c>
    </row>
    <row r="6" ht="12.95" customHeight="1">
      <c r="A6" s="96" t="inlineStr">
        <is>
          <t>HALU2086920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LCH01</v>
      </c>
      <c r="D6" s="61" t="str">
        <f>VLOOKUP(A6,'1.Loading'!A:R,17,FALSE)</f>
        <v>HASLS22260901975</v>
      </c>
      <c r="E6" s="62" t="str">
        <f>VLOOKUP(D6,'2.Bookinglist'!A:CT,27,FALSE)</f>
        <v>EVERGREEN LOGISTICS (THAILAND) CO., LTD.</v>
      </c>
      <c r="F6" s="62" t="str">
        <f>VLOOKUP(D6,'2.Bookinglist'!A:CT,28,FALSE)</f>
        <v>T.C.PHARMACEUTICAL INDUSTRIES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SWAL</v>
      </c>
      <c r="P6" s="61" t="str">
        <f>VLOOKUP(A6,'1.Loading'!A:R,4,FALSE)</f>
        <v>2609N</v>
      </c>
      <c r="Q6" s="61" t="str">
        <f>VLOOKUP(D6,'2.Bookinglist'!A:CT,12,FALSE)</f>
        <v>KST</v>
      </c>
      <c r="R6" s="60" t="str">
        <f>IF(LEFT(K6,2)="22","20'","40'")</f>
        <v>20'</v>
      </c>
      <c r="S6" s="185" t="n"/>
      <c r="T6" s="61" t="str">
        <f>VLOOKUP(A6,'1.Loading'!A:R,2,FALSE)</f>
        <v>2026-10-23</v>
      </c>
      <c r="U6" s="63">
        <f>T6-S6</f>
        <v>46318</v>
      </c>
      <c r="V6" s="186" t="n"/>
      <c r="W6" s="61" t="str">
        <f>VLOOKUP(A6,'3.GateMove'!A:D,4,FALSE)</f>
        <v>2026-10-17</v>
      </c>
      <c r="X6" s="63">
        <f>((T6-W6)+1)</f>
        <v>7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46319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Pattarapong Saengthong</v>
      </c>
      <c r="AL6" s="60" t="str">
        <f>VLOOKUP(D6,'2.Bookinglist'!A:CW,101,FALSE)</f>
        <v>2026-10-20</v>
      </c>
      <c r="AM6" s="60" t="str">
        <f>VLOOKUP(D6,'2.Bookinglist'!A:BK,63,FALSE)</f>
        <v>LCHY5</v>
      </c>
      <c r="AN6" s="62" t="str">
        <f>VLOOKUP(D6,'2.Bookinglist'!A:AZ,52,FALSE)</f>
        <v>Pickup : 2026-10-10, Return : 2026-10-12 
 ** PLEASE CHECK OPEN GATE BEFORE RETURN CNTR **
</v>
      </c>
      <c r="AO6" s="62" t="str">
        <f>VLOOKUP(D6,'2.Bookinglist'!A:CY,103,FALSE)</f>
        <v>ROLL OVER FROM PREVIOUS VSL KUS 2616N BY ALLOCATION TEAM MS.TARN APRPOVED COST IS UNDER HA DD.12/10</v>
      </c>
    </row>
    <row r="7" ht="12.95" customHeight="1">
      <c r="A7" s="96" t="inlineStr">
        <is>
          <t>HALU2108470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LCH01</v>
      </c>
      <c r="D7" s="61" t="str">
        <f>VLOOKUP(A7,'1.Loading'!A:R,17,FALSE)</f>
        <v>HASLS22260902625</v>
      </c>
      <c r="E7" s="62" t="str">
        <f>VLOOKUP(D7,'2.Bookinglist'!A:CT,27,FALSE)</f>
        <v>DOW CHEMICAL THAILAND LTD.</v>
      </c>
      <c r="F7" s="62" t="str">
        <f>VLOOKUP(D7,'2.Bookinglist'!A:CT,28,FALSE)</f>
        <v>SIAM POLYETHYLENE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JPNGO</v>
      </c>
      <c r="J7" s="61" t="str">
        <f>VLOOKUP(D7,'2.Bookinglist'!A:CT,26,FALSE)</f>
        <v>KRPUS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SWAL</v>
      </c>
      <c r="P7" s="61" t="str">
        <f>VLOOKUP(A7,'1.Loading'!A:R,4,FALSE)</f>
        <v>2609N</v>
      </c>
      <c r="Q7" s="61" t="str">
        <f>VLOOKUP(D7,'2.Bookinglist'!A:CT,12,FALSE)</f>
        <v>KST</v>
      </c>
      <c r="R7" s="60" t="str">
        <f>IF(LEFT(K7,2)="22","20'","40'")</f>
        <v>20'</v>
      </c>
      <c r="S7" s="185" t="n"/>
      <c r="T7" s="61" t="str">
        <f>VLOOKUP(A7,'1.Loading'!A:R,2,FALSE)</f>
        <v>2026-10-23</v>
      </c>
      <c r="U7" s="63">
        <f>T7-S7</f>
        <v>46318</v>
      </c>
      <c r="V7" s="186" t="n"/>
      <c r="W7" s="61" t="str">
        <f>VLOOKUP(A7,'3.GateMove'!A:D,4,FALSE)</f>
        <v>2026-10-18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46319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SEO JI YEONG</v>
      </c>
      <c r="AL7" s="60" t="str">
        <f>VLOOKUP(D7,'2.Bookinglist'!A:CW,101,FALSE)</f>
        <v>2026-10-20</v>
      </c>
      <c r="AM7" s="60" t="str">
        <f>VLOOKUP(D7,'2.Bookinglist'!A:BK,63,FALSE)</f>
        <v>LCHY5</v>
      </c>
      <c r="AN7" s="62" t="str">
        <f>VLOOKUP(D7,'2.Bookinglist'!A:AZ,52,FALSE)</f>
        <v>SWAL/2609N/11/01 Pickup : 2026-10-12, Return : 2026-10-17</v>
      </c>
      <c r="AO7" s="62">
        <f>VLOOKUP(D7,'2.Bookinglist'!A:CY,103,FALSE)</f>
        <v>0</v>
      </c>
    </row>
    <row r="8" ht="12.95" customHeight="1">
      <c r="A8" s="96" t="inlineStr">
        <is>
          <t>HALU2309540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LCH01</v>
      </c>
      <c r="D8" s="61" t="str">
        <f>VLOOKUP(A8,'1.Loading'!A:R,17,FALSE)</f>
        <v>HASLS22260901820</v>
      </c>
      <c r="E8" s="62" t="str">
        <f>VLOOKUP(D8,'2.Bookinglist'!A:CT,27,FALSE)</f>
        <v>H &amp; FRIENDS GTL (THAILAND) CO., LTD.</v>
      </c>
      <c r="F8" s="62" t="str">
        <f>VLOOKUP(D8,'2.Bookinglist'!A:CT,28,FALSE)</f>
        <v>INGREDION (THAILAND)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KRINC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SWAL</v>
      </c>
      <c r="P8" s="61" t="str">
        <f>VLOOKUP(A8,'1.Loading'!A:R,4,FALSE)</f>
        <v>2609N</v>
      </c>
      <c r="Q8" s="61" t="str">
        <f>VLOOKUP(D8,'2.Bookinglist'!A:CT,12,FALSE)</f>
        <v>KST</v>
      </c>
      <c r="R8" s="60" t="str">
        <f>IF(LEFT(K8,2)="22","20'","40'")</f>
        <v>20'</v>
      </c>
      <c r="S8" s="185" t="n"/>
      <c r="T8" s="61" t="str">
        <f>VLOOKUP(A8,'1.Loading'!A:R,2,FALSE)</f>
        <v>2026-10-23</v>
      </c>
      <c r="U8" s="63">
        <f>T8-S8</f>
        <v>46318</v>
      </c>
      <c r="V8" s="186" t="n"/>
      <c r="W8" s="61" t="str">
        <f>VLOOKUP(A8,'3.GateMove'!A:D,4,FALSE)</f>
        <v>2026-10-17</v>
      </c>
      <c r="X8" s="63">
        <f>((T8-W8)+1)</f>
        <v>7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46319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Kim jaewon</v>
      </c>
      <c r="AL8" s="60" t="str">
        <f>VLOOKUP(D8,'2.Bookinglist'!A:CW,101,FALSE)</f>
        <v>2026-10-20</v>
      </c>
      <c r="AM8" s="60" t="str">
        <f>VLOOKUP(D8,'2.Bookinglist'!A:BK,63,FALSE)</f>
        <v>LCHY5</v>
      </c>
      <c r="AN8" s="62" t="str">
        <f>VLOOKUP(D8,'2.Bookinglist'!A:AZ,52,FALSE)</f>
        <v>Pickup : 2026-10-15, Return : 2026-10-16</v>
      </c>
      <c r="AO8" s="62">
        <f>VLOOKUP(D8,'2.Bookinglist'!A:CY,103,FALSE)</f>
        <v>0</v>
      </c>
    </row>
    <row r="9" ht="12.95" customHeight="1">
      <c r="A9" s="96" t="inlineStr">
        <is>
          <t>HALU2310773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LCH01</v>
      </c>
      <c r="D9" s="61" t="str">
        <f>VLOOKUP(A9,'1.Loading'!A:R,17,FALSE)</f>
        <v>HASLS22260800955</v>
      </c>
      <c r="E9" s="62" t="str">
        <f>VLOOKUP(D9,'2.Bookinglist'!A:CT,27,FALSE)</f>
        <v>WHA GC LOGISTICS COMPANY LIMITED</v>
      </c>
      <c r="F9" s="62" t="str">
        <f>VLOOKUP(D9,'2.Bookinglist'!A:CT,28,FALSE)</f>
        <v>PTT GLOBAL CHEMICAL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SWAL</v>
      </c>
      <c r="P9" s="61" t="str">
        <f>VLOOKUP(A9,'1.Loading'!A:R,4,FALSE)</f>
        <v>2609N</v>
      </c>
      <c r="Q9" s="61" t="str">
        <f>VLOOKUP(D9,'2.Bookinglist'!A:CT,12,FALSE)</f>
        <v>KST</v>
      </c>
      <c r="R9" s="60" t="str">
        <f>IF(LEFT(K9,2)="22","20'","40'")</f>
        <v>20'</v>
      </c>
      <c r="S9" s="185" t="n"/>
      <c r="T9" s="61" t="str">
        <f>VLOOKUP(A9,'1.Loading'!A:R,2,FALSE)</f>
        <v>2026-10-23</v>
      </c>
      <c r="U9" s="63">
        <f>T9-S9</f>
        <v>46318</v>
      </c>
      <c r="V9" s="186" t="n"/>
      <c r="W9" s="61" t="str">
        <f>VLOOKUP(A9,'3.GateMove'!A:D,4,FALSE)</f>
        <v>2026-10-17</v>
      </c>
      <c r="X9" s="63">
        <f>((T9-W9)+1)</f>
        <v>7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46319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2026-10-20</v>
      </c>
      <c r="AM9" s="60" t="str">
        <f>VLOOKUP(D9,'2.Bookinglist'!A:BK,63,FALSE)</f>
        <v>LCHY5</v>
      </c>
      <c r="AN9" s="62" t="str">
        <f>VLOOKUP(D9,'2.Bookinglist'!A:AZ,52,FALSE)</f>
        <v>CY-RTN : 02-09/10/2026</v>
      </c>
      <c r="AO9" s="62" t="str">
        <f>VLOOKUP(D9,'2.Bookinglist'!A:CY,103,FALSE)</f>
        <v>ROLL OVER FORM PREIVOUS VSL KUS 2616N BY ALLOCAITON TEAM MS.TARN APRPOVED COST IS UNDER HA DD.12/10</v>
      </c>
    </row>
    <row r="10" ht="12.95" customHeight="1">
      <c r="A10" s="96" t="inlineStr">
        <is>
          <t>HALU2329721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LCH01</v>
      </c>
      <c r="D10" s="61" t="str">
        <f>VLOOKUP(A10,'1.Loading'!A:R,17,FALSE)</f>
        <v>HASLS22261000120</v>
      </c>
      <c r="E10" s="62" t="str">
        <f>VLOOKUP(D10,'2.Bookinglist'!A:CT,27,FALSE)</f>
        <v>MAXTOP LOGISTICS (THAILAND) CO., LTD.</v>
      </c>
      <c r="F10" s="62" t="str">
        <f>VLOOKUP(D10,'2.Bookinglist'!A:CT,28,FALSE)</f>
        <v>POSCO COATED STEEL (THAILAND)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KRINC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SWAL</v>
      </c>
      <c r="P10" s="61" t="str">
        <f>VLOOKUP(A10,'1.Loading'!A:R,4,FALSE)</f>
        <v>2609N</v>
      </c>
      <c r="Q10" s="61" t="str">
        <f>VLOOKUP(D10,'2.Bookinglist'!A:CT,12,FALSE)</f>
        <v>KST</v>
      </c>
      <c r="R10" s="60" t="str">
        <f>IF(LEFT(K10,2)="22","20'","40'")</f>
        <v>20'</v>
      </c>
      <c r="S10" s="185" t="n"/>
      <c r="T10" s="61" t="str">
        <f>VLOOKUP(A10,'1.Loading'!A:R,2,FALSE)</f>
        <v>2026-10-23</v>
      </c>
      <c r="U10" s="63">
        <f>T10-S10</f>
        <v>46318</v>
      </c>
      <c r="V10" s="186" t="n"/>
      <c r="W10" s="61" t="str">
        <f>VLOOKUP(A10,'3.GateMove'!A:D,4,FALSE)</f>
        <v>2026-10-17</v>
      </c>
      <c r="X10" s="63">
        <f>((T10-W10)+1)</f>
        <v>7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46319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Arunphat W. (Aiw)</v>
      </c>
      <c r="AL10" s="60" t="str">
        <f>VLOOKUP(D10,'2.Bookinglist'!A:CW,101,FALSE)</f>
        <v>2026-10-20</v>
      </c>
      <c r="AM10" s="60" t="str">
        <f>VLOOKUP(D10,'2.Bookinglist'!A:BK,63,FALSE)</f>
        <v>LCHY5</v>
      </c>
      <c r="AN10" s="62" t="str">
        <f>VLOOKUP(D10,'2.Bookinglist'!A:AZ,52,FALSE)</f>
        <v>Pickup : 2026-10-12, Return : 2026-10-16
**CHECK OPENGATE BEFORE RETURN CNTR**</v>
      </c>
      <c r="AO10" s="62">
        <f>VLOOKUP(D10,'2.Bookinglist'!A:CY,103,FALSE)</f>
        <v>0</v>
      </c>
    </row>
    <row r="11" ht="12.95" customHeight="1">
      <c r="A11" s="96" t="inlineStr">
        <is>
          <t>HALU2364928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LCH01</v>
      </c>
      <c r="D11" s="61" t="str">
        <f>VLOOKUP(A11,'1.Loading'!A:R,17,FALSE)</f>
        <v>HASLS22260902633</v>
      </c>
      <c r="E11" s="62" t="str">
        <f>VLOOKUP(D11,'2.Bookinglist'!A:CT,27,FALSE)</f>
        <v>DOW CHEMICAL THAILAND LTD.</v>
      </c>
      <c r="F11" s="62" t="str">
        <f>VLOOKUP(D11,'2.Bookinglist'!A:CT,28,FALSE)</f>
        <v>SIAM POLYETHYLENE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JPYKK</v>
      </c>
      <c r="J11" s="61" t="str">
        <f>VLOOKUP(D11,'2.Bookinglist'!A:CT,26,FALSE)</f>
        <v>KRPUS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SWAL</v>
      </c>
      <c r="P11" s="61" t="str">
        <f>VLOOKUP(A11,'1.Loading'!A:R,4,FALSE)</f>
        <v>2609N</v>
      </c>
      <c r="Q11" s="61" t="str">
        <f>VLOOKUP(D11,'2.Bookinglist'!A:CT,12,FALSE)</f>
        <v>KST</v>
      </c>
      <c r="R11" s="60" t="str">
        <f>IF(LEFT(K11,2)="22","20'","40'")</f>
        <v>20'</v>
      </c>
      <c r="S11" s="185" t="n"/>
      <c r="T11" s="61" t="str">
        <f>VLOOKUP(A11,'1.Loading'!A:R,2,FALSE)</f>
        <v>2026-10-23</v>
      </c>
      <c r="U11" s="63">
        <f>T11-S11</f>
        <v>46318</v>
      </c>
      <c r="V11" s="186" t="n"/>
      <c r="W11" s="61" t="str">
        <f>VLOOKUP(A11,'3.GateMove'!A:D,4,FALSE)</f>
        <v>2026-10-18</v>
      </c>
      <c r="X11" s="63">
        <f>((T11-W11)+1)</f>
        <v>6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46319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SEO JI YEONG</v>
      </c>
      <c r="AL11" s="60" t="str">
        <f>VLOOKUP(D11,'2.Bookinglist'!A:CW,101,FALSE)</f>
        <v>2026-10-20</v>
      </c>
      <c r="AM11" s="60" t="str">
        <f>VLOOKUP(D11,'2.Bookinglist'!A:BK,63,FALSE)</f>
        <v>LCHY5</v>
      </c>
      <c r="AN11" s="62" t="str">
        <f>VLOOKUP(D11,'2.Bookinglist'!A:AZ,52,FALSE)</f>
        <v>SWAL/2609N/11/01 Pickup : 2026-10-12, Return : 2026-10-17</v>
      </c>
      <c r="AO11" s="62">
        <f>VLOOKUP(D11,'2.Bookinglist'!A:CY,103,FALSE)</f>
        <v>0</v>
      </c>
    </row>
    <row r="12" ht="12.95" customHeight="1">
      <c r="A12" s="96" t="inlineStr">
        <is>
          <t>HALU2518108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LCH01</v>
      </c>
      <c r="D12" s="61" t="str">
        <f>VLOOKUP(A12,'1.Loading'!A:R,17,FALSE)</f>
        <v>HASLS22260901975</v>
      </c>
      <c r="E12" s="62" t="str">
        <f>VLOOKUP(D12,'2.Bookinglist'!A:CT,27,FALSE)</f>
        <v>EVERGREEN LOGISTICS (THAILAND) CO., LTD.</v>
      </c>
      <c r="F12" s="62" t="str">
        <f>VLOOKUP(D12,'2.Bookinglist'!A:CT,28,FALSE)</f>
        <v>T.C.PHARMACEUTICAL INDUSTRIES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SWAL</v>
      </c>
      <c r="P12" s="61" t="str">
        <f>VLOOKUP(A12,'1.Loading'!A:R,4,FALSE)</f>
        <v>2609N</v>
      </c>
      <c r="Q12" s="61" t="str">
        <f>VLOOKUP(D12,'2.Bookinglist'!A:CT,12,FALSE)</f>
        <v>KST</v>
      </c>
      <c r="R12" s="60" t="str">
        <f>IF(LEFT(K12,2)="22","20'","40'")</f>
        <v>20'</v>
      </c>
      <c r="S12" s="185" t="n"/>
      <c r="T12" s="61" t="str">
        <f>VLOOKUP(A12,'1.Loading'!A:R,2,FALSE)</f>
        <v>2026-10-23</v>
      </c>
      <c r="U12" s="63">
        <f>T12-S12</f>
        <v>46318</v>
      </c>
      <c r="V12" s="186" t="n"/>
      <c r="W12" s="61" t="str">
        <f>VLOOKUP(A12,'3.GateMove'!A:D,4,FALSE)</f>
        <v>2026-10-17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46319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Pattarapong Saengthong</v>
      </c>
      <c r="AL12" s="60" t="str">
        <f>VLOOKUP(D12,'2.Bookinglist'!A:CW,101,FALSE)</f>
        <v>2026-10-20</v>
      </c>
      <c r="AM12" s="60" t="str">
        <f>VLOOKUP(D12,'2.Bookinglist'!A:BK,63,FALSE)</f>
        <v>LCHY5</v>
      </c>
      <c r="AN12" s="62" t="str">
        <f>VLOOKUP(D12,'2.Bookinglist'!A:AZ,52,FALSE)</f>
        <v>Pickup : 2026-10-10, Return : 2026-10-12 
 ** PLEASE CHECK OPEN GATE BEFORE RETURN CNTR **
</v>
      </c>
      <c r="AO12" s="62" t="str">
        <f>VLOOKUP(D12,'2.Bookinglist'!A:CY,103,FALSE)</f>
        <v>ROLL OVER FROM PREVIOUS VSL KUS 2616N BY ALLOCATION TEAM MS.TARN APRPOVED COST IS UNDER HA DD.12/10</v>
      </c>
    </row>
    <row r="13" ht="12.95" customHeight="1">
      <c r="A13" s="96" t="inlineStr">
        <is>
          <t>HALU2540328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LCH01</v>
      </c>
      <c r="D13" s="61" t="str">
        <f>VLOOKUP(A13,'1.Loading'!A:R,17,FALSE)</f>
        <v>HASLS22260902631</v>
      </c>
      <c r="E13" s="62" t="str">
        <f>VLOOKUP(D13,'2.Bookinglist'!A:CT,27,FALSE)</f>
        <v>DOW CHEMICAL THAILAND LTD.</v>
      </c>
      <c r="F13" s="62" t="str">
        <f>VLOOKUP(D13,'2.Bookinglist'!A:CT,28,FALSE)</f>
        <v>SIAM POLYETHYLENE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JPYKK</v>
      </c>
      <c r="J13" s="61" t="str">
        <f>VLOOKUP(D13,'2.Bookinglist'!A:CT,26,FALSE)</f>
        <v>KRPUS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SWAL</v>
      </c>
      <c r="P13" s="61" t="str">
        <f>VLOOKUP(A13,'1.Loading'!A:R,4,FALSE)</f>
        <v>2609N</v>
      </c>
      <c r="Q13" s="61" t="str">
        <f>VLOOKUP(D13,'2.Bookinglist'!A:CT,12,FALSE)</f>
        <v>KST</v>
      </c>
      <c r="R13" s="60" t="str">
        <f>IF(LEFT(K13,2)="22","20'","40'")</f>
        <v>20'</v>
      </c>
      <c r="S13" s="185" t="n"/>
      <c r="T13" s="61" t="str">
        <f>VLOOKUP(A13,'1.Loading'!A:R,2,FALSE)</f>
        <v>2026-10-23</v>
      </c>
      <c r="U13" s="63">
        <f>T13-S13</f>
        <v>46318</v>
      </c>
      <c r="V13" s="186" t="n"/>
      <c r="W13" s="61" t="str">
        <f>VLOOKUP(A13,'3.GateMove'!A:D,4,FALSE)</f>
        <v>2026-10-18</v>
      </c>
      <c r="X13" s="63">
        <f>((T13-W13)+1)</f>
        <v>6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46319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SEO JI YEONG</v>
      </c>
      <c r="AL13" s="60" t="str">
        <f>VLOOKUP(D13,'2.Bookinglist'!A:CW,101,FALSE)</f>
        <v>2026-10-20</v>
      </c>
      <c r="AM13" s="60" t="str">
        <f>VLOOKUP(D13,'2.Bookinglist'!A:BK,63,FALSE)</f>
        <v>LCHY5</v>
      </c>
      <c r="AN13" s="62" t="str">
        <f>VLOOKUP(D13,'2.Bookinglist'!A:AZ,52,FALSE)</f>
        <v>SWAL/2609N/11/01 Pickup : 2026-10-12, Return : 2026-10-17</v>
      </c>
      <c r="AO13" s="62">
        <f>VLOOKUP(D13,'2.Bookinglist'!A:CY,103,FALSE)</f>
        <v>0</v>
      </c>
    </row>
    <row r="14" ht="12.95" customHeight="1">
      <c r="A14" s="96" t="inlineStr">
        <is>
          <t>HALU8500702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LCH01</v>
      </c>
      <c r="D14" s="61" t="str">
        <f>VLOOKUP(A14,'1.Loading'!A:R,17,FALSE)</f>
        <v>HASLS22261000469</v>
      </c>
      <c r="E14" s="62" t="str">
        <f>VLOOKUP(D14,'2.Bookinglist'!A:CT,27,FALSE)</f>
        <v>META GLOBAL MARITIME (THAILAND) CO., LTD.</v>
      </c>
      <c r="F14" s="62" t="str">
        <f>VLOOKUP(D14,'2.Bookinglist'!A:CT,28,FALSE)</f>
        <v>LAEMTHONG POULTRY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KRPUS</v>
      </c>
      <c r="J14" s="61">
        <f>VLOOKUP(D14,'2.Bookinglist'!A:CT,26,FALSE)</f>
        <v>0</v>
      </c>
      <c r="K14" s="61" t="str">
        <f>VLOOKUP(A14,'1.Loading'!A:R,5,FALSE)</f>
        <v>45RE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>RF</v>
      </c>
      <c r="O14" s="61" t="str">
        <f>VLOOKUP(A14,'1.Loading'!A:R,3,FALSE)</f>
        <v>SWAL</v>
      </c>
      <c r="P14" s="61" t="str">
        <f>VLOOKUP(A14,'1.Loading'!A:R,4,FALSE)</f>
        <v>2609N</v>
      </c>
      <c r="Q14" s="61" t="str">
        <f>VLOOKUP(D14,'2.Bookinglist'!A:CT,12,FALSE)</f>
        <v>KST</v>
      </c>
      <c r="R14" s="60" t="str">
        <f>IF(LEFT(K14,2)="22","20'","40'")</f>
        <v>40'</v>
      </c>
      <c r="S14" s="185" t="n"/>
      <c r="T14" s="61" t="str">
        <f>VLOOKUP(A14,'1.Loading'!A:R,2,FALSE)</f>
        <v>2026-10-23</v>
      </c>
      <c r="U14" s="63">
        <f>T14-S14</f>
        <v>46318</v>
      </c>
      <c r="V14" s="186" t="n"/>
      <c r="W14" s="61" t="str">
        <f>VLOOKUP(A14,'3.GateMove'!A:D,4,FALSE)</f>
        <v>2026-10-16</v>
      </c>
      <c r="X14" s="63">
        <f>((T14-W14)+1)</f>
        <v>8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250</v>
      </c>
      <c r="AB14" s="184" t="n"/>
      <c r="AC14" s="184" t="n"/>
      <c r="AD14" s="60">
        <f>IF(M14="DG",3,IF(N14="RF",3,5))+IF(AND(LEFT(C14,3)="BKK",N14="RF",Q14="KTS"),1,0)+IF(Q14="KHS",1,0)</f>
        <v>3</v>
      </c>
      <c r="AE14" s="63">
        <f>(T14-V14)+1</f>
        <v>46319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250</v>
      </c>
      <c r="AJ14" s="188" t="n"/>
      <c r="AK14" s="62" t="str">
        <f>VLOOKUP(D14,'2.Bookinglist'!A:CT,40,FALSE)</f>
        <v>Sukunpoj Damrongying</v>
      </c>
      <c r="AL14" s="60" t="str">
        <f>VLOOKUP(D14,'2.Bookinglist'!A:CW,101,FALSE)</f>
        <v>2026-10-20</v>
      </c>
      <c r="AM14" s="60" t="str">
        <f>VLOOKUP(D14,'2.Bookinglist'!A:BK,63,FALSE)</f>
        <v>LCH27</v>
      </c>
      <c r="AN14" s="62" t="str">
        <f>VLOOKUP(D14,'2.Bookinglist'!A:AZ,52,FALSE)</f>
        <v>Pickup : 2026-10-14, Return : 2026-10-16  (Temp -18.0℃ / Vent Close)
CLS TIME DD.19/10/2026 @ 12.00Hrs. *1ST RETURN CNTR DD.18/10/2026 WIHTOUT CHARGE*</v>
      </c>
      <c r="AO14" s="62">
        <f>VLOOKUP(D14,'2.Bookinglist'!A:CY,103,FALSE)</f>
        <v>0</v>
      </c>
    </row>
    <row r="15" ht="12.95" customHeight="1">
      <c r="A15" s="96" t="inlineStr">
        <is>
          <t>HLHU8439887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LCH01</v>
      </c>
      <c r="D15" s="61" t="str">
        <f>VLOOKUP(A15,'1.Loading'!A:R,17,FALSE)</f>
        <v>HASLS22261000471</v>
      </c>
      <c r="E15" s="62" t="str">
        <f>VLOOKUP(D15,'2.Bookinglist'!A:CT,27,FALSE)</f>
        <v>LX PANTOS (THAILAND) CO., LTD.</v>
      </c>
      <c r="F15" s="62" t="str">
        <f>VLOOKUP(D15,'2.Bookinglist'!A:CT,28,FALSE)</f>
        <v>ROFU (THAILAND)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KRINC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SWAL</v>
      </c>
      <c r="P15" s="61" t="str">
        <f>VLOOKUP(A15,'1.Loading'!A:R,4,FALSE)</f>
        <v>2609N</v>
      </c>
      <c r="Q15" s="61" t="str">
        <f>VLOOKUP(D15,'2.Bookinglist'!A:CT,12,FALSE)</f>
        <v>KST</v>
      </c>
      <c r="R15" s="60" t="str">
        <f>IF(LEFT(K15,2)="22","20'","40'")</f>
        <v>40'</v>
      </c>
      <c r="S15" s="185" t="n"/>
      <c r="T15" s="61" t="str">
        <f>VLOOKUP(A15,'1.Loading'!A:R,2,FALSE)</f>
        <v>2026-10-23</v>
      </c>
      <c r="U15" s="63">
        <f>T15-S15</f>
        <v>46318</v>
      </c>
      <c r="V15" s="186" t="n"/>
      <c r="W15" s="61" t="str">
        <f>VLOOKUP(A15,'3.GateMove'!A:D,4,FALSE)</f>
        <v>2026-10-17</v>
      </c>
      <c r="X15" s="63">
        <f>((T15-W15)+1)</f>
        <v>7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46319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Kim jaewon</v>
      </c>
      <c r="AL15" s="60" t="str">
        <f>VLOOKUP(D15,'2.Bookinglist'!A:CW,101,FALSE)</f>
        <v>2026-10-20</v>
      </c>
      <c r="AM15" s="60" t="str">
        <f>VLOOKUP(D15,'2.Bookinglist'!A:BK,63,FALSE)</f>
        <v>LCHY5</v>
      </c>
      <c r="AN15" s="62" t="str">
        <f>VLOOKUP(D15,'2.Bookinglist'!A:AZ,52,FALSE)</f>
        <v>Pickup : 2026-10-15, Return : 2026-10-16 
 ** PLEASE CHECK OPEN GATE BEFORE RETURN CNTR **
</v>
      </c>
      <c r="AO15" s="62">
        <f>VLOOKUP(D15,'2.Bookinglist'!A:CY,103,FALSE)</f>
        <v>0</v>
      </c>
    </row>
    <row r="16" ht="12.95" customHeight="1">
      <c r="A16" s="96" t="inlineStr">
        <is>
          <t>SEGU9996370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LCH01</v>
      </c>
      <c r="D16" s="61" t="str">
        <f>VLOOKUP(A16,'1.Loading'!A:R,17,FALSE)</f>
        <v>HASLS22260902731</v>
      </c>
      <c r="E16" s="62" t="str">
        <f>VLOOKUP(D16,'2.Bookinglist'!A:CT,27,FALSE)</f>
        <v>INITIAL FREIGHT CO., LTD.</v>
      </c>
      <c r="F16" s="62" t="str">
        <f>VLOOKUP(D16,'2.Bookinglist'!A:CT,28,FALSE)</f>
        <v>THAI LOTTE CO., 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22RE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>RF</v>
      </c>
      <c r="O16" s="61" t="str">
        <f>VLOOKUP(A16,'1.Loading'!A:R,3,FALSE)</f>
        <v>SWAL</v>
      </c>
      <c r="P16" s="61" t="str">
        <f>VLOOKUP(A16,'1.Loading'!A:R,4,FALSE)</f>
        <v>2609N</v>
      </c>
      <c r="Q16" s="61" t="str">
        <f>VLOOKUP(D16,'2.Bookinglist'!A:CT,12,FALSE)</f>
        <v>KST</v>
      </c>
      <c r="R16" s="60" t="str">
        <f>IF(LEFT(K16,2)="22","20'","40'")</f>
        <v>20'</v>
      </c>
      <c r="S16" s="185" t="n"/>
      <c r="T16" s="61" t="str">
        <f>VLOOKUP(A16,'1.Loading'!A:R,2,FALSE)</f>
        <v>2026-10-23</v>
      </c>
      <c r="U16" s="63">
        <f>T16-S16</f>
        <v>46318</v>
      </c>
      <c r="V16" s="186" t="n"/>
      <c r="W16" s="61" t="str">
        <f>VLOOKUP(A16,'3.GateMove'!A:D,4,FALSE)</f>
        <v>2026-10-20</v>
      </c>
      <c r="X16" s="63">
        <f>((T16-W16)+1)</f>
        <v>4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3</v>
      </c>
      <c r="AE16" s="63">
        <f>(T16-V16)+1</f>
        <v>46319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Nguyen Van Nam</v>
      </c>
      <c r="AL16" s="60" t="str">
        <f>VLOOKUP(D16,'2.Bookinglist'!A:CW,101,FALSE)</f>
        <v>2026-10-22</v>
      </c>
      <c r="AM16" s="60" t="str">
        <f>VLOOKUP(D16,'2.Bookinglist'!A:BK,63,FALSE)</f>
        <v>LCH27</v>
      </c>
      <c r="AN16" s="62" t="str">
        <f>VLOOKUP(D16,'2.Bookinglist'!A:AZ,52,FALSE)</f>
        <v>Pickup : 2026-10-20, Return : 2026-10-20 RF22REx1 (Temp +20.0 / Vent Close) 
CLS TIME 22/10/26 @10.00   </v>
      </c>
      <c r="AO16" s="62">
        <f>VLOOKUP(D16,'2.Bookinglist'!A:CY,103,FALSE)</f>
        <v>0</v>
      </c>
    </row>
    <row r="17" ht="12.95" customHeight="1">
      <c r="A17" s="96" t="inlineStr">
        <is>
          <t>SKLU0521130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LCH01</v>
      </c>
      <c r="D17" s="61" t="str">
        <f>VLOOKUP(A17,'1.Loading'!A:R,17,FALSE)</f>
        <v>HASLS22260902630</v>
      </c>
      <c r="E17" s="62" t="str">
        <f>VLOOKUP(D17,'2.Bookinglist'!A:CT,27,FALSE)</f>
        <v>DOW CHEMICAL THAILAND LTD.</v>
      </c>
      <c r="F17" s="62" t="str">
        <f>VLOOKUP(D17,'2.Bookinglist'!A:CT,28,FALSE)</f>
        <v>SIAM POLYETHYLENE CO., 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JPYKK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SWAL</v>
      </c>
      <c r="P17" s="61" t="str">
        <f>VLOOKUP(A17,'1.Loading'!A:R,4,FALSE)</f>
        <v>2609N</v>
      </c>
      <c r="Q17" s="61" t="str">
        <f>VLOOKUP(D17,'2.Bookinglist'!A:CT,12,FALSE)</f>
        <v>KST</v>
      </c>
      <c r="R17" s="60" t="str">
        <f>IF(LEFT(K17,2)="22","20'","40'")</f>
        <v>20'</v>
      </c>
      <c r="S17" s="185" t="n"/>
      <c r="T17" s="61" t="str">
        <f>VLOOKUP(A17,'1.Loading'!A:R,2,FALSE)</f>
        <v>2026-10-23</v>
      </c>
      <c r="U17" s="63">
        <f>T17-S17</f>
        <v>46318</v>
      </c>
      <c r="V17" s="186" t="n"/>
      <c r="W17" s="61" t="str">
        <f>VLOOKUP(A17,'3.GateMove'!A:D,4,FALSE)</f>
        <v>2026-10-18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46319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SEO JI YEONG</v>
      </c>
      <c r="AL17" s="60" t="str">
        <f>VLOOKUP(D17,'2.Bookinglist'!A:CW,101,FALSE)</f>
        <v>2026-10-20</v>
      </c>
      <c r="AM17" s="60" t="str">
        <f>VLOOKUP(D17,'2.Bookinglist'!A:BK,63,FALSE)</f>
        <v>LCHY5</v>
      </c>
      <c r="AN17" s="62" t="str">
        <f>VLOOKUP(D17,'2.Bookinglist'!A:AZ,52,FALSE)</f>
        <v>SWAL/2609N/11/01 Pickup : 2026-10-12, Return : 2026-10-17</v>
      </c>
      <c r="AO17" s="62">
        <f>VLOOKUP(D17,'2.Bookinglist'!A:CY,103,FALSE)</f>
        <v>0</v>
      </c>
    </row>
    <row r="18" ht="12.95" customHeight="1">
      <c r="A18" s="96" t="inlineStr">
        <is>
          <t>SKLU0557512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LCH01</v>
      </c>
      <c r="D18" s="61" t="str">
        <f>VLOOKUP(A18,'1.Loading'!A:R,17,FALSE)</f>
        <v>HASLS22260902632</v>
      </c>
      <c r="E18" s="62" t="str">
        <f>VLOOKUP(D18,'2.Bookinglist'!A:CT,27,FALSE)</f>
        <v>DOW CHEMICAL THAILAND LTD.</v>
      </c>
      <c r="F18" s="62" t="str">
        <f>VLOOKUP(D18,'2.Bookinglist'!A:CT,28,FALSE)</f>
        <v>SIAM POLYETHYLENE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JPYKK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SWAL</v>
      </c>
      <c r="P18" s="61" t="str">
        <f>VLOOKUP(A18,'1.Loading'!A:R,4,FALSE)</f>
        <v>2609N</v>
      </c>
      <c r="Q18" s="61" t="str">
        <f>VLOOKUP(D18,'2.Bookinglist'!A:CT,12,FALSE)</f>
        <v>KST</v>
      </c>
      <c r="R18" s="60" t="str">
        <f>IF(LEFT(K18,2)="22","20'","40'")</f>
        <v>20'</v>
      </c>
      <c r="S18" s="185" t="n"/>
      <c r="T18" s="61" t="str">
        <f>VLOOKUP(A18,'1.Loading'!A:R,2,FALSE)</f>
        <v>2026-10-23</v>
      </c>
      <c r="U18" s="63">
        <f>T18-S18</f>
        <v>46318</v>
      </c>
      <c r="V18" s="186" t="n"/>
      <c r="W18" s="61" t="str">
        <f>VLOOKUP(A18,'3.GateMove'!A:D,4,FALSE)</f>
        <v>2026-10-18</v>
      </c>
      <c r="X18" s="63">
        <f>((T18-W18)+1)</f>
        <v>6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46319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SEO JI YEONG</v>
      </c>
      <c r="AL18" s="60" t="str">
        <f>VLOOKUP(D18,'2.Bookinglist'!A:CW,101,FALSE)</f>
        <v>2026-10-20</v>
      </c>
      <c r="AM18" s="60" t="str">
        <f>VLOOKUP(D18,'2.Bookinglist'!A:BK,63,FALSE)</f>
        <v>LCHY5</v>
      </c>
      <c r="AN18" s="62" t="str">
        <f>VLOOKUP(D18,'2.Bookinglist'!A:AZ,52,FALSE)</f>
        <v>SWAL/2609N/10/30 Pickup : 2026-10-12, Return : 2026-10-17</v>
      </c>
      <c r="AO18" s="62">
        <f>VLOOKUP(D18,'2.Bookinglist'!A:CY,103,FALSE)</f>
        <v>0</v>
      </c>
    </row>
    <row r="19" ht="12.95" customHeight="1">
      <c r="A19" s="96" t="inlineStr">
        <is>
          <t>SKLU1106452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LCH01</v>
      </c>
      <c r="D19" s="61" t="str">
        <f>VLOOKUP(A19,'1.Loading'!A:R,17,FALSE)</f>
        <v>HASLS22261000120</v>
      </c>
      <c r="E19" s="62" t="str">
        <f>VLOOKUP(D19,'2.Bookinglist'!A:CT,27,FALSE)</f>
        <v>MAXTOP LOGISTICS (THAILAND) CO., LTD.</v>
      </c>
      <c r="F19" s="62" t="str">
        <f>VLOOKUP(D19,'2.Bookinglist'!A:CT,28,FALSE)</f>
        <v>POSCO COATED STEEL (THAILAND)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KRINC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SWAL</v>
      </c>
      <c r="P19" s="61" t="str">
        <f>VLOOKUP(A19,'1.Loading'!A:R,4,FALSE)</f>
        <v>2609N</v>
      </c>
      <c r="Q19" s="61" t="str">
        <f>VLOOKUP(D19,'2.Bookinglist'!A:CT,12,FALSE)</f>
        <v>KST</v>
      </c>
      <c r="R19" s="60" t="str">
        <f>IF(LEFT(K19,2)="22","20'","40'")</f>
        <v>20'</v>
      </c>
      <c r="S19" s="185" t="n"/>
      <c r="T19" s="61" t="str">
        <f>VLOOKUP(A19,'1.Loading'!A:R,2,FALSE)</f>
        <v>2026-10-23</v>
      </c>
      <c r="U19" s="63">
        <f>T19-S19</f>
        <v>46318</v>
      </c>
      <c r="V19" s="186" t="n"/>
      <c r="W19" s="61" t="str">
        <f>VLOOKUP(A19,'3.GateMove'!A:D,4,FALSE)</f>
        <v>2026-10-17</v>
      </c>
      <c r="X19" s="63">
        <f>((T19-W19)+1)</f>
        <v>7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46319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Arunphat W. (Aiw)</v>
      </c>
      <c r="AL19" s="60" t="str">
        <f>VLOOKUP(D19,'2.Bookinglist'!A:CW,101,FALSE)</f>
        <v>2026-10-20</v>
      </c>
      <c r="AM19" s="60" t="str">
        <f>VLOOKUP(D19,'2.Bookinglist'!A:BK,63,FALSE)</f>
        <v>LCHY5</v>
      </c>
      <c r="AN19" s="62" t="str">
        <f>VLOOKUP(D19,'2.Bookinglist'!A:AZ,52,FALSE)</f>
        <v>Pickup : 2026-10-12, Return : 2026-10-16
**CHECK OPENGATE BEFORE RETURN CNTR**</v>
      </c>
      <c r="AO19" s="62">
        <f>VLOOKUP(D19,'2.Bookinglist'!A:CY,103,FALSE)</f>
        <v>0</v>
      </c>
    </row>
    <row r="20" ht="12.95" customHeight="1">
      <c r="A20" s="96" t="inlineStr">
        <is>
          <t>SKLU1331520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LCH01</v>
      </c>
      <c r="D20" s="61" t="str">
        <f>VLOOKUP(A20,'1.Loading'!A:R,17,FALSE)</f>
        <v>HASLS22260800955</v>
      </c>
      <c r="E20" s="62" t="str">
        <f>VLOOKUP(D20,'2.Bookinglist'!A:CT,27,FALSE)</f>
        <v>WHA GC LOGISTICS COMPANY LIMITED</v>
      </c>
      <c r="F20" s="62" t="str">
        <f>VLOOKUP(D20,'2.Bookinglist'!A:CT,28,FALSE)</f>
        <v>PTT GLOBAL CHEMICAL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SWAL</v>
      </c>
      <c r="P20" s="61" t="str">
        <f>VLOOKUP(A20,'1.Loading'!A:R,4,FALSE)</f>
        <v>2609N</v>
      </c>
      <c r="Q20" s="61" t="str">
        <f>VLOOKUP(D20,'2.Bookinglist'!A:CT,12,FALSE)</f>
        <v>KST</v>
      </c>
      <c r="R20" s="60" t="str">
        <f>IF(LEFT(K20,2)="22","20'","40'")</f>
        <v>20'</v>
      </c>
      <c r="S20" s="185" t="n"/>
      <c r="T20" s="61" t="str">
        <f>VLOOKUP(A20,'1.Loading'!A:R,2,FALSE)</f>
        <v>2026-10-23</v>
      </c>
      <c r="U20" s="63">
        <f>T20-S20</f>
        <v>46318</v>
      </c>
      <c r="V20" s="186" t="n"/>
      <c r="W20" s="61" t="str">
        <f>VLOOKUP(A20,'3.GateMove'!A:D,4,FALSE)</f>
        <v>2026-10-17</v>
      </c>
      <c r="X20" s="63">
        <f>((T20-W20)+1)</f>
        <v>7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46319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2026-10-20</v>
      </c>
      <c r="AM20" s="60" t="str">
        <f>VLOOKUP(D20,'2.Bookinglist'!A:BK,63,FALSE)</f>
        <v>LCHY5</v>
      </c>
      <c r="AN20" s="62" t="str">
        <f>VLOOKUP(D20,'2.Bookinglist'!A:AZ,52,FALSE)</f>
        <v>CY-RTN : 02-09/10/2026</v>
      </c>
      <c r="AO20" s="62" t="str">
        <f>VLOOKUP(D20,'2.Bookinglist'!A:CY,103,FALSE)</f>
        <v>ROLL OVER FORM PREIVOUS VSL KUS 2616N BY ALLOCAITON TEAM MS.TARN APRPOVED COST IS UNDER HA DD.12/10</v>
      </c>
    </row>
    <row r="21" ht="12.95" customHeight="1">
      <c r="A21" s="96" t="inlineStr">
        <is>
          <t>SKLU1439005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LCH01</v>
      </c>
      <c r="D21" s="61" t="str">
        <f>VLOOKUP(A21,'1.Loading'!A:R,17,FALSE)</f>
        <v>HASLS22260800955</v>
      </c>
      <c r="E21" s="62" t="str">
        <f>VLOOKUP(D21,'2.Bookinglist'!A:CT,27,FALSE)</f>
        <v>WHA GC LOGISTICS COMPANY LIMITED</v>
      </c>
      <c r="F21" s="62" t="str">
        <f>VLOOKUP(D21,'2.Bookinglist'!A:CT,28,FALSE)</f>
        <v>PTT GLOBAL CHEMICAL PUBLIC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SWAL</v>
      </c>
      <c r="P21" s="61" t="str">
        <f>VLOOKUP(A21,'1.Loading'!A:R,4,FALSE)</f>
        <v>2609N</v>
      </c>
      <c r="Q21" s="61" t="str">
        <f>VLOOKUP(D21,'2.Bookinglist'!A:CT,12,FALSE)</f>
        <v>KST</v>
      </c>
      <c r="R21" s="60" t="str">
        <f>IF(LEFT(K21,2)="22","20'","40'")</f>
        <v>20'</v>
      </c>
      <c r="S21" s="185" t="n"/>
      <c r="T21" s="61" t="str">
        <f>VLOOKUP(A21,'1.Loading'!A:R,2,FALSE)</f>
        <v>2026-10-23</v>
      </c>
      <c r="U21" s="63">
        <f>T21-S21</f>
        <v>46318</v>
      </c>
      <c r="V21" s="186" t="n"/>
      <c r="W21" s="61" t="str">
        <f>VLOOKUP(A21,'3.GateMove'!A:D,4,FALSE)</f>
        <v>2026-10-17</v>
      </c>
      <c r="X21" s="63">
        <f>((T21-W21)+1)</f>
        <v>7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46319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2026-10-20</v>
      </c>
      <c r="AM21" s="60" t="str">
        <f>VLOOKUP(D21,'2.Bookinglist'!A:BK,63,FALSE)</f>
        <v>LCHY5</v>
      </c>
      <c r="AN21" s="62" t="str">
        <f>VLOOKUP(D21,'2.Bookinglist'!A:AZ,52,FALSE)</f>
        <v>CY-RTN : 02-09/10/2026</v>
      </c>
      <c r="AO21" s="62" t="str">
        <f>VLOOKUP(D21,'2.Bookinglist'!A:CY,103,FALSE)</f>
        <v>ROLL OVER FORM PREIVOUS VSL KUS 2616N BY ALLOCAITON TEAM MS.TARN APRPOVED COST IS UNDER HA DD.12/10</v>
      </c>
    </row>
    <row r="22" ht="12.95" customHeight="1">
      <c r="A22" s="96" t="inlineStr">
        <is>
          <t>SKLU1501797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LCH01</v>
      </c>
      <c r="D22" s="61" t="str">
        <f>VLOOKUP(A22,'1.Loading'!A:R,17,FALSE)</f>
        <v>HASLS22260901975</v>
      </c>
      <c r="E22" s="62" t="str">
        <f>VLOOKUP(D22,'2.Bookinglist'!A:CT,27,FALSE)</f>
        <v>EVERGREEN LOGISTICS (THAILAND) CO., LTD.</v>
      </c>
      <c r="F22" s="62" t="str">
        <f>VLOOKUP(D22,'2.Bookinglist'!A:CT,28,FALSE)</f>
        <v>T.C.PHARMACEUTICAL INDUSTRIES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SWAL</v>
      </c>
      <c r="P22" s="61" t="str">
        <f>VLOOKUP(A22,'1.Loading'!A:R,4,FALSE)</f>
        <v>2609N</v>
      </c>
      <c r="Q22" s="61" t="str">
        <f>VLOOKUP(D22,'2.Bookinglist'!A:CT,12,FALSE)</f>
        <v>KST</v>
      </c>
      <c r="R22" s="60" t="str">
        <f>IF(LEFT(K22,2)="22","20'","40'")</f>
        <v>20'</v>
      </c>
      <c r="S22" s="185" t="n"/>
      <c r="T22" s="61" t="str">
        <f>VLOOKUP(A22,'1.Loading'!A:R,2,FALSE)</f>
        <v>2026-10-23</v>
      </c>
      <c r="U22" s="63">
        <f>T22-S22</f>
        <v>46318</v>
      </c>
      <c r="V22" s="186" t="n"/>
      <c r="W22" s="61" t="str">
        <f>VLOOKUP(A22,'3.GateMove'!A:D,4,FALSE)</f>
        <v>2026-10-17</v>
      </c>
      <c r="X22" s="63">
        <f>((T22-W22)+1)</f>
        <v>7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46319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Pattarapong Saengthong</v>
      </c>
      <c r="AL22" s="60" t="str">
        <f>VLOOKUP(D22,'2.Bookinglist'!A:CW,101,FALSE)</f>
        <v>2026-10-20</v>
      </c>
      <c r="AM22" s="60" t="str">
        <f>VLOOKUP(D22,'2.Bookinglist'!A:BK,63,FALSE)</f>
        <v>LCHY5</v>
      </c>
      <c r="AN22" s="62" t="str">
        <f>VLOOKUP(D22,'2.Bookinglist'!A:AZ,52,FALSE)</f>
        <v>Pickup : 2026-10-10, Return : 2026-10-12 
 ** PLEASE CHECK OPEN GATE BEFORE RETURN CNTR **
</v>
      </c>
      <c r="AO22" s="62" t="str">
        <f>VLOOKUP(D22,'2.Bookinglist'!A:CY,103,FALSE)</f>
        <v>ROLL OVER FROM PREVIOUS VSL KUS 2616N BY ALLOCATION TEAM MS.TARN APRPOVED COST IS UNDER HA DD.12/10</v>
      </c>
    </row>
    <row r="23" ht="12.95" customHeight="1">
      <c r="A23" s="96" t="inlineStr">
        <is>
          <t>SKLU1513627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LCH01</v>
      </c>
      <c r="D23" s="61" t="str">
        <f>VLOOKUP(A23,'1.Loading'!A:R,17,FALSE)</f>
        <v>HASLS22260901975</v>
      </c>
      <c r="E23" s="62" t="str">
        <f>VLOOKUP(D23,'2.Bookinglist'!A:CT,27,FALSE)</f>
        <v>EVERGREEN LOGISTICS (THAILAND) CO., LTD.</v>
      </c>
      <c r="F23" s="62" t="str">
        <f>VLOOKUP(D23,'2.Bookinglist'!A:CT,28,FALSE)</f>
        <v>T.C.PHARMACEUTICAL INDUSTRIES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SWAL</v>
      </c>
      <c r="P23" s="61" t="str">
        <f>VLOOKUP(A23,'1.Loading'!A:R,4,FALSE)</f>
        <v>2609N</v>
      </c>
      <c r="Q23" s="61" t="str">
        <f>VLOOKUP(D23,'2.Bookinglist'!A:CT,12,FALSE)</f>
        <v>KST</v>
      </c>
      <c r="R23" s="60" t="str">
        <f>IF(LEFT(K23,2)="22","20'","40'")</f>
        <v>20'</v>
      </c>
      <c r="S23" s="185" t="n"/>
      <c r="T23" s="61" t="str">
        <f>VLOOKUP(A23,'1.Loading'!A:R,2,FALSE)</f>
        <v>2026-10-23</v>
      </c>
      <c r="U23" s="63">
        <f>T23-S23</f>
        <v>46318</v>
      </c>
      <c r="V23" s="186" t="n"/>
      <c r="W23" s="61" t="str">
        <f>VLOOKUP(A23,'3.GateMove'!A:D,4,FALSE)</f>
        <v>2026-10-16</v>
      </c>
      <c r="X23" s="63">
        <f>((T23-W23)+1)</f>
        <v>8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1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125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46319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125</v>
      </c>
      <c r="AJ23" s="188" t="n"/>
      <c r="AK23" s="62" t="str">
        <f>VLOOKUP(D23,'2.Bookinglist'!A:CT,40,FALSE)</f>
        <v>Pattarapong Saengthong</v>
      </c>
      <c r="AL23" s="60" t="str">
        <f>VLOOKUP(D23,'2.Bookinglist'!A:CW,101,FALSE)</f>
        <v>2026-10-20</v>
      </c>
      <c r="AM23" s="60" t="str">
        <f>VLOOKUP(D23,'2.Bookinglist'!A:BK,63,FALSE)</f>
        <v>LCHY5</v>
      </c>
      <c r="AN23" s="62" t="str">
        <f>VLOOKUP(D23,'2.Bookinglist'!A:AZ,52,FALSE)</f>
        <v>Pickup : 2026-10-10, Return : 2026-10-12 
 ** PLEASE CHECK OPEN GATE BEFORE RETURN CNTR **
</v>
      </c>
      <c r="AO23" s="62" t="str">
        <f>VLOOKUP(D23,'2.Bookinglist'!A:CY,103,FALSE)</f>
        <v>ROLL OVER FROM PREVIOUS VSL KUS 2616N BY ALLOCATION TEAM MS.TARN APRPOVED COST IS UNDER HA DD.12/10</v>
      </c>
    </row>
    <row r="24" ht="12.95" customHeight="1">
      <c r="A24" s="96" t="inlineStr">
        <is>
          <t>SKLU1534337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LCH01</v>
      </c>
      <c r="D24" s="61" t="str">
        <f>VLOOKUP(A24,'1.Loading'!A:R,17,FALSE)</f>
        <v>HASLS22260800955</v>
      </c>
      <c r="E24" s="62" t="str">
        <f>VLOOKUP(D24,'2.Bookinglist'!A:CT,27,FALSE)</f>
        <v>WHA GC LOGISTICS COMPANY LIMITED</v>
      </c>
      <c r="F24" s="62" t="str">
        <f>VLOOKUP(D24,'2.Bookinglist'!A:CT,28,FALSE)</f>
        <v>PTT GLOBAL CHEMICAL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SWAL</v>
      </c>
      <c r="P24" s="61" t="str">
        <f>VLOOKUP(A24,'1.Loading'!A:R,4,FALSE)</f>
        <v>2609N</v>
      </c>
      <c r="Q24" s="61" t="str">
        <f>VLOOKUP(D24,'2.Bookinglist'!A:CT,12,FALSE)</f>
        <v>KST</v>
      </c>
      <c r="R24" s="60" t="str">
        <f>IF(LEFT(K24,2)="22","20'","40'")</f>
        <v>20'</v>
      </c>
      <c r="S24" s="185" t="n"/>
      <c r="T24" s="61" t="str">
        <f>VLOOKUP(A24,'1.Loading'!A:R,2,FALSE)</f>
        <v>2026-10-23</v>
      </c>
      <c r="U24" s="63">
        <f>T24-S24</f>
        <v>46318</v>
      </c>
      <c r="V24" s="186" t="n"/>
      <c r="W24" s="61" t="str">
        <f>VLOOKUP(A24,'3.GateMove'!A:D,4,FALSE)</f>
        <v>2026-10-17</v>
      </c>
      <c r="X24" s="63">
        <f>((T24-W24)+1)</f>
        <v>7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46319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Dharaporn</v>
      </c>
      <c r="AL24" s="60" t="str">
        <f>VLOOKUP(D24,'2.Bookinglist'!A:CW,101,FALSE)</f>
        <v>2026-10-20</v>
      </c>
      <c r="AM24" s="60" t="str">
        <f>VLOOKUP(D24,'2.Bookinglist'!A:BK,63,FALSE)</f>
        <v>LCHY5</v>
      </c>
      <c r="AN24" s="62" t="str">
        <f>VLOOKUP(D24,'2.Bookinglist'!A:AZ,52,FALSE)</f>
        <v>CY-RTN : 02-09/10/2026</v>
      </c>
      <c r="AO24" s="62" t="str">
        <f>VLOOKUP(D24,'2.Bookinglist'!A:CY,103,FALSE)</f>
        <v>ROLL OVER FORM PREIVOUS VSL KUS 2616N BY ALLOCAITON TEAM MS.TARN APRPOVED COST IS UNDER HA DD.12/10</v>
      </c>
    </row>
    <row r="25" ht="12.95" customHeight="1">
      <c r="A25" s="96" t="inlineStr">
        <is>
          <t>SKLU1553830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LCH01</v>
      </c>
      <c r="D25" s="61" t="str">
        <f>VLOOKUP(A25,'1.Loading'!A:R,17,FALSE)</f>
        <v>HASLS22261000120</v>
      </c>
      <c r="E25" s="62" t="str">
        <f>VLOOKUP(D25,'2.Bookinglist'!A:CT,27,FALSE)</f>
        <v>MAXTOP LOGISTICS (THAILAND) CO., LTD.</v>
      </c>
      <c r="F25" s="62" t="str">
        <f>VLOOKUP(D25,'2.Bookinglist'!A:CT,28,FALSE)</f>
        <v>POSCO COATED STEEL (THAILAND)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KRINC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SWAL</v>
      </c>
      <c r="P25" s="61" t="str">
        <f>VLOOKUP(A25,'1.Loading'!A:R,4,FALSE)</f>
        <v>2609N</v>
      </c>
      <c r="Q25" s="61" t="str">
        <f>VLOOKUP(D25,'2.Bookinglist'!A:CT,12,FALSE)</f>
        <v>KST</v>
      </c>
      <c r="R25" s="60" t="str">
        <f>IF(LEFT(K25,2)="22","20'","40'")</f>
        <v>20'</v>
      </c>
      <c r="S25" s="185" t="n"/>
      <c r="T25" s="61" t="str">
        <f>VLOOKUP(A25,'1.Loading'!A:R,2,FALSE)</f>
        <v>2026-10-23</v>
      </c>
      <c r="U25" s="63">
        <f>T25-S25</f>
        <v>46318</v>
      </c>
      <c r="V25" s="186" t="n"/>
      <c r="W25" s="61" t="str">
        <f>VLOOKUP(A25,'3.GateMove'!A:D,4,FALSE)</f>
        <v>2026-10-17</v>
      </c>
      <c r="X25" s="63">
        <f>((T25-W25)+1)</f>
        <v>7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46319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Arunphat W. (Aiw)</v>
      </c>
      <c r="AL25" s="60" t="str">
        <f>VLOOKUP(D25,'2.Bookinglist'!A:CW,101,FALSE)</f>
        <v>2026-10-20</v>
      </c>
      <c r="AM25" s="60" t="str">
        <f>VLOOKUP(D25,'2.Bookinglist'!A:BK,63,FALSE)</f>
        <v>LCHY5</v>
      </c>
      <c r="AN25" s="62" t="str">
        <f>VLOOKUP(D25,'2.Bookinglist'!A:AZ,52,FALSE)</f>
        <v>Pickup : 2026-10-12, Return : 2026-10-16
**CHECK OPENGATE BEFORE RETURN CNTR**</v>
      </c>
      <c r="AO25" s="62">
        <f>VLOOKUP(D25,'2.Bookinglist'!A:CY,103,FALSE)</f>
        <v>0</v>
      </c>
    </row>
    <row r="26" ht="12.95" customHeight="1">
      <c r="A26" s="96" t="inlineStr">
        <is>
          <t>SKLU1586238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LCH01</v>
      </c>
      <c r="D26" s="61" t="str">
        <f>VLOOKUP(A26,'1.Loading'!A:R,17,FALSE)</f>
        <v>HASLS22261000120</v>
      </c>
      <c r="E26" s="62" t="str">
        <f>VLOOKUP(D26,'2.Bookinglist'!A:CT,27,FALSE)</f>
        <v>MAXTOP LOGISTICS (THAILAND) CO., LTD.</v>
      </c>
      <c r="F26" s="62" t="str">
        <f>VLOOKUP(D26,'2.Bookinglist'!A:CT,28,FALSE)</f>
        <v>POSCO COATED STEEL (THAILAND)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KRINC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SWAL</v>
      </c>
      <c r="P26" s="61" t="str">
        <f>VLOOKUP(A26,'1.Loading'!A:R,4,FALSE)</f>
        <v>2609N</v>
      </c>
      <c r="Q26" s="61" t="str">
        <f>VLOOKUP(D26,'2.Bookinglist'!A:CT,12,FALSE)</f>
        <v>KST</v>
      </c>
      <c r="R26" s="60" t="str">
        <f>IF(LEFT(K26,2)="22","20'","40'")</f>
        <v>20'</v>
      </c>
      <c r="S26" s="185" t="n"/>
      <c r="T26" s="61" t="str">
        <f>VLOOKUP(A26,'1.Loading'!A:R,2,FALSE)</f>
        <v>2026-10-23</v>
      </c>
      <c r="U26" s="63">
        <f>T26-S26</f>
        <v>46318</v>
      </c>
      <c r="V26" s="186" t="n"/>
      <c r="W26" s="61" t="str">
        <f>VLOOKUP(A26,'3.GateMove'!A:D,4,FALSE)</f>
        <v>2026-10-17</v>
      </c>
      <c r="X26" s="63">
        <f>((T26-W26)+1)</f>
        <v>7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46319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Arunphat W. (Aiw)</v>
      </c>
      <c r="AL26" s="60" t="str">
        <f>VLOOKUP(D26,'2.Bookinglist'!A:CW,101,FALSE)</f>
        <v>2026-10-20</v>
      </c>
      <c r="AM26" s="60" t="str">
        <f>VLOOKUP(D26,'2.Bookinglist'!A:BK,63,FALSE)</f>
        <v>LCHY5</v>
      </c>
      <c r="AN26" s="62" t="str">
        <f>VLOOKUP(D26,'2.Bookinglist'!A:AZ,52,FALSE)</f>
        <v>Pickup : 2026-10-12, Return : 2026-10-16
**CHECK OPENGATE BEFORE RETURN CNTR**</v>
      </c>
      <c r="AO26" s="62">
        <f>VLOOKUP(D26,'2.Bookinglist'!A:CY,103,FALSE)</f>
        <v>0</v>
      </c>
    </row>
    <row r="27" ht="12.95" customHeight="1">
      <c r="A27" s="96" t="inlineStr">
        <is>
          <t>SKLU1590855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LCH01</v>
      </c>
      <c r="D27" s="61" t="str">
        <f>VLOOKUP(A27,'1.Loading'!A:R,17,FALSE)</f>
        <v>HASLS22261001238</v>
      </c>
      <c r="E27" s="62" t="str">
        <f>VLOOKUP(D27,'2.Bookinglist'!A:CT,27,FALSE)</f>
        <v>HTNS (THAILAND) CO.,LTD.</v>
      </c>
      <c r="F27" s="62" t="str">
        <f>VLOOKUP(D27,'2.Bookinglist'!A:CT,28,FALSE)</f>
        <v>THAI MAIN TECH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KRINC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SWAL</v>
      </c>
      <c r="P27" s="61" t="str">
        <f>VLOOKUP(A27,'1.Loading'!A:R,4,FALSE)</f>
        <v>2609N</v>
      </c>
      <c r="Q27" s="61" t="str">
        <f>VLOOKUP(D27,'2.Bookinglist'!A:CT,12,FALSE)</f>
        <v>KST</v>
      </c>
      <c r="R27" s="60" t="str">
        <f>IF(LEFT(K27,2)="22","20'","40'")</f>
        <v>20'</v>
      </c>
      <c r="S27" s="185" t="n"/>
      <c r="T27" s="61" t="str">
        <f>VLOOKUP(A27,'1.Loading'!A:R,2,FALSE)</f>
        <v>2026-10-23</v>
      </c>
      <c r="U27" s="63">
        <f>T27-S27</f>
        <v>46318</v>
      </c>
      <c r="V27" s="186" t="n"/>
      <c r="W27" s="61" t="str">
        <f>VLOOKUP(A27,'3.GateMove'!A:D,4,FALSE)</f>
        <v>2026-10-20</v>
      </c>
      <c r="X27" s="63">
        <f>((T27-W27)+1)</f>
        <v>4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46319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Arunphat W. (Aiw)</v>
      </c>
      <c r="AL27" s="60" t="str">
        <f>VLOOKUP(D27,'2.Bookinglist'!A:CW,101,FALSE)</f>
        <v>2026-10-23</v>
      </c>
      <c r="AM27" s="60" t="str">
        <f>VLOOKUP(D27,'2.Bookinglist'!A:BK,63,FALSE)</f>
        <v>LCHY5</v>
      </c>
      <c r="AN27" s="62" t="str">
        <f>VLOOKUP(D27,'2.Bookinglist'!A:AZ,52,FALSE)</f>
        <v>Pickup : 2026-10-20, Return : 2026-10-20 // EXTEND CLS TIME 21/10 @16.00 
 ** PLEASE CHECK OPEN GATE BEFORE RETURN CNTR **
</v>
      </c>
      <c r="AO27" s="62">
        <f>VLOOKUP(D27,'2.Bookinglist'!A:CY,103,FALSE)</f>
        <v>0</v>
      </c>
    </row>
    <row r="28" ht="12.95" customHeight="1">
      <c r="A28" s="96" t="inlineStr">
        <is>
          <t>SKLU1625036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LCH01</v>
      </c>
      <c r="D28" s="61" t="str">
        <f>VLOOKUP(A28,'1.Loading'!A:R,17,FALSE)</f>
        <v>HASLS22260901975</v>
      </c>
      <c r="E28" s="62" t="str">
        <f>VLOOKUP(D28,'2.Bookinglist'!A:CT,27,FALSE)</f>
        <v>EVERGREEN LOGISTICS (THAILAND) CO., LTD.</v>
      </c>
      <c r="F28" s="62" t="str">
        <f>VLOOKUP(D28,'2.Bookinglist'!A:CT,28,FALSE)</f>
        <v>T.C.PHARMACEUTICAL INDUSTRIES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SWAL</v>
      </c>
      <c r="P28" s="61" t="str">
        <f>VLOOKUP(A28,'1.Loading'!A:R,4,FALSE)</f>
        <v>2609N</v>
      </c>
      <c r="Q28" s="61" t="str">
        <f>VLOOKUP(D28,'2.Bookinglist'!A:CT,12,FALSE)</f>
        <v>KST</v>
      </c>
      <c r="R28" s="60" t="str">
        <f>IF(LEFT(K28,2)="22","20'","40'")</f>
        <v>20'</v>
      </c>
      <c r="S28" s="185" t="n"/>
      <c r="T28" s="61" t="str">
        <f>VLOOKUP(A28,'1.Loading'!A:R,2,FALSE)</f>
        <v>2026-10-23</v>
      </c>
      <c r="U28" s="63">
        <f>T28-S28</f>
        <v>46318</v>
      </c>
      <c r="V28" s="186" t="n"/>
      <c r="W28" s="61" t="str">
        <f>VLOOKUP(A28,'3.GateMove'!A:D,4,FALSE)</f>
        <v>2026-10-17</v>
      </c>
      <c r="X28" s="63">
        <f>((T28-W28)+1)</f>
        <v>7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46319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Pattarapong Saengthong</v>
      </c>
      <c r="AL28" s="60" t="str">
        <f>VLOOKUP(D28,'2.Bookinglist'!A:CW,101,FALSE)</f>
        <v>2026-10-20</v>
      </c>
      <c r="AM28" s="60" t="str">
        <f>VLOOKUP(D28,'2.Bookinglist'!A:BK,63,FALSE)</f>
        <v>LCHY5</v>
      </c>
      <c r="AN28" s="62" t="str">
        <f>VLOOKUP(D28,'2.Bookinglist'!A:AZ,52,FALSE)</f>
        <v>Pickup : 2026-10-10, Return : 2026-10-12 
 ** PLEASE CHECK OPEN GATE BEFORE RETURN CNTR **
</v>
      </c>
      <c r="AO28" s="62" t="str">
        <f>VLOOKUP(D28,'2.Bookinglist'!A:CY,103,FALSE)</f>
        <v>ROLL OVER FROM PREVIOUS VSL KUS 2616N BY ALLOCATION TEAM MS.TARN APRPOVED COST IS UNDER HA DD.12/10</v>
      </c>
    </row>
    <row r="29" ht="12.95" customHeight="1">
      <c r="A29" s="96" t="inlineStr">
        <is>
          <t>SKLU1904642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LCH01</v>
      </c>
      <c r="D29" s="61" t="str">
        <f>VLOOKUP(A29,'1.Loading'!A:R,17,FALSE)</f>
        <v>HASLS22260901975</v>
      </c>
      <c r="E29" s="62" t="str">
        <f>VLOOKUP(D29,'2.Bookinglist'!A:CT,27,FALSE)</f>
        <v>EVERGREEN LOGISTICS (THAILAND) CO., LTD.</v>
      </c>
      <c r="F29" s="62" t="str">
        <f>VLOOKUP(D29,'2.Bookinglist'!A:CT,28,FALSE)</f>
        <v>T.C.PHARMACEUTICAL INDUSTRIES CO.,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SWAL</v>
      </c>
      <c r="P29" s="61" t="str">
        <f>VLOOKUP(A29,'1.Loading'!A:R,4,FALSE)</f>
        <v>2609N</v>
      </c>
      <c r="Q29" s="61" t="str">
        <f>VLOOKUP(D29,'2.Bookinglist'!A:CT,12,FALSE)</f>
        <v>KST</v>
      </c>
      <c r="R29" s="60" t="str">
        <f>IF(LEFT(K29,2)="22","20'","40'")</f>
        <v>20'</v>
      </c>
      <c r="S29" s="185" t="n"/>
      <c r="T29" s="61" t="str">
        <f>VLOOKUP(A29,'1.Loading'!A:R,2,FALSE)</f>
        <v>2026-10-23</v>
      </c>
      <c r="U29" s="63">
        <f>T29-S29</f>
        <v>46318</v>
      </c>
      <c r="V29" s="186" t="n"/>
      <c r="W29" s="61" t="str">
        <f>VLOOKUP(A29,'3.GateMove'!A:D,4,FALSE)</f>
        <v>2026-10-17</v>
      </c>
      <c r="X29" s="63">
        <f>((T29-W29)+1)</f>
        <v>7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46319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Pattarapong Saengthong</v>
      </c>
      <c r="AL29" s="60" t="str">
        <f>VLOOKUP(D29,'2.Bookinglist'!A:CW,101,FALSE)</f>
        <v>2026-10-20</v>
      </c>
      <c r="AM29" s="60" t="str">
        <f>VLOOKUP(D29,'2.Bookinglist'!A:BK,63,FALSE)</f>
        <v>LCHY5</v>
      </c>
      <c r="AN29" s="62" t="str">
        <f>VLOOKUP(D29,'2.Bookinglist'!A:AZ,52,FALSE)</f>
        <v>Pickup : 2026-10-10, Return : 2026-10-12 
 ** PLEASE CHECK OPEN GATE BEFORE RETURN CNTR **
</v>
      </c>
      <c r="AO29" s="62" t="str">
        <f>VLOOKUP(D29,'2.Bookinglist'!A:CY,103,FALSE)</f>
        <v>ROLL OVER FROM PREVIOUS VSL KUS 2616N BY ALLOCATION TEAM MS.TARN APRPOVED COST IS UNDER HA DD.12/10</v>
      </c>
    </row>
    <row r="30" ht="12.95" customHeight="1">
      <c r="A30" s="96" t="inlineStr">
        <is>
          <t>SKLU1947393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LCH01</v>
      </c>
      <c r="D30" s="61" t="str">
        <f>VLOOKUP(A30,'1.Loading'!A:R,17,FALSE)</f>
        <v>HASLS22260901975</v>
      </c>
      <c r="E30" s="62" t="str">
        <f>VLOOKUP(D30,'2.Bookinglist'!A:CT,27,FALSE)</f>
        <v>EVERGREEN LOGISTICS (THAILAND) CO., LTD.</v>
      </c>
      <c r="F30" s="62" t="str">
        <f>VLOOKUP(D30,'2.Bookinglist'!A:CT,28,FALSE)</f>
        <v>T.C.PHARMACEUTICAL INDUSTRIES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SWAL</v>
      </c>
      <c r="P30" s="61" t="str">
        <f>VLOOKUP(A30,'1.Loading'!A:R,4,FALSE)</f>
        <v>2609N</v>
      </c>
      <c r="Q30" s="61" t="str">
        <f>VLOOKUP(D30,'2.Bookinglist'!A:CT,12,FALSE)</f>
        <v>KST</v>
      </c>
      <c r="R30" s="60" t="str">
        <f>IF(LEFT(K30,2)="22","20'","40'")</f>
        <v>20'</v>
      </c>
      <c r="S30" s="185" t="n"/>
      <c r="T30" s="61" t="str">
        <f>VLOOKUP(A30,'1.Loading'!A:R,2,FALSE)</f>
        <v>2026-10-23</v>
      </c>
      <c r="U30" s="63">
        <f>T30-S30</f>
        <v>46318</v>
      </c>
      <c r="V30" s="186" t="n"/>
      <c r="W30" s="61" t="str">
        <f>VLOOKUP(A30,'3.GateMove'!A:D,4,FALSE)</f>
        <v>2026-10-17</v>
      </c>
      <c r="X30" s="63">
        <f>((T30-W30)+1)</f>
        <v>7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46319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Pattarapong Saengthong</v>
      </c>
      <c r="AL30" s="60" t="str">
        <f>VLOOKUP(D30,'2.Bookinglist'!A:CW,101,FALSE)</f>
        <v>2026-10-20</v>
      </c>
      <c r="AM30" s="60" t="str">
        <f>VLOOKUP(D30,'2.Bookinglist'!A:BK,63,FALSE)</f>
        <v>LCHY5</v>
      </c>
      <c r="AN30" s="62" t="str">
        <f>VLOOKUP(D30,'2.Bookinglist'!A:AZ,52,FALSE)</f>
        <v>Pickup : 2026-10-10, Return : 2026-10-12 
 ** PLEASE CHECK OPEN GATE BEFORE RETURN CNTR **
</v>
      </c>
      <c r="AO30" s="62" t="str">
        <f>VLOOKUP(D30,'2.Bookinglist'!A:CY,103,FALSE)</f>
        <v>ROLL OVER FROM PREVIOUS VSL KUS 2616N BY ALLOCATION TEAM MS.TARN APRPOVED COST IS UNDER HA DD.12/10</v>
      </c>
    </row>
    <row r="31" ht="12.95" customHeight="1">
      <c r="A31" s="96" t="inlineStr">
        <is>
          <t>SKLU1995302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LCH01</v>
      </c>
      <c r="D31" s="61" t="str">
        <f>VLOOKUP(A31,'1.Loading'!A:R,17,FALSE)</f>
        <v>HASLS22260901975</v>
      </c>
      <c r="E31" s="62" t="str">
        <f>VLOOKUP(D31,'2.Bookinglist'!A:CT,27,FALSE)</f>
        <v>EVERGREEN LOGISTICS (THAILAND) CO., LTD.</v>
      </c>
      <c r="F31" s="62" t="str">
        <f>VLOOKUP(D31,'2.Bookinglist'!A:CT,28,FALSE)</f>
        <v>T.C.PHARMACEUTICAL INDUSTRIES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SWAL</v>
      </c>
      <c r="P31" s="61" t="str">
        <f>VLOOKUP(A31,'1.Loading'!A:R,4,FALSE)</f>
        <v>2609N</v>
      </c>
      <c r="Q31" s="61" t="str">
        <f>VLOOKUP(D31,'2.Bookinglist'!A:CT,12,FALSE)</f>
        <v>KST</v>
      </c>
      <c r="R31" s="60" t="str">
        <f>IF(LEFT(K31,2)="22","20'","40'")</f>
        <v>20'</v>
      </c>
      <c r="S31" s="185" t="n"/>
      <c r="T31" s="61" t="str">
        <f>VLOOKUP(A31,'1.Loading'!A:R,2,FALSE)</f>
        <v>2026-10-23</v>
      </c>
      <c r="U31" s="63">
        <f>T31-S31</f>
        <v>46318</v>
      </c>
      <c r="V31" s="186" t="n"/>
      <c r="W31" s="61" t="str">
        <f>VLOOKUP(A31,'3.GateMove'!A:D,4,FALSE)</f>
        <v>2026-10-17</v>
      </c>
      <c r="X31" s="63">
        <f>((T31-W31)+1)</f>
        <v>7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46319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Pattarapong Saengthong</v>
      </c>
      <c r="AL31" s="60" t="str">
        <f>VLOOKUP(D31,'2.Bookinglist'!A:CW,101,FALSE)</f>
        <v>2026-10-20</v>
      </c>
      <c r="AM31" s="60" t="str">
        <f>VLOOKUP(D31,'2.Bookinglist'!A:BK,63,FALSE)</f>
        <v>LCHY5</v>
      </c>
      <c r="AN31" s="62" t="str">
        <f>VLOOKUP(D31,'2.Bookinglist'!A:AZ,52,FALSE)</f>
        <v>Pickup : 2026-10-10, Return : 2026-10-12 
 ** PLEASE CHECK OPEN GATE BEFORE RETURN CNTR **
</v>
      </c>
      <c r="AO31" s="62" t="str">
        <f>VLOOKUP(D31,'2.Bookinglist'!A:CY,103,FALSE)</f>
        <v>ROLL OVER FROM PREVIOUS VSL KUS 2616N BY ALLOCATION TEAM MS.TARN APRPOVED COST IS UNDER HA DD.12/10</v>
      </c>
    </row>
    <row r="32" ht="12.95" customHeight="1">
      <c r="A32" s="96" t="inlineStr">
        <is>
          <t>SKLU2013903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LCH01</v>
      </c>
      <c r="D32" s="61" t="str">
        <f>VLOOKUP(A32,'1.Loading'!A:R,17,FALSE)</f>
        <v>HASLS22261000005</v>
      </c>
      <c r="E32" s="62" t="str">
        <f>VLOOKUP(D32,'2.Bookinglist'!A:CT,27,FALSE)</f>
        <v>SCGJWD LOGISTICS PUBLIC COMPANY LIMITED</v>
      </c>
      <c r="F32" s="62" t="str">
        <f>VLOOKUP(D32,'2.Bookinglist'!A:CT,28,FALSE)</f>
        <v>THAI POLYETHYLENE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JPNAH</v>
      </c>
      <c r="J32" s="61" t="str">
        <f>VLOOKUP(D32,'2.Bookinglist'!A:CT,26,FALSE)</f>
        <v>KRPUS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SWAL</v>
      </c>
      <c r="P32" s="61" t="str">
        <f>VLOOKUP(A32,'1.Loading'!A:R,4,FALSE)</f>
        <v>2609N</v>
      </c>
      <c r="Q32" s="61" t="str">
        <f>VLOOKUP(D32,'2.Bookinglist'!A:CT,12,FALSE)</f>
        <v>KST</v>
      </c>
      <c r="R32" s="60" t="str">
        <f>IF(LEFT(K32,2)="22","20'","40'")</f>
        <v>20'</v>
      </c>
      <c r="S32" s="185" t="n"/>
      <c r="T32" s="61" t="str">
        <f>VLOOKUP(A32,'1.Loading'!A:R,2,FALSE)</f>
        <v>2026-10-23</v>
      </c>
      <c r="U32" s="63">
        <f>T32-S32</f>
        <v>46318</v>
      </c>
      <c r="V32" s="186" t="n"/>
      <c r="W32" s="61" t="str">
        <f>VLOOKUP(A32,'3.GateMove'!A:D,4,FALSE)</f>
        <v>2026-10-19</v>
      </c>
      <c r="X32" s="63">
        <f>((T32-W32)+1)</f>
        <v>5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46319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Kanokporn</v>
      </c>
      <c r="AL32" s="60" t="str">
        <f>VLOOKUP(D32,'2.Bookinglist'!A:CW,101,FALSE)</f>
        <v>2026-10-20</v>
      </c>
      <c r="AM32" s="60" t="str">
        <f>VLOOKUP(D32,'2.Bookinglist'!A:BK,63,FALSE)</f>
        <v>LCHY5</v>
      </c>
      <c r="AN32" s="62" t="str">
        <f>VLOOKUP(D32,'2.Bookinglist'!A:AZ,52,FALSE)</f>
        <v>CY-RTN :09-12/10/2026 (INV : 3031061705) // FM KJT 2611N BY HAL DD.12/10
EXTEND CLOSTING TIME  2026-10-15 @ 23.59
</v>
      </c>
      <c r="AO32" s="62" t="str">
        <f>VLOOKUP(D32,'2.Bookinglist'!A:CY,103,FALSE)</f>
        <v>ROLL OVER FROM PREVIOUS VSL SWBT 2616N BY ALLOCATION TEAM MS.TARN APPROVED COST IS UNDER HA DD.15/10</v>
      </c>
    </row>
    <row r="33" ht="12.95" customHeight="1">
      <c r="A33" s="96" t="inlineStr">
        <is>
          <t>SKLU2082150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LCH01</v>
      </c>
      <c r="D33" s="61" t="str">
        <f>VLOOKUP(A33,'1.Loading'!A:R,17,FALSE)</f>
        <v>HASLS22260800955</v>
      </c>
      <c r="E33" s="62" t="str">
        <f>VLOOKUP(D33,'2.Bookinglist'!A:CT,27,FALSE)</f>
        <v>WHA GC LOGISTICS COMPANY LIMITED</v>
      </c>
      <c r="F33" s="62" t="str">
        <f>VLOOKUP(D33,'2.Bookinglist'!A:CT,28,FALSE)</f>
        <v>PTT GLOBAL CHEMICAL PUBLIC COMPANY LIMITED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SWAL</v>
      </c>
      <c r="P33" s="61" t="str">
        <f>VLOOKUP(A33,'1.Loading'!A:R,4,FALSE)</f>
        <v>2609N</v>
      </c>
      <c r="Q33" s="61" t="str">
        <f>VLOOKUP(D33,'2.Bookinglist'!A:CT,12,FALSE)</f>
        <v>KST</v>
      </c>
      <c r="R33" s="60" t="str">
        <f>IF(LEFT(K33,2)="22","20'","40'")</f>
        <v>20'</v>
      </c>
      <c r="S33" s="185" t="n"/>
      <c r="T33" s="61" t="str">
        <f>VLOOKUP(A33,'1.Loading'!A:R,2,FALSE)</f>
        <v>2026-10-23</v>
      </c>
      <c r="U33" s="63">
        <f>T33-S33</f>
        <v>46318</v>
      </c>
      <c r="V33" s="186" t="n"/>
      <c r="W33" s="61" t="str">
        <f>VLOOKUP(A33,'3.GateMove'!A:D,4,FALSE)</f>
        <v>2026-10-17</v>
      </c>
      <c r="X33" s="63">
        <f>((T33-W33)+1)</f>
        <v>7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46319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Dharaporn</v>
      </c>
      <c r="AL33" s="60" t="str">
        <f>VLOOKUP(D33,'2.Bookinglist'!A:CW,101,FALSE)</f>
        <v>2026-10-20</v>
      </c>
      <c r="AM33" s="60" t="str">
        <f>VLOOKUP(D33,'2.Bookinglist'!A:BK,63,FALSE)</f>
        <v>LCHY5</v>
      </c>
      <c r="AN33" s="62" t="str">
        <f>VLOOKUP(D33,'2.Bookinglist'!A:AZ,52,FALSE)</f>
        <v>CY-RTN : 02-09/10/2026</v>
      </c>
      <c r="AO33" s="62" t="str">
        <f>VLOOKUP(D33,'2.Bookinglist'!A:CY,103,FALSE)</f>
        <v>ROLL OVER FORM PREIVOUS VSL KUS 2616N BY ALLOCAITON TEAM MS.TARN APRPOVED COST IS UNDER HA DD.12/10</v>
      </c>
    </row>
    <row r="34" ht="12.95" customHeight="1">
      <c r="A34" s="96" t="inlineStr">
        <is>
          <t>SKLU2101727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LCH01</v>
      </c>
      <c r="D34" s="61" t="str">
        <f>VLOOKUP(A34,'1.Loading'!A:R,17,FALSE)</f>
        <v>HASLS22261000120</v>
      </c>
      <c r="E34" s="62" t="str">
        <f>VLOOKUP(D34,'2.Bookinglist'!A:CT,27,FALSE)</f>
        <v>MAXTOP LOGISTICS (THAILAND) CO., LTD.</v>
      </c>
      <c r="F34" s="62" t="str">
        <f>VLOOKUP(D34,'2.Bookinglist'!A:CT,28,FALSE)</f>
        <v>POSCO COATED STEEL (THAILAND)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KRINC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SWAL</v>
      </c>
      <c r="P34" s="61" t="str">
        <f>VLOOKUP(A34,'1.Loading'!A:R,4,FALSE)</f>
        <v>2609N</v>
      </c>
      <c r="Q34" s="61" t="str">
        <f>VLOOKUP(D34,'2.Bookinglist'!A:CT,12,FALSE)</f>
        <v>KST</v>
      </c>
      <c r="R34" s="60" t="str">
        <f>IF(LEFT(K34,2)="22","20'","40'")</f>
        <v>20'</v>
      </c>
      <c r="S34" s="185" t="n"/>
      <c r="T34" s="61" t="str">
        <f>VLOOKUP(A34,'1.Loading'!A:R,2,FALSE)</f>
        <v>2026-10-23</v>
      </c>
      <c r="U34" s="63">
        <f>T34-S34</f>
        <v>46318</v>
      </c>
      <c r="V34" s="186" t="n"/>
      <c r="W34" s="61" t="str">
        <f>VLOOKUP(A34,'3.GateMove'!A:D,4,FALSE)</f>
        <v>2026-10-17</v>
      </c>
      <c r="X34" s="63">
        <f>((T34-W34)+1)</f>
        <v>7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46319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Arunphat W. (Aiw)</v>
      </c>
      <c r="AL34" s="60" t="str">
        <f>VLOOKUP(D34,'2.Bookinglist'!A:CW,101,FALSE)</f>
        <v>2026-10-20</v>
      </c>
      <c r="AM34" s="60" t="str">
        <f>VLOOKUP(D34,'2.Bookinglist'!A:BK,63,FALSE)</f>
        <v>LCHY5</v>
      </c>
      <c r="AN34" s="62" t="str">
        <f>VLOOKUP(D34,'2.Bookinglist'!A:AZ,52,FALSE)</f>
        <v>Pickup : 2026-10-12, Return : 2026-10-16
**CHECK OPENGATE BEFORE RETURN CNTR**</v>
      </c>
      <c r="AO34" s="62">
        <f>VLOOKUP(D34,'2.Bookinglist'!A:CY,103,FALSE)</f>
        <v>0</v>
      </c>
    </row>
    <row r="35" ht="12.95" customHeight="1">
      <c r="A35" s="96" t="inlineStr">
        <is>
          <t>SKLU2105770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LCH01</v>
      </c>
      <c r="D35" s="61" t="str">
        <f>VLOOKUP(A35,'1.Loading'!A:R,17,FALSE)</f>
        <v>HASLS22261000120</v>
      </c>
      <c r="E35" s="62" t="str">
        <f>VLOOKUP(D35,'2.Bookinglist'!A:CT,27,FALSE)</f>
        <v>MAXTOP LOGISTICS (THAILAND) CO., LTD.</v>
      </c>
      <c r="F35" s="62" t="str">
        <f>VLOOKUP(D35,'2.Bookinglist'!A:CT,28,FALSE)</f>
        <v>POSCO COATED STEEL (THAILAND)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KRINC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SWAL</v>
      </c>
      <c r="P35" s="61" t="str">
        <f>VLOOKUP(A35,'1.Loading'!A:R,4,FALSE)</f>
        <v>2609N</v>
      </c>
      <c r="Q35" s="61" t="str">
        <f>VLOOKUP(D35,'2.Bookinglist'!A:CT,12,FALSE)</f>
        <v>KST</v>
      </c>
      <c r="R35" s="60" t="str">
        <f>IF(LEFT(K35,2)="22","20'","40'")</f>
        <v>20'</v>
      </c>
      <c r="S35" s="185" t="n"/>
      <c r="T35" s="61" t="str">
        <f>VLOOKUP(A35,'1.Loading'!A:R,2,FALSE)</f>
        <v>2026-10-23</v>
      </c>
      <c r="U35" s="63">
        <f>T35-S35</f>
        <v>46318</v>
      </c>
      <c r="V35" s="186" t="n"/>
      <c r="W35" s="61" t="str">
        <f>VLOOKUP(A35,'3.GateMove'!A:D,4,FALSE)</f>
        <v>2026-10-17</v>
      </c>
      <c r="X35" s="63">
        <f>((T35-W35)+1)</f>
        <v>7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46319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Arunphat W. (Aiw)</v>
      </c>
      <c r="AL35" s="60" t="str">
        <f>VLOOKUP(D35,'2.Bookinglist'!A:CW,101,FALSE)</f>
        <v>2026-10-20</v>
      </c>
      <c r="AM35" s="60" t="str">
        <f>VLOOKUP(D35,'2.Bookinglist'!A:BK,63,FALSE)</f>
        <v>LCHY5</v>
      </c>
      <c r="AN35" s="62" t="str">
        <f>VLOOKUP(D35,'2.Bookinglist'!A:AZ,52,FALSE)</f>
        <v>Pickup : 2026-10-12, Return : 2026-10-16
**CHECK OPENGATE BEFORE RETURN CNTR**</v>
      </c>
      <c r="AO35" s="62">
        <f>VLOOKUP(D35,'2.Bookinglist'!A:CY,103,FALSE)</f>
        <v>0</v>
      </c>
    </row>
    <row r="36" ht="12.95" customHeight="1">
      <c r="A36" s="96" t="inlineStr">
        <is>
          <t>SKLU2312123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LCH01</v>
      </c>
      <c r="D36" s="61" t="str">
        <f>VLOOKUP(A36,'1.Loading'!A:R,17,FALSE)</f>
        <v>HASLS22260901975</v>
      </c>
      <c r="E36" s="62" t="str">
        <f>VLOOKUP(D36,'2.Bookinglist'!A:CT,27,FALSE)</f>
        <v>EVERGREEN LOGISTICS (THAILAND) CO., LTD.</v>
      </c>
      <c r="F36" s="62" t="str">
        <f>VLOOKUP(D36,'2.Bookinglist'!A:CT,28,FALSE)</f>
        <v>T.C.PHARMACEUTICAL INDUSTRIES CO.,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SWAL</v>
      </c>
      <c r="P36" s="61" t="str">
        <f>VLOOKUP(A36,'1.Loading'!A:R,4,FALSE)</f>
        <v>2609N</v>
      </c>
      <c r="Q36" s="61" t="str">
        <f>VLOOKUP(D36,'2.Bookinglist'!A:CT,12,FALSE)</f>
        <v>KST</v>
      </c>
      <c r="R36" s="60" t="str">
        <f>IF(LEFT(K36,2)="22","20'","40'")</f>
        <v>20'</v>
      </c>
      <c r="S36" s="185" t="n"/>
      <c r="T36" s="61" t="str">
        <f>VLOOKUP(A36,'1.Loading'!A:R,2,FALSE)</f>
        <v>2026-10-23</v>
      </c>
      <c r="U36" s="63">
        <f>T36-S36</f>
        <v>46318</v>
      </c>
      <c r="V36" s="186" t="n"/>
      <c r="W36" s="61" t="str">
        <f>VLOOKUP(A36,'3.GateMove'!A:D,4,FALSE)</f>
        <v>2026-10-16</v>
      </c>
      <c r="X36" s="63">
        <f>((T36-W36)+1)</f>
        <v>8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1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125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46319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125</v>
      </c>
      <c r="AJ36" s="188" t="n"/>
      <c r="AK36" s="62" t="str">
        <f>VLOOKUP(D36,'2.Bookinglist'!A:CT,40,FALSE)</f>
        <v>Pattarapong Saengthong</v>
      </c>
      <c r="AL36" s="60" t="str">
        <f>VLOOKUP(D36,'2.Bookinglist'!A:CW,101,FALSE)</f>
        <v>2026-10-20</v>
      </c>
      <c r="AM36" s="60" t="str">
        <f>VLOOKUP(D36,'2.Bookinglist'!A:BK,63,FALSE)</f>
        <v>LCHY5</v>
      </c>
      <c r="AN36" s="62" t="str">
        <f>VLOOKUP(D36,'2.Bookinglist'!A:AZ,52,FALSE)</f>
        <v>Pickup : 2026-10-10, Return : 2026-10-12 
 ** PLEASE CHECK OPEN GATE BEFORE RETURN CNTR **
</v>
      </c>
      <c r="AO36" s="62" t="str">
        <f>VLOOKUP(D36,'2.Bookinglist'!A:CY,103,FALSE)</f>
        <v>ROLL OVER FROM PREVIOUS VSL KUS 2616N BY ALLOCATION TEAM MS.TARN APRPOVED COST IS UNDER HA DD.12/10</v>
      </c>
    </row>
    <row r="37" ht="12.95" customHeight="1">
      <c r="A37" s="96" t="inlineStr">
        <is>
          <t>SKLU2329595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LCH01</v>
      </c>
      <c r="D37" s="61" t="str">
        <f>VLOOKUP(A37,'1.Loading'!A:R,17,FALSE)</f>
        <v>HASLS22260901975</v>
      </c>
      <c r="E37" s="62" t="str">
        <f>VLOOKUP(D37,'2.Bookinglist'!A:CT,27,FALSE)</f>
        <v>EVERGREEN LOGISTICS (THAILAND) CO., LTD.</v>
      </c>
      <c r="F37" s="62" t="str">
        <f>VLOOKUP(D37,'2.Bookinglist'!A:CT,28,FALSE)</f>
        <v>T.C.PHARMACEUTICAL INDUSTRIES CO.,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SWAL</v>
      </c>
      <c r="P37" s="61" t="str">
        <f>VLOOKUP(A37,'1.Loading'!A:R,4,FALSE)</f>
        <v>2609N</v>
      </c>
      <c r="Q37" s="61" t="str">
        <f>VLOOKUP(D37,'2.Bookinglist'!A:CT,12,FALSE)</f>
        <v>KST</v>
      </c>
      <c r="R37" s="60" t="str">
        <f>IF(LEFT(K37,2)="22","20'","40'")</f>
        <v>20'</v>
      </c>
      <c r="S37" s="185" t="n"/>
      <c r="T37" s="61" t="str">
        <f>VLOOKUP(A37,'1.Loading'!A:R,2,FALSE)</f>
        <v>2026-10-23</v>
      </c>
      <c r="U37" s="63">
        <f>T37-S37</f>
        <v>46318</v>
      </c>
      <c r="V37" s="186" t="n"/>
      <c r="W37" s="61" t="str">
        <f>VLOOKUP(A37,'3.GateMove'!A:D,4,FALSE)</f>
        <v>2026-10-16</v>
      </c>
      <c r="X37" s="63">
        <f>((T37-W37)+1)</f>
        <v>8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1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125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46319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125</v>
      </c>
      <c r="AJ37" s="188" t="n"/>
      <c r="AK37" s="62" t="str">
        <f>VLOOKUP(D37,'2.Bookinglist'!A:CT,40,FALSE)</f>
        <v>Pattarapong Saengthong</v>
      </c>
      <c r="AL37" s="60" t="str">
        <f>VLOOKUP(D37,'2.Bookinglist'!A:CW,101,FALSE)</f>
        <v>2026-10-20</v>
      </c>
      <c r="AM37" s="60" t="str">
        <f>VLOOKUP(D37,'2.Bookinglist'!A:BK,63,FALSE)</f>
        <v>LCHY5</v>
      </c>
      <c r="AN37" s="62" t="str">
        <f>VLOOKUP(D37,'2.Bookinglist'!A:AZ,52,FALSE)</f>
        <v>Pickup : 2026-10-10, Return : 2026-10-12 
 ** PLEASE CHECK OPEN GATE BEFORE RETURN CNTR **
</v>
      </c>
      <c r="AO37" s="62" t="str">
        <f>VLOOKUP(D37,'2.Bookinglist'!A:CY,103,FALSE)</f>
        <v>ROLL OVER FROM PREVIOUS VSL KUS 2616N BY ALLOCATION TEAM MS.TARN APRPOVED COST IS UNDER HA DD.12/10</v>
      </c>
    </row>
    <row r="38" ht="12.95" customHeight="1">
      <c r="A38" s="96" t="inlineStr">
        <is>
          <t>SKLU2349101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LCH01</v>
      </c>
      <c r="D38" s="61" t="str">
        <f>VLOOKUP(A38,'1.Loading'!A:R,17,FALSE)</f>
        <v>HASLS22260902686</v>
      </c>
      <c r="E38" s="62" t="str">
        <f>VLOOKUP(D38,'2.Bookinglist'!A:CT,27,FALSE)</f>
        <v>UNITED MARINE LOGISTIC CO., LTD.</v>
      </c>
      <c r="F38" s="62" t="str">
        <f>VLOOKUP(D38,'2.Bookinglist'!A:CT,28,FALSE)</f>
        <v>TAPIOCA DEVELOPMENT CORP., 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SWAL</v>
      </c>
      <c r="P38" s="61" t="str">
        <f>VLOOKUP(A38,'1.Loading'!A:R,4,FALSE)</f>
        <v>2609N</v>
      </c>
      <c r="Q38" s="61" t="str">
        <f>VLOOKUP(D38,'2.Bookinglist'!A:CT,12,FALSE)</f>
        <v>KST</v>
      </c>
      <c r="R38" s="60" t="str">
        <f>IF(LEFT(K38,2)="22","20'","40'")</f>
        <v>20'</v>
      </c>
      <c r="S38" s="185" t="n"/>
      <c r="T38" s="61" t="str">
        <f>VLOOKUP(A38,'1.Loading'!A:R,2,FALSE)</f>
        <v>2026-10-23</v>
      </c>
      <c r="U38" s="63">
        <f>T38-S38</f>
        <v>46318</v>
      </c>
      <c r="V38" s="186" t="n"/>
      <c r="W38" s="61" t="str">
        <f>VLOOKUP(A38,'3.GateMove'!A:D,4,FALSE)</f>
        <v>2026-10-16</v>
      </c>
      <c r="X38" s="63">
        <f>((T38-W38)+1)</f>
        <v>8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1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125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46319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125</v>
      </c>
      <c r="AJ38" s="188" t="n"/>
      <c r="AK38" s="62" t="str">
        <f>VLOOKUP(D38,'2.Bookinglist'!A:CT,40,FALSE)</f>
        <v>Nannaapust Sukporntaweewat</v>
      </c>
      <c r="AL38" s="60" t="str">
        <f>VLOOKUP(D38,'2.Bookinglist'!A:CW,101,FALSE)</f>
        <v>2026-10-20</v>
      </c>
      <c r="AM38" s="60" t="str">
        <f>VLOOKUP(D38,'2.Bookinglist'!A:BK,63,FALSE)</f>
        <v>LCHY5</v>
      </c>
      <c r="AN38" s="62" t="str">
        <f>VLOOKUP(D38,'2.Bookinglist'!A:AZ,52,FALSE)</f>
        <v>Pickup : 2026-10-10, Return : 2026-10-12 (1ST RTN DD: 11/10/26 WO/RENT)
**CHECK OPENGATE BEFORE RETURN CNTR**</v>
      </c>
      <c r="AO38" s="62" t="str">
        <f>VLOOKUP(D38,'2.Bookinglist'!A:CY,103,FALSE)</f>
        <v>ROLL OVER FORM PREIVOUS VSL KUS 2616N BY ALLOCAITON TEAM MS.TARN APRPOVED COST IS UNDER HA DD.12/10</v>
      </c>
    </row>
    <row r="39" ht="12.95" customHeight="1">
      <c r="A39" s="96" t="inlineStr">
        <is>
          <t>SKLU2351259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LCH01</v>
      </c>
      <c r="D39" s="61" t="str">
        <f>VLOOKUP(A39,'1.Loading'!A:R,17,FALSE)</f>
        <v>HASLS22260901975</v>
      </c>
      <c r="E39" s="62" t="str">
        <f>VLOOKUP(D39,'2.Bookinglist'!A:CT,27,FALSE)</f>
        <v>EVERGREEN LOGISTICS (THAILAND) CO., LTD.</v>
      </c>
      <c r="F39" s="62" t="str">
        <f>VLOOKUP(D39,'2.Bookinglist'!A:CT,28,FALSE)</f>
        <v>T.C.PHARMACEUTICAL INDUSTRIES CO., LTD.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SWAL</v>
      </c>
      <c r="P39" s="61" t="str">
        <f>VLOOKUP(A39,'1.Loading'!A:R,4,FALSE)</f>
        <v>2609N</v>
      </c>
      <c r="Q39" s="61" t="str">
        <f>VLOOKUP(D39,'2.Bookinglist'!A:CT,12,FALSE)</f>
        <v>KST</v>
      </c>
      <c r="R39" s="60" t="str">
        <f>IF(LEFT(K39,2)="22","20'","40'")</f>
        <v>20'</v>
      </c>
      <c r="S39" s="185" t="n"/>
      <c r="T39" s="61" t="str">
        <f>VLOOKUP(A39,'1.Loading'!A:R,2,FALSE)</f>
        <v>2026-10-23</v>
      </c>
      <c r="U39" s="63">
        <f>T39-S39</f>
        <v>46318</v>
      </c>
      <c r="V39" s="186" t="n"/>
      <c r="W39" s="61" t="str">
        <f>VLOOKUP(A39,'3.GateMove'!A:D,4,FALSE)</f>
        <v>2026-10-17</v>
      </c>
      <c r="X39" s="63">
        <f>((T39-W39)+1)</f>
        <v>7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46319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Pattarapong Saengthong</v>
      </c>
      <c r="AL39" s="60" t="str">
        <f>VLOOKUP(D39,'2.Bookinglist'!A:CW,101,FALSE)</f>
        <v>2026-10-20</v>
      </c>
      <c r="AM39" s="60" t="str">
        <f>VLOOKUP(D39,'2.Bookinglist'!A:BK,63,FALSE)</f>
        <v>LCHY5</v>
      </c>
      <c r="AN39" s="62" t="str">
        <f>VLOOKUP(D39,'2.Bookinglist'!A:AZ,52,FALSE)</f>
        <v>Pickup : 2026-10-10, Return : 2026-10-12 
 ** PLEASE CHECK OPEN GATE BEFORE RETURN CNTR **
</v>
      </c>
      <c r="AO39" s="62" t="str">
        <f>VLOOKUP(D39,'2.Bookinglist'!A:CY,103,FALSE)</f>
        <v>ROLL OVER FROM PREVIOUS VSL KUS 2616N BY ALLOCATION TEAM MS.TARN APRPOVED COST IS UNDER HA DD.12/10</v>
      </c>
    </row>
    <row r="40" ht="12.95" customHeight="1">
      <c r="A40" s="96" t="inlineStr">
        <is>
          <t>SKLU2363265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LCH01</v>
      </c>
      <c r="D40" s="61" t="str">
        <f>VLOOKUP(A40,'1.Loading'!A:R,17,FALSE)</f>
        <v>HASLS22260902626</v>
      </c>
      <c r="E40" s="62" t="str">
        <f>VLOOKUP(D40,'2.Bookinglist'!A:CT,27,FALSE)</f>
        <v>DOW CHEMICAL THAILAND LTD.</v>
      </c>
      <c r="F40" s="62" t="str">
        <f>VLOOKUP(D40,'2.Bookinglist'!A:CT,28,FALSE)</f>
        <v>SIAM POLYETHYLENE CO., LTD.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JPNGO</v>
      </c>
      <c r="J40" s="61" t="str">
        <f>VLOOKUP(D40,'2.Bookinglist'!A:CT,26,FALSE)</f>
        <v>KRPUS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SWAL</v>
      </c>
      <c r="P40" s="61" t="str">
        <f>VLOOKUP(A40,'1.Loading'!A:R,4,FALSE)</f>
        <v>2609N</v>
      </c>
      <c r="Q40" s="61" t="str">
        <f>VLOOKUP(D40,'2.Bookinglist'!A:CT,12,FALSE)</f>
        <v>KST</v>
      </c>
      <c r="R40" s="60" t="str">
        <f>IF(LEFT(K40,2)="22","20'","40'")</f>
        <v>20'</v>
      </c>
      <c r="S40" s="185" t="n"/>
      <c r="T40" s="61" t="str">
        <f>VLOOKUP(A40,'1.Loading'!A:R,2,FALSE)</f>
        <v>2026-10-23</v>
      </c>
      <c r="U40" s="63">
        <f>T40-S40</f>
        <v>46318</v>
      </c>
      <c r="V40" s="186" t="n"/>
      <c r="W40" s="61" t="str">
        <f>VLOOKUP(A40,'3.GateMove'!A:D,4,FALSE)</f>
        <v>2026-10-18</v>
      </c>
      <c r="X40" s="63">
        <f>((T40-W40)+1)</f>
        <v>6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46319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SEO JI YEONG</v>
      </c>
      <c r="AL40" s="60" t="str">
        <f>VLOOKUP(D40,'2.Bookinglist'!A:CW,101,FALSE)</f>
        <v>2026-10-20</v>
      </c>
      <c r="AM40" s="60" t="str">
        <f>VLOOKUP(D40,'2.Bookinglist'!A:BK,63,FALSE)</f>
        <v>LCHY5</v>
      </c>
      <c r="AN40" s="62" t="str">
        <f>VLOOKUP(D40,'2.Bookinglist'!A:AZ,52,FALSE)</f>
        <v>SWAL/2609N/11/01 Pickup : 2026-10-12, Return : 2026-10-17</v>
      </c>
      <c r="AO40" s="62">
        <f>VLOOKUP(D40,'2.Bookinglist'!A:CY,103,FALSE)</f>
        <v>0</v>
      </c>
    </row>
    <row r="41" ht="12.95" customHeight="1">
      <c r="A41" s="96" t="inlineStr">
        <is>
          <t>SKLU2473391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LCH01</v>
      </c>
      <c r="D41" s="61" t="str">
        <f>VLOOKUP(A41,'1.Loading'!A:R,17,FALSE)</f>
        <v>HASLS22260902627</v>
      </c>
      <c r="E41" s="62" t="str">
        <f>VLOOKUP(D41,'2.Bookinglist'!A:CT,27,FALSE)</f>
        <v>DOW CHEMICAL THAILAND LTD.</v>
      </c>
      <c r="F41" s="62" t="str">
        <f>VLOOKUP(D41,'2.Bookinglist'!A:CT,28,FALSE)</f>
        <v>SIAM POLYETHYLENE CO., LTD.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JPNGO</v>
      </c>
      <c r="J41" s="61" t="str">
        <f>VLOOKUP(D41,'2.Bookinglist'!A:CT,26,FALSE)</f>
        <v>KRPUS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SWAL</v>
      </c>
      <c r="P41" s="61" t="str">
        <f>VLOOKUP(A41,'1.Loading'!A:R,4,FALSE)</f>
        <v>2609N</v>
      </c>
      <c r="Q41" s="61" t="str">
        <f>VLOOKUP(D41,'2.Bookinglist'!A:CT,12,FALSE)</f>
        <v>KST</v>
      </c>
      <c r="R41" s="60" t="str">
        <f>IF(LEFT(K41,2)="22","20'","40'")</f>
        <v>20'</v>
      </c>
      <c r="S41" s="185" t="n"/>
      <c r="T41" s="61" t="str">
        <f>VLOOKUP(A41,'1.Loading'!A:R,2,FALSE)</f>
        <v>2026-10-23</v>
      </c>
      <c r="U41" s="63">
        <f>T41-S41</f>
        <v>46318</v>
      </c>
      <c r="V41" s="186" t="n"/>
      <c r="W41" s="61" t="str">
        <f>VLOOKUP(A41,'3.GateMove'!A:D,4,FALSE)</f>
        <v>2026-10-18</v>
      </c>
      <c r="X41" s="63">
        <f>((T41-W41)+1)</f>
        <v>6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46319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SEO JI YEONG</v>
      </c>
      <c r="AL41" s="60" t="str">
        <f>VLOOKUP(D41,'2.Bookinglist'!A:CW,101,FALSE)</f>
        <v>2026-10-20</v>
      </c>
      <c r="AM41" s="60" t="str">
        <f>VLOOKUP(D41,'2.Bookinglist'!A:BK,63,FALSE)</f>
        <v>LCHY5</v>
      </c>
      <c r="AN41" s="62" t="str">
        <f>VLOOKUP(D41,'2.Bookinglist'!A:AZ,52,FALSE)</f>
        <v>SWAL/2609N/11/01 Pickup : 2026-10-12, Return : 2026-10-17</v>
      </c>
      <c r="AO41" s="62">
        <f>VLOOKUP(D41,'2.Bookinglist'!A:CY,103,FALSE)</f>
        <v>0</v>
      </c>
    </row>
    <row r="42" ht="12.95" customHeight="1">
      <c r="A42" s="96" t="inlineStr">
        <is>
          <t>SKLU3504645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LCH01</v>
      </c>
      <c r="D42" s="61" t="str">
        <f>VLOOKUP(A42,'1.Loading'!A:R,17,FALSE)</f>
        <v>HASLS22260901975</v>
      </c>
      <c r="E42" s="62" t="str">
        <f>VLOOKUP(D42,'2.Bookinglist'!A:CT,27,FALSE)</f>
        <v>EVERGREEN LOGISTICS (THAILAND) CO., LTD.</v>
      </c>
      <c r="F42" s="62" t="str">
        <f>VLOOKUP(D42,'2.Bookinglist'!A:CT,28,FALSE)</f>
        <v>T.C.PHARMACEUTICAL INDUSTRIES CO., LTD.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SWAL</v>
      </c>
      <c r="P42" s="61" t="str">
        <f>VLOOKUP(A42,'1.Loading'!A:R,4,FALSE)</f>
        <v>2609N</v>
      </c>
      <c r="Q42" s="61" t="str">
        <f>VLOOKUP(D42,'2.Bookinglist'!A:CT,12,FALSE)</f>
        <v>KST</v>
      </c>
      <c r="R42" s="60" t="str">
        <f>IF(LEFT(K42,2)="22","20'","40'")</f>
        <v>20'</v>
      </c>
      <c r="S42" s="185" t="n"/>
      <c r="T42" s="61" t="str">
        <f>VLOOKUP(A42,'1.Loading'!A:R,2,FALSE)</f>
        <v>2026-10-23</v>
      </c>
      <c r="U42" s="63">
        <f>T42-S42</f>
        <v>46318</v>
      </c>
      <c r="V42" s="186" t="n"/>
      <c r="W42" s="61" t="str">
        <f>VLOOKUP(A42,'3.GateMove'!A:D,4,FALSE)</f>
        <v>2026-10-17</v>
      </c>
      <c r="X42" s="63">
        <f>((T42-W42)+1)</f>
        <v>7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46319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Pattarapong Saengthong</v>
      </c>
      <c r="AL42" s="60" t="str">
        <f>VLOOKUP(D42,'2.Bookinglist'!A:CW,101,FALSE)</f>
        <v>2026-10-20</v>
      </c>
      <c r="AM42" s="60" t="str">
        <f>VLOOKUP(D42,'2.Bookinglist'!A:BK,63,FALSE)</f>
        <v>LCHY5</v>
      </c>
      <c r="AN42" s="62" t="str">
        <f>VLOOKUP(D42,'2.Bookinglist'!A:AZ,52,FALSE)</f>
        <v>Pickup : 2026-10-10, Return : 2026-10-12 
 ** PLEASE CHECK OPEN GATE BEFORE RETURN CNTR **
</v>
      </c>
      <c r="AO42" s="62" t="str">
        <f>VLOOKUP(D42,'2.Bookinglist'!A:CY,103,FALSE)</f>
        <v>ROLL OVER FROM PREVIOUS VSL KUS 2616N BY ALLOCATION TEAM MS.TARN APRPOVED COST IS UNDER HA DD.12/10</v>
      </c>
    </row>
    <row r="43" ht="12.95" customHeight="1">
      <c r="A43" s="96" t="inlineStr">
        <is>
          <t>SKLU3516590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LCH01</v>
      </c>
      <c r="D43" s="61" t="str">
        <f>VLOOKUP(A43,'1.Loading'!A:R,17,FALSE)</f>
        <v>HASLS22260902686</v>
      </c>
      <c r="E43" s="62" t="str">
        <f>VLOOKUP(D43,'2.Bookinglist'!A:CT,27,FALSE)</f>
        <v>UNITED MARINE LOGISTIC CO., LTD.</v>
      </c>
      <c r="F43" s="62" t="str">
        <f>VLOOKUP(D43,'2.Bookinglist'!A:CT,28,FALSE)</f>
        <v>TAPIOCA DEVELOPMENT CORP., LTD.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SWAL</v>
      </c>
      <c r="P43" s="61" t="str">
        <f>VLOOKUP(A43,'1.Loading'!A:R,4,FALSE)</f>
        <v>2609N</v>
      </c>
      <c r="Q43" s="61" t="str">
        <f>VLOOKUP(D43,'2.Bookinglist'!A:CT,12,FALSE)</f>
        <v>KST</v>
      </c>
      <c r="R43" s="60" t="str">
        <f>IF(LEFT(K43,2)="22","20'","40'")</f>
        <v>20'</v>
      </c>
      <c r="S43" s="185" t="n"/>
      <c r="T43" s="61" t="str">
        <f>VLOOKUP(A43,'1.Loading'!A:R,2,FALSE)</f>
        <v>2026-10-23</v>
      </c>
      <c r="U43" s="63">
        <f>T43-S43</f>
        <v>46318</v>
      </c>
      <c r="V43" s="186" t="n"/>
      <c r="W43" s="61" t="str">
        <f>VLOOKUP(A43,'3.GateMove'!A:D,4,FALSE)</f>
        <v>2026-10-17</v>
      </c>
      <c r="X43" s="63">
        <f>((T43-W43)+1)</f>
        <v>7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46319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Nannaapust Sukporntaweewat</v>
      </c>
      <c r="AL43" s="60" t="str">
        <f>VLOOKUP(D43,'2.Bookinglist'!A:CW,101,FALSE)</f>
        <v>2026-10-20</v>
      </c>
      <c r="AM43" s="60" t="str">
        <f>VLOOKUP(D43,'2.Bookinglist'!A:BK,63,FALSE)</f>
        <v>LCHY5</v>
      </c>
      <c r="AN43" s="62" t="str">
        <f>VLOOKUP(D43,'2.Bookinglist'!A:AZ,52,FALSE)</f>
        <v>Pickup : 2026-10-10, Return : 2026-10-12 (1ST RTN DD: 11/10/26 WO/RENT)
**CHECK OPENGATE BEFORE RETURN CNTR**</v>
      </c>
      <c r="AO43" s="62" t="str">
        <f>VLOOKUP(D43,'2.Bookinglist'!A:CY,103,FALSE)</f>
        <v>ROLL OVER FORM PREIVOUS VSL KUS 2616N BY ALLOCAITON TEAM MS.TARN APRPOVED COST IS UNDER HA DD.12/10</v>
      </c>
    </row>
    <row r="44" ht="12.95" customHeight="1">
      <c r="A44" s="96" t="inlineStr">
        <is>
          <t>SKRU9902740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LCH01</v>
      </c>
      <c r="D44" s="61" t="str">
        <f>VLOOKUP(A44,'1.Loading'!A:R,17,FALSE)</f>
        <v>HASLS22261000863</v>
      </c>
      <c r="E44" s="62" t="str">
        <f>VLOOKUP(D44,'2.Bookinglist'!A:CT,27,FALSE)</f>
        <v>GOLDEN SEA FROZEN FOODS CO.,LTD</v>
      </c>
      <c r="F44" s="62" t="str">
        <f>VLOOKUP(D44,'2.Bookinglist'!A:CT,28,FALSE)</f>
        <v>GOLDEN SEA FROZEN FOODS CO.,LTD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45RE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>RF</v>
      </c>
      <c r="O44" s="61" t="str">
        <f>VLOOKUP(A44,'1.Loading'!A:R,3,FALSE)</f>
        <v>SWAL</v>
      </c>
      <c r="P44" s="61" t="str">
        <f>VLOOKUP(A44,'1.Loading'!A:R,4,FALSE)</f>
        <v>2609N</v>
      </c>
      <c r="Q44" s="61" t="str">
        <f>VLOOKUP(D44,'2.Bookinglist'!A:CT,12,FALSE)</f>
        <v>KST</v>
      </c>
      <c r="R44" s="60" t="str">
        <f>IF(LEFT(K44,2)="22","20'","40'")</f>
        <v>40'</v>
      </c>
      <c r="S44" s="185" t="n"/>
      <c r="T44" s="61" t="str">
        <f>VLOOKUP(A44,'1.Loading'!A:R,2,FALSE)</f>
        <v>2026-10-23</v>
      </c>
      <c r="U44" s="63">
        <f>T44-S44</f>
        <v>46318</v>
      </c>
      <c r="V44" s="186" t="n"/>
      <c r="W44" s="61" t="str">
        <f>VLOOKUP(A44,'3.GateMove'!A:D,4,FALSE)</f>
        <v>2026-10-21</v>
      </c>
      <c r="X44" s="63">
        <f>((T44-W44)+1)</f>
        <v>3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3</v>
      </c>
      <c r="AE44" s="63">
        <f>(T44-V44)+1</f>
        <v>46319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Kanokporn</v>
      </c>
      <c r="AL44" s="60" t="str">
        <f>VLOOKUP(D44,'2.Bookinglist'!A:CW,101,FALSE)</f>
        <v>2026-10-20</v>
      </c>
      <c r="AM44" s="60" t="str">
        <f>VLOOKUP(D44,'2.Bookinglist'!A:BK,63,FALSE)</f>
        <v>LCH27</v>
      </c>
      <c r="AN44" s="62" t="str">
        <f>VLOOKUP(D44,'2.Bookinglist'!A:AZ,52,FALSE)</f>
        <v>Pickup : 2026-10-14, Return : 2026-10-18 (Temp -18.0 / Vent Close) 
CLS TIME 19/10/26 @18.00 </v>
      </c>
      <c r="AO44" s="62">
        <f>VLOOKUP(D44,'2.Bookinglist'!A:CY,103,FALSE)</f>
        <v>0</v>
      </c>
    </row>
    <row r="45" ht="12.95" customHeight="1">
      <c r="A45" s="96" t="inlineStr">
        <is>
          <t>TGCU2412747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LCH01</v>
      </c>
      <c r="D45" s="61" t="str">
        <f>VLOOKUP(A45,'1.Loading'!A:R,17,FALSE)</f>
        <v>HASLS22261000275</v>
      </c>
      <c r="E45" s="62" t="str">
        <f>VLOOKUP(D45,'2.Bookinglist'!A:CT,27,FALSE)</f>
        <v>THAI MFC CO., LTD.</v>
      </c>
      <c r="F45" s="62" t="str">
        <f>VLOOKUP(D45,'2.Bookinglist'!A:CT,28,FALSE)</f>
        <v>THAI MFC CO., LTD.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KRINC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SWAL</v>
      </c>
      <c r="P45" s="61" t="str">
        <f>VLOOKUP(A45,'1.Loading'!A:R,4,FALSE)</f>
        <v>2609N</v>
      </c>
      <c r="Q45" s="61" t="str">
        <f>VLOOKUP(D45,'2.Bookinglist'!A:CT,12,FALSE)</f>
        <v>KST</v>
      </c>
      <c r="R45" s="60" t="str">
        <f>IF(LEFT(K45,2)="22","20'","40'")</f>
        <v>20'</v>
      </c>
      <c r="S45" s="185" t="n"/>
      <c r="T45" s="61" t="str">
        <f>VLOOKUP(A45,'1.Loading'!A:R,2,FALSE)</f>
        <v>2026-10-23</v>
      </c>
      <c r="U45" s="63">
        <f>T45-S45</f>
        <v>46318</v>
      </c>
      <c r="V45" s="186" t="n"/>
      <c r="W45" s="61" t="str">
        <f>VLOOKUP(A45,'3.GateMove'!A:D,4,FALSE)</f>
        <v>2026-10-14</v>
      </c>
      <c r="X45" s="63">
        <f>((T45-W45)+1)</f>
        <v>10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3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375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46319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375</v>
      </c>
      <c r="AJ45" s="188" t="n"/>
      <c r="AK45" s="62" t="str">
        <f>VLOOKUP(D45,'2.Bookinglist'!A:CT,40,FALSE)</f>
        <v>Kanokporn</v>
      </c>
      <c r="AL45" s="60" t="str">
        <f>VLOOKUP(D45,'2.Bookinglist'!A:CW,101,FALSE)</f>
        <v>2026-10-20</v>
      </c>
      <c r="AM45" s="60" t="str">
        <f>VLOOKUP(D45,'2.Bookinglist'!A:BK,63,FALSE)</f>
        <v>LCH27</v>
      </c>
      <c r="AN45" s="62" t="str">
        <f>VLOOKUP(D45,'2.Bookinglist'!A:AZ,52,FALSE)</f>
        <v>Pickup : 2026-10-12, Return : 2026-10-16</v>
      </c>
      <c r="AO45" s="62">
        <f>VLOOKUP(D45,'2.Bookinglist'!A:CY,103,FALSE)</f>
        <v>0</v>
      </c>
    </row>
    <row r="46" ht="12.95" customHeight="1">
      <c r="A46" s="96" t="inlineStr">
        <is>
          <t>TRHU1676534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LCH01</v>
      </c>
      <c r="D46" s="61" t="str">
        <f>VLOOKUP(A46,'1.Loading'!A:R,17,FALSE)</f>
        <v>HASLS22260902657</v>
      </c>
      <c r="E46" s="62" t="str">
        <f>VLOOKUP(D46,'2.Bookinglist'!A:CT,27,FALSE)</f>
        <v>ACCORD PILOT LOGISTICS (THAILAND) CO., LTD.</v>
      </c>
      <c r="F46" s="62" t="str">
        <f>VLOOKUP(D46,'2.Bookinglist'!A:CT,28,FALSE)</f>
        <v>FUJIKURA AUTOMOTIVE (THAILAND) LTD.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SWAL</v>
      </c>
      <c r="P46" s="61" t="str">
        <f>VLOOKUP(A46,'1.Loading'!A:R,4,FALSE)</f>
        <v>2609N</v>
      </c>
      <c r="Q46" s="61" t="str">
        <f>VLOOKUP(D46,'2.Bookinglist'!A:CT,12,FALSE)</f>
        <v>KST</v>
      </c>
      <c r="R46" s="60" t="str">
        <f>IF(LEFT(K46,2)="22","20'","40'")</f>
        <v>20'</v>
      </c>
      <c r="S46" s="185" t="n"/>
      <c r="T46" s="61" t="str">
        <f>VLOOKUP(A46,'1.Loading'!A:R,2,FALSE)</f>
        <v>2026-10-23</v>
      </c>
      <c r="U46" s="63">
        <f>T46-S46</f>
        <v>46318</v>
      </c>
      <c r="V46" s="186" t="n"/>
      <c r="W46" s="61" t="str">
        <f>VLOOKUP(A46,'3.GateMove'!A:D,4,FALSE)</f>
        <v>2026-10-16</v>
      </c>
      <c r="X46" s="63">
        <f>((T46-W46)+1)</f>
        <v>8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1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125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46319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125</v>
      </c>
      <c r="AJ46" s="188" t="n"/>
      <c r="AK46" s="62" t="str">
        <f>VLOOKUP(D46,'2.Bookinglist'!A:CT,40,FALSE)</f>
        <v>Kanokporn</v>
      </c>
      <c r="AL46" s="60" t="str">
        <f>VLOOKUP(D46,'2.Bookinglist'!A:CW,101,FALSE)</f>
        <v>2026-10-20</v>
      </c>
      <c r="AM46" s="60" t="str">
        <f>VLOOKUP(D46,'2.Bookinglist'!A:BK,63,FALSE)</f>
        <v>LCHY5</v>
      </c>
      <c r="AN46" s="62" t="str">
        <f>VLOOKUP(D46,'2.Bookinglist'!A:AZ,52,FALSE)</f>
        <v>Pickup : 2026-10-14, Return : 2026-10-15 (1ST RTN DD: 16/10/26 WO/RENT)
**CHECK OPENGATE BEFORE RETURN CNTR**
</v>
      </c>
      <c r="AO46" s="62">
        <f>VLOOKUP(D46,'2.Bookinglist'!A:CY,103,FALSE)</f>
        <v>0</v>
      </c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2026-10-23T04:21:01Z</dcterms:modified>
  <cp:lastModifiedBy>office4</cp:lastModifiedBy>
  <cp:lastPrinted>2019-11-19T03:03:39Z</cp:lastPrinted>
</cp:coreProperties>
</file>