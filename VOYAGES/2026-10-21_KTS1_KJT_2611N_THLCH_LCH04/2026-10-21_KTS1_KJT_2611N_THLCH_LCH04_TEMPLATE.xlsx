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-* #,##0_-;\-* #,##0_-;_-* &quot;-&quot;??_-;_-@_-"/>
    <numFmt numFmtId="165" formatCode="0;\-0;;"/>
    <numFmt numFmtId="166" formatCode="&quot;9999&quot;\-&quot;99&quot;\-&quot;99&quot;"/>
    <numFmt numFmtId="167" formatCode="yyyy\-mm\-dd"/>
    <numFmt numFmtId="168" formatCode="&quot;99:99&quot;"/>
    <numFmt numFmtId="169" formatCode="#,##0.000"/>
    <numFmt numFmtId="170" formatCode="&quot;TOTAL &quot;"/>
    <numFmt numFmtId="171" formatCode="&quot;DG(Cntr)  : &quot;@"/>
    <numFmt numFmtId="172" formatCode="&quot;COC &quot;"/>
    <numFmt numFmtId="173" formatCode="&quot;RF(Plug) : &quot;@"/>
    <numFmt numFmtId="174" formatCode="&quot;SOC &quot;"/>
    <numFmt numFmtId="175" formatCode="&quot;AWK(Cntr) : &quot;@"/>
    <numFmt numFmtId="176" formatCode="&quot;Total(BK)     : &quot;@"/>
    <numFmt numFmtId="177" formatCode="&quot;Total(Cntr) : &quot;@"/>
  </numFmts>
  <fonts count="40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FF"/>
      <sz val="8"/>
    </font>
    <font>
      <name val="Tahoma"/>
      <family val="2"/>
      <color rgb="FF000000"/>
      <sz val="10"/>
    </font>
    <font>
      <name val="Tahoma"/>
      <family val="2"/>
      <color rgb="FFFF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89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0" fontId="35" fillId="3" borderId="5" applyAlignment="1" pivotButton="0" quotePrefix="0" xfId="0">
      <alignment horizontal="left" vertical="center" readingOrder="1"/>
    </xf>
    <xf numFmtId="166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49" fontId="35" fillId="9" borderId="5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49" fontId="35" fillId="10" borderId="5" applyAlignment="1" pivotButton="0" quotePrefix="0" xfId="0">
      <alignment horizontal="left" vertical="center" readingOrder="1"/>
    </xf>
    <xf numFmtId="0" fontId="35" fillId="10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3" borderId="5" applyAlignment="1" pivotButton="0" quotePrefix="0" xfId="0">
      <alignment horizontal="left" vertical="center" readingOrder="1"/>
    </xf>
    <xf numFmtId="49" fontId="38" fillId="2" borderId="5" applyAlignment="1" pivotButton="0" quotePrefix="0" xfId="0">
      <alignment horizontal="center" vertical="center" readingOrder="1"/>
    </xf>
    <xf numFmtId="49" fontId="38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69" fontId="35" fillId="3" borderId="5" applyAlignment="1" pivotButton="0" quotePrefix="0" xfId="0">
      <alignment horizontal="left" vertical="center" readingOrder="1"/>
    </xf>
    <xf numFmtId="1" fontId="35" fillId="3" borderId="5" applyAlignment="1" pivotButton="0" quotePrefix="0" xfId="0">
      <alignment horizontal="left" vertical="center" readingOrder="1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4" fontId="35" fillId="3" borderId="5" applyAlignment="1" pivotButton="0" quotePrefix="0" xfId="0">
      <alignment horizontal="right" vertical="center" readingOrder="1"/>
    </xf>
    <xf numFmtId="0" fontId="35" fillId="11" borderId="8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0" fontId="35" fillId="11" borderId="10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0" fontId="35" fillId="11" borderId="11" applyAlignment="1" pivotButton="0" quotePrefix="0" xfId="0">
      <alignment horizontal="left" vertical="center" readingOrder="1"/>
    </xf>
    <xf numFmtId="0" fontId="35" fillId="11" borderId="9" applyAlignment="1" pivotButton="0" quotePrefix="0" xfId="0">
      <alignment horizontal="left" vertical="center" readingOrder="1"/>
    </xf>
    <xf numFmtId="0" fontId="35" fillId="11" borderId="12" applyAlignment="1" pivotButton="0" quotePrefix="0" xfId="0">
      <alignment horizontal="left" vertical="center" readingOrder="1"/>
    </xf>
    <xf numFmtId="0" fontId="35" fillId="11" borderId="13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0" fontId="35" fillId="11" borderId="14" applyAlignment="1" pivotButton="0" quotePrefix="0" xfId="0">
      <alignment horizontal="left" vertical="center" readingOrder="1"/>
    </xf>
    <xf numFmtId="0" fontId="35" fillId="11" borderId="0" applyAlignment="1" pivotButton="0" quotePrefix="0" xfId="0">
      <alignment horizontal="left" vertical="center" readingOrder="1"/>
    </xf>
    <xf numFmtId="49" fontId="35" fillId="11" borderId="9" applyAlignment="1" pivotButton="0" quotePrefix="0" xfId="0">
      <alignment horizontal="left" vertical="center" readingOrder="1"/>
    </xf>
    <xf numFmtId="0" fontId="35" fillId="11" borderId="15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0" fontId="35" fillId="11" borderId="16" applyAlignment="1" pivotButton="0" quotePrefix="0" xfId="0">
      <alignment horizontal="left" vertical="center" readingOrder="1"/>
    </xf>
    <xf numFmtId="0" fontId="35" fillId="11" borderId="17" applyAlignment="1" pivotButton="0" quotePrefix="0" xfId="0">
      <alignment horizontal="left" vertical="center" readingOrder="1"/>
    </xf>
    <xf numFmtId="0" fontId="35" fillId="11" borderId="18" applyAlignment="1" pivotButton="0" quotePrefix="0" xfId="0">
      <alignment horizontal="left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9" fillId="2" borderId="5" applyAlignment="1" pivotButton="0" quotePrefix="0" xfId="0">
      <alignment horizontal="left" vertical="center" readingOrder="1"/>
    </xf>
    <xf numFmtId="0" fontId="9" fillId="3" borderId="5" applyAlignment="1" pivotButton="0" quotePrefix="0" xfId="0">
      <alignment horizontal="left" vertical="center" readingOrder="1"/>
    </xf>
    <xf numFmtId="0" fontId="9" fillId="11" borderId="12" applyAlignment="1" pivotButton="0" quotePrefix="0" xfId="0">
      <alignment horizontal="left" vertical="center" readingOrder="1"/>
    </xf>
    <xf numFmtId="0" fontId="9" fillId="11" borderId="0" applyAlignment="1" pivotButton="0" quotePrefix="0" xfId="0">
      <alignment horizontal="left" vertical="center" readingOrder="1"/>
    </xf>
    <xf numFmtId="0" fontId="9" fillId="11" borderId="17" applyAlignment="1" pivotButton="0" quotePrefix="0" xfId="0">
      <alignment horizontal="left" vertical="center" readingOrder="1"/>
    </xf>
    <xf numFmtId="0" fontId="39" fillId="0" borderId="0" applyAlignment="1" pivotButton="0" quotePrefix="0" xfId="0">
      <alignment horizontal="left"/>
    </xf>
    <xf numFmtId="166" fontId="35" fillId="3" borderId="5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169" fontId="35" fillId="3" borderId="5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33" fillId="3" borderId="5" applyAlignment="1" pivotButton="0" quotePrefix="0" xfId="0">
      <alignment horizontal="left" vertical="center" readingOrder="1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7" fontId="33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vertical="center"/>
    </xf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52"/>
  <sheetViews>
    <sheetView tabSelected="0" topLeftCell="A7" workbookViewId="0">
      <selection activeCell="A2" sqref="A2:A51"/>
    </sheetView>
  </sheetViews>
  <sheetFormatPr baseColWidth="8" defaultRowHeight="12.95" customHeight="1"/>
  <cols>
    <col width="9.5" bestFit="1" customWidth="1" style="107" min="1" max="1"/>
    <col width="7.875" bestFit="1" customWidth="1" style="107" min="2" max="2"/>
    <col width="4.625" bestFit="1" customWidth="1" style="107" min="3" max="3"/>
    <col width="5.375" bestFit="1" customWidth="1" style="107" min="4" max="4"/>
    <col width="6.625" bestFit="1" customWidth="1" style="107" min="5" max="5"/>
    <col width="2.625" bestFit="1" customWidth="1" style="107" min="6" max="6"/>
    <col width="4.75" bestFit="1" customWidth="1" style="107" min="7" max="8"/>
    <col width="5" bestFit="1" customWidth="1" style="107" min="9" max="9"/>
    <col width="5.125" bestFit="1" customWidth="1" style="107" min="10" max="10"/>
    <col width="2.875" bestFit="1" customWidth="1" style="107" min="11" max="11"/>
    <col width="8.375" bestFit="1" customWidth="1" style="107" min="12" max="12"/>
    <col width="7.625" bestFit="1" customWidth="1" style="107" min="13" max="13"/>
    <col width="5.875" bestFit="1" customWidth="1" style="107" min="14" max="14"/>
    <col width="3.75" bestFit="1" customWidth="1" style="107" min="15" max="15"/>
    <col width="4.75" bestFit="1" customWidth="1" style="107" min="16" max="16"/>
    <col width="13.125" bestFit="1" customWidth="1" style="107" min="17" max="17"/>
    <col width="2.875" bestFit="1" customWidth="1" style="107" min="18" max="18"/>
    <col width="4.5" bestFit="1" customWidth="1" style="107" min="19" max="19"/>
    <col width="5.25" bestFit="1" customWidth="1" style="107" min="20" max="20"/>
    <col width="5.375" bestFit="1" customWidth="1" style="107" min="21" max="21"/>
    <col width="7.25" bestFit="1" customWidth="1" style="107" min="22" max="22"/>
    <col width="26.625" bestFit="1" customWidth="1" style="107" min="23" max="23"/>
    <col width="8.25" bestFit="1" customWidth="1" style="107" min="24" max="24"/>
    <col width="26.75" bestFit="1" customWidth="1" style="107" min="25" max="26"/>
    <col width="9.875" bestFit="1" customWidth="1" style="107" min="27" max="27"/>
    <col width="8.625" bestFit="1" customWidth="1" style="107" min="28" max="28"/>
    <col width="8.875" bestFit="1" customWidth="1" style="107" min="29" max="29"/>
    <col width="9" customWidth="1" style="107" min="30" max="256"/>
    <col width="9.5" bestFit="1" customWidth="1" style="107" min="257" max="257"/>
    <col width="7.875" bestFit="1" customWidth="1" style="107" min="258" max="258"/>
    <col width="4.625" bestFit="1" customWidth="1" style="107" min="259" max="259"/>
    <col width="5.375" bestFit="1" customWidth="1" style="107" min="260" max="260"/>
    <col width="6.625" bestFit="1" customWidth="1" style="107" min="261" max="261"/>
    <col width="2.625" bestFit="1" customWidth="1" style="107" min="262" max="262"/>
    <col width="4.75" bestFit="1" customWidth="1" style="107" min="263" max="264"/>
    <col width="5" bestFit="1" customWidth="1" style="107" min="265" max="265"/>
    <col width="5.125" bestFit="1" customWidth="1" style="107" min="266" max="266"/>
    <col width="2.875" bestFit="1" customWidth="1" style="107" min="267" max="267"/>
    <col width="8.375" bestFit="1" customWidth="1" style="107" min="268" max="268"/>
    <col width="7.625" bestFit="1" customWidth="1" style="107" min="269" max="269"/>
    <col width="5.875" bestFit="1" customWidth="1" style="107" min="270" max="270"/>
    <col width="3.75" bestFit="1" customWidth="1" style="107" min="271" max="271"/>
    <col width="4.75" bestFit="1" customWidth="1" style="107" min="272" max="272"/>
    <col width="13.125" bestFit="1" customWidth="1" style="107" min="273" max="273"/>
    <col width="2.875" bestFit="1" customWidth="1" style="107" min="274" max="274"/>
    <col width="4.5" bestFit="1" customWidth="1" style="107" min="275" max="275"/>
    <col width="5.25" bestFit="1" customWidth="1" style="107" min="276" max="276"/>
    <col width="5.375" bestFit="1" customWidth="1" style="107" min="277" max="277"/>
    <col width="7.25" bestFit="1" customWidth="1" style="107" min="278" max="278"/>
    <col width="26.625" bestFit="1" customWidth="1" style="107" min="279" max="279"/>
    <col width="8.25" bestFit="1" customWidth="1" style="107" min="280" max="280"/>
    <col width="26.75" bestFit="1" customWidth="1" style="107" min="281" max="282"/>
    <col width="9.875" bestFit="1" customWidth="1" style="107" min="283" max="283"/>
    <col width="8.625" bestFit="1" customWidth="1" style="107" min="284" max="284"/>
    <col width="8.875" bestFit="1" customWidth="1" style="107" min="285" max="285"/>
    <col width="9" customWidth="1" style="107" min="286" max="512"/>
    <col width="9.5" bestFit="1" customWidth="1" style="107" min="513" max="513"/>
    <col width="7.875" bestFit="1" customWidth="1" style="107" min="514" max="514"/>
    <col width="4.625" bestFit="1" customWidth="1" style="107" min="515" max="515"/>
    <col width="5.375" bestFit="1" customWidth="1" style="107" min="516" max="516"/>
    <col width="6.625" bestFit="1" customWidth="1" style="107" min="517" max="517"/>
    <col width="2.625" bestFit="1" customWidth="1" style="107" min="518" max="518"/>
    <col width="4.75" bestFit="1" customWidth="1" style="107" min="519" max="520"/>
    <col width="5" bestFit="1" customWidth="1" style="107" min="521" max="521"/>
    <col width="5.125" bestFit="1" customWidth="1" style="107" min="522" max="522"/>
    <col width="2.875" bestFit="1" customWidth="1" style="107" min="523" max="523"/>
    <col width="8.375" bestFit="1" customWidth="1" style="107" min="524" max="524"/>
    <col width="7.625" bestFit="1" customWidth="1" style="107" min="525" max="525"/>
    <col width="5.875" bestFit="1" customWidth="1" style="107" min="526" max="526"/>
    <col width="3.75" bestFit="1" customWidth="1" style="107" min="527" max="527"/>
    <col width="4.75" bestFit="1" customWidth="1" style="107" min="528" max="528"/>
    <col width="13.125" bestFit="1" customWidth="1" style="107" min="529" max="529"/>
    <col width="2.875" bestFit="1" customWidth="1" style="107" min="530" max="530"/>
    <col width="4.5" bestFit="1" customWidth="1" style="107" min="531" max="531"/>
    <col width="5.25" bestFit="1" customWidth="1" style="107" min="532" max="532"/>
    <col width="5.375" bestFit="1" customWidth="1" style="107" min="533" max="533"/>
    <col width="7.25" bestFit="1" customWidth="1" style="107" min="534" max="534"/>
    <col width="26.625" bestFit="1" customWidth="1" style="107" min="535" max="535"/>
    <col width="8.25" bestFit="1" customWidth="1" style="107" min="536" max="536"/>
    <col width="26.75" bestFit="1" customWidth="1" style="107" min="537" max="538"/>
    <col width="9.875" bestFit="1" customWidth="1" style="107" min="539" max="539"/>
    <col width="8.625" bestFit="1" customWidth="1" style="107" min="540" max="540"/>
    <col width="8.875" bestFit="1" customWidth="1" style="107" min="541" max="541"/>
    <col width="9" customWidth="1" style="107" min="542" max="768"/>
    <col width="9.5" bestFit="1" customWidth="1" style="107" min="769" max="769"/>
    <col width="7.875" bestFit="1" customWidth="1" style="107" min="770" max="770"/>
    <col width="4.625" bestFit="1" customWidth="1" style="107" min="771" max="771"/>
    <col width="5.375" bestFit="1" customWidth="1" style="107" min="772" max="772"/>
    <col width="6.625" bestFit="1" customWidth="1" style="107" min="773" max="773"/>
    <col width="2.625" bestFit="1" customWidth="1" style="107" min="774" max="774"/>
    <col width="4.75" bestFit="1" customWidth="1" style="107" min="775" max="776"/>
    <col width="5" bestFit="1" customWidth="1" style="107" min="777" max="777"/>
    <col width="5.125" bestFit="1" customWidth="1" style="107" min="778" max="778"/>
    <col width="2.875" bestFit="1" customWidth="1" style="107" min="779" max="779"/>
    <col width="8.375" bestFit="1" customWidth="1" style="107" min="780" max="780"/>
    <col width="7.625" bestFit="1" customWidth="1" style="107" min="781" max="781"/>
    <col width="5.875" bestFit="1" customWidth="1" style="107" min="782" max="782"/>
    <col width="3.75" bestFit="1" customWidth="1" style="107" min="783" max="783"/>
    <col width="4.75" bestFit="1" customWidth="1" style="107" min="784" max="784"/>
    <col width="13.125" bestFit="1" customWidth="1" style="107" min="785" max="785"/>
    <col width="2.875" bestFit="1" customWidth="1" style="107" min="786" max="786"/>
    <col width="4.5" bestFit="1" customWidth="1" style="107" min="787" max="787"/>
    <col width="5.25" bestFit="1" customWidth="1" style="107" min="788" max="788"/>
    <col width="5.375" bestFit="1" customWidth="1" style="107" min="789" max="789"/>
    <col width="7.25" bestFit="1" customWidth="1" style="107" min="790" max="790"/>
    <col width="26.625" bestFit="1" customWidth="1" style="107" min="791" max="791"/>
    <col width="8.25" bestFit="1" customWidth="1" style="107" min="792" max="792"/>
    <col width="26.75" bestFit="1" customWidth="1" style="107" min="793" max="794"/>
    <col width="9.875" bestFit="1" customWidth="1" style="107" min="795" max="795"/>
    <col width="8.625" bestFit="1" customWidth="1" style="107" min="796" max="796"/>
    <col width="8.875" bestFit="1" customWidth="1" style="107" min="797" max="797"/>
    <col width="9" customWidth="1" style="107" min="798" max="1024"/>
    <col width="9.5" bestFit="1" customWidth="1" style="107" min="1025" max="1025"/>
    <col width="7.875" bestFit="1" customWidth="1" style="107" min="1026" max="1026"/>
    <col width="4.625" bestFit="1" customWidth="1" style="107" min="1027" max="1027"/>
    <col width="5.375" bestFit="1" customWidth="1" style="107" min="1028" max="1028"/>
    <col width="6.625" bestFit="1" customWidth="1" style="107" min="1029" max="1029"/>
    <col width="2.625" bestFit="1" customWidth="1" style="107" min="1030" max="1030"/>
    <col width="4.75" bestFit="1" customWidth="1" style="107" min="1031" max="1032"/>
    <col width="5" bestFit="1" customWidth="1" style="107" min="1033" max="1033"/>
    <col width="5.125" bestFit="1" customWidth="1" style="107" min="1034" max="1034"/>
    <col width="2.875" bestFit="1" customWidth="1" style="107" min="1035" max="1035"/>
    <col width="8.375" bestFit="1" customWidth="1" style="107" min="1036" max="1036"/>
    <col width="7.625" bestFit="1" customWidth="1" style="107" min="1037" max="1037"/>
    <col width="5.875" bestFit="1" customWidth="1" style="107" min="1038" max="1038"/>
    <col width="3.75" bestFit="1" customWidth="1" style="107" min="1039" max="1039"/>
    <col width="4.75" bestFit="1" customWidth="1" style="107" min="1040" max="1040"/>
    <col width="13.125" bestFit="1" customWidth="1" style="107" min="1041" max="1041"/>
    <col width="2.875" bestFit="1" customWidth="1" style="107" min="1042" max="1042"/>
    <col width="4.5" bestFit="1" customWidth="1" style="107" min="1043" max="1043"/>
    <col width="5.25" bestFit="1" customWidth="1" style="107" min="1044" max="1044"/>
    <col width="5.375" bestFit="1" customWidth="1" style="107" min="1045" max="1045"/>
    <col width="7.25" bestFit="1" customWidth="1" style="107" min="1046" max="1046"/>
    <col width="26.625" bestFit="1" customWidth="1" style="107" min="1047" max="1047"/>
    <col width="8.25" bestFit="1" customWidth="1" style="107" min="1048" max="1048"/>
    <col width="26.75" bestFit="1" customWidth="1" style="107" min="1049" max="1050"/>
    <col width="9.875" bestFit="1" customWidth="1" style="107" min="1051" max="1051"/>
    <col width="8.625" bestFit="1" customWidth="1" style="107" min="1052" max="1052"/>
    <col width="8.875" bestFit="1" customWidth="1" style="107" min="1053" max="1053"/>
    <col width="9" customWidth="1" style="107" min="1054" max="1280"/>
    <col width="9.5" bestFit="1" customWidth="1" style="107" min="1281" max="1281"/>
    <col width="7.875" bestFit="1" customWidth="1" style="107" min="1282" max="1282"/>
    <col width="4.625" bestFit="1" customWidth="1" style="107" min="1283" max="1283"/>
    <col width="5.375" bestFit="1" customWidth="1" style="107" min="1284" max="1284"/>
    <col width="6.625" bestFit="1" customWidth="1" style="107" min="1285" max="1285"/>
    <col width="2.625" bestFit="1" customWidth="1" style="107" min="1286" max="1286"/>
    <col width="4.75" bestFit="1" customWidth="1" style="107" min="1287" max="1288"/>
    <col width="5" bestFit="1" customWidth="1" style="107" min="1289" max="1289"/>
    <col width="5.125" bestFit="1" customWidth="1" style="107" min="1290" max="1290"/>
    <col width="2.875" bestFit="1" customWidth="1" style="107" min="1291" max="1291"/>
    <col width="8.375" bestFit="1" customWidth="1" style="107" min="1292" max="1292"/>
    <col width="7.625" bestFit="1" customWidth="1" style="107" min="1293" max="1293"/>
    <col width="5.875" bestFit="1" customWidth="1" style="107" min="1294" max="1294"/>
    <col width="3.75" bestFit="1" customWidth="1" style="107" min="1295" max="1295"/>
    <col width="4.75" bestFit="1" customWidth="1" style="107" min="1296" max="1296"/>
    <col width="13.125" bestFit="1" customWidth="1" style="107" min="1297" max="1297"/>
    <col width="2.875" bestFit="1" customWidth="1" style="107" min="1298" max="1298"/>
    <col width="4.5" bestFit="1" customWidth="1" style="107" min="1299" max="1299"/>
    <col width="5.25" bestFit="1" customWidth="1" style="107" min="1300" max="1300"/>
    <col width="5.375" bestFit="1" customWidth="1" style="107" min="1301" max="1301"/>
    <col width="7.25" bestFit="1" customWidth="1" style="107" min="1302" max="1302"/>
    <col width="26.625" bestFit="1" customWidth="1" style="107" min="1303" max="1303"/>
    <col width="8.25" bestFit="1" customWidth="1" style="107" min="1304" max="1304"/>
    <col width="26.75" bestFit="1" customWidth="1" style="107" min="1305" max="1306"/>
    <col width="9.875" bestFit="1" customWidth="1" style="107" min="1307" max="1307"/>
    <col width="8.625" bestFit="1" customWidth="1" style="107" min="1308" max="1308"/>
    <col width="8.875" bestFit="1" customWidth="1" style="107" min="1309" max="1309"/>
    <col width="9" customWidth="1" style="107" min="1310" max="1536"/>
    <col width="9.5" bestFit="1" customWidth="1" style="107" min="1537" max="1537"/>
    <col width="7.875" bestFit="1" customWidth="1" style="107" min="1538" max="1538"/>
    <col width="4.625" bestFit="1" customWidth="1" style="107" min="1539" max="1539"/>
    <col width="5.375" bestFit="1" customWidth="1" style="107" min="1540" max="1540"/>
    <col width="6.625" bestFit="1" customWidth="1" style="107" min="1541" max="1541"/>
    <col width="2.625" bestFit="1" customWidth="1" style="107" min="1542" max="1542"/>
    <col width="4.75" bestFit="1" customWidth="1" style="107" min="1543" max="1544"/>
    <col width="5" bestFit="1" customWidth="1" style="107" min="1545" max="1545"/>
    <col width="5.125" bestFit="1" customWidth="1" style="107" min="1546" max="1546"/>
    <col width="2.875" bestFit="1" customWidth="1" style="107" min="1547" max="1547"/>
    <col width="8.375" bestFit="1" customWidth="1" style="107" min="1548" max="1548"/>
    <col width="7.625" bestFit="1" customWidth="1" style="107" min="1549" max="1549"/>
    <col width="5.875" bestFit="1" customWidth="1" style="107" min="1550" max="1550"/>
    <col width="3.75" bestFit="1" customWidth="1" style="107" min="1551" max="1551"/>
    <col width="4.75" bestFit="1" customWidth="1" style="107" min="1552" max="1552"/>
    <col width="13.125" bestFit="1" customWidth="1" style="107" min="1553" max="1553"/>
    <col width="2.875" bestFit="1" customWidth="1" style="107" min="1554" max="1554"/>
    <col width="4.5" bestFit="1" customWidth="1" style="107" min="1555" max="1555"/>
    <col width="5.25" bestFit="1" customWidth="1" style="107" min="1556" max="1556"/>
    <col width="5.375" bestFit="1" customWidth="1" style="107" min="1557" max="1557"/>
    <col width="7.25" bestFit="1" customWidth="1" style="107" min="1558" max="1558"/>
    <col width="26.625" bestFit="1" customWidth="1" style="107" min="1559" max="1559"/>
    <col width="8.25" bestFit="1" customWidth="1" style="107" min="1560" max="1560"/>
    <col width="26.75" bestFit="1" customWidth="1" style="107" min="1561" max="1562"/>
    <col width="9.875" bestFit="1" customWidth="1" style="107" min="1563" max="1563"/>
    <col width="8.625" bestFit="1" customWidth="1" style="107" min="1564" max="1564"/>
    <col width="8.875" bestFit="1" customWidth="1" style="107" min="1565" max="1565"/>
    <col width="9" customWidth="1" style="107" min="1566" max="1792"/>
    <col width="9.5" bestFit="1" customWidth="1" style="107" min="1793" max="1793"/>
    <col width="7.875" bestFit="1" customWidth="1" style="107" min="1794" max="1794"/>
    <col width="4.625" bestFit="1" customWidth="1" style="107" min="1795" max="1795"/>
    <col width="5.375" bestFit="1" customWidth="1" style="107" min="1796" max="1796"/>
    <col width="6.625" bestFit="1" customWidth="1" style="107" min="1797" max="1797"/>
    <col width="2.625" bestFit="1" customWidth="1" style="107" min="1798" max="1798"/>
    <col width="4.75" bestFit="1" customWidth="1" style="107" min="1799" max="1800"/>
    <col width="5" bestFit="1" customWidth="1" style="107" min="1801" max="1801"/>
    <col width="5.125" bestFit="1" customWidth="1" style="107" min="1802" max="1802"/>
    <col width="2.875" bestFit="1" customWidth="1" style="107" min="1803" max="1803"/>
    <col width="8.375" bestFit="1" customWidth="1" style="107" min="1804" max="1804"/>
    <col width="7.625" bestFit="1" customWidth="1" style="107" min="1805" max="1805"/>
    <col width="5.875" bestFit="1" customWidth="1" style="107" min="1806" max="1806"/>
    <col width="3.75" bestFit="1" customWidth="1" style="107" min="1807" max="1807"/>
    <col width="4.75" bestFit="1" customWidth="1" style="107" min="1808" max="1808"/>
    <col width="13.125" bestFit="1" customWidth="1" style="107" min="1809" max="1809"/>
    <col width="2.875" bestFit="1" customWidth="1" style="107" min="1810" max="1810"/>
    <col width="4.5" bestFit="1" customWidth="1" style="107" min="1811" max="1811"/>
    <col width="5.25" bestFit="1" customWidth="1" style="107" min="1812" max="1812"/>
    <col width="5.375" bestFit="1" customWidth="1" style="107" min="1813" max="1813"/>
    <col width="7.25" bestFit="1" customWidth="1" style="107" min="1814" max="1814"/>
    <col width="26.625" bestFit="1" customWidth="1" style="107" min="1815" max="1815"/>
    <col width="8.25" bestFit="1" customWidth="1" style="107" min="1816" max="1816"/>
    <col width="26.75" bestFit="1" customWidth="1" style="107" min="1817" max="1818"/>
    <col width="9.875" bestFit="1" customWidth="1" style="107" min="1819" max="1819"/>
    <col width="8.625" bestFit="1" customWidth="1" style="107" min="1820" max="1820"/>
    <col width="8.875" bestFit="1" customWidth="1" style="107" min="1821" max="1821"/>
    <col width="9" customWidth="1" style="107" min="1822" max="2048"/>
    <col width="9.5" bestFit="1" customWidth="1" style="107" min="2049" max="2049"/>
    <col width="7.875" bestFit="1" customWidth="1" style="107" min="2050" max="2050"/>
    <col width="4.625" bestFit="1" customWidth="1" style="107" min="2051" max="2051"/>
    <col width="5.375" bestFit="1" customWidth="1" style="107" min="2052" max="2052"/>
    <col width="6.625" bestFit="1" customWidth="1" style="107" min="2053" max="2053"/>
    <col width="2.625" bestFit="1" customWidth="1" style="107" min="2054" max="2054"/>
    <col width="4.75" bestFit="1" customWidth="1" style="107" min="2055" max="2056"/>
    <col width="5" bestFit="1" customWidth="1" style="107" min="2057" max="2057"/>
    <col width="5.125" bestFit="1" customWidth="1" style="107" min="2058" max="2058"/>
    <col width="2.875" bestFit="1" customWidth="1" style="107" min="2059" max="2059"/>
    <col width="8.375" bestFit="1" customWidth="1" style="107" min="2060" max="2060"/>
    <col width="7.625" bestFit="1" customWidth="1" style="107" min="2061" max="2061"/>
    <col width="5.875" bestFit="1" customWidth="1" style="107" min="2062" max="2062"/>
    <col width="3.75" bestFit="1" customWidth="1" style="107" min="2063" max="2063"/>
    <col width="4.75" bestFit="1" customWidth="1" style="107" min="2064" max="2064"/>
    <col width="13.125" bestFit="1" customWidth="1" style="107" min="2065" max="2065"/>
    <col width="2.875" bestFit="1" customWidth="1" style="107" min="2066" max="2066"/>
    <col width="4.5" bestFit="1" customWidth="1" style="107" min="2067" max="2067"/>
    <col width="5.25" bestFit="1" customWidth="1" style="107" min="2068" max="2068"/>
    <col width="5.375" bestFit="1" customWidth="1" style="107" min="2069" max="2069"/>
    <col width="7.25" bestFit="1" customWidth="1" style="107" min="2070" max="2070"/>
    <col width="26.625" bestFit="1" customWidth="1" style="107" min="2071" max="2071"/>
    <col width="8.25" bestFit="1" customWidth="1" style="107" min="2072" max="2072"/>
    <col width="26.75" bestFit="1" customWidth="1" style="107" min="2073" max="2074"/>
    <col width="9.875" bestFit="1" customWidth="1" style="107" min="2075" max="2075"/>
    <col width="8.625" bestFit="1" customWidth="1" style="107" min="2076" max="2076"/>
    <col width="8.875" bestFit="1" customWidth="1" style="107" min="2077" max="2077"/>
    <col width="9" customWidth="1" style="107" min="2078" max="2304"/>
    <col width="9.5" bestFit="1" customWidth="1" style="107" min="2305" max="2305"/>
    <col width="7.875" bestFit="1" customWidth="1" style="107" min="2306" max="2306"/>
    <col width="4.625" bestFit="1" customWidth="1" style="107" min="2307" max="2307"/>
    <col width="5.375" bestFit="1" customWidth="1" style="107" min="2308" max="2308"/>
    <col width="6.625" bestFit="1" customWidth="1" style="107" min="2309" max="2309"/>
    <col width="2.625" bestFit="1" customWidth="1" style="107" min="2310" max="2310"/>
    <col width="4.75" bestFit="1" customWidth="1" style="107" min="2311" max="2312"/>
    <col width="5" bestFit="1" customWidth="1" style="107" min="2313" max="2313"/>
    <col width="5.125" bestFit="1" customWidth="1" style="107" min="2314" max="2314"/>
    <col width="2.875" bestFit="1" customWidth="1" style="107" min="2315" max="2315"/>
    <col width="8.375" bestFit="1" customWidth="1" style="107" min="2316" max="2316"/>
    <col width="7.625" bestFit="1" customWidth="1" style="107" min="2317" max="2317"/>
    <col width="5.875" bestFit="1" customWidth="1" style="107" min="2318" max="2318"/>
    <col width="3.75" bestFit="1" customWidth="1" style="107" min="2319" max="2319"/>
    <col width="4.75" bestFit="1" customWidth="1" style="107" min="2320" max="2320"/>
    <col width="13.125" bestFit="1" customWidth="1" style="107" min="2321" max="2321"/>
    <col width="2.875" bestFit="1" customWidth="1" style="107" min="2322" max="2322"/>
    <col width="4.5" bestFit="1" customWidth="1" style="107" min="2323" max="2323"/>
    <col width="5.25" bestFit="1" customWidth="1" style="107" min="2324" max="2324"/>
    <col width="5.375" bestFit="1" customWidth="1" style="107" min="2325" max="2325"/>
    <col width="7.25" bestFit="1" customWidth="1" style="107" min="2326" max="2326"/>
    <col width="26.625" bestFit="1" customWidth="1" style="107" min="2327" max="2327"/>
    <col width="8.25" bestFit="1" customWidth="1" style="107" min="2328" max="2328"/>
    <col width="26.75" bestFit="1" customWidth="1" style="107" min="2329" max="2330"/>
    <col width="9.875" bestFit="1" customWidth="1" style="107" min="2331" max="2331"/>
    <col width="8.625" bestFit="1" customWidth="1" style="107" min="2332" max="2332"/>
    <col width="8.875" bestFit="1" customWidth="1" style="107" min="2333" max="2333"/>
    <col width="9" customWidth="1" style="107" min="2334" max="2560"/>
    <col width="9.5" bestFit="1" customWidth="1" style="107" min="2561" max="2561"/>
    <col width="7.875" bestFit="1" customWidth="1" style="107" min="2562" max="2562"/>
    <col width="4.625" bestFit="1" customWidth="1" style="107" min="2563" max="2563"/>
    <col width="5.375" bestFit="1" customWidth="1" style="107" min="2564" max="2564"/>
    <col width="6.625" bestFit="1" customWidth="1" style="107" min="2565" max="2565"/>
    <col width="2.625" bestFit="1" customWidth="1" style="107" min="2566" max="2566"/>
    <col width="4.75" bestFit="1" customWidth="1" style="107" min="2567" max="2568"/>
    <col width="5" bestFit="1" customWidth="1" style="107" min="2569" max="2569"/>
    <col width="5.125" bestFit="1" customWidth="1" style="107" min="2570" max="2570"/>
    <col width="2.875" bestFit="1" customWidth="1" style="107" min="2571" max="2571"/>
    <col width="8.375" bestFit="1" customWidth="1" style="107" min="2572" max="2572"/>
    <col width="7.625" bestFit="1" customWidth="1" style="107" min="2573" max="2573"/>
    <col width="5.875" bestFit="1" customWidth="1" style="107" min="2574" max="2574"/>
    <col width="3.75" bestFit="1" customWidth="1" style="107" min="2575" max="2575"/>
    <col width="4.75" bestFit="1" customWidth="1" style="107" min="2576" max="2576"/>
    <col width="13.125" bestFit="1" customWidth="1" style="107" min="2577" max="2577"/>
    <col width="2.875" bestFit="1" customWidth="1" style="107" min="2578" max="2578"/>
    <col width="4.5" bestFit="1" customWidth="1" style="107" min="2579" max="2579"/>
    <col width="5.25" bestFit="1" customWidth="1" style="107" min="2580" max="2580"/>
    <col width="5.375" bestFit="1" customWidth="1" style="107" min="2581" max="2581"/>
    <col width="7.25" bestFit="1" customWidth="1" style="107" min="2582" max="2582"/>
    <col width="26.625" bestFit="1" customWidth="1" style="107" min="2583" max="2583"/>
    <col width="8.25" bestFit="1" customWidth="1" style="107" min="2584" max="2584"/>
    <col width="26.75" bestFit="1" customWidth="1" style="107" min="2585" max="2586"/>
    <col width="9.875" bestFit="1" customWidth="1" style="107" min="2587" max="2587"/>
    <col width="8.625" bestFit="1" customWidth="1" style="107" min="2588" max="2588"/>
    <col width="8.875" bestFit="1" customWidth="1" style="107" min="2589" max="2589"/>
    <col width="9" customWidth="1" style="107" min="2590" max="2816"/>
    <col width="9.5" bestFit="1" customWidth="1" style="107" min="2817" max="2817"/>
    <col width="7.875" bestFit="1" customWidth="1" style="107" min="2818" max="2818"/>
    <col width="4.625" bestFit="1" customWidth="1" style="107" min="2819" max="2819"/>
    <col width="5.375" bestFit="1" customWidth="1" style="107" min="2820" max="2820"/>
    <col width="6.625" bestFit="1" customWidth="1" style="107" min="2821" max="2821"/>
    <col width="2.625" bestFit="1" customWidth="1" style="107" min="2822" max="2822"/>
    <col width="4.75" bestFit="1" customWidth="1" style="107" min="2823" max="2824"/>
    <col width="5" bestFit="1" customWidth="1" style="107" min="2825" max="2825"/>
    <col width="5.125" bestFit="1" customWidth="1" style="107" min="2826" max="2826"/>
    <col width="2.875" bestFit="1" customWidth="1" style="107" min="2827" max="2827"/>
    <col width="8.375" bestFit="1" customWidth="1" style="107" min="2828" max="2828"/>
    <col width="7.625" bestFit="1" customWidth="1" style="107" min="2829" max="2829"/>
    <col width="5.875" bestFit="1" customWidth="1" style="107" min="2830" max="2830"/>
    <col width="3.75" bestFit="1" customWidth="1" style="107" min="2831" max="2831"/>
    <col width="4.75" bestFit="1" customWidth="1" style="107" min="2832" max="2832"/>
    <col width="13.125" bestFit="1" customWidth="1" style="107" min="2833" max="2833"/>
    <col width="2.875" bestFit="1" customWidth="1" style="107" min="2834" max="2834"/>
    <col width="4.5" bestFit="1" customWidth="1" style="107" min="2835" max="2835"/>
    <col width="5.25" bestFit="1" customWidth="1" style="107" min="2836" max="2836"/>
    <col width="5.375" bestFit="1" customWidth="1" style="107" min="2837" max="2837"/>
    <col width="7.25" bestFit="1" customWidth="1" style="107" min="2838" max="2838"/>
    <col width="26.625" bestFit="1" customWidth="1" style="107" min="2839" max="2839"/>
    <col width="8.25" bestFit="1" customWidth="1" style="107" min="2840" max="2840"/>
    <col width="26.75" bestFit="1" customWidth="1" style="107" min="2841" max="2842"/>
    <col width="9.875" bestFit="1" customWidth="1" style="107" min="2843" max="2843"/>
    <col width="8.625" bestFit="1" customWidth="1" style="107" min="2844" max="2844"/>
    <col width="8.875" bestFit="1" customWidth="1" style="107" min="2845" max="2845"/>
    <col width="9" customWidth="1" style="107" min="2846" max="3072"/>
    <col width="9.5" bestFit="1" customWidth="1" style="107" min="3073" max="3073"/>
    <col width="7.875" bestFit="1" customWidth="1" style="107" min="3074" max="3074"/>
    <col width="4.625" bestFit="1" customWidth="1" style="107" min="3075" max="3075"/>
    <col width="5.375" bestFit="1" customWidth="1" style="107" min="3076" max="3076"/>
    <col width="6.625" bestFit="1" customWidth="1" style="107" min="3077" max="3077"/>
    <col width="2.625" bestFit="1" customWidth="1" style="107" min="3078" max="3078"/>
    <col width="4.75" bestFit="1" customWidth="1" style="107" min="3079" max="3080"/>
    <col width="5" bestFit="1" customWidth="1" style="107" min="3081" max="3081"/>
    <col width="5.125" bestFit="1" customWidth="1" style="107" min="3082" max="3082"/>
    <col width="2.875" bestFit="1" customWidth="1" style="107" min="3083" max="3083"/>
    <col width="8.375" bestFit="1" customWidth="1" style="107" min="3084" max="3084"/>
    <col width="7.625" bestFit="1" customWidth="1" style="107" min="3085" max="3085"/>
    <col width="5.875" bestFit="1" customWidth="1" style="107" min="3086" max="3086"/>
    <col width="3.75" bestFit="1" customWidth="1" style="107" min="3087" max="3087"/>
    <col width="4.75" bestFit="1" customWidth="1" style="107" min="3088" max="3088"/>
    <col width="13.125" bestFit="1" customWidth="1" style="107" min="3089" max="3089"/>
    <col width="2.875" bestFit="1" customWidth="1" style="107" min="3090" max="3090"/>
    <col width="4.5" bestFit="1" customWidth="1" style="107" min="3091" max="3091"/>
    <col width="5.25" bestFit="1" customWidth="1" style="107" min="3092" max="3092"/>
    <col width="5.375" bestFit="1" customWidth="1" style="107" min="3093" max="3093"/>
    <col width="7.25" bestFit="1" customWidth="1" style="107" min="3094" max="3094"/>
    <col width="26.625" bestFit="1" customWidth="1" style="107" min="3095" max="3095"/>
    <col width="8.25" bestFit="1" customWidth="1" style="107" min="3096" max="3096"/>
    <col width="26.75" bestFit="1" customWidth="1" style="107" min="3097" max="3098"/>
    <col width="9.875" bestFit="1" customWidth="1" style="107" min="3099" max="3099"/>
    <col width="8.625" bestFit="1" customWidth="1" style="107" min="3100" max="3100"/>
    <col width="8.875" bestFit="1" customWidth="1" style="107" min="3101" max="3101"/>
    <col width="9" customWidth="1" style="107" min="3102" max="3328"/>
    <col width="9.5" bestFit="1" customWidth="1" style="107" min="3329" max="3329"/>
    <col width="7.875" bestFit="1" customWidth="1" style="107" min="3330" max="3330"/>
    <col width="4.625" bestFit="1" customWidth="1" style="107" min="3331" max="3331"/>
    <col width="5.375" bestFit="1" customWidth="1" style="107" min="3332" max="3332"/>
    <col width="6.625" bestFit="1" customWidth="1" style="107" min="3333" max="3333"/>
    <col width="2.625" bestFit="1" customWidth="1" style="107" min="3334" max="3334"/>
    <col width="4.75" bestFit="1" customWidth="1" style="107" min="3335" max="3336"/>
    <col width="5" bestFit="1" customWidth="1" style="107" min="3337" max="3337"/>
    <col width="5.125" bestFit="1" customWidth="1" style="107" min="3338" max="3338"/>
    <col width="2.875" bestFit="1" customWidth="1" style="107" min="3339" max="3339"/>
    <col width="8.375" bestFit="1" customWidth="1" style="107" min="3340" max="3340"/>
    <col width="7.625" bestFit="1" customWidth="1" style="107" min="3341" max="3341"/>
    <col width="5.875" bestFit="1" customWidth="1" style="107" min="3342" max="3342"/>
    <col width="3.75" bestFit="1" customWidth="1" style="107" min="3343" max="3343"/>
    <col width="4.75" bestFit="1" customWidth="1" style="107" min="3344" max="3344"/>
    <col width="13.125" bestFit="1" customWidth="1" style="107" min="3345" max="3345"/>
    <col width="2.875" bestFit="1" customWidth="1" style="107" min="3346" max="3346"/>
    <col width="4.5" bestFit="1" customWidth="1" style="107" min="3347" max="3347"/>
    <col width="5.25" bestFit="1" customWidth="1" style="107" min="3348" max="3348"/>
    <col width="5.375" bestFit="1" customWidth="1" style="107" min="3349" max="3349"/>
    <col width="7.25" bestFit="1" customWidth="1" style="107" min="3350" max="3350"/>
    <col width="26.625" bestFit="1" customWidth="1" style="107" min="3351" max="3351"/>
    <col width="8.25" bestFit="1" customWidth="1" style="107" min="3352" max="3352"/>
    <col width="26.75" bestFit="1" customWidth="1" style="107" min="3353" max="3354"/>
    <col width="9.875" bestFit="1" customWidth="1" style="107" min="3355" max="3355"/>
    <col width="8.625" bestFit="1" customWidth="1" style="107" min="3356" max="3356"/>
    <col width="8.875" bestFit="1" customWidth="1" style="107" min="3357" max="3357"/>
    <col width="9" customWidth="1" style="107" min="3358" max="3584"/>
    <col width="9.5" bestFit="1" customWidth="1" style="107" min="3585" max="3585"/>
    <col width="7.875" bestFit="1" customWidth="1" style="107" min="3586" max="3586"/>
    <col width="4.625" bestFit="1" customWidth="1" style="107" min="3587" max="3587"/>
    <col width="5.375" bestFit="1" customWidth="1" style="107" min="3588" max="3588"/>
    <col width="6.625" bestFit="1" customWidth="1" style="107" min="3589" max="3589"/>
    <col width="2.625" bestFit="1" customWidth="1" style="107" min="3590" max="3590"/>
    <col width="4.75" bestFit="1" customWidth="1" style="107" min="3591" max="3592"/>
    <col width="5" bestFit="1" customWidth="1" style="107" min="3593" max="3593"/>
    <col width="5.125" bestFit="1" customWidth="1" style="107" min="3594" max="3594"/>
    <col width="2.875" bestFit="1" customWidth="1" style="107" min="3595" max="3595"/>
    <col width="8.375" bestFit="1" customWidth="1" style="107" min="3596" max="3596"/>
    <col width="7.625" bestFit="1" customWidth="1" style="107" min="3597" max="3597"/>
    <col width="5.875" bestFit="1" customWidth="1" style="107" min="3598" max="3598"/>
    <col width="3.75" bestFit="1" customWidth="1" style="107" min="3599" max="3599"/>
    <col width="4.75" bestFit="1" customWidth="1" style="107" min="3600" max="3600"/>
    <col width="13.125" bestFit="1" customWidth="1" style="107" min="3601" max="3601"/>
    <col width="2.875" bestFit="1" customWidth="1" style="107" min="3602" max="3602"/>
    <col width="4.5" bestFit="1" customWidth="1" style="107" min="3603" max="3603"/>
    <col width="5.25" bestFit="1" customWidth="1" style="107" min="3604" max="3604"/>
    <col width="5.375" bestFit="1" customWidth="1" style="107" min="3605" max="3605"/>
    <col width="7.25" bestFit="1" customWidth="1" style="107" min="3606" max="3606"/>
    <col width="26.625" bestFit="1" customWidth="1" style="107" min="3607" max="3607"/>
    <col width="8.25" bestFit="1" customWidth="1" style="107" min="3608" max="3608"/>
    <col width="26.75" bestFit="1" customWidth="1" style="107" min="3609" max="3610"/>
    <col width="9.875" bestFit="1" customWidth="1" style="107" min="3611" max="3611"/>
    <col width="8.625" bestFit="1" customWidth="1" style="107" min="3612" max="3612"/>
    <col width="8.875" bestFit="1" customWidth="1" style="107" min="3613" max="3613"/>
    <col width="9" customWidth="1" style="107" min="3614" max="3840"/>
    <col width="9.5" bestFit="1" customWidth="1" style="107" min="3841" max="3841"/>
    <col width="7.875" bestFit="1" customWidth="1" style="107" min="3842" max="3842"/>
    <col width="4.625" bestFit="1" customWidth="1" style="107" min="3843" max="3843"/>
    <col width="5.375" bestFit="1" customWidth="1" style="107" min="3844" max="3844"/>
    <col width="6.625" bestFit="1" customWidth="1" style="107" min="3845" max="3845"/>
    <col width="2.625" bestFit="1" customWidth="1" style="107" min="3846" max="3846"/>
    <col width="4.75" bestFit="1" customWidth="1" style="107" min="3847" max="3848"/>
    <col width="5" bestFit="1" customWidth="1" style="107" min="3849" max="3849"/>
    <col width="5.125" bestFit="1" customWidth="1" style="107" min="3850" max="3850"/>
    <col width="2.875" bestFit="1" customWidth="1" style="107" min="3851" max="3851"/>
    <col width="8.375" bestFit="1" customWidth="1" style="107" min="3852" max="3852"/>
    <col width="7.625" bestFit="1" customWidth="1" style="107" min="3853" max="3853"/>
    <col width="5.875" bestFit="1" customWidth="1" style="107" min="3854" max="3854"/>
    <col width="3.75" bestFit="1" customWidth="1" style="107" min="3855" max="3855"/>
    <col width="4.75" bestFit="1" customWidth="1" style="107" min="3856" max="3856"/>
    <col width="13.125" bestFit="1" customWidth="1" style="107" min="3857" max="3857"/>
    <col width="2.875" bestFit="1" customWidth="1" style="107" min="3858" max="3858"/>
    <col width="4.5" bestFit="1" customWidth="1" style="107" min="3859" max="3859"/>
    <col width="5.25" bestFit="1" customWidth="1" style="107" min="3860" max="3860"/>
    <col width="5.375" bestFit="1" customWidth="1" style="107" min="3861" max="3861"/>
    <col width="7.25" bestFit="1" customWidth="1" style="107" min="3862" max="3862"/>
    <col width="26.625" bestFit="1" customWidth="1" style="107" min="3863" max="3863"/>
    <col width="8.25" bestFit="1" customWidth="1" style="107" min="3864" max="3864"/>
    <col width="26.75" bestFit="1" customWidth="1" style="107" min="3865" max="3866"/>
    <col width="9.875" bestFit="1" customWidth="1" style="107" min="3867" max="3867"/>
    <col width="8.625" bestFit="1" customWidth="1" style="107" min="3868" max="3868"/>
    <col width="8.875" bestFit="1" customWidth="1" style="107" min="3869" max="3869"/>
    <col width="9" customWidth="1" style="107" min="3870" max="4096"/>
    <col width="9.5" bestFit="1" customWidth="1" style="107" min="4097" max="4097"/>
    <col width="7.875" bestFit="1" customWidth="1" style="107" min="4098" max="4098"/>
    <col width="4.625" bestFit="1" customWidth="1" style="107" min="4099" max="4099"/>
    <col width="5.375" bestFit="1" customWidth="1" style="107" min="4100" max="4100"/>
    <col width="6.625" bestFit="1" customWidth="1" style="107" min="4101" max="4101"/>
    <col width="2.625" bestFit="1" customWidth="1" style="107" min="4102" max="4102"/>
    <col width="4.75" bestFit="1" customWidth="1" style="107" min="4103" max="4104"/>
    <col width="5" bestFit="1" customWidth="1" style="107" min="4105" max="4105"/>
    <col width="5.125" bestFit="1" customWidth="1" style="107" min="4106" max="4106"/>
    <col width="2.875" bestFit="1" customWidth="1" style="107" min="4107" max="4107"/>
    <col width="8.375" bestFit="1" customWidth="1" style="107" min="4108" max="4108"/>
    <col width="7.625" bestFit="1" customWidth="1" style="107" min="4109" max="4109"/>
    <col width="5.875" bestFit="1" customWidth="1" style="107" min="4110" max="4110"/>
    <col width="3.75" bestFit="1" customWidth="1" style="107" min="4111" max="4111"/>
    <col width="4.75" bestFit="1" customWidth="1" style="107" min="4112" max="4112"/>
    <col width="13.125" bestFit="1" customWidth="1" style="107" min="4113" max="4113"/>
    <col width="2.875" bestFit="1" customWidth="1" style="107" min="4114" max="4114"/>
    <col width="4.5" bestFit="1" customWidth="1" style="107" min="4115" max="4115"/>
    <col width="5.25" bestFit="1" customWidth="1" style="107" min="4116" max="4116"/>
    <col width="5.375" bestFit="1" customWidth="1" style="107" min="4117" max="4117"/>
    <col width="7.25" bestFit="1" customWidth="1" style="107" min="4118" max="4118"/>
    <col width="26.625" bestFit="1" customWidth="1" style="107" min="4119" max="4119"/>
    <col width="8.25" bestFit="1" customWidth="1" style="107" min="4120" max="4120"/>
    <col width="26.75" bestFit="1" customWidth="1" style="107" min="4121" max="4122"/>
    <col width="9.875" bestFit="1" customWidth="1" style="107" min="4123" max="4123"/>
    <col width="8.625" bestFit="1" customWidth="1" style="107" min="4124" max="4124"/>
    <col width="8.875" bestFit="1" customWidth="1" style="107" min="4125" max="4125"/>
    <col width="9" customWidth="1" style="107" min="4126" max="4352"/>
    <col width="9.5" bestFit="1" customWidth="1" style="107" min="4353" max="4353"/>
    <col width="7.875" bestFit="1" customWidth="1" style="107" min="4354" max="4354"/>
    <col width="4.625" bestFit="1" customWidth="1" style="107" min="4355" max="4355"/>
    <col width="5.375" bestFit="1" customWidth="1" style="107" min="4356" max="4356"/>
    <col width="6.625" bestFit="1" customWidth="1" style="107" min="4357" max="4357"/>
    <col width="2.625" bestFit="1" customWidth="1" style="107" min="4358" max="4358"/>
    <col width="4.75" bestFit="1" customWidth="1" style="107" min="4359" max="4360"/>
    <col width="5" bestFit="1" customWidth="1" style="107" min="4361" max="4361"/>
    <col width="5.125" bestFit="1" customWidth="1" style="107" min="4362" max="4362"/>
    <col width="2.875" bestFit="1" customWidth="1" style="107" min="4363" max="4363"/>
    <col width="8.375" bestFit="1" customWidth="1" style="107" min="4364" max="4364"/>
    <col width="7.625" bestFit="1" customWidth="1" style="107" min="4365" max="4365"/>
    <col width="5.875" bestFit="1" customWidth="1" style="107" min="4366" max="4366"/>
    <col width="3.75" bestFit="1" customWidth="1" style="107" min="4367" max="4367"/>
    <col width="4.75" bestFit="1" customWidth="1" style="107" min="4368" max="4368"/>
    <col width="13.125" bestFit="1" customWidth="1" style="107" min="4369" max="4369"/>
    <col width="2.875" bestFit="1" customWidth="1" style="107" min="4370" max="4370"/>
    <col width="4.5" bestFit="1" customWidth="1" style="107" min="4371" max="4371"/>
    <col width="5.25" bestFit="1" customWidth="1" style="107" min="4372" max="4372"/>
    <col width="5.375" bestFit="1" customWidth="1" style="107" min="4373" max="4373"/>
    <col width="7.25" bestFit="1" customWidth="1" style="107" min="4374" max="4374"/>
    <col width="26.625" bestFit="1" customWidth="1" style="107" min="4375" max="4375"/>
    <col width="8.25" bestFit="1" customWidth="1" style="107" min="4376" max="4376"/>
    <col width="26.75" bestFit="1" customWidth="1" style="107" min="4377" max="4378"/>
    <col width="9.875" bestFit="1" customWidth="1" style="107" min="4379" max="4379"/>
    <col width="8.625" bestFit="1" customWidth="1" style="107" min="4380" max="4380"/>
    <col width="8.875" bestFit="1" customWidth="1" style="107" min="4381" max="4381"/>
    <col width="9" customWidth="1" style="107" min="4382" max="4608"/>
    <col width="9.5" bestFit="1" customWidth="1" style="107" min="4609" max="4609"/>
    <col width="7.875" bestFit="1" customWidth="1" style="107" min="4610" max="4610"/>
    <col width="4.625" bestFit="1" customWidth="1" style="107" min="4611" max="4611"/>
    <col width="5.375" bestFit="1" customWidth="1" style="107" min="4612" max="4612"/>
    <col width="6.625" bestFit="1" customWidth="1" style="107" min="4613" max="4613"/>
    <col width="2.625" bestFit="1" customWidth="1" style="107" min="4614" max="4614"/>
    <col width="4.75" bestFit="1" customWidth="1" style="107" min="4615" max="4616"/>
    <col width="5" bestFit="1" customWidth="1" style="107" min="4617" max="4617"/>
    <col width="5.125" bestFit="1" customWidth="1" style="107" min="4618" max="4618"/>
    <col width="2.875" bestFit="1" customWidth="1" style="107" min="4619" max="4619"/>
    <col width="8.375" bestFit="1" customWidth="1" style="107" min="4620" max="4620"/>
    <col width="7.625" bestFit="1" customWidth="1" style="107" min="4621" max="4621"/>
    <col width="5.875" bestFit="1" customWidth="1" style="107" min="4622" max="4622"/>
    <col width="3.75" bestFit="1" customWidth="1" style="107" min="4623" max="4623"/>
    <col width="4.75" bestFit="1" customWidth="1" style="107" min="4624" max="4624"/>
    <col width="13.125" bestFit="1" customWidth="1" style="107" min="4625" max="4625"/>
    <col width="2.875" bestFit="1" customWidth="1" style="107" min="4626" max="4626"/>
    <col width="4.5" bestFit="1" customWidth="1" style="107" min="4627" max="4627"/>
    <col width="5.25" bestFit="1" customWidth="1" style="107" min="4628" max="4628"/>
    <col width="5.375" bestFit="1" customWidth="1" style="107" min="4629" max="4629"/>
    <col width="7.25" bestFit="1" customWidth="1" style="107" min="4630" max="4630"/>
    <col width="26.625" bestFit="1" customWidth="1" style="107" min="4631" max="4631"/>
    <col width="8.25" bestFit="1" customWidth="1" style="107" min="4632" max="4632"/>
    <col width="26.75" bestFit="1" customWidth="1" style="107" min="4633" max="4634"/>
    <col width="9.875" bestFit="1" customWidth="1" style="107" min="4635" max="4635"/>
    <col width="8.625" bestFit="1" customWidth="1" style="107" min="4636" max="4636"/>
    <col width="8.875" bestFit="1" customWidth="1" style="107" min="4637" max="4637"/>
    <col width="9" customWidth="1" style="107" min="4638" max="4864"/>
    <col width="9.5" bestFit="1" customWidth="1" style="107" min="4865" max="4865"/>
    <col width="7.875" bestFit="1" customWidth="1" style="107" min="4866" max="4866"/>
    <col width="4.625" bestFit="1" customWidth="1" style="107" min="4867" max="4867"/>
    <col width="5.375" bestFit="1" customWidth="1" style="107" min="4868" max="4868"/>
    <col width="6.625" bestFit="1" customWidth="1" style="107" min="4869" max="4869"/>
    <col width="2.625" bestFit="1" customWidth="1" style="107" min="4870" max="4870"/>
    <col width="4.75" bestFit="1" customWidth="1" style="107" min="4871" max="4872"/>
    <col width="5" bestFit="1" customWidth="1" style="107" min="4873" max="4873"/>
    <col width="5.125" bestFit="1" customWidth="1" style="107" min="4874" max="4874"/>
    <col width="2.875" bestFit="1" customWidth="1" style="107" min="4875" max="4875"/>
    <col width="8.375" bestFit="1" customWidth="1" style="107" min="4876" max="4876"/>
    <col width="7.625" bestFit="1" customWidth="1" style="107" min="4877" max="4877"/>
    <col width="5.875" bestFit="1" customWidth="1" style="107" min="4878" max="4878"/>
    <col width="3.75" bestFit="1" customWidth="1" style="107" min="4879" max="4879"/>
    <col width="4.75" bestFit="1" customWidth="1" style="107" min="4880" max="4880"/>
    <col width="13.125" bestFit="1" customWidth="1" style="107" min="4881" max="4881"/>
    <col width="2.875" bestFit="1" customWidth="1" style="107" min="4882" max="4882"/>
    <col width="4.5" bestFit="1" customWidth="1" style="107" min="4883" max="4883"/>
    <col width="5.25" bestFit="1" customWidth="1" style="107" min="4884" max="4884"/>
    <col width="5.375" bestFit="1" customWidth="1" style="107" min="4885" max="4885"/>
    <col width="7.25" bestFit="1" customWidth="1" style="107" min="4886" max="4886"/>
    <col width="26.625" bestFit="1" customWidth="1" style="107" min="4887" max="4887"/>
    <col width="8.25" bestFit="1" customWidth="1" style="107" min="4888" max="4888"/>
    <col width="26.75" bestFit="1" customWidth="1" style="107" min="4889" max="4890"/>
    <col width="9.875" bestFit="1" customWidth="1" style="107" min="4891" max="4891"/>
    <col width="8.625" bestFit="1" customWidth="1" style="107" min="4892" max="4892"/>
    <col width="8.875" bestFit="1" customWidth="1" style="107" min="4893" max="4893"/>
    <col width="9" customWidth="1" style="107" min="4894" max="5120"/>
    <col width="9.5" bestFit="1" customWidth="1" style="107" min="5121" max="5121"/>
    <col width="7.875" bestFit="1" customWidth="1" style="107" min="5122" max="5122"/>
    <col width="4.625" bestFit="1" customWidth="1" style="107" min="5123" max="5123"/>
    <col width="5.375" bestFit="1" customWidth="1" style="107" min="5124" max="5124"/>
    <col width="6.625" bestFit="1" customWidth="1" style="107" min="5125" max="5125"/>
    <col width="2.625" bestFit="1" customWidth="1" style="107" min="5126" max="5126"/>
    <col width="4.75" bestFit="1" customWidth="1" style="107" min="5127" max="5128"/>
    <col width="5" bestFit="1" customWidth="1" style="107" min="5129" max="5129"/>
    <col width="5.125" bestFit="1" customWidth="1" style="107" min="5130" max="5130"/>
    <col width="2.875" bestFit="1" customWidth="1" style="107" min="5131" max="5131"/>
    <col width="8.375" bestFit="1" customWidth="1" style="107" min="5132" max="5132"/>
    <col width="7.625" bestFit="1" customWidth="1" style="107" min="5133" max="5133"/>
    <col width="5.875" bestFit="1" customWidth="1" style="107" min="5134" max="5134"/>
    <col width="3.75" bestFit="1" customWidth="1" style="107" min="5135" max="5135"/>
    <col width="4.75" bestFit="1" customWidth="1" style="107" min="5136" max="5136"/>
    <col width="13.125" bestFit="1" customWidth="1" style="107" min="5137" max="5137"/>
    <col width="2.875" bestFit="1" customWidth="1" style="107" min="5138" max="5138"/>
    <col width="4.5" bestFit="1" customWidth="1" style="107" min="5139" max="5139"/>
    <col width="5.25" bestFit="1" customWidth="1" style="107" min="5140" max="5140"/>
    <col width="5.375" bestFit="1" customWidth="1" style="107" min="5141" max="5141"/>
    <col width="7.25" bestFit="1" customWidth="1" style="107" min="5142" max="5142"/>
    <col width="26.625" bestFit="1" customWidth="1" style="107" min="5143" max="5143"/>
    <col width="8.25" bestFit="1" customWidth="1" style="107" min="5144" max="5144"/>
    <col width="26.75" bestFit="1" customWidth="1" style="107" min="5145" max="5146"/>
    <col width="9.875" bestFit="1" customWidth="1" style="107" min="5147" max="5147"/>
    <col width="8.625" bestFit="1" customWidth="1" style="107" min="5148" max="5148"/>
    <col width="8.875" bestFit="1" customWidth="1" style="107" min="5149" max="5149"/>
    <col width="9" customWidth="1" style="107" min="5150" max="5376"/>
    <col width="9.5" bestFit="1" customWidth="1" style="107" min="5377" max="5377"/>
    <col width="7.875" bestFit="1" customWidth="1" style="107" min="5378" max="5378"/>
    <col width="4.625" bestFit="1" customWidth="1" style="107" min="5379" max="5379"/>
    <col width="5.375" bestFit="1" customWidth="1" style="107" min="5380" max="5380"/>
    <col width="6.625" bestFit="1" customWidth="1" style="107" min="5381" max="5381"/>
    <col width="2.625" bestFit="1" customWidth="1" style="107" min="5382" max="5382"/>
    <col width="4.75" bestFit="1" customWidth="1" style="107" min="5383" max="5384"/>
    <col width="5" bestFit="1" customWidth="1" style="107" min="5385" max="5385"/>
    <col width="5.125" bestFit="1" customWidth="1" style="107" min="5386" max="5386"/>
    <col width="2.875" bestFit="1" customWidth="1" style="107" min="5387" max="5387"/>
    <col width="8.375" bestFit="1" customWidth="1" style="107" min="5388" max="5388"/>
    <col width="7.625" bestFit="1" customWidth="1" style="107" min="5389" max="5389"/>
    <col width="5.875" bestFit="1" customWidth="1" style="107" min="5390" max="5390"/>
    <col width="3.75" bestFit="1" customWidth="1" style="107" min="5391" max="5391"/>
    <col width="4.75" bestFit="1" customWidth="1" style="107" min="5392" max="5392"/>
    <col width="13.125" bestFit="1" customWidth="1" style="107" min="5393" max="5393"/>
    <col width="2.875" bestFit="1" customWidth="1" style="107" min="5394" max="5394"/>
    <col width="4.5" bestFit="1" customWidth="1" style="107" min="5395" max="5395"/>
    <col width="5.25" bestFit="1" customWidth="1" style="107" min="5396" max="5396"/>
    <col width="5.375" bestFit="1" customWidth="1" style="107" min="5397" max="5397"/>
    <col width="7.25" bestFit="1" customWidth="1" style="107" min="5398" max="5398"/>
    <col width="26.625" bestFit="1" customWidth="1" style="107" min="5399" max="5399"/>
    <col width="8.25" bestFit="1" customWidth="1" style="107" min="5400" max="5400"/>
    <col width="26.75" bestFit="1" customWidth="1" style="107" min="5401" max="5402"/>
    <col width="9.875" bestFit="1" customWidth="1" style="107" min="5403" max="5403"/>
    <col width="8.625" bestFit="1" customWidth="1" style="107" min="5404" max="5404"/>
    <col width="8.875" bestFit="1" customWidth="1" style="107" min="5405" max="5405"/>
    <col width="9" customWidth="1" style="107" min="5406" max="5632"/>
    <col width="9.5" bestFit="1" customWidth="1" style="107" min="5633" max="5633"/>
    <col width="7.875" bestFit="1" customWidth="1" style="107" min="5634" max="5634"/>
    <col width="4.625" bestFit="1" customWidth="1" style="107" min="5635" max="5635"/>
    <col width="5.375" bestFit="1" customWidth="1" style="107" min="5636" max="5636"/>
    <col width="6.625" bestFit="1" customWidth="1" style="107" min="5637" max="5637"/>
    <col width="2.625" bestFit="1" customWidth="1" style="107" min="5638" max="5638"/>
    <col width="4.75" bestFit="1" customWidth="1" style="107" min="5639" max="5640"/>
    <col width="5" bestFit="1" customWidth="1" style="107" min="5641" max="5641"/>
    <col width="5.125" bestFit="1" customWidth="1" style="107" min="5642" max="5642"/>
    <col width="2.875" bestFit="1" customWidth="1" style="107" min="5643" max="5643"/>
    <col width="8.375" bestFit="1" customWidth="1" style="107" min="5644" max="5644"/>
    <col width="7.625" bestFit="1" customWidth="1" style="107" min="5645" max="5645"/>
    <col width="5.875" bestFit="1" customWidth="1" style="107" min="5646" max="5646"/>
    <col width="3.75" bestFit="1" customWidth="1" style="107" min="5647" max="5647"/>
    <col width="4.75" bestFit="1" customWidth="1" style="107" min="5648" max="5648"/>
    <col width="13.125" bestFit="1" customWidth="1" style="107" min="5649" max="5649"/>
    <col width="2.875" bestFit="1" customWidth="1" style="107" min="5650" max="5650"/>
    <col width="4.5" bestFit="1" customWidth="1" style="107" min="5651" max="5651"/>
    <col width="5.25" bestFit="1" customWidth="1" style="107" min="5652" max="5652"/>
    <col width="5.375" bestFit="1" customWidth="1" style="107" min="5653" max="5653"/>
    <col width="7.25" bestFit="1" customWidth="1" style="107" min="5654" max="5654"/>
    <col width="26.625" bestFit="1" customWidth="1" style="107" min="5655" max="5655"/>
    <col width="8.25" bestFit="1" customWidth="1" style="107" min="5656" max="5656"/>
    <col width="26.75" bestFit="1" customWidth="1" style="107" min="5657" max="5658"/>
    <col width="9.875" bestFit="1" customWidth="1" style="107" min="5659" max="5659"/>
    <col width="8.625" bestFit="1" customWidth="1" style="107" min="5660" max="5660"/>
    <col width="8.875" bestFit="1" customWidth="1" style="107" min="5661" max="5661"/>
    <col width="9" customWidth="1" style="107" min="5662" max="5888"/>
    <col width="9.5" bestFit="1" customWidth="1" style="107" min="5889" max="5889"/>
    <col width="7.875" bestFit="1" customWidth="1" style="107" min="5890" max="5890"/>
    <col width="4.625" bestFit="1" customWidth="1" style="107" min="5891" max="5891"/>
    <col width="5.375" bestFit="1" customWidth="1" style="107" min="5892" max="5892"/>
    <col width="6.625" bestFit="1" customWidth="1" style="107" min="5893" max="5893"/>
    <col width="2.625" bestFit="1" customWidth="1" style="107" min="5894" max="5894"/>
    <col width="4.75" bestFit="1" customWidth="1" style="107" min="5895" max="5896"/>
    <col width="5" bestFit="1" customWidth="1" style="107" min="5897" max="5897"/>
    <col width="5.125" bestFit="1" customWidth="1" style="107" min="5898" max="5898"/>
    <col width="2.875" bestFit="1" customWidth="1" style="107" min="5899" max="5899"/>
    <col width="8.375" bestFit="1" customWidth="1" style="107" min="5900" max="5900"/>
    <col width="7.625" bestFit="1" customWidth="1" style="107" min="5901" max="5901"/>
    <col width="5.875" bestFit="1" customWidth="1" style="107" min="5902" max="5902"/>
    <col width="3.75" bestFit="1" customWidth="1" style="107" min="5903" max="5903"/>
    <col width="4.75" bestFit="1" customWidth="1" style="107" min="5904" max="5904"/>
    <col width="13.125" bestFit="1" customWidth="1" style="107" min="5905" max="5905"/>
    <col width="2.875" bestFit="1" customWidth="1" style="107" min="5906" max="5906"/>
    <col width="4.5" bestFit="1" customWidth="1" style="107" min="5907" max="5907"/>
    <col width="5.25" bestFit="1" customWidth="1" style="107" min="5908" max="5908"/>
    <col width="5.375" bestFit="1" customWidth="1" style="107" min="5909" max="5909"/>
    <col width="7.25" bestFit="1" customWidth="1" style="107" min="5910" max="5910"/>
    <col width="26.625" bestFit="1" customWidth="1" style="107" min="5911" max="5911"/>
    <col width="8.25" bestFit="1" customWidth="1" style="107" min="5912" max="5912"/>
    <col width="26.75" bestFit="1" customWidth="1" style="107" min="5913" max="5914"/>
    <col width="9.875" bestFit="1" customWidth="1" style="107" min="5915" max="5915"/>
    <col width="8.625" bestFit="1" customWidth="1" style="107" min="5916" max="5916"/>
    <col width="8.875" bestFit="1" customWidth="1" style="107" min="5917" max="5917"/>
    <col width="9" customWidth="1" style="107" min="5918" max="6144"/>
    <col width="9.5" bestFit="1" customWidth="1" style="107" min="6145" max="6145"/>
    <col width="7.875" bestFit="1" customWidth="1" style="107" min="6146" max="6146"/>
    <col width="4.625" bestFit="1" customWidth="1" style="107" min="6147" max="6147"/>
    <col width="5.375" bestFit="1" customWidth="1" style="107" min="6148" max="6148"/>
    <col width="6.625" bestFit="1" customWidth="1" style="107" min="6149" max="6149"/>
    <col width="2.625" bestFit="1" customWidth="1" style="107" min="6150" max="6150"/>
    <col width="4.75" bestFit="1" customWidth="1" style="107" min="6151" max="6152"/>
    <col width="5" bestFit="1" customWidth="1" style="107" min="6153" max="6153"/>
    <col width="5.125" bestFit="1" customWidth="1" style="107" min="6154" max="6154"/>
    <col width="2.875" bestFit="1" customWidth="1" style="107" min="6155" max="6155"/>
    <col width="8.375" bestFit="1" customWidth="1" style="107" min="6156" max="6156"/>
    <col width="7.625" bestFit="1" customWidth="1" style="107" min="6157" max="6157"/>
    <col width="5.875" bestFit="1" customWidth="1" style="107" min="6158" max="6158"/>
    <col width="3.75" bestFit="1" customWidth="1" style="107" min="6159" max="6159"/>
    <col width="4.75" bestFit="1" customWidth="1" style="107" min="6160" max="6160"/>
    <col width="13.125" bestFit="1" customWidth="1" style="107" min="6161" max="6161"/>
    <col width="2.875" bestFit="1" customWidth="1" style="107" min="6162" max="6162"/>
    <col width="4.5" bestFit="1" customWidth="1" style="107" min="6163" max="6163"/>
    <col width="5.25" bestFit="1" customWidth="1" style="107" min="6164" max="6164"/>
    <col width="5.375" bestFit="1" customWidth="1" style="107" min="6165" max="6165"/>
    <col width="7.25" bestFit="1" customWidth="1" style="107" min="6166" max="6166"/>
    <col width="26.625" bestFit="1" customWidth="1" style="107" min="6167" max="6167"/>
    <col width="8.25" bestFit="1" customWidth="1" style="107" min="6168" max="6168"/>
    <col width="26.75" bestFit="1" customWidth="1" style="107" min="6169" max="6170"/>
    <col width="9.875" bestFit="1" customWidth="1" style="107" min="6171" max="6171"/>
    <col width="8.625" bestFit="1" customWidth="1" style="107" min="6172" max="6172"/>
    <col width="8.875" bestFit="1" customWidth="1" style="107" min="6173" max="6173"/>
    <col width="9" customWidth="1" style="107" min="6174" max="6400"/>
    <col width="9.5" bestFit="1" customWidth="1" style="107" min="6401" max="6401"/>
    <col width="7.875" bestFit="1" customWidth="1" style="107" min="6402" max="6402"/>
    <col width="4.625" bestFit="1" customWidth="1" style="107" min="6403" max="6403"/>
    <col width="5.375" bestFit="1" customWidth="1" style="107" min="6404" max="6404"/>
    <col width="6.625" bestFit="1" customWidth="1" style="107" min="6405" max="6405"/>
    <col width="2.625" bestFit="1" customWidth="1" style="107" min="6406" max="6406"/>
    <col width="4.75" bestFit="1" customWidth="1" style="107" min="6407" max="6408"/>
    <col width="5" bestFit="1" customWidth="1" style="107" min="6409" max="6409"/>
    <col width="5.125" bestFit="1" customWidth="1" style="107" min="6410" max="6410"/>
    <col width="2.875" bestFit="1" customWidth="1" style="107" min="6411" max="6411"/>
    <col width="8.375" bestFit="1" customWidth="1" style="107" min="6412" max="6412"/>
    <col width="7.625" bestFit="1" customWidth="1" style="107" min="6413" max="6413"/>
    <col width="5.875" bestFit="1" customWidth="1" style="107" min="6414" max="6414"/>
    <col width="3.75" bestFit="1" customWidth="1" style="107" min="6415" max="6415"/>
    <col width="4.75" bestFit="1" customWidth="1" style="107" min="6416" max="6416"/>
    <col width="13.125" bestFit="1" customWidth="1" style="107" min="6417" max="6417"/>
    <col width="2.875" bestFit="1" customWidth="1" style="107" min="6418" max="6418"/>
    <col width="4.5" bestFit="1" customWidth="1" style="107" min="6419" max="6419"/>
    <col width="5.25" bestFit="1" customWidth="1" style="107" min="6420" max="6420"/>
    <col width="5.375" bestFit="1" customWidth="1" style="107" min="6421" max="6421"/>
    <col width="7.25" bestFit="1" customWidth="1" style="107" min="6422" max="6422"/>
    <col width="26.625" bestFit="1" customWidth="1" style="107" min="6423" max="6423"/>
    <col width="8.25" bestFit="1" customWidth="1" style="107" min="6424" max="6424"/>
    <col width="26.75" bestFit="1" customWidth="1" style="107" min="6425" max="6426"/>
    <col width="9.875" bestFit="1" customWidth="1" style="107" min="6427" max="6427"/>
    <col width="8.625" bestFit="1" customWidth="1" style="107" min="6428" max="6428"/>
    <col width="8.875" bestFit="1" customWidth="1" style="107" min="6429" max="6429"/>
    <col width="9" customWidth="1" style="107" min="6430" max="6656"/>
    <col width="9.5" bestFit="1" customWidth="1" style="107" min="6657" max="6657"/>
    <col width="7.875" bestFit="1" customWidth="1" style="107" min="6658" max="6658"/>
    <col width="4.625" bestFit="1" customWidth="1" style="107" min="6659" max="6659"/>
    <col width="5.375" bestFit="1" customWidth="1" style="107" min="6660" max="6660"/>
    <col width="6.625" bestFit="1" customWidth="1" style="107" min="6661" max="6661"/>
    <col width="2.625" bestFit="1" customWidth="1" style="107" min="6662" max="6662"/>
    <col width="4.75" bestFit="1" customWidth="1" style="107" min="6663" max="6664"/>
    <col width="5" bestFit="1" customWidth="1" style="107" min="6665" max="6665"/>
    <col width="5.125" bestFit="1" customWidth="1" style="107" min="6666" max="6666"/>
    <col width="2.875" bestFit="1" customWidth="1" style="107" min="6667" max="6667"/>
    <col width="8.375" bestFit="1" customWidth="1" style="107" min="6668" max="6668"/>
    <col width="7.625" bestFit="1" customWidth="1" style="107" min="6669" max="6669"/>
    <col width="5.875" bestFit="1" customWidth="1" style="107" min="6670" max="6670"/>
    <col width="3.75" bestFit="1" customWidth="1" style="107" min="6671" max="6671"/>
    <col width="4.75" bestFit="1" customWidth="1" style="107" min="6672" max="6672"/>
    <col width="13.125" bestFit="1" customWidth="1" style="107" min="6673" max="6673"/>
    <col width="2.875" bestFit="1" customWidth="1" style="107" min="6674" max="6674"/>
    <col width="4.5" bestFit="1" customWidth="1" style="107" min="6675" max="6675"/>
    <col width="5.25" bestFit="1" customWidth="1" style="107" min="6676" max="6676"/>
    <col width="5.375" bestFit="1" customWidth="1" style="107" min="6677" max="6677"/>
    <col width="7.25" bestFit="1" customWidth="1" style="107" min="6678" max="6678"/>
    <col width="26.625" bestFit="1" customWidth="1" style="107" min="6679" max="6679"/>
    <col width="8.25" bestFit="1" customWidth="1" style="107" min="6680" max="6680"/>
    <col width="26.75" bestFit="1" customWidth="1" style="107" min="6681" max="6682"/>
    <col width="9.875" bestFit="1" customWidth="1" style="107" min="6683" max="6683"/>
    <col width="8.625" bestFit="1" customWidth="1" style="107" min="6684" max="6684"/>
    <col width="8.875" bestFit="1" customWidth="1" style="107" min="6685" max="6685"/>
    <col width="9" customWidth="1" style="107" min="6686" max="6912"/>
    <col width="9.5" bestFit="1" customWidth="1" style="107" min="6913" max="6913"/>
    <col width="7.875" bestFit="1" customWidth="1" style="107" min="6914" max="6914"/>
    <col width="4.625" bestFit="1" customWidth="1" style="107" min="6915" max="6915"/>
    <col width="5.375" bestFit="1" customWidth="1" style="107" min="6916" max="6916"/>
    <col width="6.625" bestFit="1" customWidth="1" style="107" min="6917" max="6917"/>
    <col width="2.625" bestFit="1" customWidth="1" style="107" min="6918" max="6918"/>
    <col width="4.75" bestFit="1" customWidth="1" style="107" min="6919" max="6920"/>
    <col width="5" bestFit="1" customWidth="1" style="107" min="6921" max="6921"/>
    <col width="5.125" bestFit="1" customWidth="1" style="107" min="6922" max="6922"/>
    <col width="2.875" bestFit="1" customWidth="1" style="107" min="6923" max="6923"/>
    <col width="8.375" bestFit="1" customWidth="1" style="107" min="6924" max="6924"/>
    <col width="7.625" bestFit="1" customWidth="1" style="107" min="6925" max="6925"/>
    <col width="5.875" bestFit="1" customWidth="1" style="107" min="6926" max="6926"/>
    <col width="3.75" bestFit="1" customWidth="1" style="107" min="6927" max="6927"/>
    <col width="4.75" bestFit="1" customWidth="1" style="107" min="6928" max="6928"/>
    <col width="13.125" bestFit="1" customWidth="1" style="107" min="6929" max="6929"/>
    <col width="2.875" bestFit="1" customWidth="1" style="107" min="6930" max="6930"/>
    <col width="4.5" bestFit="1" customWidth="1" style="107" min="6931" max="6931"/>
    <col width="5.25" bestFit="1" customWidth="1" style="107" min="6932" max="6932"/>
    <col width="5.375" bestFit="1" customWidth="1" style="107" min="6933" max="6933"/>
    <col width="7.25" bestFit="1" customWidth="1" style="107" min="6934" max="6934"/>
    <col width="26.625" bestFit="1" customWidth="1" style="107" min="6935" max="6935"/>
    <col width="8.25" bestFit="1" customWidth="1" style="107" min="6936" max="6936"/>
    <col width="26.75" bestFit="1" customWidth="1" style="107" min="6937" max="6938"/>
    <col width="9.875" bestFit="1" customWidth="1" style="107" min="6939" max="6939"/>
    <col width="8.625" bestFit="1" customWidth="1" style="107" min="6940" max="6940"/>
    <col width="8.875" bestFit="1" customWidth="1" style="107" min="6941" max="6941"/>
    <col width="9" customWidth="1" style="107" min="6942" max="7168"/>
    <col width="9.5" bestFit="1" customWidth="1" style="107" min="7169" max="7169"/>
    <col width="7.875" bestFit="1" customWidth="1" style="107" min="7170" max="7170"/>
    <col width="4.625" bestFit="1" customWidth="1" style="107" min="7171" max="7171"/>
    <col width="5.375" bestFit="1" customWidth="1" style="107" min="7172" max="7172"/>
    <col width="6.625" bestFit="1" customWidth="1" style="107" min="7173" max="7173"/>
    <col width="2.625" bestFit="1" customWidth="1" style="107" min="7174" max="7174"/>
    <col width="4.75" bestFit="1" customWidth="1" style="107" min="7175" max="7176"/>
    <col width="5" bestFit="1" customWidth="1" style="107" min="7177" max="7177"/>
    <col width="5.125" bestFit="1" customWidth="1" style="107" min="7178" max="7178"/>
    <col width="2.875" bestFit="1" customWidth="1" style="107" min="7179" max="7179"/>
    <col width="8.375" bestFit="1" customWidth="1" style="107" min="7180" max="7180"/>
    <col width="7.625" bestFit="1" customWidth="1" style="107" min="7181" max="7181"/>
    <col width="5.875" bestFit="1" customWidth="1" style="107" min="7182" max="7182"/>
    <col width="3.75" bestFit="1" customWidth="1" style="107" min="7183" max="7183"/>
    <col width="4.75" bestFit="1" customWidth="1" style="107" min="7184" max="7184"/>
    <col width="13.125" bestFit="1" customWidth="1" style="107" min="7185" max="7185"/>
    <col width="2.875" bestFit="1" customWidth="1" style="107" min="7186" max="7186"/>
    <col width="4.5" bestFit="1" customWidth="1" style="107" min="7187" max="7187"/>
    <col width="5.25" bestFit="1" customWidth="1" style="107" min="7188" max="7188"/>
    <col width="5.375" bestFit="1" customWidth="1" style="107" min="7189" max="7189"/>
    <col width="7.25" bestFit="1" customWidth="1" style="107" min="7190" max="7190"/>
    <col width="26.625" bestFit="1" customWidth="1" style="107" min="7191" max="7191"/>
    <col width="8.25" bestFit="1" customWidth="1" style="107" min="7192" max="7192"/>
    <col width="26.75" bestFit="1" customWidth="1" style="107" min="7193" max="7194"/>
    <col width="9.875" bestFit="1" customWidth="1" style="107" min="7195" max="7195"/>
    <col width="8.625" bestFit="1" customWidth="1" style="107" min="7196" max="7196"/>
    <col width="8.875" bestFit="1" customWidth="1" style="107" min="7197" max="7197"/>
    <col width="9" customWidth="1" style="107" min="7198" max="7424"/>
    <col width="9.5" bestFit="1" customWidth="1" style="107" min="7425" max="7425"/>
    <col width="7.875" bestFit="1" customWidth="1" style="107" min="7426" max="7426"/>
    <col width="4.625" bestFit="1" customWidth="1" style="107" min="7427" max="7427"/>
    <col width="5.375" bestFit="1" customWidth="1" style="107" min="7428" max="7428"/>
    <col width="6.625" bestFit="1" customWidth="1" style="107" min="7429" max="7429"/>
    <col width="2.625" bestFit="1" customWidth="1" style="107" min="7430" max="7430"/>
    <col width="4.75" bestFit="1" customWidth="1" style="107" min="7431" max="7432"/>
    <col width="5" bestFit="1" customWidth="1" style="107" min="7433" max="7433"/>
    <col width="5.125" bestFit="1" customWidth="1" style="107" min="7434" max="7434"/>
    <col width="2.875" bestFit="1" customWidth="1" style="107" min="7435" max="7435"/>
    <col width="8.375" bestFit="1" customWidth="1" style="107" min="7436" max="7436"/>
    <col width="7.625" bestFit="1" customWidth="1" style="107" min="7437" max="7437"/>
    <col width="5.875" bestFit="1" customWidth="1" style="107" min="7438" max="7438"/>
    <col width="3.75" bestFit="1" customWidth="1" style="107" min="7439" max="7439"/>
    <col width="4.75" bestFit="1" customWidth="1" style="107" min="7440" max="7440"/>
    <col width="13.125" bestFit="1" customWidth="1" style="107" min="7441" max="7441"/>
    <col width="2.875" bestFit="1" customWidth="1" style="107" min="7442" max="7442"/>
    <col width="4.5" bestFit="1" customWidth="1" style="107" min="7443" max="7443"/>
    <col width="5.25" bestFit="1" customWidth="1" style="107" min="7444" max="7444"/>
    <col width="5.375" bestFit="1" customWidth="1" style="107" min="7445" max="7445"/>
    <col width="7.25" bestFit="1" customWidth="1" style="107" min="7446" max="7446"/>
    <col width="26.625" bestFit="1" customWidth="1" style="107" min="7447" max="7447"/>
    <col width="8.25" bestFit="1" customWidth="1" style="107" min="7448" max="7448"/>
    <col width="26.75" bestFit="1" customWidth="1" style="107" min="7449" max="7450"/>
    <col width="9.875" bestFit="1" customWidth="1" style="107" min="7451" max="7451"/>
    <col width="8.625" bestFit="1" customWidth="1" style="107" min="7452" max="7452"/>
    <col width="8.875" bestFit="1" customWidth="1" style="107" min="7453" max="7453"/>
    <col width="9" customWidth="1" style="107" min="7454" max="7680"/>
    <col width="9.5" bestFit="1" customWidth="1" style="107" min="7681" max="7681"/>
    <col width="7.875" bestFit="1" customWidth="1" style="107" min="7682" max="7682"/>
    <col width="4.625" bestFit="1" customWidth="1" style="107" min="7683" max="7683"/>
    <col width="5.375" bestFit="1" customWidth="1" style="107" min="7684" max="7684"/>
    <col width="6.625" bestFit="1" customWidth="1" style="107" min="7685" max="7685"/>
    <col width="2.625" bestFit="1" customWidth="1" style="107" min="7686" max="7686"/>
    <col width="4.75" bestFit="1" customWidth="1" style="107" min="7687" max="7688"/>
    <col width="5" bestFit="1" customWidth="1" style="107" min="7689" max="7689"/>
    <col width="5.125" bestFit="1" customWidth="1" style="107" min="7690" max="7690"/>
    <col width="2.875" bestFit="1" customWidth="1" style="107" min="7691" max="7691"/>
    <col width="8.375" bestFit="1" customWidth="1" style="107" min="7692" max="7692"/>
    <col width="7.625" bestFit="1" customWidth="1" style="107" min="7693" max="7693"/>
    <col width="5.875" bestFit="1" customWidth="1" style="107" min="7694" max="7694"/>
    <col width="3.75" bestFit="1" customWidth="1" style="107" min="7695" max="7695"/>
    <col width="4.75" bestFit="1" customWidth="1" style="107" min="7696" max="7696"/>
    <col width="13.125" bestFit="1" customWidth="1" style="107" min="7697" max="7697"/>
    <col width="2.875" bestFit="1" customWidth="1" style="107" min="7698" max="7698"/>
    <col width="4.5" bestFit="1" customWidth="1" style="107" min="7699" max="7699"/>
    <col width="5.25" bestFit="1" customWidth="1" style="107" min="7700" max="7700"/>
    <col width="5.375" bestFit="1" customWidth="1" style="107" min="7701" max="7701"/>
    <col width="7.25" bestFit="1" customWidth="1" style="107" min="7702" max="7702"/>
    <col width="26.625" bestFit="1" customWidth="1" style="107" min="7703" max="7703"/>
    <col width="8.25" bestFit="1" customWidth="1" style="107" min="7704" max="7704"/>
    <col width="26.75" bestFit="1" customWidth="1" style="107" min="7705" max="7706"/>
    <col width="9.875" bestFit="1" customWidth="1" style="107" min="7707" max="7707"/>
    <col width="8.625" bestFit="1" customWidth="1" style="107" min="7708" max="7708"/>
    <col width="8.875" bestFit="1" customWidth="1" style="107" min="7709" max="7709"/>
    <col width="9" customWidth="1" style="107" min="7710" max="7936"/>
    <col width="9.5" bestFit="1" customWidth="1" style="107" min="7937" max="7937"/>
    <col width="7.875" bestFit="1" customWidth="1" style="107" min="7938" max="7938"/>
    <col width="4.625" bestFit="1" customWidth="1" style="107" min="7939" max="7939"/>
    <col width="5.375" bestFit="1" customWidth="1" style="107" min="7940" max="7940"/>
    <col width="6.625" bestFit="1" customWidth="1" style="107" min="7941" max="7941"/>
    <col width="2.625" bestFit="1" customWidth="1" style="107" min="7942" max="7942"/>
    <col width="4.75" bestFit="1" customWidth="1" style="107" min="7943" max="7944"/>
    <col width="5" bestFit="1" customWidth="1" style="107" min="7945" max="7945"/>
    <col width="5.125" bestFit="1" customWidth="1" style="107" min="7946" max="7946"/>
    <col width="2.875" bestFit="1" customWidth="1" style="107" min="7947" max="7947"/>
    <col width="8.375" bestFit="1" customWidth="1" style="107" min="7948" max="7948"/>
    <col width="7.625" bestFit="1" customWidth="1" style="107" min="7949" max="7949"/>
    <col width="5.875" bestFit="1" customWidth="1" style="107" min="7950" max="7950"/>
    <col width="3.75" bestFit="1" customWidth="1" style="107" min="7951" max="7951"/>
    <col width="4.75" bestFit="1" customWidth="1" style="107" min="7952" max="7952"/>
    <col width="13.125" bestFit="1" customWidth="1" style="107" min="7953" max="7953"/>
    <col width="2.875" bestFit="1" customWidth="1" style="107" min="7954" max="7954"/>
    <col width="4.5" bestFit="1" customWidth="1" style="107" min="7955" max="7955"/>
    <col width="5.25" bestFit="1" customWidth="1" style="107" min="7956" max="7956"/>
    <col width="5.375" bestFit="1" customWidth="1" style="107" min="7957" max="7957"/>
    <col width="7.25" bestFit="1" customWidth="1" style="107" min="7958" max="7958"/>
    <col width="26.625" bestFit="1" customWidth="1" style="107" min="7959" max="7959"/>
    <col width="8.25" bestFit="1" customWidth="1" style="107" min="7960" max="7960"/>
    <col width="26.75" bestFit="1" customWidth="1" style="107" min="7961" max="7962"/>
    <col width="9.875" bestFit="1" customWidth="1" style="107" min="7963" max="7963"/>
    <col width="8.625" bestFit="1" customWidth="1" style="107" min="7964" max="7964"/>
    <col width="8.875" bestFit="1" customWidth="1" style="107" min="7965" max="7965"/>
    <col width="9" customWidth="1" style="107" min="7966" max="8192"/>
    <col width="9.5" bestFit="1" customWidth="1" style="107" min="8193" max="8193"/>
    <col width="7.875" bestFit="1" customWidth="1" style="107" min="8194" max="8194"/>
    <col width="4.625" bestFit="1" customWidth="1" style="107" min="8195" max="8195"/>
    <col width="5.375" bestFit="1" customWidth="1" style="107" min="8196" max="8196"/>
    <col width="6.625" bestFit="1" customWidth="1" style="107" min="8197" max="8197"/>
    <col width="2.625" bestFit="1" customWidth="1" style="107" min="8198" max="8198"/>
    <col width="4.75" bestFit="1" customWidth="1" style="107" min="8199" max="8200"/>
    <col width="5" bestFit="1" customWidth="1" style="107" min="8201" max="8201"/>
    <col width="5.125" bestFit="1" customWidth="1" style="107" min="8202" max="8202"/>
    <col width="2.875" bestFit="1" customWidth="1" style="107" min="8203" max="8203"/>
    <col width="8.375" bestFit="1" customWidth="1" style="107" min="8204" max="8204"/>
    <col width="7.625" bestFit="1" customWidth="1" style="107" min="8205" max="8205"/>
    <col width="5.875" bestFit="1" customWidth="1" style="107" min="8206" max="8206"/>
    <col width="3.75" bestFit="1" customWidth="1" style="107" min="8207" max="8207"/>
    <col width="4.75" bestFit="1" customWidth="1" style="107" min="8208" max="8208"/>
    <col width="13.125" bestFit="1" customWidth="1" style="107" min="8209" max="8209"/>
    <col width="2.875" bestFit="1" customWidth="1" style="107" min="8210" max="8210"/>
    <col width="4.5" bestFit="1" customWidth="1" style="107" min="8211" max="8211"/>
    <col width="5.25" bestFit="1" customWidth="1" style="107" min="8212" max="8212"/>
    <col width="5.375" bestFit="1" customWidth="1" style="107" min="8213" max="8213"/>
    <col width="7.25" bestFit="1" customWidth="1" style="107" min="8214" max="8214"/>
    <col width="26.625" bestFit="1" customWidth="1" style="107" min="8215" max="8215"/>
    <col width="8.25" bestFit="1" customWidth="1" style="107" min="8216" max="8216"/>
    <col width="26.75" bestFit="1" customWidth="1" style="107" min="8217" max="8218"/>
    <col width="9.875" bestFit="1" customWidth="1" style="107" min="8219" max="8219"/>
    <col width="8.625" bestFit="1" customWidth="1" style="107" min="8220" max="8220"/>
    <col width="8.875" bestFit="1" customWidth="1" style="107" min="8221" max="8221"/>
    <col width="9" customWidth="1" style="107" min="8222" max="8448"/>
    <col width="9.5" bestFit="1" customWidth="1" style="107" min="8449" max="8449"/>
    <col width="7.875" bestFit="1" customWidth="1" style="107" min="8450" max="8450"/>
    <col width="4.625" bestFit="1" customWidth="1" style="107" min="8451" max="8451"/>
    <col width="5.375" bestFit="1" customWidth="1" style="107" min="8452" max="8452"/>
    <col width="6.625" bestFit="1" customWidth="1" style="107" min="8453" max="8453"/>
    <col width="2.625" bestFit="1" customWidth="1" style="107" min="8454" max="8454"/>
    <col width="4.75" bestFit="1" customWidth="1" style="107" min="8455" max="8456"/>
    <col width="5" bestFit="1" customWidth="1" style="107" min="8457" max="8457"/>
    <col width="5.125" bestFit="1" customWidth="1" style="107" min="8458" max="8458"/>
    <col width="2.875" bestFit="1" customWidth="1" style="107" min="8459" max="8459"/>
    <col width="8.375" bestFit="1" customWidth="1" style="107" min="8460" max="8460"/>
    <col width="7.625" bestFit="1" customWidth="1" style="107" min="8461" max="8461"/>
    <col width="5.875" bestFit="1" customWidth="1" style="107" min="8462" max="8462"/>
    <col width="3.75" bestFit="1" customWidth="1" style="107" min="8463" max="8463"/>
    <col width="4.75" bestFit="1" customWidth="1" style="107" min="8464" max="8464"/>
    <col width="13.125" bestFit="1" customWidth="1" style="107" min="8465" max="8465"/>
    <col width="2.875" bestFit="1" customWidth="1" style="107" min="8466" max="8466"/>
    <col width="4.5" bestFit="1" customWidth="1" style="107" min="8467" max="8467"/>
    <col width="5.25" bestFit="1" customWidth="1" style="107" min="8468" max="8468"/>
    <col width="5.375" bestFit="1" customWidth="1" style="107" min="8469" max="8469"/>
    <col width="7.25" bestFit="1" customWidth="1" style="107" min="8470" max="8470"/>
    <col width="26.625" bestFit="1" customWidth="1" style="107" min="8471" max="8471"/>
    <col width="8.25" bestFit="1" customWidth="1" style="107" min="8472" max="8472"/>
    <col width="26.75" bestFit="1" customWidth="1" style="107" min="8473" max="8474"/>
    <col width="9.875" bestFit="1" customWidth="1" style="107" min="8475" max="8475"/>
    <col width="8.625" bestFit="1" customWidth="1" style="107" min="8476" max="8476"/>
    <col width="8.875" bestFit="1" customWidth="1" style="107" min="8477" max="8477"/>
    <col width="9" customWidth="1" style="107" min="8478" max="8704"/>
    <col width="9.5" bestFit="1" customWidth="1" style="107" min="8705" max="8705"/>
    <col width="7.875" bestFit="1" customWidth="1" style="107" min="8706" max="8706"/>
    <col width="4.625" bestFit="1" customWidth="1" style="107" min="8707" max="8707"/>
    <col width="5.375" bestFit="1" customWidth="1" style="107" min="8708" max="8708"/>
    <col width="6.625" bestFit="1" customWidth="1" style="107" min="8709" max="8709"/>
    <col width="2.625" bestFit="1" customWidth="1" style="107" min="8710" max="8710"/>
    <col width="4.75" bestFit="1" customWidth="1" style="107" min="8711" max="8712"/>
    <col width="5" bestFit="1" customWidth="1" style="107" min="8713" max="8713"/>
    <col width="5.125" bestFit="1" customWidth="1" style="107" min="8714" max="8714"/>
    <col width="2.875" bestFit="1" customWidth="1" style="107" min="8715" max="8715"/>
    <col width="8.375" bestFit="1" customWidth="1" style="107" min="8716" max="8716"/>
    <col width="7.625" bestFit="1" customWidth="1" style="107" min="8717" max="8717"/>
    <col width="5.875" bestFit="1" customWidth="1" style="107" min="8718" max="8718"/>
    <col width="3.75" bestFit="1" customWidth="1" style="107" min="8719" max="8719"/>
    <col width="4.75" bestFit="1" customWidth="1" style="107" min="8720" max="8720"/>
    <col width="13.125" bestFit="1" customWidth="1" style="107" min="8721" max="8721"/>
    <col width="2.875" bestFit="1" customWidth="1" style="107" min="8722" max="8722"/>
    <col width="4.5" bestFit="1" customWidth="1" style="107" min="8723" max="8723"/>
    <col width="5.25" bestFit="1" customWidth="1" style="107" min="8724" max="8724"/>
    <col width="5.375" bestFit="1" customWidth="1" style="107" min="8725" max="8725"/>
    <col width="7.25" bestFit="1" customWidth="1" style="107" min="8726" max="8726"/>
    <col width="26.625" bestFit="1" customWidth="1" style="107" min="8727" max="8727"/>
    <col width="8.25" bestFit="1" customWidth="1" style="107" min="8728" max="8728"/>
    <col width="26.75" bestFit="1" customWidth="1" style="107" min="8729" max="8730"/>
    <col width="9.875" bestFit="1" customWidth="1" style="107" min="8731" max="8731"/>
    <col width="8.625" bestFit="1" customWidth="1" style="107" min="8732" max="8732"/>
    <col width="8.875" bestFit="1" customWidth="1" style="107" min="8733" max="8733"/>
    <col width="9" customWidth="1" style="107" min="8734" max="8960"/>
    <col width="9.5" bestFit="1" customWidth="1" style="107" min="8961" max="8961"/>
    <col width="7.875" bestFit="1" customWidth="1" style="107" min="8962" max="8962"/>
    <col width="4.625" bestFit="1" customWidth="1" style="107" min="8963" max="8963"/>
    <col width="5.375" bestFit="1" customWidth="1" style="107" min="8964" max="8964"/>
    <col width="6.625" bestFit="1" customWidth="1" style="107" min="8965" max="8965"/>
    <col width="2.625" bestFit="1" customWidth="1" style="107" min="8966" max="8966"/>
    <col width="4.75" bestFit="1" customWidth="1" style="107" min="8967" max="8968"/>
    <col width="5" bestFit="1" customWidth="1" style="107" min="8969" max="8969"/>
    <col width="5.125" bestFit="1" customWidth="1" style="107" min="8970" max="8970"/>
    <col width="2.875" bestFit="1" customWidth="1" style="107" min="8971" max="8971"/>
    <col width="8.375" bestFit="1" customWidth="1" style="107" min="8972" max="8972"/>
    <col width="7.625" bestFit="1" customWidth="1" style="107" min="8973" max="8973"/>
    <col width="5.875" bestFit="1" customWidth="1" style="107" min="8974" max="8974"/>
    <col width="3.75" bestFit="1" customWidth="1" style="107" min="8975" max="8975"/>
    <col width="4.75" bestFit="1" customWidth="1" style="107" min="8976" max="8976"/>
    <col width="13.125" bestFit="1" customWidth="1" style="107" min="8977" max="8977"/>
    <col width="2.875" bestFit="1" customWidth="1" style="107" min="8978" max="8978"/>
    <col width="4.5" bestFit="1" customWidth="1" style="107" min="8979" max="8979"/>
    <col width="5.25" bestFit="1" customWidth="1" style="107" min="8980" max="8980"/>
    <col width="5.375" bestFit="1" customWidth="1" style="107" min="8981" max="8981"/>
    <col width="7.25" bestFit="1" customWidth="1" style="107" min="8982" max="8982"/>
    <col width="26.625" bestFit="1" customWidth="1" style="107" min="8983" max="8983"/>
    <col width="8.25" bestFit="1" customWidth="1" style="107" min="8984" max="8984"/>
    <col width="26.75" bestFit="1" customWidth="1" style="107" min="8985" max="8986"/>
    <col width="9.875" bestFit="1" customWidth="1" style="107" min="8987" max="8987"/>
    <col width="8.625" bestFit="1" customWidth="1" style="107" min="8988" max="8988"/>
    <col width="8.875" bestFit="1" customWidth="1" style="107" min="8989" max="8989"/>
    <col width="9" customWidth="1" style="107" min="8990" max="9216"/>
    <col width="9.5" bestFit="1" customWidth="1" style="107" min="9217" max="9217"/>
    <col width="7.875" bestFit="1" customWidth="1" style="107" min="9218" max="9218"/>
    <col width="4.625" bestFit="1" customWidth="1" style="107" min="9219" max="9219"/>
    <col width="5.375" bestFit="1" customWidth="1" style="107" min="9220" max="9220"/>
    <col width="6.625" bestFit="1" customWidth="1" style="107" min="9221" max="9221"/>
    <col width="2.625" bestFit="1" customWidth="1" style="107" min="9222" max="9222"/>
    <col width="4.75" bestFit="1" customWidth="1" style="107" min="9223" max="9224"/>
    <col width="5" bestFit="1" customWidth="1" style="107" min="9225" max="9225"/>
    <col width="5.125" bestFit="1" customWidth="1" style="107" min="9226" max="9226"/>
    <col width="2.875" bestFit="1" customWidth="1" style="107" min="9227" max="9227"/>
    <col width="8.375" bestFit="1" customWidth="1" style="107" min="9228" max="9228"/>
    <col width="7.625" bestFit="1" customWidth="1" style="107" min="9229" max="9229"/>
    <col width="5.875" bestFit="1" customWidth="1" style="107" min="9230" max="9230"/>
    <col width="3.75" bestFit="1" customWidth="1" style="107" min="9231" max="9231"/>
    <col width="4.75" bestFit="1" customWidth="1" style="107" min="9232" max="9232"/>
    <col width="13.125" bestFit="1" customWidth="1" style="107" min="9233" max="9233"/>
    <col width="2.875" bestFit="1" customWidth="1" style="107" min="9234" max="9234"/>
    <col width="4.5" bestFit="1" customWidth="1" style="107" min="9235" max="9235"/>
    <col width="5.25" bestFit="1" customWidth="1" style="107" min="9236" max="9236"/>
    <col width="5.375" bestFit="1" customWidth="1" style="107" min="9237" max="9237"/>
    <col width="7.25" bestFit="1" customWidth="1" style="107" min="9238" max="9238"/>
    <col width="26.625" bestFit="1" customWidth="1" style="107" min="9239" max="9239"/>
    <col width="8.25" bestFit="1" customWidth="1" style="107" min="9240" max="9240"/>
    <col width="26.75" bestFit="1" customWidth="1" style="107" min="9241" max="9242"/>
    <col width="9.875" bestFit="1" customWidth="1" style="107" min="9243" max="9243"/>
    <col width="8.625" bestFit="1" customWidth="1" style="107" min="9244" max="9244"/>
    <col width="8.875" bestFit="1" customWidth="1" style="107" min="9245" max="9245"/>
    <col width="9" customWidth="1" style="107" min="9246" max="9472"/>
    <col width="9.5" bestFit="1" customWidth="1" style="107" min="9473" max="9473"/>
    <col width="7.875" bestFit="1" customWidth="1" style="107" min="9474" max="9474"/>
    <col width="4.625" bestFit="1" customWidth="1" style="107" min="9475" max="9475"/>
    <col width="5.375" bestFit="1" customWidth="1" style="107" min="9476" max="9476"/>
    <col width="6.625" bestFit="1" customWidth="1" style="107" min="9477" max="9477"/>
    <col width="2.625" bestFit="1" customWidth="1" style="107" min="9478" max="9478"/>
    <col width="4.75" bestFit="1" customWidth="1" style="107" min="9479" max="9480"/>
    <col width="5" bestFit="1" customWidth="1" style="107" min="9481" max="9481"/>
    <col width="5.125" bestFit="1" customWidth="1" style="107" min="9482" max="9482"/>
    <col width="2.875" bestFit="1" customWidth="1" style="107" min="9483" max="9483"/>
    <col width="8.375" bestFit="1" customWidth="1" style="107" min="9484" max="9484"/>
    <col width="7.625" bestFit="1" customWidth="1" style="107" min="9485" max="9485"/>
    <col width="5.875" bestFit="1" customWidth="1" style="107" min="9486" max="9486"/>
    <col width="3.75" bestFit="1" customWidth="1" style="107" min="9487" max="9487"/>
    <col width="4.75" bestFit="1" customWidth="1" style="107" min="9488" max="9488"/>
    <col width="13.125" bestFit="1" customWidth="1" style="107" min="9489" max="9489"/>
    <col width="2.875" bestFit="1" customWidth="1" style="107" min="9490" max="9490"/>
    <col width="4.5" bestFit="1" customWidth="1" style="107" min="9491" max="9491"/>
    <col width="5.25" bestFit="1" customWidth="1" style="107" min="9492" max="9492"/>
    <col width="5.375" bestFit="1" customWidth="1" style="107" min="9493" max="9493"/>
    <col width="7.25" bestFit="1" customWidth="1" style="107" min="9494" max="9494"/>
    <col width="26.625" bestFit="1" customWidth="1" style="107" min="9495" max="9495"/>
    <col width="8.25" bestFit="1" customWidth="1" style="107" min="9496" max="9496"/>
    <col width="26.75" bestFit="1" customWidth="1" style="107" min="9497" max="9498"/>
    <col width="9.875" bestFit="1" customWidth="1" style="107" min="9499" max="9499"/>
    <col width="8.625" bestFit="1" customWidth="1" style="107" min="9500" max="9500"/>
    <col width="8.875" bestFit="1" customWidth="1" style="107" min="9501" max="9501"/>
    <col width="9" customWidth="1" style="107" min="9502" max="9728"/>
    <col width="9.5" bestFit="1" customWidth="1" style="107" min="9729" max="9729"/>
    <col width="7.875" bestFit="1" customWidth="1" style="107" min="9730" max="9730"/>
    <col width="4.625" bestFit="1" customWidth="1" style="107" min="9731" max="9731"/>
    <col width="5.375" bestFit="1" customWidth="1" style="107" min="9732" max="9732"/>
    <col width="6.625" bestFit="1" customWidth="1" style="107" min="9733" max="9733"/>
    <col width="2.625" bestFit="1" customWidth="1" style="107" min="9734" max="9734"/>
    <col width="4.75" bestFit="1" customWidth="1" style="107" min="9735" max="9736"/>
    <col width="5" bestFit="1" customWidth="1" style="107" min="9737" max="9737"/>
    <col width="5.125" bestFit="1" customWidth="1" style="107" min="9738" max="9738"/>
    <col width="2.875" bestFit="1" customWidth="1" style="107" min="9739" max="9739"/>
    <col width="8.375" bestFit="1" customWidth="1" style="107" min="9740" max="9740"/>
    <col width="7.625" bestFit="1" customWidth="1" style="107" min="9741" max="9741"/>
    <col width="5.875" bestFit="1" customWidth="1" style="107" min="9742" max="9742"/>
    <col width="3.75" bestFit="1" customWidth="1" style="107" min="9743" max="9743"/>
    <col width="4.75" bestFit="1" customWidth="1" style="107" min="9744" max="9744"/>
    <col width="13.125" bestFit="1" customWidth="1" style="107" min="9745" max="9745"/>
    <col width="2.875" bestFit="1" customWidth="1" style="107" min="9746" max="9746"/>
    <col width="4.5" bestFit="1" customWidth="1" style="107" min="9747" max="9747"/>
    <col width="5.25" bestFit="1" customWidth="1" style="107" min="9748" max="9748"/>
    <col width="5.375" bestFit="1" customWidth="1" style="107" min="9749" max="9749"/>
    <col width="7.25" bestFit="1" customWidth="1" style="107" min="9750" max="9750"/>
    <col width="26.625" bestFit="1" customWidth="1" style="107" min="9751" max="9751"/>
    <col width="8.25" bestFit="1" customWidth="1" style="107" min="9752" max="9752"/>
    <col width="26.75" bestFit="1" customWidth="1" style="107" min="9753" max="9754"/>
    <col width="9.875" bestFit="1" customWidth="1" style="107" min="9755" max="9755"/>
    <col width="8.625" bestFit="1" customWidth="1" style="107" min="9756" max="9756"/>
    <col width="8.875" bestFit="1" customWidth="1" style="107" min="9757" max="9757"/>
    <col width="9" customWidth="1" style="107" min="9758" max="9984"/>
    <col width="9.5" bestFit="1" customWidth="1" style="107" min="9985" max="9985"/>
    <col width="7.875" bestFit="1" customWidth="1" style="107" min="9986" max="9986"/>
    <col width="4.625" bestFit="1" customWidth="1" style="107" min="9987" max="9987"/>
    <col width="5.375" bestFit="1" customWidth="1" style="107" min="9988" max="9988"/>
    <col width="6.625" bestFit="1" customWidth="1" style="107" min="9989" max="9989"/>
    <col width="2.625" bestFit="1" customWidth="1" style="107" min="9990" max="9990"/>
    <col width="4.75" bestFit="1" customWidth="1" style="107" min="9991" max="9992"/>
    <col width="5" bestFit="1" customWidth="1" style="107" min="9993" max="9993"/>
    <col width="5.125" bestFit="1" customWidth="1" style="107" min="9994" max="9994"/>
    <col width="2.875" bestFit="1" customWidth="1" style="107" min="9995" max="9995"/>
    <col width="8.375" bestFit="1" customWidth="1" style="107" min="9996" max="9996"/>
    <col width="7.625" bestFit="1" customWidth="1" style="107" min="9997" max="9997"/>
    <col width="5.875" bestFit="1" customWidth="1" style="107" min="9998" max="9998"/>
    <col width="3.75" bestFit="1" customWidth="1" style="107" min="9999" max="9999"/>
    <col width="4.75" bestFit="1" customWidth="1" style="107" min="10000" max="10000"/>
    <col width="13.125" bestFit="1" customWidth="1" style="107" min="10001" max="10001"/>
    <col width="2.875" bestFit="1" customWidth="1" style="107" min="10002" max="10002"/>
    <col width="4.5" bestFit="1" customWidth="1" style="107" min="10003" max="10003"/>
    <col width="5.25" bestFit="1" customWidth="1" style="107" min="10004" max="10004"/>
    <col width="5.375" bestFit="1" customWidth="1" style="107" min="10005" max="10005"/>
    <col width="7.25" bestFit="1" customWidth="1" style="107" min="10006" max="10006"/>
    <col width="26.625" bestFit="1" customWidth="1" style="107" min="10007" max="10007"/>
    <col width="8.25" bestFit="1" customWidth="1" style="107" min="10008" max="10008"/>
    <col width="26.75" bestFit="1" customWidth="1" style="107" min="10009" max="10010"/>
    <col width="9.875" bestFit="1" customWidth="1" style="107" min="10011" max="10011"/>
    <col width="8.625" bestFit="1" customWidth="1" style="107" min="10012" max="10012"/>
    <col width="8.875" bestFit="1" customWidth="1" style="107" min="10013" max="10013"/>
    <col width="9" customWidth="1" style="107" min="10014" max="10240"/>
    <col width="9.5" bestFit="1" customWidth="1" style="107" min="10241" max="10241"/>
    <col width="7.875" bestFit="1" customWidth="1" style="107" min="10242" max="10242"/>
    <col width="4.625" bestFit="1" customWidth="1" style="107" min="10243" max="10243"/>
    <col width="5.375" bestFit="1" customWidth="1" style="107" min="10244" max="10244"/>
    <col width="6.625" bestFit="1" customWidth="1" style="107" min="10245" max="10245"/>
    <col width="2.625" bestFit="1" customWidth="1" style="107" min="10246" max="10246"/>
    <col width="4.75" bestFit="1" customWidth="1" style="107" min="10247" max="10248"/>
    <col width="5" bestFit="1" customWidth="1" style="107" min="10249" max="10249"/>
    <col width="5.125" bestFit="1" customWidth="1" style="107" min="10250" max="10250"/>
    <col width="2.875" bestFit="1" customWidth="1" style="107" min="10251" max="10251"/>
    <col width="8.375" bestFit="1" customWidth="1" style="107" min="10252" max="10252"/>
    <col width="7.625" bestFit="1" customWidth="1" style="107" min="10253" max="10253"/>
    <col width="5.875" bestFit="1" customWidth="1" style="107" min="10254" max="10254"/>
    <col width="3.75" bestFit="1" customWidth="1" style="107" min="10255" max="10255"/>
    <col width="4.75" bestFit="1" customWidth="1" style="107" min="10256" max="10256"/>
    <col width="13.125" bestFit="1" customWidth="1" style="107" min="10257" max="10257"/>
    <col width="2.875" bestFit="1" customWidth="1" style="107" min="10258" max="10258"/>
    <col width="4.5" bestFit="1" customWidth="1" style="107" min="10259" max="10259"/>
    <col width="5.25" bestFit="1" customWidth="1" style="107" min="10260" max="10260"/>
    <col width="5.375" bestFit="1" customWidth="1" style="107" min="10261" max="10261"/>
    <col width="7.25" bestFit="1" customWidth="1" style="107" min="10262" max="10262"/>
    <col width="26.625" bestFit="1" customWidth="1" style="107" min="10263" max="10263"/>
    <col width="8.25" bestFit="1" customWidth="1" style="107" min="10264" max="10264"/>
    <col width="26.75" bestFit="1" customWidth="1" style="107" min="10265" max="10266"/>
    <col width="9.875" bestFit="1" customWidth="1" style="107" min="10267" max="10267"/>
    <col width="8.625" bestFit="1" customWidth="1" style="107" min="10268" max="10268"/>
    <col width="8.875" bestFit="1" customWidth="1" style="107" min="10269" max="10269"/>
    <col width="9" customWidth="1" style="107" min="10270" max="10496"/>
    <col width="9.5" bestFit="1" customWidth="1" style="107" min="10497" max="10497"/>
    <col width="7.875" bestFit="1" customWidth="1" style="107" min="10498" max="10498"/>
    <col width="4.625" bestFit="1" customWidth="1" style="107" min="10499" max="10499"/>
    <col width="5.375" bestFit="1" customWidth="1" style="107" min="10500" max="10500"/>
    <col width="6.625" bestFit="1" customWidth="1" style="107" min="10501" max="10501"/>
    <col width="2.625" bestFit="1" customWidth="1" style="107" min="10502" max="10502"/>
    <col width="4.75" bestFit="1" customWidth="1" style="107" min="10503" max="10504"/>
    <col width="5" bestFit="1" customWidth="1" style="107" min="10505" max="10505"/>
    <col width="5.125" bestFit="1" customWidth="1" style="107" min="10506" max="10506"/>
    <col width="2.875" bestFit="1" customWidth="1" style="107" min="10507" max="10507"/>
    <col width="8.375" bestFit="1" customWidth="1" style="107" min="10508" max="10508"/>
    <col width="7.625" bestFit="1" customWidth="1" style="107" min="10509" max="10509"/>
    <col width="5.875" bestFit="1" customWidth="1" style="107" min="10510" max="10510"/>
    <col width="3.75" bestFit="1" customWidth="1" style="107" min="10511" max="10511"/>
    <col width="4.75" bestFit="1" customWidth="1" style="107" min="10512" max="10512"/>
    <col width="13.125" bestFit="1" customWidth="1" style="107" min="10513" max="10513"/>
    <col width="2.875" bestFit="1" customWidth="1" style="107" min="10514" max="10514"/>
    <col width="4.5" bestFit="1" customWidth="1" style="107" min="10515" max="10515"/>
    <col width="5.25" bestFit="1" customWidth="1" style="107" min="10516" max="10516"/>
    <col width="5.375" bestFit="1" customWidth="1" style="107" min="10517" max="10517"/>
    <col width="7.25" bestFit="1" customWidth="1" style="107" min="10518" max="10518"/>
    <col width="26.625" bestFit="1" customWidth="1" style="107" min="10519" max="10519"/>
    <col width="8.25" bestFit="1" customWidth="1" style="107" min="10520" max="10520"/>
    <col width="26.75" bestFit="1" customWidth="1" style="107" min="10521" max="10522"/>
    <col width="9.875" bestFit="1" customWidth="1" style="107" min="10523" max="10523"/>
    <col width="8.625" bestFit="1" customWidth="1" style="107" min="10524" max="10524"/>
    <col width="8.875" bestFit="1" customWidth="1" style="107" min="10525" max="10525"/>
    <col width="9" customWidth="1" style="107" min="10526" max="10752"/>
    <col width="9.5" bestFit="1" customWidth="1" style="107" min="10753" max="10753"/>
    <col width="7.875" bestFit="1" customWidth="1" style="107" min="10754" max="10754"/>
    <col width="4.625" bestFit="1" customWidth="1" style="107" min="10755" max="10755"/>
    <col width="5.375" bestFit="1" customWidth="1" style="107" min="10756" max="10756"/>
    <col width="6.625" bestFit="1" customWidth="1" style="107" min="10757" max="10757"/>
    <col width="2.625" bestFit="1" customWidth="1" style="107" min="10758" max="10758"/>
    <col width="4.75" bestFit="1" customWidth="1" style="107" min="10759" max="10760"/>
    <col width="5" bestFit="1" customWidth="1" style="107" min="10761" max="10761"/>
    <col width="5.125" bestFit="1" customWidth="1" style="107" min="10762" max="10762"/>
    <col width="2.875" bestFit="1" customWidth="1" style="107" min="10763" max="10763"/>
    <col width="8.375" bestFit="1" customWidth="1" style="107" min="10764" max="10764"/>
    <col width="7.625" bestFit="1" customWidth="1" style="107" min="10765" max="10765"/>
    <col width="5.875" bestFit="1" customWidth="1" style="107" min="10766" max="10766"/>
    <col width="3.75" bestFit="1" customWidth="1" style="107" min="10767" max="10767"/>
    <col width="4.75" bestFit="1" customWidth="1" style="107" min="10768" max="10768"/>
    <col width="13.125" bestFit="1" customWidth="1" style="107" min="10769" max="10769"/>
    <col width="2.875" bestFit="1" customWidth="1" style="107" min="10770" max="10770"/>
    <col width="4.5" bestFit="1" customWidth="1" style="107" min="10771" max="10771"/>
    <col width="5.25" bestFit="1" customWidth="1" style="107" min="10772" max="10772"/>
    <col width="5.375" bestFit="1" customWidth="1" style="107" min="10773" max="10773"/>
    <col width="7.25" bestFit="1" customWidth="1" style="107" min="10774" max="10774"/>
    <col width="26.625" bestFit="1" customWidth="1" style="107" min="10775" max="10775"/>
    <col width="8.25" bestFit="1" customWidth="1" style="107" min="10776" max="10776"/>
    <col width="26.75" bestFit="1" customWidth="1" style="107" min="10777" max="10778"/>
    <col width="9.875" bestFit="1" customWidth="1" style="107" min="10779" max="10779"/>
    <col width="8.625" bestFit="1" customWidth="1" style="107" min="10780" max="10780"/>
    <col width="8.875" bestFit="1" customWidth="1" style="107" min="10781" max="10781"/>
    <col width="9" customWidth="1" style="107" min="10782" max="11008"/>
    <col width="9.5" bestFit="1" customWidth="1" style="107" min="11009" max="11009"/>
    <col width="7.875" bestFit="1" customWidth="1" style="107" min="11010" max="11010"/>
    <col width="4.625" bestFit="1" customWidth="1" style="107" min="11011" max="11011"/>
    <col width="5.375" bestFit="1" customWidth="1" style="107" min="11012" max="11012"/>
    <col width="6.625" bestFit="1" customWidth="1" style="107" min="11013" max="11013"/>
    <col width="2.625" bestFit="1" customWidth="1" style="107" min="11014" max="11014"/>
    <col width="4.75" bestFit="1" customWidth="1" style="107" min="11015" max="11016"/>
    <col width="5" bestFit="1" customWidth="1" style="107" min="11017" max="11017"/>
    <col width="5.125" bestFit="1" customWidth="1" style="107" min="11018" max="11018"/>
    <col width="2.875" bestFit="1" customWidth="1" style="107" min="11019" max="11019"/>
    <col width="8.375" bestFit="1" customWidth="1" style="107" min="11020" max="11020"/>
    <col width="7.625" bestFit="1" customWidth="1" style="107" min="11021" max="11021"/>
    <col width="5.875" bestFit="1" customWidth="1" style="107" min="11022" max="11022"/>
    <col width="3.75" bestFit="1" customWidth="1" style="107" min="11023" max="11023"/>
    <col width="4.75" bestFit="1" customWidth="1" style="107" min="11024" max="11024"/>
    <col width="13.125" bestFit="1" customWidth="1" style="107" min="11025" max="11025"/>
    <col width="2.875" bestFit="1" customWidth="1" style="107" min="11026" max="11026"/>
    <col width="4.5" bestFit="1" customWidth="1" style="107" min="11027" max="11027"/>
    <col width="5.25" bestFit="1" customWidth="1" style="107" min="11028" max="11028"/>
    <col width="5.375" bestFit="1" customWidth="1" style="107" min="11029" max="11029"/>
    <col width="7.25" bestFit="1" customWidth="1" style="107" min="11030" max="11030"/>
    <col width="26.625" bestFit="1" customWidth="1" style="107" min="11031" max="11031"/>
    <col width="8.25" bestFit="1" customWidth="1" style="107" min="11032" max="11032"/>
    <col width="26.75" bestFit="1" customWidth="1" style="107" min="11033" max="11034"/>
    <col width="9.875" bestFit="1" customWidth="1" style="107" min="11035" max="11035"/>
    <col width="8.625" bestFit="1" customWidth="1" style="107" min="11036" max="11036"/>
    <col width="8.875" bestFit="1" customWidth="1" style="107" min="11037" max="11037"/>
    <col width="9" customWidth="1" style="107" min="11038" max="11264"/>
    <col width="9.5" bestFit="1" customWidth="1" style="107" min="11265" max="11265"/>
    <col width="7.875" bestFit="1" customWidth="1" style="107" min="11266" max="11266"/>
    <col width="4.625" bestFit="1" customWidth="1" style="107" min="11267" max="11267"/>
    <col width="5.375" bestFit="1" customWidth="1" style="107" min="11268" max="11268"/>
    <col width="6.625" bestFit="1" customWidth="1" style="107" min="11269" max="11269"/>
    <col width="2.625" bestFit="1" customWidth="1" style="107" min="11270" max="11270"/>
    <col width="4.75" bestFit="1" customWidth="1" style="107" min="11271" max="11272"/>
    <col width="5" bestFit="1" customWidth="1" style="107" min="11273" max="11273"/>
    <col width="5.125" bestFit="1" customWidth="1" style="107" min="11274" max="11274"/>
    <col width="2.875" bestFit="1" customWidth="1" style="107" min="11275" max="11275"/>
    <col width="8.375" bestFit="1" customWidth="1" style="107" min="11276" max="11276"/>
    <col width="7.625" bestFit="1" customWidth="1" style="107" min="11277" max="11277"/>
    <col width="5.875" bestFit="1" customWidth="1" style="107" min="11278" max="11278"/>
    <col width="3.75" bestFit="1" customWidth="1" style="107" min="11279" max="11279"/>
    <col width="4.75" bestFit="1" customWidth="1" style="107" min="11280" max="11280"/>
    <col width="13.125" bestFit="1" customWidth="1" style="107" min="11281" max="11281"/>
    <col width="2.875" bestFit="1" customWidth="1" style="107" min="11282" max="11282"/>
    <col width="4.5" bestFit="1" customWidth="1" style="107" min="11283" max="11283"/>
    <col width="5.25" bestFit="1" customWidth="1" style="107" min="11284" max="11284"/>
    <col width="5.375" bestFit="1" customWidth="1" style="107" min="11285" max="11285"/>
    <col width="7.25" bestFit="1" customWidth="1" style="107" min="11286" max="11286"/>
    <col width="26.625" bestFit="1" customWidth="1" style="107" min="11287" max="11287"/>
    <col width="8.25" bestFit="1" customWidth="1" style="107" min="11288" max="11288"/>
    <col width="26.75" bestFit="1" customWidth="1" style="107" min="11289" max="11290"/>
    <col width="9.875" bestFit="1" customWidth="1" style="107" min="11291" max="11291"/>
    <col width="8.625" bestFit="1" customWidth="1" style="107" min="11292" max="11292"/>
    <col width="8.875" bestFit="1" customWidth="1" style="107" min="11293" max="11293"/>
    <col width="9" customWidth="1" style="107" min="11294" max="11520"/>
    <col width="9.5" bestFit="1" customWidth="1" style="107" min="11521" max="11521"/>
    <col width="7.875" bestFit="1" customWidth="1" style="107" min="11522" max="11522"/>
    <col width="4.625" bestFit="1" customWidth="1" style="107" min="11523" max="11523"/>
    <col width="5.375" bestFit="1" customWidth="1" style="107" min="11524" max="11524"/>
    <col width="6.625" bestFit="1" customWidth="1" style="107" min="11525" max="11525"/>
    <col width="2.625" bestFit="1" customWidth="1" style="107" min="11526" max="11526"/>
    <col width="4.75" bestFit="1" customWidth="1" style="107" min="11527" max="11528"/>
    <col width="5" bestFit="1" customWidth="1" style="107" min="11529" max="11529"/>
    <col width="5.125" bestFit="1" customWidth="1" style="107" min="11530" max="11530"/>
    <col width="2.875" bestFit="1" customWidth="1" style="107" min="11531" max="11531"/>
    <col width="8.375" bestFit="1" customWidth="1" style="107" min="11532" max="11532"/>
    <col width="7.625" bestFit="1" customWidth="1" style="107" min="11533" max="11533"/>
    <col width="5.875" bestFit="1" customWidth="1" style="107" min="11534" max="11534"/>
    <col width="3.75" bestFit="1" customWidth="1" style="107" min="11535" max="11535"/>
    <col width="4.75" bestFit="1" customWidth="1" style="107" min="11536" max="11536"/>
    <col width="13.125" bestFit="1" customWidth="1" style="107" min="11537" max="11537"/>
    <col width="2.875" bestFit="1" customWidth="1" style="107" min="11538" max="11538"/>
    <col width="4.5" bestFit="1" customWidth="1" style="107" min="11539" max="11539"/>
    <col width="5.25" bestFit="1" customWidth="1" style="107" min="11540" max="11540"/>
    <col width="5.375" bestFit="1" customWidth="1" style="107" min="11541" max="11541"/>
    <col width="7.25" bestFit="1" customWidth="1" style="107" min="11542" max="11542"/>
    <col width="26.625" bestFit="1" customWidth="1" style="107" min="11543" max="11543"/>
    <col width="8.25" bestFit="1" customWidth="1" style="107" min="11544" max="11544"/>
    <col width="26.75" bestFit="1" customWidth="1" style="107" min="11545" max="11546"/>
    <col width="9.875" bestFit="1" customWidth="1" style="107" min="11547" max="11547"/>
    <col width="8.625" bestFit="1" customWidth="1" style="107" min="11548" max="11548"/>
    <col width="8.875" bestFit="1" customWidth="1" style="107" min="11549" max="11549"/>
    <col width="9" customWidth="1" style="107" min="11550" max="11776"/>
    <col width="9.5" bestFit="1" customWidth="1" style="107" min="11777" max="11777"/>
    <col width="7.875" bestFit="1" customWidth="1" style="107" min="11778" max="11778"/>
    <col width="4.625" bestFit="1" customWidth="1" style="107" min="11779" max="11779"/>
    <col width="5.375" bestFit="1" customWidth="1" style="107" min="11780" max="11780"/>
    <col width="6.625" bestFit="1" customWidth="1" style="107" min="11781" max="11781"/>
    <col width="2.625" bestFit="1" customWidth="1" style="107" min="11782" max="11782"/>
    <col width="4.75" bestFit="1" customWidth="1" style="107" min="11783" max="11784"/>
    <col width="5" bestFit="1" customWidth="1" style="107" min="11785" max="11785"/>
    <col width="5.125" bestFit="1" customWidth="1" style="107" min="11786" max="11786"/>
    <col width="2.875" bestFit="1" customWidth="1" style="107" min="11787" max="11787"/>
    <col width="8.375" bestFit="1" customWidth="1" style="107" min="11788" max="11788"/>
    <col width="7.625" bestFit="1" customWidth="1" style="107" min="11789" max="11789"/>
    <col width="5.875" bestFit="1" customWidth="1" style="107" min="11790" max="11790"/>
    <col width="3.75" bestFit="1" customWidth="1" style="107" min="11791" max="11791"/>
    <col width="4.75" bestFit="1" customWidth="1" style="107" min="11792" max="11792"/>
    <col width="13.125" bestFit="1" customWidth="1" style="107" min="11793" max="11793"/>
    <col width="2.875" bestFit="1" customWidth="1" style="107" min="11794" max="11794"/>
    <col width="4.5" bestFit="1" customWidth="1" style="107" min="11795" max="11795"/>
    <col width="5.25" bestFit="1" customWidth="1" style="107" min="11796" max="11796"/>
    <col width="5.375" bestFit="1" customWidth="1" style="107" min="11797" max="11797"/>
    <col width="7.25" bestFit="1" customWidth="1" style="107" min="11798" max="11798"/>
    <col width="26.625" bestFit="1" customWidth="1" style="107" min="11799" max="11799"/>
    <col width="8.25" bestFit="1" customWidth="1" style="107" min="11800" max="11800"/>
    <col width="26.75" bestFit="1" customWidth="1" style="107" min="11801" max="11802"/>
    <col width="9.875" bestFit="1" customWidth="1" style="107" min="11803" max="11803"/>
    <col width="8.625" bestFit="1" customWidth="1" style="107" min="11804" max="11804"/>
    <col width="8.875" bestFit="1" customWidth="1" style="107" min="11805" max="11805"/>
    <col width="9" customWidth="1" style="107" min="11806" max="12032"/>
    <col width="9.5" bestFit="1" customWidth="1" style="107" min="12033" max="12033"/>
    <col width="7.875" bestFit="1" customWidth="1" style="107" min="12034" max="12034"/>
    <col width="4.625" bestFit="1" customWidth="1" style="107" min="12035" max="12035"/>
    <col width="5.375" bestFit="1" customWidth="1" style="107" min="12036" max="12036"/>
    <col width="6.625" bestFit="1" customWidth="1" style="107" min="12037" max="12037"/>
    <col width="2.625" bestFit="1" customWidth="1" style="107" min="12038" max="12038"/>
    <col width="4.75" bestFit="1" customWidth="1" style="107" min="12039" max="12040"/>
    <col width="5" bestFit="1" customWidth="1" style="107" min="12041" max="12041"/>
    <col width="5.125" bestFit="1" customWidth="1" style="107" min="12042" max="12042"/>
    <col width="2.875" bestFit="1" customWidth="1" style="107" min="12043" max="12043"/>
    <col width="8.375" bestFit="1" customWidth="1" style="107" min="12044" max="12044"/>
    <col width="7.625" bestFit="1" customWidth="1" style="107" min="12045" max="12045"/>
    <col width="5.875" bestFit="1" customWidth="1" style="107" min="12046" max="12046"/>
    <col width="3.75" bestFit="1" customWidth="1" style="107" min="12047" max="12047"/>
    <col width="4.75" bestFit="1" customWidth="1" style="107" min="12048" max="12048"/>
    <col width="13.125" bestFit="1" customWidth="1" style="107" min="12049" max="12049"/>
    <col width="2.875" bestFit="1" customWidth="1" style="107" min="12050" max="12050"/>
    <col width="4.5" bestFit="1" customWidth="1" style="107" min="12051" max="12051"/>
    <col width="5.25" bestFit="1" customWidth="1" style="107" min="12052" max="12052"/>
    <col width="5.375" bestFit="1" customWidth="1" style="107" min="12053" max="12053"/>
    <col width="7.25" bestFit="1" customWidth="1" style="107" min="12054" max="12054"/>
    <col width="26.625" bestFit="1" customWidth="1" style="107" min="12055" max="12055"/>
    <col width="8.25" bestFit="1" customWidth="1" style="107" min="12056" max="12056"/>
    <col width="26.75" bestFit="1" customWidth="1" style="107" min="12057" max="12058"/>
    <col width="9.875" bestFit="1" customWidth="1" style="107" min="12059" max="12059"/>
    <col width="8.625" bestFit="1" customWidth="1" style="107" min="12060" max="12060"/>
    <col width="8.875" bestFit="1" customWidth="1" style="107" min="12061" max="12061"/>
    <col width="9" customWidth="1" style="107" min="12062" max="12288"/>
    <col width="9.5" bestFit="1" customWidth="1" style="107" min="12289" max="12289"/>
    <col width="7.875" bestFit="1" customWidth="1" style="107" min="12290" max="12290"/>
    <col width="4.625" bestFit="1" customWidth="1" style="107" min="12291" max="12291"/>
    <col width="5.375" bestFit="1" customWidth="1" style="107" min="12292" max="12292"/>
    <col width="6.625" bestFit="1" customWidth="1" style="107" min="12293" max="12293"/>
    <col width="2.625" bestFit="1" customWidth="1" style="107" min="12294" max="12294"/>
    <col width="4.75" bestFit="1" customWidth="1" style="107" min="12295" max="12296"/>
    <col width="5" bestFit="1" customWidth="1" style="107" min="12297" max="12297"/>
    <col width="5.125" bestFit="1" customWidth="1" style="107" min="12298" max="12298"/>
    <col width="2.875" bestFit="1" customWidth="1" style="107" min="12299" max="12299"/>
    <col width="8.375" bestFit="1" customWidth="1" style="107" min="12300" max="12300"/>
    <col width="7.625" bestFit="1" customWidth="1" style="107" min="12301" max="12301"/>
    <col width="5.875" bestFit="1" customWidth="1" style="107" min="12302" max="12302"/>
    <col width="3.75" bestFit="1" customWidth="1" style="107" min="12303" max="12303"/>
    <col width="4.75" bestFit="1" customWidth="1" style="107" min="12304" max="12304"/>
    <col width="13.125" bestFit="1" customWidth="1" style="107" min="12305" max="12305"/>
    <col width="2.875" bestFit="1" customWidth="1" style="107" min="12306" max="12306"/>
    <col width="4.5" bestFit="1" customWidth="1" style="107" min="12307" max="12307"/>
    <col width="5.25" bestFit="1" customWidth="1" style="107" min="12308" max="12308"/>
    <col width="5.375" bestFit="1" customWidth="1" style="107" min="12309" max="12309"/>
    <col width="7.25" bestFit="1" customWidth="1" style="107" min="12310" max="12310"/>
    <col width="26.625" bestFit="1" customWidth="1" style="107" min="12311" max="12311"/>
    <col width="8.25" bestFit="1" customWidth="1" style="107" min="12312" max="12312"/>
    <col width="26.75" bestFit="1" customWidth="1" style="107" min="12313" max="12314"/>
    <col width="9.875" bestFit="1" customWidth="1" style="107" min="12315" max="12315"/>
    <col width="8.625" bestFit="1" customWidth="1" style="107" min="12316" max="12316"/>
    <col width="8.875" bestFit="1" customWidth="1" style="107" min="12317" max="12317"/>
    <col width="9" customWidth="1" style="107" min="12318" max="12544"/>
    <col width="9.5" bestFit="1" customWidth="1" style="107" min="12545" max="12545"/>
    <col width="7.875" bestFit="1" customWidth="1" style="107" min="12546" max="12546"/>
    <col width="4.625" bestFit="1" customWidth="1" style="107" min="12547" max="12547"/>
    <col width="5.375" bestFit="1" customWidth="1" style="107" min="12548" max="12548"/>
    <col width="6.625" bestFit="1" customWidth="1" style="107" min="12549" max="12549"/>
    <col width="2.625" bestFit="1" customWidth="1" style="107" min="12550" max="12550"/>
    <col width="4.75" bestFit="1" customWidth="1" style="107" min="12551" max="12552"/>
    <col width="5" bestFit="1" customWidth="1" style="107" min="12553" max="12553"/>
    <col width="5.125" bestFit="1" customWidth="1" style="107" min="12554" max="12554"/>
    <col width="2.875" bestFit="1" customWidth="1" style="107" min="12555" max="12555"/>
    <col width="8.375" bestFit="1" customWidth="1" style="107" min="12556" max="12556"/>
    <col width="7.625" bestFit="1" customWidth="1" style="107" min="12557" max="12557"/>
    <col width="5.875" bestFit="1" customWidth="1" style="107" min="12558" max="12558"/>
    <col width="3.75" bestFit="1" customWidth="1" style="107" min="12559" max="12559"/>
    <col width="4.75" bestFit="1" customWidth="1" style="107" min="12560" max="12560"/>
    <col width="13.125" bestFit="1" customWidth="1" style="107" min="12561" max="12561"/>
    <col width="2.875" bestFit="1" customWidth="1" style="107" min="12562" max="12562"/>
    <col width="4.5" bestFit="1" customWidth="1" style="107" min="12563" max="12563"/>
    <col width="5.25" bestFit="1" customWidth="1" style="107" min="12564" max="12564"/>
    <col width="5.375" bestFit="1" customWidth="1" style="107" min="12565" max="12565"/>
    <col width="7.25" bestFit="1" customWidth="1" style="107" min="12566" max="12566"/>
    <col width="26.625" bestFit="1" customWidth="1" style="107" min="12567" max="12567"/>
    <col width="8.25" bestFit="1" customWidth="1" style="107" min="12568" max="12568"/>
    <col width="26.75" bestFit="1" customWidth="1" style="107" min="12569" max="12570"/>
    <col width="9.875" bestFit="1" customWidth="1" style="107" min="12571" max="12571"/>
    <col width="8.625" bestFit="1" customWidth="1" style="107" min="12572" max="12572"/>
    <col width="8.875" bestFit="1" customWidth="1" style="107" min="12573" max="12573"/>
    <col width="9" customWidth="1" style="107" min="12574" max="12800"/>
    <col width="9.5" bestFit="1" customWidth="1" style="107" min="12801" max="12801"/>
    <col width="7.875" bestFit="1" customWidth="1" style="107" min="12802" max="12802"/>
    <col width="4.625" bestFit="1" customWidth="1" style="107" min="12803" max="12803"/>
    <col width="5.375" bestFit="1" customWidth="1" style="107" min="12804" max="12804"/>
    <col width="6.625" bestFit="1" customWidth="1" style="107" min="12805" max="12805"/>
    <col width="2.625" bestFit="1" customWidth="1" style="107" min="12806" max="12806"/>
    <col width="4.75" bestFit="1" customWidth="1" style="107" min="12807" max="12808"/>
    <col width="5" bestFit="1" customWidth="1" style="107" min="12809" max="12809"/>
    <col width="5.125" bestFit="1" customWidth="1" style="107" min="12810" max="12810"/>
    <col width="2.875" bestFit="1" customWidth="1" style="107" min="12811" max="12811"/>
    <col width="8.375" bestFit="1" customWidth="1" style="107" min="12812" max="12812"/>
    <col width="7.625" bestFit="1" customWidth="1" style="107" min="12813" max="12813"/>
    <col width="5.875" bestFit="1" customWidth="1" style="107" min="12814" max="12814"/>
    <col width="3.75" bestFit="1" customWidth="1" style="107" min="12815" max="12815"/>
    <col width="4.75" bestFit="1" customWidth="1" style="107" min="12816" max="12816"/>
    <col width="13.125" bestFit="1" customWidth="1" style="107" min="12817" max="12817"/>
    <col width="2.875" bestFit="1" customWidth="1" style="107" min="12818" max="12818"/>
    <col width="4.5" bestFit="1" customWidth="1" style="107" min="12819" max="12819"/>
    <col width="5.25" bestFit="1" customWidth="1" style="107" min="12820" max="12820"/>
    <col width="5.375" bestFit="1" customWidth="1" style="107" min="12821" max="12821"/>
    <col width="7.25" bestFit="1" customWidth="1" style="107" min="12822" max="12822"/>
    <col width="26.625" bestFit="1" customWidth="1" style="107" min="12823" max="12823"/>
    <col width="8.25" bestFit="1" customWidth="1" style="107" min="12824" max="12824"/>
    <col width="26.75" bestFit="1" customWidth="1" style="107" min="12825" max="12826"/>
    <col width="9.875" bestFit="1" customWidth="1" style="107" min="12827" max="12827"/>
    <col width="8.625" bestFit="1" customWidth="1" style="107" min="12828" max="12828"/>
    <col width="8.875" bestFit="1" customWidth="1" style="107" min="12829" max="12829"/>
    <col width="9" customWidth="1" style="107" min="12830" max="13056"/>
    <col width="9.5" bestFit="1" customWidth="1" style="107" min="13057" max="13057"/>
    <col width="7.875" bestFit="1" customWidth="1" style="107" min="13058" max="13058"/>
    <col width="4.625" bestFit="1" customWidth="1" style="107" min="13059" max="13059"/>
    <col width="5.375" bestFit="1" customWidth="1" style="107" min="13060" max="13060"/>
    <col width="6.625" bestFit="1" customWidth="1" style="107" min="13061" max="13061"/>
    <col width="2.625" bestFit="1" customWidth="1" style="107" min="13062" max="13062"/>
    <col width="4.75" bestFit="1" customWidth="1" style="107" min="13063" max="13064"/>
    <col width="5" bestFit="1" customWidth="1" style="107" min="13065" max="13065"/>
    <col width="5.125" bestFit="1" customWidth="1" style="107" min="13066" max="13066"/>
    <col width="2.875" bestFit="1" customWidth="1" style="107" min="13067" max="13067"/>
    <col width="8.375" bestFit="1" customWidth="1" style="107" min="13068" max="13068"/>
    <col width="7.625" bestFit="1" customWidth="1" style="107" min="13069" max="13069"/>
    <col width="5.875" bestFit="1" customWidth="1" style="107" min="13070" max="13070"/>
    <col width="3.75" bestFit="1" customWidth="1" style="107" min="13071" max="13071"/>
    <col width="4.75" bestFit="1" customWidth="1" style="107" min="13072" max="13072"/>
    <col width="13.125" bestFit="1" customWidth="1" style="107" min="13073" max="13073"/>
    <col width="2.875" bestFit="1" customWidth="1" style="107" min="13074" max="13074"/>
    <col width="4.5" bestFit="1" customWidth="1" style="107" min="13075" max="13075"/>
    <col width="5.25" bestFit="1" customWidth="1" style="107" min="13076" max="13076"/>
    <col width="5.375" bestFit="1" customWidth="1" style="107" min="13077" max="13077"/>
    <col width="7.25" bestFit="1" customWidth="1" style="107" min="13078" max="13078"/>
    <col width="26.625" bestFit="1" customWidth="1" style="107" min="13079" max="13079"/>
    <col width="8.25" bestFit="1" customWidth="1" style="107" min="13080" max="13080"/>
    <col width="26.75" bestFit="1" customWidth="1" style="107" min="13081" max="13082"/>
    <col width="9.875" bestFit="1" customWidth="1" style="107" min="13083" max="13083"/>
    <col width="8.625" bestFit="1" customWidth="1" style="107" min="13084" max="13084"/>
    <col width="8.875" bestFit="1" customWidth="1" style="107" min="13085" max="13085"/>
    <col width="9" customWidth="1" style="107" min="13086" max="13312"/>
    <col width="9.5" bestFit="1" customWidth="1" style="107" min="13313" max="13313"/>
    <col width="7.875" bestFit="1" customWidth="1" style="107" min="13314" max="13314"/>
    <col width="4.625" bestFit="1" customWidth="1" style="107" min="13315" max="13315"/>
    <col width="5.375" bestFit="1" customWidth="1" style="107" min="13316" max="13316"/>
    <col width="6.625" bestFit="1" customWidth="1" style="107" min="13317" max="13317"/>
    <col width="2.625" bestFit="1" customWidth="1" style="107" min="13318" max="13318"/>
    <col width="4.75" bestFit="1" customWidth="1" style="107" min="13319" max="13320"/>
    <col width="5" bestFit="1" customWidth="1" style="107" min="13321" max="13321"/>
    <col width="5.125" bestFit="1" customWidth="1" style="107" min="13322" max="13322"/>
    <col width="2.875" bestFit="1" customWidth="1" style="107" min="13323" max="13323"/>
    <col width="8.375" bestFit="1" customWidth="1" style="107" min="13324" max="13324"/>
    <col width="7.625" bestFit="1" customWidth="1" style="107" min="13325" max="13325"/>
    <col width="5.875" bestFit="1" customWidth="1" style="107" min="13326" max="13326"/>
    <col width="3.75" bestFit="1" customWidth="1" style="107" min="13327" max="13327"/>
    <col width="4.75" bestFit="1" customWidth="1" style="107" min="13328" max="13328"/>
    <col width="13.125" bestFit="1" customWidth="1" style="107" min="13329" max="13329"/>
    <col width="2.875" bestFit="1" customWidth="1" style="107" min="13330" max="13330"/>
    <col width="4.5" bestFit="1" customWidth="1" style="107" min="13331" max="13331"/>
    <col width="5.25" bestFit="1" customWidth="1" style="107" min="13332" max="13332"/>
    <col width="5.375" bestFit="1" customWidth="1" style="107" min="13333" max="13333"/>
    <col width="7.25" bestFit="1" customWidth="1" style="107" min="13334" max="13334"/>
    <col width="26.625" bestFit="1" customWidth="1" style="107" min="13335" max="13335"/>
    <col width="8.25" bestFit="1" customWidth="1" style="107" min="13336" max="13336"/>
    <col width="26.75" bestFit="1" customWidth="1" style="107" min="13337" max="13338"/>
    <col width="9.875" bestFit="1" customWidth="1" style="107" min="13339" max="13339"/>
    <col width="8.625" bestFit="1" customWidth="1" style="107" min="13340" max="13340"/>
    <col width="8.875" bestFit="1" customWidth="1" style="107" min="13341" max="13341"/>
    <col width="9" customWidth="1" style="107" min="13342" max="13568"/>
    <col width="9.5" bestFit="1" customWidth="1" style="107" min="13569" max="13569"/>
    <col width="7.875" bestFit="1" customWidth="1" style="107" min="13570" max="13570"/>
    <col width="4.625" bestFit="1" customWidth="1" style="107" min="13571" max="13571"/>
    <col width="5.375" bestFit="1" customWidth="1" style="107" min="13572" max="13572"/>
    <col width="6.625" bestFit="1" customWidth="1" style="107" min="13573" max="13573"/>
    <col width="2.625" bestFit="1" customWidth="1" style="107" min="13574" max="13574"/>
    <col width="4.75" bestFit="1" customWidth="1" style="107" min="13575" max="13576"/>
    <col width="5" bestFit="1" customWidth="1" style="107" min="13577" max="13577"/>
    <col width="5.125" bestFit="1" customWidth="1" style="107" min="13578" max="13578"/>
    <col width="2.875" bestFit="1" customWidth="1" style="107" min="13579" max="13579"/>
    <col width="8.375" bestFit="1" customWidth="1" style="107" min="13580" max="13580"/>
    <col width="7.625" bestFit="1" customWidth="1" style="107" min="13581" max="13581"/>
    <col width="5.875" bestFit="1" customWidth="1" style="107" min="13582" max="13582"/>
    <col width="3.75" bestFit="1" customWidth="1" style="107" min="13583" max="13583"/>
    <col width="4.75" bestFit="1" customWidth="1" style="107" min="13584" max="13584"/>
    <col width="13.125" bestFit="1" customWidth="1" style="107" min="13585" max="13585"/>
    <col width="2.875" bestFit="1" customWidth="1" style="107" min="13586" max="13586"/>
    <col width="4.5" bestFit="1" customWidth="1" style="107" min="13587" max="13587"/>
    <col width="5.25" bestFit="1" customWidth="1" style="107" min="13588" max="13588"/>
    <col width="5.375" bestFit="1" customWidth="1" style="107" min="13589" max="13589"/>
    <col width="7.25" bestFit="1" customWidth="1" style="107" min="13590" max="13590"/>
    <col width="26.625" bestFit="1" customWidth="1" style="107" min="13591" max="13591"/>
    <col width="8.25" bestFit="1" customWidth="1" style="107" min="13592" max="13592"/>
    <col width="26.75" bestFit="1" customWidth="1" style="107" min="13593" max="13594"/>
    <col width="9.875" bestFit="1" customWidth="1" style="107" min="13595" max="13595"/>
    <col width="8.625" bestFit="1" customWidth="1" style="107" min="13596" max="13596"/>
    <col width="8.875" bestFit="1" customWidth="1" style="107" min="13597" max="13597"/>
    <col width="9" customWidth="1" style="107" min="13598" max="13824"/>
    <col width="9.5" bestFit="1" customWidth="1" style="107" min="13825" max="13825"/>
    <col width="7.875" bestFit="1" customWidth="1" style="107" min="13826" max="13826"/>
    <col width="4.625" bestFit="1" customWidth="1" style="107" min="13827" max="13827"/>
    <col width="5.375" bestFit="1" customWidth="1" style="107" min="13828" max="13828"/>
    <col width="6.625" bestFit="1" customWidth="1" style="107" min="13829" max="13829"/>
    <col width="2.625" bestFit="1" customWidth="1" style="107" min="13830" max="13830"/>
    <col width="4.75" bestFit="1" customWidth="1" style="107" min="13831" max="13832"/>
    <col width="5" bestFit="1" customWidth="1" style="107" min="13833" max="13833"/>
    <col width="5.125" bestFit="1" customWidth="1" style="107" min="13834" max="13834"/>
    <col width="2.875" bestFit="1" customWidth="1" style="107" min="13835" max="13835"/>
    <col width="8.375" bestFit="1" customWidth="1" style="107" min="13836" max="13836"/>
    <col width="7.625" bestFit="1" customWidth="1" style="107" min="13837" max="13837"/>
    <col width="5.875" bestFit="1" customWidth="1" style="107" min="13838" max="13838"/>
    <col width="3.75" bestFit="1" customWidth="1" style="107" min="13839" max="13839"/>
    <col width="4.75" bestFit="1" customWidth="1" style="107" min="13840" max="13840"/>
    <col width="13.125" bestFit="1" customWidth="1" style="107" min="13841" max="13841"/>
    <col width="2.875" bestFit="1" customWidth="1" style="107" min="13842" max="13842"/>
    <col width="4.5" bestFit="1" customWidth="1" style="107" min="13843" max="13843"/>
    <col width="5.25" bestFit="1" customWidth="1" style="107" min="13844" max="13844"/>
    <col width="5.375" bestFit="1" customWidth="1" style="107" min="13845" max="13845"/>
    <col width="7.25" bestFit="1" customWidth="1" style="107" min="13846" max="13846"/>
    <col width="26.625" bestFit="1" customWidth="1" style="107" min="13847" max="13847"/>
    <col width="8.25" bestFit="1" customWidth="1" style="107" min="13848" max="13848"/>
    <col width="26.75" bestFit="1" customWidth="1" style="107" min="13849" max="13850"/>
    <col width="9.875" bestFit="1" customWidth="1" style="107" min="13851" max="13851"/>
    <col width="8.625" bestFit="1" customWidth="1" style="107" min="13852" max="13852"/>
    <col width="8.875" bestFit="1" customWidth="1" style="107" min="13853" max="13853"/>
    <col width="9" customWidth="1" style="107" min="13854" max="14080"/>
    <col width="9.5" bestFit="1" customWidth="1" style="107" min="14081" max="14081"/>
    <col width="7.875" bestFit="1" customWidth="1" style="107" min="14082" max="14082"/>
    <col width="4.625" bestFit="1" customWidth="1" style="107" min="14083" max="14083"/>
    <col width="5.375" bestFit="1" customWidth="1" style="107" min="14084" max="14084"/>
    <col width="6.625" bestFit="1" customWidth="1" style="107" min="14085" max="14085"/>
    <col width="2.625" bestFit="1" customWidth="1" style="107" min="14086" max="14086"/>
    <col width="4.75" bestFit="1" customWidth="1" style="107" min="14087" max="14088"/>
    <col width="5" bestFit="1" customWidth="1" style="107" min="14089" max="14089"/>
    <col width="5.125" bestFit="1" customWidth="1" style="107" min="14090" max="14090"/>
    <col width="2.875" bestFit="1" customWidth="1" style="107" min="14091" max="14091"/>
    <col width="8.375" bestFit="1" customWidth="1" style="107" min="14092" max="14092"/>
    <col width="7.625" bestFit="1" customWidth="1" style="107" min="14093" max="14093"/>
    <col width="5.875" bestFit="1" customWidth="1" style="107" min="14094" max="14094"/>
    <col width="3.75" bestFit="1" customWidth="1" style="107" min="14095" max="14095"/>
    <col width="4.75" bestFit="1" customWidth="1" style="107" min="14096" max="14096"/>
    <col width="13.125" bestFit="1" customWidth="1" style="107" min="14097" max="14097"/>
    <col width="2.875" bestFit="1" customWidth="1" style="107" min="14098" max="14098"/>
    <col width="4.5" bestFit="1" customWidth="1" style="107" min="14099" max="14099"/>
    <col width="5.25" bestFit="1" customWidth="1" style="107" min="14100" max="14100"/>
    <col width="5.375" bestFit="1" customWidth="1" style="107" min="14101" max="14101"/>
    <col width="7.25" bestFit="1" customWidth="1" style="107" min="14102" max="14102"/>
    <col width="26.625" bestFit="1" customWidth="1" style="107" min="14103" max="14103"/>
    <col width="8.25" bestFit="1" customWidth="1" style="107" min="14104" max="14104"/>
    <col width="26.75" bestFit="1" customWidth="1" style="107" min="14105" max="14106"/>
    <col width="9.875" bestFit="1" customWidth="1" style="107" min="14107" max="14107"/>
    <col width="8.625" bestFit="1" customWidth="1" style="107" min="14108" max="14108"/>
    <col width="8.875" bestFit="1" customWidth="1" style="107" min="14109" max="14109"/>
    <col width="9" customWidth="1" style="107" min="14110" max="14336"/>
    <col width="9.5" bestFit="1" customWidth="1" style="107" min="14337" max="14337"/>
    <col width="7.875" bestFit="1" customWidth="1" style="107" min="14338" max="14338"/>
    <col width="4.625" bestFit="1" customWidth="1" style="107" min="14339" max="14339"/>
    <col width="5.375" bestFit="1" customWidth="1" style="107" min="14340" max="14340"/>
    <col width="6.625" bestFit="1" customWidth="1" style="107" min="14341" max="14341"/>
    <col width="2.625" bestFit="1" customWidth="1" style="107" min="14342" max="14342"/>
    <col width="4.75" bestFit="1" customWidth="1" style="107" min="14343" max="14344"/>
    <col width="5" bestFit="1" customWidth="1" style="107" min="14345" max="14345"/>
    <col width="5.125" bestFit="1" customWidth="1" style="107" min="14346" max="14346"/>
    <col width="2.875" bestFit="1" customWidth="1" style="107" min="14347" max="14347"/>
    <col width="8.375" bestFit="1" customWidth="1" style="107" min="14348" max="14348"/>
    <col width="7.625" bestFit="1" customWidth="1" style="107" min="14349" max="14349"/>
    <col width="5.875" bestFit="1" customWidth="1" style="107" min="14350" max="14350"/>
    <col width="3.75" bestFit="1" customWidth="1" style="107" min="14351" max="14351"/>
    <col width="4.75" bestFit="1" customWidth="1" style="107" min="14352" max="14352"/>
    <col width="13.125" bestFit="1" customWidth="1" style="107" min="14353" max="14353"/>
    <col width="2.875" bestFit="1" customWidth="1" style="107" min="14354" max="14354"/>
    <col width="4.5" bestFit="1" customWidth="1" style="107" min="14355" max="14355"/>
    <col width="5.25" bestFit="1" customWidth="1" style="107" min="14356" max="14356"/>
    <col width="5.375" bestFit="1" customWidth="1" style="107" min="14357" max="14357"/>
    <col width="7.25" bestFit="1" customWidth="1" style="107" min="14358" max="14358"/>
    <col width="26.625" bestFit="1" customWidth="1" style="107" min="14359" max="14359"/>
    <col width="8.25" bestFit="1" customWidth="1" style="107" min="14360" max="14360"/>
    <col width="26.75" bestFit="1" customWidth="1" style="107" min="14361" max="14362"/>
    <col width="9.875" bestFit="1" customWidth="1" style="107" min="14363" max="14363"/>
    <col width="8.625" bestFit="1" customWidth="1" style="107" min="14364" max="14364"/>
    <col width="8.875" bestFit="1" customWidth="1" style="107" min="14365" max="14365"/>
    <col width="9" customWidth="1" style="107" min="14366" max="14592"/>
    <col width="9.5" bestFit="1" customWidth="1" style="107" min="14593" max="14593"/>
    <col width="7.875" bestFit="1" customWidth="1" style="107" min="14594" max="14594"/>
    <col width="4.625" bestFit="1" customWidth="1" style="107" min="14595" max="14595"/>
    <col width="5.375" bestFit="1" customWidth="1" style="107" min="14596" max="14596"/>
    <col width="6.625" bestFit="1" customWidth="1" style="107" min="14597" max="14597"/>
    <col width="2.625" bestFit="1" customWidth="1" style="107" min="14598" max="14598"/>
    <col width="4.75" bestFit="1" customWidth="1" style="107" min="14599" max="14600"/>
    <col width="5" bestFit="1" customWidth="1" style="107" min="14601" max="14601"/>
    <col width="5.125" bestFit="1" customWidth="1" style="107" min="14602" max="14602"/>
    <col width="2.875" bestFit="1" customWidth="1" style="107" min="14603" max="14603"/>
    <col width="8.375" bestFit="1" customWidth="1" style="107" min="14604" max="14604"/>
    <col width="7.625" bestFit="1" customWidth="1" style="107" min="14605" max="14605"/>
    <col width="5.875" bestFit="1" customWidth="1" style="107" min="14606" max="14606"/>
    <col width="3.75" bestFit="1" customWidth="1" style="107" min="14607" max="14607"/>
    <col width="4.75" bestFit="1" customWidth="1" style="107" min="14608" max="14608"/>
    <col width="13.125" bestFit="1" customWidth="1" style="107" min="14609" max="14609"/>
    <col width="2.875" bestFit="1" customWidth="1" style="107" min="14610" max="14610"/>
    <col width="4.5" bestFit="1" customWidth="1" style="107" min="14611" max="14611"/>
    <col width="5.25" bestFit="1" customWidth="1" style="107" min="14612" max="14612"/>
    <col width="5.375" bestFit="1" customWidth="1" style="107" min="14613" max="14613"/>
    <col width="7.25" bestFit="1" customWidth="1" style="107" min="14614" max="14614"/>
    <col width="26.625" bestFit="1" customWidth="1" style="107" min="14615" max="14615"/>
    <col width="8.25" bestFit="1" customWidth="1" style="107" min="14616" max="14616"/>
    <col width="26.75" bestFit="1" customWidth="1" style="107" min="14617" max="14618"/>
    <col width="9.875" bestFit="1" customWidth="1" style="107" min="14619" max="14619"/>
    <col width="8.625" bestFit="1" customWidth="1" style="107" min="14620" max="14620"/>
    <col width="8.875" bestFit="1" customWidth="1" style="107" min="14621" max="14621"/>
    <col width="9" customWidth="1" style="107" min="14622" max="14848"/>
    <col width="9.5" bestFit="1" customWidth="1" style="107" min="14849" max="14849"/>
    <col width="7.875" bestFit="1" customWidth="1" style="107" min="14850" max="14850"/>
    <col width="4.625" bestFit="1" customWidth="1" style="107" min="14851" max="14851"/>
    <col width="5.375" bestFit="1" customWidth="1" style="107" min="14852" max="14852"/>
    <col width="6.625" bestFit="1" customWidth="1" style="107" min="14853" max="14853"/>
    <col width="2.625" bestFit="1" customWidth="1" style="107" min="14854" max="14854"/>
    <col width="4.75" bestFit="1" customWidth="1" style="107" min="14855" max="14856"/>
    <col width="5" bestFit="1" customWidth="1" style="107" min="14857" max="14857"/>
    <col width="5.125" bestFit="1" customWidth="1" style="107" min="14858" max="14858"/>
    <col width="2.875" bestFit="1" customWidth="1" style="107" min="14859" max="14859"/>
    <col width="8.375" bestFit="1" customWidth="1" style="107" min="14860" max="14860"/>
    <col width="7.625" bestFit="1" customWidth="1" style="107" min="14861" max="14861"/>
    <col width="5.875" bestFit="1" customWidth="1" style="107" min="14862" max="14862"/>
    <col width="3.75" bestFit="1" customWidth="1" style="107" min="14863" max="14863"/>
    <col width="4.75" bestFit="1" customWidth="1" style="107" min="14864" max="14864"/>
    <col width="13.125" bestFit="1" customWidth="1" style="107" min="14865" max="14865"/>
    <col width="2.875" bestFit="1" customWidth="1" style="107" min="14866" max="14866"/>
    <col width="4.5" bestFit="1" customWidth="1" style="107" min="14867" max="14867"/>
    <col width="5.25" bestFit="1" customWidth="1" style="107" min="14868" max="14868"/>
    <col width="5.375" bestFit="1" customWidth="1" style="107" min="14869" max="14869"/>
    <col width="7.25" bestFit="1" customWidth="1" style="107" min="14870" max="14870"/>
    <col width="26.625" bestFit="1" customWidth="1" style="107" min="14871" max="14871"/>
    <col width="8.25" bestFit="1" customWidth="1" style="107" min="14872" max="14872"/>
    <col width="26.75" bestFit="1" customWidth="1" style="107" min="14873" max="14874"/>
    <col width="9.875" bestFit="1" customWidth="1" style="107" min="14875" max="14875"/>
    <col width="8.625" bestFit="1" customWidth="1" style="107" min="14876" max="14876"/>
    <col width="8.875" bestFit="1" customWidth="1" style="107" min="14877" max="14877"/>
    <col width="9" customWidth="1" style="107" min="14878" max="15104"/>
    <col width="9.5" bestFit="1" customWidth="1" style="107" min="15105" max="15105"/>
    <col width="7.875" bestFit="1" customWidth="1" style="107" min="15106" max="15106"/>
    <col width="4.625" bestFit="1" customWidth="1" style="107" min="15107" max="15107"/>
    <col width="5.375" bestFit="1" customWidth="1" style="107" min="15108" max="15108"/>
    <col width="6.625" bestFit="1" customWidth="1" style="107" min="15109" max="15109"/>
    <col width="2.625" bestFit="1" customWidth="1" style="107" min="15110" max="15110"/>
    <col width="4.75" bestFit="1" customWidth="1" style="107" min="15111" max="15112"/>
    <col width="5" bestFit="1" customWidth="1" style="107" min="15113" max="15113"/>
    <col width="5.125" bestFit="1" customWidth="1" style="107" min="15114" max="15114"/>
    <col width="2.875" bestFit="1" customWidth="1" style="107" min="15115" max="15115"/>
    <col width="8.375" bestFit="1" customWidth="1" style="107" min="15116" max="15116"/>
    <col width="7.625" bestFit="1" customWidth="1" style="107" min="15117" max="15117"/>
    <col width="5.875" bestFit="1" customWidth="1" style="107" min="15118" max="15118"/>
    <col width="3.75" bestFit="1" customWidth="1" style="107" min="15119" max="15119"/>
    <col width="4.75" bestFit="1" customWidth="1" style="107" min="15120" max="15120"/>
    <col width="13.125" bestFit="1" customWidth="1" style="107" min="15121" max="15121"/>
    <col width="2.875" bestFit="1" customWidth="1" style="107" min="15122" max="15122"/>
    <col width="4.5" bestFit="1" customWidth="1" style="107" min="15123" max="15123"/>
    <col width="5.25" bestFit="1" customWidth="1" style="107" min="15124" max="15124"/>
    <col width="5.375" bestFit="1" customWidth="1" style="107" min="15125" max="15125"/>
    <col width="7.25" bestFit="1" customWidth="1" style="107" min="15126" max="15126"/>
    <col width="26.625" bestFit="1" customWidth="1" style="107" min="15127" max="15127"/>
    <col width="8.25" bestFit="1" customWidth="1" style="107" min="15128" max="15128"/>
    <col width="26.75" bestFit="1" customWidth="1" style="107" min="15129" max="15130"/>
    <col width="9.875" bestFit="1" customWidth="1" style="107" min="15131" max="15131"/>
    <col width="8.625" bestFit="1" customWidth="1" style="107" min="15132" max="15132"/>
    <col width="8.875" bestFit="1" customWidth="1" style="107" min="15133" max="15133"/>
    <col width="9" customWidth="1" style="107" min="15134" max="15360"/>
    <col width="9.5" bestFit="1" customWidth="1" style="107" min="15361" max="15361"/>
    <col width="7.875" bestFit="1" customWidth="1" style="107" min="15362" max="15362"/>
    <col width="4.625" bestFit="1" customWidth="1" style="107" min="15363" max="15363"/>
    <col width="5.375" bestFit="1" customWidth="1" style="107" min="15364" max="15364"/>
    <col width="6.625" bestFit="1" customWidth="1" style="107" min="15365" max="15365"/>
    <col width="2.625" bestFit="1" customWidth="1" style="107" min="15366" max="15366"/>
    <col width="4.75" bestFit="1" customWidth="1" style="107" min="15367" max="15368"/>
    <col width="5" bestFit="1" customWidth="1" style="107" min="15369" max="15369"/>
    <col width="5.125" bestFit="1" customWidth="1" style="107" min="15370" max="15370"/>
    <col width="2.875" bestFit="1" customWidth="1" style="107" min="15371" max="15371"/>
    <col width="8.375" bestFit="1" customWidth="1" style="107" min="15372" max="15372"/>
    <col width="7.625" bestFit="1" customWidth="1" style="107" min="15373" max="15373"/>
    <col width="5.875" bestFit="1" customWidth="1" style="107" min="15374" max="15374"/>
    <col width="3.75" bestFit="1" customWidth="1" style="107" min="15375" max="15375"/>
    <col width="4.75" bestFit="1" customWidth="1" style="107" min="15376" max="15376"/>
    <col width="13.125" bestFit="1" customWidth="1" style="107" min="15377" max="15377"/>
    <col width="2.875" bestFit="1" customWidth="1" style="107" min="15378" max="15378"/>
    <col width="4.5" bestFit="1" customWidth="1" style="107" min="15379" max="15379"/>
    <col width="5.25" bestFit="1" customWidth="1" style="107" min="15380" max="15380"/>
    <col width="5.375" bestFit="1" customWidth="1" style="107" min="15381" max="15381"/>
    <col width="7.25" bestFit="1" customWidth="1" style="107" min="15382" max="15382"/>
    <col width="26.625" bestFit="1" customWidth="1" style="107" min="15383" max="15383"/>
    <col width="8.25" bestFit="1" customWidth="1" style="107" min="15384" max="15384"/>
    <col width="26.75" bestFit="1" customWidth="1" style="107" min="15385" max="15386"/>
    <col width="9.875" bestFit="1" customWidth="1" style="107" min="15387" max="15387"/>
    <col width="8.625" bestFit="1" customWidth="1" style="107" min="15388" max="15388"/>
    <col width="8.875" bestFit="1" customWidth="1" style="107" min="15389" max="15389"/>
    <col width="9" customWidth="1" style="107" min="15390" max="15616"/>
    <col width="9.5" bestFit="1" customWidth="1" style="107" min="15617" max="15617"/>
    <col width="7.875" bestFit="1" customWidth="1" style="107" min="15618" max="15618"/>
    <col width="4.625" bestFit="1" customWidth="1" style="107" min="15619" max="15619"/>
    <col width="5.375" bestFit="1" customWidth="1" style="107" min="15620" max="15620"/>
    <col width="6.625" bestFit="1" customWidth="1" style="107" min="15621" max="15621"/>
    <col width="2.625" bestFit="1" customWidth="1" style="107" min="15622" max="15622"/>
    <col width="4.75" bestFit="1" customWidth="1" style="107" min="15623" max="15624"/>
    <col width="5" bestFit="1" customWidth="1" style="107" min="15625" max="15625"/>
    <col width="5.125" bestFit="1" customWidth="1" style="107" min="15626" max="15626"/>
    <col width="2.875" bestFit="1" customWidth="1" style="107" min="15627" max="15627"/>
    <col width="8.375" bestFit="1" customWidth="1" style="107" min="15628" max="15628"/>
    <col width="7.625" bestFit="1" customWidth="1" style="107" min="15629" max="15629"/>
    <col width="5.875" bestFit="1" customWidth="1" style="107" min="15630" max="15630"/>
    <col width="3.75" bestFit="1" customWidth="1" style="107" min="15631" max="15631"/>
    <col width="4.75" bestFit="1" customWidth="1" style="107" min="15632" max="15632"/>
    <col width="13.125" bestFit="1" customWidth="1" style="107" min="15633" max="15633"/>
    <col width="2.875" bestFit="1" customWidth="1" style="107" min="15634" max="15634"/>
    <col width="4.5" bestFit="1" customWidth="1" style="107" min="15635" max="15635"/>
    <col width="5.25" bestFit="1" customWidth="1" style="107" min="15636" max="15636"/>
    <col width="5.375" bestFit="1" customWidth="1" style="107" min="15637" max="15637"/>
    <col width="7.25" bestFit="1" customWidth="1" style="107" min="15638" max="15638"/>
    <col width="26.625" bestFit="1" customWidth="1" style="107" min="15639" max="15639"/>
    <col width="8.25" bestFit="1" customWidth="1" style="107" min="15640" max="15640"/>
    <col width="26.75" bestFit="1" customWidth="1" style="107" min="15641" max="15642"/>
    <col width="9.875" bestFit="1" customWidth="1" style="107" min="15643" max="15643"/>
    <col width="8.625" bestFit="1" customWidth="1" style="107" min="15644" max="15644"/>
    <col width="8.875" bestFit="1" customWidth="1" style="107" min="15645" max="15645"/>
    <col width="9" customWidth="1" style="107" min="15646" max="15872"/>
    <col width="9.5" bestFit="1" customWidth="1" style="107" min="15873" max="15873"/>
    <col width="7.875" bestFit="1" customWidth="1" style="107" min="15874" max="15874"/>
    <col width="4.625" bestFit="1" customWidth="1" style="107" min="15875" max="15875"/>
    <col width="5.375" bestFit="1" customWidth="1" style="107" min="15876" max="15876"/>
    <col width="6.625" bestFit="1" customWidth="1" style="107" min="15877" max="15877"/>
    <col width="2.625" bestFit="1" customWidth="1" style="107" min="15878" max="15878"/>
    <col width="4.75" bestFit="1" customWidth="1" style="107" min="15879" max="15880"/>
    <col width="5" bestFit="1" customWidth="1" style="107" min="15881" max="15881"/>
    <col width="5.125" bestFit="1" customWidth="1" style="107" min="15882" max="15882"/>
    <col width="2.875" bestFit="1" customWidth="1" style="107" min="15883" max="15883"/>
    <col width="8.375" bestFit="1" customWidth="1" style="107" min="15884" max="15884"/>
    <col width="7.625" bestFit="1" customWidth="1" style="107" min="15885" max="15885"/>
    <col width="5.875" bestFit="1" customWidth="1" style="107" min="15886" max="15886"/>
    <col width="3.75" bestFit="1" customWidth="1" style="107" min="15887" max="15887"/>
    <col width="4.75" bestFit="1" customWidth="1" style="107" min="15888" max="15888"/>
    <col width="13.125" bestFit="1" customWidth="1" style="107" min="15889" max="15889"/>
    <col width="2.875" bestFit="1" customWidth="1" style="107" min="15890" max="15890"/>
    <col width="4.5" bestFit="1" customWidth="1" style="107" min="15891" max="15891"/>
    <col width="5.25" bestFit="1" customWidth="1" style="107" min="15892" max="15892"/>
    <col width="5.375" bestFit="1" customWidth="1" style="107" min="15893" max="15893"/>
    <col width="7.25" bestFit="1" customWidth="1" style="107" min="15894" max="15894"/>
    <col width="26.625" bestFit="1" customWidth="1" style="107" min="15895" max="15895"/>
    <col width="8.25" bestFit="1" customWidth="1" style="107" min="15896" max="15896"/>
    <col width="26.75" bestFit="1" customWidth="1" style="107" min="15897" max="15898"/>
    <col width="9.875" bestFit="1" customWidth="1" style="107" min="15899" max="15899"/>
    <col width="8.625" bestFit="1" customWidth="1" style="107" min="15900" max="15900"/>
    <col width="8.875" bestFit="1" customWidth="1" style="107" min="15901" max="15901"/>
    <col width="9" customWidth="1" style="107" min="15902" max="16128"/>
    <col width="9.5" bestFit="1" customWidth="1" style="107" min="16129" max="16129"/>
    <col width="7.875" bestFit="1" customWidth="1" style="107" min="16130" max="16130"/>
    <col width="4.625" bestFit="1" customWidth="1" style="107" min="16131" max="16131"/>
    <col width="5.375" bestFit="1" customWidth="1" style="107" min="16132" max="16132"/>
    <col width="6.625" bestFit="1" customWidth="1" style="107" min="16133" max="16133"/>
    <col width="2.625" bestFit="1" customWidth="1" style="107" min="16134" max="16134"/>
    <col width="4.75" bestFit="1" customWidth="1" style="107" min="16135" max="16136"/>
    <col width="5" bestFit="1" customWidth="1" style="107" min="16137" max="16137"/>
    <col width="5.125" bestFit="1" customWidth="1" style="107" min="16138" max="16138"/>
    <col width="2.875" bestFit="1" customWidth="1" style="107" min="16139" max="16139"/>
    <col width="8.375" bestFit="1" customWidth="1" style="107" min="16140" max="16140"/>
    <col width="7.625" bestFit="1" customWidth="1" style="107" min="16141" max="16141"/>
    <col width="5.875" bestFit="1" customWidth="1" style="107" min="16142" max="16142"/>
    <col width="3.75" bestFit="1" customWidth="1" style="107" min="16143" max="16143"/>
    <col width="4.75" bestFit="1" customWidth="1" style="107" min="16144" max="16144"/>
    <col width="13.125" bestFit="1" customWidth="1" style="107" min="16145" max="16145"/>
    <col width="2.875" bestFit="1" customWidth="1" style="107" min="16146" max="16146"/>
    <col width="4.5" bestFit="1" customWidth="1" style="107" min="16147" max="16147"/>
    <col width="5.25" bestFit="1" customWidth="1" style="107" min="16148" max="16148"/>
    <col width="5.375" bestFit="1" customWidth="1" style="107" min="16149" max="16149"/>
    <col width="7.25" bestFit="1" customWidth="1" style="107" min="16150" max="16150"/>
    <col width="26.625" bestFit="1" customWidth="1" style="107" min="16151" max="16151"/>
    <col width="8.25" bestFit="1" customWidth="1" style="107" min="16152" max="16152"/>
    <col width="26.75" bestFit="1" customWidth="1" style="107" min="16153" max="16154"/>
    <col width="9.875" bestFit="1" customWidth="1" style="107" min="16155" max="16155"/>
    <col width="8.625" bestFit="1" customWidth="1" style="107" min="16156" max="16156"/>
    <col width="8.875" bestFit="1" customWidth="1" style="107" min="16157" max="16157"/>
    <col width="9" customWidth="1" style="107" min="16158" max="16384"/>
  </cols>
  <sheetData>
    <row r="1" ht="12" customHeight="1">
      <c r="A1" s="106" t="inlineStr">
        <is>
          <t>Container No.</t>
        </is>
      </c>
      <c r="B1" s="106" t="inlineStr">
        <is>
          <t>EQ Date</t>
        </is>
      </c>
      <c r="C1" s="106" t="inlineStr">
        <is>
          <t>Vessel</t>
        </is>
      </c>
      <c r="D1" s="106" t="inlineStr">
        <is>
          <t>Voyage</t>
        </is>
      </c>
      <c r="E1" s="106" t="inlineStr">
        <is>
          <t>Type Size</t>
        </is>
      </c>
      <c r="F1" s="106" t="inlineStr">
        <is>
          <t>CD</t>
        </is>
      </c>
      <c r="G1" s="106" t="inlineStr">
        <is>
          <t>R.C.V</t>
        </is>
      </c>
      <c r="H1" s="106" t="inlineStr">
        <is>
          <t>P.O.L</t>
        </is>
      </c>
      <c r="I1" s="106" t="inlineStr">
        <is>
          <t>P.O.D</t>
        </is>
      </c>
      <c r="J1" s="106" t="inlineStr">
        <is>
          <t>D.L.V</t>
        </is>
      </c>
      <c r="K1" s="106" t="inlineStr">
        <is>
          <t>F/E</t>
        </is>
      </c>
      <c r="L1" s="106" t="inlineStr">
        <is>
          <t>LEASE_TYPE</t>
        </is>
      </c>
      <c r="M1" s="106" t="inlineStr">
        <is>
          <t>Move Code</t>
        </is>
      </c>
      <c r="N1" s="106" t="inlineStr">
        <is>
          <t>Location</t>
        </is>
      </c>
      <c r="O1" s="106" t="inlineStr">
        <is>
          <t>Area</t>
        </is>
      </c>
      <c r="P1" s="106" t="inlineStr">
        <is>
          <t>Nation</t>
        </is>
      </c>
      <c r="Q1" s="106" t="inlineStr">
        <is>
          <t>Booking No.</t>
        </is>
      </c>
      <c r="R1" s="106" t="inlineStr">
        <is>
          <t>T/S</t>
        </is>
      </c>
      <c r="S1" s="106" t="inlineStr">
        <is>
          <t>S.O.C</t>
        </is>
      </c>
      <c r="T1" s="106" t="inlineStr">
        <is>
          <t>Service</t>
        </is>
      </c>
      <c r="U1" s="106" t="inlineStr">
        <is>
          <t>Remark</t>
        </is>
      </c>
      <c r="V1" s="106" t="inlineStr">
        <is>
          <t>Auth. No.</t>
        </is>
      </c>
      <c r="W1" s="106" t="inlineStr">
        <is>
          <t>Shipper</t>
        </is>
      </c>
      <c r="X1" s="106" t="inlineStr">
        <is>
          <t>PreVSLMove</t>
        </is>
      </c>
      <c r="Y1" s="106" t="inlineStr">
        <is>
          <t>Consignee</t>
        </is>
      </c>
      <c r="Z1" s="106" t="inlineStr">
        <is>
          <t>Notify</t>
        </is>
      </c>
      <c r="AA1" s="106" t="inlineStr">
        <is>
          <t>CNTR WGT.</t>
        </is>
      </c>
      <c r="AB1" s="106" t="inlineStr">
        <is>
          <t>L-Wharf(B/L)</t>
        </is>
      </c>
      <c r="AC1" s="106" t="inlineStr">
        <is>
          <t>D-Wharf(B/L)</t>
        </is>
      </c>
    </row>
    <row r="2" ht="12" customHeight="1">
      <c r="A2" s="96" t="inlineStr">
        <is>
          <t>BEAU2422960</t>
        </is>
      </c>
      <c r="B2" s="161" t="inlineStr">
        <is>
          <t>2026-10-21</t>
        </is>
      </c>
      <c r="C2" s="96" t="inlineStr">
        <is>
          <t>KJT</t>
        </is>
      </c>
      <c r="D2" s="96" t="inlineStr">
        <is>
          <t>2611N</t>
        </is>
      </c>
      <c r="E2" s="96" t="inlineStr">
        <is>
          <t>22GP</t>
        </is>
      </c>
      <c r="F2" s="96" t="inlineStr">
        <is>
          <t>SD</t>
        </is>
      </c>
      <c r="G2" s="96" t="inlineStr">
        <is>
          <t>THLCH</t>
        </is>
      </c>
      <c r="H2" s="96" t="inlineStr">
        <is>
          <t>THLCH</t>
        </is>
      </c>
      <c r="I2" s="96" t="inlineStr">
        <is>
          <t>TWKEL</t>
        </is>
      </c>
      <c r="J2" s="96" t="inlineStr">
        <is>
          <t>TWKEL</t>
        </is>
      </c>
      <c r="K2" s="96" t="inlineStr">
        <is>
          <t>F</t>
        </is>
      </c>
      <c r="L2" s="96" t="inlineStr">
        <is>
          <t>L/T</t>
        </is>
      </c>
      <c r="M2" s="96" t="inlineStr">
        <is>
          <t>VFL</t>
        </is>
      </c>
      <c r="N2" s="96" t="inlineStr">
        <is>
          <t>LCH04</t>
        </is>
      </c>
      <c r="O2" s="96" t="inlineStr">
        <is>
          <t>LCH</t>
        </is>
      </c>
      <c r="P2" s="96" t="inlineStr">
        <is>
          <t>TH</t>
        </is>
      </c>
      <c r="Q2" s="96" t="inlineStr">
        <is>
          <t>HASLS22261000018</t>
        </is>
      </c>
      <c r="R2" s="96" t="inlineStr">
        <is>
          <t>N</t>
        </is>
      </c>
      <c r="S2" s="96" t="inlineStr">
        <is>
          <t>N</t>
        </is>
      </c>
      <c r="T2" s="96" t="inlineStr">
        <is>
          <t>KTS</t>
        </is>
      </c>
      <c r="U2" s="97" t="n"/>
      <c r="V2" s="96" t="inlineStr">
        <is>
          <t>TSN16L01</t>
        </is>
      </c>
      <c r="W2" s="96" t="inlineStr">
        <is>
          <t>TONG THAI RUBBER CO., LTD.</t>
        </is>
      </c>
      <c r="X2" s="96" t="inlineStr">
        <is>
          <t>VED</t>
        </is>
      </c>
      <c r="Y2" s="96" t="inlineStr">
        <is>
          <t>OAK-TREE ENTERPRISE CO.,LTD.</t>
        </is>
      </c>
      <c r="Z2" s="96" t="inlineStr">
        <is>
          <t>OAK-TREE ENTERPRISE CO.,LTD.</t>
        </is>
      </c>
      <c r="AA2" s="97" t="n">
        <v>20000</v>
      </c>
      <c r="AB2" s="96" t="inlineStr">
        <is>
          <t>LCH04</t>
        </is>
      </c>
      <c r="AC2" s="96" t="inlineStr">
        <is>
          <t>KEL02</t>
        </is>
      </c>
    </row>
    <row r="3" ht="12" customHeight="1">
      <c r="A3" s="96" t="inlineStr">
        <is>
          <t>SKHU9951004</t>
        </is>
      </c>
      <c r="B3" s="161" t="inlineStr">
        <is>
          <t>2026-10-21</t>
        </is>
      </c>
      <c r="C3" s="96" t="inlineStr">
        <is>
          <t>KJT</t>
        </is>
      </c>
      <c r="D3" s="96" t="inlineStr">
        <is>
          <t>2611N</t>
        </is>
      </c>
      <c r="E3" s="96" t="inlineStr">
        <is>
          <t>45GP</t>
        </is>
      </c>
      <c r="F3" s="96" t="inlineStr">
        <is>
          <t>SD</t>
        </is>
      </c>
      <c r="G3" s="96" t="inlineStr">
        <is>
          <t>THLCH</t>
        </is>
      </c>
      <c r="H3" s="96" t="inlineStr">
        <is>
          <t>THLCH</t>
        </is>
      </c>
      <c r="I3" s="96" t="inlineStr">
        <is>
          <t>HKHKG</t>
        </is>
      </c>
      <c r="J3" s="96" t="inlineStr">
        <is>
          <t>HKHKG</t>
        </is>
      </c>
      <c r="K3" s="96" t="inlineStr">
        <is>
          <t>F</t>
        </is>
      </c>
      <c r="L3" s="96" t="inlineStr">
        <is>
          <t>ONE</t>
        </is>
      </c>
      <c r="M3" s="96" t="inlineStr">
        <is>
          <t>VFL</t>
        </is>
      </c>
      <c r="N3" s="96" t="inlineStr">
        <is>
          <t>LCH04</t>
        </is>
      </c>
      <c r="O3" s="96" t="inlineStr">
        <is>
          <t>LCH</t>
        </is>
      </c>
      <c r="P3" s="96" t="inlineStr">
        <is>
          <t>TH</t>
        </is>
      </c>
      <c r="Q3" s="96" t="inlineStr">
        <is>
          <t>HASLS22261000653</t>
        </is>
      </c>
      <c r="R3" s="96" t="inlineStr">
        <is>
          <t>N</t>
        </is>
      </c>
      <c r="S3" s="96" t="inlineStr">
        <is>
          <t>N</t>
        </is>
      </c>
      <c r="T3" s="96" t="inlineStr">
        <is>
          <t>KTS</t>
        </is>
      </c>
      <c r="U3" s="97" t="n"/>
      <c r="V3" s="96" t="inlineStr">
        <is>
          <t>K0120023</t>
        </is>
      </c>
      <c r="W3" s="96" t="inlineStr">
        <is>
          <t>DOLPHIN LOGISTICS (THAILAND)</t>
        </is>
      </c>
      <c r="X3" s="96" t="inlineStr">
        <is>
          <t>VFD</t>
        </is>
      </c>
      <c r="Y3" s="96" t="inlineStr">
        <is>
          <t>SIG FAI TRANSPORTATION COMPANY</t>
        </is>
      </c>
      <c r="Z3" s="96" t="inlineStr">
        <is>
          <t>SIG FAI TRANSPORTATION COMPANY</t>
        </is>
      </c>
      <c r="AA3" s="97" t="n">
        <v>4874.28</v>
      </c>
      <c r="AB3" s="96" t="inlineStr">
        <is>
          <t>LCH04</t>
        </is>
      </c>
      <c r="AC3" s="96" t="inlineStr">
        <is>
          <t>HKG03</t>
        </is>
      </c>
    </row>
    <row r="4" ht="12" customHeight="1">
      <c r="A4" s="96" t="inlineStr">
        <is>
          <t>SKHU6514145</t>
        </is>
      </c>
      <c r="B4" s="161" t="inlineStr">
        <is>
          <t>2026-10-21</t>
        </is>
      </c>
      <c r="C4" s="96" t="inlineStr">
        <is>
          <t>KJT</t>
        </is>
      </c>
      <c r="D4" s="96" t="inlineStr">
        <is>
          <t>2611N</t>
        </is>
      </c>
      <c r="E4" s="96" t="inlineStr">
        <is>
          <t>45GP</t>
        </is>
      </c>
      <c r="F4" s="96" t="inlineStr">
        <is>
          <t>SD</t>
        </is>
      </c>
      <c r="G4" s="96" t="inlineStr">
        <is>
          <t>THLCH</t>
        </is>
      </c>
      <c r="H4" s="96" t="inlineStr">
        <is>
          <t>THLCH</t>
        </is>
      </c>
      <c r="I4" s="96" t="inlineStr">
        <is>
          <t>HKHKG</t>
        </is>
      </c>
      <c r="J4" s="96" t="inlineStr">
        <is>
          <t>HKHKG</t>
        </is>
      </c>
      <c r="K4" s="96" t="inlineStr">
        <is>
          <t>F</t>
        </is>
      </c>
      <c r="L4" s="96" t="inlineStr">
        <is>
          <t>ONE</t>
        </is>
      </c>
      <c r="M4" s="96" t="inlineStr">
        <is>
          <t>VFL</t>
        </is>
      </c>
      <c r="N4" s="96" t="inlineStr">
        <is>
          <t>LCH04</t>
        </is>
      </c>
      <c r="O4" s="96" t="inlineStr">
        <is>
          <t>LCH</t>
        </is>
      </c>
      <c r="P4" s="96" t="inlineStr">
        <is>
          <t>TH</t>
        </is>
      </c>
      <c r="Q4" s="96" t="inlineStr">
        <is>
          <t>HASLS22261001195</t>
        </is>
      </c>
      <c r="R4" s="96" t="inlineStr">
        <is>
          <t>N</t>
        </is>
      </c>
      <c r="S4" s="96" t="inlineStr">
        <is>
          <t>N</t>
        </is>
      </c>
      <c r="T4" s="96" t="inlineStr">
        <is>
          <t>KTS</t>
        </is>
      </c>
      <c r="U4" s="97" t="n"/>
      <c r="V4" s="96" t="inlineStr">
        <is>
          <t>K0120023</t>
        </is>
      </c>
      <c r="W4" s="96" t="inlineStr">
        <is>
          <t>DOLPHIN LOGISTICS (THAILAND)</t>
        </is>
      </c>
      <c r="X4" s="96" t="inlineStr">
        <is>
          <t>VFD</t>
        </is>
      </c>
      <c r="Y4" s="96" t="inlineStr">
        <is>
          <t>SIG FAI TRANSPORTATION COMPANY</t>
        </is>
      </c>
      <c r="Z4" s="96" t="inlineStr">
        <is>
          <t>SIG FAI TRANSPORTATION COMPANY</t>
        </is>
      </c>
      <c r="AA4" s="97" t="n">
        <v>6530.1</v>
      </c>
      <c r="AB4" s="96" t="inlineStr">
        <is>
          <t>LCH04</t>
        </is>
      </c>
      <c r="AC4" s="96" t="inlineStr">
        <is>
          <t>HKG03</t>
        </is>
      </c>
    </row>
    <row r="5" ht="12" customHeight="1">
      <c r="A5" s="96" t="inlineStr">
        <is>
          <t>SKHU6579547</t>
        </is>
      </c>
      <c r="B5" s="161" t="inlineStr">
        <is>
          <t>2026-10-21</t>
        </is>
      </c>
      <c r="C5" s="96" t="inlineStr">
        <is>
          <t>KJT</t>
        </is>
      </c>
      <c r="D5" s="96" t="inlineStr">
        <is>
          <t>2611N</t>
        </is>
      </c>
      <c r="E5" s="96" t="inlineStr">
        <is>
          <t>45GP</t>
        </is>
      </c>
      <c r="F5" s="96" t="inlineStr">
        <is>
          <t>SD</t>
        </is>
      </c>
      <c r="G5" s="96" t="inlineStr">
        <is>
          <t>THLCH</t>
        </is>
      </c>
      <c r="H5" s="96" t="inlineStr">
        <is>
          <t>THLCH</t>
        </is>
      </c>
      <c r="I5" s="96" t="inlineStr">
        <is>
          <t>HKHKG</t>
        </is>
      </c>
      <c r="J5" s="96" t="inlineStr">
        <is>
          <t>HKHKG</t>
        </is>
      </c>
      <c r="K5" s="96" t="inlineStr">
        <is>
          <t>F</t>
        </is>
      </c>
      <c r="L5" s="96" t="inlineStr">
        <is>
          <t>ONE</t>
        </is>
      </c>
      <c r="M5" s="96" t="inlineStr">
        <is>
          <t>VFL</t>
        </is>
      </c>
      <c r="N5" s="96" t="inlineStr">
        <is>
          <t>LCH04</t>
        </is>
      </c>
      <c r="O5" s="96" t="inlineStr">
        <is>
          <t>LCH</t>
        </is>
      </c>
      <c r="P5" s="96" t="inlineStr">
        <is>
          <t>TH</t>
        </is>
      </c>
      <c r="Q5" s="96" t="inlineStr">
        <is>
          <t>HASLS22261001195</t>
        </is>
      </c>
      <c r="R5" s="96" t="inlineStr">
        <is>
          <t>N</t>
        </is>
      </c>
      <c r="S5" s="96" t="inlineStr">
        <is>
          <t>N</t>
        </is>
      </c>
      <c r="T5" s="96" t="inlineStr">
        <is>
          <t>KTS</t>
        </is>
      </c>
      <c r="U5" s="97" t="n"/>
      <c r="V5" s="96" t="inlineStr">
        <is>
          <t>K0120023</t>
        </is>
      </c>
      <c r="W5" s="96" t="inlineStr">
        <is>
          <t>DOLPHIN LOGISTICS (THAILAND)</t>
        </is>
      </c>
      <c r="X5" s="96" t="inlineStr">
        <is>
          <t>VFD</t>
        </is>
      </c>
      <c r="Y5" s="96" t="inlineStr">
        <is>
          <t>SIG FAI TRANSPORTATION COMPANY</t>
        </is>
      </c>
      <c r="Z5" s="96" t="inlineStr">
        <is>
          <t>SIG FAI TRANSPORTATION COMPANY</t>
        </is>
      </c>
      <c r="AA5" s="97" t="n">
        <v>6395.85</v>
      </c>
      <c r="AB5" s="96" t="inlineStr">
        <is>
          <t>LCH04</t>
        </is>
      </c>
      <c r="AC5" s="96" t="inlineStr">
        <is>
          <t>HKG03</t>
        </is>
      </c>
    </row>
    <row r="6" ht="12" customHeight="1">
      <c r="A6" s="96" t="inlineStr">
        <is>
          <t>HALU5650360</t>
        </is>
      </c>
      <c r="B6" s="161" t="inlineStr">
        <is>
          <t>2026-10-21</t>
        </is>
      </c>
      <c r="C6" s="96" t="inlineStr">
        <is>
          <t>KJT</t>
        </is>
      </c>
      <c r="D6" s="96" t="inlineStr">
        <is>
          <t>2611N</t>
        </is>
      </c>
      <c r="E6" s="96" t="inlineStr">
        <is>
          <t>45GP</t>
        </is>
      </c>
      <c r="F6" s="96" t="inlineStr">
        <is>
          <t>SD</t>
        </is>
      </c>
      <c r="G6" s="96" t="inlineStr">
        <is>
          <t>THLCH</t>
        </is>
      </c>
      <c r="H6" s="96" t="inlineStr">
        <is>
          <t>THLCH</t>
        </is>
      </c>
      <c r="I6" s="96" t="inlineStr">
        <is>
          <t>KRPUS</t>
        </is>
      </c>
      <c r="J6" s="96" t="inlineStr">
        <is>
          <t>JPHKT</t>
        </is>
      </c>
      <c r="K6" s="96" t="inlineStr">
        <is>
          <t>F</t>
        </is>
      </c>
      <c r="L6" s="96" t="inlineStr">
        <is>
          <t>ONE</t>
        </is>
      </c>
      <c r="M6" s="96" t="inlineStr">
        <is>
          <t>VFL</t>
        </is>
      </c>
      <c r="N6" s="96" t="inlineStr">
        <is>
          <t>LCH04</t>
        </is>
      </c>
      <c r="O6" s="96" t="inlineStr">
        <is>
          <t>LCH</t>
        </is>
      </c>
      <c r="P6" s="96" t="inlineStr">
        <is>
          <t>TH</t>
        </is>
      </c>
      <c r="Q6" s="96" t="inlineStr">
        <is>
          <t>HASLS22260901634</t>
        </is>
      </c>
      <c r="R6" s="96" t="inlineStr">
        <is>
          <t>Y</t>
        </is>
      </c>
      <c r="S6" s="96" t="inlineStr">
        <is>
          <t>N</t>
        </is>
      </c>
      <c r="T6" s="96" t="inlineStr">
        <is>
          <t>KTS</t>
        </is>
      </c>
      <c r="U6" s="97" t="n"/>
      <c r="V6" s="96" t="inlineStr">
        <is>
          <t>K0120023</t>
        </is>
      </c>
      <c r="W6" s="96" t="inlineStr">
        <is>
          <t>LOGIMARK INTERNATIONAL LIMITED</t>
        </is>
      </c>
      <c r="X6" s="96" t="inlineStr">
        <is>
          <t>VFD</t>
        </is>
      </c>
      <c r="Y6" s="96" t="inlineStr">
        <is>
          <t>IS JAPAN CO.,LTD.</t>
        </is>
      </c>
      <c r="Z6" s="96" t="inlineStr">
        <is>
          <t>IS JAPAN CO.,LTD.</t>
        </is>
      </c>
      <c r="AA6" s="97" t="n">
        <v>8638</v>
      </c>
      <c r="AB6" s="96" t="inlineStr">
        <is>
          <t>LCH04</t>
        </is>
      </c>
      <c r="AC6" s="96" t="inlineStr">
        <is>
          <t>HKT02</t>
        </is>
      </c>
    </row>
    <row r="7" ht="12" customHeight="1">
      <c r="A7" s="96" t="inlineStr">
        <is>
          <t>HALU5663244</t>
        </is>
      </c>
      <c r="B7" s="161" t="inlineStr">
        <is>
          <t>2026-10-21</t>
        </is>
      </c>
      <c r="C7" s="96" t="inlineStr">
        <is>
          <t>KJT</t>
        </is>
      </c>
      <c r="D7" s="96" t="inlineStr">
        <is>
          <t>2611N</t>
        </is>
      </c>
      <c r="E7" s="96" t="inlineStr">
        <is>
          <t>45GP</t>
        </is>
      </c>
      <c r="F7" s="96" t="inlineStr">
        <is>
          <t>SD</t>
        </is>
      </c>
      <c r="G7" s="96" t="inlineStr">
        <is>
          <t>THLCH</t>
        </is>
      </c>
      <c r="H7" s="96" t="inlineStr">
        <is>
          <t>THLCH</t>
        </is>
      </c>
      <c r="I7" s="96" t="inlineStr">
        <is>
          <t>HKHKG</t>
        </is>
      </c>
      <c r="J7" s="96" t="inlineStr">
        <is>
          <t>HKHKG</t>
        </is>
      </c>
      <c r="K7" s="96" t="inlineStr">
        <is>
          <t>F</t>
        </is>
      </c>
      <c r="L7" s="96" t="inlineStr">
        <is>
          <t>ONE</t>
        </is>
      </c>
      <c r="M7" s="96" t="inlineStr">
        <is>
          <t>VFL</t>
        </is>
      </c>
      <c r="N7" s="96" t="inlineStr">
        <is>
          <t>LCH04</t>
        </is>
      </c>
      <c r="O7" s="96" t="inlineStr">
        <is>
          <t>LCH</t>
        </is>
      </c>
      <c r="P7" s="96" t="inlineStr">
        <is>
          <t>TH</t>
        </is>
      </c>
      <c r="Q7" s="96" t="inlineStr">
        <is>
          <t>HASLS22260902515</t>
        </is>
      </c>
      <c r="R7" s="96" t="inlineStr">
        <is>
          <t>N</t>
        </is>
      </c>
      <c r="S7" s="96" t="inlineStr">
        <is>
          <t>N</t>
        </is>
      </c>
      <c r="T7" s="96" t="inlineStr">
        <is>
          <t>KTS</t>
        </is>
      </c>
      <c r="U7" s="97" t="n"/>
      <c r="V7" s="96" t="inlineStr">
        <is>
          <t>K0120023</t>
        </is>
      </c>
      <c r="W7" s="96" t="inlineStr">
        <is>
          <t>DOLPHIN LOGISTICS (THAILAND)</t>
        </is>
      </c>
      <c r="X7" s="96" t="inlineStr">
        <is>
          <t>ONL</t>
        </is>
      </c>
      <c r="Y7" s="96" t="inlineStr">
        <is>
          <t>SIG FAI TRANSPORTATION COMPANY</t>
        </is>
      </c>
      <c r="Z7" s="96" t="inlineStr">
        <is>
          <t>SIG FAI TRANSPORTATION COMPANY</t>
        </is>
      </c>
      <c r="AA7" s="97" t="n">
        <v>5816.49</v>
      </c>
      <c r="AB7" s="96" t="inlineStr">
        <is>
          <t>LCH04</t>
        </is>
      </c>
      <c r="AC7" s="96" t="inlineStr">
        <is>
          <t>HKG03</t>
        </is>
      </c>
    </row>
    <row r="8" ht="12" customHeight="1">
      <c r="A8" s="96" t="inlineStr">
        <is>
          <t>SKHU8928123</t>
        </is>
      </c>
      <c r="B8" s="161" t="inlineStr">
        <is>
          <t>2026-10-21</t>
        </is>
      </c>
      <c r="C8" s="96" t="inlineStr">
        <is>
          <t>KJT</t>
        </is>
      </c>
      <c r="D8" s="96" t="inlineStr">
        <is>
          <t>2611N</t>
        </is>
      </c>
      <c r="E8" s="96" t="inlineStr">
        <is>
          <t>45GP</t>
        </is>
      </c>
      <c r="F8" s="96" t="inlineStr">
        <is>
          <t>SD</t>
        </is>
      </c>
      <c r="G8" s="96" t="inlineStr">
        <is>
          <t>THLCH</t>
        </is>
      </c>
      <c r="H8" s="96" t="inlineStr">
        <is>
          <t>THLCH</t>
        </is>
      </c>
      <c r="I8" s="96" t="inlineStr">
        <is>
          <t>HKHKG</t>
        </is>
      </c>
      <c r="J8" s="96" t="inlineStr">
        <is>
          <t>HKHKG</t>
        </is>
      </c>
      <c r="K8" s="96" t="inlineStr">
        <is>
          <t>F</t>
        </is>
      </c>
      <c r="L8" s="96" t="inlineStr">
        <is>
          <t>ONE</t>
        </is>
      </c>
      <c r="M8" s="96" t="inlineStr">
        <is>
          <t>VFL</t>
        </is>
      </c>
      <c r="N8" s="96" t="inlineStr">
        <is>
          <t>LCH04</t>
        </is>
      </c>
      <c r="O8" s="96" t="inlineStr">
        <is>
          <t>LCH</t>
        </is>
      </c>
      <c r="P8" s="96" t="inlineStr">
        <is>
          <t>TH</t>
        </is>
      </c>
      <c r="Q8" s="96" t="inlineStr">
        <is>
          <t>HASLS22260902689</t>
        </is>
      </c>
      <c r="R8" s="96" t="inlineStr">
        <is>
          <t>N</t>
        </is>
      </c>
      <c r="S8" s="96" t="inlineStr">
        <is>
          <t>N</t>
        </is>
      </c>
      <c r="T8" s="96" t="inlineStr">
        <is>
          <t>KTS</t>
        </is>
      </c>
      <c r="U8" s="97" t="n"/>
      <c r="V8" s="96" t="inlineStr">
        <is>
          <t>K0120023</t>
        </is>
      </c>
      <c r="W8" s="96" t="inlineStr">
        <is>
          <t>YUSEN LOGISTICS (THAILAND) CO., LTD</t>
        </is>
      </c>
      <c r="X8" s="96" t="inlineStr">
        <is>
          <t>VFD</t>
        </is>
      </c>
      <c r="Y8" s="96" t="inlineStr">
        <is>
          <t>YUSEN LOGISTICS (HONG KONG) LTD.</t>
        </is>
      </c>
      <c r="Z8" s="96" t="inlineStr">
        <is>
          <t>YUSEN LOGISTICS (HONG KONG) LTD.</t>
        </is>
      </c>
      <c r="AA8" s="97" t="n">
        <v>2304.146</v>
      </c>
      <c r="AB8" s="96" t="inlineStr">
        <is>
          <t>LCH04</t>
        </is>
      </c>
      <c r="AC8" s="96" t="inlineStr">
        <is>
          <t>HKG03</t>
        </is>
      </c>
    </row>
    <row r="9" ht="12" customHeight="1">
      <c r="A9" s="96" t="inlineStr">
        <is>
          <t>SKHU9802361</t>
        </is>
      </c>
      <c r="B9" s="161" t="inlineStr">
        <is>
          <t>2026-10-21</t>
        </is>
      </c>
      <c r="C9" s="96" t="inlineStr">
        <is>
          <t>KJT</t>
        </is>
      </c>
      <c r="D9" s="96" t="inlineStr">
        <is>
          <t>2611N</t>
        </is>
      </c>
      <c r="E9" s="96" t="inlineStr">
        <is>
          <t>45GP</t>
        </is>
      </c>
      <c r="F9" s="96" t="inlineStr">
        <is>
          <t>SD</t>
        </is>
      </c>
      <c r="G9" s="96" t="inlineStr">
        <is>
          <t>THLCH</t>
        </is>
      </c>
      <c r="H9" s="96" t="inlineStr">
        <is>
          <t>THLCH</t>
        </is>
      </c>
      <c r="I9" s="96" t="inlineStr">
        <is>
          <t>HKHKG</t>
        </is>
      </c>
      <c r="J9" s="96" t="inlineStr">
        <is>
          <t>HKHKG</t>
        </is>
      </c>
      <c r="K9" s="96" t="inlineStr">
        <is>
          <t>F</t>
        </is>
      </c>
      <c r="L9" s="96" t="inlineStr">
        <is>
          <t>ONE</t>
        </is>
      </c>
      <c r="M9" s="96" t="inlineStr">
        <is>
          <t>VFL</t>
        </is>
      </c>
      <c r="N9" s="96" t="inlineStr">
        <is>
          <t>LCH04</t>
        </is>
      </c>
      <c r="O9" s="96" t="inlineStr">
        <is>
          <t>LCH</t>
        </is>
      </c>
      <c r="P9" s="96" t="inlineStr">
        <is>
          <t>TH</t>
        </is>
      </c>
      <c r="Q9" s="96" t="inlineStr">
        <is>
          <t>HASLS22261000416</t>
        </is>
      </c>
      <c r="R9" s="96" t="inlineStr">
        <is>
          <t>N</t>
        </is>
      </c>
      <c r="S9" s="96" t="inlineStr">
        <is>
          <t>N</t>
        </is>
      </c>
      <c r="T9" s="96" t="inlineStr">
        <is>
          <t>KTS</t>
        </is>
      </c>
      <c r="U9" s="97" t="n"/>
      <c r="V9" s="96" t="inlineStr">
        <is>
          <t>K0120023</t>
        </is>
      </c>
      <c r="W9" s="96" t="inlineStr">
        <is>
          <t>YUSEN LOGISTICS (THAILAND) CO., LTD</t>
        </is>
      </c>
      <c r="X9" s="96" t="inlineStr">
        <is>
          <t>VFD</t>
        </is>
      </c>
      <c r="Y9" s="96" t="inlineStr">
        <is>
          <t>YUSEN LOGISTICS (HONG KONG) LTD.</t>
        </is>
      </c>
      <c r="Z9" s="96" t="inlineStr">
        <is>
          <t>YUSEN LOGISTICS (HONG KONG) LTD.</t>
        </is>
      </c>
      <c r="AA9" s="97" t="n">
        <v>2341.37</v>
      </c>
      <c r="AB9" s="96" t="inlineStr">
        <is>
          <t>LCH04</t>
        </is>
      </c>
      <c r="AC9" s="96" t="inlineStr">
        <is>
          <t>HKG03</t>
        </is>
      </c>
    </row>
    <row r="10" ht="12" customHeight="1">
      <c r="A10" s="96" t="inlineStr">
        <is>
          <t>SKLU2354514</t>
        </is>
      </c>
      <c r="B10" s="161" t="inlineStr">
        <is>
          <t>2026-10-21</t>
        </is>
      </c>
      <c r="C10" s="96" t="inlineStr">
        <is>
          <t>KJT</t>
        </is>
      </c>
      <c r="D10" s="96" t="inlineStr">
        <is>
          <t>2611N</t>
        </is>
      </c>
      <c r="E10" s="96" t="inlineStr">
        <is>
          <t>22GP</t>
        </is>
      </c>
      <c r="F10" s="96" t="inlineStr">
        <is>
          <t>SD</t>
        </is>
      </c>
      <c r="G10" s="96" t="inlineStr">
        <is>
          <t>THLCH</t>
        </is>
      </c>
      <c r="H10" s="96" t="inlineStr">
        <is>
          <t>THLCH</t>
        </is>
      </c>
      <c r="I10" s="96" t="inlineStr">
        <is>
          <t>HKHKG</t>
        </is>
      </c>
      <c r="J10" s="96" t="inlineStr">
        <is>
          <t>HKHKG</t>
        </is>
      </c>
      <c r="K10" s="96" t="inlineStr">
        <is>
          <t>F</t>
        </is>
      </c>
      <c r="L10" s="96" t="inlineStr">
        <is>
          <t>ONE</t>
        </is>
      </c>
      <c r="M10" s="96" t="inlineStr">
        <is>
          <t>VFL</t>
        </is>
      </c>
      <c r="N10" s="96" t="inlineStr">
        <is>
          <t>LCH04</t>
        </is>
      </c>
      <c r="O10" s="96" t="inlineStr">
        <is>
          <t>LCH</t>
        </is>
      </c>
      <c r="P10" s="96" t="inlineStr">
        <is>
          <t>TH</t>
        </is>
      </c>
      <c r="Q10" s="96" t="inlineStr">
        <is>
          <t>HASLS22260902579</t>
        </is>
      </c>
      <c r="R10" s="96" t="inlineStr">
        <is>
          <t>N</t>
        </is>
      </c>
      <c r="S10" s="96" t="inlineStr">
        <is>
          <t>N</t>
        </is>
      </c>
      <c r="T10" s="96" t="inlineStr">
        <is>
          <t>KTS</t>
        </is>
      </c>
      <c r="U10" s="97" t="n"/>
      <c r="V10" s="96" t="inlineStr">
        <is>
          <t>K0120021</t>
        </is>
      </c>
      <c r="W10" s="96" t="inlineStr">
        <is>
          <t>DOUBLE A (1991) PUBLIC COMPANY</t>
        </is>
      </c>
      <c r="X10" s="96" t="inlineStr">
        <is>
          <t>VED</t>
        </is>
      </c>
      <c r="Y10" s="96" t="inlineStr">
        <is>
          <t>OH360 CO., LTD.</t>
        </is>
      </c>
      <c r="Z10" s="96" t="inlineStr">
        <is>
          <t>OH360 CO., LTD.</t>
        </is>
      </c>
      <c r="AA10" s="97" t="n">
        <v>16792</v>
      </c>
      <c r="AB10" s="96" t="inlineStr">
        <is>
          <t>LCH04</t>
        </is>
      </c>
      <c r="AC10" s="96" t="inlineStr">
        <is>
          <t>HKG03</t>
        </is>
      </c>
    </row>
    <row r="11" ht="12" customHeight="1">
      <c r="A11" s="96" t="inlineStr">
        <is>
          <t>SKLU1407353</t>
        </is>
      </c>
      <c r="B11" s="161" t="inlineStr">
        <is>
          <t>2026-10-21</t>
        </is>
      </c>
      <c r="C11" s="96" t="inlineStr">
        <is>
          <t>KJT</t>
        </is>
      </c>
      <c r="D11" s="96" t="inlineStr">
        <is>
          <t>2611N</t>
        </is>
      </c>
      <c r="E11" s="96" t="inlineStr">
        <is>
          <t>22GP</t>
        </is>
      </c>
      <c r="F11" s="96" t="inlineStr">
        <is>
          <t>SD</t>
        </is>
      </c>
      <c r="G11" s="96" t="inlineStr">
        <is>
          <t>THLCH</t>
        </is>
      </c>
      <c r="H11" s="96" t="inlineStr">
        <is>
          <t>THLCH</t>
        </is>
      </c>
      <c r="I11" s="96" t="inlineStr">
        <is>
          <t>HKHKG</t>
        </is>
      </c>
      <c r="J11" s="96" t="inlineStr">
        <is>
          <t>CNTAP</t>
        </is>
      </c>
      <c r="K11" s="96" t="inlineStr">
        <is>
          <t>F</t>
        </is>
      </c>
      <c r="L11" s="96" t="inlineStr">
        <is>
          <t>ONE</t>
        </is>
      </c>
      <c r="M11" s="96" t="inlineStr">
        <is>
          <t>VFL</t>
        </is>
      </c>
      <c r="N11" s="96" t="inlineStr">
        <is>
          <t>LCH04</t>
        </is>
      </c>
      <c r="O11" s="96" t="inlineStr">
        <is>
          <t>LCH</t>
        </is>
      </c>
      <c r="P11" s="96" t="inlineStr">
        <is>
          <t>TH</t>
        </is>
      </c>
      <c r="Q11" s="96" t="inlineStr">
        <is>
          <t>HASLS22261000649</t>
        </is>
      </c>
      <c r="R11" s="96" t="inlineStr">
        <is>
          <t>N</t>
        </is>
      </c>
      <c r="S11" s="96" t="inlineStr">
        <is>
          <t>N</t>
        </is>
      </c>
      <c r="T11" s="96" t="inlineStr">
        <is>
          <t>KTS</t>
        </is>
      </c>
      <c r="U11" s="97" t="n"/>
      <c r="V11" s="96" t="inlineStr">
        <is>
          <t>K0120021</t>
        </is>
      </c>
      <c r="W11" s="96" t="inlineStr">
        <is>
          <t>THAI SYNTHETIC RUBBERS COMPANY</t>
        </is>
      </c>
      <c r="X11" s="96" t="inlineStr">
        <is>
          <t>VED</t>
        </is>
      </c>
      <c r="Y11" s="96" t="inlineStr">
        <is>
          <t>DONGGUAN LAAYOUNE CHEMICAL</t>
        </is>
      </c>
      <c r="Z11" s="96" t="inlineStr">
        <is>
          <t>LAAYOUNE INDUSTRIAL CO.,LIMITED</t>
        </is>
      </c>
      <c r="AA11" s="97" t="n">
        <v>18960</v>
      </c>
      <c r="AB11" s="96" t="inlineStr">
        <is>
          <t>LCH04</t>
        </is>
      </c>
      <c r="AC11" s="96" t="inlineStr">
        <is>
          <t>HKG03</t>
        </is>
      </c>
    </row>
    <row r="12" ht="12" customHeight="1">
      <c r="A12" s="96" t="inlineStr">
        <is>
          <t>SKLU1935068</t>
        </is>
      </c>
      <c r="B12" s="161" t="inlineStr">
        <is>
          <t>2026-10-21</t>
        </is>
      </c>
      <c r="C12" s="96" t="inlineStr">
        <is>
          <t>KJT</t>
        </is>
      </c>
      <c r="D12" s="96" t="inlineStr">
        <is>
          <t>2611N</t>
        </is>
      </c>
      <c r="E12" s="96" t="inlineStr">
        <is>
          <t>22GP</t>
        </is>
      </c>
      <c r="F12" s="96" t="inlineStr">
        <is>
          <t>SD</t>
        </is>
      </c>
      <c r="G12" s="96" t="inlineStr">
        <is>
          <t>THLCH</t>
        </is>
      </c>
      <c r="H12" s="96" t="inlineStr">
        <is>
          <t>THLCH</t>
        </is>
      </c>
      <c r="I12" s="96" t="inlineStr">
        <is>
          <t>TWKEL</t>
        </is>
      </c>
      <c r="J12" s="96" t="inlineStr">
        <is>
          <t>TWKEL</t>
        </is>
      </c>
      <c r="K12" s="96" t="inlineStr">
        <is>
          <t>F</t>
        </is>
      </c>
      <c r="L12" s="96" t="inlineStr">
        <is>
          <t>ONE</t>
        </is>
      </c>
      <c r="M12" s="96" t="inlineStr">
        <is>
          <t>VFL</t>
        </is>
      </c>
      <c r="N12" s="96" t="inlineStr">
        <is>
          <t>LCH04</t>
        </is>
      </c>
      <c r="O12" s="96" t="inlineStr">
        <is>
          <t>LCH</t>
        </is>
      </c>
      <c r="P12" s="96" t="inlineStr">
        <is>
          <t>TH</t>
        </is>
      </c>
      <c r="Q12" s="96" t="inlineStr">
        <is>
          <t>HASLS22260900213</t>
        </is>
      </c>
      <c r="R12" s="96" t="inlineStr">
        <is>
          <t>N</t>
        </is>
      </c>
      <c r="S12" s="96" t="inlineStr">
        <is>
          <t>N</t>
        </is>
      </c>
      <c r="T12" s="96" t="inlineStr">
        <is>
          <t>KTS</t>
        </is>
      </c>
      <c r="U12" s="97" t="n"/>
      <c r="V12" s="96" t="inlineStr">
        <is>
          <t>K0120021</t>
        </is>
      </c>
      <c r="W12" s="96" t="inlineStr">
        <is>
          <t>MOL LOGISTICS (THAILAND) CO., LTD.</t>
        </is>
      </c>
      <c r="X12" s="96" t="inlineStr">
        <is>
          <t>VFD</t>
        </is>
      </c>
      <c r="Y12" s="96" t="inlineStr">
        <is>
          <t>MOL LOGISTICS (TAIWAN) CO.,LTD.</t>
        </is>
      </c>
      <c r="Z12" s="96" t="inlineStr">
        <is>
          <t>MOL LOGISTICS (TAIWAN) CO.,LTD.</t>
        </is>
      </c>
      <c r="AA12" s="97" t="n">
        <v>17360</v>
      </c>
      <c r="AB12" s="96" t="inlineStr">
        <is>
          <t>LCH04</t>
        </is>
      </c>
      <c r="AC12" s="96" t="inlineStr">
        <is>
          <t>KEL02</t>
        </is>
      </c>
    </row>
    <row r="13" ht="12" customHeight="1">
      <c r="A13" s="96" t="inlineStr">
        <is>
          <t>SKLU1100177</t>
        </is>
      </c>
      <c r="B13" s="161" t="inlineStr">
        <is>
          <t>2026-10-21</t>
        </is>
      </c>
      <c r="C13" s="96" t="inlineStr">
        <is>
          <t>KJT</t>
        </is>
      </c>
      <c r="D13" s="96" t="inlineStr">
        <is>
          <t>2611N</t>
        </is>
      </c>
      <c r="E13" s="96" t="inlineStr">
        <is>
          <t>22GP</t>
        </is>
      </c>
      <c r="F13" s="96" t="inlineStr">
        <is>
          <t>SD</t>
        </is>
      </c>
      <c r="G13" s="96" t="inlineStr">
        <is>
          <t>THLCH</t>
        </is>
      </c>
      <c r="H13" s="96" t="inlineStr">
        <is>
          <t>THLCH</t>
        </is>
      </c>
      <c r="I13" s="96" t="inlineStr">
        <is>
          <t>HKHKG</t>
        </is>
      </c>
      <c r="J13" s="96" t="inlineStr">
        <is>
          <t>HKHKG</t>
        </is>
      </c>
      <c r="K13" s="96" t="inlineStr">
        <is>
          <t>F</t>
        </is>
      </c>
      <c r="L13" s="96" t="inlineStr">
        <is>
          <t>ONE</t>
        </is>
      </c>
      <c r="M13" s="96" t="inlineStr">
        <is>
          <t>VFL</t>
        </is>
      </c>
      <c r="N13" s="96" t="inlineStr">
        <is>
          <t>LCH04</t>
        </is>
      </c>
      <c r="O13" s="96" t="inlineStr">
        <is>
          <t>LCH</t>
        </is>
      </c>
      <c r="P13" s="96" t="inlineStr">
        <is>
          <t>TH</t>
        </is>
      </c>
      <c r="Q13" s="96" t="inlineStr">
        <is>
          <t>HASLS22260902576</t>
        </is>
      </c>
      <c r="R13" s="96" t="inlineStr">
        <is>
          <t>N</t>
        </is>
      </c>
      <c r="S13" s="96" t="inlineStr">
        <is>
          <t>N</t>
        </is>
      </c>
      <c r="T13" s="96" t="inlineStr">
        <is>
          <t>KTS</t>
        </is>
      </c>
      <c r="U13" s="97" t="n"/>
      <c r="V13" s="96" t="inlineStr">
        <is>
          <t>K0120021</t>
        </is>
      </c>
      <c r="W13" s="96" t="inlineStr">
        <is>
          <t>DOUBLE A (1991) PUBLIC COMPANY</t>
        </is>
      </c>
      <c r="X13" s="96" t="inlineStr">
        <is>
          <t>VFD</t>
        </is>
      </c>
      <c r="Y13" s="96" t="inlineStr">
        <is>
          <t>TO ORDER</t>
        </is>
      </c>
      <c r="Z13" s="96" t="inlineStr">
        <is>
          <t>DOUBLE A INTERNATIONAL TRADING</t>
        </is>
      </c>
      <c r="AA13" s="97" t="n">
        <v>16819</v>
      </c>
      <c r="AB13" s="96" t="inlineStr">
        <is>
          <t>LCH04</t>
        </is>
      </c>
      <c r="AC13" s="96" t="inlineStr">
        <is>
          <t>HKG03</t>
        </is>
      </c>
    </row>
    <row r="14" ht="12" customHeight="1">
      <c r="A14" s="96" t="inlineStr">
        <is>
          <t>SKLU1204269</t>
        </is>
      </c>
      <c r="B14" s="161" t="inlineStr">
        <is>
          <t>2026-10-21</t>
        </is>
      </c>
      <c r="C14" s="96" t="inlineStr">
        <is>
          <t>KJT</t>
        </is>
      </c>
      <c r="D14" s="96" t="inlineStr">
        <is>
          <t>2611N</t>
        </is>
      </c>
      <c r="E14" s="96" t="inlineStr">
        <is>
          <t>22GP</t>
        </is>
      </c>
      <c r="F14" s="96" t="inlineStr">
        <is>
          <t>SD</t>
        </is>
      </c>
      <c r="G14" s="96" t="inlineStr">
        <is>
          <t>THLCH</t>
        </is>
      </c>
      <c r="H14" s="96" t="inlineStr">
        <is>
          <t>THLCH</t>
        </is>
      </c>
      <c r="I14" s="96" t="inlineStr">
        <is>
          <t>HKHKG</t>
        </is>
      </c>
      <c r="J14" s="96" t="inlineStr">
        <is>
          <t>HKHKG</t>
        </is>
      </c>
      <c r="K14" s="96" t="inlineStr">
        <is>
          <t>F</t>
        </is>
      </c>
      <c r="L14" s="96" t="inlineStr">
        <is>
          <t>ONE</t>
        </is>
      </c>
      <c r="M14" s="96" t="inlineStr">
        <is>
          <t>VFL</t>
        </is>
      </c>
      <c r="N14" s="96" t="inlineStr">
        <is>
          <t>LCH04</t>
        </is>
      </c>
      <c r="O14" s="96" t="inlineStr">
        <is>
          <t>LCH</t>
        </is>
      </c>
      <c r="P14" s="96" t="inlineStr">
        <is>
          <t>TH</t>
        </is>
      </c>
      <c r="Q14" s="96" t="inlineStr">
        <is>
          <t>HASLS22260902576</t>
        </is>
      </c>
      <c r="R14" s="96" t="inlineStr">
        <is>
          <t>N</t>
        </is>
      </c>
      <c r="S14" s="96" t="inlineStr">
        <is>
          <t>N</t>
        </is>
      </c>
      <c r="T14" s="96" t="inlineStr">
        <is>
          <t>KTS</t>
        </is>
      </c>
      <c r="U14" s="97" t="n"/>
      <c r="V14" s="96" t="inlineStr">
        <is>
          <t>K0120021</t>
        </is>
      </c>
      <c r="W14" s="96" t="inlineStr">
        <is>
          <t>DOUBLE A (1991) PUBLIC COMPANY</t>
        </is>
      </c>
      <c r="X14" s="96" t="inlineStr">
        <is>
          <t>VFD</t>
        </is>
      </c>
      <c r="Y14" s="96" t="inlineStr">
        <is>
          <t>TO ORDER</t>
        </is>
      </c>
      <c r="Z14" s="96" t="inlineStr">
        <is>
          <t>DOUBLE A INTERNATIONAL TRADING</t>
        </is>
      </c>
      <c r="AA14" s="97" t="n">
        <v>16351</v>
      </c>
      <c r="AB14" s="96" t="inlineStr">
        <is>
          <t>LCH04</t>
        </is>
      </c>
      <c r="AC14" s="96" t="inlineStr">
        <is>
          <t>HKG03</t>
        </is>
      </c>
    </row>
    <row r="15" ht="12" customHeight="1">
      <c r="A15" s="96" t="inlineStr">
        <is>
          <t>SKLU1573858</t>
        </is>
      </c>
      <c r="B15" s="161" t="inlineStr">
        <is>
          <t>2026-10-21</t>
        </is>
      </c>
      <c r="C15" s="96" t="inlineStr">
        <is>
          <t>KJT</t>
        </is>
      </c>
      <c r="D15" s="96" t="inlineStr">
        <is>
          <t>2611N</t>
        </is>
      </c>
      <c r="E15" s="96" t="inlineStr">
        <is>
          <t>22GP</t>
        </is>
      </c>
      <c r="F15" s="96" t="inlineStr">
        <is>
          <t>SD</t>
        </is>
      </c>
      <c r="G15" s="96" t="inlineStr">
        <is>
          <t>THLCH</t>
        </is>
      </c>
      <c r="H15" s="96" t="inlineStr">
        <is>
          <t>THLCH</t>
        </is>
      </c>
      <c r="I15" s="96" t="inlineStr">
        <is>
          <t>HKHKG</t>
        </is>
      </c>
      <c r="J15" s="96" t="inlineStr">
        <is>
          <t>HKHKG</t>
        </is>
      </c>
      <c r="K15" s="96" t="inlineStr">
        <is>
          <t>F</t>
        </is>
      </c>
      <c r="L15" s="96" t="inlineStr">
        <is>
          <t>ONE</t>
        </is>
      </c>
      <c r="M15" s="96" t="inlineStr">
        <is>
          <t>VFL</t>
        </is>
      </c>
      <c r="N15" s="96" t="inlineStr">
        <is>
          <t>LCH04</t>
        </is>
      </c>
      <c r="O15" s="96" t="inlineStr">
        <is>
          <t>LCH</t>
        </is>
      </c>
      <c r="P15" s="96" t="inlineStr">
        <is>
          <t>TH</t>
        </is>
      </c>
      <c r="Q15" s="96" t="inlineStr">
        <is>
          <t>HASLS22261000286</t>
        </is>
      </c>
      <c r="R15" s="96" t="inlineStr">
        <is>
          <t>N</t>
        </is>
      </c>
      <c r="S15" s="96" t="inlineStr">
        <is>
          <t>N</t>
        </is>
      </c>
      <c r="T15" s="96" t="inlineStr">
        <is>
          <t>KTS</t>
        </is>
      </c>
      <c r="U15" s="97" t="n"/>
      <c r="V15" s="96" t="inlineStr">
        <is>
          <t>K0120021</t>
        </is>
      </c>
      <c r="W15" s="96" t="inlineStr">
        <is>
          <t>DOUBLE A (1991) PUBLIC COMPANY</t>
        </is>
      </c>
      <c r="X15" s="96" t="inlineStr">
        <is>
          <t>VED</t>
        </is>
      </c>
      <c r="Y15" s="96" t="inlineStr">
        <is>
          <t>TO ORDER</t>
        </is>
      </c>
      <c r="Z15" s="96" t="inlineStr">
        <is>
          <t>DOUBLE A INTERNATIONAL TRADING</t>
        </is>
      </c>
      <c r="AA15" s="97" t="n">
        <v>16818</v>
      </c>
      <c r="AB15" s="96" t="inlineStr">
        <is>
          <t>LCH04</t>
        </is>
      </c>
      <c r="AC15" s="96" t="inlineStr">
        <is>
          <t>HKG03</t>
        </is>
      </c>
    </row>
    <row r="16" ht="12" customHeight="1">
      <c r="A16" s="96" t="inlineStr">
        <is>
          <t>SKLU1614221</t>
        </is>
      </c>
      <c r="B16" s="161" t="inlineStr">
        <is>
          <t>2026-10-21</t>
        </is>
      </c>
      <c r="C16" s="96" t="inlineStr">
        <is>
          <t>KJT</t>
        </is>
      </c>
      <c r="D16" s="96" t="inlineStr">
        <is>
          <t>2611N</t>
        </is>
      </c>
      <c r="E16" s="96" t="inlineStr">
        <is>
          <t>22GP</t>
        </is>
      </c>
      <c r="F16" s="96" t="inlineStr">
        <is>
          <t>SD</t>
        </is>
      </c>
      <c r="G16" s="96" t="inlineStr">
        <is>
          <t>THLCH</t>
        </is>
      </c>
      <c r="H16" s="96" t="inlineStr">
        <is>
          <t>THLCH</t>
        </is>
      </c>
      <c r="I16" s="96" t="inlineStr">
        <is>
          <t>HKHKG</t>
        </is>
      </c>
      <c r="J16" s="96" t="inlineStr">
        <is>
          <t>HKHKG</t>
        </is>
      </c>
      <c r="K16" s="96" t="inlineStr">
        <is>
          <t>F</t>
        </is>
      </c>
      <c r="L16" s="96" t="inlineStr">
        <is>
          <t>ONE</t>
        </is>
      </c>
      <c r="M16" s="96" t="inlineStr">
        <is>
          <t>VFL</t>
        </is>
      </c>
      <c r="N16" s="96" t="inlineStr">
        <is>
          <t>LCH04</t>
        </is>
      </c>
      <c r="O16" s="96" t="inlineStr">
        <is>
          <t>LCH</t>
        </is>
      </c>
      <c r="P16" s="96" t="inlineStr">
        <is>
          <t>TH</t>
        </is>
      </c>
      <c r="Q16" s="96" t="inlineStr">
        <is>
          <t>HASLS22261000689</t>
        </is>
      </c>
      <c r="R16" s="96" t="inlineStr">
        <is>
          <t>N</t>
        </is>
      </c>
      <c r="S16" s="96" t="inlineStr">
        <is>
          <t>N</t>
        </is>
      </c>
      <c r="T16" s="96" t="inlineStr">
        <is>
          <t>KTS</t>
        </is>
      </c>
      <c r="U16" s="97" t="n"/>
      <c r="V16" s="96" t="inlineStr">
        <is>
          <t>K0120021</t>
        </is>
      </c>
      <c r="W16" s="96" t="inlineStr">
        <is>
          <t>RHENUS LOGISTICS CO., LTD.</t>
        </is>
      </c>
      <c r="X16" s="96" t="inlineStr">
        <is>
          <t>VED</t>
        </is>
      </c>
      <c r="Y16" s="96" t="inlineStr">
        <is>
          <t>RHENUS LOGISTICS HONG KONG LTD.</t>
        </is>
      </c>
      <c r="Z16" s="96" t="inlineStr">
        <is>
          <t>RHENUS LOGISTICS HONG KONG LTD.</t>
        </is>
      </c>
      <c r="AA16" s="97" t="n">
        <v>2469.72</v>
      </c>
      <c r="AB16" s="96" t="inlineStr">
        <is>
          <t>LCH04</t>
        </is>
      </c>
      <c r="AC16" s="96" t="inlineStr">
        <is>
          <t>HKG03</t>
        </is>
      </c>
    </row>
    <row r="17" ht="12" customHeight="1">
      <c r="A17" s="96" t="inlineStr">
        <is>
          <t>SKLU1592375</t>
        </is>
      </c>
      <c r="B17" s="161" t="inlineStr">
        <is>
          <t>2026-10-21</t>
        </is>
      </c>
      <c r="C17" s="96" t="inlineStr">
        <is>
          <t>KJT</t>
        </is>
      </c>
      <c r="D17" s="96" t="inlineStr">
        <is>
          <t>2611N</t>
        </is>
      </c>
      <c r="E17" s="96" t="inlineStr">
        <is>
          <t>22GP</t>
        </is>
      </c>
      <c r="F17" s="96" t="inlineStr">
        <is>
          <t>SD</t>
        </is>
      </c>
      <c r="G17" s="96" t="inlineStr">
        <is>
          <t>THLCH</t>
        </is>
      </c>
      <c r="H17" s="96" t="inlineStr">
        <is>
          <t>THLCH</t>
        </is>
      </c>
      <c r="I17" s="96" t="inlineStr">
        <is>
          <t>HKHKG</t>
        </is>
      </c>
      <c r="J17" s="96" t="inlineStr">
        <is>
          <t>HKHKG</t>
        </is>
      </c>
      <c r="K17" s="96" t="inlineStr">
        <is>
          <t>F</t>
        </is>
      </c>
      <c r="L17" s="96" t="inlineStr">
        <is>
          <t>ONE</t>
        </is>
      </c>
      <c r="M17" s="96" t="inlineStr">
        <is>
          <t>VFL</t>
        </is>
      </c>
      <c r="N17" s="96" t="inlineStr">
        <is>
          <t>LCH04</t>
        </is>
      </c>
      <c r="O17" s="96" t="inlineStr">
        <is>
          <t>LCH</t>
        </is>
      </c>
      <c r="P17" s="96" t="inlineStr">
        <is>
          <t>TH</t>
        </is>
      </c>
      <c r="Q17" s="96" t="inlineStr">
        <is>
          <t>HASLS22260902102</t>
        </is>
      </c>
      <c r="R17" s="96" t="inlineStr">
        <is>
          <t>N</t>
        </is>
      </c>
      <c r="S17" s="96" t="inlineStr">
        <is>
          <t>N</t>
        </is>
      </c>
      <c r="T17" s="96" t="inlineStr">
        <is>
          <t>KTS</t>
        </is>
      </c>
      <c r="U17" s="97" t="n"/>
      <c r="V17" s="96" t="inlineStr">
        <is>
          <t>K0120021</t>
        </is>
      </c>
      <c r="W17" s="96" t="inlineStr">
        <is>
          <t>THAI POLYACETAL CO.,LTD.</t>
        </is>
      </c>
      <c r="X17" s="96" t="inlineStr">
        <is>
          <t>VFD</t>
        </is>
      </c>
      <c r="Y17" s="96" t="inlineStr">
        <is>
          <t>MITSUI &amp; CO. (HONG KONG) LTD</t>
        </is>
      </c>
      <c r="Z17" s="96" t="inlineStr">
        <is>
          <t>MITSUI &amp; CO. (HONG KONG) LTD</t>
        </is>
      </c>
      <c r="AA17" s="97" t="n">
        <v>15421</v>
      </c>
      <c r="AB17" s="96" t="inlineStr">
        <is>
          <t>LCH04</t>
        </is>
      </c>
      <c r="AC17" s="96" t="inlineStr">
        <is>
          <t>HKG03</t>
        </is>
      </c>
    </row>
    <row r="18" ht="12" customHeight="1">
      <c r="A18" s="96" t="inlineStr">
        <is>
          <t>DFSU1697399</t>
        </is>
      </c>
      <c r="B18" s="161" t="inlineStr">
        <is>
          <t>2026-10-21</t>
        </is>
      </c>
      <c r="C18" s="96" t="inlineStr">
        <is>
          <t>KJT</t>
        </is>
      </c>
      <c r="D18" s="96" t="inlineStr">
        <is>
          <t>2611N</t>
        </is>
      </c>
      <c r="E18" s="96" t="inlineStr">
        <is>
          <t>22GP</t>
        </is>
      </c>
      <c r="F18" s="96" t="inlineStr">
        <is>
          <t>SD</t>
        </is>
      </c>
      <c r="G18" s="96" t="inlineStr">
        <is>
          <t>THLCH</t>
        </is>
      </c>
      <c r="H18" s="96" t="inlineStr">
        <is>
          <t>THLCH</t>
        </is>
      </c>
      <c r="I18" s="96" t="inlineStr">
        <is>
          <t>HKHKG</t>
        </is>
      </c>
      <c r="J18" s="96" t="inlineStr">
        <is>
          <t>HKHKG</t>
        </is>
      </c>
      <c r="K18" s="96" t="inlineStr">
        <is>
          <t>F</t>
        </is>
      </c>
      <c r="L18" s="96" t="inlineStr">
        <is>
          <t>ONE</t>
        </is>
      </c>
      <c r="M18" s="96" t="inlineStr">
        <is>
          <t>VFL</t>
        </is>
      </c>
      <c r="N18" s="96" t="inlineStr">
        <is>
          <t>LCH04</t>
        </is>
      </c>
      <c r="O18" s="96" t="inlineStr">
        <is>
          <t>LCH</t>
        </is>
      </c>
      <c r="P18" s="96" t="inlineStr">
        <is>
          <t>TH</t>
        </is>
      </c>
      <c r="Q18" s="96" t="inlineStr">
        <is>
          <t>HASLS22260902372</t>
        </is>
      </c>
      <c r="R18" s="96" t="inlineStr">
        <is>
          <t>N</t>
        </is>
      </c>
      <c r="S18" s="96" t="inlineStr">
        <is>
          <t>N</t>
        </is>
      </c>
      <c r="T18" s="96" t="inlineStr">
        <is>
          <t>KTS</t>
        </is>
      </c>
      <c r="U18" s="97" t="n"/>
      <c r="V18" s="96" t="inlineStr">
        <is>
          <t>K0120021</t>
        </is>
      </c>
      <c r="W18" s="96" t="inlineStr">
        <is>
          <t>DOUBLE A (1991) PUBLIC COMPANY</t>
        </is>
      </c>
      <c r="X18" s="96" t="inlineStr">
        <is>
          <t>VFD</t>
        </is>
      </c>
      <c r="Y18" s="96" t="inlineStr">
        <is>
          <t>TO ORDER</t>
        </is>
      </c>
      <c r="Z18" s="96" t="inlineStr">
        <is>
          <t>DOUBLE A INTERNATIONAL TRADING</t>
        </is>
      </c>
      <c r="AA18" s="97" t="n">
        <v>16819</v>
      </c>
      <c r="AB18" s="96" t="inlineStr">
        <is>
          <t>LCH04</t>
        </is>
      </c>
      <c r="AC18" s="96" t="inlineStr">
        <is>
          <t>HKG03</t>
        </is>
      </c>
    </row>
    <row r="19" ht="12" customHeight="1">
      <c r="A19" s="96" t="inlineStr">
        <is>
          <t>SKLU1649125</t>
        </is>
      </c>
      <c r="B19" s="161" t="inlineStr">
        <is>
          <t>2026-10-21</t>
        </is>
      </c>
      <c r="C19" s="96" t="inlineStr">
        <is>
          <t>KJT</t>
        </is>
      </c>
      <c r="D19" s="96" t="inlineStr">
        <is>
          <t>2611N</t>
        </is>
      </c>
      <c r="E19" s="96" t="inlineStr">
        <is>
          <t>22GP</t>
        </is>
      </c>
      <c r="F19" s="96" t="inlineStr">
        <is>
          <t>SD</t>
        </is>
      </c>
      <c r="G19" s="96" t="inlineStr">
        <is>
          <t>THLCH</t>
        </is>
      </c>
      <c r="H19" s="96" t="inlineStr">
        <is>
          <t>THLCH</t>
        </is>
      </c>
      <c r="I19" s="96" t="inlineStr">
        <is>
          <t>TWKEL</t>
        </is>
      </c>
      <c r="J19" s="96" t="inlineStr">
        <is>
          <t>TWKEL</t>
        </is>
      </c>
      <c r="K19" s="96" t="inlineStr">
        <is>
          <t>F</t>
        </is>
      </c>
      <c r="L19" s="96" t="inlineStr">
        <is>
          <t>ONE</t>
        </is>
      </c>
      <c r="M19" s="96" t="inlineStr">
        <is>
          <t>VFL</t>
        </is>
      </c>
      <c r="N19" s="96" t="inlineStr">
        <is>
          <t>LCH04</t>
        </is>
      </c>
      <c r="O19" s="96" t="inlineStr">
        <is>
          <t>LCH</t>
        </is>
      </c>
      <c r="P19" s="96" t="inlineStr">
        <is>
          <t>TH</t>
        </is>
      </c>
      <c r="Q19" s="96" t="inlineStr">
        <is>
          <t>HASLS22261000546</t>
        </is>
      </c>
      <c r="R19" s="96" t="inlineStr">
        <is>
          <t>N</t>
        </is>
      </c>
      <c r="S19" s="96" t="inlineStr">
        <is>
          <t>N</t>
        </is>
      </c>
      <c r="T19" s="96" t="inlineStr">
        <is>
          <t>KTS</t>
        </is>
      </c>
      <c r="U19" s="97" t="n"/>
      <c r="V19" s="96" t="inlineStr">
        <is>
          <t>K0120021</t>
        </is>
      </c>
      <c r="W19" s="96" t="inlineStr">
        <is>
          <t>ALUCON PUBLIC COMPANY LIMITED</t>
        </is>
      </c>
      <c r="X19" s="96" t="inlineStr">
        <is>
          <t>VED</t>
        </is>
      </c>
      <c r="Y19" s="96" t="inlineStr">
        <is>
          <t>SHIEUN-TA INDUSTRY CO.,LTD.</t>
        </is>
      </c>
      <c r="Z19" s="96" t="inlineStr">
        <is>
          <t>SHIEUN-TA INDUSTRY CO.,LTD.</t>
        </is>
      </c>
      <c r="AA19" s="97" t="n">
        <v>890.4</v>
      </c>
      <c r="AB19" s="96" t="inlineStr">
        <is>
          <t>LCH04</t>
        </is>
      </c>
      <c r="AC19" s="96" t="inlineStr">
        <is>
          <t>KEL02</t>
        </is>
      </c>
    </row>
    <row r="20" ht="12" customHeight="1">
      <c r="A20" s="96" t="inlineStr">
        <is>
          <t>SKLU2339628</t>
        </is>
      </c>
      <c r="B20" s="161" t="inlineStr">
        <is>
          <t>2026-10-21</t>
        </is>
      </c>
      <c r="C20" s="96" t="inlineStr">
        <is>
          <t>KJT</t>
        </is>
      </c>
      <c r="D20" s="96" t="inlineStr">
        <is>
          <t>2611N</t>
        </is>
      </c>
      <c r="E20" s="96" t="inlineStr">
        <is>
          <t>22GP</t>
        </is>
      </c>
      <c r="F20" s="96" t="inlineStr">
        <is>
          <t>SD</t>
        </is>
      </c>
      <c r="G20" s="96" t="inlineStr">
        <is>
          <t>THLCH</t>
        </is>
      </c>
      <c r="H20" s="96" t="inlineStr">
        <is>
          <t>THLCH</t>
        </is>
      </c>
      <c r="I20" s="96" t="inlineStr">
        <is>
          <t>TWKEL</t>
        </is>
      </c>
      <c r="J20" s="96" t="inlineStr">
        <is>
          <t>TWKEL</t>
        </is>
      </c>
      <c r="K20" s="96" t="inlineStr">
        <is>
          <t>F</t>
        </is>
      </c>
      <c r="L20" s="96" t="inlineStr">
        <is>
          <t>ONE</t>
        </is>
      </c>
      <c r="M20" s="96" t="inlineStr">
        <is>
          <t>VFL</t>
        </is>
      </c>
      <c r="N20" s="96" t="inlineStr">
        <is>
          <t>LCH04</t>
        </is>
      </c>
      <c r="O20" s="96" t="inlineStr">
        <is>
          <t>LCH</t>
        </is>
      </c>
      <c r="P20" s="96" t="inlineStr">
        <is>
          <t>TH</t>
        </is>
      </c>
      <c r="Q20" s="96" t="inlineStr">
        <is>
          <t>HASLS22261000840</t>
        </is>
      </c>
      <c r="R20" s="96" t="inlineStr">
        <is>
          <t>N</t>
        </is>
      </c>
      <c r="S20" s="96" t="inlineStr">
        <is>
          <t>N</t>
        </is>
      </c>
      <c r="T20" s="96" t="inlineStr">
        <is>
          <t>KTS</t>
        </is>
      </c>
      <c r="U20" s="97" t="n"/>
      <c r="V20" s="96" t="inlineStr">
        <is>
          <t>K0120021</t>
        </is>
      </c>
      <c r="W20" s="96" t="inlineStr">
        <is>
          <t>UBE CHEMICALS (ASIA) PUBLIC</t>
        </is>
      </c>
      <c r="X20" s="96" t="inlineStr">
        <is>
          <t>VED</t>
        </is>
      </c>
      <c r="Y20" s="96" t="inlineStr">
        <is>
          <t>FULLESTY CORPORATION</t>
        </is>
      </c>
      <c r="Z20" s="96" t="inlineStr">
        <is>
          <t>FULLESTY CORPORATION</t>
        </is>
      </c>
      <c r="AA20" s="97" t="n">
        <v>8185</v>
      </c>
      <c r="AB20" s="96" t="inlineStr">
        <is>
          <t>LCH04</t>
        </is>
      </c>
      <c r="AC20" s="96" t="inlineStr">
        <is>
          <t>KEL02</t>
        </is>
      </c>
    </row>
    <row r="21" ht="12" customHeight="1">
      <c r="A21" s="96" t="n"/>
      <c r="B21" s="161" t="n"/>
      <c r="C21" s="96" t="n"/>
      <c r="D21" s="96" t="n"/>
      <c r="E21" s="96" t="n"/>
      <c r="F21" s="96" t="n"/>
      <c r="G21" s="96" t="n"/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  <c r="Q21" s="96" t="n"/>
      <c r="R21" s="96" t="n"/>
      <c r="S21" s="96" t="n"/>
      <c r="T21" s="96" t="n"/>
      <c r="U21" s="97" t="n"/>
      <c r="V21" s="96" t="n"/>
      <c r="W21" s="96" t="n"/>
      <c r="X21" s="96" t="n"/>
      <c r="Y21" s="96" t="n"/>
      <c r="Z21" s="96" t="n"/>
      <c r="AA21" s="97" t="n"/>
      <c r="AB21" s="96" t="n"/>
      <c r="AC21" s="96" t="n"/>
    </row>
    <row r="22" ht="12" customHeight="1">
      <c r="A22" s="96" t="n"/>
      <c r="B22" s="161" t="n"/>
      <c r="C22" s="96" t="n"/>
      <c r="D22" s="96" t="n"/>
      <c r="E22" s="96" t="n"/>
      <c r="F22" s="96" t="n"/>
      <c r="G22" s="96" t="n"/>
      <c r="H22" s="96" t="n"/>
      <c r="I22" s="96" t="n"/>
      <c r="J22" s="96" t="n"/>
      <c r="K22" s="96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7" t="n"/>
      <c r="V22" s="96" t="n"/>
      <c r="W22" s="96" t="n"/>
      <c r="X22" s="96" t="n"/>
      <c r="Y22" s="96" t="n"/>
      <c r="Z22" s="96" t="n"/>
      <c r="AA22" s="97" t="n"/>
      <c r="AB22" s="96" t="n"/>
      <c r="AC22" s="96" t="n"/>
    </row>
    <row r="23" ht="12" customHeight="1">
      <c r="A23" s="96" t="n"/>
      <c r="B23" s="161" t="n"/>
      <c r="C23" s="96" t="n"/>
      <c r="D23" s="96" t="n"/>
      <c r="E23" s="96" t="n"/>
      <c r="F23" s="96" t="n"/>
      <c r="G23" s="96" t="n"/>
      <c r="H23" s="96" t="n"/>
      <c r="I23" s="96" t="n"/>
      <c r="J23" s="96" t="n"/>
      <c r="K23" s="96" t="n"/>
      <c r="L23" s="96" t="n"/>
      <c r="M23" s="96" t="n"/>
      <c r="N23" s="96" t="n"/>
      <c r="O23" s="96" t="n"/>
      <c r="P23" s="96" t="n"/>
      <c r="Q23" s="96" t="n"/>
      <c r="R23" s="96" t="n"/>
      <c r="S23" s="96" t="n"/>
      <c r="T23" s="96" t="n"/>
      <c r="U23" s="97" t="n"/>
      <c r="V23" s="96" t="n"/>
      <c r="W23" s="96" t="n"/>
      <c r="X23" s="96" t="n"/>
      <c r="Y23" s="96" t="n"/>
      <c r="Z23" s="96" t="n"/>
      <c r="AA23" s="97" t="n"/>
      <c r="AB23" s="96" t="n"/>
      <c r="AC23" s="96" t="n"/>
    </row>
    <row r="24" ht="12" customHeight="1">
      <c r="A24" s="96" t="n"/>
      <c r="B24" s="161" t="n"/>
      <c r="C24" s="96" t="n"/>
      <c r="D24" s="96" t="n"/>
      <c r="E24" s="96" t="n"/>
      <c r="F24" s="96" t="n"/>
      <c r="G24" s="96" t="n"/>
      <c r="H24" s="96" t="n"/>
      <c r="I24" s="96" t="n"/>
      <c r="J24" s="96" t="n"/>
      <c r="K24" s="96" t="n"/>
      <c r="L24" s="96" t="n"/>
      <c r="M24" s="96" t="n"/>
      <c r="N24" s="96" t="n"/>
      <c r="O24" s="96" t="n"/>
      <c r="P24" s="96" t="n"/>
      <c r="Q24" s="96" t="n"/>
      <c r="R24" s="96" t="n"/>
      <c r="S24" s="96" t="n"/>
      <c r="T24" s="96" t="n"/>
      <c r="U24" s="97" t="n"/>
      <c r="V24" s="96" t="n"/>
      <c r="W24" s="96" t="n"/>
      <c r="X24" s="96" t="n"/>
      <c r="Y24" s="96" t="n"/>
      <c r="Z24" s="96" t="n"/>
      <c r="AA24" s="97" t="n"/>
      <c r="AB24" s="96" t="n"/>
      <c r="AC24" s="96" t="n"/>
    </row>
    <row r="25" ht="12" customHeight="1">
      <c r="A25" s="96" t="n"/>
      <c r="B25" s="161" t="n"/>
      <c r="C25" s="96" t="n"/>
      <c r="D25" s="96" t="n"/>
      <c r="E25" s="96" t="n"/>
      <c r="F25" s="96" t="n"/>
      <c r="G25" s="96" t="n"/>
      <c r="H25" s="96" t="n"/>
      <c r="I25" s="96" t="n"/>
      <c r="J25" s="96" t="n"/>
      <c r="K25" s="96" t="n"/>
      <c r="L25" s="96" t="n"/>
      <c r="M25" s="96" t="n"/>
      <c r="N25" s="96" t="n"/>
      <c r="O25" s="96" t="n"/>
      <c r="P25" s="96" t="n"/>
      <c r="Q25" s="96" t="n"/>
      <c r="R25" s="96" t="n"/>
      <c r="S25" s="96" t="n"/>
      <c r="T25" s="96" t="n"/>
      <c r="U25" s="97" t="n"/>
      <c r="V25" s="96" t="n"/>
      <c r="W25" s="96" t="n"/>
      <c r="X25" s="96" t="n"/>
      <c r="Y25" s="96" t="n"/>
      <c r="Z25" s="96" t="n"/>
      <c r="AA25" s="97" t="n"/>
      <c r="AB25" s="96" t="n"/>
      <c r="AC25" s="96" t="n"/>
    </row>
    <row r="26" ht="12" customHeight="1">
      <c r="A26" s="96" t="n"/>
      <c r="B26" s="161" t="n"/>
      <c r="C26" s="96" t="n"/>
      <c r="D26" s="96" t="n"/>
      <c r="E26" s="96" t="n"/>
      <c r="F26" s="96" t="n"/>
      <c r="G26" s="96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  <c r="Q26" s="96" t="n"/>
      <c r="R26" s="96" t="n"/>
      <c r="S26" s="96" t="n"/>
      <c r="T26" s="96" t="n"/>
      <c r="U26" s="97" t="n"/>
      <c r="V26" s="96" t="n"/>
      <c r="W26" s="96" t="n"/>
      <c r="X26" s="96" t="n"/>
      <c r="Y26" s="96" t="n"/>
      <c r="Z26" s="96" t="n"/>
      <c r="AA26" s="97" t="n"/>
      <c r="AB26" s="96" t="n"/>
      <c r="AC26" s="96" t="n"/>
    </row>
    <row r="27" ht="12" customHeight="1">
      <c r="A27" s="96" t="n"/>
      <c r="B27" s="161" t="n"/>
      <c r="C27" s="96" t="n"/>
      <c r="D27" s="96" t="n"/>
      <c r="E27" s="96" t="n"/>
      <c r="F27" s="96" t="n"/>
      <c r="G27" s="96" t="n"/>
      <c r="H27" s="96" t="n"/>
      <c r="I27" s="96" t="n"/>
      <c r="J27" s="96" t="n"/>
      <c r="K27" s="96" t="n"/>
      <c r="L27" s="96" t="n"/>
      <c r="M27" s="96" t="n"/>
      <c r="N27" s="96" t="n"/>
      <c r="O27" s="96" t="n"/>
      <c r="P27" s="96" t="n"/>
      <c r="Q27" s="96" t="n"/>
      <c r="R27" s="96" t="n"/>
      <c r="S27" s="96" t="n"/>
      <c r="T27" s="96" t="n"/>
      <c r="U27" s="97" t="n"/>
      <c r="V27" s="96" t="n"/>
      <c r="W27" s="96" t="n"/>
      <c r="X27" s="96" t="n"/>
      <c r="Y27" s="96" t="n"/>
      <c r="Z27" s="96" t="n"/>
      <c r="AA27" s="97" t="n"/>
      <c r="AB27" s="96" t="n"/>
      <c r="AC27" s="96" t="n"/>
    </row>
    <row r="28" ht="12" customHeight="1">
      <c r="A28" s="96" t="n"/>
      <c r="B28" s="161" t="n"/>
      <c r="C28" s="96" t="n"/>
      <c r="D28" s="96" t="n"/>
      <c r="E28" s="96" t="n"/>
      <c r="F28" s="96" t="n"/>
      <c r="G28" s="96" t="n"/>
      <c r="H28" s="96" t="n"/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6" t="n"/>
      <c r="U28" s="97" t="n"/>
      <c r="V28" s="96" t="n"/>
      <c r="W28" s="96" t="n"/>
      <c r="X28" s="96" t="n"/>
      <c r="Y28" s="96" t="n"/>
      <c r="Z28" s="96" t="n"/>
      <c r="AA28" s="97" t="n"/>
      <c r="AB28" s="96" t="n"/>
      <c r="AC28" s="96" t="n"/>
    </row>
    <row r="29" ht="12" customHeight="1">
      <c r="A29" s="96" t="n"/>
      <c r="B29" s="161" t="n"/>
      <c r="C29" s="96" t="n"/>
      <c r="D29" s="96" t="n"/>
      <c r="E29" s="96" t="n"/>
      <c r="F29" s="96" t="n"/>
      <c r="G29" s="96" t="n"/>
      <c r="H29" s="96" t="n"/>
      <c r="I29" s="96" t="n"/>
      <c r="J29" s="96" t="n"/>
      <c r="K29" s="96" t="n"/>
      <c r="L29" s="96" t="n"/>
      <c r="M29" s="96" t="n"/>
      <c r="N29" s="96" t="n"/>
      <c r="O29" s="96" t="n"/>
      <c r="P29" s="96" t="n"/>
      <c r="Q29" s="96" t="n"/>
      <c r="R29" s="96" t="n"/>
      <c r="S29" s="96" t="n"/>
      <c r="T29" s="96" t="n"/>
      <c r="U29" s="97" t="n"/>
      <c r="V29" s="96" t="n"/>
      <c r="W29" s="96" t="n"/>
      <c r="X29" s="96" t="n"/>
      <c r="Y29" s="96" t="n"/>
      <c r="Z29" s="96" t="n"/>
      <c r="AA29" s="97" t="n"/>
      <c r="AB29" s="96" t="n"/>
      <c r="AC29" s="96" t="n"/>
    </row>
    <row r="30" ht="12" customHeight="1">
      <c r="A30" s="96" t="n"/>
      <c r="B30" s="161" t="n"/>
      <c r="C30" s="96" t="n"/>
      <c r="D30" s="96" t="n"/>
      <c r="E30" s="96" t="n"/>
      <c r="F30" s="96" t="n"/>
      <c r="G30" s="96" t="n"/>
      <c r="H30" s="96" t="n"/>
      <c r="I30" s="96" t="n"/>
      <c r="J30" s="96" t="n"/>
      <c r="K30" s="96" t="n"/>
      <c r="L30" s="96" t="n"/>
      <c r="M30" s="96" t="n"/>
      <c r="N30" s="96" t="n"/>
      <c r="O30" s="96" t="n"/>
      <c r="P30" s="96" t="n"/>
      <c r="Q30" s="96" t="n"/>
      <c r="R30" s="96" t="n"/>
      <c r="S30" s="96" t="n"/>
      <c r="T30" s="96" t="n"/>
      <c r="U30" s="97" t="n"/>
      <c r="V30" s="96" t="n"/>
      <c r="W30" s="96" t="n"/>
      <c r="X30" s="96" t="n"/>
      <c r="Y30" s="96" t="n"/>
      <c r="Z30" s="96" t="n"/>
      <c r="AA30" s="97" t="n"/>
      <c r="AB30" s="96" t="n"/>
      <c r="AC30" s="96" t="n"/>
    </row>
    <row r="31" ht="12" customHeight="1">
      <c r="A31" s="96" t="n"/>
      <c r="B31" s="161" t="n"/>
      <c r="C31" s="96" t="n"/>
      <c r="D31" s="96" t="n"/>
      <c r="E31" s="96" t="n"/>
      <c r="F31" s="96" t="n"/>
      <c r="G31" s="96" t="n"/>
      <c r="H31" s="96" t="n"/>
      <c r="I31" s="96" t="n"/>
      <c r="J31" s="96" t="n"/>
      <c r="K31" s="96" t="n"/>
      <c r="L31" s="96" t="n"/>
      <c r="M31" s="96" t="n"/>
      <c r="N31" s="96" t="n"/>
      <c r="O31" s="96" t="n"/>
      <c r="P31" s="96" t="n"/>
      <c r="Q31" s="96" t="n"/>
      <c r="R31" s="96" t="n"/>
      <c r="S31" s="96" t="n"/>
      <c r="T31" s="96" t="n"/>
      <c r="U31" s="97" t="n"/>
      <c r="V31" s="96" t="n"/>
      <c r="W31" s="96" t="n"/>
      <c r="X31" s="96" t="n"/>
      <c r="Y31" s="96" t="n"/>
      <c r="Z31" s="96" t="n"/>
      <c r="AA31" s="97" t="n"/>
      <c r="AB31" s="96" t="n"/>
      <c r="AC31" s="96" t="n"/>
    </row>
    <row r="32" ht="12" customHeight="1">
      <c r="A32" s="96" t="n"/>
      <c r="B32" s="161" t="n"/>
      <c r="C32" s="96" t="n"/>
      <c r="D32" s="96" t="n"/>
      <c r="E32" s="96" t="n"/>
      <c r="F32" s="96" t="n"/>
      <c r="G32" s="96" t="n"/>
      <c r="H32" s="96" t="n"/>
      <c r="I32" s="96" t="n"/>
      <c r="J32" s="96" t="n"/>
      <c r="K32" s="96" t="n"/>
      <c r="L32" s="96" t="n"/>
      <c r="M32" s="96" t="n"/>
      <c r="N32" s="96" t="n"/>
      <c r="O32" s="96" t="n"/>
      <c r="P32" s="96" t="n"/>
      <c r="Q32" s="96" t="n"/>
      <c r="R32" s="96" t="n"/>
      <c r="S32" s="96" t="n"/>
      <c r="T32" s="96" t="n"/>
      <c r="U32" s="97" t="n"/>
      <c r="V32" s="96" t="n"/>
      <c r="W32" s="96" t="n"/>
      <c r="X32" s="96" t="n"/>
      <c r="Y32" s="96" t="n"/>
      <c r="Z32" s="96" t="n"/>
      <c r="AA32" s="97" t="n"/>
      <c r="AB32" s="96" t="n"/>
      <c r="AC32" s="96" t="n"/>
    </row>
    <row r="33" ht="12" customHeight="1">
      <c r="A33" s="96" t="n"/>
      <c r="B33" s="161" t="n"/>
      <c r="C33" s="96" t="n"/>
      <c r="D33" s="96" t="n"/>
      <c r="E33" s="96" t="n"/>
      <c r="F33" s="96" t="n"/>
      <c r="G33" s="96" t="n"/>
      <c r="H33" s="96" t="n"/>
      <c r="I33" s="96" t="n"/>
      <c r="J33" s="96" t="n"/>
      <c r="K33" s="96" t="n"/>
      <c r="L33" s="96" t="n"/>
      <c r="M33" s="96" t="n"/>
      <c r="N33" s="96" t="n"/>
      <c r="O33" s="96" t="n"/>
      <c r="P33" s="96" t="n"/>
      <c r="Q33" s="96" t="n"/>
      <c r="R33" s="96" t="n"/>
      <c r="S33" s="96" t="n"/>
      <c r="T33" s="96" t="n"/>
      <c r="U33" s="97" t="n"/>
      <c r="V33" s="96" t="n"/>
      <c r="W33" s="96" t="n"/>
      <c r="X33" s="96" t="n"/>
      <c r="Y33" s="96" t="n"/>
      <c r="Z33" s="96" t="n"/>
      <c r="AA33" s="97" t="n"/>
      <c r="AB33" s="96" t="n"/>
      <c r="AC33" s="96" t="n"/>
    </row>
    <row r="34" ht="12" customHeight="1">
      <c r="A34" s="96" t="n"/>
      <c r="B34" s="161" t="n"/>
      <c r="C34" s="96" t="n"/>
      <c r="D34" s="96" t="n"/>
      <c r="E34" s="96" t="n"/>
      <c r="F34" s="96" t="n"/>
      <c r="G34" s="96" t="n"/>
      <c r="H34" s="96" t="n"/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  <c r="S34" s="96" t="n"/>
      <c r="T34" s="96" t="n"/>
      <c r="U34" s="97" t="n"/>
      <c r="V34" s="96" t="n"/>
      <c r="W34" s="96" t="n"/>
      <c r="X34" s="96" t="n"/>
      <c r="Y34" s="96" t="n"/>
      <c r="Z34" s="96" t="n"/>
      <c r="AA34" s="97" t="n"/>
      <c r="AB34" s="96" t="n"/>
      <c r="AC34" s="96" t="n"/>
    </row>
    <row r="35" ht="12" customHeight="1">
      <c r="A35" s="96" t="n"/>
      <c r="B35" s="161" t="n"/>
      <c r="C35" s="96" t="n"/>
      <c r="D35" s="96" t="n"/>
      <c r="E35" s="96" t="n"/>
      <c r="F35" s="96" t="n"/>
      <c r="G35" s="96" t="n"/>
      <c r="H35" s="96" t="n"/>
      <c r="I35" s="96" t="n"/>
      <c r="J35" s="96" t="n"/>
      <c r="K35" s="96" t="n"/>
      <c r="L35" s="96" t="n"/>
      <c r="M35" s="96" t="n"/>
      <c r="N35" s="96" t="n"/>
      <c r="O35" s="96" t="n"/>
      <c r="P35" s="96" t="n"/>
      <c r="Q35" s="96" t="n"/>
      <c r="R35" s="96" t="n"/>
      <c r="S35" s="96" t="n"/>
      <c r="T35" s="96" t="n"/>
      <c r="U35" s="97" t="n"/>
      <c r="V35" s="96" t="n"/>
      <c r="W35" s="96" t="n"/>
      <c r="X35" s="96" t="n"/>
      <c r="Y35" s="96" t="n"/>
      <c r="Z35" s="96" t="n"/>
      <c r="AA35" s="97" t="n"/>
      <c r="AB35" s="96" t="n"/>
      <c r="AC35" s="96" t="n"/>
    </row>
    <row r="36" ht="12" customHeight="1">
      <c r="A36" s="96" t="n"/>
      <c r="B36" s="161" t="n"/>
      <c r="C36" s="96" t="n"/>
      <c r="D36" s="96" t="n"/>
      <c r="E36" s="96" t="n"/>
      <c r="F36" s="96" t="n"/>
      <c r="G36" s="96" t="n"/>
      <c r="H36" s="96" t="n"/>
      <c r="I36" s="96" t="n"/>
      <c r="J36" s="96" t="n"/>
      <c r="K36" s="96" t="n"/>
      <c r="L36" s="96" t="n"/>
      <c r="M36" s="96" t="n"/>
      <c r="N36" s="96" t="n"/>
      <c r="O36" s="96" t="n"/>
      <c r="P36" s="96" t="n"/>
      <c r="Q36" s="96" t="n"/>
      <c r="R36" s="96" t="n"/>
      <c r="S36" s="96" t="n"/>
      <c r="T36" s="96" t="n"/>
      <c r="U36" s="97" t="n"/>
      <c r="V36" s="96" t="n"/>
      <c r="W36" s="96" t="n"/>
      <c r="X36" s="96" t="n"/>
      <c r="Y36" s="96" t="n"/>
      <c r="Z36" s="96" t="n"/>
      <c r="AA36" s="97" t="n"/>
      <c r="AB36" s="96" t="n"/>
      <c r="AC36" s="96" t="n"/>
    </row>
    <row r="37" ht="12" customHeight="1">
      <c r="A37" s="96" t="n"/>
      <c r="B37" s="161" t="n"/>
      <c r="C37" s="96" t="n"/>
      <c r="D37" s="96" t="n"/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6" t="n"/>
      <c r="S37" s="96" t="n"/>
      <c r="T37" s="96" t="n"/>
      <c r="U37" s="97" t="n"/>
      <c r="V37" s="96" t="n"/>
      <c r="W37" s="96" t="n"/>
      <c r="X37" s="96" t="n"/>
      <c r="Y37" s="96" t="n"/>
      <c r="Z37" s="96" t="n"/>
      <c r="AA37" s="97" t="n"/>
      <c r="AB37" s="96" t="n"/>
      <c r="AC37" s="96" t="n"/>
    </row>
    <row r="38" ht="12" customHeight="1">
      <c r="A38" s="96" t="n"/>
      <c r="B38" s="161" t="n"/>
      <c r="C38" s="96" t="n"/>
      <c r="D38" s="96" t="n"/>
      <c r="E38" s="96" t="n"/>
      <c r="F38" s="96" t="n"/>
      <c r="G38" s="96" t="n"/>
      <c r="H38" s="96" t="n"/>
      <c r="I38" s="96" t="n"/>
      <c r="J38" s="96" t="n"/>
      <c r="K38" s="96" t="n"/>
      <c r="L38" s="96" t="n"/>
      <c r="M38" s="96" t="n"/>
      <c r="N38" s="96" t="n"/>
      <c r="O38" s="96" t="n"/>
      <c r="P38" s="96" t="n"/>
      <c r="Q38" s="96" t="n"/>
      <c r="R38" s="96" t="n"/>
      <c r="S38" s="96" t="n"/>
      <c r="T38" s="96" t="n"/>
      <c r="U38" s="97" t="n"/>
      <c r="V38" s="96" t="n"/>
      <c r="W38" s="96" t="n"/>
      <c r="X38" s="96" t="n"/>
      <c r="Y38" s="96" t="n"/>
      <c r="Z38" s="96" t="n"/>
      <c r="AA38" s="97" t="n"/>
      <c r="AB38" s="96" t="n"/>
      <c r="AC38" s="96" t="n"/>
    </row>
    <row r="39" ht="12" customHeight="1">
      <c r="A39" s="96" t="n"/>
      <c r="B39" s="161" t="n"/>
      <c r="C39" s="96" t="n"/>
      <c r="D39" s="96" t="n"/>
      <c r="E39" s="96" t="n"/>
      <c r="F39" s="96" t="n"/>
      <c r="G39" s="96" t="n"/>
      <c r="H39" s="96" t="n"/>
      <c r="I39" s="96" t="n"/>
      <c r="J39" s="96" t="n"/>
      <c r="K39" s="96" t="n"/>
      <c r="L39" s="96" t="n"/>
      <c r="M39" s="96" t="n"/>
      <c r="N39" s="96" t="n"/>
      <c r="O39" s="96" t="n"/>
      <c r="P39" s="96" t="n"/>
      <c r="Q39" s="96" t="n"/>
      <c r="R39" s="96" t="n"/>
      <c r="S39" s="96" t="n"/>
      <c r="T39" s="96" t="n"/>
      <c r="U39" s="97" t="n"/>
      <c r="V39" s="96" t="n"/>
      <c r="W39" s="96" t="n"/>
      <c r="X39" s="96" t="n"/>
      <c r="Y39" s="96" t="n"/>
      <c r="Z39" s="96" t="n"/>
      <c r="AA39" s="97" t="n"/>
      <c r="AB39" s="96" t="n"/>
      <c r="AC39" s="96" t="n"/>
    </row>
    <row r="40" ht="12" customHeight="1">
      <c r="A40" s="96" t="n"/>
      <c r="B40" s="161" t="n"/>
      <c r="C40" s="96" t="n"/>
      <c r="D40" s="96" t="n"/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  <c r="Q40" s="96" t="n"/>
      <c r="R40" s="96" t="n"/>
      <c r="S40" s="96" t="n"/>
      <c r="T40" s="96" t="n"/>
      <c r="U40" s="97" t="n"/>
      <c r="V40" s="96" t="n"/>
      <c r="W40" s="96" t="n"/>
      <c r="X40" s="96" t="n"/>
      <c r="Y40" s="96" t="n"/>
      <c r="Z40" s="96" t="n"/>
      <c r="AA40" s="97" t="n"/>
      <c r="AB40" s="96" t="n"/>
      <c r="AC40" s="96" t="n"/>
    </row>
    <row r="41" ht="12" customHeight="1">
      <c r="A41" s="96" t="n"/>
      <c r="B41" s="161" t="n"/>
      <c r="C41" s="96" t="n"/>
      <c r="D41" s="96" t="n"/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6" t="n"/>
      <c r="S41" s="96" t="n"/>
      <c r="T41" s="96" t="n"/>
      <c r="U41" s="97" t="n"/>
      <c r="V41" s="96" t="n"/>
      <c r="W41" s="96" t="n"/>
      <c r="X41" s="96" t="n"/>
      <c r="Y41" s="96" t="n"/>
      <c r="Z41" s="96" t="n"/>
      <c r="AA41" s="97" t="n"/>
      <c r="AB41" s="96" t="n"/>
      <c r="AC41" s="96" t="n"/>
    </row>
    <row r="42" ht="12" customHeight="1">
      <c r="A42" s="96" t="n"/>
      <c r="B42" s="161" t="n"/>
      <c r="C42" s="96" t="n"/>
      <c r="D42" s="96" t="n"/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6" t="n"/>
      <c r="S42" s="96" t="n"/>
      <c r="T42" s="96" t="n"/>
      <c r="U42" s="97" t="n"/>
      <c r="V42" s="96" t="n"/>
      <c r="W42" s="96" t="n"/>
      <c r="X42" s="96" t="n"/>
      <c r="Y42" s="96" t="n"/>
      <c r="Z42" s="96" t="n"/>
      <c r="AA42" s="97" t="n"/>
      <c r="AB42" s="96" t="n"/>
      <c r="AC42" s="96" t="n"/>
    </row>
    <row r="43" ht="12" customHeight="1">
      <c r="A43" s="96" t="n"/>
      <c r="B43" s="161" t="n"/>
      <c r="C43" s="96" t="n"/>
      <c r="D43" s="96" t="n"/>
      <c r="E43" s="96" t="n"/>
      <c r="F43" s="96" t="n"/>
      <c r="G43" s="96" t="n"/>
      <c r="H43" s="96" t="n"/>
      <c r="I43" s="96" t="n"/>
      <c r="J43" s="96" t="n"/>
      <c r="K43" s="96" t="n"/>
      <c r="L43" s="96" t="n"/>
      <c r="M43" s="96" t="n"/>
      <c r="N43" s="96" t="n"/>
      <c r="O43" s="96" t="n"/>
      <c r="P43" s="96" t="n"/>
      <c r="Q43" s="96" t="n"/>
      <c r="R43" s="96" t="n"/>
      <c r="S43" s="96" t="n"/>
      <c r="T43" s="96" t="n"/>
      <c r="U43" s="97" t="n"/>
      <c r="V43" s="96" t="n"/>
      <c r="W43" s="96" t="n"/>
      <c r="X43" s="96" t="n"/>
      <c r="Y43" s="96" t="n"/>
      <c r="Z43" s="96" t="n"/>
      <c r="AA43" s="97" t="n"/>
      <c r="AB43" s="96" t="n"/>
      <c r="AC43" s="96" t="n"/>
    </row>
    <row r="44" ht="12" customHeight="1">
      <c r="A44" s="96" t="n"/>
      <c r="B44" s="161" t="n"/>
      <c r="C44" s="96" t="n"/>
      <c r="D44" s="96" t="n"/>
      <c r="E44" s="96" t="n"/>
      <c r="F44" s="96" t="n"/>
      <c r="G44" s="96" t="n"/>
      <c r="H44" s="96" t="n"/>
      <c r="I44" s="96" t="n"/>
      <c r="J44" s="96" t="n"/>
      <c r="K44" s="96" t="n"/>
      <c r="L44" s="96" t="n"/>
      <c r="M44" s="96" t="n"/>
      <c r="N44" s="96" t="n"/>
      <c r="O44" s="96" t="n"/>
      <c r="P44" s="96" t="n"/>
      <c r="Q44" s="96" t="n"/>
      <c r="R44" s="96" t="n"/>
      <c r="S44" s="96" t="n"/>
      <c r="T44" s="96" t="n"/>
      <c r="U44" s="97" t="n"/>
      <c r="V44" s="96" t="n"/>
      <c r="W44" s="96" t="n"/>
      <c r="X44" s="96" t="n"/>
      <c r="Y44" s="96" t="n"/>
      <c r="Z44" s="96" t="n"/>
      <c r="AA44" s="97" t="n"/>
      <c r="AB44" s="96" t="n"/>
      <c r="AC44" s="96" t="n"/>
    </row>
    <row r="45" ht="12" customHeight="1">
      <c r="A45" s="96" t="n"/>
      <c r="B45" s="161" t="n"/>
      <c r="C45" s="96" t="n"/>
      <c r="D45" s="96" t="n"/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6" t="n"/>
      <c r="S45" s="96" t="n"/>
      <c r="T45" s="96" t="n"/>
      <c r="U45" s="97" t="n"/>
      <c r="V45" s="96" t="n"/>
      <c r="W45" s="96" t="n"/>
      <c r="X45" s="96" t="n"/>
      <c r="Y45" s="96" t="n"/>
      <c r="Z45" s="96" t="n"/>
      <c r="AA45" s="97" t="n"/>
      <c r="AB45" s="96" t="n"/>
      <c r="AC45" s="96" t="n"/>
    </row>
    <row r="46" ht="12" customHeight="1">
      <c r="A46" s="96" t="n"/>
      <c r="B46" s="161" t="n"/>
      <c r="C46" s="96" t="n"/>
      <c r="D46" s="96" t="n"/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6" t="n"/>
      <c r="S46" s="96" t="n"/>
      <c r="T46" s="96" t="n"/>
      <c r="U46" s="97" t="n"/>
      <c r="V46" s="96" t="n"/>
      <c r="W46" s="96" t="n"/>
      <c r="X46" s="96" t="n"/>
      <c r="Y46" s="96" t="n"/>
      <c r="Z46" s="96" t="n"/>
      <c r="AA46" s="97" t="n"/>
      <c r="AB46" s="96" t="n"/>
      <c r="AC46" s="96" t="n"/>
    </row>
    <row r="47" ht="12" customHeight="1">
      <c r="A47" s="96" t="n"/>
      <c r="B47" s="161" t="n"/>
      <c r="C47" s="96" t="n"/>
      <c r="D47" s="96" t="n"/>
      <c r="E47" s="96" t="n"/>
      <c r="F47" s="96" t="n"/>
      <c r="G47" s="96" t="n"/>
      <c r="H47" s="96" t="n"/>
      <c r="I47" s="96" t="n"/>
      <c r="J47" s="96" t="n"/>
      <c r="K47" s="96" t="n"/>
      <c r="L47" s="96" t="n"/>
      <c r="M47" s="96" t="n"/>
      <c r="N47" s="96" t="n"/>
      <c r="O47" s="96" t="n"/>
      <c r="P47" s="96" t="n"/>
      <c r="Q47" s="96" t="n"/>
      <c r="R47" s="96" t="n"/>
      <c r="S47" s="96" t="n"/>
      <c r="T47" s="96" t="n"/>
      <c r="U47" s="97" t="n"/>
      <c r="V47" s="96" t="n"/>
      <c r="W47" s="96" t="n"/>
      <c r="X47" s="96" t="n"/>
      <c r="Y47" s="96" t="n"/>
      <c r="Z47" s="96" t="n"/>
      <c r="AA47" s="97" t="n"/>
      <c r="AB47" s="96" t="n"/>
      <c r="AC47" s="96" t="n"/>
    </row>
    <row r="48" ht="12" customHeight="1">
      <c r="A48" s="96" t="n"/>
      <c r="B48" s="161" t="n"/>
      <c r="C48" s="96" t="n"/>
      <c r="D48" s="96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7" t="n"/>
      <c r="V48" s="96" t="n"/>
      <c r="W48" s="96" t="n"/>
      <c r="X48" s="96" t="n"/>
      <c r="Y48" s="96" t="n"/>
      <c r="Z48" s="96" t="n"/>
      <c r="AA48" s="97" t="n"/>
      <c r="AB48" s="96" t="n"/>
      <c r="AC48" s="96" t="n"/>
    </row>
    <row r="49" ht="12" customHeight="1">
      <c r="A49" s="96" t="n"/>
      <c r="B49" s="161" t="n"/>
      <c r="C49" s="96" t="n"/>
      <c r="D49" s="96" t="n"/>
      <c r="E49" s="96" t="n"/>
      <c r="F49" s="9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7" t="n"/>
      <c r="V49" s="96" t="n"/>
      <c r="W49" s="96" t="n"/>
      <c r="X49" s="96" t="n"/>
      <c r="Y49" s="96" t="n"/>
      <c r="Z49" s="96" t="n"/>
      <c r="AA49" s="97" t="n"/>
      <c r="AB49" s="96" t="n"/>
      <c r="AC49" s="96" t="n"/>
    </row>
    <row r="50" ht="12" customHeight="1">
      <c r="A50" s="96" t="n"/>
      <c r="B50" s="161" t="n"/>
      <c r="C50" s="96" t="n"/>
      <c r="D50" s="96" t="n"/>
      <c r="E50" s="96" t="n"/>
      <c r="F50" s="96" t="n"/>
      <c r="G50" s="96" t="n"/>
      <c r="H50" s="96" t="n"/>
      <c r="I50" s="96" t="n"/>
      <c r="J50" s="96" t="n"/>
      <c r="K50" s="96" t="n"/>
      <c r="L50" s="96" t="n"/>
      <c r="M50" s="96" t="n"/>
      <c r="N50" s="96" t="n"/>
      <c r="O50" s="96" t="n"/>
      <c r="P50" s="96" t="n"/>
      <c r="Q50" s="96" t="n"/>
      <c r="R50" s="96" t="n"/>
      <c r="S50" s="96" t="n"/>
      <c r="T50" s="96" t="n"/>
      <c r="U50" s="97" t="n"/>
      <c r="V50" s="96" t="n"/>
      <c r="W50" s="96" t="n"/>
      <c r="X50" s="96" t="n"/>
      <c r="Y50" s="96" t="n"/>
      <c r="Z50" s="96" t="n"/>
      <c r="AA50" s="97" t="n"/>
      <c r="AB50" s="96" t="n"/>
      <c r="AC50" s="96" t="n"/>
    </row>
    <row r="51" ht="12" customHeight="1">
      <c r="A51" s="96" t="n"/>
      <c r="B51" s="161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  <c r="Q51" s="96" t="n"/>
      <c r="R51" s="96" t="n"/>
      <c r="S51" s="96" t="n"/>
      <c r="T51" s="96" t="n"/>
      <c r="U51" s="97" t="n"/>
      <c r="V51" s="96" t="n"/>
      <c r="W51" s="96" t="n"/>
      <c r="X51" s="96" t="n"/>
      <c r="Y51" s="96" t="n"/>
      <c r="Z51" s="96" t="n"/>
      <c r="AA51" s="97" t="n"/>
      <c r="AB51" s="96" t="n"/>
      <c r="AC51" s="96" t="n"/>
    </row>
    <row r="52" ht="12" customHeight="1">
      <c r="A52" s="131" t="n"/>
      <c r="B52" s="131" t="n"/>
      <c r="C52" s="131" t="n"/>
      <c r="D52" s="131" t="n"/>
      <c r="E52" s="131" t="n"/>
      <c r="F52" s="131" t="n"/>
      <c r="G52" s="131" t="n"/>
      <c r="H52" s="131" t="n"/>
      <c r="I52" s="131" t="n"/>
      <c r="J52" s="131" t="n"/>
      <c r="K52" s="131" t="n"/>
      <c r="L52" s="131" t="n"/>
      <c r="M52" s="131" t="n"/>
      <c r="N52" s="131" t="n"/>
      <c r="O52" s="131" t="n"/>
      <c r="P52" s="131" t="n"/>
      <c r="Q52" s="131" t="n"/>
      <c r="R52" s="131" t="n"/>
      <c r="S52" s="131" t="n"/>
      <c r="T52" s="131" t="n"/>
      <c r="U52" s="131" t="n"/>
      <c r="V52" s="131" t="n"/>
      <c r="W52" s="131" t="n"/>
      <c r="X52" s="131" t="n"/>
      <c r="Y52" s="131" t="n"/>
      <c r="Z52" s="131" t="n"/>
      <c r="AA52" s="162" t="n"/>
      <c r="AB52" s="133" t="n"/>
      <c r="AC52" s="133" t="n"/>
    </row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autoFilter ref="A1:Z1663">
    <filterColumn colId="2" hiddenButton="0" showButton="1">
      <filters>
        <filter val="SKWD"/>
      </filters>
    </filterColumn>
    <sortState ref="A2:Z40">
      <sortCondition ref="Q1:Q1663"/>
    </sortState>
  </autoFilter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20"/>
  <sheetViews>
    <sheetView tabSelected="0" workbookViewId="0">
      <selection activeCell="A1" sqref="A1:XFD1048576"/>
    </sheetView>
  </sheetViews>
  <sheetFormatPr baseColWidth="8" defaultRowHeight="12.95" customHeight="1"/>
  <cols>
    <col width="13.125" bestFit="1" customWidth="1" style="107" min="1" max="1"/>
    <col width="10.875" bestFit="1" customWidth="1" style="107" min="2" max="2"/>
    <col width="4.625" bestFit="1" customWidth="1" style="107" min="3" max="3"/>
    <col width="7" bestFit="1" customWidth="1" style="107" min="4" max="4"/>
    <col width="5.125" bestFit="1" customWidth="1" style="107" min="5" max="5"/>
    <col width="3.25" bestFit="1" customWidth="1" style="107" min="6" max="10"/>
    <col width="3.5" bestFit="1" customWidth="1" style="107" min="11" max="11"/>
    <col width="3.25" bestFit="1" customWidth="1" style="107" min="12" max="13"/>
    <col width="4.75" bestFit="1" customWidth="1" style="107" min="14" max="15"/>
    <col width="5.25" bestFit="1" customWidth="1" style="107" min="16" max="16"/>
    <col width="4.875" bestFit="1" customWidth="1" style="107" min="17" max="17"/>
    <col width="7.875" bestFit="1" customWidth="1" style="107" min="18" max="18"/>
    <col width="5.125" bestFit="1" customWidth="1" style="107" min="19" max="19"/>
    <col width="5.5" bestFit="1" customWidth="1" style="107" min="20" max="20"/>
    <col width="5.75" bestFit="1" customWidth="1" style="107" min="21" max="21"/>
    <col width="7.875" bestFit="1" customWidth="1" style="107" min="22" max="22"/>
    <col width="5.125" bestFit="1" customWidth="1" style="107" min="23" max="23"/>
    <col width="4.625" bestFit="1" customWidth="1" style="107" min="24" max="24"/>
    <col width="7.875" bestFit="1" customWidth="1" style="107" min="25" max="25"/>
    <col width="6.125" bestFit="1" customWidth="1" style="107" min="26" max="26"/>
    <col width="36.5" bestFit="1" customWidth="1" style="107" min="27" max="27"/>
    <col width="29.25" bestFit="1" customWidth="1" style="107" min="28" max="28"/>
    <col width="9.875" bestFit="1" customWidth="1" style="107" min="29" max="30"/>
    <col width="9.25" bestFit="1" customWidth="1" style="107" min="31" max="31"/>
    <col width="2.5" bestFit="1" customWidth="1" style="107" min="32" max="32"/>
    <col width="3.25" bestFit="1" customWidth="1" style="107" min="33" max="33"/>
    <col width="3.625" bestFit="1" customWidth="1" style="107" min="34" max="34"/>
    <col width="3.375" bestFit="1" customWidth="1" style="107" min="35" max="35"/>
    <col width="23.625" bestFit="1" customWidth="1" style="107" min="36" max="36"/>
    <col width="8.25" bestFit="1" customWidth="1" style="107" min="37" max="37"/>
    <col width="6.875" bestFit="1" customWidth="1" style="107" min="38" max="38"/>
    <col width="6.375" bestFit="1" customWidth="1" style="107" min="39" max="39"/>
    <col width="19.625" bestFit="1" customWidth="1" style="107" min="40" max="40"/>
    <col width="51.375" bestFit="1" customWidth="1" style="107" min="41" max="41"/>
    <col width="6.25" bestFit="1" customWidth="1" style="107" min="42" max="42"/>
    <col width="2.625" bestFit="1" customWidth="1" style="107" min="43" max="43"/>
    <col width="5.125" bestFit="1" customWidth="1" style="107" min="44" max="44"/>
    <col width="27.375" bestFit="1" customWidth="1" style="107" min="45" max="45"/>
    <col width="5.875" bestFit="1" customWidth="1" style="107" min="46" max="46"/>
    <col width="3.75" bestFit="1" customWidth="1" style="107" min="47" max="47"/>
    <col width="6.25" bestFit="1" customWidth="1" style="107" min="48" max="48"/>
    <col width="6.875" bestFit="1" customWidth="1" style="107" min="49" max="49"/>
    <col width="6.75" bestFit="1" customWidth="1" style="107" min="50" max="50"/>
    <col width="5.875" bestFit="1" customWidth="1" style="107" min="51" max="51"/>
    <col width="91.875" bestFit="1" customWidth="1" style="107" min="52" max="52"/>
    <col width="131.25" bestFit="1" customWidth="1" style="107" min="53" max="53"/>
    <col width="7" bestFit="1" customWidth="1" style="107" min="54" max="54"/>
    <col width="7.875" bestFit="1" customWidth="1" style="107" min="55" max="55"/>
    <col width="8.5" bestFit="1" customWidth="1" style="107" min="56" max="56"/>
    <col width="4.75" bestFit="1" customWidth="1" style="107" min="57" max="57"/>
    <col width="23.25" bestFit="1" customWidth="1" style="107" min="58" max="58"/>
    <col width="6.875" bestFit="1" customWidth="1" style="107" min="59" max="59"/>
    <col width="7.875" bestFit="1" customWidth="1" style="107" min="60" max="60"/>
    <col width="7.75" bestFit="1" customWidth="1" style="107" min="61" max="61"/>
    <col width="8" bestFit="1" customWidth="1" style="107" min="62" max="62"/>
    <col width="4.625" bestFit="1" customWidth="1" style="107" min="63" max="63"/>
    <col width="7.875" bestFit="1" customWidth="1" style="107" min="64" max="64"/>
    <col width="4" bestFit="1" customWidth="1" style="107" min="65" max="65"/>
    <col width="4.625" customWidth="1" style="107" min="66" max="66"/>
    <col width="4" bestFit="1" customWidth="1" style="107" min="67" max="76"/>
    <col width="3.75" bestFit="1" customWidth="1" style="107" min="77" max="77"/>
    <col width="4" bestFit="1" customWidth="1" style="107" min="78" max="78"/>
    <col width="3.625" bestFit="1" customWidth="1" style="107" min="79" max="79"/>
    <col width="9.875" bestFit="1" customWidth="1" style="107" min="80" max="80"/>
    <col width="5" bestFit="1" customWidth="1" style="107" min="81" max="81"/>
    <col width="7.125" bestFit="1" customWidth="1" style="107" min="82" max="82"/>
    <col width="9.375" bestFit="1" customWidth="1" style="107" min="83" max="83"/>
    <col width="10.25" bestFit="1" customWidth="1" style="107" min="84" max="84"/>
    <col width="7.375" bestFit="1" customWidth="1" style="107" min="85" max="85"/>
    <col width="47.375" bestFit="1" customWidth="1" style="107" min="86" max="86"/>
    <col width="73.25" bestFit="1" customWidth="1" style="107" min="87" max="87"/>
    <col width="26.625" bestFit="1" customWidth="1" style="107" min="88" max="88"/>
    <col width="26.75" bestFit="1" customWidth="1" style="107" min="89" max="90"/>
    <col width="6.375" bestFit="1" customWidth="1" style="107" min="91" max="91"/>
    <col width="9.875" bestFit="1" customWidth="1" style="107" min="92" max="93"/>
    <col width="26.5" bestFit="1" customWidth="1" style="107" min="94" max="94"/>
    <col width="9.125" bestFit="1" customWidth="1" style="107" min="95" max="95"/>
    <col width="12.625" bestFit="1" customWidth="1" style="107" min="96" max="96"/>
    <col width="36.5" bestFit="1" customWidth="1" style="107" min="97" max="97"/>
    <col width="3.375" bestFit="1" customWidth="1" style="107" min="98" max="98"/>
    <col width="8" bestFit="1" customWidth="1" style="107" min="99" max="99"/>
    <col width="5.625" bestFit="1" customWidth="1" style="107" min="100" max="100"/>
    <col width="7.875" bestFit="1" customWidth="1" style="107" min="101" max="101"/>
    <col width="6" bestFit="1" customWidth="1" style="107" min="102" max="102"/>
    <col width="11.25" bestFit="1" customWidth="1" style="160" min="103" max="103"/>
    <col width="9" customWidth="1" style="107" min="104" max="256"/>
    <col width="13.125" bestFit="1" customWidth="1" style="107" min="257" max="257"/>
    <col width="10.875" bestFit="1" customWidth="1" style="107" min="258" max="258"/>
    <col width="4.625" bestFit="1" customWidth="1" style="107" min="259" max="259"/>
    <col width="7" bestFit="1" customWidth="1" style="107" min="260" max="260"/>
    <col width="5.125" bestFit="1" customWidth="1" style="107" min="261" max="261"/>
    <col width="3.25" bestFit="1" customWidth="1" style="107" min="262" max="266"/>
    <col width="3.5" bestFit="1" customWidth="1" style="107" min="267" max="267"/>
    <col width="3.25" bestFit="1" customWidth="1" style="107" min="268" max="269"/>
    <col width="4.75" bestFit="1" customWidth="1" style="107" min="270" max="271"/>
    <col width="5.25" bestFit="1" customWidth="1" style="107" min="272" max="272"/>
    <col width="4.875" bestFit="1" customWidth="1" style="107" min="273" max="273"/>
    <col width="7.875" bestFit="1" customWidth="1" style="107" min="274" max="274"/>
    <col width="5.125" bestFit="1" customWidth="1" style="107" min="275" max="275"/>
    <col width="5.5" bestFit="1" customWidth="1" style="107" min="276" max="276"/>
    <col width="5.75" bestFit="1" customWidth="1" style="107" min="277" max="277"/>
    <col width="7.875" bestFit="1" customWidth="1" style="107" min="278" max="278"/>
    <col width="5.125" bestFit="1" customWidth="1" style="107" min="279" max="279"/>
    <col width="4.625" bestFit="1" customWidth="1" style="107" min="280" max="280"/>
    <col width="7.875" bestFit="1" customWidth="1" style="107" min="281" max="281"/>
    <col width="6.125" bestFit="1" customWidth="1" style="107" min="282" max="282"/>
    <col width="36.5" bestFit="1" customWidth="1" style="107" min="283" max="283"/>
    <col width="29.25" bestFit="1" customWidth="1" style="107" min="284" max="284"/>
    <col width="9.875" bestFit="1" customWidth="1" style="107" min="285" max="286"/>
    <col width="9.25" bestFit="1" customWidth="1" style="107" min="287" max="287"/>
    <col width="2.5" bestFit="1" customWidth="1" style="107" min="288" max="288"/>
    <col width="3.25" bestFit="1" customWidth="1" style="107" min="289" max="289"/>
    <col width="3.625" bestFit="1" customWidth="1" style="107" min="290" max="290"/>
    <col width="3.375" bestFit="1" customWidth="1" style="107" min="291" max="291"/>
    <col width="23.625" bestFit="1" customWidth="1" style="107" min="292" max="292"/>
    <col width="8.25" bestFit="1" customWidth="1" style="107" min="293" max="293"/>
    <col width="6.875" bestFit="1" customWidth="1" style="107" min="294" max="294"/>
    <col width="6.375" bestFit="1" customWidth="1" style="107" min="295" max="295"/>
    <col width="19.625" bestFit="1" customWidth="1" style="107" min="296" max="296"/>
    <col width="51.375" bestFit="1" customWidth="1" style="107" min="297" max="297"/>
    <col width="6.25" bestFit="1" customWidth="1" style="107" min="298" max="298"/>
    <col width="2.625" bestFit="1" customWidth="1" style="107" min="299" max="299"/>
    <col width="5.125" bestFit="1" customWidth="1" style="107" min="300" max="300"/>
    <col width="27.375" bestFit="1" customWidth="1" style="107" min="301" max="301"/>
    <col width="5.875" bestFit="1" customWidth="1" style="107" min="302" max="302"/>
    <col width="3.75" bestFit="1" customWidth="1" style="107" min="303" max="303"/>
    <col width="6.25" bestFit="1" customWidth="1" style="107" min="304" max="304"/>
    <col width="6.875" bestFit="1" customWidth="1" style="107" min="305" max="305"/>
    <col width="6.75" bestFit="1" customWidth="1" style="107" min="306" max="306"/>
    <col width="5.875" bestFit="1" customWidth="1" style="107" min="307" max="307"/>
    <col width="91.875" bestFit="1" customWidth="1" style="107" min="308" max="308"/>
    <col width="131.25" bestFit="1" customWidth="1" style="107" min="309" max="309"/>
    <col width="7" bestFit="1" customWidth="1" style="107" min="310" max="310"/>
    <col width="7.875" bestFit="1" customWidth="1" style="107" min="311" max="311"/>
    <col width="8.5" bestFit="1" customWidth="1" style="107" min="312" max="312"/>
    <col width="4.75" bestFit="1" customWidth="1" style="107" min="313" max="313"/>
    <col width="23.25" bestFit="1" customWidth="1" style="107" min="314" max="314"/>
    <col width="6.875" bestFit="1" customWidth="1" style="107" min="315" max="315"/>
    <col width="7.875" bestFit="1" customWidth="1" style="107" min="316" max="316"/>
    <col width="7.75" bestFit="1" customWidth="1" style="107" min="317" max="317"/>
    <col width="8" bestFit="1" customWidth="1" style="107" min="318" max="318"/>
    <col width="4.625" bestFit="1" customWidth="1" style="107" min="319" max="319"/>
    <col width="7.875" bestFit="1" customWidth="1" style="107" min="320" max="320"/>
    <col width="4" bestFit="1" customWidth="1" style="107" min="321" max="321"/>
    <col width="4.625" customWidth="1" style="107" min="322" max="322"/>
    <col width="4" bestFit="1" customWidth="1" style="107" min="323" max="332"/>
    <col width="3.75" bestFit="1" customWidth="1" style="107" min="333" max="333"/>
    <col width="4" bestFit="1" customWidth="1" style="107" min="334" max="334"/>
    <col width="3.625" bestFit="1" customWidth="1" style="107" min="335" max="335"/>
    <col width="9.875" bestFit="1" customWidth="1" style="107" min="336" max="336"/>
    <col width="5" bestFit="1" customWidth="1" style="107" min="337" max="337"/>
    <col width="7.125" bestFit="1" customWidth="1" style="107" min="338" max="338"/>
    <col width="9.375" bestFit="1" customWidth="1" style="107" min="339" max="339"/>
    <col width="10.25" bestFit="1" customWidth="1" style="107" min="340" max="340"/>
    <col width="7.375" bestFit="1" customWidth="1" style="107" min="341" max="341"/>
    <col width="47.375" bestFit="1" customWidth="1" style="107" min="342" max="342"/>
    <col width="73.25" bestFit="1" customWidth="1" style="107" min="343" max="343"/>
    <col width="26.625" bestFit="1" customWidth="1" style="107" min="344" max="344"/>
    <col width="26.75" bestFit="1" customWidth="1" style="107" min="345" max="346"/>
    <col width="6.375" bestFit="1" customWidth="1" style="107" min="347" max="347"/>
    <col width="9.875" bestFit="1" customWidth="1" style="107" min="348" max="349"/>
    <col width="26.5" bestFit="1" customWidth="1" style="107" min="350" max="350"/>
    <col width="9.125" bestFit="1" customWidth="1" style="107" min="351" max="351"/>
    <col width="12.625" bestFit="1" customWidth="1" style="107" min="352" max="352"/>
    <col width="36.5" bestFit="1" customWidth="1" style="107" min="353" max="353"/>
    <col width="3.375" bestFit="1" customWidth="1" style="107" min="354" max="354"/>
    <col width="8" bestFit="1" customWidth="1" style="107" min="355" max="355"/>
    <col width="5.625" bestFit="1" customWidth="1" style="107" min="356" max="356"/>
    <col width="7.875" bestFit="1" customWidth="1" style="107" min="357" max="357"/>
    <col width="6" bestFit="1" customWidth="1" style="107" min="358" max="358"/>
    <col width="11.25" bestFit="1" customWidth="1" style="107" min="359" max="359"/>
    <col width="9" customWidth="1" style="107" min="360" max="512"/>
    <col width="13.125" bestFit="1" customWidth="1" style="107" min="513" max="513"/>
    <col width="10.875" bestFit="1" customWidth="1" style="107" min="514" max="514"/>
    <col width="4.625" bestFit="1" customWidth="1" style="107" min="515" max="515"/>
    <col width="7" bestFit="1" customWidth="1" style="107" min="516" max="516"/>
    <col width="5.125" bestFit="1" customWidth="1" style="107" min="517" max="517"/>
    <col width="3.25" bestFit="1" customWidth="1" style="107" min="518" max="522"/>
    <col width="3.5" bestFit="1" customWidth="1" style="107" min="523" max="523"/>
    <col width="3.25" bestFit="1" customWidth="1" style="107" min="524" max="525"/>
    <col width="4.75" bestFit="1" customWidth="1" style="107" min="526" max="527"/>
    <col width="5.25" bestFit="1" customWidth="1" style="107" min="528" max="528"/>
    <col width="4.875" bestFit="1" customWidth="1" style="107" min="529" max="529"/>
    <col width="7.875" bestFit="1" customWidth="1" style="107" min="530" max="530"/>
    <col width="5.125" bestFit="1" customWidth="1" style="107" min="531" max="531"/>
    <col width="5.5" bestFit="1" customWidth="1" style="107" min="532" max="532"/>
    <col width="5.75" bestFit="1" customWidth="1" style="107" min="533" max="533"/>
    <col width="7.875" bestFit="1" customWidth="1" style="107" min="534" max="534"/>
    <col width="5.125" bestFit="1" customWidth="1" style="107" min="535" max="535"/>
    <col width="4.625" bestFit="1" customWidth="1" style="107" min="536" max="536"/>
    <col width="7.875" bestFit="1" customWidth="1" style="107" min="537" max="537"/>
    <col width="6.125" bestFit="1" customWidth="1" style="107" min="538" max="538"/>
    <col width="36.5" bestFit="1" customWidth="1" style="107" min="539" max="539"/>
    <col width="29.25" bestFit="1" customWidth="1" style="107" min="540" max="540"/>
    <col width="9.875" bestFit="1" customWidth="1" style="107" min="541" max="542"/>
    <col width="9.25" bestFit="1" customWidth="1" style="107" min="543" max="543"/>
    <col width="2.5" bestFit="1" customWidth="1" style="107" min="544" max="544"/>
    <col width="3.25" bestFit="1" customWidth="1" style="107" min="545" max="545"/>
    <col width="3.625" bestFit="1" customWidth="1" style="107" min="546" max="546"/>
    <col width="3.375" bestFit="1" customWidth="1" style="107" min="547" max="547"/>
    <col width="23.625" bestFit="1" customWidth="1" style="107" min="548" max="548"/>
    <col width="8.25" bestFit="1" customWidth="1" style="107" min="549" max="549"/>
    <col width="6.875" bestFit="1" customWidth="1" style="107" min="550" max="550"/>
    <col width="6.375" bestFit="1" customWidth="1" style="107" min="551" max="551"/>
    <col width="19.625" bestFit="1" customWidth="1" style="107" min="552" max="552"/>
    <col width="51.375" bestFit="1" customWidth="1" style="107" min="553" max="553"/>
    <col width="6.25" bestFit="1" customWidth="1" style="107" min="554" max="554"/>
    <col width="2.625" bestFit="1" customWidth="1" style="107" min="555" max="555"/>
    <col width="5.125" bestFit="1" customWidth="1" style="107" min="556" max="556"/>
    <col width="27.375" bestFit="1" customWidth="1" style="107" min="557" max="557"/>
    <col width="5.875" bestFit="1" customWidth="1" style="107" min="558" max="558"/>
    <col width="3.75" bestFit="1" customWidth="1" style="107" min="559" max="559"/>
    <col width="6.25" bestFit="1" customWidth="1" style="107" min="560" max="560"/>
    <col width="6.875" bestFit="1" customWidth="1" style="107" min="561" max="561"/>
    <col width="6.75" bestFit="1" customWidth="1" style="107" min="562" max="562"/>
    <col width="5.875" bestFit="1" customWidth="1" style="107" min="563" max="563"/>
    <col width="91.875" bestFit="1" customWidth="1" style="107" min="564" max="564"/>
    <col width="131.25" bestFit="1" customWidth="1" style="107" min="565" max="565"/>
    <col width="7" bestFit="1" customWidth="1" style="107" min="566" max="566"/>
    <col width="7.875" bestFit="1" customWidth="1" style="107" min="567" max="567"/>
    <col width="8.5" bestFit="1" customWidth="1" style="107" min="568" max="568"/>
    <col width="4.75" bestFit="1" customWidth="1" style="107" min="569" max="569"/>
    <col width="23.25" bestFit="1" customWidth="1" style="107" min="570" max="570"/>
    <col width="6.875" bestFit="1" customWidth="1" style="107" min="571" max="571"/>
    <col width="7.875" bestFit="1" customWidth="1" style="107" min="572" max="572"/>
    <col width="7.75" bestFit="1" customWidth="1" style="107" min="573" max="573"/>
    <col width="8" bestFit="1" customWidth="1" style="107" min="574" max="574"/>
    <col width="4.625" bestFit="1" customWidth="1" style="107" min="575" max="575"/>
    <col width="7.875" bestFit="1" customWidth="1" style="107" min="576" max="576"/>
    <col width="4" bestFit="1" customWidth="1" style="107" min="577" max="577"/>
    <col width="4.625" customWidth="1" style="107" min="578" max="578"/>
    <col width="4" bestFit="1" customWidth="1" style="107" min="579" max="588"/>
    <col width="3.75" bestFit="1" customWidth="1" style="107" min="589" max="589"/>
    <col width="4" bestFit="1" customWidth="1" style="107" min="590" max="590"/>
    <col width="3.625" bestFit="1" customWidth="1" style="107" min="591" max="591"/>
    <col width="9.875" bestFit="1" customWidth="1" style="107" min="592" max="592"/>
    <col width="5" bestFit="1" customWidth="1" style="107" min="593" max="593"/>
    <col width="7.125" bestFit="1" customWidth="1" style="107" min="594" max="594"/>
    <col width="9.375" bestFit="1" customWidth="1" style="107" min="595" max="595"/>
    <col width="10.25" bestFit="1" customWidth="1" style="107" min="596" max="596"/>
    <col width="7.375" bestFit="1" customWidth="1" style="107" min="597" max="597"/>
    <col width="47.375" bestFit="1" customWidth="1" style="107" min="598" max="598"/>
    <col width="73.25" bestFit="1" customWidth="1" style="107" min="599" max="599"/>
    <col width="26.625" bestFit="1" customWidth="1" style="107" min="600" max="600"/>
    <col width="26.75" bestFit="1" customWidth="1" style="107" min="601" max="602"/>
    <col width="6.375" bestFit="1" customWidth="1" style="107" min="603" max="603"/>
    <col width="9.875" bestFit="1" customWidth="1" style="107" min="604" max="605"/>
    <col width="26.5" bestFit="1" customWidth="1" style="107" min="606" max="606"/>
    <col width="9.125" bestFit="1" customWidth="1" style="107" min="607" max="607"/>
    <col width="12.625" bestFit="1" customWidth="1" style="107" min="608" max="608"/>
    <col width="36.5" bestFit="1" customWidth="1" style="107" min="609" max="609"/>
    <col width="3.375" bestFit="1" customWidth="1" style="107" min="610" max="610"/>
    <col width="8" bestFit="1" customWidth="1" style="107" min="611" max="611"/>
    <col width="5.625" bestFit="1" customWidth="1" style="107" min="612" max="612"/>
    <col width="7.875" bestFit="1" customWidth="1" style="107" min="613" max="613"/>
    <col width="6" bestFit="1" customWidth="1" style="107" min="614" max="614"/>
    <col width="11.25" bestFit="1" customWidth="1" style="107" min="615" max="615"/>
    <col width="9" customWidth="1" style="107" min="616" max="768"/>
    <col width="13.125" bestFit="1" customWidth="1" style="107" min="769" max="769"/>
    <col width="10.875" bestFit="1" customWidth="1" style="107" min="770" max="770"/>
    <col width="4.625" bestFit="1" customWidth="1" style="107" min="771" max="771"/>
    <col width="7" bestFit="1" customWidth="1" style="107" min="772" max="772"/>
    <col width="5.125" bestFit="1" customWidth="1" style="107" min="773" max="773"/>
    <col width="3.25" bestFit="1" customWidth="1" style="107" min="774" max="778"/>
    <col width="3.5" bestFit="1" customWidth="1" style="107" min="779" max="779"/>
    <col width="3.25" bestFit="1" customWidth="1" style="107" min="780" max="781"/>
    <col width="4.75" bestFit="1" customWidth="1" style="107" min="782" max="783"/>
    <col width="5.25" bestFit="1" customWidth="1" style="107" min="784" max="784"/>
    <col width="4.875" bestFit="1" customWidth="1" style="107" min="785" max="785"/>
    <col width="7.875" bestFit="1" customWidth="1" style="107" min="786" max="786"/>
    <col width="5.125" bestFit="1" customWidth="1" style="107" min="787" max="787"/>
    <col width="5.5" bestFit="1" customWidth="1" style="107" min="788" max="788"/>
    <col width="5.75" bestFit="1" customWidth="1" style="107" min="789" max="789"/>
    <col width="7.875" bestFit="1" customWidth="1" style="107" min="790" max="790"/>
    <col width="5.125" bestFit="1" customWidth="1" style="107" min="791" max="791"/>
    <col width="4.625" bestFit="1" customWidth="1" style="107" min="792" max="792"/>
    <col width="7.875" bestFit="1" customWidth="1" style="107" min="793" max="793"/>
    <col width="6.125" bestFit="1" customWidth="1" style="107" min="794" max="794"/>
    <col width="36.5" bestFit="1" customWidth="1" style="107" min="795" max="795"/>
    <col width="29.25" bestFit="1" customWidth="1" style="107" min="796" max="796"/>
    <col width="9.875" bestFit="1" customWidth="1" style="107" min="797" max="798"/>
    <col width="9.25" bestFit="1" customWidth="1" style="107" min="799" max="799"/>
    <col width="2.5" bestFit="1" customWidth="1" style="107" min="800" max="800"/>
    <col width="3.25" bestFit="1" customWidth="1" style="107" min="801" max="801"/>
    <col width="3.625" bestFit="1" customWidth="1" style="107" min="802" max="802"/>
    <col width="3.375" bestFit="1" customWidth="1" style="107" min="803" max="803"/>
    <col width="23.625" bestFit="1" customWidth="1" style="107" min="804" max="804"/>
    <col width="8.25" bestFit="1" customWidth="1" style="107" min="805" max="805"/>
    <col width="6.875" bestFit="1" customWidth="1" style="107" min="806" max="806"/>
    <col width="6.375" bestFit="1" customWidth="1" style="107" min="807" max="807"/>
    <col width="19.625" bestFit="1" customWidth="1" style="107" min="808" max="808"/>
    <col width="51.375" bestFit="1" customWidth="1" style="107" min="809" max="809"/>
    <col width="6.25" bestFit="1" customWidth="1" style="107" min="810" max="810"/>
    <col width="2.625" bestFit="1" customWidth="1" style="107" min="811" max="811"/>
    <col width="5.125" bestFit="1" customWidth="1" style="107" min="812" max="812"/>
    <col width="27.375" bestFit="1" customWidth="1" style="107" min="813" max="813"/>
    <col width="5.875" bestFit="1" customWidth="1" style="107" min="814" max="814"/>
    <col width="3.75" bestFit="1" customWidth="1" style="107" min="815" max="815"/>
    <col width="6.25" bestFit="1" customWidth="1" style="107" min="816" max="816"/>
    <col width="6.875" bestFit="1" customWidth="1" style="107" min="817" max="817"/>
    <col width="6.75" bestFit="1" customWidth="1" style="107" min="818" max="818"/>
    <col width="5.875" bestFit="1" customWidth="1" style="107" min="819" max="819"/>
    <col width="91.875" bestFit="1" customWidth="1" style="107" min="820" max="820"/>
    <col width="131.25" bestFit="1" customWidth="1" style="107" min="821" max="821"/>
    <col width="7" bestFit="1" customWidth="1" style="107" min="822" max="822"/>
    <col width="7.875" bestFit="1" customWidth="1" style="107" min="823" max="823"/>
    <col width="8.5" bestFit="1" customWidth="1" style="107" min="824" max="824"/>
    <col width="4.75" bestFit="1" customWidth="1" style="107" min="825" max="825"/>
    <col width="23.25" bestFit="1" customWidth="1" style="107" min="826" max="826"/>
    <col width="6.875" bestFit="1" customWidth="1" style="107" min="827" max="827"/>
    <col width="7.875" bestFit="1" customWidth="1" style="107" min="828" max="828"/>
    <col width="7.75" bestFit="1" customWidth="1" style="107" min="829" max="829"/>
    <col width="8" bestFit="1" customWidth="1" style="107" min="830" max="830"/>
    <col width="4.625" bestFit="1" customWidth="1" style="107" min="831" max="831"/>
    <col width="7.875" bestFit="1" customWidth="1" style="107" min="832" max="832"/>
    <col width="4" bestFit="1" customWidth="1" style="107" min="833" max="833"/>
    <col width="4.625" customWidth="1" style="107" min="834" max="834"/>
    <col width="4" bestFit="1" customWidth="1" style="107" min="835" max="844"/>
    <col width="3.75" bestFit="1" customWidth="1" style="107" min="845" max="845"/>
    <col width="4" bestFit="1" customWidth="1" style="107" min="846" max="846"/>
    <col width="3.625" bestFit="1" customWidth="1" style="107" min="847" max="847"/>
    <col width="9.875" bestFit="1" customWidth="1" style="107" min="848" max="848"/>
    <col width="5" bestFit="1" customWidth="1" style="107" min="849" max="849"/>
    <col width="7.125" bestFit="1" customWidth="1" style="107" min="850" max="850"/>
    <col width="9.375" bestFit="1" customWidth="1" style="107" min="851" max="851"/>
    <col width="10.25" bestFit="1" customWidth="1" style="107" min="852" max="852"/>
    <col width="7.375" bestFit="1" customWidth="1" style="107" min="853" max="853"/>
    <col width="47.375" bestFit="1" customWidth="1" style="107" min="854" max="854"/>
    <col width="73.25" bestFit="1" customWidth="1" style="107" min="855" max="855"/>
    <col width="26.625" bestFit="1" customWidth="1" style="107" min="856" max="856"/>
    <col width="26.75" bestFit="1" customWidth="1" style="107" min="857" max="858"/>
    <col width="6.375" bestFit="1" customWidth="1" style="107" min="859" max="859"/>
    <col width="9.875" bestFit="1" customWidth="1" style="107" min="860" max="861"/>
    <col width="26.5" bestFit="1" customWidth="1" style="107" min="862" max="862"/>
    <col width="9.125" bestFit="1" customWidth="1" style="107" min="863" max="863"/>
    <col width="12.625" bestFit="1" customWidth="1" style="107" min="864" max="864"/>
    <col width="36.5" bestFit="1" customWidth="1" style="107" min="865" max="865"/>
    <col width="3.375" bestFit="1" customWidth="1" style="107" min="866" max="866"/>
    <col width="8" bestFit="1" customWidth="1" style="107" min="867" max="867"/>
    <col width="5.625" bestFit="1" customWidth="1" style="107" min="868" max="868"/>
    <col width="7.875" bestFit="1" customWidth="1" style="107" min="869" max="869"/>
    <col width="6" bestFit="1" customWidth="1" style="107" min="870" max="870"/>
    <col width="11.25" bestFit="1" customWidth="1" style="107" min="871" max="871"/>
    <col width="9" customWidth="1" style="107" min="872" max="1024"/>
    <col width="13.125" bestFit="1" customWidth="1" style="107" min="1025" max="1025"/>
    <col width="10.875" bestFit="1" customWidth="1" style="107" min="1026" max="1026"/>
    <col width="4.625" bestFit="1" customWidth="1" style="107" min="1027" max="1027"/>
    <col width="7" bestFit="1" customWidth="1" style="107" min="1028" max="1028"/>
    <col width="5.125" bestFit="1" customWidth="1" style="107" min="1029" max="1029"/>
    <col width="3.25" bestFit="1" customWidth="1" style="107" min="1030" max="1034"/>
    <col width="3.5" bestFit="1" customWidth="1" style="107" min="1035" max="1035"/>
    <col width="3.25" bestFit="1" customWidth="1" style="107" min="1036" max="1037"/>
    <col width="4.75" bestFit="1" customWidth="1" style="107" min="1038" max="1039"/>
    <col width="5.25" bestFit="1" customWidth="1" style="107" min="1040" max="1040"/>
    <col width="4.875" bestFit="1" customWidth="1" style="107" min="1041" max="1041"/>
    <col width="7.875" bestFit="1" customWidth="1" style="107" min="1042" max="1042"/>
    <col width="5.125" bestFit="1" customWidth="1" style="107" min="1043" max="1043"/>
    <col width="5.5" bestFit="1" customWidth="1" style="107" min="1044" max="1044"/>
    <col width="5.75" bestFit="1" customWidth="1" style="107" min="1045" max="1045"/>
    <col width="7.875" bestFit="1" customWidth="1" style="107" min="1046" max="1046"/>
    <col width="5.125" bestFit="1" customWidth="1" style="107" min="1047" max="1047"/>
    <col width="4.625" bestFit="1" customWidth="1" style="107" min="1048" max="1048"/>
    <col width="7.875" bestFit="1" customWidth="1" style="107" min="1049" max="1049"/>
    <col width="6.125" bestFit="1" customWidth="1" style="107" min="1050" max="1050"/>
    <col width="36.5" bestFit="1" customWidth="1" style="107" min="1051" max="1051"/>
    <col width="29.25" bestFit="1" customWidth="1" style="107" min="1052" max="1052"/>
    <col width="9.875" bestFit="1" customWidth="1" style="107" min="1053" max="1054"/>
    <col width="9.25" bestFit="1" customWidth="1" style="107" min="1055" max="1055"/>
    <col width="2.5" bestFit="1" customWidth="1" style="107" min="1056" max="1056"/>
    <col width="3.25" bestFit="1" customWidth="1" style="107" min="1057" max="1057"/>
    <col width="3.625" bestFit="1" customWidth="1" style="107" min="1058" max="1058"/>
    <col width="3.375" bestFit="1" customWidth="1" style="107" min="1059" max="1059"/>
    <col width="23.625" bestFit="1" customWidth="1" style="107" min="1060" max="1060"/>
    <col width="8.25" bestFit="1" customWidth="1" style="107" min="1061" max="1061"/>
    <col width="6.875" bestFit="1" customWidth="1" style="107" min="1062" max="1062"/>
    <col width="6.375" bestFit="1" customWidth="1" style="107" min="1063" max="1063"/>
    <col width="19.625" bestFit="1" customWidth="1" style="107" min="1064" max="1064"/>
    <col width="51.375" bestFit="1" customWidth="1" style="107" min="1065" max="1065"/>
    <col width="6.25" bestFit="1" customWidth="1" style="107" min="1066" max="1066"/>
    <col width="2.625" bestFit="1" customWidth="1" style="107" min="1067" max="1067"/>
    <col width="5.125" bestFit="1" customWidth="1" style="107" min="1068" max="1068"/>
    <col width="27.375" bestFit="1" customWidth="1" style="107" min="1069" max="1069"/>
    <col width="5.875" bestFit="1" customWidth="1" style="107" min="1070" max="1070"/>
    <col width="3.75" bestFit="1" customWidth="1" style="107" min="1071" max="1071"/>
    <col width="6.25" bestFit="1" customWidth="1" style="107" min="1072" max="1072"/>
    <col width="6.875" bestFit="1" customWidth="1" style="107" min="1073" max="1073"/>
    <col width="6.75" bestFit="1" customWidth="1" style="107" min="1074" max="1074"/>
    <col width="5.875" bestFit="1" customWidth="1" style="107" min="1075" max="1075"/>
    <col width="91.875" bestFit="1" customWidth="1" style="107" min="1076" max="1076"/>
    <col width="131.25" bestFit="1" customWidth="1" style="107" min="1077" max="1077"/>
    <col width="7" bestFit="1" customWidth="1" style="107" min="1078" max="1078"/>
    <col width="7.875" bestFit="1" customWidth="1" style="107" min="1079" max="1079"/>
    <col width="8.5" bestFit="1" customWidth="1" style="107" min="1080" max="1080"/>
    <col width="4.75" bestFit="1" customWidth="1" style="107" min="1081" max="1081"/>
    <col width="23.25" bestFit="1" customWidth="1" style="107" min="1082" max="1082"/>
    <col width="6.875" bestFit="1" customWidth="1" style="107" min="1083" max="1083"/>
    <col width="7.875" bestFit="1" customWidth="1" style="107" min="1084" max="1084"/>
    <col width="7.75" bestFit="1" customWidth="1" style="107" min="1085" max="1085"/>
    <col width="8" bestFit="1" customWidth="1" style="107" min="1086" max="1086"/>
    <col width="4.625" bestFit="1" customWidth="1" style="107" min="1087" max="1087"/>
    <col width="7.875" bestFit="1" customWidth="1" style="107" min="1088" max="1088"/>
    <col width="4" bestFit="1" customWidth="1" style="107" min="1089" max="1089"/>
    <col width="4.625" customWidth="1" style="107" min="1090" max="1090"/>
    <col width="4" bestFit="1" customWidth="1" style="107" min="1091" max="1100"/>
    <col width="3.75" bestFit="1" customWidth="1" style="107" min="1101" max="1101"/>
    <col width="4" bestFit="1" customWidth="1" style="107" min="1102" max="1102"/>
    <col width="3.625" bestFit="1" customWidth="1" style="107" min="1103" max="1103"/>
    <col width="9.875" bestFit="1" customWidth="1" style="107" min="1104" max="1104"/>
    <col width="5" bestFit="1" customWidth="1" style="107" min="1105" max="1105"/>
    <col width="7.125" bestFit="1" customWidth="1" style="107" min="1106" max="1106"/>
    <col width="9.375" bestFit="1" customWidth="1" style="107" min="1107" max="1107"/>
    <col width="10.25" bestFit="1" customWidth="1" style="107" min="1108" max="1108"/>
    <col width="7.375" bestFit="1" customWidth="1" style="107" min="1109" max="1109"/>
    <col width="47.375" bestFit="1" customWidth="1" style="107" min="1110" max="1110"/>
    <col width="73.25" bestFit="1" customWidth="1" style="107" min="1111" max="1111"/>
    <col width="26.625" bestFit="1" customWidth="1" style="107" min="1112" max="1112"/>
    <col width="26.75" bestFit="1" customWidth="1" style="107" min="1113" max="1114"/>
    <col width="6.375" bestFit="1" customWidth="1" style="107" min="1115" max="1115"/>
    <col width="9.875" bestFit="1" customWidth="1" style="107" min="1116" max="1117"/>
    <col width="26.5" bestFit="1" customWidth="1" style="107" min="1118" max="1118"/>
    <col width="9.125" bestFit="1" customWidth="1" style="107" min="1119" max="1119"/>
    <col width="12.625" bestFit="1" customWidth="1" style="107" min="1120" max="1120"/>
    <col width="36.5" bestFit="1" customWidth="1" style="107" min="1121" max="1121"/>
    <col width="3.375" bestFit="1" customWidth="1" style="107" min="1122" max="1122"/>
    <col width="8" bestFit="1" customWidth="1" style="107" min="1123" max="1123"/>
    <col width="5.625" bestFit="1" customWidth="1" style="107" min="1124" max="1124"/>
    <col width="7.875" bestFit="1" customWidth="1" style="107" min="1125" max="1125"/>
    <col width="6" bestFit="1" customWidth="1" style="107" min="1126" max="1126"/>
    <col width="11.25" bestFit="1" customWidth="1" style="107" min="1127" max="1127"/>
    <col width="9" customWidth="1" style="107" min="1128" max="1280"/>
    <col width="13.125" bestFit="1" customWidth="1" style="107" min="1281" max="1281"/>
    <col width="10.875" bestFit="1" customWidth="1" style="107" min="1282" max="1282"/>
    <col width="4.625" bestFit="1" customWidth="1" style="107" min="1283" max="1283"/>
    <col width="7" bestFit="1" customWidth="1" style="107" min="1284" max="1284"/>
    <col width="5.125" bestFit="1" customWidth="1" style="107" min="1285" max="1285"/>
    <col width="3.25" bestFit="1" customWidth="1" style="107" min="1286" max="1290"/>
    <col width="3.5" bestFit="1" customWidth="1" style="107" min="1291" max="1291"/>
    <col width="3.25" bestFit="1" customWidth="1" style="107" min="1292" max="1293"/>
    <col width="4.75" bestFit="1" customWidth="1" style="107" min="1294" max="1295"/>
    <col width="5.25" bestFit="1" customWidth="1" style="107" min="1296" max="1296"/>
    <col width="4.875" bestFit="1" customWidth="1" style="107" min="1297" max="1297"/>
    <col width="7.875" bestFit="1" customWidth="1" style="107" min="1298" max="1298"/>
    <col width="5.125" bestFit="1" customWidth="1" style="107" min="1299" max="1299"/>
    <col width="5.5" bestFit="1" customWidth="1" style="107" min="1300" max="1300"/>
    <col width="5.75" bestFit="1" customWidth="1" style="107" min="1301" max="1301"/>
    <col width="7.875" bestFit="1" customWidth="1" style="107" min="1302" max="1302"/>
    <col width="5.125" bestFit="1" customWidth="1" style="107" min="1303" max="1303"/>
    <col width="4.625" bestFit="1" customWidth="1" style="107" min="1304" max="1304"/>
    <col width="7.875" bestFit="1" customWidth="1" style="107" min="1305" max="1305"/>
    <col width="6.125" bestFit="1" customWidth="1" style="107" min="1306" max="1306"/>
    <col width="36.5" bestFit="1" customWidth="1" style="107" min="1307" max="1307"/>
    <col width="29.25" bestFit="1" customWidth="1" style="107" min="1308" max="1308"/>
    <col width="9.875" bestFit="1" customWidth="1" style="107" min="1309" max="1310"/>
    <col width="9.25" bestFit="1" customWidth="1" style="107" min="1311" max="1311"/>
    <col width="2.5" bestFit="1" customWidth="1" style="107" min="1312" max="1312"/>
    <col width="3.25" bestFit="1" customWidth="1" style="107" min="1313" max="1313"/>
    <col width="3.625" bestFit="1" customWidth="1" style="107" min="1314" max="1314"/>
    <col width="3.375" bestFit="1" customWidth="1" style="107" min="1315" max="1315"/>
    <col width="23.625" bestFit="1" customWidth="1" style="107" min="1316" max="1316"/>
    <col width="8.25" bestFit="1" customWidth="1" style="107" min="1317" max="1317"/>
    <col width="6.875" bestFit="1" customWidth="1" style="107" min="1318" max="1318"/>
    <col width="6.375" bestFit="1" customWidth="1" style="107" min="1319" max="1319"/>
    <col width="19.625" bestFit="1" customWidth="1" style="107" min="1320" max="1320"/>
    <col width="51.375" bestFit="1" customWidth="1" style="107" min="1321" max="1321"/>
    <col width="6.25" bestFit="1" customWidth="1" style="107" min="1322" max="1322"/>
    <col width="2.625" bestFit="1" customWidth="1" style="107" min="1323" max="1323"/>
    <col width="5.125" bestFit="1" customWidth="1" style="107" min="1324" max="1324"/>
    <col width="27.375" bestFit="1" customWidth="1" style="107" min="1325" max="1325"/>
    <col width="5.875" bestFit="1" customWidth="1" style="107" min="1326" max="1326"/>
    <col width="3.75" bestFit="1" customWidth="1" style="107" min="1327" max="1327"/>
    <col width="6.25" bestFit="1" customWidth="1" style="107" min="1328" max="1328"/>
    <col width="6.875" bestFit="1" customWidth="1" style="107" min="1329" max="1329"/>
    <col width="6.75" bestFit="1" customWidth="1" style="107" min="1330" max="1330"/>
    <col width="5.875" bestFit="1" customWidth="1" style="107" min="1331" max="1331"/>
    <col width="91.875" bestFit="1" customWidth="1" style="107" min="1332" max="1332"/>
    <col width="131.25" bestFit="1" customWidth="1" style="107" min="1333" max="1333"/>
    <col width="7" bestFit="1" customWidth="1" style="107" min="1334" max="1334"/>
    <col width="7.875" bestFit="1" customWidth="1" style="107" min="1335" max="1335"/>
    <col width="8.5" bestFit="1" customWidth="1" style="107" min="1336" max="1336"/>
    <col width="4.75" bestFit="1" customWidth="1" style="107" min="1337" max="1337"/>
    <col width="23.25" bestFit="1" customWidth="1" style="107" min="1338" max="1338"/>
    <col width="6.875" bestFit="1" customWidth="1" style="107" min="1339" max="1339"/>
    <col width="7.875" bestFit="1" customWidth="1" style="107" min="1340" max="1340"/>
    <col width="7.75" bestFit="1" customWidth="1" style="107" min="1341" max="1341"/>
    <col width="8" bestFit="1" customWidth="1" style="107" min="1342" max="1342"/>
    <col width="4.625" bestFit="1" customWidth="1" style="107" min="1343" max="1343"/>
    <col width="7.875" bestFit="1" customWidth="1" style="107" min="1344" max="1344"/>
    <col width="4" bestFit="1" customWidth="1" style="107" min="1345" max="1345"/>
    <col width="4.625" customWidth="1" style="107" min="1346" max="1346"/>
    <col width="4" bestFit="1" customWidth="1" style="107" min="1347" max="1356"/>
    <col width="3.75" bestFit="1" customWidth="1" style="107" min="1357" max="1357"/>
    <col width="4" bestFit="1" customWidth="1" style="107" min="1358" max="1358"/>
    <col width="3.625" bestFit="1" customWidth="1" style="107" min="1359" max="1359"/>
    <col width="9.875" bestFit="1" customWidth="1" style="107" min="1360" max="1360"/>
    <col width="5" bestFit="1" customWidth="1" style="107" min="1361" max="1361"/>
    <col width="7.125" bestFit="1" customWidth="1" style="107" min="1362" max="1362"/>
    <col width="9.375" bestFit="1" customWidth="1" style="107" min="1363" max="1363"/>
    <col width="10.25" bestFit="1" customWidth="1" style="107" min="1364" max="1364"/>
    <col width="7.375" bestFit="1" customWidth="1" style="107" min="1365" max="1365"/>
    <col width="47.375" bestFit="1" customWidth="1" style="107" min="1366" max="1366"/>
    <col width="73.25" bestFit="1" customWidth="1" style="107" min="1367" max="1367"/>
    <col width="26.625" bestFit="1" customWidth="1" style="107" min="1368" max="1368"/>
    <col width="26.75" bestFit="1" customWidth="1" style="107" min="1369" max="1370"/>
    <col width="6.375" bestFit="1" customWidth="1" style="107" min="1371" max="1371"/>
    <col width="9.875" bestFit="1" customWidth="1" style="107" min="1372" max="1373"/>
    <col width="26.5" bestFit="1" customWidth="1" style="107" min="1374" max="1374"/>
    <col width="9.125" bestFit="1" customWidth="1" style="107" min="1375" max="1375"/>
    <col width="12.625" bestFit="1" customWidth="1" style="107" min="1376" max="1376"/>
    <col width="36.5" bestFit="1" customWidth="1" style="107" min="1377" max="1377"/>
    <col width="3.375" bestFit="1" customWidth="1" style="107" min="1378" max="1378"/>
    <col width="8" bestFit="1" customWidth="1" style="107" min="1379" max="1379"/>
    <col width="5.625" bestFit="1" customWidth="1" style="107" min="1380" max="1380"/>
    <col width="7.875" bestFit="1" customWidth="1" style="107" min="1381" max="1381"/>
    <col width="6" bestFit="1" customWidth="1" style="107" min="1382" max="1382"/>
    <col width="11.25" bestFit="1" customWidth="1" style="107" min="1383" max="1383"/>
    <col width="9" customWidth="1" style="107" min="1384" max="1536"/>
    <col width="13.125" bestFit="1" customWidth="1" style="107" min="1537" max="1537"/>
    <col width="10.875" bestFit="1" customWidth="1" style="107" min="1538" max="1538"/>
    <col width="4.625" bestFit="1" customWidth="1" style="107" min="1539" max="1539"/>
    <col width="7" bestFit="1" customWidth="1" style="107" min="1540" max="1540"/>
    <col width="5.125" bestFit="1" customWidth="1" style="107" min="1541" max="1541"/>
    <col width="3.25" bestFit="1" customWidth="1" style="107" min="1542" max="1546"/>
    <col width="3.5" bestFit="1" customWidth="1" style="107" min="1547" max="1547"/>
    <col width="3.25" bestFit="1" customWidth="1" style="107" min="1548" max="1549"/>
    <col width="4.75" bestFit="1" customWidth="1" style="107" min="1550" max="1551"/>
    <col width="5.25" bestFit="1" customWidth="1" style="107" min="1552" max="1552"/>
    <col width="4.875" bestFit="1" customWidth="1" style="107" min="1553" max="1553"/>
    <col width="7.875" bestFit="1" customWidth="1" style="107" min="1554" max="1554"/>
    <col width="5.125" bestFit="1" customWidth="1" style="107" min="1555" max="1555"/>
    <col width="5.5" bestFit="1" customWidth="1" style="107" min="1556" max="1556"/>
    <col width="5.75" bestFit="1" customWidth="1" style="107" min="1557" max="1557"/>
    <col width="7.875" bestFit="1" customWidth="1" style="107" min="1558" max="1558"/>
    <col width="5.125" bestFit="1" customWidth="1" style="107" min="1559" max="1559"/>
    <col width="4.625" bestFit="1" customWidth="1" style="107" min="1560" max="1560"/>
    <col width="7.875" bestFit="1" customWidth="1" style="107" min="1561" max="1561"/>
    <col width="6.125" bestFit="1" customWidth="1" style="107" min="1562" max="1562"/>
    <col width="36.5" bestFit="1" customWidth="1" style="107" min="1563" max="1563"/>
    <col width="29.25" bestFit="1" customWidth="1" style="107" min="1564" max="1564"/>
    <col width="9.875" bestFit="1" customWidth="1" style="107" min="1565" max="1566"/>
    <col width="9.25" bestFit="1" customWidth="1" style="107" min="1567" max="1567"/>
    <col width="2.5" bestFit="1" customWidth="1" style="107" min="1568" max="1568"/>
    <col width="3.25" bestFit="1" customWidth="1" style="107" min="1569" max="1569"/>
    <col width="3.625" bestFit="1" customWidth="1" style="107" min="1570" max="1570"/>
    <col width="3.375" bestFit="1" customWidth="1" style="107" min="1571" max="1571"/>
    <col width="23.625" bestFit="1" customWidth="1" style="107" min="1572" max="1572"/>
    <col width="8.25" bestFit="1" customWidth="1" style="107" min="1573" max="1573"/>
    <col width="6.875" bestFit="1" customWidth="1" style="107" min="1574" max="1574"/>
    <col width="6.375" bestFit="1" customWidth="1" style="107" min="1575" max="1575"/>
    <col width="19.625" bestFit="1" customWidth="1" style="107" min="1576" max="1576"/>
    <col width="51.375" bestFit="1" customWidth="1" style="107" min="1577" max="1577"/>
    <col width="6.25" bestFit="1" customWidth="1" style="107" min="1578" max="1578"/>
    <col width="2.625" bestFit="1" customWidth="1" style="107" min="1579" max="1579"/>
    <col width="5.125" bestFit="1" customWidth="1" style="107" min="1580" max="1580"/>
    <col width="27.375" bestFit="1" customWidth="1" style="107" min="1581" max="1581"/>
    <col width="5.875" bestFit="1" customWidth="1" style="107" min="1582" max="1582"/>
    <col width="3.75" bestFit="1" customWidth="1" style="107" min="1583" max="1583"/>
    <col width="6.25" bestFit="1" customWidth="1" style="107" min="1584" max="1584"/>
    <col width="6.875" bestFit="1" customWidth="1" style="107" min="1585" max="1585"/>
    <col width="6.75" bestFit="1" customWidth="1" style="107" min="1586" max="1586"/>
    <col width="5.875" bestFit="1" customWidth="1" style="107" min="1587" max="1587"/>
    <col width="91.875" bestFit="1" customWidth="1" style="107" min="1588" max="1588"/>
    <col width="131.25" bestFit="1" customWidth="1" style="107" min="1589" max="1589"/>
    <col width="7" bestFit="1" customWidth="1" style="107" min="1590" max="1590"/>
    <col width="7.875" bestFit="1" customWidth="1" style="107" min="1591" max="1591"/>
    <col width="8.5" bestFit="1" customWidth="1" style="107" min="1592" max="1592"/>
    <col width="4.75" bestFit="1" customWidth="1" style="107" min="1593" max="1593"/>
    <col width="23.25" bestFit="1" customWidth="1" style="107" min="1594" max="1594"/>
    <col width="6.875" bestFit="1" customWidth="1" style="107" min="1595" max="1595"/>
    <col width="7.875" bestFit="1" customWidth="1" style="107" min="1596" max="1596"/>
    <col width="7.75" bestFit="1" customWidth="1" style="107" min="1597" max="1597"/>
    <col width="8" bestFit="1" customWidth="1" style="107" min="1598" max="1598"/>
    <col width="4.625" bestFit="1" customWidth="1" style="107" min="1599" max="1599"/>
    <col width="7.875" bestFit="1" customWidth="1" style="107" min="1600" max="1600"/>
    <col width="4" bestFit="1" customWidth="1" style="107" min="1601" max="1601"/>
    <col width="4.625" customWidth="1" style="107" min="1602" max="1602"/>
    <col width="4" bestFit="1" customWidth="1" style="107" min="1603" max="1612"/>
    <col width="3.75" bestFit="1" customWidth="1" style="107" min="1613" max="1613"/>
    <col width="4" bestFit="1" customWidth="1" style="107" min="1614" max="1614"/>
    <col width="3.625" bestFit="1" customWidth="1" style="107" min="1615" max="1615"/>
    <col width="9.875" bestFit="1" customWidth="1" style="107" min="1616" max="1616"/>
    <col width="5" bestFit="1" customWidth="1" style="107" min="1617" max="1617"/>
    <col width="7.125" bestFit="1" customWidth="1" style="107" min="1618" max="1618"/>
    <col width="9.375" bestFit="1" customWidth="1" style="107" min="1619" max="1619"/>
    <col width="10.25" bestFit="1" customWidth="1" style="107" min="1620" max="1620"/>
    <col width="7.375" bestFit="1" customWidth="1" style="107" min="1621" max="1621"/>
    <col width="47.375" bestFit="1" customWidth="1" style="107" min="1622" max="1622"/>
    <col width="73.25" bestFit="1" customWidth="1" style="107" min="1623" max="1623"/>
    <col width="26.625" bestFit="1" customWidth="1" style="107" min="1624" max="1624"/>
    <col width="26.75" bestFit="1" customWidth="1" style="107" min="1625" max="1626"/>
    <col width="6.375" bestFit="1" customWidth="1" style="107" min="1627" max="1627"/>
    <col width="9.875" bestFit="1" customWidth="1" style="107" min="1628" max="1629"/>
    <col width="26.5" bestFit="1" customWidth="1" style="107" min="1630" max="1630"/>
    <col width="9.125" bestFit="1" customWidth="1" style="107" min="1631" max="1631"/>
    <col width="12.625" bestFit="1" customWidth="1" style="107" min="1632" max="1632"/>
    <col width="36.5" bestFit="1" customWidth="1" style="107" min="1633" max="1633"/>
    <col width="3.375" bestFit="1" customWidth="1" style="107" min="1634" max="1634"/>
    <col width="8" bestFit="1" customWidth="1" style="107" min="1635" max="1635"/>
    <col width="5.625" bestFit="1" customWidth="1" style="107" min="1636" max="1636"/>
    <col width="7.875" bestFit="1" customWidth="1" style="107" min="1637" max="1637"/>
    <col width="6" bestFit="1" customWidth="1" style="107" min="1638" max="1638"/>
    <col width="11.25" bestFit="1" customWidth="1" style="107" min="1639" max="1639"/>
    <col width="9" customWidth="1" style="107" min="1640" max="1792"/>
    <col width="13.125" bestFit="1" customWidth="1" style="107" min="1793" max="1793"/>
    <col width="10.875" bestFit="1" customWidth="1" style="107" min="1794" max="1794"/>
    <col width="4.625" bestFit="1" customWidth="1" style="107" min="1795" max="1795"/>
    <col width="7" bestFit="1" customWidth="1" style="107" min="1796" max="1796"/>
    <col width="5.125" bestFit="1" customWidth="1" style="107" min="1797" max="1797"/>
    <col width="3.25" bestFit="1" customWidth="1" style="107" min="1798" max="1802"/>
    <col width="3.5" bestFit="1" customWidth="1" style="107" min="1803" max="1803"/>
    <col width="3.25" bestFit="1" customWidth="1" style="107" min="1804" max="1805"/>
    <col width="4.75" bestFit="1" customWidth="1" style="107" min="1806" max="1807"/>
    <col width="5.25" bestFit="1" customWidth="1" style="107" min="1808" max="1808"/>
    <col width="4.875" bestFit="1" customWidth="1" style="107" min="1809" max="1809"/>
    <col width="7.875" bestFit="1" customWidth="1" style="107" min="1810" max="1810"/>
    <col width="5.125" bestFit="1" customWidth="1" style="107" min="1811" max="1811"/>
    <col width="5.5" bestFit="1" customWidth="1" style="107" min="1812" max="1812"/>
    <col width="5.75" bestFit="1" customWidth="1" style="107" min="1813" max="1813"/>
    <col width="7.875" bestFit="1" customWidth="1" style="107" min="1814" max="1814"/>
    <col width="5.125" bestFit="1" customWidth="1" style="107" min="1815" max="1815"/>
    <col width="4.625" bestFit="1" customWidth="1" style="107" min="1816" max="1816"/>
    <col width="7.875" bestFit="1" customWidth="1" style="107" min="1817" max="1817"/>
    <col width="6.125" bestFit="1" customWidth="1" style="107" min="1818" max="1818"/>
    <col width="36.5" bestFit="1" customWidth="1" style="107" min="1819" max="1819"/>
    <col width="29.25" bestFit="1" customWidth="1" style="107" min="1820" max="1820"/>
    <col width="9.875" bestFit="1" customWidth="1" style="107" min="1821" max="1822"/>
    <col width="9.25" bestFit="1" customWidth="1" style="107" min="1823" max="1823"/>
    <col width="2.5" bestFit="1" customWidth="1" style="107" min="1824" max="1824"/>
    <col width="3.25" bestFit="1" customWidth="1" style="107" min="1825" max="1825"/>
    <col width="3.625" bestFit="1" customWidth="1" style="107" min="1826" max="1826"/>
    <col width="3.375" bestFit="1" customWidth="1" style="107" min="1827" max="1827"/>
    <col width="23.625" bestFit="1" customWidth="1" style="107" min="1828" max="1828"/>
    <col width="8.25" bestFit="1" customWidth="1" style="107" min="1829" max="1829"/>
    <col width="6.875" bestFit="1" customWidth="1" style="107" min="1830" max="1830"/>
    <col width="6.375" bestFit="1" customWidth="1" style="107" min="1831" max="1831"/>
    <col width="19.625" bestFit="1" customWidth="1" style="107" min="1832" max="1832"/>
    <col width="51.375" bestFit="1" customWidth="1" style="107" min="1833" max="1833"/>
    <col width="6.25" bestFit="1" customWidth="1" style="107" min="1834" max="1834"/>
    <col width="2.625" bestFit="1" customWidth="1" style="107" min="1835" max="1835"/>
    <col width="5.125" bestFit="1" customWidth="1" style="107" min="1836" max="1836"/>
    <col width="27.375" bestFit="1" customWidth="1" style="107" min="1837" max="1837"/>
    <col width="5.875" bestFit="1" customWidth="1" style="107" min="1838" max="1838"/>
    <col width="3.75" bestFit="1" customWidth="1" style="107" min="1839" max="1839"/>
    <col width="6.25" bestFit="1" customWidth="1" style="107" min="1840" max="1840"/>
    <col width="6.875" bestFit="1" customWidth="1" style="107" min="1841" max="1841"/>
    <col width="6.75" bestFit="1" customWidth="1" style="107" min="1842" max="1842"/>
    <col width="5.875" bestFit="1" customWidth="1" style="107" min="1843" max="1843"/>
    <col width="91.875" bestFit="1" customWidth="1" style="107" min="1844" max="1844"/>
    <col width="131.25" bestFit="1" customWidth="1" style="107" min="1845" max="1845"/>
    <col width="7" bestFit="1" customWidth="1" style="107" min="1846" max="1846"/>
    <col width="7.875" bestFit="1" customWidth="1" style="107" min="1847" max="1847"/>
    <col width="8.5" bestFit="1" customWidth="1" style="107" min="1848" max="1848"/>
    <col width="4.75" bestFit="1" customWidth="1" style="107" min="1849" max="1849"/>
    <col width="23.25" bestFit="1" customWidth="1" style="107" min="1850" max="1850"/>
    <col width="6.875" bestFit="1" customWidth="1" style="107" min="1851" max="1851"/>
    <col width="7.875" bestFit="1" customWidth="1" style="107" min="1852" max="1852"/>
    <col width="7.75" bestFit="1" customWidth="1" style="107" min="1853" max="1853"/>
    <col width="8" bestFit="1" customWidth="1" style="107" min="1854" max="1854"/>
    <col width="4.625" bestFit="1" customWidth="1" style="107" min="1855" max="1855"/>
    <col width="7.875" bestFit="1" customWidth="1" style="107" min="1856" max="1856"/>
    <col width="4" bestFit="1" customWidth="1" style="107" min="1857" max="1857"/>
    <col width="4.625" customWidth="1" style="107" min="1858" max="1858"/>
    <col width="4" bestFit="1" customWidth="1" style="107" min="1859" max="1868"/>
    <col width="3.75" bestFit="1" customWidth="1" style="107" min="1869" max="1869"/>
    <col width="4" bestFit="1" customWidth="1" style="107" min="1870" max="1870"/>
    <col width="3.625" bestFit="1" customWidth="1" style="107" min="1871" max="1871"/>
    <col width="9.875" bestFit="1" customWidth="1" style="107" min="1872" max="1872"/>
    <col width="5" bestFit="1" customWidth="1" style="107" min="1873" max="1873"/>
    <col width="7.125" bestFit="1" customWidth="1" style="107" min="1874" max="1874"/>
    <col width="9.375" bestFit="1" customWidth="1" style="107" min="1875" max="1875"/>
    <col width="10.25" bestFit="1" customWidth="1" style="107" min="1876" max="1876"/>
    <col width="7.375" bestFit="1" customWidth="1" style="107" min="1877" max="1877"/>
    <col width="47.375" bestFit="1" customWidth="1" style="107" min="1878" max="1878"/>
    <col width="73.25" bestFit="1" customWidth="1" style="107" min="1879" max="1879"/>
    <col width="26.625" bestFit="1" customWidth="1" style="107" min="1880" max="1880"/>
    <col width="26.75" bestFit="1" customWidth="1" style="107" min="1881" max="1882"/>
    <col width="6.375" bestFit="1" customWidth="1" style="107" min="1883" max="1883"/>
    <col width="9.875" bestFit="1" customWidth="1" style="107" min="1884" max="1885"/>
    <col width="26.5" bestFit="1" customWidth="1" style="107" min="1886" max="1886"/>
    <col width="9.125" bestFit="1" customWidth="1" style="107" min="1887" max="1887"/>
    <col width="12.625" bestFit="1" customWidth="1" style="107" min="1888" max="1888"/>
    <col width="36.5" bestFit="1" customWidth="1" style="107" min="1889" max="1889"/>
    <col width="3.375" bestFit="1" customWidth="1" style="107" min="1890" max="1890"/>
    <col width="8" bestFit="1" customWidth="1" style="107" min="1891" max="1891"/>
    <col width="5.625" bestFit="1" customWidth="1" style="107" min="1892" max="1892"/>
    <col width="7.875" bestFit="1" customWidth="1" style="107" min="1893" max="1893"/>
    <col width="6" bestFit="1" customWidth="1" style="107" min="1894" max="1894"/>
    <col width="11.25" bestFit="1" customWidth="1" style="107" min="1895" max="1895"/>
    <col width="9" customWidth="1" style="107" min="1896" max="2048"/>
    <col width="13.125" bestFit="1" customWidth="1" style="107" min="2049" max="2049"/>
    <col width="10.875" bestFit="1" customWidth="1" style="107" min="2050" max="2050"/>
    <col width="4.625" bestFit="1" customWidth="1" style="107" min="2051" max="2051"/>
    <col width="7" bestFit="1" customWidth="1" style="107" min="2052" max="2052"/>
    <col width="5.125" bestFit="1" customWidth="1" style="107" min="2053" max="2053"/>
    <col width="3.25" bestFit="1" customWidth="1" style="107" min="2054" max="2058"/>
    <col width="3.5" bestFit="1" customWidth="1" style="107" min="2059" max="2059"/>
    <col width="3.25" bestFit="1" customWidth="1" style="107" min="2060" max="2061"/>
    <col width="4.75" bestFit="1" customWidth="1" style="107" min="2062" max="2063"/>
    <col width="5.25" bestFit="1" customWidth="1" style="107" min="2064" max="2064"/>
    <col width="4.875" bestFit="1" customWidth="1" style="107" min="2065" max="2065"/>
    <col width="7.875" bestFit="1" customWidth="1" style="107" min="2066" max="2066"/>
    <col width="5.125" bestFit="1" customWidth="1" style="107" min="2067" max="2067"/>
    <col width="5.5" bestFit="1" customWidth="1" style="107" min="2068" max="2068"/>
    <col width="5.75" bestFit="1" customWidth="1" style="107" min="2069" max="2069"/>
    <col width="7.875" bestFit="1" customWidth="1" style="107" min="2070" max="2070"/>
    <col width="5.125" bestFit="1" customWidth="1" style="107" min="2071" max="2071"/>
    <col width="4.625" bestFit="1" customWidth="1" style="107" min="2072" max="2072"/>
    <col width="7.875" bestFit="1" customWidth="1" style="107" min="2073" max="2073"/>
    <col width="6.125" bestFit="1" customWidth="1" style="107" min="2074" max="2074"/>
    <col width="36.5" bestFit="1" customWidth="1" style="107" min="2075" max="2075"/>
    <col width="29.25" bestFit="1" customWidth="1" style="107" min="2076" max="2076"/>
    <col width="9.875" bestFit="1" customWidth="1" style="107" min="2077" max="2078"/>
    <col width="9.25" bestFit="1" customWidth="1" style="107" min="2079" max="2079"/>
    <col width="2.5" bestFit="1" customWidth="1" style="107" min="2080" max="2080"/>
    <col width="3.25" bestFit="1" customWidth="1" style="107" min="2081" max="2081"/>
    <col width="3.625" bestFit="1" customWidth="1" style="107" min="2082" max="2082"/>
    <col width="3.375" bestFit="1" customWidth="1" style="107" min="2083" max="2083"/>
    <col width="23.625" bestFit="1" customWidth="1" style="107" min="2084" max="2084"/>
    <col width="8.25" bestFit="1" customWidth="1" style="107" min="2085" max="2085"/>
    <col width="6.875" bestFit="1" customWidth="1" style="107" min="2086" max="2086"/>
    <col width="6.375" bestFit="1" customWidth="1" style="107" min="2087" max="2087"/>
    <col width="19.625" bestFit="1" customWidth="1" style="107" min="2088" max="2088"/>
    <col width="51.375" bestFit="1" customWidth="1" style="107" min="2089" max="2089"/>
    <col width="6.25" bestFit="1" customWidth="1" style="107" min="2090" max="2090"/>
    <col width="2.625" bestFit="1" customWidth="1" style="107" min="2091" max="2091"/>
    <col width="5.125" bestFit="1" customWidth="1" style="107" min="2092" max="2092"/>
    <col width="27.375" bestFit="1" customWidth="1" style="107" min="2093" max="2093"/>
    <col width="5.875" bestFit="1" customWidth="1" style="107" min="2094" max="2094"/>
    <col width="3.75" bestFit="1" customWidth="1" style="107" min="2095" max="2095"/>
    <col width="6.25" bestFit="1" customWidth="1" style="107" min="2096" max="2096"/>
    <col width="6.875" bestFit="1" customWidth="1" style="107" min="2097" max="2097"/>
    <col width="6.75" bestFit="1" customWidth="1" style="107" min="2098" max="2098"/>
    <col width="5.875" bestFit="1" customWidth="1" style="107" min="2099" max="2099"/>
    <col width="91.875" bestFit="1" customWidth="1" style="107" min="2100" max="2100"/>
    <col width="131.25" bestFit="1" customWidth="1" style="107" min="2101" max="2101"/>
    <col width="7" bestFit="1" customWidth="1" style="107" min="2102" max="2102"/>
    <col width="7.875" bestFit="1" customWidth="1" style="107" min="2103" max="2103"/>
    <col width="8.5" bestFit="1" customWidth="1" style="107" min="2104" max="2104"/>
    <col width="4.75" bestFit="1" customWidth="1" style="107" min="2105" max="2105"/>
    <col width="23.25" bestFit="1" customWidth="1" style="107" min="2106" max="2106"/>
    <col width="6.875" bestFit="1" customWidth="1" style="107" min="2107" max="2107"/>
    <col width="7.875" bestFit="1" customWidth="1" style="107" min="2108" max="2108"/>
    <col width="7.75" bestFit="1" customWidth="1" style="107" min="2109" max="2109"/>
    <col width="8" bestFit="1" customWidth="1" style="107" min="2110" max="2110"/>
    <col width="4.625" bestFit="1" customWidth="1" style="107" min="2111" max="2111"/>
    <col width="7.875" bestFit="1" customWidth="1" style="107" min="2112" max="2112"/>
    <col width="4" bestFit="1" customWidth="1" style="107" min="2113" max="2113"/>
    <col width="4.625" customWidth="1" style="107" min="2114" max="2114"/>
    <col width="4" bestFit="1" customWidth="1" style="107" min="2115" max="2124"/>
    <col width="3.75" bestFit="1" customWidth="1" style="107" min="2125" max="2125"/>
    <col width="4" bestFit="1" customWidth="1" style="107" min="2126" max="2126"/>
    <col width="3.625" bestFit="1" customWidth="1" style="107" min="2127" max="2127"/>
    <col width="9.875" bestFit="1" customWidth="1" style="107" min="2128" max="2128"/>
    <col width="5" bestFit="1" customWidth="1" style="107" min="2129" max="2129"/>
    <col width="7.125" bestFit="1" customWidth="1" style="107" min="2130" max="2130"/>
    <col width="9.375" bestFit="1" customWidth="1" style="107" min="2131" max="2131"/>
    <col width="10.25" bestFit="1" customWidth="1" style="107" min="2132" max="2132"/>
    <col width="7.375" bestFit="1" customWidth="1" style="107" min="2133" max="2133"/>
    <col width="47.375" bestFit="1" customWidth="1" style="107" min="2134" max="2134"/>
    <col width="73.25" bestFit="1" customWidth="1" style="107" min="2135" max="2135"/>
    <col width="26.625" bestFit="1" customWidth="1" style="107" min="2136" max="2136"/>
    <col width="26.75" bestFit="1" customWidth="1" style="107" min="2137" max="2138"/>
    <col width="6.375" bestFit="1" customWidth="1" style="107" min="2139" max="2139"/>
    <col width="9.875" bestFit="1" customWidth="1" style="107" min="2140" max="2141"/>
    <col width="26.5" bestFit="1" customWidth="1" style="107" min="2142" max="2142"/>
    <col width="9.125" bestFit="1" customWidth="1" style="107" min="2143" max="2143"/>
    <col width="12.625" bestFit="1" customWidth="1" style="107" min="2144" max="2144"/>
    <col width="36.5" bestFit="1" customWidth="1" style="107" min="2145" max="2145"/>
    <col width="3.375" bestFit="1" customWidth="1" style="107" min="2146" max="2146"/>
    <col width="8" bestFit="1" customWidth="1" style="107" min="2147" max="2147"/>
    <col width="5.625" bestFit="1" customWidth="1" style="107" min="2148" max="2148"/>
    <col width="7.875" bestFit="1" customWidth="1" style="107" min="2149" max="2149"/>
    <col width="6" bestFit="1" customWidth="1" style="107" min="2150" max="2150"/>
    <col width="11.25" bestFit="1" customWidth="1" style="107" min="2151" max="2151"/>
    <col width="9" customWidth="1" style="107" min="2152" max="2304"/>
    <col width="13.125" bestFit="1" customWidth="1" style="107" min="2305" max="2305"/>
    <col width="10.875" bestFit="1" customWidth="1" style="107" min="2306" max="2306"/>
    <col width="4.625" bestFit="1" customWidth="1" style="107" min="2307" max="2307"/>
    <col width="7" bestFit="1" customWidth="1" style="107" min="2308" max="2308"/>
    <col width="5.125" bestFit="1" customWidth="1" style="107" min="2309" max="2309"/>
    <col width="3.25" bestFit="1" customWidth="1" style="107" min="2310" max="2314"/>
    <col width="3.5" bestFit="1" customWidth="1" style="107" min="2315" max="2315"/>
    <col width="3.25" bestFit="1" customWidth="1" style="107" min="2316" max="2317"/>
    <col width="4.75" bestFit="1" customWidth="1" style="107" min="2318" max="2319"/>
    <col width="5.25" bestFit="1" customWidth="1" style="107" min="2320" max="2320"/>
    <col width="4.875" bestFit="1" customWidth="1" style="107" min="2321" max="2321"/>
    <col width="7.875" bestFit="1" customWidth="1" style="107" min="2322" max="2322"/>
    <col width="5.125" bestFit="1" customWidth="1" style="107" min="2323" max="2323"/>
    <col width="5.5" bestFit="1" customWidth="1" style="107" min="2324" max="2324"/>
    <col width="5.75" bestFit="1" customWidth="1" style="107" min="2325" max="2325"/>
    <col width="7.875" bestFit="1" customWidth="1" style="107" min="2326" max="2326"/>
    <col width="5.125" bestFit="1" customWidth="1" style="107" min="2327" max="2327"/>
    <col width="4.625" bestFit="1" customWidth="1" style="107" min="2328" max="2328"/>
    <col width="7.875" bestFit="1" customWidth="1" style="107" min="2329" max="2329"/>
    <col width="6.125" bestFit="1" customWidth="1" style="107" min="2330" max="2330"/>
    <col width="36.5" bestFit="1" customWidth="1" style="107" min="2331" max="2331"/>
    <col width="29.25" bestFit="1" customWidth="1" style="107" min="2332" max="2332"/>
    <col width="9.875" bestFit="1" customWidth="1" style="107" min="2333" max="2334"/>
    <col width="9.25" bestFit="1" customWidth="1" style="107" min="2335" max="2335"/>
    <col width="2.5" bestFit="1" customWidth="1" style="107" min="2336" max="2336"/>
    <col width="3.25" bestFit="1" customWidth="1" style="107" min="2337" max="2337"/>
    <col width="3.625" bestFit="1" customWidth="1" style="107" min="2338" max="2338"/>
    <col width="3.375" bestFit="1" customWidth="1" style="107" min="2339" max="2339"/>
    <col width="23.625" bestFit="1" customWidth="1" style="107" min="2340" max="2340"/>
    <col width="8.25" bestFit="1" customWidth="1" style="107" min="2341" max="2341"/>
    <col width="6.875" bestFit="1" customWidth="1" style="107" min="2342" max="2342"/>
    <col width="6.375" bestFit="1" customWidth="1" style="107" min="2343" max="2343"/>
    <col width="19.625" bestFit="1" customWidth="1" style="107" min="2344" max="2344"/>
    <col width="51.375" bestFit="1" customWidth="1" style="107" min="2345" max="2345"/>
    <col width="6.25" bestFit="1" customWidth="1" style="107" min="2346" max="2346"/>
    <col width="2.625" bestFit="1" customWidth="1" style="107" min="2347" max="2347"/>
    <col width="5.125" bestFit="1" customWidth="1" style="107" min="2348" max="2348"/>
    <col width="27.375" bestFit="1" customWidth="1" style="107" min="2349" max="2349"/>
    <col width="5.875" bestFit="1" customWidth="1" style="107" min="2350" max="2350"/>
    <col width="3.75" bestFit="1" customWidth="1" style="107" min="2351" max="2351"/>
    <col width="6.25" bestFit="1" customWidth="1" style="107" min="2352" max="2352"/>
    <col width="6.875" bestFit="1" customWidth="1" style="107" min="2353" max="2353"/>
    <col width="6.75" bestFit="1" customWidth="1" style="107" min="2354" max="2354"/>
    <col width="5.875" bestFit="1" customWidth="1" style="107" min="2355" max="2355"/>
    <col width="91.875" bestFit="1" customWidth="1" style="107" min="2356" max="2356"/>
    <col width="131.25" bestFit="1" customWidth="1" style="107" min="2357" max="2357"/>
    <col width="7" bestFit="1" customWidth="1" style="107" min="2358" max="2358"/>
    <col width="7.875" bestFit="1" customWidth="1" style="107" min="2359" max="2359"/>
    <col width="8.5" bestFit="1" customWidth="1" style="107" min="2360" max="2360"/>
    <col width="4.75" bestFit="1" customWidth="1" style="107" min="2361" max="2361"/>
    <col width="23.25" bestFit="1" customWidth="1" style="107" min="2362" max="2362"/>
    <col width="6.875" bestFit="1" customWidth="1" style="107" min="2363" max="2363"/>
    <col width="7.875" bestFit="1" customWidth="1" style="107" min="2364" max="2364"/>
    <col width="7.75" bestFit="1" customWidth="1" style="107" min="2365" max="2365"/>
    <col width="8" bestFit="1" customWidth="1" style="107" min="2366" max="2366"/>
    <col width="4.625" bestFit="1" customWidth="1" style="107" min="2367" max="2367"/>
    <col width="7.875" bestFit="1" customWidth="1" style="107" min="2368" max="2368"/>
    <col width="4" bestFit="1" customWidth="1" style="107" min="2369" max="2369"/>
    <col width="4.625" customWidth="1" style="107" min="2370" max="2370"/>
    <col width="4" bestFit="1" customWidth="1" style="107" min="2371" max="2380"/>
    <col width="3.75" bestFit="1" customWidth="1" style="107" min="2381" max="2381"/>
    <col width="4" bestFit="1" customWidth="1" style="107" min="2382" max="2382"/>
    <col width="3.625" bestFit="1" customWidth="1" style="107" min="2383" max="2383"/>
    <col width="9.875" bestFit="1" customWidth="1" style="107" min="2384" max="2384"/>
    <col width="5" bestFit="1" customWidth="1" style="107" min="2385" max="2385"/>
    <col width="7.125" bestFit="1" customWidth="1" style="107" min="2386" max="2386"/>
    <col width="9.375" bestFit="1" customWidth="1" style="107" min="2387" max="2387"/>
    <col width="10.25" bestFit="1" customWidth="1" style="107" min="2388" max="2388"/>
    <col width="7.375" bestFit="1" customWidth="1" style="107" min="2389" max="2389"/>
    <col width="47.375" bestFit="1" customWidth="1" style="107" min="2390" max="2390"/>
    <col width="73.25" bestFit="1" customWidth="1" style="107" min="2391" max="2391"/>
    <col width="26.625" bestFit="1" customWidth="1" style="107" min="2392" max="2392"/>
    <col width="26.75" bestFit="1" customWidth="1" style="107" min="2393" max="2394"/>
    <col width="6.375" bestFit="1" customWidth="1" style="107" min="2395" max="2395"/>
    <col width="9.875" bestFit="1" customWidth="1" style="107" min="2396" max="2397"/>
    <col width="26.5" bestFit="1" customWidth="1" style="107" min="2398" max="2398"/>
    <col width="9.125" bestFit="1" customWidth="1" style="107" min="2399" max="2399"/>
    <col width="12.625" bestFit="1" customWidth="1" style="107" min="2400" max="2400"/>
    <col width="36.5" bestFit="1" customWidth="1" style="107" min="2401" max="2401"/>
    <col width="3.375" bestFit="1" customWidth="1" style="107" min="2402" max="2402"/>
    <col width="8" bestFit="1" customWidth="1" style="107" min="2403" max="2403"/>
    <col width="5.625" bestFit="1" customWidth="1" style="107" min="2404" max="2404"/>
    <col width="7.875" bestFit="1" customWidth="1" style="107" min="2405" max="2405"/>
    <col width="6" bestFit="1" customWidth="1" style="107" min="2406" max="2406"/>
    <col width="11.25" bestFit="1" customWidth="1" style="107" min="2407" max="2407"/>
    <col width="9" customWidth="1" style="107" min="2408" max="2560"/>
    <col width="13.125" bestFit="1" customWidth="1" style="107" min="2561" max="2561"/>
    <col width="10.875" bestFit="1" customWidth="1" style="107" min="2562" max="2562"/>
    <col width="4.625" bestFit="1" customWidth="1" style="107" min="2563" max="2563"/>
    <col width="7" bestFit="1" customWidth="1" style="107" min="2564" max="2564"/>
    <col width="5.125" bestFit="1" customWidth="1" style="107" min="2565" max="2565"/>
    <col width="3.25" bestFit="1" customWidth="1" style="107" min="2566" max="2570"/>
    <col width="3.5" bestFit="1" customWidth="1" style="107" min="2571" max="2571"/>
    <col width="3.25" bestFit="1" customWidth="1" style="107" min="2572" max="2573"/>
    <col width="4.75" bestFit="1" customWidth="1" style="107" min="2574" max="2575"/>
    <col width="5.25" bestFit="1" customWidth="1" style="107" min="2576" max="2576"/>
    <col width="4.875" bestFit="1" customWidth="1" style="107" min="2577" max="2577"/>
    <col width="7.875" bestFit="1" customWidth="1" style="107" min="2578" max="2578"/>
    <col width="5.125" bestFit="1" customWidth="1" style="107" min="2579" max="2579"/>
    <col width="5.5" bestFit="1" customWidth="1" style="107" min="2580" max="2580"/>
    <col width="5.75" bestFit="1" customWidth="1" style="107" min="2581" max="2581"/>
    <col width="7.875" bestFit="1" customWidth="1" style="107" min="2582" max="2582"/>
    <col width="5.125" bestFit="1" customWidth="1" style="107" min="2583" max="2583"/>
    <col width="4.625" bestFit="1" customWidth="1" style="107" min="2584" max="2584"/>
    <col width="7.875" bestFit="1" customWidth="1" style="107" min="2585" max="2585"/>
    <col width="6.125" bestFit="1" customWidth="1" style="107" min="2586" max="2586"/>
    <col width="36.5" bestFit="1" customWidth="1" style="107" min="2587" max="2587"/>
    <col width="29.25" bestFit="1" customWidth="1" style="107" min="2588" max="2588"/>
    <col width="9.875" bestFit="1" customWidth="1" style="107" min="2589" max="2590"/>
    <col width="9.25" bestFit="1" customWidth="1" style="107" min="2591" max="2591"/>
    <col width="2.5" bestFit="1" customWidth="1" style="107" min="2592" max="2592"/>
    <col width="3.25" bestFit="1" customWidth="1" style="107" min="2593" max="2593"/>
    <col width="3.625" bestFit="1" customWidth="1" style="107" min="2594" max="2594"/>
    <col width="3.375" bestFit="1" customWidth="1" style="107" min="2595" max="2595"/>
    <col width="23.625" bestFit="1" customWidth="1" style="107" min="2596" max="2596"/>
    <col width="8.25" bestFit="1" customWidth="1" style="107" min="2597" max="2597"/>
    <col width="6.875" bestFit="1" customWidth="1" style="107" min="2598" max="2598"/>
    <col width="6.375" bestFit="1" customWidth="1" style="107" min="2599" max="2599"/>
    <col width="19.625" bestFit="1" customWidth="1" style="107" min="2600" max="2600"/>
    <col width="51.375" bestFit="1" customWidth="1" style="107" min="2601" max="2601"/>
    <col width="6.25" bestFit="1" customWidth="1" style="107" min="2602" max="2602"/>
    <col width="2.625" bestFit="1" customWidth="1" style="107" min="2603" max="2603"/>
    <col width="5.125" bestFit="1" customWidth="1" style="107" min="2604" max="2604"/>
    <col width="27.375" bestFit="1" customWidth="1" style="107" min="2605" max="2605"/>
    <col width="5.875" bestFit="1" customWidth="1" style="107" min="2606" max="2606"/>
    <col width="3.75" bestFit="1" customWidth="1" style="107" min="2607" max="2607"/>
    <col width="6.25" bestFit="1" customWidth="1" style="107" min="2608" max="2608"/>
    <col width="6.875" bestFit="1" customWidth="1" style="107" min="2609" max="2609"/>
    <col width="6.75" bestFit="1" customWidth="1" style="107" min="2610" max="2610"/>
    <col width="5.875" bestFit="1" customWidth="1" style="107" min="2611" max="2611"/>
    <col width="91.875" bestFit="1" customWidth="1" style="107" min="2612" max="2612"/>
    <col width="131.25" bestFit="1" customWidth="1" style="107" min="2613" max="2613"/>
    <col width="7" bestFit="1" customWidth="1" style="107" min="2614" max="2614"/>
    <col width="7.875" bestFit="1" customWidth="1" style="107" min="2615" max="2615"/>
    <col width="8.5" bestFit="1" customWidth="1" style="107" min="2616" max="2616"/>
    <col width="4.75" bestFit="1" customWidth="1" style="107" min="2617" max="2617"/>
    <col width="23.25" bestFit="1" customWidth="1" style="107" min="2618" max="2618"/>
    <col width="6.875" bestFit="1" customWidth="1" style="107" min="2619" max="2619"/>
    <col width="7.875" bestFit="1" customWidth="1" style="107" min="2620" max="2620"/>
    <col width="7.75" bestFit="1" customWidth="1" style="107" min="2621" max="2621"/>
    <col width="8" bestFit="1" customWidth="1" style="107" min="2622" max="2622"/>
    <col width="4.625" bestFit="1" customWidth="1" style="107" min="2623" max="2623"/>
    <col width="7.875" bestFit="1" customWidth="1" style="107" min="2624" max="2624"/>
    <col width="4" bestFit="1" customWidth="1" style="107" min="2625" max="2625"/>
    <col width="4.625" customWidth="1" style="107" min="2626" max="2626"/>
    <col width="4" bestFit="1" customWidth="1" style="107" min="2627" max="2636"/>
    <col width="3.75" bestFit="1" customWidth="1" style="107" min="2637" max="2637"/>
    <col width="4" bestFit="1" customWidth="1" style="107" min="2638" max="2638"/>
    <col width="3.625" bestFit="1" customWidth="1" style="107" min="2639" max="2639"/>
    <col width="9.875" bestFit="1" customWidth="1" style="107" min="2640" max="2640"/>
    <col width="5" bestFit="1" customWidth="1" style="107" min="2641" max="2641"/>
    <col width="7.125" bestFit="1" customWidth="1" style="107" min="2642" max="2642"/>
    <col width="9.375" bestFit="1" customWidth="1" style="107" min="2643" max="2643"/>
    <col width="10.25" bestFit="1" customWidth="1" style="107" min="2644" max="2644"/>
    <col width="7.375" bestFit="1" customWidth="1" style="107" min="2645" max="2645"/>
    <col width="47.375" bestFit="1" customWidth="1" style="107" min="2646" max="2646"/>
    <col width="73.25" bestFit="1" customWidth="1" style="107" min="2647" max="2647"/>
    <col width="26.625" bestFit="1" customWidth="1" style="107" min="2648" max="2648"/>
    <col width="26.75" bestFit="1" customWidth="1" style="107" min="2649" max="2650"/>
    <col width="6.375" bestFit="1" customWidth="1" style="107" min="2651" max="2651"/>
    <col width="9.875" bestFit="1" customWidth="1" style="107" min="2652" max="2653"/>
    <col width="26.5" bestFit="1" customWidth="1" style="107" min="2654" max="2654"/>
    <col width="9.125" bestFit="1" customWidth="1" style="107" min="2655" max="2655"/>
    <col width="12.625" bestFit="1" customWidth="1" style="107" min="2656" max="2656"/>
    <col width="36.5" bestFit="1" customWidth="1" style="107" min="2657" max="2657"/>
    <col width="3.375" bestFit="1" customWidth="1" style="107" min="2658" max="2658"/>
    <col width="8" bestFit="1" customWidth="1" style="107" min="2659" max="2659"/>
    <col width="5.625" bestFit="1" customWidth="1" style="107" min="2660" max="2660"/>
    <col width="7.875" bestFit="1" customWidth="1" style="107" min="2661" max="2661"/>
    <col width="6" bestFit="1" customWidth="1" style="107" min="2662" max="2662"/>
    <col width="11.25" bestFit="1" customWidth="1" style="107" min="2663" max="2663"/>
    <col width="9" customWidth="1" style="107" min="2664" max="2816"/>
    <col width="13.125" bestFit="1" customWidth="1" style="107" min="2817" max="2817"/>
    <col width="10.875" bestFit="1" customWidth="1" style="107" min="2818" max="2818"/>
    <col width="4.625" bestFit="1" customWidth="1" style="107" min="2819" max="2819"/>
    <col width="7" bestFit="1" customWidth="1" style="107" min="2820" max="2820"/>
    <col width="5.125" bestFit="1" customWidth="1" style="107" min="2821" max="2821"/>
    <col width="3.25" bestFit="1" customWidth="1" style="107" min="2822" max="2826"/>
    <col width="3.5" bestFit="1" customWidth="1" style="107" min="2827" max="2827"/>
    <col width="3.25" bestFit="1" customWidth="1" style="107" min="2828" max="2829"/>
    <col width="4.75" bestFit="1" customWidth="1" style="107" min="2830" max="2831"/>
    <col width="5.25" bestFit="1" customWidth="1" style="107" min="2832" max="2832"/>
    <col width="4.875" bestFit="1" customWidth="1" style="107" min="2833" max="2833"/>
    <col width="7.875" bestFit="1" customWidth="1" style="107" min="2834" max="2834"/>
    <col width="5.125" bestFit="1" customWidth="1" style="107" min="2835" max="2835"/>
    <col width="5.5" bestFit="1" customWidth="1" style="107" min="2836" max="2836"/>
    <col width="5.75" bestFit="1" customWidth="1" style="107" min="2837" max="2837"/>
    <col width="7.875" bestFit="1" customWidth="1" style="107" min="2838" max="2838"/>
    <col width="5.125" bestFit="1" customWidth="1" style="107" min="2839" max="2839"/>
    <col width="4.625" bestFit="1" customWidth="1" style="107" min="2840" max="2840"/>
    <col width="7.875" bestFit="1" customWidth="1" style="107" min="2841" max="2841"/>
    <col width="6.125" bestFit="1" customWidth="1" style="107" min="2842" max="2842"/>
    <col width="36.5" bestFit="1" customWidth="1" style="107" min="2843" max="2843"/>
    <col width="29.25" bestFit="1" customWidth="1" style="107" min="2844" max="2844"/>
    <col width="9.875" bestFit="1" customWidth="1" style="107" min="2845" max="2846"/>
    <col width="9.25" bestFit="1" customWidth="1" style="107" min="2847" max="2847"/>
    <col width="2.5" bestFit="1" customWidth="1" style="107" min="2848" max="2848"/>
    <col width="3.25" bestFit="1" customWidth="1" style="107" min="2849" max="2849"/>
    <col width="3.625" bestFit="1" customWidth="1" style="107" min="2850" max="2850"/>
    <col width="3.375" bestFit="1" customWidth="1" style="107" min="2851" max="2851"/>
    <col width="23.625" bestFit="1" customWidth="1" style="107" min="2852" max="2852"/>
    <col width="8.25" bestFit="1" customWidth="1" style="107" min="2853" max="2853"/>
    <col width="6.875" bestFit="1" customWidth="1" style="107" min="2854" max="2854"/>
    <col width="6.375" bestFit="1" customWidth="1" style="107" min="2855" max="2855"/>
    <col width="19.625" bestFit="1" customWidth="1" style="107" min="2856" max="2856"/>
    <col width="51.375" bestFit="1" customWidth="1" style="107" min="2857" max="2857"/>
    <col width="6.25" bestFit="1" customWidth="1" style="107" min="2858" max="2858"/>
    <col width="2.625" bestFit="1" customWidth="1" style="107" min="2859" max="2859"/>
    <col width="5.125" bestFit="1" customWidth="1" style="107" min="2860" max="2860"/>
    <col width="27.375" bestFit="1" customWidth="1" style="107" min="2861" max="2861"/>
    <col width="5.875" bestFit="1" customWidth="1" style="107" min="2862" max="2862"/>
    <col width="3.75" bestFit="1" customWidth="1" style="107" min="2863" max="2863"/>
    <col width="6.25" bestFit="1" customWidth="1" style="107" min="2864" max="2864"/>
    <col width="6.875" bestFit="1" customWidth="1" style="107" min="2865" max="2865"/>
    <col width="6.75" bestFit="1" customWidth="1" style="107" min="2866" max="2866"/>
    <col width="5.875" bestFit="1" customWidth="1" style="107" min="2867" max="2867"/>
    <col width="91.875" bestFit="1" customWidth="1" style="107" min="2868" max="2868"/>
    <col width="131.25" bestFit="1" customWidth="1" style="107" min="2869" max="2869"/>
    <col width="7" bestFit="1" customWidth="1" style="107" min="2870" max="2870"/>
    <col width="7.875" bestFit="1" customWidth="1" style="107" min="2871" max="2871"/>
    <col width="8.5" bestFit="1" customWidth="1" style="107" min="2872" max="2872"/>
    <col width="4.75" bestFit="1" customWidth="1" style="107" min="2873" max="2873"/>
    <col width="23.25" bestFit="1" customWidth="1" style="107" min="2874" max="2874"/>
    <col width="6.875" bestFit="1" customWidth="1" style="107" min="2875" max="2875"/>
    <col width="7.875" bestFit="1" customWidth="1" style="107" min="2876" max="2876"/>
    <col width="7.75" bestFit="1" customWidth="1" style="107" min="2877" max="2877"/>
    <col width="8" bestFit="1" customWidth="1" style="107" min="2878" max="2878"/>
    <col width="4.625" bestFit="1" customWidth="1" style="107" min="2879" max="2879"/>
    <col width="7.875" bestFit="1" customWidth="1" style="107" min="2880" max="2880"/>
    <col width="4" bestFit="1" customWidth="1" style="107" min="2881" max="2881"/>
    <col width="4.625" customWidth="1" style="107" min="2882" max="2882"/>
    <col width="4" bestFit="1" customWidth="1" style="107" min="2883" max="2892"/>
    <col width="3.75" bestFit="1" customWidth="1" style="107" min="2893" max="2893"/>
    <col width="4" bestFit="1" customWidth="1" style="107" min="2894" max="2894"/>
    <col width="3.625" bestFit="1" customWidth="1" style="107" min="2895" max="2895"/>
    <col width="9.875" bestFit="1" customWidth="1" style="107" min="2896" max="2896"/>
    <col width="5" bestFit="1" customWidth="1" style="107" min="2897" max="2897"/>
    <col width="7.125" bestFit="1" customWidth="1" style="107" min="2898" max="2898"/>
    <col width="9.375" bestFit="1" customWidth="1" style="107" min="2899" max="2899"/>
    <col width="10.25" bestFit="1" customWidth="1" style="107" min="2900" max="2900"/>
    <col width="7.375" bestFit="1" customWidth="1" style="107" min="2901" max="2901"/>
    <col width="47.375" bestFit="1" customWidth="1" style="107" min="2902" max="2902"/>
    <col width="73.25" bestFit="1" customWidth="1" style="107" min="2903" max="2903"/>
    <col width="26.625" bestFit="1" customWidth="1" style="107" min="2904" max="2904"/>
    <col width="26.75" bestFit="1" customWidth="1" style="107" min="2905" max="2906"/>
    <col width="6.375" bestFit="1" customWidth="1" style="107" min="2907" max="2907"/>
    <col width="9.875" bestFit="1" customWidth="1" style="107" min="2908" max="2909"/>
    <col width="26.5" bestFit="1" customWidth="1" style="107" min="2910" max="2910"/>
    <col width="9.125" bestFit="1" customWidth="1" style="107" min="2911" max="2911"/>
    <col width="12.625" bestFit="1" customWidth="1" style="107" min="2912" max="2912"/>
    <col width="36.5" bestFit="1" customWidth="1" style="107" min="2913" max="2913"/>
    <col width="3.375" bestFit="1" customWidth="1" style="107" min="2914" max="2914"/>
    <col width="8" bestFit="1" customWidth="1" style="107" min="2915" max="2915"/>
    <col width="5.625" bestFit="1" customWidth="1" style="107" min="2916" max="2916"/>
    <col width="7.875" bestFit="1" customWidth="1" style="107" min="2917" max="2917"/>
    <col width="6" bestFit="1" customWidth="1" style="107" min="2918" max="2918"/>
    <col width="11.25" bestFit="1" customWidth="1" style="107" min="2919" max="2919"/>
    <col width="9" customWidth="1" style="107" min="2920" max="3072"/>
    <col width="13.125" bestFit="1" customWidth="1" style="107" min="3073" max="3073"/>
    <col width="10.875" bestFit="1" customWidth="1" style="107" min="3074" max="3074"/>
    <col width="4.625" bestFit="1" customWidth="1" style="107" min="3075" max="3075"/>
    <col width="7" bestFit="1" customWidth="1" style="107" min="3076" max="3076"/>
    <col width="5.125" bestFit="1" customWidth="1" style="107" min="3077" max="3077"/>
    <col width="3.25" bestFit="1" customWidth="1" style="107" min="3078" max="3082"/>
    <col width="3.5" bestFit="1" customWidth="1" style="107" min="3083" max="3083"/>
    <col width="3.25" bestFit="1" customWidth="1" style="107" min="3084" max="3085"/>
    <col width="4.75" bestFit="1" customWidth="1" style="107" min="3086" max="3087"/>
    <col width="5.25" bestFit="1" customWidth="1" style="107" min="3088" max="3088"/>
    <col width="4.875" bestFit="1" customWidth="1" style="107" min="3089" max="3089"/>
    <col width="7.875" bestFit="1" customWidth="1" style="107" min="3090" max="3090"/>
    <col width="5.125" bestFit="1" customWidth="1" style="107" min="3091" max="3091"/>
    <col width="5.5" bestFit="1" customWidth="1" style="107" min="3092" max="3092"/>
    <col width="5.75" bestFit="1" customWidth="1" style="107" min="3093" max="3093"/>
    <col width="7.875" bestFit="1" customWidth="1" style="107" min="3094" max="3094"/>
    <col width="5.125" bestFit="1" customWidth="1" style="107" min="3095" max="3095"/>
    <col width="4.625" bestFit="1" customWidth="1" style="107" min="3096" max="3096"/>
    <col width="7.875" bestFit="1" customWidth="1" style="107" min="3097" max="3097"/>
    <col width="6.125" bestFit="1" customWidth="1" style="107" min="3098" max="3098"/>
    <col width="36.5" bestFit="1" customWidth="1" style="107" min="3099" max="3099"/>
    <col width="29.25" bestFit="1" customWidth="1" style="107" min="3100" max="3100"/>
    <col width="9.875" bestFit="1" customWidth="1" style="107" min="3101" max="3102"/>
    <col width="9.25" bestFit="1" customWidth="1" style="107" min="3103" max="3103"/>
    <col width="2.5" bestFit="1" customWidth="1" style="107" min="3104" max="3104"/>
    <col width="3.25" bestFit="1" customWidth="1" style="107" min="3105" max="3105"/>
    <col width="3.625" bestFit="1" customWidth="1" style="107" min="3106" max="3106"/>
    <col width="3.375" bestFit="1" customWidth="1" style="107" min="3107" max="3107"/>
    <col width="23.625" bestFit="1" customWidth="1" style="107" min="3108" max="3108"/>
    <col width="8.25" bestFit="1" customWidth="1" style="107" min="3109" max="3109"/>
    <col width="6.875" bestFit="1" customWidth="1" style="107" min="3110" max="3110"/>
    <col width="6.375" bestFit="1" customWidth="1" style="107" min="3111" max="3111"/>
    <col width="19.625" bestFit="1" customWidth="1" style="107" min="3112" max="3112"/>
    <col width="51.375" bestFit="1" customWidth="1" style="107" min="3113" max="3113"/>
    <col width="6.25" bestFit="1" customWidth="1" style="107" min="3114" max="3114"/>
    <col width="2.625" bestFit="1" customWidth="1" style="107" min="3115" max="3115"/>
    <col width="5.125" bestFit="1" customWidth="1" style="107" min="3116" max="3116"/>
    <col width="27.375" bestFit="1" customWidth="1" style="107" min="3117" max="3117"/>
    <col width="5.875" bestFit="1" customWidth="1" style="107" min="3118" max="3118"/>
    <col width="3.75" bestFit="1" customWidth="1" style="107" min="3119" max="3119"/>
    <col width="6.25" bestFit="1" customWidth="1" style="107" min="3120" max="3120"/>
    <col width="6.875" bestFit="1" customWidth="1" style="107" min="3121" max="3121"/>
    <col width="6.75" bestFit="1" customWidth="1" style="107" min="3122" max="3122"/>
    <col width="5.875" bestFit="1" customWidth="1" style="107" min="3123" max="3123"/>
    <col width="91.875" bestFit="1" customWidth="1" style="107" min="3124" max="3124"/>
    <col width="131.25" bestFit="1" customWidth="1" style="107" min="3125" max="3125"/>
    <col width="7" bestFit="1" customWidth="1" style="107" min="3126" max="3126"/>
    <col width="7.875" bestFit="1" customWidth="1" style="107" min="3127" max="3127"/>
    <col width="8.5" bestFit="1" customWidth="1" style="107" min="3128" max="3128"/>
    <col width="4.75" bestFit="1" customWidth="1" style="107" min="3129" max="3129"/>
    <col width="23.25" bestFit="1" customWidth="1" style="107" min="3130" max="3130"/>
    <col width="6.875" bestFit="1" customWidth="1" style="107" min="3131" max="3131"/>
    <col width="7.875" bestFit="1" customWidth="1" style="107" min="3132" max="3132"/>
    <col width="7.75" bestFit="1" customWidth="1" style="107" min="3133" max="3133"/>
    <col width="8" bestFit="1" customWidth="1" style="107" min="3134" max="3134"/>
    <col width="4.625" bestFit="1" customWidth="1" style="107" min="3135" max="3135"/>
    <col width="7.875" bestFit="1" customWidth="1" style="107" min="3136" max="3136"/>
    <col width="4" bestFit="1" customWidth="1" style="107" min="3137" max="3137"/>
    <col width="4.625" customWidth="1" style="107" min="3138" max="3138"/>
    <col width="4" bestFit="1" customWidth="1" style="107" min="3139" max="3148"/>
    <col width="3.75" bestFit="1" customWidth="1" style="107" min="3149" max="3149"/>
    <col width="4" bestFit="1" customWidth="1" style="107" min="3150" max="3150"/>
    <col width="3.625" bestFit="1" customWidth="1" style="107" min="3151" max="3151"/>
    <col width="9.875" bestFit="1" customWidth="1" style="107" min="3152" max="3152"/>
    <col width="5" bestFit="1" customWidth="1" style="107" min="3153" max="3153"/>
    <col width="7.125" bestFit="1" customWidth="1" style="107" min="3154" max="3154"/>
    <col width="9.375" bestFit="1" customWidth="1" style="107" min="3155" max="3155"/>
    <col width="10.25" bestFit="1" customWidth="1" style="107" min="3156" max="3156"/>
    <col width="7.375" bestFit="1" customWidth="1" style="107" min="3157" max="3157"/>
    <col width="47.375" bestFit="1" customWidth="1" style="107" min="3158" max="3158"/>
    <col width="73.25" bestFit="1" customWidth="1" style="107" min="3159" max="3159"/>
    <col width="26.625" bestFit="1" customWidth="1" style="107" min="3160" max="3160"/>
    <col width="26.75" bestFit="1" customWidth="1" style="107" min="3161" max="3162"/>
    <col width="6.375" bestFit="1" customWidth="1" style="107" min="3163" max="3163"/>
    <col width="9.875" bestFit="1" customWidth="1" style="107" min="3164" max="3165"/>
    <col width="26.5" bestFit="1" customWidth="1" style="107" min="3166" max="3166"/>
    <col width="9.125" bestFit="1" customWidth="1" style="107" min="3167" max="3167"/>
    <col width="12.625" bestFit="1" customWidth="1" style="107" min="3168" max="3168"/>
    <col width="36.5" bestFit="1" customWidth="1" style="107" min="3169" max="3169"/>
    <col width="3.375" bestFit="1" customWidth="1" style="107" min="3170" max="3170"/>
    <col width="8" bestFit="1" customWidth="1" style="107" min="3171" max="3171"/>
    <col width="5.625" bestFit="1" customWidth="1" style="107" min="3172" max="3172"/>
    <col width="7.875" bestFit="1" customWidth="1" style="107" min="3173" max="3173"/>
    <col width="6" bestFit="1" customWidth="1" style="107" min="3174" max="3174"/>
    <col width="11.25" bestFit="1" customWidth="1" style="107" min="3175" max="3175"/>
    <col width="9" customWidth="1" style="107" min="3176" max="3328"/>
    <col width="13.125" bestFit="1" customWidth="1" style="107" min="3329" max="3329"/>
    <col width="10.875" bestFit="1" customWidth="1" style="107" min="3330" max="3330"/>
    <col width="4.625" bestFit="1" customWidth="1" style="107" min="3331" max="3331"/>
    <col width="7" bestFit="1" customWidth="1" style="107" min="3332" max="3332"/>
    <col width="5.125" bestFit="1" customWidth="1" style="107" min="3333" max="3333"/>
    <col width="3.25" bestFit="1" customWidth="1" style="107" min="3334" max="3338"/>
    <col width="3.5" bestFit="1" customWidth="1" style="107" min="3339" max="3339"/>
    <col width="3.25" bestFit="1" customWidth="1" style="107" min="3340" max="3341"/>
    <col width="4.75" bestFit="1" customWidth="1" style="107" min="3342" max="3343"/>
    <col width="5.25" bestFit="1" customWidth="1" style="107" min="3344" max="3344"/>
    <col width="4.875" bestFit="1" customWidth="1" style="107" min="3345" max="3345"/>
    <col width="7.875" bestFit="1" customWidth="1" style="107" min="3346" max="3346"/>
    <col width="5.125" bestFit="1" customWidth="1" style="107" min="3347" max="3347"/>
    <col width="5.5" bestFit="1" customWidth="1" style="107" min="3348" max="3348"/>
    <col width="5.75" bestFit="1" customWidth="1" style="107" min="3349" max="3349"/>
    <col width="7.875" bestFit="1" customWidth="1" style="107" min="3350" max="3350"/>
    <col width="5.125" bestFit="1" customWidth="1" style="107" min="3351" max="3351"/>
    <col width="4.625" bestFit="1" customWidth="1" style="107" min="3352" max="3352"/>
    <col width="7.875" bestFit="1" customWidth="1" style="107" min="3353" max="3353"/>
    <col width="6.125" bestFit="1" customWidth="1" style="107" min="3354" max="3354"/>
    <col width="36.5" bestFit="1" customWidth="1" style="107" min="3355" max="3355"/>
    <col width="29.25" bestFit="1" customWidth="1" style="107" min="3356" max="3356"/>
    <col width="9.875" bestFit="1" customWidth="1" style="107" min="3357" max="3358"/>
    <col width="9.25" bestFit="1" customWidth="1" style="107" min="3359" max="3359"/>
    <col width="2.5" bestFit="1" customWidth="1" style="107" min="3360" max="3360"/>
    <col width="3.25" bestFit="1" customWidth="1" style="107" min="3361" max="3361"/>
    <col width="3.625" bestFit="1" customWidth="1" style="107" min="3362" max="3362"/>
    <col width="3.375" bestFit="1" customWidth="1" style="107" min="3363" max="3363"/>
    <col width="23.625" bestFit="1" customWidth="1" style="107" min="3364" max="3364"/>
    <col width="8.25" bestFit="1" customWidth="1" style="107" min="3365" max="3365"/>
    <col width="6.875" bestFit="1" customWidth="1" style="107" min="3366" max="3366"/>
    <col width="6.375" bestFit="1" customWidth="1" style="107" min="3367" max="3367"/>
    <col width="19.625" bestFit="1" customWidth="1" style="107" min="3368" max="3368"/>
    <col width="51.375" bestFit="1" customWidth="1" style="107" min="3369" max="3369"/>
    <col width="6.25" bestFit="1" customWidth="1" style="107" min="3370" max="3370"/>
    <col width="2.625" bestFit="1" customWidth="1" style="107" min="3371" max="3371"/>
    <col width="5.125" bestFit="1" customWidth="1" style="107" min="3372" max="3372"/>
    <col width="27.375" bestFit="1" customWidth="1" style="107" min="3373" max="3373"/>
    <col width="5.875" bestFit="1" customWidth="1" style="107" min="3374" max="3374"/>
    <col width="3.75" bestFit="1" customWidth="1" style="107" min="3375" max="3375"/>
    <col width="6.25" bestFit="1" customWidth="1" style="107" min="3376" max="3376"/>
    <col width="6.875" bestFit="1" customWidth="1" style="107" min="3377" max="3377"/>
    <col width="6.75" bestFit="1" customWidth="1" style="107" min="3378" max="3378"/>
    <col width="5.875" bestFit="1" customWidth="1" style="107" min="3379" max="3379"/>
    <col width="91.875" bestFit="1" customWidth="1" style="107" min="3380" max="3380"/>
    <col width="131.25" bestFit="1" customWidth="1" style="107" min="3381" max="3381"/>
    <col width="7" bestFit="1" customWidth="1" style="107" min="3382" max="3382"/>
    <col width="7.875" bestFit="1" customWidth="1" style="107" min="3383" max="3383"/>
    <col width="8.5" bestFit="1" customWidth="1" style="107" min="3384" max="3384"/>
    <col width="4.75" bestFit="1" customWidth="1" style="107" min="3385" max="3385"/>
    <col width="23.25" bestFit="1" customWidth="1" style="107" min="3386" max="3386"/>
    <col width="6.875" bestFit="1" customWidth="1" style="107" min="3387" max="3387"/>
    <col width="7.875" bestFit="1" customWidth="1" style="107" min="3388" max="3388"/>
    <col width="7.75" bestFit="1" customWidth="1" style="107" min="3389" max="3389"/>
    <col width="8" bestFit="1" customWidth="1" style="107" min="3390" max="3390"/>
    <col width="4.625" bestFit="1" customWidth="1" style="107" min="3391" max="3391"/>
    <col width="7.875" bestFit="1" customWidth="1" style="107" min="3392" max="3392"/>
    <col width="4" bestFit="1" customWidth="1" style="107" min="3393" max="3393"/>
    <col width="4.625" customWidth="1" style="107" min="3394" max="3394"/>
    <col width="4" bestFit="1" customWidth="1" style="107" min="3395" max="3404"/>
    <col width="3.75" bestFit="1" customWidth="1" style="107" min="3405" max="3405"/>
    <col width="4" bestFit="1" customWidth="1" style="107" min="3406" max="3406"/>
    <col width="3.625" bestFit="1" customWidth="1" style="107" min="3407" max="3407"/>
    <col width="9.875" bestFit="1" customWidth="1" style="107" min="3408" max="3408"/>
    <col width="5" bestFit="1" customWidth="1" style="107" min="3409" max="3409"/>
    <col width="7.125" bestFit="1" customWidth="1" style="107" min="3410" max="3410"/>
    <col width="9.375" bestFit="1" customWidth="1" style="107" min="3411" max="3411"/>
    <col width="10.25" bestFit="1" customWidth="1" style="107" min="3412" max="3412"/>
    <col width="7.375" bestFit="1" customWidth="1" style="107" min="3413" max="3413"/>
    <col width="47.375" bestFit="1" customWidth="1" style="107" min="3414" max="3414"/>
    <col width="73.25" bestFit="1" customWidth="1" style="107" min="3415" max="3415"/>
    <col width="26.625" bestFit="1" customWidth="1" style="107" min="3416" max="3416"/>
    <col width="26.75" bestFit="1" customWidth="1" style="107" min="3417" max="3418"/>
    <col width="6.375" bestFit="1" customWidth="1" style="107" min="3419" max="3419"/>
    <col width="9.875" bestFit="1" customWidth="1" style="107" min="3420" max="3421"/>
    <col width="26.5" bestFit="1" customWidth="1" style="107" min="3422" max="3422"/>
    <col width="9.125" bestFit="1" customWidth="1" style="107" min="3423" max="3423"/>
    <col width="12.625" bestFit="1" customWidth="1" style="107" min="3424" max="3424"/>
    <col width="36.5" bestFit="1" customWidth="1" style="107" min="3425" max="3425"/>
    <col width="3.375" bestFit="1" customWidth="1" style="107" min="3426" max="3426"/>
    <col width="8" bestFit="1" customWidth="1" style="107" min="3427" max="3427"/>
    <col width="5.625" bestFit="1" customWidth="1" style="107" min="3428" max="3428"/>
    <col width="7.875" bestFit="1" customWidth="1" style="107" min="3429" max="3429"/>
    <col width="6" bestFit="1" customWidth="1" style="107" min="3430" max="3430"/>
    <col width="11.25" bestFit="1" customWidth="1" style="107" min="3431" max="3431"/>
    <col width="9" customWidth="1" style="107" min="3432" max="3584"/>
    <col width="13.125" bestFit="1" customWidth="1" style="107" min="3585" max="3585"/>
    <col width="10.875" bestFit="1" customWidth="1" style="107" min="3586" max="3586"/>
    <col width="4.625" bestFit="1" customWidth="1" style="107" min="3587" max="3587"/>
    <col width="7" bestFit="1" customWidth="1" style="107" min="3588" max="3588"/>
    <col width="5.125" bestFit="1" customWidth="1" style="107" min="3589" max="3589"/>
    <col width="3.25" bestFit="1" customWidth="1" style="107" min="3590" max="3594"/>
    <col width="3.5" bestFit="1" customWidth="1" style="107" min="3595" max="3595"/>
    <col width="3.25" bestFit="1" customWidth="1" style="107" min="3596" max="3597"/>
    <col width="4.75" bestFit="1" customWidth="1" style="107" min="3598" max="3599"/>
    <col width="5.25" bestFit="1" customWidth="1" style="107" min="3600" max="3600"/>
    <col width="4.875" bestFit="1" customWidth="1" style="107" min="3601" max="3601"/>
    <col width="7.875" bestFit="1" customWidth="1" style="107" min="3602" max="3602"/>
    <col width="5.125" bestFit="1" customWidth="1" style="107" min="3603" max="3603"/>
    <col width="5.5" bestFit="1" customWidth="1" style="107" min="3604" max="3604"/>
    <col width="5.75" bestFit="1" customWidth="1" style="107" min="3605" max="3605"/>
    <col width="7.875" bestFit="1" customWidth="1" style="107" min="3606" max="3606"/>
    <col width="5.125" bestFit="1" customWidth="1" style="107" min="3607" max="3607"/>
    <col width="4.625" bestFit="1" customWidth="1" style="107" min="3608" max="3608"/>
    <col width="7.875" bestFit="1" customWidth="1" style="107" min="3609" max="3609"/>
    <col width="6.125" bestFit="1" customWidth="1" style="107" min="3610" max="3610"/>
    <col width="36.5" bestFit="1" customWidth="1" style="107" min="3611" max="3611"/>
    <col width="29.25" bestFit="1" customWidth="1" style="107" min="3612" max="3612"/>
    <col width="9.875" bestFit="1" customWidth="1" style="107" min="3613" max="3614"/>
    <col width="9.25" bestFit="1" customWidth="1" style="107" min="3615" max="3615"/>
    <col width="2.5" bestFit="1" customWidth="1" style="107" min="3616" max="3616"/>
    <col width="3.25" bestFit="1" customWidth="1" style="107" min="3617" max="3617"/>
    <col width="3.625" bestFit="1" customWidth="1" style="107" min="3618" max="3618"/>
    <col width="3.375" bestFit="1" customWidth="1" style="107" min="3619" max="3619"/>
    <col width="23.625" bestFit="1" customWidth="1" style="107" min="3620" max="3620"/>
    <col width="8.25" bestFit="1" customWidth="1" style="107" min="3621" max="3621"/>
    <col width="6.875" bestFit="1" customWidth="1" style="107" min="3622" max="3622"/>
    <col width="6.375" bestFit="1" customWidth="1" style="107" min="3623" max="3623"/>
    <col width="19.625" bestFit="1" customWidth="1" style="107" min="3624" max="3624"/>
    <col width="51.375" bestFit="1" customWidth="1" style="107" min="3625" max="3625"/>
    <col width="6.25" bestFit="1" customWidth="1" style="107" min="3626" max="3626"/>
    <col width="2.625" bestFit="1" customWidth="1" style="107" min="3627" max="3627"/>
    <col width="5.125" bestFit="1" customWidth="1" style="107" min="3628" max="3628"/>
    <col width="27.375" bestFit="1" customWidth="1" style="107" min="3629" max="3629"/>
    <col width="5.875" bestFit="1" customWidth="1" style="107" min="3630" max="3630"/>
    <col width="3.75" bestFit="1" customWidth="1" style="107" min="3631" max="3631"/>
    <col width="6.25" bestFit="1" customWidth="1" style="107" min="3632" max="3632"/>
    <col width="6.875" bestFit="1" customWidth="1" style="107" min="3633" max="3633"/>
    <col width="6.75" bestFit="1" customWidth="1" style="107" min="3634" max="3634"/>
    <col width="5.875" bestFit="1" customWidth="1" style="107" min="3635" max="3635"/>
    <col width="91.875" bestFit="1" customWidth="1" style="107" min="3636" max="3636"/>
    <col width="131.25" bestFit="1" customWidth="1" style="107" min="3637" max="3637"/>
    <col width="7" bestFit="1" customWidth="1" style="107" min="3638" max="3638"/>
    <col width="7.875" bestFit="1" customWidth="1" style="107" min="3639" max="3639"/>
    <col width="8.5" bestFit="1" customWidth="1" style="107" min="3640" max="3640"/>
    <col width="4.75" bestFit="1" customWidth="1" style="107" min="3641" max="3641"/>
    <col width="23.25" bestFit="1" customWidth="1" style="107" min="3642" max="3642"/>
    <col width="6.875" bestFit="1" customWidth="1" style="107" min="3643" max="3643"/>
    <col width="7.875" bestFit="1" customWidth="1" style="107" min="3644" max="3644"/>
    <col width="7.75" bestFit="1" customWidth="1" style="107" min="3645" max="3645"/>
    <col width="8" bestFit="1" customWidth="1" style="107" min="3646" max="3646"/>
    <col width="4.625" bestFit="1" customWidth="1" style="107" min="3647" max="3647"/>
    <col width="7.875" bestFit="1" customWidth="1" style="107" min="3648" max="3648"/>
    <col width="4" bestFit="1" customWidth="1" style="107" min="3649" max="3649"/>
    <col width="4.625" customWidth="1" style="107" min="3650" max="3650"/>
    <col width="4" bestFit="1" customWidth="1" style="107" min="3651" max="3660"/>
    <col width="3.75" bestFit="1" customWidth="1" style="107" min="3661" max="3661"/>
    <col width="4" bestFit="1" customWidth="1" style="107" min="3662" max="3662"/>
    <col width="3.625" bestFit="1" customWidth="1" style="107" min="3663" max="3663"/>
    <col width="9.875" bestFit="1" customWidth="1" style="107" min="3664" max="3664"/>
    <col width="5" bestFit="1" customWidth="1" style="107" min="3665" max="3665"/>
    <col width="7.125" bestFit="1" customWidth="1" style="107" min="3666" max="3666"/>
    <col width="9.375" bestFit="1" customWidth="1" style="107" min="3667" max="3667"/>
    <col width="10.25" bestFit="1" customWidth="1" style="107" min="3668" max="3668"/>
    <col width="7.375" bestFit="1" customWidth="1" style="107" min="3669" max="3669"/>
    <col width="47.375" bestFit="1" customWidth="1" style="107" min="3670" max="3670"/>
    <col width="73.25" bestFit="1" customWidth="1" style="107" min="3671" max="3671"/>
    <col width="26.625" bestFit="1" customWidth="1" style="107" min="3672" max="3672"/>
    <col width="26.75" bestFit="1" customWidth="1" style="107" min="3673" max="3674"/>
    <col width="6.375" bestFit="1" customWidth="1" style="107" min="3675" max="3675"/>
    <col width="9.875" bestFit="1" customWidth="1" style="107" min="3676" max="3677"/>
    <col width="26.5" bestFit="1" customWidth="1" style="107" min="3678" max="3678"/>
    <col width="9.125" bestFit="1" customWidth="1" style="107" min="3679" max="3679"/>
    <col width="12.625" bestFit="1" customWidth="1" style="107" min="3680" max="3680"/>
    <col width="36.5" bestFit="1" customWidth="1" style="107" min="3681" max="3681"/>
    <col width="3.375" bestFit="1" customWidth="1" style="107" min="3682" max="3682"/>
    <col width="8" bestFit="1" customWidth="1" style="107" min="3683" max="3683"/>
    <col width="5.625" bestFit="1" customWidth="1" style="107" min="3684" max="3684"/>
    <col width="7.875" bestFit="1" customWidth="1" style="107" min="3685" max="3685"/>
    <col width="6" bestFit="1" customWidth="1" style="107" min="3686" max="3686"/>
    <col width="11.25" bestFit="1" customWidth="1" style="107" min="3687" max="3687"/>
    <col width="9" customWidth="1" style="107" min="3688" max="3840"/>
    <col width="13.125" bestFit="1" customWidth="1" style="107" min="3841" max="3841"/>
    <col width="10.875" bestFit="1" customWidth="1" style="107" min="3842" max="3842"/>
    <col width="4.625" bestFit="1" customWidth="1" style="107" min="3843" max="3843"/>
    <col width="7" bestFit="1" customWidth="1" style="107" min="3844" max="3844"/>
    <col width="5.125" bestFit="1" customWidth="1" style="107" min="3845" max="3845"/>
    <col width="3.25" bestFit="1" customWidth="1" style="107" min="3846" max="3850"/>
    <col width="3.5" bestFit="1" customWidth="1" style="107" min="3851" max="3851"/>
    <col width="3.25" bestFit="1" customWidth="1" style="107" min="3852" max="3853"/>
    <col width="4.75" bestFit="1" customWidth="1" style="107" min="3854" max="3855"/>
    <col width="5.25" bestFit="1" customWidth="1" style="107" min="3856" max="3856"/>
    <col width="4.875" bestFit="1" customWidth="1" style="107" min="3857" max="3857"/>
    <col width="7.875" bestFit="1" customWidth="1" style="107" min="3858" max="3858"/>
    <col width="5.125" bestFit="1" customWidth="1" style="107" min="3859" max="3859"/>
    <col width="5.5" bestFit="1" customWidth="1" style="107" min="3860" max="3860"/>
    <col width="5.75" bestFit="1" customWidth="1" style="107" min="3861" max="3861"/>
    <col width="7.875" bestFit="1" customWidth="1" style="107" min="3862" max="3862"/>
    <col width="5.125" bestFit="1" customWidth="1" style="107" min="3863" max="3863"/>
    <col width="4.625" bestFit="1" customWidth="1" style="107" min="3864" max="3864"/>
    <col width="7.875" bestFit="1" customWidth="1" style="107" min="3865" max="3865"/>
    <col width="6.125" bestFit="1" customWidth="1" style="107" min="3866" max="3866"/>
    <col width="36.5" bestFit="1" customWidth="1" style="107" min="3867" max="3867"/>
    <col width="29.25" bestFit="1" customWidth="1" style="107" min="3868" max="3868"/>
    <col width="9.875" bestFit="1" customWidth="1" style="107" min="3869" max="3870"/>
    <col width="9.25" bestFit="1" customWidth="1" style="107" min="3871" max="3871"/>
    <col width="2.5" bestFit="1" customWidth="1" style="107" min="3872" max="3872"/>
    <col width="3.25" bestFit="1" customWidth="1" style="107" min="3873" max="3873"/>
    <col width="3.625" bestFit="1" customWidth="1" style="107" min="3874" max="3874"/>
    <col width="3.375" bestFit="1" customWidth="1" style="107" min="3875" max="3875"/>
    <col width="23.625" bestFit="1" customWidth="1" style="107" min="3876" max="3876"/>
    <col width="8.25" bestFit="1" customWidth="1" style="107" min="3877" max="3877"/>
    <col width="6.875" bestFit="1" customWidth="1" style="107" min="3878" max="3878"/>
    <col width="6.375" bestFit="1" customWidth="1" style="107" min="3879" max="3879"/>
    <col width="19.625" bestFit="1" customWidth="1" style="107" min="3880" max="3880"/>
    <col width="51.375" bestFit="1" customWidth="1" style="107" min="3881" max="3881"/>
    <col width="6.25" bestFit="1" customWidth="1" style="107" min="3882" max="3882"/>
    <col width="2.625" bestFit="1" customWidth="1" style="107" min="3883" max="3883"/>
    <col width="5.125" bestFit="1" customWidth="1" style="107" min="3884" max="3884"/>
    <col width="27.375" bestFit="1" customWidth="1" style="107" min="3885" max="3885"/>
    <col width="5.875" bestFit="1" customWidth="1" style="107" min="3886" max="3886"/>
    <col width="3.75" bestFit="1" customWidth="1" style="107" min="3887" max="3887"/>
    <col width="6.25" bestFit="1" customWidth="1" style="107" min="3888" max="3888"/>
    <col width="6.875" bestFit="1" customWidth="1" style="107" min="3889" max="3889"/>
    <col width="6.75" bestFit="1" customWidth="1" style="107" min="3890" max="3890"/>
    <col width="5.875" bestFit="1" customWidth="1" style="107" min="3891" max="3891"/>
    <col width="91.875" bestFit="1" customWidth="1" style="107" min="3892" max="3892"/>
    <col width="131.25" bestFit="1" customWidth="1" style="107" min="3893" max="3893"/>
    <col width="7" bestFit="1" customWidth="1" style="107" min="3894" max="3894"/>
    <col width="7.875" bestFit="1" customWidth="1" style="107" min="3895" max="3895"/>
    <col width="8.5" bestFit="1" customWidth="1" style="107" min="3896" max="3896"/>
    <col width="4.75" bestFit="1" customWidth="1" style="107" min="3897" max="3897"/>
    <col width="23.25" bestFit="1" customWidth="1" style="107" min="3898" max="3898"/>
    <col width="6.875" bestFit="1" customWidth="1" style="107" min="3899" max="3899"/>
    <col width="7.875" bestFit="1" customWidth="1" style="107" min="3900" max="3900"/>
    <col width="7.75" bestFit="1" customWidth="1" style="107" min="3901" max="3901"/>
    <col width="8" bestFit="1" customWidth="1" style="107" min="3902" max="3902"/>
    <col width="4.625" bestFit="1" customWidth="1" style="107" min="3903" max="3903"/>
    <col width="7.875" bestFit="1" customWidth="1" style="107" min="3904" max="3904"/>
    <col width="4" bestFit="1" customWidth="1" style="107" min="3905" max="3905"/>
    <col width="4.625" customWidth="1" style="107" min="3906" max="3906"/>
    <col width="4" bestFit="1" customWidth="1" style="107" min="3907" max="3916"/>
    <col width="3.75" bestFit="1" customWidth="1" style="107" min="3917" max="3917"/>
    <col width="4" bestFit="1" customWidth="1" style="107" min="3918" max="3918"/>
    <col width="3.625" bestFit="1" customWidth="1" style="107" min="3919" max="3919"/>
    <col width="9.875" bestFit="1" customWidth="1" style="107" min="3920" max="3920"/>
    <col width="5" bestFit="1" customWidth="1" style="107" min="3921" max="3921"/>
    <col width="7.125" bestFit="1" customWidth="1" style="107" min="3922" max="3922"/>
    <col width="9.375" bestFit="1" customWidth="1" style="107" min="3923" max="3923"/>
    <col width="10.25" bestFit="1" customWidth="1" style="107" min="3924" max="3924"/>
    <col width="7.375" bestFit="1" customWidth="1" style="107" min="3925" max="3925"/>
    <col width="47.375" bestFit="1" customWidth="1" style="107" min="3926" max="3926"/>
    <col width="73.25" bestFit="1" customWidth="1" style="107" min="3927" max="3927"/>
    <col width="26.625" bestFit="1" customWidth="1" style="107" min="3928" max="3928"/>
    <col width="26.75" bestFit="1" customWidth="1" style="107" min="3929" max="3930"/>
    <col width="6.375" bestFit="1" customWidth="1" style="107" min="3931" max="3931"/>
    <col width="9.875" bestFit="1" customWidth="1" style="107" min="3932" max="3933"/>
    <col width="26.5" bestFit="1" customWidth="1" style="107" min="3934" max="3934"/>
    <col width="9.125" bestFit="1" customWidth="1" style="107" min="3935" max="3935"/>
    <col width="12.625" bestFit="1" customWidth="1" style="107" min="3936" max="3936"/>
    <col width="36.5" bestFit="1" customWidth="1" style="107" min="3937" max="3937"/>
    <col width="3.375" bestFit="1" customWidth="1" style="107" min="3938" max="3938"/>
    <col width="8" bestFit="1" customWidth="1" style="107" min="3939" max="3939"/>
    <col width="5.625" bestFit="1" customWidth="1" style="107" min="3940" max="3940"/>
    <col width="7.875" bestFit="1" customWidth="1" style="107" min="3941" max="3941"/>
    <col width="6" bestFit="1" customWidth="1" style="107" min="3942" max="3942"/>
    <col width="11.25" bestFit="1" customWidth="1" style="107" min="3943" max="3943"/>
    <col width="9" customWidth="1" style="107" min="3944" max="4096"/>
    <col width="13.125" bestFit="1" customWidth="1" style="107" min="4097" max="4097"/>
    <col width="10.875" bestFit="1" customWidth="1" style="107" min="4098" max="4098"/>
    <col width="4.625" bestFit="1" customWidth="1" style="107" min="4099" max="4099"/>
    <col width="7" bestFit="1" customWidth="1" style="107" min="4100" max="4100"/>
    <col width="5.125" bestFit="1" customWidth="1" style="107" min="4101" max="4101"/>
    <col width="3.25" bestFit="1" customWidth="1" style="107" min="4102" max="4106"/>
    <col width="3.5" bestFit="1" customWidth="1" style="107" min="4107" max="4107"/>
    <col width="3.25" bestFit="1" customWidth="1" style="107" min="4108" max="4109"/>
    <col width="4.75" bestFit="1" customWidth="1" style="107" min="4110" max="4111"/>
    <col width="5.25" bestFit="1" customWidth="1" style="107" min="4112" max="4112"/>
    <col width="4.875" bestFit="1" customWidth="1" style="107" min="4113" max="4113"/>
    <col width="7.875" bestFit="1" customWidth="1" style="107" min="4114" max="4114"/>
    <col width="5.125" bestFit="1" customWidth="1" style="107" min="4115" max="4115"/>
    <col width="5.5" bestFit="1" customWidth="1" style="107" min="4116" max="4116"/>
    <col width="5.75" bestFit="1" customWidth="1" style="107" min="4117" max="4117"/>
    <col width="7.875" bestFit="1" customWidth="1" style="107" min="4118" max="4118"/>
    <col width="5.125" bestFit="1" customWidth="1" style="107" min="4119" max="4119"/>
    <col width="4.625" bestFit="1" customWidth="1" style="107" min="4120" max="4120"/>
    <col width="7.875" bestFit="1" customWidth="1" style="107" min="4121" max="4121"/>
    <col width="6.125" bestFit="1" customWidth="1" style="107" min="4122" max="4122"/>
    <col width="36.5" bestFit="1" customWidth="1" style="107" min="4123" max="4123"/>
    <col width="29.25" bestFit="1" customWidth="1" style="107" min="4124" max="4124"/>
    <col width="9.875" bestFit="1" customWidth="1" style="107" min="4125" max="4126"/>
    <col width="9.25" bestFit="1" customWidth="1" style="107" min="4127" max="4127"/>
    <col width="2.5" bestFit="1" customWidth="1" style="107" min="4128" max="4128"/>
    <col width="3.25" bestFit="1" customWidth="1" style="107" min="4129" max="4129"/>
    <col width="3.625" bestFit="1" customWidth="1" style="107" min="4130" max="4130"/>
    <col width="3.375" bestFit="1" customWidth="1" style="107" min="4131" max="4131"/>
    <col width="23.625" bestFit="1" customWidth="1" style="107" min="4132" max="4132"/>
    <col width="8.25" bestFit="1" customWidth="1" style="107" min="4133" max="4133"/>
    <col width="6.875" bestFit="1" customWidth="1" style="107" min="4134" max="4134"/>
    <col width="6.375" bestFit="1" customWidth="1" style="107" min="4135" max="4135"/>
    <col width="19.625" bestFit="1" customWidth="1" style="107" min="4136" max="4136"/>
    <col width="51.375" bestFit="1" customWidth="1" style="107" min="4137" max="4137"/>
    <col width="6.25" bestFit="1" customWidth="1" style="107" min="4138" max="4138"/>
    <col width="2.625" bestFit="1" customWidth="1" style="107" min="4139" max="4139"/>
    <col width="5.125" bestFit="1" customWidth="1" style="107" min="4140" max="4140"/>
    <col width="27.375" bestFit="1" customWidth="1" style="107" min="4141" max="4141"/>
    <col width="5.875" bestFit="1" customWidth="1" style="107" min="4142" max="4142"/>
    <col width="3.75" bestFit="1" customWidth="1" style="107" min="4143" max="4143"/>
    <col width="6.25" bestFit="1" customWidth="1" style="107" min="4144" max="4144"/>
    <col width="6.875" bestFit="1" customWidth="1" style="107" min="4145" max="4145"/>
    <col width="6.75" bestFit="1" customWidth="1" style="107" min="4146" max="4146"/>
    <col width="5.875" bestFit="1" customWidth="1" style="107" min="4147" max="4147"/>
    <col width="91.875" bestFit="1" customWidth="1" style="107" min="4148" max="4148"/>
    <col width="131.25" bestFit="1" customWidth="1" style="107" min="4149" max="4149"/>
    <col width="7" bestFit="1" customWidth="1" style="107" min="4150" max="4150"/>
    <col width="7.875" bestFit="1" customWidth="1" style="107" min="4151" max="4151"/>
    <col width="8.5" bestFit="1" customWidth="1" style="107" min="4152" max="4152"/>
    <col width="4.75" bestFit="1" customWidth="1" style="107" min="4153" max="4153"/>
    <col width="23.25" bestFit="1" customWidth="1" style="107" min="4154" max="4154"/>
    <col width="6.875" bestFit="1" customWidth="1" style="107" min="4155" max="4155"/>
    <col width="7.875" bestFit="1" customWidth="1" style="107" min="4156" max="4156"/>
    <col width="7.75" bestFit="1" customWidth="1" style="107" min="4157" max="4157"/>
    <col width="8" bestFit="1" customWidth="1" style="107" min="4158" max="4158"/>
    <col width="4.625" bestFit="1" customWidth="1" style="107" min="4159" max="4159"/>
    <col width="7.875" bestFit="1" customWidth="1" style="107" min="4160" max="4160"/>
    <col width="4" bestFit="1" customWidth="1" style="107" min="4161" max="4161"/>
    <col width="4.625" customWidth="1" style="107" min="4162" max="4162"/>
    <col width="4" bestFit="1" customWidth="1" style="107" min="4163" max="4172"/>
    <col width="3.75" bestFit="1" customWidth="1" style="107" min="4173" max="4173"/>
    <col width="4" bestFit="1" customWidth="1" style="107" min="4174" max="4174"/>
    <col width="3.625" bestFit="1" customWidth="1" style="107" min="4175" max="4175"/>
    <col width="9.875" bestFit="1" customWidth="1" style="107" min="4176" max="4176"/>
    <col width="5" bestFit="1" customWidth="1" style="107" min="4177" max="4177"/>
    <col width="7.125" bestFit="1" customWidth="1" style="107" min="4178" max="4178"/>
    <col width="9.375" bestFit="1" customWidth="1" style="107" min="4179" max="4179"/>
    <col width="10.25" bestFit="1" customWidth="1" style="107" min="4180" max="4180"/>
    <col width="7.375" bestFit="1" customWidth="1" style="107" min="4181" max="4181"/>
    <col width="47.375" bestFit="1" customWidth="1" style="107" min="4182" max="4182"/>
    <col width="73.25" bestFit="1" customWidth="1" style="107" min="4183" max="4183"/>
    <col width="26.625" bestFit="1" customWidth="1" style="107" min="4184" max="4184"/>
    <col width="26.75" bestFit="1" customWidth="1" style="107" min="4185" max="4186"/>
    <col width="6.375" bestFit="1" customWidth="1" style="107" min="4187" max="4187"/>
    <col width="9.875" bestFit="1" customWidth="1" style="107" min="4188" max="4189"/>
    <col width="26.5" bestFit="1" customWidth="1" style="107" min="4190" max="4190"/>
    <col width="9.125" bestFit="1" customWidth="1" style="107" min="4191" max="4191"/>
    <col width="12.625" bestFit="1" customWidth="1" style="107" min="4192" max="4192"/>
    <col width="36.5" bestFit="1" customWidth="1" style="107" min="4193" max="4193"/>
    <col width="3.375" bestFit="1" customWidth="1" style="107" min="4194" max="4194"/>
    <col width="8" bestFit="1" customWidth="1" style="107" min="4195" max="4195"/>
    <col width="5.625" bestFit="1" customWidth="1" style="107" min="4196" max="4196"/>
    <col width="7.875" bestFit="1" customWidth="1" style="107" min="4197" max="4197"/>
    <col width="6" bestFit="1" customWidth="1" style="107" min="4198" max="4198"/>
    <col width="11.25" bestFit="1" customWidth="1" style="107" min="4199" max="4199"/>
    <col width="9" customWidth="1" style="107" min="4200" max="4352"/>
    <col width="13.125" bestFit="1" customWidth="1" style="107" min="4353" max="4353"/>
    <col width="10.875" bestFit="1" customWidth="1" style="107" min="4354" max="4354"/>
    <col width="4.625" bestFit="1" customWidth="1" style="107" min="4355" max="4355"/>
    <col width="7" bestFit="1" customWidth="1" style="107" min="4356" max="4356"/>
    <col width="5.125" bestFit="1" customWidth="1" style="107" min="4357" max="4357"/>
    <col width="3.25" bestFit="1" customWidth="1" style="107" min="4358" max="4362"/>
    <col width="3.5" bestFit="1" customWidth="1" style="107" min="4363" max="4363"/>
    <col width="3.25" bestFit="1" customWidth="1" style="107" min="4364" max="4365"/>
    <col width="4.75" bestFit="1" customWidth="1" style="107" min="4366" max="4367"/>
    <col width="5.25" bestFit="1" customWidth="1" style="107" min="4368" max="4368"/>
    <col width="4.875" bestFit="1" customWidth="1" style="107" min="4369" max="4369"/>
    <col width="7.875" bestFit="1" customWidth="1" style="107" min="4370" max="4370"/>
    <col width="5.125" bestFit="1" customWidth="1" style="107" min="4371" max="4371"/>
    <col width="5.5" bestFit="1" customWidth="1" style="107" min="4372" max="4372"/>
    <col width="5.75" bestFit="1" customWidth="1" style="107" min="4373" max="4373"/>
    <col width="7.875" bestFit="1" customWidth="1" style="107" min="4374" max="4374"/>
    <col width="5.125" bestFit="1" customWidth="1" style="107" min="4375" max="4375"/>
    <col width="4.625" bestFit="1" customWidth="1" style="107" min="4376" max="4376"/>
    <col width="7.875" bestFit="1" customWidth="1" style="107" min="4377" max="4377"/>
    <col width="6.125" bestFit="1" customWidth="1" style="107" min="4378" max="4378"/>
    <col width="36.5" bestFit="1" customWidth="1" style="107" min="4379" max="4379"/>
    <col width="29.25" bestFit="1" customWidth="1" style="107" min="4380" max="4380"/>
    <col width="9.875" bestFit="1" customWidth="1" style="107" min="4381" max="4382"/>
    <col width="9.25" bestFit="1" customWidth="1" style="107" min="4383" max="4383"/>
    <col width="2.5" bestFit="1" customWidth="1" style="107" min="4384" max="4384"/>
    <col width="3.25" bestFit="1" customWidth="1" style="107" min="4385" max="4385"/>
    <col width="3.625" bestFit="1" customWidth="1" style="107" min="4386" max="4386"/>
    <col width="3.375" bestFit="1" customWidth="1" style="107" min="4387" max="4387"/>
    <col width="23.625" bestFit="1" customWidth="1" style="107" min="4388" max="4388"/>
    <col width="8.25" bestFit="1" customWidth="1" style="107" min="4389" max="4389"/>
    <col width="6.875" bestFit="1" customWidth="1" style="107" min="4390" max="4390"/>
    <col width="6.375" bestFit="1" customWidth="1" style="107" min="4391" max="4391"/>
    <col width="19.625" bestFit="1" customWidth="1" style="107" min="4392" max="4392"/>
    <col width="51.375" bestFit="1" customWidth="1" style="107" min="4393" max="4393"/>
    <col width="6.25" bestFit="1" customWidth="1" style="107" min="4394" max="4394"/>
    <col width="2.625" bestFit="1" customWidth="1" style="107" min="4395" max="4395"/>
    <col width="5.125" bestFit="1" customWidth="1" style="107" min="4396" max="4396"/>
    <col width="27.375" bestFit="1" customWidth="1" style="107" min="4397" max="4397"/>
    <col width="5.875" bestFit="1" customWidth="1" style="107" min="4398" max="4398"/>
    <col width="3.75" bestFit="1" customWidth="1" style="107" min="4399" max="4399"/>
    <col width="6.25" bestFit="1" customWidth="1" style="107" min="4400" max="4400"/>
    <col width="6.875" bestFit="1" customWidth="1" style="107" min="4401" max="4401"/>
    <col width="6.75" bestFit="1" customWidth="1" style="107" min="4402" max="4402"/>
    <col width="5.875" bestFit="1" customWidth="1" style="107" min="4403" max="4403"/>
    <col width="91.875" bestFit="1" customWidth="1" style="107" min="4404" max="4404"/>
    <col width="131.25" bestFit="1" customWidth="1" style="107" min="4405" max="4405"/>
    <col width="7" bestFit="1" customWidth="1" style="107" min="4406" max="4406"/>
    <col width="7.875" bestFit="1" customWidth="1" style="107" min="4407" max="4407"/>
    <col width="8.5" bestFit="1" customWidth="1" style="107" min="4408" max="4408"/>
    <col width="4.75" bestFit="1" customWidth="1" style="107" min="4409" max="4409"/>
    <col width="23.25" bestFit="1" customWidth="1" style="107" min="4410" max="4410"/>
    <col width="6.875" bestFit="1" customWidth="1" style="107" min="4411" max="4411"/>
    <col width="7.875" bestFit="1" customWidth="1" style="107" min="4412" max="4412"/>
    <col width="7.75" bestFit="1" customWidth="1" style="107" min="4413" max="4413"/>
    <col width="8" bestFit="1" customWidth="1" style="107" min="4414" max="4414"/>
    <col width="4.625" bestFit="1" customWidth="1" style="107" min="4415" max="4415"/>
    <col width="7.875" bestFit="1" customWidth="1" style="107" min="4416" max="4416"/>
    <col width="4" bestFit="1" customWidth="1" style="107" min="4417" max="4417"/>
    <col width="4.625" customWidth="1" style="107" min="4418" max="4418"/>
    <col width="4" bestFit="1" customWidth="1" style="107" min="4419" max="4428"/>
    <col width="3.75" bestFit="1" customWidth="1" style="107" min="4429" max="4429"/>
    <col width="4" bestFit="1" customWidth="1" style="107" min="4430" max="4430"/>
    <col width="3.625" bestFit="1" customWidth="1" style="107" min="4431" max="4431"/>
    <col width="9.875" bestFit="1" customWidth="1" style="107" min="4432" max="4432"/>
    <col width="5" bestFit="1" customWidth="1" style="107" min="4433" max="4433"/>
    <col width="7.125" bestFit="1" customWidth="1" style="107" min="4434" max="4434"/>
    <col width="9.375" bestFit="1" customWidth="1" style="107" min="4435" max="4435"/>
    <col width="10.25" bestFit="1" customWidth="1" style="107" min="4436" max="4436"/>
    <col width="7.375" bestFit="1" customWidth="1" style="107" min="4437" max="4437"/>
    <col width="47.375" bestFit="1" customWidth="1" style="107" min="4438" max="4438"/>
    <col width="73.25" bestFit="1" customWidth="1" style="107" min="4439" max="4439"/>
    <col width="26.625" bestFit="1" customWidth="1" style="107" min="4440" max="4440"/>
    <col width="26.75" bestFit="1" customWidth="1" style="107" min="4441" max="4442"/>
    <col width="6.375" bestFit="1" customWidth="1" style="107" min="4443" max="4443"/>
    <col width="9.875" bestFit="1" customWidth="1" style="107" min="4444" max="4445"/>
    <col width="26.5" bestFit="1" customWidth="1" style="107" min="4446" max="4446"/>
    <col width="9.125" bestFit="1" customWidth="1" style="107" min="4447" max="4447"/>
    <col width="12.625" bestFit="1" customWidth="1" style="107" min="4448" max="4448"/>
    <col width="36.5" bestFit="1" customWidth="1" style="107" min="4449" max="4449"/>
    <col width="3.375" bestFit="1" customWidth="1" style="107" min="4450" max="4450"/>
    <col width="8" bestFit="1" customWidth="1" style="107" min="4451" max="4451"/>
    <col width="5.625" bestFit="1" customWidth="1" style="107" min="4452" max="4452"/>
    <col width="7.875" bestFit="1" customWidth="1" style="107" min="4453" max="4453"/>
    <col width="6" bestFit="1" customWidth="1" style="107" min="4454" max="4454"/>
    <col width="11.25" bestFit="1" customWidth="1" style="107" min="4455" max="4455"/>
    <col width="9" customWidth="1" style="107" min="4456" max="4608"/>
    <col width="13.125" bestFit="1" customWidth="1" style="107" min="4609" max="4609"/>
    <col width="10.875" bestFit="1" customWidth="1" style="107" min="4610" max="4610"/>
    <col width="4.625" bestFit="1" customWidth="1" style="107" min="4611" max="4611"/>
    <col width="7" bestFit="1" customWidth="1" style="107" min="4612" max="4612"/>
    <col width="5.125" bestFit="1" customWidth="1" style="107" min="4613" max="4613"/>
    <col width="3.25" bestFit="1" customWidth="1" style="107" min="4614" max="4618"/>
    <col width="3.5" bestFit="1" customWidth="1" style="107" min="4619" max="4619"/>
    <col width="3.25" bestFit="1" customWidth="1" style="107" min="4620" max="4621"/>
    <col width="4.75" bestFit="1" customWidth="1" style="107" min="4622" max="4623"/>
    <col width="5.25" bestFit="1" customWidth="1" style="107" min="4624" max="4624"/>
    <col width="4.875" bestFit="1" customWidth="1" style="107" min="4625" max="4625"/>
    <col width="7.875" bestFit="1" customWidth="1" style="107" min="4626" max="4626"/>
    <col width="5.125" bestFit="1" customWidth="1" style="107" min="4627" max="4627"/>
    <col width="5.5" bestFit="1" customWidth="1" style="107" min="4628" max="4628"/>
    <col width="5.75" bestFit="1" customWidth="1" style="107" min="4629" max="4629"/>
    <col width="7.875" bestFit="1" customWidth="1" style="107" min="4630" max="4630"/>
    <col width="5.125" bestFit="1" customWidth="1" style="107" min="4631" max="4631"/>
    <col width="4.625" bestFit="1" customWidth="1" style="107" min="4632" max="4632"/>
    <col width="7.875" bestFit="1" customWidth="1" style="107" min="4633" max="4633"/>
    <col width="6.125" bestFit="1" customWidth="1" style="107" min="4634" max="4634"/>
    <col width="36.5" bestFit="1" customWidth="1" style="107" min="4635" max="4635"/>
    <col width="29.25" bestFit="1" customWidth="1" style="107" min="4636" max="4636"/>
    <col width="9.875" bestFit="1" customWidth="1" style="107" min="4637" max="4638"/>
    <col width="9.25" bestFit="1" customWidth="1" style="107" min="4639" max="4639"/>
    <col width="2.5" bestFit="1" customWidth="1" style="107" min="4640" max="4640"/>
    <col width="3.25" bestFit="1" customWidth="1" style="107" min="4641" max="4641"/>
    <col width="3.625" bestFit="1" customWidth="1" style="107" min="4642" max="4642"/>
    <col width="3.375" bestFit="1" customWidth="1" style="107" min="4643" max="4643"/>
    <col width="23.625" bestFit="1" customWidth="1" style="107" min="4644" max="4644"/>
    <col width="8.25" bestFit="1" customWidth="1" style="107" min="4645" max="4645"/>
    <col width="6.875" bestFit="1" customWidth="1" style="107" min="4646" max="4646"/>
    <col width="6.375" bestFit="1" customWidth="1" style="107" min="4647" max="4647"/>
    <col width="19.625" bestFit="1" customWidth="1" style="107" min="4648" max="4648"/>
    <col width="51.375" bestFit="1" customWidth="1" style="107" min="4649" max="4649"/>
    <col width="6.25" bestFit="1" customWidth="1" style="107" min="4650" max="4650"/>
    <col width="2.625" bestFit="1" customWidth="1" style="107" min="4651" max="4651"/>
    <col width="5.125" bestFit="1" customWidth="1" style="107" min="4652" max="4652"/>
    <col width="27.375" bestFit="1" customWidth="1" style="107" min="4653" max="4653"/>
    <col width="5.875" bestFit="1" customWidth="1" style="107" min="4654" max="4654"/>
    <col width="3.75" bestFit="1" customWidth="1" style="107" min="4655" max="4655"/>
    <col width="6.25" bestFit="1" customWidth="1" style="107" min="4656" max="4656"/>
    <col width="6.875" bestFit="1" customWidth="1" style="107" min="4657" max="4657"/>
    <col width="6.75" bestFit="1" customWidth="1" style="107" min="4658" max="4658"/>
    <col width="5.875" bestFit="1" customWidth="1" style="107" min="4659" max="4659"/>
    <col width="91.875" bestFit="1" customWidth="1" style="107" min="4660" max="4660"/>
    <col width="131.25" bestFit="1" customWidth="1" style="107" min="4661" max="4661"/>
    <col width="7" bestFit="1" customWidth="1" style="107" min="4662" max="4662"/>
    <col width="7.875" bestFit="1" customWidth="1" style="107" min="4663" max="4663"/>
    <col width="8.5" bestFit="1" customWidth="1" style="107" min="4664" max="4664"/>
    <col width="4.75" bestFit="1" customWidth="1" style="107" min="4665" max="4665"/>
    <col width="23.25" bestFit="1" customWidth="1" style="107" min="4666" max="4666"/>
    <col width="6.875" bestFit="1" customWidth="1" style="107" min="4667" max="4667"/>
    <col width="7.875" bestFit="1" customWidth="1" style="107" min="4668" max="4668"/>
    <col width="7.75" bestFit="1" customWidth="1" style="107" min="4669" max="4669"/>
    <col width="8" bestFit="1" customWidth="1" style="107" min="4670" max="4670"/>
    <col width="4.625" bestFit="1" customWidth="1" style="107" min="4671" max="4671"/>
    <col width="7.875" bestFit="1" customWidth="1" style="107" min="4672" max="4672"/>
    <col width="4" bestFit="1" customWidth="1" style="107" min="4673" max="4673"/>
    <col width="4.625" customWidth="1" style="107" min="4674" max="4674"/>
    <col width="4" bestFit="1" customWidth="1" style="107" min="4675" max="4684"/>
    <col width="3.75" bestFit="1" customWidth="1" style="107" min="4685" max="4685"/>
    <col width="4" bestFit="1" customWidth="1" style="107" min="4686" max="4686"/>
    <col width="3.625" bestFit="1" customWidth="1" style="107" min="4687" max="4687"/>
    <col width="9.875" bestFit="1" customWidth="1" style="107" min="4688" max="4688"/>
    <col width="5" bestFit="1" customWidth="1" style="107" min="4689" max="4689"/>
    <col width="7.125" bestFit="1" customWidth="1" style="107" min="4690" max="4690"/>
    <col width="9.375" bestFit="1" customWidth="1" style="107" min="4691" max="4691"/>
    <col width="10.25" bestFit="1" customWidth="1" style="107" min="4692" max="4692"/>
    <col width="7.375" bestFit="1" customWidth="1" style="107" min="4693" max="4693"/>
    <col width="47.375" bestFit="1" customWidth="1" style="107" min="4694" max="4694"/>
    <col width="73.25" bestFit="1" customWidth="1" style="107" min="4695" max="4695"/>
    <col width="26.625" bestFit="1" customWidth="1" style="107" min="4696" max="4696"/>
    <col width="26.75" bestFit="1" customWidth="1" style="107" min="4697" max="4698"/>
    <col width="6.375" bestFit="1" customWidth="1" style="107" min="4699" max="4699"/>
    <col width="9.875" bestFit="1" customWidth="1" style="107" min="4700" max="4701"/>
    <col width="26.5" bestFit="1" customWidth="1" style="107" min="4702" max="4702"/>
    <col width="9.125" bestFit="1" customWidth="1" style="107" min="4703" max="4703"/>
    <col width="12.625" bestFit="1" customWidth="1" style="107" min="4704" max="4704"/>
    <col width="36.5" bestFit="1" customWidth="1" style="107" min="4705" max="4705"/>
    <col width="3.375" bestFit="1" customWidth="1" style="107" min="4706" max="4706"/>
    <col width="8" bestFit="1" customWidth="1" style="107" min="4707" max="4707"/>
    <col width="5.625" bestFit="1" customWidth="1" style="107" min="4708" max="4708"/>
    <col width="7.875" bestFit="1" customWidth="1" style="107" min="4709" max="4709"/>
    <col width="6" bestFit="1" customWidth="1" style="107" min="4710" max="4710"/>
    <col width="11.25" bestFit="1" customWidth="1" style="107" min="4711" max="4711"/>
    <col width="9" customWidth="1" style="107" min="4712" max="4864"/>
    <col width="13.125" bestFit="1" customWidth="1" style="107" min="4865" max="4865"/>
    <col width="10.875" bestFit="1" customWidth="1" style="107" min="4866" max="4866"/>
    <col width="4.625" bestFit="1" customWidth="1" style="107" min="4867" max="4867"/>
    <col width="7" bestFit="1" customWidth="1" style="107" min="4868" max="4868"/>
    <col width="5.125" bestFit="1" customWidth="1" style="107" min="4869" max="4869"/>
    <col width="3.25" bestFit="1" customWidth="1" style="107" min="4870" max="4874"/>
    <col width="3.5" bestFit="1" customWidth="1" style="107" min="4875" max="4875"/>
    <col width="3.25" bestFit="1" customWidth="1" style="107" min="4876" max="4877"/>
    <col width="4.75" bestFit="1" customWidth="1" style="107" min="4878" max="4879"/>
    <col width="5.25" bestFit="1" customWidth="1" style="107" min="4880" max="4880"/>
    <col width="4.875" bestFit="1" customWidth="1" style="107" min="4881" max="4881"/>
    <col width="7.875" bestFit="1" customWidth="1" style="107" min="4882" max="4882"/>
    <col width="5.125" bestFit="1" customWidth="1" style="107" min="4883" max="4883"/>
    <col width="5.5" bestFit="1" customWidth="1" style="107" min="4884" max="4884"/>
    <col width="5.75" bestFit="1" customWidth="1" style="107" min="4885" max="4885"/>
    <col width="7.875" bestFit="1" customWidth="1" style="107" min="4886" max="4886"/>
    <col width="5.125" bestFit="1" customWidth="1" style="107" min="4887" max="4887"/>
    <col width="4.625" bestFit="1" customWidth="1" style="107" min="4888" max="4888"/>
    <col width="7.875" bestFit="1" customWidth="1" style="107" min="4889" max="4889"/>
    <col width="6.125" bestFit="1" customWidth="1" style="107" min="4890" max="4890"/>
    <col width="36.5" bestFit="1" customWidth="1" style="107" min="4891" max="4891"/>
    <col width="29.25" bestFit="1" customWidth="1" style="107" min="4892" max="4892"/>
    <col width="9.875" bestFit="1" customWidth="1" style="107" min="4893" max="4894"/>
    <col width="9.25" bestFit="1" customWidth="1" style="107" min="4895" max="4895"/>
    <col width="2.5" bestFit="1" customWidth="1" style="107" min="4896" max="4896"/>
    <col width="3.25" bestFit="1" customWidth="1" style="107" min="4897" max="4897"/>
    <col width="3.625" bestFit="1" customWidth="1" style="107" min="4898" max="4898"/>
    <col width="3.375" bestFit="1" customWidth="1" style="107" min="4899" max="4899"/>
    <col width="23.625" bestFit="1" customWidth="1" style="107" min="4900" max="4900"/>
    <col width="8.25" bestFit="1" customWidth="1" style="107" min="4901" max="4901"/>
    <col width="6.875" bestFit="1" customWidth="1" style="107" min="4902" max="4902"/>
    <col width="6.375" bestFit="1" customWidth="1" style="107" min="4903" max="4903"/>
    <col width="19.625" bestFit="1" customWidth="1" style="107" min="4904" max="4904"/>
    <col width="51.375" bestFit="1" customWidth="1" style="107" min="4905" max="4905"/>
    <col width="6.25" bestFit="1" customWidth="1" style="107" min="4906" max="4906"/>
    <col width="2.625" bestFit="1" customWidth="1" style="107" min="4907" max="4907"/>
    <col width="5.125" bestFit="1" customWidth="1" style="107" min="4908" max="4908"/>
    <col width="27.375" bestFit="1" customWidth="1" style="107" min="4909" max="4909"/>
    <col width="5.875" bestFit="1" customWidth="1" style="107" min="4910" max="4910"/>
    <col width="3.75" bestFit="1" customWidth="1" style="107" min="4911" max="4911"/>
    <col width="6.25" bestFit="1" customWidth="1" style="107" min="4912" max="4912"/>
    <col width="6.875" bestFit="1" customWidth="1" style="107" min="4913" max="4913"/>
    <col width="6.75" bestFit="1" customWidth="1" style="107" min="4914" max="4914"/>
    <col width="5.875" bestFit="1" customWidth="1" style="107" min="4915" max="4915"/>
    <col width="91.875" bestFit="1" customWidth="1" style="107" min="4916" max="4916"/>
    <col width="131.25" bestFit="1" customWidth="1" style="107" min="4917" max="4917"/>
    <col width="7" bestFit="1" customWidth="1" style="107" min="4918" max="4918"/>
    <col width="7.875" bestFit="1" customWidth="1" style="107" min="4919" max="4919"/>
    <col width="8.5" bestFit="1" customWidth="1" style="107" min="4920" max="4920"/>
    <col width="4.75" bestFit="1" customWidth="1" style="107" min="4921" max="4921"/>
    <col width="23.25" bestFit="1" customWidth="1" style="107" min="4922" max="4922"/>
    <col width="6.875" bestFit="1" customWidth="1" style="107" min="4923" max="4923"/>
    <col width="7.875" bestFit="1" customWidth="1" style="107" min="4924" max="4924"/>
    <col width="7.75" bestFit="1" customWidth="1" style="107" min="4925" max="4925"/>
    <col width="8" bestFit="1" customWidth="1" style="107" min="4926" max="4926"/>
    <col width="4.625" bestFit="1" customWidth="1" style="107" min="4927" max="4927"/>
    <col width="7.875" bestFit="1" customWidth="1" style="107" min="4928" max="4928"/>
    <col width="4" bestFit="1" customWidth="1" style="107" min="4929" max="4929"/>
    <col width="4.625" customWidth="1" style="107" min="4930" max="4930"/>
    <col width="4" bestFit="1" customWidth="1" style="107" min="4931" max="4940"/>
    <col width="3.75" bestFit="1" customWidth="1" style="107" min="4941" max="4941"/>
    <col width="4" bestFit="1" customWidth="1" style="107" min="4942" max="4942"/>
    <col width="3.625" bestFit="1" customWidth="1" style="107" min="4943" max="4943"/>
    <col width="9.875" bestFit="1" customWidth="1" style="107" min="4944" max="4944"/>
    <col width="5" bestFit="1" customWidth="1" style="107" min="4945" max="4945"/>
    <col width="7.125" bestFit="1" customWidth="1" style="107" min="4946" max="4946"/>
    <col width="9.375" bestFit="1" customWidth="1" style="107" min="4947" max="4947"/>
    <col width="10.25" bestFit="1" customWidth="1" style="107" min="4948" max="4948"/>
    <col width="7.375" bestFit="1" customWidth="1" style="107" min="4949" max="4949"/>
    <col width="47.375" bestFit="1" customWidth="1" style="107" min="4950" max="4950"/>
    <col width="73.25" bestFit="1" customWidth="1" style="107" min="4951" max="4951"/>
    <col width="26.625" bestFit="1" customWidth="1" style="107" min="4952" max="4952"/>
    <col width="26.75" bestFit="1" customWidth="1" style="107" min="4953" max="4954"/>
    <col width="6.375" bestFit="1" customWidth="1" style="107" min="4955" max="4955"/>
    <col width="9.875" bestFit="1" customWidth="1" style="107" min="4956" max="4957"/>
    <col width="26.5" bestFit="1" customWidth="1" style="107" min="4958" max="4958"/>
    <col width="9.125" bestFit="1" customWidth="1" style="107" min="4959" max="4959"/>
    <col width="12.625" bestFit="1" customWidth="1" style="107" min="4960" max="4960"/>
    <col width="36.5" bestFit="1" customWidth="1" style="107" min="4961" max="4961"/>
    <col width="3.375" bestFit="1" customWidth="1" style="107" min="4962" max="4962"/>
    <col width="8" bestFit="1" customWidth="1" style="107" min="4963" max="4963"/>
    <col width="5.625" bestFit="1" customWidth="1" style="107" min="4964" max="4964"/>
    <col width="7.875" bestFit="1" customWidth="1" style="107" min="4965" max="4965"/>
    <col width="6" bestFit="1" customWidth="1" style="107" min="4966" max="4966"/>
    <col width="11.25" bestFit="1" customWidth="1" style="107" min="4967" max="4967"/>
    <col width="9" customWidth="1" style="107" min="4968" max="5120"/>
    <col width="13.125" bestFit="1" customWidth="1" style="107" min="5121" max="5121"/>
    <col width="10.875" bestFit="1" customWidth="1" style="107" min="5122" max="5122"/>
    <col width="4.625" bestFit="1" customWidth="1" style="107" min="5123" max="5123"/>
    <col width="7" bestFit="1" customWidth="1" style="107" min="5124" max="5124"/>
    <col width="5.125" bestFit="1" customWidth="1" style="107" min="5125" max="5125"/>
    <col width="3.25" bestFit="1" customWidth="1" style="107" min="5126" max="5130"/>
    <col width="3.5" bestFit="1" customWidth="1" style="107" min="5131" max="5131"/>
    <col width="3.25" bestFit="1" customWidth="1" style="107" min="5132" max="5133"/>
    <col width="4.75" bestFit="1" customWidth="1" style="107" min="5134" max="5135"/>
    <col width="5.25" bestFit="1" customWidth="1" style="107" min="5136" max="5136"/>
    <col width="4.875" bestFit="1" customWidth="1" style="107" min="5137" max="5137"/>
    <col width="7.875" bestFit="1" customWidth="1" style="107" min="5138" max="5138"/>
    <col width="5.125" bestFit="1" customWidth="1" style="107" min="5139" max="5139"/>
    <col width="5.5" bestFit="1" customWidth="1" style="107" min="5140" max="5140"/>
    <col width="5.75" bestFit="1" customWidth="1" style="107" min="5141" max="5141"/>
    <col width="7.875" bestFit="1" customWidth="1" style="107" min="5142" max="5142"/>
    <col width="5.125" bestFit="1" customWidth="1" style="107" min="5143" max="5143"/>
    <col width="4.625" bestFit="1" customWidth="1" style="107" min="5144" max="5144"/>
    <col width="7.875" bestFit="1" customWidth="1" style="107" min="5145" max="5145"/>
    <col width="6.125" bestFit="1" customWidth="1" style="107" min="5146" max="5146"/>
    <col width="36.5" bestFit="1" customWidth="1" style="107" min="5147" max="5147"/>
    <col width="29.25" bestFit="1" customWidth="1" style="107" min="5148" max="5148"/>
    <col width="9.875" bestFit="1" customWidth="1" style="107" min="5149" max="5150"/>
    <col width="9.25" bestFit="1" customWidth="1" style="107" min="5151" max="5151"/>
    <col width="2.5" bestFit="1" customWidth="1" style="107" min="5152" max="5152"/>
    <col width="3.25" bestFit="1" customWidth="1" style="107" min="5153" max="5153"/>
    <col width="3.625" bestFit="1" customWidth="1" style="107" min="5154" max="5154"/>
    <col width="3.375" bestFit="1" customWidth="1" style="107" min="5155" max="5155"/>
    <col width="23.625" bestFit="1" customWidth="1" style="107" min="5156" max="5156"/>
    <col width="8.25" bestFit="1" customWidth="1" style="107" min="5157" max="5157"/>
    <col width="6.875" bestFit="1" customWidth="1" style="107" min="5158" max="5158"/>
    <col width="6.375" bestFit="1" customWidth="1" style="107" min="5159" max="5159"/>
    <col width="19.625" bestFit="1" customWidth="1" style="107" min="5160" max="5160"/>
    <col width="51.375" bestFit="1" customWidth="1" style="107" min="5161" max="5161"/>
    <col width="6.25" bestFit="1" customWidth="1" style="107" min="5162" max="5162"/>
    <col width="2.625" bestFit="1" customWidth="1" style="107" min="5163" max="5163"/>
    <col width="5.125" bestFit="1" customWidth="1" style="107" min="5164" max="5164"/>
    <col width="27.375" bestFit="1" customWidth="1" style="107" min="5165" max="5165"/>
    <col width="5.875" bestFit="1" customWidth="1" style="107" min="5166" max="5166"/>
    <col width="3.75" bestFit="1" customWidth="1" style="107" min="5167" max="5167"/>
    <col width="6.25" bestFit="1" customWidth="1" style="107" min="5168" max="5168"/>
    <col width="6.875" bestFit="1" customWidth="1" style="107" min="5169" max="5169"/>
    <col width="6.75" bestFit="1" customWidth="1" style="107" min="5170" max="5170"/>
    <col width="5.875" bestFit="1" customWidth="1" style="107" min="5171" max="5171"/>
    <col width="91.875" bestFit="1" customWidth="1" style="107" min="5172" max="5172"/>
    <col width="131.25" bestFit="1" customWidth="1" style="107" min="5173" max="5173"/>
    <col width="7" bestFit="1" customWidth="1" style="107" min="5174" max="5174"/>
    <col width="7.875" bestFit="1" customWidth="1" style="107" min="5175" max="5175"/>
    <col width="8.5" bestFit="1" customWidth="1" style="107" min="5176" max="5176"/>
    <col width="4.75" bestFit="1" customWidth="1" style="107" min="5177" max="5177"/>
    <col width="23.25" bestFit="1" customWidth="1" style="107" min="5178" max="5178"/>
    <col width="6.875" bestFit="1" customWidth="1" style="107" min="5179" max="5179"/>
    <col width="7.875" bestFit="1" customWidth="1" style="107" min="5180" max="5180"/>
    <col width="7.75" bestFit="1" customWidth="1" style="107" min="5181" max="5181"/>
    <col width="8" bestFit="1" customWidth="1" style="107" min="5182" max="5182"/>
    <col width="4.625" bestFit="1" customWidth="1" style="107" min="5183" max="5183"/>
    <col width="7.875" bestFit="1" customWidth="1" style="107" min="5184" max="5184"/>
    <col width="4" bestFit="1" customWidth="1" style="107" min="5185" max="5185"/>
    <col width="4.625" customWidth="1" style="107" min="5186" max="5186"/>
    <col width="4" bestFit="1" customWidth="1" style="107" min="5187" max="5196"/>
    <col width="3.75" bestFit="1" customWidth="1" style="107" min="5197" max="5197"/>
    <col width="4" bestFit="1" customWidth="1" style="107" min="5198" max="5198"/>
    <col width="3.625" bestFit="1" customWidth="1" style="107" min="5199" max="5199"/>
    <col width="9.875" bestFit="1" customWidth="1" style="107" min="5200" max="5200"/>
    <col width="5" bestFit="1" customWidth="1" style="107" min="5201" max="5201"/>
    <col width="7.125" bestFit="1" customWidth="1" style="107" min="5202" max="5202"/>
    <col width="9.375" bestFit="1" customWidth="1" style="107" min="5203" max="5203"/>
    <col width="10.25" bestFit="1" customWidth="1" style="107" min="5204" max="5204"/>
    <col width="7.375" bestFit="1" customWidth="1" style="107" min="5205" max="5205"/>
    <col width="47.375" bestFit="1" customWidth="1" style="107" min="5206" max="5206"/>
    <col width="73.25" bestFit="1" customWidth="1" style="107" min="5207" max="5207"/>
    <col width="26.625" bestFit="1" customWidth="1" style="107" min="5208" max="5208"/>
    <col width="26.75" bestFit="1" customWidth="1" style="107" min="5209" max="5210"/>
    <col width="6.375" bestFit="1" customWidth="1" style="107" min="5211" max="5211"/>
    <col width="9.875" bestFit="1" customWidth="1" style="107" min="5212" max="5213"/>
    <col width="26.5" bestFit="1" customWidth="1" style="107" min="5214" max="5214"/>
    <col width="9.125" bestFit="1" customWidth="1" style="107" min="5215" max="5215"/>
    <col width="12.625" bestFit="1" customWidth="1" style="107" min="5216" max="5216"/>
    <col width="36.5" bestFit="1" customWidth="1" style="107" min="5217" max="5217"/>
    <col width="3.375" bestFit="1" customWidth="1" style="107" min="5218" max="5218"/>
    <col width="8" bestFit="1" customWidth="1" style="107" min="5219" max="5219"/>
    <col width="5.625" bestFit="1" customWidth="1" style="107" min="5220" max="5220"/>
    <col width="7.875" bestFit="1" customWidth="1" style="107" min="5221" max="5221"/>
    <col width="6" bestFit="1" customWidth="1" style="107" min="5222" max="5222"/>
    <col width="11.25" bestFit="1" customWidth="1" style="107" min="5223" max="5223"/>
    <col width="9" customWidth="1" style="107" min="5224" max="5376"/>
    <col width="13.125" bestFit="1" customWidth="1" style="107" min="5377" max="5377"/>
    <col width="10.875" bestFit="1" customWidth="1" style="107" min="5378" max="5378"/>
    <col width="4.625" bestFit="1" customWidth="1" style="107" min="5379" max="5379"/>
    <col width="7" bestFit="1" customWidth="1" style="107" min="5380" max="5380"/>
    <col width="5.125" bestFit="1" customWidth="1" style="107" min="5381" max="5381"/>
    <col width="3.25" bestFit="1" customWidth="1" style="107" min="5382" max="5386"/>
    <col width="3.5" bestFit="1" customWidth="1" style="107" min="5387" max="5387"/>
    <col width="3.25" bestFit="1" customWidth="1" style="107" min="5388" max="5389"/>
    <col width="4.75" bestFit="1" customWidth="1" style="107" min="5390" max="5391"/>
    <col width="5.25" bestFit="1" customWidth="1" style="107" min="5392" max="5392"/>
    <col width="4.875" bestFit="1" customWidth="1" style="107" min="5393" max="5393"/>
    <col width="7.875" bestFit="1" customWidth="1" style="107" min="5394" max="5394"/>
    <col width="5.125" bestFit="1" customWidth="1" style="107" min="5395" max="5395"/>
    <col width="5.5" bestFit="1" customWidth="1" style="107" min="5396" max="5396"/>
    <col width="5.75" bestFit="1" customWidth="1" style="107" min="5397" max="5397"/>
    <col width="7.875" bestFit="1" customWidth="1" style="107" min="5398" max="5398"/>
    <col width="5.125" bestFit="1" customWidth="1" style="107" min="5399" max="5399"/>
    <col width="4.625" bestFit="1" customWidth="1" style="107" min="5400" max="5400"/>
    <col width="7.875" bestFit="1" customWidth="1" style="107" min="5401" max="5401"/>
    <col width="6.125" bestFit="1" customWidth="1" style="107" min="5402" max="5402"/>
    <col width="36.5" bestFit="1" customWidth="1" style="107" min="5403" max="5403"/>
    <col width="29.25" bestFit="1" customWidth="1" style="107" min="5404" max="5404"/>
    <col width="9.875" bestFit="1" customWidth="1" style="107" min="5405" max="5406"/>
    <col width="9.25" bestFit="1" customWidth="1" style="107" min="5407" max="5407"/>
    <col width="2.5" bestFit="1" customWidth="1" style="107" min="5408" max="5408"/>
    <col width="3.25" bestFit="1" customWidth="1" style="107" min="5409" max="5409"/>
    <col width="3.625" bestFit="1" customWidth="1" style="107" min="5410" max="5410"/>
    <col width="3.375" bestFit="1" customWidth="1" style="107" min="5411" max="5411"/>
    <col width="23.625" bestFit="1" customWidth="1" style="107" min="5412" max="5412"/>
    <col width="8.25" bestFit="1" customWidth="1" style="107" min="5413" max="5413"/>
    <col width="6.875" bestFit="1" customWidth="1" style="107" min="5414" max="5414"/>
    <col width="6.375" bestFit="1" customWidth="1" style="107" min="5415" max="5415"/>
    <col width="19.625" bestFit="1" customWidth="1" style="107" min="5416" max="5416"/>
    <col width="51.375" bestFit="1" customWidth="1" style="107" min="5417" max="5417"/>
    <col width="6.25" bestFit="1" customWidth="1" style="107" min="5418" max="5418"/>
    <col width="2.625" bestFit="1" customWidth="1" style="107" min="5419" max="5419"/>
    <col width="5.125" bestFit="1" customWidth="1" style="107" min="5420" max="5420"/>
    <col width="27.375" bestFit="1" customWidth="1" style="107" min="5421" max="5421"/>
    <col width="5.875" bestFit="1" customWidth="1" style="107" min="5422" max="5422"/>
    <col width="3.75" bestFit="1" customWidth="1" style="107" min="5423" max="5423"/>
    <col width="6.25" bestFit="1" customWidth="1" style="107" min="5424" max="5424"/>
    <col width="6.875" bestFit="1" customWidth="1" style="107" min="5425" max="5425"/>
    <col width="6.75" bestFit="1" customWidth="1" style="107" min="5426" max="5426"/>
    <col width="5.875" bestFit="1" customWidth="1" style="107" min="5427" max="5427"/>
    <col width="91.875" bestFit="1" customWidth="1" style="107" min="5428" max="5428"/>
    <col width="131.25" bestFit="1" customWidth="1" style="107" min="5429" max="5429"/>
    <col width="7" bestFit="1" customWidth="1" style="107" min="5430" max="5430"/>
    <col width="7.875" bestFit="1" customWidth="1" style="107" min="5431" max="5431"/>
    <col width="8.5" bestFit="1" customWidth="1" style="107" min="5432" max="5432"/>
    <col width="4.75" bestFit="1" customWidth="1" style="107" min="5433" max="5433"/>
    <col width="23.25" bestFit="1" customWidth="1" style="107" min="5434" max="5434"/>
    <col width="6.875" bestFit="1" customWidth="1" style="107" min="5435" max="5435"/>
    <col width="7.875" bestFit="1" customWidth="1" style="107" min="5436" max="5436"/>
    <col width="7.75" bestFit="1" customWidth="1" style="107" min="5437" max="5437"/>
    <col width="8" bestFit="1" customWidth="1" style="107" min="5438" max="5438"/>
    <col width="4.625" bestFit="1" customWidth="1" style="107" min="5439" max="5439"/>
    <col width="7.875" bestFit="1" customWidth="1" style="107" min="5440" max="5440"/>
    <col width="4" bestFit="1" customWidth="1" style="107" min="5441" max="5441"/>
    <col width="4.625" customWidth="1" style="107" min="5442" max="5442"/>
    <col width="4" bestFit="1" customWidth="1" style="107" min="5443" max="5452"/>
    <col width="3.75" bestFit="1" customWidth="1" style="107" min="5453" max="5453"/>
    <col width="4" bestFit="1" customWidth="1" style="107" min="5454" max="5454"/>
    <col width="3.625" bestFit="1" customWidth="1" style="107" min="5455" max="5455"/>
    <col width="9.875" bestFit="1" customWidth="1" style="107" min="5456" max="5456"/>
    <col width="5" bestFit="1" customWidth="1" style="107" min="5457" max="5457"/>
    <col width="7.125" bestFit="1" customWidth="1" style="107" min="5458" max="5458"/>
    <col width="9.375" bestFit="1" customWidth="1" style="107" min="5459" max="5459"/>
    <col width="10.25" bestFit="1" customWidth="1" style="107" min="5460" max="5460"/>
    <col width="7.375" bestFit="1" customWidth="1" style="107" min="5461" max="5461"/>
    <col width="47.375" bestFit="1" customWidth="1" style="107" min="5462" max="5462"/>
    <col width="73.25" bestFit="1" customWidth="1" style="107" min="5463" max="5463"/>
    <col width="26.625" bestFit="1" customWidth="1" style="107" min="5464" max="5464"/>
    <col width="26.75" bestFit="1" customWidth="1" style="107" min="5465" max="5466"/>
    <col width="6.375" bestFit="1" customWidth="1" style="107" min="5467" max="5467"/>
    <col width="9.875" bestFit="1" customWidth="1" style="107" min="5468" max="5469"/>
    <col width="26.5" bestFit="1" customWidth="1" style="107" min="5470" max="5470"/>
    <col width="9.125" bestFit="1" customWidth="1" style="107" min="5471" max="5471"/>
    <col width="12.625" bestFit="1" customWidth="1" style="107" min="5472" max="5472"/>
    <col width="36.5" bestFit="1" customWidth="1" style="107" min="5473" max="5473"/>
    <col width="3.375" bestFit="1" customWidth="1" style="107" min="5474" max="5474"/>
    <col width="8" bestFit="1" customWidth="1" style="107" min="5475" max="5475"/>
    <col width="5.625" bestFit="1" customWidth="1" style="107" min="5476" max="5476"/>
    <col width="7.875" bestFit="1" customWidth="1" style="107" min="5477" max="5477"/>
    <col width="6" bestFit="1" customWidth="1" style="107" min="5478" max="5478"/>
    <col width="11.25" bestFit="1" customWidth="1" style="107" min="5479" max="5479"/>
    <col width="9" customWidth="1" style="107" min="5480" max="5632"/>
    <col width="13.125" bestFit="1" customWidth="1" style="107" min="5633" max="5633"/>
    <col width="10.875" bestFit="1" customWidth="1" style="107" min="5634" max="5634"/>
    <col width="4.625" bestFit="1" customWidth="1" style="107" min="5635" max="5635"/>
    <col width="7" bestFit="1" customWidth="1" style="107" min="5636" max="5636"/>
    <col width="5.125" bestFit="1" customWidth="1" style="107" min="5637" max="5637"/>
    <col width="3.25" bestFit="1" customWidth="1" style="107" min="5638" max="5642"/>
    <col width="3.5" bestFit="1" customWidth="1" style="107" min="5643" max="5643"/>
    <col width="3.25" bestFit="1" customWidth="1" style="107" min="5644" max="5645"/>
    <col width="4.75" bestFit="1" customWidth="1" style="107" min="5646" max="5647"/>
    <col width="5.25" bestFit="1" customWidth="1" style="107" min="5648" max="5648"/>
    <col width="4.875" bestFit="1" customWidth="1" style="107" min="5649" max="5649"/>
    <col width="7.875" bestFit="1" customWidth="1" style="107" min="5650" max="5650"/>
    <col width="5.125" bestFit="1" customWidth="1" style="107" min="5651" max="5651"/>
    <col width="5.5" bestFit="1" customWidth="1" style="107" min="5652" max="5652"/>
    <col width="5.75" bestFit="1" customWidth="1" style="107" min="5653" max="5653"/>
    <col width="7.875" bestFit="1" customWidth="1" style="107" min="5654" max="5654"/>
    <col width="5.125" bestFit="1" customWidth="1" style="107" min="5655" max="5655"/>
    <col width="4.625" bestFit="1" customWidth="1" style="107" min="5656" max="5656"/>
    <col width="7.875" bestFit="1" customWidth="1" style="107" min="5657" max="5657"/>
    <col width="6.125" bestFit="1" customWidth="1" style="107" min="5658" max="5658"/>
    <col width="36.5" bestFit="1" customWidth="1" style="107" min="5659" max="5659"/>
    <col width="29.25" bestFit="1" customWidth="1" style="107" min="5660" max="5660"/>
    <col width="9.875" bestFit="1" customWidth="1" style="107" min="5661" max="5662"/>
    <col width="9.25" bestFit="1" customWidth="1" style="107" min="5663" max="5663"/>
    <col width="2.5" bestFit="1" customWidth="1" style="107" min="5664" max="5664"/>
    <col width="3.25" bestFit="1" customWidth="1" style="107" min="5665" max="5665"/>
    <col width="3.625" bestFit="1" customWidth="1" style="107" min="5666" max="5666"/>
    <col width="3.375" bestFit="1" customWidth="1" style="107" min="5667" max="5667"/>
    <col width="23.625" bestFit="1" customWidth="1" style="107" min="5668" max="5668"/>
    <col width="8.25" bestFit="1" customWidth="1" style="107" min="5669" max="5669"/>
    <col width="6.875" bestFit="1" customWidth="1" style="107" min="5670" max="5670"/>
    <col width="6.375" bestFit="1" customWidth="1" style="107" min="5671" max="5671"/>
    <col width="19.625" bestFit="1" customWidth="1" style="107" min="5672" max="5672"/>
    <col width="51.375" bestFit="1" customWidth="1" style="107" min="5673" max="5673"/>
    <col width="6.25" bestFit="1" customWidth="1" style="107" min="5674" max="5674"/>
    <col width="2.625" bestFit="1" customWidth="1" style="107" min="5675" max="5675"/>
    <col width="5.125" bestFit="1" customWidth="1" style="107" min="5676" max="5676"/>
    <col width="27.375" bestFit="1" customWidth="1" style="107" min="5677" max="5677"/>
    <col width="5.875" bestFit="1" customWidth="1" style="107" min="5678" max="5678"/>
    <col width="3.75" bestFit="1" customWidth="1" style="107" min="5679" max="5679"/>
    <col width="6.25" bestFit="1" customWidth="1" style="107" min="5680" max="5680"/>
    <col width="6.875" bestFit="1" customWidth="1" style="107" min="5681" max="5681"/>
    <col width="6.75" bestFit="1" customWidth="1" style="107" min="5682" max="5682"/>
    <col width="5.875" bestFit="1" customWidth="1" style="107" min="5683" max="5683"/>
    <col width="91.875" bestFit="1" customWidth="1" style="107" min="5684" max="5684"/>
    <col width="131.25" bestFit="1" customWidth="1" style="107" min="5685" max="5685"/>
    <col width="7" bestFit="1" customWidth="1" style="107" min="5686" max="5686"/>
    <col width="7.875" bestFit="1" customWidth="1" style="107" min="5687" max="5687"/>
    <col width="8.5" bestFit="1" customWidth="1" style="107" min="5688" max="5688"/>
    <col width="4.75" bestFit="1" customWidth="1" style="107" min="5689" max="5689"/>
    <col width="23.25" bestFit="1" customWidth="1" style="107" min="5690" max="5690"/>
    <col width="6.875" bestFit="1" customWidth="1" style="107" min="5691" max="5691"/>
    <col width="7.875" bestFit="1" customWidth="1" style="107" min="5692" max="5692"/>
    <col width="7.75" bestFit="1" customWidth="1" style="107" min="5693" max="5693"/>
    <col width="8" bestFit="1" customWidth="1" style="107" min="5694" max="5694"/>
    <col width="4.625" bestFit="1" customWidth="1" style="107" min="5695" max="5695"/>
    <col width="7.875" bestFit="1" customWidth="1" style="107" min="5696" max="5696"/>
    <col width="4" bestFit="1" customWidth="1" style="107" min="5697" max="5697"/>
    <col width="4.625" customWidth="1" style="107" min="5698" max="5698"/>
    <col width="4" bestFit="1" customWidth="1" style="107" min="5699" max="5708"/>
    <col width="3.75" bestFit="1" customWidth="1" style="107" min="5709" max="5709"/>
    <col width="4" bestFit="1" customWidth="1" style="107" min="5710" max="5710"/>
    <col width="3.625" bestFit="1" customWidth="1" style="107" min="5711" max="5711"/>
    <col width="9.875" bestFit="1" customWidth="1" style="107" min="5712" max="5712"/>
    <col width="5" bestFit="1" customWidth="1" style="107" min="5713" max="5713"/>
    <col width="7.125" bestFit="1" customWidth="1" style="107" min="5714" max="5714"/>
    <col width="9.375" bestFit="1" customWidth="1" style="107" min="5715" max="5715"/>
    <col width="10.25" bestFit="1" customWidth="1" style="107" min="5716" max="5716"/>
    <col width="7.375" bestFit="1" customWidth="1" style="107" min="5717" max="5717"/>
    <col width="47.375" bestFit="1" customWidth="1" style="107" min="5718" max="5718"/>
    <col width="73.25" bestFit="1" customWidth="1" style="107" min="5719" max="5719"/>
    <col width="26.625" bestFit="1" customWidth="1" style="107" min="5720" max="5720"/>
    <col width="26.75" bestFit="1" customWidth="1" style="107" min="5721" max="5722"/>
    <col width="6.375" bestFit="1" customWidth="1" style="107" min="5723" max="5723"/>
    <col width="9.875" bestFit="1" customWidth="1" style="107" min="5724" max="5725"/>
    <col width="26.5" bestFit="1" customWidth="1" style="107" min="5726" max="5726"/>
    <col width="9.125" bestFit="1" customWidth="1" style="107" min="5727" max="5727"/>
    <col width="12.625" bestFit="1" customWidth="1" style="107" min="5728" max="5728"/>
    <col width="36.5" bestFit="1" customWidth="1" style="107" min="5729" max="5729"/>
    <col width="3.375" bestFit="1" customWidth="1" style="107" min="5730" max="5730"/>
    <col width="8" bestFit="1" customWidth="1" style="107" min="5731" max="5731"/>
    <col width="5.625" bestFit="1" customWidth="1" style="107" min="5732" max="5732"/>
    <col width="7.875" bestFit="1" customWidth="1" style="107" min="5733" max="5733"/>
    <col width="6" bestFit="1" customWidth="1" style="107" min="5734" max="5734"/>
    <col width="11.25" bestFit="1" customWidth="1" style="107" min="5735" max="5735"/>
    <col width="9" customWidth="1" style="107" min="5736" max="5888"/>
    <col width="13.125" bestFit="1" customWidth="1" style="107" min="5889" max="5889"/>
    <col width="10.875" bestFit="1" customWidth="1" style="107" min="5890" max="5890"/>
    <col width="4.625" bestFit="1" customWidth="1" style="107" min="5891" max="5891"/>
    <col width="7" bestFit="1" customWidth="1" style="107" min="5892" max="5892"/>
    <col width="5.125" bestFit="1" customWidth="1" style="107" min="5893" max="5893"/>
    <col width="3.25" bestFit="1" customWidth="1" style="107" min="5894" max="5898"/>
    <col width="3.5" bestFit="1" customWidth="1" style="107" min="5899" max="5899"/>
    <col width="3.25" bestFit="1" customWidth="1" style="107" min="5900" max="5901"/>
    <col width="4.75" bestFit="1" customWidth="1" style="107" min="5902" max="5903"/>
    <col width="5.25" bestFit="1" customWidth="1" style="107" min="5904" max="5904"/>
    <col width="4.875" bestFit="1" customWidth="1" style="107" min="5905" max="5905"/>
    <col width="7.875" bestFit="1" customWidth="1" style="107" min="5906" max="5906"/>
    <col width="5.125" bestFit="1" customWidth="1" style="107" min="5907" max="5907"/>
    <col width="5.5" bestFit="1" customWidth="1" style="107" min="5908" max="5908"/>
    <col width="5.75" bestFit="1" customWidth="1" style="107" min="5909" max="5909"/>
    <col width="7.875" bestFit="1" customWidth="1" style="107" min="5910" max="5910"/>
    <col width="5.125" bestFit="1" customWidth="1" style="107" min="5911" max="5911"/>
    <col width="4.625" bestFit="1" customWidth="1" style="107" min="5912" max="5912"/>
    <col width="7.875" bestFit="1" customWidth="1" style="107" min="5913" max="5913"/>
    <col width="6.125" bestFit="1" customWidth="1" style="107" min="5914" max="5914"/>
    <col width="36.5" bestFit="1" customWidth="1" style="107" min="5915" max="5915"/>
    <col width="29.25" bestFit="1" customWidth="1" style="107" min="5916" max="5916"/>
    <col width="9.875" bestFit="1" customWidth="1" style="107" min="5917" max="5918"/>
    <col width="9.25" bestFit="1" customWidth="1" style="107" min="5919" max="5919"/>
    <col width="2.5" bestFit="1" customWidth="1" style="107" min="5920" max="5920"/>
    <col width="3.25" bestFit="1" customWidth="1" style="107" min="5921" max="5921"/>
    <col width="3.625" bestFit="1" customWidth="1" style="107" min="5922" max="5922"/>
    <col width="3.375" bestFit="1" customWidth="1" style="107" min="5923" max="5923"/>
    <col width="23.625" bestFit="1" customWidth="1" style="107" min="5924" max="5924"/>
    <col width="8.25" bestFit="1" customWidth="1" style="107" min="5925" max="5925"/>
    <col width="6.875" bestFit="1" customWidth="1" style="107" min="5926" max="5926"/>
    <col width="6.375" bestFit="1" customWidth="1" style="107" min="5927" max="5927"/>
    <col width="19.625" bestFit="1" customWidth="1" style="107" min="5928" max="5928"/>
    <col width="51.375" bestFit="1" customWidth="1" style="107" min="5929" max="5929"/>
    <col width="6.25" bestFit="1" customWidth="1" style="107" min="5930" max="5930"/>
    <col width="2.625" bestFit="1" customWidth="1" style="107" min="5931" max="5931"/>
    <col width="5.125" bestFit="1" customWidth="1" style="107" min="5932" max="5932"/>
    <col width="27.375" bestFit="1" customWidth="1" style="107" min="5933" max="5933"/>
    <col width="5.875" bestFit="1" customWidth="1" style="107" min="5934" max="5934"/>
    <col width="3.75" bestFit="1" customWidth="1" style="107" min="5935" max="5935"/>
    <col width="6.25" bestFit="1" customWidth="1" style="107" min="5936" max="5936"/>
    <col width="6.875" bestFit="1" customWidth="1" style="107" min="5937" max="5937"/>
    <col width="6.75" bestFit="1" customWidth="1" style="107" min="5938" max="5938"/>
    <col width="5.875" bestFit="1" customWidth="1" style="107" min="5939" max="5939"/>
    <col width="91.875" bestFit="1" customWidth="1" style="107" min="5940" max="5940"/>
    <col width="131.25" bestFit="1" customWidth="1" style="107" min="5941" max="5941"/>
    <col width="7" bestFit="1" customWidth="1" style="107" min="5942" max="5942"/>
    <col width="7.875" bestFit="1" customWidth="1" style="107" min="5943" max="5943"/>
    <col width="8.5" bestFit="1" customWidth="1" style="107" min="5944" max="5944"/>
    <col width="4.75" bestFit="1" customWidth="1" style="107" min="5945" max="5945"/>
    <col width="23.25" bestFit="1" customWidth="1" style="107" min="5946" max="5946"/>
    <col width="6.875" bestFit="1" customWidth="1" style="107" min="5947" max="5947"/>
    <col width="7.875" bestFit="1" customWidth="1" style="107" min="5948" max="5948"/>
    <col width="7.75" bestFit="1" customWidth="1" style="107" min="5949" max="5949"/>
    <col width="8" bestFit="1" customWidth="1" style="107" min="5950" max="5950"/>
    <col width="4.625" bestFit="1" customWidth="1" style="107" min="5951" max="5951"/>
    <col width="7.875" bestFit="1" customWidth="1" style="107" min="5952" max="5952"/>
    <col width="4" bestFit="1" customWidth="1" style="107" min="5953" max="5953"/>
    <col width="4.625" customWidth="1" style="107" min="5954" max="5954"/>
    <col width="4" bestFit="1" customWidth="1" style="107" min="5955" max="5964"/>
    <col width="3.75" bestFit="1" customWidth="1" style="107" min="5965" max="5965"/>
    <col width="4" bestFit="1" customWidth="1" style="107" min="5966" max="5966"/>
    <col width="3.625" bestFit="1" customWidth="1" style="107" min="5967" max="5967"/>
    <col width="9.875" bestFit="1" customWidth="1" style="107" min="5968" max="5968"/>
    <col width="5" bestFit="1" customWidth="1" style="107" min="5969" max="5969"/>
    <col width="7.125" bestFit="1" customWidth="1" style="107" min="5970" max="5970"/>
    <col width="9.375" bestFit="1" customWidth="1" style="107" min="5971" max="5971"/>
    <col width="10.25" bestFit="1" customWidth="1" style="107" min="5972" max="5972"/>
    <col width="7.375" bestFit="1" customWidth="1" style="107" min="5973" max="5973"/>
    <col width="47.375" bestFit="1" customWidth="1" style="107" min="5974" max="5974"/>
    <col width="73.25" bestFit="1" customWidth="1" style="107" min="5975" max="5975"/>
    <col width="26.625" bestFit="1" customWidth="1" style="107" min="5976" max="5976"/>
    <col width="26.75" bestFit="1" customWidth="1" style="107" min="5977" max="5978"/>
    <col width="6.375" bestFit="1" customWidth="1" style="107" min="5979" max="5979"/>
    <col width="9.875" bestFit="1" customWidth="1" style="107" min="5980" max="5981"/>
    <col width="26.5" bestFit="1" customWidth="1" style="107" min="5982" max="5982"/>
    <col width="9.125" bestFit="1" customWidth="1" style="107" min="5983" max="5983"/>
    <col width="12.625" bestFit="1" customWidth="1" style="107" min="5984" max="5984"/>
    <col width="36.5" bestFit="1" customWidth="1" style="107" min="5985" max="5985"/>
    <col width="3.375" bestFit="1" customWidth="1" style="107" min="5986" max="5986"/>
    <col width="8" bestFit="1" customWidth="1" style="107" min="5987" max="5987"/>
    <col width="5.625" bestFit="1" customWidth="1" style="107" min="5988" max="5988"/>
    <col width="7.875" bestFit="1" customWidth="1" style="107" min="5989" max="5989"/>
    <col width="6" bestFit="1" customWidth="1" style="107" min="5990" max="5990"/>
    <col width="11.25" bestFit="1" customWidth="1" style="107" min="5991" max="5991"/>
    <col width="9" customWidth="1" style="107" min="5992" max="6144"/>
    <col width="13.125" bestFit="1" customWidth="1" style="107" min="6145" max="6145"/>
    <col width="10.875" bestFit="1" customWidth="1" style="107" min="6146" max="6146"/>
    <col width="4.625" bestFit="1" customWidth="1" style="107" min="6147" max="6147"/>
    <col width="7" bestFit="1" customWidth="1" style="107" min="6148" max="6148"/>
    <col width="5.125" bestFit="1" customWidth="1" style="107" min="6149" max="6149"/>
    <col width="3.25" bestFit="1" customWidth="1" style="107" min="6150" max="6154"/>
    <col width="3.5" bestFit="1" customWidth="1" style="107" min="6155" max="6155"/>
    <col width="3.25" bestFit="1" customWidth="1" style="107" min="6156" max="6157"/>
    <col width="4.75" bestFit="1" customWidth="1" style="107" min="6158" max="6159"/>
    <col width="5.25" bestFit="1" customWidth="1" style="107" min="6160" max="6160"/>
    <col width="4.875" bestFit="1" customWidth="1" style="107" min="6161" max="6161"/>
    <col width="7.875" bestFit="1" customWidth="1" style="107" min="6162" max="6162"/>
    <col width="5.125" bestFit="1" customWidth="1" style="107" min="6163" max="6163"/>
    <col width="5.5" bestFit="1" customWidth="1" style="107" min="6164" max="6164"/>
    <col width="5.75" bestFit="1" customWidth="1" style="107" min="6165" max="6165"/>
    <col width="7.875" bestFit="1" customWidth="1" style="107" min="6166" max="6166"/>
    <col width="5.125" bestFit="1" customWidth="1" style="107" min="6167" max="6167"/>
    <col width="4.625" bestFit="1" customWidth="1" style="107" min="6168" max="6168"/>
    <col width="7.875" bestFit="1" customWidth="1" style="107" min="6169" max="6169"/>
    <col width="6.125" bestFit="1" customWidth="1" style="107" min="6170" max="6170"/>
    <col width="36.5" bestFit="1" customWidth="1" style="107" min="6171" max="6171"/>
    <col width="29.25" bestFit="1" customWidth="1" style="107" min="6172" max="6172"/>
    <col width="9.875" bestFit="1" customWidth="1" style="107" min="6173" max="6174"/>
    <col width="9.25" bestFit="1" customWidth="1" style="107" min="6175" max="6175"/>
    <col width="2.5" bestFit="1" customWidth="1" style="107" min="6176" max="6176"/>
    <col width="3.25" bestFit="1" customWidth="1" style="107" min="6177" max="6177"/>
    <col width="3.625" bestFit="1" customWidth="1" style="107" min="6178" max="6178"/>
    <col width="3.375" bestFit="1" customWidth="1" style="107" min="6179" max="6179"/>
    <col width="23.625" bestFit="1" customWidth="1" style="107" min="6180" max="6180"/>
    <col width="8.25" bestFit="1" customWidth="1" style="107" min="6181" max="6181"/>
    <col width="6.875" bestFit="1" customWidth="1" style="107" min="6182" max="6182"/>
    <col width="6.375" bestFit="1" customWidth="1" style="107" min="6183" max="6183"/>
    <col width="19.625" bestFit="1" customWidth="1" style="107" min="6184" max="6184"/>
    <col width="51.375" bestFit="1" customWidth="1" style="107" min="6185" max="6185"/>
    <col width="6.25" bestFit="1" customWidth="1" style="107" min="6186" max="6186"/>
    <col width="2.625" bestFit="1" customWidth="1" style="107" min="6187" max="6187"/>
    <col width="5.125" bestFit="1" customWidth="1" style="107" min="6188" max="6188"/>
    <col width="27.375" bestFit="1" customWidth="1" style="107" min="6189" max="6189"/>
    <col width="5.875" bestFit="1" customWidth="1" style="107" min="6190" max="6190"/>
    <col width="3.75" bestFit="1" customWidth="1" style="107" min="6191" max="6191"/>
    <col width="6.25" bestFit="1" customWidth="1" style="107" min="6192" max="6192"/>
    <col width="6.875" bestFit="1" customWidth="1" style="107" min="6193" max="6193"/>
    <col width="6.75" bestFit="1" customWidth="1" style="107" min="6194" max="6194"/>
    <col width="5.875" bestFit="1" customWidth="1" style="107" min="6195" max="6195"/>
    <col width="91.875" bestFit="1" customWidth="1" style="107" min="6196" max="6196"/>
    <col width="131.25" bestFit="1" customWidth="1" style="107" min="6197" max="6197"/>
    <col width="7" bestFit="1" customWidth="1" style="107" min="6198" max="6198"/>
    <col width="7.875" bestFit="1" customWidth="1" style="107" min="6199" max="6199"/>
    <col width="8.5" bestFit="1" customWidth="1" style="107" min="6200" max="6200"/>
    <col width="4.75" bestFit="1" customWidth="1" style="107" min="6201" max="6201"/>
    <col width="23.25" bestFit="1" customWidth="1" style="107" min="6202" max="6202"/>
    <col width="6.875" bestFit="1" customWidth="1" style="107" min="6203" max="6203"/>
    <col width="7.875" bestFit="1" customWidth="1" style="107" min="6204" max="6204"/>
    <col width="7.75" bestFit="1" customWidth="1" style="107" min="6205" max="6205"/>
    <col width="8" bestFit="1" customWidth="1" style="107" min="6206" max="6206"/>
    <col width="4.625" bestFit="1" customWidth="1" style="107" min="6207" max="6207"/>
    <col width="7.875" bestFit="1" customWidth="1" style="107" min="6208" max="6208"/>
    <col width="4" bestFit="1" customWidth="1" style="107" min="6209" max="6209"/>
    <col width="4.625" customWidth="1" style="107" min="6210" max="6210"/>
    <col width="4" bestFit="1" customWidth="1" style="107" min="6211" max="6220"/>
    <col width="3.75" bestFit="1" customWidth="1" style="107" min="6221" max="6221"/>
    <col width="4" bestFit="1" customWidth="1" style="107" min="6222" max="6222"/>
    <col width="3.625" bestFit="1" customWidth="1" style="107" min="6223" max="6223"/>
    <col width="9.875" bestFit="1" customWidth="1" style="107" min="6224" max="6224"/>
    <col width="5" bestFit="1" customWidth="1" style="107" min="6225" max="6225"/>
    <col width="7.125" bestFit="1" customWidth="1" style="107" min="6226" max="6226"/>
    <col width="9.375" bestFit="1" customWidth="1" style="107" min="6227" max="6227"/>
    <col width="10.25" bestFit="1" customWidth="1" style="107" min="6228" max="6228"/>
    <col width="7.375" bestFit="1" customWidth="1" style="107" min="6229" max="6229"/>
    <col width="47.375" bestFit="1" customWidth="1" style="107" min="6230" max="6230"/>
    <col width="73.25" bestFit="1" customWidth="1" style="107" min="6231" max="6231"/>
    <col width="26.625" bestFit="1" customWidth="1" style="107" min="6232" max="6232"/>
    <col width="26.75" bestFit="1" customWidth="1" style="107" min="6233" max="6234"/>
    <col width="6.375" bestFit="1" customWidth="1" style="107" min="6235" max="6235"/>
    <col width="9.875" bestFit="1" customWidth="1" style="107" min="6236" max="6237"/>
    <col width="26.5" bestFit="1" customWidth="1" style="107" min="6238" max="6238"/>
    <col width="9.125" bestFit="1" customWidth="1" style="107" min="6239" max="6239"/>
    <col width="12.625" bestFit="1" customWidth="1" style="107" min="6240" max="6240"/>
    <col width="36.5" bestFit="1" customWidth="1" style="107" min="6241" max="6241"/>
    <col width="3.375" bestFit="1" customWidth="1" style="107" min="6242" max="6242"/>
    <col width="8" bestFit="1" customWidth="1" style="107" min="6243" max="6243"/>
    <col width="5.625" bestFit="1" customWidth="1" style="107" min="6244" max="6244"/>
    <col width="7.875" bestFit="1" customWidth="1" style="107" min="6245" max="6245"/>
    <col width="6" bestFit="1" customWidth="1" style="107" min="6246" max="6246"/>
    <col width="11.25" bestFit="1" customWidth="1" style="107" min="6247" max="6247"/>
    <col width="9" customWidth="1" style="107" min="6248" max="6400"/>
    <col width="13.125" bestFit="1" customWidth="1" style="107" min="6401" max="6401"/>
    <col width="10.875" bestFit="1" customWidth="1" style="107" min="6402" max="6402"/>
    <col width="4.625" bestFit="1" customWidth="1" style="107" min="6403" max="6403"/>
    <col width="7" bestFit="1" customWidth="1" style="107" min="6404" max="6404"/>
    <col width="5.125" bestFit="1" customWidth="1" style="107" min="6405" max="6405"/>
    <col width="3.25" bestFit="1" customWidth="1" style="107" min="6406" max="6410"/>
    <col width="3.5" bestFit="1" customWidth="1" style="107" min="6411" max="6411"/>
    <col width="3.25" bestFit="1" customWidth="1" style="107" min="6412" max="6413"/>
    <col width="4.75" bestFit="1" customWidth="1" style="107" min="6414" max="6415"/>
    <col width="5.25" bestFit="1" customWidth="1" style="107" min="6416" max="6416"/>
    <col width="4.875" bestFit="1" customWidth="1" style="107" min="6417" max="6417"/>
    <col width="7.875" bestFit="1" customWidth="1" style="107" min="6418" max="6418"/>
    <col width="5.125" bestFit="1" customWidth="1" style="107" min="6419" max="6419"/>
    <col width="5.5" bestFit="1" customWidth="1" style="107" min="6420" max="6420"/>
    <col width="5.75" bestFit="1" customWidth="1" style="107" min="6421" max="6421"/>
    <col width="7.875" bestFit="1" customWidth="1" style="107" min="6422" max="6422"/>
    <col width="5.125" bestFit="1" customWidth="1" style="107" min="6423" max="6423"/>
    <col width="4.625" bestFit="1" customWidth="1" style="107" min="6424" max="6424"/>
    <col width="7.875" bestFit="1" customWidth="1" style="107" min="6425" max="6425"/>
    <col width="6.125" bestFit="1" customWidth="1" style="107" min="6426" max="6426"/>
    <col width="36.5" bestFit="1" customWidth="1" style="107" min="6427" max="6427"/>
    <col width="29.25" bestFit="1" customWidth="1" style="107" min="6428" max="6428"/>
    <col width="9.875" bestFit="1" customWidth="1" style="107" min="6429" max="6430"/>
    <col width="9.25" bestFit="1" customWidth="1" style="107" min="6431" max="6431"/>
    <col width="2.5" bestFit="1" customWidth="1" style="107" min="6432" max="6432"/>
    <col width="3.25" bestFit="1" customWidth="1" style="107" min="6433" max="6433"/>
    <col width="3.625" bestFit="1" customWidth="1" style="107" min="6434" max="6434"/>
    <col width="3.375" bestFit="1" customWidth="1" style="107" min="6435" max="6435"/>
    <col width="23.625" bestFit="1" customWidth="1" style="107" min="6436" max="6436"/>
    <col width="8.25" bestFit="1" customWidth="1" style="107" min="6437" max="6437"/>
    <col width="6.875" bestFit="1" customWidth="1" style="107" min="6438" max="6438"/>
    <col width="6.375" bestFit="1" customWidth="1" style="107" min="6439" max="6439"/>
    <col width="19.625" bestFit="1" customWidth="1" style="107" min="6440" max="6440"/>
    <col width="51.375" bestFit="1" customWidth="1" style="107" min="6441" max="6441"/>
    <col width="6.25" bestFit="1" customWidth="1" style="107" min="6442" max="6442"/>
    <col width="2.625" bestFit="1" customWidth="1" style="107" min="6443" max="6443"/>
    <col width="5.125" bestFit="1" customWidth="1" style="107" min="6444" max="6444"/>
    <col width="27.375" bestFit="1" customWidth="1" style="107" min="6445" max="6445"/>
    <col width="5.875" bestFit="1" customWidth="1" style="107" min="6446" max="6446"/>
    <col width="3.75" bestFit="1" customWidth="1" style="107" min="6447" max="6447"/>
    <col width="6.25" bestFit="1" customWidth="1" style="107" min="6448" max="6448"/>
    <col width="6.875" bestFit="1" customWidth="1" style="107" min="6449" max="6449"/>
    <col width="6.75" bestFit="1" customWidth="1" style="107" min="6450" max="6450"/>
    <col width="5.875" bestFit="1" customWidth="1" style="107" min="6451" max="6451"/>
    <col width="91.875" bestFit="1" customWidth="1" style="107" min="6452" max="6452"/>
    <col width="131.25" bestFit="1" customWidth="1" style="107" min="6453" max="6453"/>
    <col width="7" bestFit="1" customWidth="1" style="107" min="6454" max="6454"/>
    <col width="7.875" bestFit="1" customWidth="1" style="107" min="6455" max="6455"/>
    <col width="8.5" bestFit="1" customWidth="1" style="107" min="6456" max="6456"/>
    <col width="4.75" bestFit="1" customWidth="1" style="107" min="6457" max="6457"/>
    <col width="23.25" bestFit="1" customWidth="1" style="107" min="6458" max="6458"/>
    <col width="6.875" bestFit="1" customWidth="1" style="107" min="6459" max="6459"/>
    <col width="7.875" bestFit="1" customWidth="1" style="107" min="6460" max="6460"/>
    <col width="7.75" bestFit="1" customWidth="1" style="107" min="6461" max="6461"/>
    <col width="8" bestFit="1" customWidth="1" style="107" min="6462" max="6462"/>
    <col width="4.625" bestFit="1" customWidth="1" style="107" min="6463" max="6463"/>
    <col width="7.875" bestFit="1" customWidth="1" style="107" min="6464" max="6464"/>
    <col width="4" bestFit="1" customWidth="1" style="107" min="6465" max="6465"/>
    <col width="4.625" customWidth="1" style="107" min="6466" max="6466"/>
    <col width="4" bestFit="1" customWidth="1" style="107" min="6467" max="6476"/>
    <col width="3.75" bestFit="1" customWidth="1" style="107" min="6477" max="6477"/>
    <col width="4" bestFit="1" customWidth="1" style="107" min="6478" max="6478"/>
    <col width="3.625" bestFit="1" customWidth="1" style="107" min="6479" max="6479"/>
    <col width="9.875" bestFit="1" customWidth="1" style="107" min="6480" max="6480"/>
    <col width="5" bestFit="1" customWidth="1" style="107" min="6481" max="6481"/>
    <col width="7.125" bestFit="1" customWidth="1" style="107" min="6482" max="6482"/>
    <col width="9.375" bestFit="1" customWidth="1" style="107" min="6483" max="6483"/>
    <col width="10.25" bestFit="1" customWidth="1" style="107" min="6484" max="6484"/>
    <col width="7.375" bestFit="1" customWidth="1" style="107" min="6485" max="6485"/>
    <col width="47.375" bestFit="1" customWidth="1" style="107" min="6486" max="6486"/>
    <col width="73.25" bestFit="1" customWidth="1" style="107" min="6487" max="6487"/>
    <col width="26.625" bestFit="1" customWidth="1" style="107" min="6488" max="6488"/>
    <col width="26.75" bestFit="1" customWidth="1" style="107" min="6489" max="6490"/>
    <col width="6.375" bestFit="1" customWidth="1" style="107" min="6491" max="6491"/>
    <col width="9.875" bestFit="1" customWidth="1" style="107" min="6492" max="6493"/>
    <col width="26.5" bestFit="1" customWidth="1" style="107" min="6494" max="6494"/>
    <col width="9.125" bestFit="1" customWidth="1" style="107" min="6495" max="6495"/>
    <col width="12.625" bestFit="1" customWidth="1" style="107" min="6496" max="6496"/>
    <col width="36.5" bestFit="1" customWidth="1" style="107" min="6497" max="6497"/>
    <col width="3.375" bestFit="1" customWidth="1" style="107" min="6498" max="6498"/>
    <col width="8" bestFit="1" customWidth="1" style="107" min="6499" max="6499"/>
    <col width="5.625" bestFit="1" customWidth="1" style="107" min="6500" max="6500"/>
    <col width="7.875" bestFit="1" customWidth="1" style="107" min="6501" max="6501"/>
    <col width="6" bestFit="1" customWidth="1" style="107" min="6502" max="6502"/>
    <col width="11.25" bestFit="1" customWidth="1" style="107" min="6503" max="6503"/>
    <col width="9" customWidth="1" style="107" min="6504" max="6656"/>
    <col width="13.125" bestFit="1" customWidth="1" style="107" min="6657" max="6657"/>
    <col width="10.875" bestFit="1" customWidth="1" style="107" min="6658" max="6658"/>
    <col width="4.625" bestFit="1" customWidth="1" style="107" min="6659" max="6659"/>
    <col width="7" bestFit="1" customWidth="1" style="107" min="6660" max="6660"/>
    <col width="5.125" bestFit="1" customWidth="1" style="107" min="6661" max="6661"/>
    <col width="3.25" bestFit="1" customWidth="1" style="107" min="6662" max="6666"/>
    <col width="3.5" bestFit="1" customWidth="1" style="107" min="6667" max="6667"/>
    <col width="3.25" bestFit="1" customWidth="1" style="107" min="6668" max="6669"/>
    <col width="4.75" bestFit="1" customWidth="1" style="107" min="6670" max="6671"/>
    <col width="5.25" bestFit="1" customWidth="1" style="107" min="6672" max="6672"/>
    <col width="4.875" bestFit="1" customWidth="1" style="107" min="6673" max="6673"/>
    <col width="7.875" bestFit="1" customWidth="1" style="107" min="6674" max="6674"/>
    <col width="5.125" bestFit="1" customWidth="1" style="107" min="6675" max="6675"/>
    <col width="5.5" bestFit="1" customWidth="1" style="107" min="6676" max="6676"/>
    <col width="5.75" bestFit="1" customWidth="1" style="107" min="6677" max="6677"/>
    <col width="7.875" bestFit="1" customWidth="1" style="107" min="6678" max="6678"/>
    <col width="5.125" bestFit="1" customWidth="1" style="107" min="6679" max="6679"/>
    <col width="4.625" bestFit="1" customWidth="1" style="107" min="6680" max="6680"/>
    <col width="7.875" bestFit="1" customWidth="1" style="107" min="6681" max="6681"/>
    <col width="6.125" bestFit="1" customWidth="1" style="107" min="6682" max="6682"/>
    <col width="36.5" bestFit="1" customWidth="1" style="107" min="6683" max="6683"/>
    <col width="29.25" bestFit="1" customWidth="1" style="107" min="6684" max="6684"/>
    <col width="9.875" bestFit="1" customWidth="1" style="107" min="6685" max="6686"/>
    <col width="9.25" bestFit="1" customWidth="1" style="107" min="6687" max="6687"/>
    <col width="2.5" bestFit="1" customWidth="1" style="107" min="6688" max="6688"/>
    <col width="3.25" bestFit="1" customWidth="1" style="107" min="6689" max="6689"/>
    <col width="3.625" bestFit="1" customWidth="1" style="107" min="6690" max="6690"/>
    <col width="3.375" bestFit="1" customWidth="1" style="107" min="6691" max="6691"/>
    <col width="23.625" bestFit="1" customWidth="1" style="107" min="6692" max="6692"/>
    <col width="8.25" bestFit="1" customWidth="1" style="107" min="6693" max="6693"/>
    <col width="6.875" bestFit="1" customWidth="1" style="107" min="6694" max="6694"/>
    <col width="6.375" bestFit="1" customWidth="1" style="107" min="6695" max="6695"/>
    <col width="19.625" bestFit="1" customWidth="1" style="107" min="6696" max="6696"/>
    <col width="51.375" bestFit="1" customWidth="1" style="107" min="6697" max="6697"/>
    <col width="6.25" bestFit="1" customWidth="1" style="107" min="6698" max="6698"/>
    <col width="2.625" bestFit="1" customWidth="1" style="107" min="6699" max="6699"/>
    <col width="5.125" bestFit="1" customWidth="1" style="107" min="6700" max="6700"/>
    <col width="27.375" bestFit="1" customWidth="1" style="107" min="6701" max="6701"/>
    <col width="5.875" bestFit="1" customWidth="1" style="107" min="6702" max="6702"/>
    <col width="3.75" bestFit="1" customWidth="1" style="107" min="6703" max="6703"/>
    <col width="6.25" bestFit="1" customWidth="1" style="107" min="6704" max="6704"/>
    <col width="6.875" bestFit="1" customWidth="1" style="107" min="6705" max="6705"/>
    <col width="6.75" bestFit="1" customWidth="1" style="107" min="6706" max="6706"/>
    <col width="5.875" bestFit="1" customWidth="1" style="107" min="6707" max="6707"/>
    <col width="91.875" bestFit="1" customWidth="1" style="107" min="6708" max="6708"/>
    <col width="131.25" bestFit="1" customWidth="1" style="107" min="6709" max="6709"/>
    <col width="7" bestFit="1" customWidth="1" style="107" min="6710" max="6710"/>
    <col width="7.875" bestFit="1" customWidth="1" style="107" min="6711" max="6711"/>
    <col width="8.5" bestFit="1" customWidth="1" style="107" min="6712" max="6712"/>
    <col width="4.75" bestFit="1" customWidth="1" style="107" min="6713" max="6713"/>
    <col width="23.25" bestFit="1" customWidth="1" style="107" min="6714" max="6714"/>
    <col width="6.875" bestFit="1" customWidth="1" style="107" min="6715" max="6715"/>
    <col width="7.875" bestFit="1" customWidth="1" style="107" min="6716" max="6716"/>
    <col width="7.75" bestFit="1" customWidth="1" style="107" min="6717" max="6717"/>
    <col width="8" bestFit="1" customWidth="1" style="107" min="6718" max="6718"/>
    <col width="4.625" bestFit="1" customWidth="1" style="107" min="6719" max="6719"/>
    <col width="7.875" bestFit="1" customWidth="1" style="107" min="6720" max="6720"/>
    <col width="4" bestFit="1" customWidth="1" style="107" min="6721" max="6721"/>
    <col width="4.625" customWidth="1" style="107" min="6722" max="6722"/>
    <col width="4" bestFit="1" customWidth="1" style="107" min="6723" max="6732"/>
    <col width="3.75" bestFit="1" customWidth="1" style="107" min="6733" max="6733"/>
    <col width="4" bestFit="1" customWidth="1" style="107" min="6734" max="6734"/>
    <col width="3.625" bestFit="1" customWidth="1" style="107" min="6735" max="6735"/>
    <col width="9.875" bestFit="1" customWidth="1" style="107" min="6736" max="6736"/>
    <col width="5" bestFit="1" customWidth="1" style="107" min="6737" max="6737"/>
    <col width="7.125" bestFit="1" customWidth="1" style="107" min="6738" max="6738"/>
    <col width="9.375" bestFit="1" customWidth="1" style="107" min="6739" max="6739"/>
    <col width="10.25" bestFit="1" customWidth="1" style="107" min="6740" max="6740"/>
    <col width="7.375" bestFit="1" customWidth="1" style="107" min="6741" max="6741"/>
    <col width="47.375" bestFit="1" customWidth="1" style="107" min="6742" max="6742"/>
    <col width="73.25" bestFit="1" customWidth="1" style="107" min="6743" max="6743"/>
    <col width="26.625" bestFit="1" customWidth="1" style="107" min="6744" max="6744"/>
    <col width="26.75" bestFit="1" customWidth="1" style="107" min="6745" max="6746"/>
    <col width="6.375" bestFit="1" customWidth="1" style="107" min="6747" max="6747"/>
    <col width="9.875" bestFit="1" customWidth="1" style="107" min="6748" max="6749"/>
    <col width="26.5" bestFit="1" customWidth="1" style="107" min="6750" max="6750"/>
    <col width="9.125" bestFit="1" customWidth="1" style="107" min="6751" max="6751"/>
    <col width="12.625" bestFit="1" customWidth="1" style="107" min="6752" max="6752"/>
    <col width="36.5" bestFit="1" customWidth="1" style="107" min="6753" max="6753"/>
    <col width="3.375" bestFit="1" customWidth="1" style="107" min="6754" max="6754"/>
    <col width="8" bestFit="1" customWidth="1" style="107" min="6755" max="6755"/>
    <col width="5.625" bestFit="1" customWidth="1" style="107" min="6756" max="6756"/>
    <col width="7.875" bestFit="1" customWidth="1" style="107" min="6757" max="6757"/>
    <col width="6" bestFit="1" customWidth="1" style="107" min="6758" max="6758"/>
    <col width="11.25" bestFit="1" customWidth="1" style="107" min="6759" max="6759"/>
    <col width="9" customWidth="1" style="107" min="6760" max="6912"/>
    <col width="13.125" bestFit="1" customWidth="1" style="107" min="6913" max="6913"/>
    <col width="10.875" bestFit="1" customWidth="1" style="107" min="6914" max="6914"/>
    <col width="4.625" bestFit="1" customWidth="1" style="107" min="6915" max="6915"/>
    <col width="7" bestFit="1" customWidth="1" style="107" min="6916" max="6916"/>
    <col width="5.125" bestFit="1" customWidth="1" style="107" min="6917" max="6917"/>
    <col width="3.25" bestFit="1" customWidth="1" style="107" min="6918" max="6922"/>
    <col width="3.5" bestFit="1" customWidth="1" style="107" min="6923" max="6923"/>
    <col width="3.25" bestFit="1" customWidth="1" style="107" min="6924" max="6925"/>
    <col width="4.75" bestFit="1" customWidth="1" style="107" min="6926" max="6927"/>
    <col width="5.25" bestFit="1" customWidth="1" style="107" min="6928" max="6928"/>
    <col width="4.875" bestFit="1" customWidth="1" style="107" min="6929" max="6929"/>
    <col width="7.875" bestFit="1" customWidth="1" style="107" min="6930" max="6930"/>
    <col width="5.125" bestFit="1" customWidth="1" style="107" min="6931" max="6931"/>
    <col width="5.5" bestFit="1" customWidth="1" style="107" min="6932" max="6932"/>
    <col width="5.75" bestFit="1" customWidth="1" style="107" min="6933" max="6933"/>
    <col width="7.875" bestFit="1" customWidth="1" style="107" min="6934" max="6934"/>
    <col width="5.125" bestFit="1" customWidth="1" style="107" min="6935" max="6935"/>
    <col width="4.625" bestFit="1" customWidth="1" style="107" min="6936" max="6936"/>
    <col width="7.875" bestFit="1" customWidth="1" style="107" min="6937" max="6937"/>
    <col width="6.125" bestFit="1" customWidth="1" style="107" min="6938" max="6938"/>
    <col width="36.5" bestFit="1" customWidth="1" style="107" min="6939" max="6939"/>
    <col width="29.25" bestFit="1" customWidth="1" style="107" min="6940" max="6940"/>
    <col width="9.875" bestFit="1" customWidth="1" style="107" min="6941" max="6942"/>
    <col width="9.25" bestFit="1" customWidth="1" style="107" min="6943" max="6943"/>
    <col width="2.5" bestFit="1" customWidth="1" style="107" min="6944" max="6944"/>
    <col width="3.25" bestFit="1" customWidth="1" style="107" min="6945" max="6945"/>
    <col width="3.625" bestFit="1" customWidth="1" style="107" min="6946" max="6946"/>
    <col width="3.375" bestFit="1" customWidth="1" style="107" min="6947" max="6947"/>
    <col width="23.625" bestFit="1" customWidth="1" style="107" min="6948" max="6948"/>
    <col width="8.25" bestFit="1" customWidth="1" style="107" min="6949" max="6949"/>
    <col width="6.875" bestFit="1" customWidth="1" style="107" min="6950" max="6950"/>
    <col width="6.375" bestFit="1" customWidth="1" style="107" min="6951" max="6951"/>
    <col width="19.625" bestFit="1" customWidth="1" style="107" min="6952" max="6952"/>
    <col width="51.375" bestFit="1" customWidth="1" style="107" min="6953" max="6953"/>
    <col width="6.25" bestFit="1" customWidth="1" style="107" min="6954" max="6954"/>
    <col width="2.625" bestFit="1" customWidth="1" style="107" min="6955" max="6955"/>
    <col width="5.125" bestFit="1" customWidth="1" style="107" min="6956" max="6956"/>
    <col width="27.375" bestFit="1" customWidth="1" style="107" min="6957" max="6957"/>
    <col width="5.875" bestFit="1" customWidth="1" style="107" min="6958" max="6958"/>
    <col width="3.75" bestFit="1" customWidth="1" style="107" min="6959" max="6959"/>
    <col width="6.25" bestFit="1" customWidth="1" style="107" min="6960" max="6960"/>
    <col width="6.875" bestFit="1" customWidth="1" style="107" min="6961" max="6961"/>
    <col width="6.75" bestFit="1" customWidth="1" style="107" min="6962" max="6962"/>
    <col width="5.875" bestFit="1" customWidth="1" style="107" min="6963" max="6963"/>
    <col width="91.875" bestFit="1" customWidth="1" style="107" min="6964" max="6964"/>
    <col width="131.25" bestFit="1" customWidth="1" style="107" min="6965" max="6965"/>
    <col width="7" bestFit="1" customWidth="1" style="107" min="6966" max="6966"/>
    <col width="7.875" bestFit="1" customWidth="1" style="107" min="6967" max="6967"/>
    <col width="8.5" bestFit="1" customWidth="1" style="107" min="6968" max="6968"/>
    <col width="4.75" bestFit="1" customWidth="1" style="107" min="6969" max="6969"/>
    <col width="23.25" bestFit="1" customWidth="1" style="107" min="6970" max="6970"/>
    <col width="6.875" bestFit="1" customWidth="1" style="107" min="6971" max="6971"/>
    <col width="7.875" bestFit="1" customWidth="1" style="107" min="6972" max="6972"/>
    <col width="7.75" bestFit="1" customWidth="1" style="107" min="6973" max="6973"/>
    <col width="8" bestFit="1" customWidth="1" style="107" min="6974" max="6974"/>
    <col width="4.625" bestFit="1" customWidth="1" style="107" min="6975" max="6975"/>
    <col width="7.875" bestFit="1" customWidth="1" style="107" min="6976" max="6976"/>
    <col width="4" bestFit="1" customWidth="1" style="107" min="6977" max="6977"/>
    <col width="4.625" customWidth="1" style="107" min="6978" max="6978"/>
    <col width="4" bestFit="1" customWidth="1" style="107" min="6979" max="6988"/>
    <col width="3.75" bestFit="1" customWidth="1" style="107" min="6989" max="6989"/>
    <col width="4" bestFit="1" customWidth="1" style="107" min="6990" max="6990"/>
    <col width="3.625" bestFit="1" customWidth="1" style="107" min="6991" max="6991"/>
    <col width="9.875" bestFit="1" customWidth="1" style="107" min="6992" max="6992"/>
    <col width="5" bestFit="1" customWidth="1" style="107" min="6993" max="6993"/>
    <col width="7.125" bestFit="1" customWidth="1" style="107" min="6994" max="6994"/>
    <col width="9.375" bestFit="1" customWidth="1" style="107" min="6995" max="6995"/>
    <col width="10.25" bestFit="1" customWidth="1" style="107" min="6996" max="6996"/>
    <col width="7.375" bestFit="1" customWidth="1" style="107" min="6997" max="6997"/>
    <col width="47.375" bestFit="1" customWidth="1" style="107" min="6998" max="6998"/>
    <col width="73.25" bestFit="1" customWidth="1" style="107" min="6999" max="6999"/>
    <col width="26.625" bestFit="1" customWidth="1" style="107" min="7000" max="7000"/>
    <col width="26.75" bestFit="1" customWidth="1" style="107" min="7001" max="7002"/>
    <col width="6.375" bestFit="1" customWidth="1" style="107" min="7003" max="7003"/>
    <col width="9.875" bestFit="1" customWidth="1" style="107" min="7004" max="7005"/>
    <col width="26.5" bestFit="1" customWidth="1" style="107" min="7006" max="7006"/>
    <col width="9.125" bestFit="1" customWidth="1" style="107" min="7007" max="7007"/>
    <col width="12.625" bestFit="1" customWidth="1" style="107" min="7008" max="7008"/>
    <col width="36.5" bestFit="1" customWidth="1" style="107" min="7009" max="7009"/>
    <col width="3.375" bestFit="1" customWidth="1" style="107" min="7010" max="7010"/>
    <col width="8" bestFit="1" customWidth="1" style="107" min="7011" max="7011"/>
    <col width="5.625" bestFit="1" customWidth="1" style="107" min="7012" max="7012"/>
    <col width="7.875" bestFit="1" customWidth="1" style="107" min="7013" max="7013"/>
    <col width="6" bestFit="1" customWidth="1" style="107" min="7014" max="7014"/>
    <col width="11.25" bestFit="1" customWidth="1" style="107" min="7015" max="7015"/>
    <col width="9" customWidth="1" style="107" min="7016" max="7168"/>
    <col width="13.125" bestFit="1" customWidth="1" style="107" min="7169" max="7169"/>
    <col width="10.875" bestFit="1" customWidth="1" style="107" min="7170" max="7170"/>
    <col width="4.625" bestFit="1" customWidth="1" style="107" min="7171" max="7171"/>
    <col width="7" bestFit="1" customWidth="1" style="107" min="7172" max="7172"/>
    <col width="5.125" bestFit="1" customWidth="1" style="107" min="7173" max="7173"/>
    <col width="3.25" bestFit="1" customWidth="1" style="107" min="7174" max="7178"/>
    <col width="3.5" bestFit="1" customWidth="1" style="107" min="7179" max="7179"/>
    <col width="3.25" bestFit="1" customWidth="1" style="107" min="7180" max="7181"/>
    <col width="4.75" bestFit="1" customWidth="1" style="107" min="7182" max="7183"/>
    <col width="5.25" bestFit="1" customWidth="1" style="107" min="7184" max="7184"/>
    <col width="4.875" bestFit="1" customWidth="1" style="107" min="7185" max="7185"/>
    <col width="7.875" bestFit="1" customWidth="1" style="107" min="7186" max="7186"/>
    <col width="5.125" bestFit="1" customWidth="1" style="107" min="7187" max="7187"/>
    <col width="5.5" bestFit="1" customWidth="1" style="107" min="7188" max="7188"/>
    <col width="5.75" bestFit="1" customWidth="1" style="107" min="7189" max="7189"/>
    <col width="7.875" bestFit="1" customWidth="1" style="107" min="7190" max="7190"/>
    <col width="5.125" bestFit="1" customWidth="1" style="107" min="7191" max="7191"/>
    <col width="4.625" bestFit="1" customWidth="1" style="107" min="7192" max="7192"/>
    <col width="7.875" bestFit="1" customWidth="1" style="107" min="7193" max="7193"/>
    <col width="6.125" bestFit="1" customWidth="1" style="107" min="7194" max="7194"/>
    <col width="36.5" bestFit="1" customWidth="1" style="107" min="7195" max="7195"/>
    <col width="29.25" bestFit="1" customWidth="1" style="107" min="7196" max="7196"/>
    <col width="9.875" bestFit="1" customWidth="1" style="107" min="7197" max="7198"/>
    <col width="9.25" bestFit="1" customWidth="1" style="107" min="7199" max="7199"/>
    <col width="2.5" bestFit="1" customWidth="1" style="107" min="7200" max="7200"/>
    <col width="3.25" bestFit="1" customWidth="1" style="107" min="7201" max="7201"/>
    <col width="3.625" bestFit="1" customWidth="1" style="107" min="7202" max="7202"/>
    <col width="3.375" bestFit="1" customWidth="1" style="107" min="7203" max="7203"/>
    <col width="23.625" bestFit="1" customWidth="1" style="107" min="7204" max="7204"/>
    <col width="8.25" bestFit="1" customWidth="1" style="107" min="7205" max="7205"/>
    <col width="6.875" bestFit="1" customWidth="1" style="107" min="7206" max="7206"/>
    <col width="6.375" bestFit="1" customWidth="1" style="107" min="7207" max="7207"/>
    <col width="19.625" bestFit="1" customWidth="1" style="107" min="7208" max="7208"/>
    <col width="51.375" bestFit="1" customWidth="1" style="107" min="7209" max="7209"/>
    <col width="6.25" bestFit="1" customWidth="1" style="107" min="7210" max="7210"/>
    <col width="2.625" bestFit="1" customWidth="1" style="107" min="7211" max="7211"/>
    <col width="5.125" bestFit="1" customWidth="1" style="107" min="7212" max="7212"/>
    <col width="27.375" bestFit="1" customWidth="1" style="107" min="7213" max="7213"/>
    <col width="5.875" bestFit="1" customWidth="1" style="107" min="7214" max="7214"/>
    <col width="3.75" bestFit="1" customWidth="1" style="107" min="7215" max="7215"/>
    <col width="6.25" bestFit="1" customWidth="1" style="107" min="7216" max="7216"/>
    <col width="6.875" bestFit="1" customWidth="1" style="107" min="7217" max="7217"/>
    <col width="6.75" bestFit="1" customWidth="1" style="107" min="7218" max="7218"/>
    <col width="5.875" bestFit="1" customWidth="1" style="107" min="7219" max="7219"/>
    <col width="91.875" bestFit="1" customWidth="1" style="107" min="7220" max="7220"/>
    <col width="131.25" bestFit="1" customWidth="1" style="107" min="7221" max="7221"/>
    <col width="7" bestFit="1" customWidth="1" style="107" min="7222" max="7222"/>
    <col width="7.875" bestFit="1" customWidth="1" style="107" min="7223" max="7223"/>
    <col width="8.5" bestFit="1" customWidth="1" style="107" min="7224" max="7224"/>
    <col width="4.75" bestFit="1" customWidth="1" style="107" min="7225" max="7225"/>
    <col width="23.25" bestFit="1" customWidth="1" style="107" min="7226" max="7226"/>
    <col width="6.875" bestFit="1" customWidth="1" style="107" min="7227" max="7227"/>
    <col width="7.875" bestFit="1" customWidth="1" style="107" min="7228" max="7228"/>
    <col width="7.75" bestFit="1" customWidth="1" style="107" min="7229" max="7229"/>
    <col width="8" bestFit="1" customWidth="1" style="107" min="7230" max="7230"/>
    <col width="4.625" bestFit="1" customWidth="1" style="107" min="7231" max="7231"/>
    <col width="7.875" bestFit="1" customWidth="1" style="107" min="7232" max="7232"/>
    <col width="4" bestFit="1" customWidth="1" style="107" min="7233" max="7233"/>
    <col width="4.625" customWidth="1" style="107" min="7234" max="7234"/>
    <col width="4" bestFit="1" customWidth="1" style="107" min="7235" max="7244"/>
    <col width="3.75" bestFit="1" customWidth="1" style="107" min="7245" max="7245"/>
    <col width="4" bestFit="1" customWidth="1" style="107" min="7246" max="7246"/>
    <col width="3.625" bestFit="1" customWidth="1" style="107" min="7247" max="7247"/>
    <col width="9.875" bestFit="1" customWidth="1" style="107" min="7248" max="7248"/>
    <col width="5" bestFit="1" customWidth="1" style="107" min="7249" max="7249"/>
    <col width="7.125" bestFit="1" customWidth="1" style="107" min="7250" max="7250"/>
    <col width="9.375" bestFit="1" customWidth="1" style="107" min="7251" max="7251"/>
    <col width="10.25" bestFit="1" customWidth="1" style="107" min="7252" max="7252"/>
    <col width="7.375" bestFit="1" customWidth="1" style="107" min="7253" max="7253"/>
    <col width="47.375" bestFit="1" customWidth="1" style="107" min="7254" max="7254"/>
    <col width="73.25" bestFit="1" customWidth="1" style="107" min="7255" max="7255"/>
    <col width="26.625" bestFit="1" customWidth="1" style="107" min="7256" max="7256"/>
    <col width="26.75" bestFit="1" customWidth="1" style="107" min="7257" max="7258"/>
    <col width="6.375" bestFit="1" customWidth="1" style="107" min="7259" max="7259"/>
    <col width="9.875" bestFit="1" customWidth="1" style="107" min="7260" max="7261"/>
    <col width="26.5" bestFit="1" customWidth="1" style="107" min="7262" max="7262"/>
    <col width="9.125" bestFit="1" customWidth="1" style="107" min="7263" max="7263"/>
    <col width="12.625" bestFit="1" customWidth="1" style="107" min="7264" max="7264"/>
    <col width="36.5" bestFit="1" customWidth="1" style="107" min="7265" max="7265"/>
    <col width="3.375" bestFit="1" customWidth="1" style="107" min="7266" max="7266"/>
    <col width="8" bestFit="1" customWidth="1" style="107" min="7267" max="7267"/>
    <col width="5.625" bestFit="1" customWidth="1" style="107" min="7268" max="7268"/>
    <col width="7.875" bestFit="1" customWidth="1" style="107" min="7269" max="7269"/>
    <col width="6" bestFit="1" customWidth="1" style="107" min="7270" max="7270"/>
    <col width="11.25" bestFit="1" customWidth="1" style="107" min="7271" max="7271"/>
    <col width="9" customWidth="1" style="107" min="7272" max="7424"/>
    <col width="13.125" bestFit="1" customWidth="1" style="107" min="7425" max="7425"/>
    <col width="10.875" bestFit="1" customWidth="1" style="107" min="7426" max="7426"/>
    <col width="4.625" bestFit="1" customWidth="1" style="107" min="7427" max="7427"/>
    <col width="7" bestFit="1" customWidth="1" style="107" min="7428" max="7428"/>
    <col width="5.125" bestFit="1" customWidth="1" style="107" min="7429" max="7429"/>
    <col width="3.25" bestFit="1" customWidth="1" style="107" min="7430" max="7434"/>
    <col width="3.5" bestFit="1" customWidth="1" style="107" min="7435" max="7435"/>
    <col width="3.25" bestFit="1" customWidth="1" style="107" min="7436" max="7437"/>
    <col width="4.75" bestFit="1" customWidth="1" style="107" min="7438" max="7439"/>
    <col width="5.25" bestFit="1" customWidth="1" style="107" min="7440" max="7440"/>
    <col width="4.875" bestFit="1" customWidth="1" style="107" min="7441" max="7441"/>
    <col width="7.875" bestFit="1" customWidth="1" style="107" min="7442" max="7442"/>
    <col width="5.125" bestFit="1" customWidth="1" style="107" min="7443" max="7443"/>
    <col width="5.5" bestFit="1" customWidth="1" style="107" min="7444" max="7444"/>
    <col width="5.75" bestFit="1" customWidth="1" style="107" min="7445" max="7445"/>
    <col width="7.875" bestFit="1" customWidth="1" style="107" min="7446" max="7446"/>
    <col width="5.125" bestFit="1" customWidth="1" style="107" min="7447" max="7447"/>
    <col width="4.625" bestFit="1" customWidth="1" style="107" min="7448" max="7448"/>
    <col width="7.875" bestFit="1" customWidth="1" style="107" min="7449" max="7449"/>
    <col width="6.125" bestFit="1" customWidth="1" style="107" min="7450" max="7450"/>
    <col width="36.5" bestFit="1" customWidth="1" style="107" min="7451" max="7451"/>
    <col width="29.25" bestFit="1" customWidth="1" style="107" min="7452" max="7452"/>
    <col width="9.875" bestFit="1" customWidth="1" style="107" min="7453" max="7454"/>
    <col width="9.25" bestFit="1" customWidth="1" style="107" min="7455" max="7455"/>
    <col width="2.5" bestFit="1" customWidth="1" style="107" min="7456" max="7456"/>
    <col width="3.25" bestFit="1" customWidth="1" style="107" min="7457" max="7457"/>
    <col width="3.625" bestFit="1" customWidth="1" style="107" min="7458" max="7458"/>
    <col width="3.375" bestFit="1" customWidth="1" style="107" min="7459" max="7459"/>
    <col width="23.625" bestFit="1" customWidth="1" style="107" min="7460" max="7460"/>
    <col width="8.25" bestFit="1" customWidth="1" style="107" min="7461" max="7461"/>
    <col width="6.875" bestFit="1" customWidth="1" style="107" min="7462" max="7462"/>
    <col width="6.375" bestFit="1" customWidth="1" style="107" min="7463" max="7463"/>
    <col width="19.625" bestFit="1" customWidth="1" style="107" min="7464" max="7464"/>
    <col width="51.375" bestFit="1" customWidth="1" style="107" min="7465" max="7465"/>
    <col width="6.25" bestFit="1" customWidth="1" style="107" min="7466" max="7466"/>
    <col width="2.625" bestFit="1" customWidth="1" style="107" min="7467" max="7467"/>
    <col width="5.125" bestFit="1" customWidth="1" style="107" min="7468" max="7468"/>
    <col width="27.375" bestFit="1" customWidth="1" style="107" min="7469" max="7469"/>
    <col width="5.875" bestFit="1" customWidth="1" style="107" min="7470" max="7470"/>
    <col width="3.75" bestFit="1" customWidth="1" style="107" min="7471" max="7471"/>
    <col width="6.25" bestFit="1" customWidth="1" style="107" min="7472" max="7472"/>
    <col width="6.875" bestFit="1" customWidth="1" style="107" min="7473" max="7473"/>
    <col width="6.75" bestFit="1" customWidth="1" style="107" min="7474" max="7474"/>
    <col width="5.875" bestFit="1" customWidth="1" style="107" min="7475" max="7475"/>
    <col width="91.875" bestFit="1" customWidth="1" style="107" min="7476" max="7476"/>
    <col width="131.25" bestFit="1" customWidth="1" style="107" min="7477" max="7477"/>
    <col width="7" bestFit="1" customWidth="1" style="107" min="7478" max="7478"/>
    <col width="7.875" bestFit="1" customWidth="1" style="107" min="7479" max="7479"/>
    <col width="8.5" bestFit="1" customWidth="1" style="107" min="7480" max="7480"/>
    <col width="4.75" bestFit="1" customWidth="1" style="107" min="7481" max="7481"/>
    <col width="23.25" bestFit="1" customWidth="1" style="107" min="7482" max="7482"/>
    <col width="6.875" bestFit="1" customWidth="1" style="107" min="7483" max="7483"/>
    <col width="7.875" bestFit="1" customWidth="1" style="107" min="7484" max="7484"/>
    <col width="7.75" bestFit="1" customWidth="1" style="107" min="7485" max="7485"/>
    <col width="8" bestFit="1" customWidth="1" style="107" min="7486" max="7486"/>
    <col width="4.625" bestFit="1" customWidth="1" style="107" min="7487" max="7487"/>
    <col width="7.875" bestFit="1" customWidth="1" style="107" min="7488" max="7488"/>
    <col width="4" bestFit="1" customWidth="1" style="107" min="7489" max="7489"/>
    <col width="4.625" customWidth="1" style="107" min="7490" max="7490"/>
    <col width="4" bestFit="1" customWidth="1" style="107" min="7491" max="7500"/>
    <col width="3.75" bestFit="1" customWidth="1" style="107" min="7501" max="7501"/>
    <col width="4" bestFit="1" customWidth="1" style="107" min="7502" max="7502"/>
    <col width="3.625" bestFit="1" customWidth="1" style="107" min="7503" max="7503"/>
    <col width="9.875" bestFit="1" customWidth="1" style="107" min="7504" max="7504"/>
    <col width="5" bestFit="1" customWidth="1" style="107" min="7505" max="7505"/>
    <col width="7.125" bestFit="1" customWidth="1" style="107" min="7506" max="7506"/>
    <col width="9.375" bestFit="1" customWidth="1" style="107" min="7507" max="7507"/>
    <col width="10.25" bestFit="1" customWidth="1" style="107" min="7508" max="7508"/>
    <col width="7.375" bestFit="1" customWidth="1" style="107" min="7509" max="7509"/>
    <col width="47.375" bestFit="1" customWidth="1" style="107" min="7510" max="7510"/>
    <col width="73.25" bestFit="1" customWidth="1" style="107" min="7511" max="7511"/>
    <col width="26.625" bestFit="1" customWidth="1" style="107" min="7512" max="7512"/>
    <col width="26.75" bestFit="1" customWidth="1" style="107" min="7513" max="7514"/>
    <col width="6.375" bestFit="1" customWidth="1" style="107" min="7515" max="7515"/>
    <col width="9.875" bestFit="1" customWidth="1" style="107" min="7516" max="7517"/>
    <col width="26.5" bestFit="1" customWidth="1" style="107" min="7518" max="7518"/>
    <col width="9.125" bestFit="1" customWidth="1" style="107" min="7519" max="7519"/>
    <col width="12.625" bestFit="1" customWidth="1" style="107" min="7520" max="7520"/>
    <col width="36.5" bestFit="1" customWidth="1" style="107" min="7521" max="7521"/>
    <col width="3.375" bestFit="1" customWidth="1" style="107" min="7522" max="7522"/>
    <col width="8" bestFit="1" customWidth="1" style="107" min="7523" max="7523"/>
    <col width="5.625" bestFit="1" customWidth="1" style="107" min="7524" max="7524"/>
    <col width="7.875" bestFit="1" customWidth="1" style="107" min="7525" max="7525"/>
    <col width="6" bestFit="1" customWidth="1" style="107" min="7526" max="7526"/>
    <col width="11.25" bestFit="1" customWidth="1" style="107" min="7527" max="7527"/>
    <col width="9" customWidth="1" style="107" min="7528" max="7680"/>
    <col width="13.125" bestFit="1" customWidth="1" style="107" min="7681" max="7681"/>
    <col width="10.875" bestFit="1" customWidth="1" style="107" min="7682" max="7682"/>
    <col width="4.625" bestFit="1" customWidth="1" style="107" min="7683" max="7683"/>
    <col width="7" bestFit="1" customWidth="1" style="107" min="7684" max="7684"/>
    <col width="5.125" bestFit="1" customWidth="1" style="107" min="7685" max="7685"/>
    <col width="3.25" bestFit="1" customWidth="1" style="107" min="7686" max="7690"/>
    <col width="3.5" bestFit="1" customWidth="1" style="107" min="7691" max="7691"/>
    <col width="3.25" bestFit="1" customWidth="1" style="107" min="7692" max="7693"/>
    <col width="4.75" bestFit="1" customWidth="1" style="107" min="7694" max="7695"/>
    <col width="5.25" bestFit="1" customWidth="1" style="107" min="7696" max="7696"/>
    <col width="4.875" bestFit="1" customWidth="1" style="107" min="7697" max="7697"/>
    <col width="7.875" bestFit="1" customWidth="1" style="107" min="7698" max="7698"/>
    <col width="5.125" bestFit="1" customWidth="1" style="107" min="7699" max="7699"/>
    <col width="5.5" bestFit="1" customWidth="1" style="107" min="7700" max="7700"/>
    <col width="5.75" bestFit="1" customWidth="1" style="107" min="7701" max="7701"/>
    <col width="7.875" bestFit="1" customWidth="1" style="107" min="7702" max="7702"/>
    <col width="5.125" bestFit="1" customWidth="1" style="107" min="7703" max="7703"/>
    <col width="4.625" bestFit="1" customWidth="1" style="107" min="7704" max="7704"/>
    <col width="7.875" bestFit="1" customWidth="1" style="107" min="7705" max="7705"/>
    <col width="6.125" bestFit="1" customWidth="1" style="107" min="7706" max="7706"/>
    <col width="36.5" bestFit="1" customWidth="1" style="107" min="7707" max="7707"/>
    <col width="29.25" bestFit="1" customWidth="1" style="107" min="7708" max="7708"/>
    <col width="9.875" bestFit="1" customWidth="1" style="107" min="7709" max="7710"/>
    <col width="9.25" bestFit="1" customWidth="1" style="107" min="7711" max="7711"/>
    <col width="2.5" bestFit="1" customWidth="1" style="107" min="7712" max="7712"/>
    <col width="3.25" bestFit="1" customWidth="1" style="107" min="7713" max="7713"/>
    <col width="3.625" bestFit="1" customWidth="1" style="107" min="7714" max="7714"/>
    <col width="3.375" bestFit="1" customWidth="1" style="107" min="7715" max="7715"/>
    <col width="23.625" bestFit="1" customWidth="1" style="107" min="7716" max="7716"/>
    <col width="8.25" bestFit="1" customWidth="1" style="107" min="7717" max="7717"/>
    <col width="6.875" bestFit="1" customWidth="1" style="107" min="7718" max="7718"/>
    <col width="6.375" bestFit="1" customWidth="1" style="107" min="7719" max="7719"/>
    <col width="19.625" bestFit="1" customWidth="1" style="107" min="7720" max="7720"/>
    <col width="51.375" bestFit="1" customWidth="1" style="107" min="7721" max="7721"/>
    <col width="6.25" bestFit="1" customWidth="1" style="107" min="7722" max="7722"/>
    <col width="2.625" bestFit="1" customWidth="1" style="107" min="7723" max="7723"/>
    <col width="5.125" bestFit="1" customWidth="1" style="107" min="7724" max="7724"/>
    <col width="27.375" bestFit="1" customWidth="1" style="107" min="7725" max="7725"/>
    <col width="5.875" bestFit="1" customWidth="1" style="107" min="7726" max="7726"/>
    <col width="3.75" bestFit="1" customWidth="1" style="107" min="7727" max="7727"/>
    <col width="6.25" bestFit="1" customWidth="1" style="107" min="7728" max="7728"/>
    <col width="6.875" bestFit="1" customWidth="1" style="107" min="7729" max="7729"/>
    <col width="6.75" bestFit="1" customWidth="1" style="107" min="7730" max="7730"/>
    <col width="5.875" bestFit="1" customWidth="1" style="107" min="7731" max="7731"/>
    <col width="91.875" bestFit="1" customWidth="1" style="107" min="7732" max="7732"/>
    <col width="131.25" bestFit="1" customWidth="1" style="107" min="7733" max="7733"/>
    <col width="7" bestFit="1" customWidth="1" style="107" min="7734" max="7734"/>
    <col width="7.875" bestFit="1" customWidth="1" style="107" min="7735" max="7735"/>
    <col width="8.5" bestFit="1" customWidth="1" style="107" min="7736" max="7736"/>
    <col width="4.75" bestFit="1" customWidth="1" style="107" min="7737" max="7737"/>
    <col width="23.25" bestFit="1" customWidth="1" style="107" min="7738" max="7738"/>
    <col width="6.875" bestFit="1" customWidth="1" style="107" min="7739" max="7739"/>
    <col width="7.875" bestFit="1" customWidth="1" style="107" min="7740" max="7740"/>
    <col width="7.75" bestFit="1" customWidth="1" style="107" min="7741" max="7741"/>
    <col width="8" bestFit="1" customWidth="1" style="107" min="7742" max="7742"/>
    <col width="4.625" bestFit="1" customWidth="1" style="107" min="7743" max="7743"/>
    <col width="7.875" bestFit="1" customWidth="1" style="107" min="7744" max="7744"/>
    <col width="4" bestFit="1" customWidth="1" style="107" min="7745" max="7745"/>
    <col width="4.625" customWidth="1" style="107" min="7746" max="7746"/>
    <col width="4" bestFit="1" customWidth="1" style="107" min="7747" max="7756"/>
    <col width="3.75" bestFit="1" customWidth="1" style="107" min="7757" max="7757"/>
    <col width="4" bestFit="1" customWidth="1" style="107" min="7758" max="7758"/>
    <col width="3.625" bestFit="1" customWidth="1" style="107" min="7759" max="7759"/>
    <col width="9.875" bestFit="1" customWidth="1" style="107" min="7760" max="7760"/>
    <col width="5" bestFit="1" customWidth="1" style="107" min="7761" max="7761"/>
    <col width="7.125" bestFit="1" customWidth="1" style="107" min="7762" max="7762"/>
    <col width="9.375" bestFit="1" customWidth="1" style="107" min="7763" max="7763"/>
    <col width="10.25" bestFit="1" customWidth="1" style="107" min="7764" max="7764"/>
    <col width="7.375" bestFit="1" customWidth="1" style="107" min="7765" max="7765"/>
    <col width="47.375" bestFit="1" customWidth="1" style="107" min="7766" max="7766"/>
    <col width="73.25" bestFit="1" customWidth="1" style="107" min="7767" max="7767"/>
    <col width="26.625" bestFit="1" customWidth="1" style="107" min="7768" max="7768"/>
    <col width="26.75" bestFit="1" customWidth="1" style="107" min="7769" max="7770"/>
    <col width="6.375" bestFit="1" customWidth="1" style="107" min="7771" max="7771"/>
    <col width="9.875" bestFit="1" customWidth="1" style="107" min="7772" max="7773"/>
    <col width="26.5" bestFit="1" customWidth="1" style="107" min="7774" max="7774"/>
    <col width="9.125" bestFit="1" customWidth="1" style="107" min="7775" max="7775"/>
    <col width="12.625" bestFit="1" customWidth="1" style="107" min="7776" max="7776"/>
    <col width="36.5" bestFit="1" customWidth="1" style="107" min="7777" max="7777"/>
    <col width="3.375" bestFit="1" customWidth="1" style="107" min="7778" max="7778"/>
    <col width="8" bestFit="1" customWidth="1" style="107" min="7779" max="7779"/>
    <col width="5.625" bestFit="1" customWidth="1" style="107" min="7780" max="7780"/>
    <col width="7.875" bestFit="1" customWidth="1" style="107" min="7781" max="7781"/>
    <col width="6" bestFit="1" customWidth="1" style="107" min="7782" max="7782"/>
    <col width="11.25" bestFit="1" customWidth="1" style="107" min="7783" max="7783"/>
    <col width="9" customWidth="1" style="107" min="7784" max="7936"/>
    <col width="13.125" bestFit="1" customWidth="1" style="107" min="7937" max="7937"/>
    <col width="10.875" bestFit="1" customWidth="1" style="107" min="7938" max="7938"/>
    <col width="4.625" bestFit="1" customWidth="1" style="107" min="7939" max="7939"/>
    <col width="7" bestFit="1" customWidth="1" style="107" min="7940" max="7940"/>
    <col width="5.125" bestFit="1" customWidth="1" style="107" min="7941" max="7941"/>
    <col width="3.25" bestFit="1" customWidth="1" style="107" min="7942" max="7946"/>
    <col width="3.5" bestFit="1" customWidth="1" style="107" min="7947" max="7947"/>
    <col width="3.25" bestFit="1" customWidth="1" style="107" min="7948" max="7949"/>
    <col width="4.75" bestFit="1" customWidth="1" style="107" min="7950" max="7951"/>
    <col width="5.25" bestFit="1" customWidth="1" style="107" min="7952" max="7952"/>
    <col width="4.875" bestFit="1" customWidth="1" style="107" min="7953" max="7953"/>
    <col width="7.875" bestFit="1" customWidth="1" style="107" min="7954" max="7954"/>
    <col width="5.125" bestFit="1" customWidth="1" style="107" min="7955" max="7955"/>
    <col width="5.5" bestFit="1" customWidth="1" style="107" min="7956" max="7956"/>
    <col width="5.75" bestFit="1" customWidth="1" style="107" min="7957" max="7957"/>
    <col width="7.875" bestFit="1" customWidth="1" style="107" min="7958" max="7958"/>
    <col width="5.125" bestFit="1" customWidth="1" style="107" min="7959" max="7959"/>
    <col width="4.625" bestFit="1" customWidth="1" style="107" min="7960" max="7960"/>
    <col width="7.875" bestFit="1" customWidth="1" style="107" min="7961" max="7961"/>
    <col width="6.125" bestFit="1" customWidth="1" style="107" min="7962" max="7962"/>
    <col width="36.5" bestFit="1" customWidth="1" style="107" min="7963" max="7963"/>
    <col width="29.25" bestFit="1" customWidth="1" style="107" min="7964" max="7964"/>
    <col width="9.875" bestFit="1" customWidth="1" style="107" min="7965" max="7966"/>
    <col width="9.25" bestFit="1" customWidth="1" style="107" min="7967" max="7967"/>
    <col width="2.5" bestFit="1" customWidth="1" style="107" min="7968" max="7968"/>
    <col width="3.25" bestFit="1" customWidth="1" style="107" min="7969" max="7969"/>
    <col width="3.625" bestFit="1" customWidth="1" style="107" min="7970" max="7970"/>
    <col width="3.375" bestFit="1" customWidth="1" style="107" min="7971" max="7971"/>
    <col width="23.625" bestFit="1" customWidth="1" style="107" min="7972" max="7972"/>
    <col width="8.25" bestFit="1" customWidth="1" style="107" min="7973" max="7973"/>
    <col width="6.875" bestFit="1" customWidth="1" style="107" min="7974" max="7974"/>
    <col width="6.375" bestFit="1" customWidth="1" style="107" min="7975" max="7975"/>
    <col width="19.625" bestFit="1" customWidth="1" style="107" min="7976" max="7976"/>
    <col width="51.375" bestFit="1" customWidth="1" style="107" min="7977" max="7977"/>
    <col width="6.25" bestFit="1" customWidth="1" style="107" min="7978" max="7978"/>
    <col width="2.625" bestFit="1" customWidth="1" style="107" min="7979" max="7979"/>
    <col width="5.125" bestFit="1" customWidth="1" style="107" min="7980" max="7980"/>
    <col width="27.375" bestFit="1" customWidth="1" style="107" min="7981" max="7981"/>
    <col width="5.875" bestFit="1" customWidth="1" style="107" min="7982" max="7982"/>
    <col width="3.75" bestFit="1" customWidth="1" style="107" min="7983" max="7983"/>
    <col width="6.25" bestFit="1" customWidth="1" style="107" min="7984" max="7984"/>
    <col width="6.875" bestFit="1" customWidth="1" style="107" min="7985" max="7985"/>
    <col width="6.75" bestFit="1" customWidth="1" style="107" min="7986" max="7986"/>
    <col width="5.875" bestFit="1" customWidth="1" style="107" min="7987" max="7987"/>
    <col width="91.875" bestFit="1" customWidth="1" style="107" min="7988" max="7988"/>
    <col width="131.25" bestFit="1" customWidth="1" style="107" min="7989" max="7989"/>
    <col width="7" bestFit="1" customWidth="1" style="107" min="7990" max="7990"/>
    <col width="7.875" bestFit="1" customWidth="1" style="107" min="7991" max="7991"/>
    <col width="8.5" bestFit="1" customWidth="1" style="107" min="7992" max="7992"/>
    <col width="4.75" bestFit="1" customWidth="1" style="107" min="7993" max="7993"/>
    <col width="23.25" bestFit="1" customWidth="1" style="107" min="7994" max="7994"/>
    <col width="6.875" bestFit="1" customWidth="1" style="107" min="7995" max="7995"/>
    <col width="7.875" bestFit="1" customWidth="1" style="107" min="7996" max="7996"/>
    <col width="7.75" bestFit="1" customWidth="1" style="107" min="7997" max="7997"/>
    <col width="8" bestFit="1" customWidth="1" style="107" min="7998" max="7998"/>
    <col width="4.625" bestFit="1" customWidth="1" style="107" min="7999" max="7999"/>
    <col width="7.875" bestFit="1" customWidth="1" style="107" min="8000" max="8000"/>
    <col width="4" bestFit="1" customWidth="1" style="107" min="8001" max="8001"/>
    <col width="4.625" customWidth="1" style="107" min="8002" max="8002"/>
    <col width="4" bestFit="1" customWidth="1" style="107" min="8003" max="8012"/>
    <col width="3.75" bestFit="1" customWidth="1" style="107" min="8013" max="8013"/>
    <col width="4" bestFit="1" customWidth="1" style="107" min="8014" max="8014"/>
    <col width="3.625" bestFit="1" customWidth="1" style="107" min="8015" max="8015"/>
    <col width="9.875" bestFit="1" customWidth="1" style="107" min="8016" max="8016"/>
    <col width="5" bestFit="1" customWidth="1" style="107" min="8017" max="8017"/>
    <col width="7.125" bestFit="1" customWidth="1" style="107" min="8018" max="8018"/>
    <col width="9.375" bestFit="1" customWidth="1" style="107" min="8019" max="8019"/>
    <col width="10.25" bestFit="1" customWidth="1" style="107" min="8020" max="8020"/>
    <col width="7.375" bestFit="1" customWidth="1" style="107" min="8021" max="8021"/>
    <col width="47.375" bestFit="1" customWidth="1" style="107" min="8022" max="8022"/>
    <col width="73.25" bestFit="1" customWidth="1" style="107" min="8023" max="8023"/>
    <col width="26.625" bestFit="1" customWidth="1" style="107" min="8024" max="8024"/>
    <col width="26.75" bestFit="1" customWidth="1" style="107" min="8025" max="8026"/>
    <col width="6.375" bestFit="1" customWidth="1" style="107" min="8027" max="8027"/>
    <col width="9.875" bestFit="1" customWidth="1" style="107" min="8028" max="8029"/>
    <col width="26.5" bestFit="1" customWidth="1" style="107" min="8030" max="8030"/>
    <col width="9.125" bestFit="1" customWidth="1" style="107" min="8031" max="8031"/>
    <col width="12.625" bestFit="1" customWidth="1" style="107" min="8032" max="8032"/>
    <col width="36.5" bestFit="1" customWidth="1" style="107" min="8033" max="8033"/>
    <col width="3.375" bestFit="1" customWidth="1" style="107" min="8034" max="8034"/>
    <col width="8" bestFit="1" customWidth="1" style="107" min="8035" max="8035"/>
    <col width="5.625" bestFit="1" customWidth="1" style="107" min="8036" max="8036"/>
    <col width="7.875" bestFit="1" customWidth="1" style="107" min="8037" max="8037"/>
    <col width="6" bestFit="1" customWidth="1" style="107" min="8038" max="8038"/>
    <col width="11.25" bestFit="1" customWidth="1" style="107" min="8039" max="8039"/>
    <col width="9" customWidth="1" style="107" min="8040" max="8192"/>
    <col width="13.125" bestFit="1" customWidth="1" style="107" min="8193" max="8193"/>
    <col width="10.875" bestFit="1" customWidth="1" style="107" min="8194" max="8194"/>
    <col width="4.625" bestFit="1" customWidth="1" style="107" min="8195" max="8195"/>
    <col width="7" bestFit="1" customWidth="1" style="107" min="8196" max="8196"/>
    <col width="5.125" bestFit="1" customWidth="1" style="107" min="8197" max="8197"/>
    <col width="3.25" bestFit="1" customWidth="1" style="107" min="8198" max="8202"/>
    <col width="3.5" bestFit="1" customWidth="1" style="107" min="8203" max="8203"/>
    <col width="3.25" bestFit="1" customWidth="1" style="107" min="8204" max="8205"/>
    <col width="4.75" bestFit="1" customWidth="1" style="107" min="8206" max="8207"/>
    <col width="5.25" bestFit="1" customWidth="1" style="107" min="8208" max="8208"/>
    <col width="4.875" bestFit="1" customWidth="1" style="107" min="8209" max="8209"/>
    <col width="7.875" bestFit="1" customWidth="1" style="107" min="8210" max="8210"/>
    <col width="5.125" bestFit="1" customWidth="1" style="107" min="8211" max="8211"/>
    <col width="5.5" bestFit="1" customWidth="1" style="107" min="8212" max="8212"/>
    <col width="5.75" bestFit="1" customWidth="1" style="107" min="8213" max="8213"/>
    <col width="7.875" bestFit="1" customWidth="1" style="107" min="8214" max="8214"/>
    <col width="5.125" bestFit="1" customWidth="1" style="107" min="8215" max="8215"/>
    <col width="4.625" bestFit="1" customWidth="1" style="107" min="8216" max="8216"/>
    <col width="7.875" bestFit="1" customWidth="1" style="107" min="8217" max="8217"/>
    <col width="6.125" bestFit="1" customWidth="1" style="107" min="8218" max="8218"/>
    <col width="36.5" bestFit="1" customWidth="1" style="107" min="8219" max="8219"/>
    <col width="29.25" bestFit="1" customWidth="1" style="107" min="8220" max="8220"/>
    <col width="9.875" bestFit="1" customWidth="1" style="107" min="8221" max="8222"/>
    <col width="9.25" bestFit="1" customWidth="1" style="107" min="8223" max="8223"/>
    <col width="2.5" bestFit="1" customWidth="1" style="107" min="8224" max="8224"/>
    <col width="3.25" bestFit="1" customWidth="1" style="107" min="8225" max="8225"/>
    <col width="3.625" bestFit="1" customWidth="1" style="107" min="8226" max="8226"/>
    <col width="3.375" bestFit="1" customWidth="1" style="107" min="8227" max="8227"/>
    <col width="23.625" bestFit="1" customWidth="1" style="107" min="8228" max="8228"/>
    <col width="8.25" bestFit="1" customWidth="1" style="107" min="8229" max="8229"/>
    <col width="6.875" bestFit="1" customWidth="1" style="107" min="8230" max="8230"/>
    <col width="6.375" bestFit="1" customWidth="1" style="107" min="8231" max="8231"/>
    <col width="19.625" bestFit="1" customWidth="1" style="107" min="8232" max="8232"/>
    <col width="51.375" bestFit="1" customWidth="1" style="107" min="8233" max="8233"/>
    <col width="6.25" bestFit="1" customWidth="1" style="107" min="8234" max="8234"/>
    <col width="2.625" bestFit="1" customWidth="1" style="107" min="8235" max="8235"/>
    <col width="5.125" bestFit="1" customWidth="1" style="107" min="8236" max="8236"/>
    <col width="27.375" bestFit="1" customWidth="1" style="107" min="8237" max="8237"/>
    <col width="5.875" bestFit="1" customWidth="1" style="107" min="8238" max="8238"/>
    <col width="3.75" bestFit="1" customWidth="1" style="107" min="8239" max="8239"/>
    <col width="6.25" bestFit="1" customWidth="1" style="107" min="8240" max="8240"/>
    <col width="6.875" bestFit="1" customWidth="1" style="107" min="8241" max="8241"/>
    <col width="6.75" bestFit="1" customWidth="1" style="107" min="8242" max="8242"/>
    <col width="5.875" bestFit="1" customWidth="1" style="107" min="8243" max="8243"/>
    <col width="91.875" bestFit="1" customWidth="1" style="107" min="8244" max="8244"/>
    <col width="131.25" bestFit="1" customWidth="1" style="107" min="8245" max="8245"/>
    <col width="7" bestFit="1" customWidth="1" style="107" min="8246" max="8246"/>
    <col width="7.875" bestFit="1" customWidth="1" style="107" min="8247" max="8247"/>
    <col width="8.5" bestFit="1" customWidth="1" style="107" min="8248" max="8248"/>
    <col width="4.75" bestFit="1" customWidth="1" style="107" min="8249" max="8249"/>
    <col width="23.25" bestFit="1" customWidth="1" style="107" min="8250" max="8250"/>
    <col width="6.875" bestFit="1" customWidth="1" style="107" min="8251" max="8251"/>
    <col width="7.875" bestFit="1" customWidth="1" style="107" min="8252" max="8252"/>
    <col width="7.75" bestFit="1" customWidth="1" style="107" min="8253" max="8253"/>
    <col width="8" bestFit="1" customWidth="1" style="107" min="8254" max="8254"/>
    <col width="4.625" bestFit="1" customWidth="1" style="107" min="8255" max="8255"/>
    <col width="7.875" bestFit="1" customWidth="1" style="107" min="8256" max="8256"/>
    <col width="4" bestFit="1" customWidth="1" style="107" min="8257" max="8257"/>
    <col width="4.625" customWidth="1" style="107" min="8258" max="8258"/>
    <col width="4" bestFit="1" customWidth="1" style="107" min="8259" max="8268"/>
    <col width="3.75" bestFit="1" customWidth="1" style="107" min="8269" max="8269"/>
    <col width="4" bestFit="1" customWidth="1" style="107" min="8270" max="8270"/>
    <col width="3.625" bestFit="1" customWidth="1" style="107" min="8271" max="8271"/>
    <col width="9.875" bestFit="1" customWidth="1" style="107" min="8272" max="8272"/>
    <col width="5" bestFit="1" customWidth="1" style="107" min="8273" max="8273"/>
    <col width="7.125" bestFit="1" customWidth="1" style="107" min="8274" max="8274"/>
    <col width="9.375" bestFit="1" customWidth="1" style="107" min="8275" max="8275"/>
    <col width="10.25" bestFit="1" customWidth="1" style="107" min="8276" max="8276"/>
    <col width="7.375" bestFit="1" customWidth="1" style="107" min="8277" max="8277"/>
    <col width="47.375" bestFit="1" customWidth="1" style="107" min="8278" max="8278"/>
    <col width="73.25" bestFit="1" customWidth="1" style="107" min="8279" max="8279"/>
    <col width="26.625" bestFit="1" customWidth="1" style="107" min="8280" max="8280"/>
    <col width="26.75" bestFit="1" customWidth="1" style="107" min="8281" max="8282"/>
    <col width="6.375" bestFit="1" customWidth="1" style="107" min="8283" max="8283"/>
    <col width="9.875" bestFit="1" customWidth="1" style="107" min="8284" max="8285"/>
    <col width="26.5" bestFit="1" customWidth="1" style="107" min="8286" max="8286"/>
    <col width="9.125" bestFit="1" customWidth="1" style="107" min="8287" max="8287"/>
    <col width="12.625" bestFit="1" customWidth="1" style="107" min="8288" max="8288"/>
    <col width="36.5" bestFit="1" customWidth="1" style="107" min="8289" max="8289"/>
    <col width="3.375" bestFit="1" customWidth="1" style="107" min="8290" max="8290"/>
    <col width="8" bestFit="1" customWidth="1" style="107" min="8291" max="8291"/>
    <col width="5.625" bestFit="1" customWidth="1" style="107" min="8292" max="8292"/>
    <col width="7.875" bestFit="1" customWidth="1" style="107" min="8293" max="8293"/>
    <col width="6" bestFit="1" customWidth="1" style="107" min="8294" max="8294"/>
    <col width="11.25" bestFit="1" customWidth="1" style="107" min="8295" max="8295"/>
    <col width="9" customWidth="1" style="107" min="8296" max="8448"/>
    <col width="13.125" bestFit="1" customWidth="1" style="107" min="8449" max="8449"/>
    <col width="10.875" bestFit="1" customWidth="1" style="107" min="8450" max="8450"/>
    <col width="4.625" bestFit="1" customWidth="1" style="107" min="8451" max="8451"/>
    <col width="7" bestFit="1" customWidth="1" style="107" min="8452" max="8452"/>
    <col width="5.125" bestFit="1" customWidth="1" style="107" min="8453" max="8453"/>
    <col width="3.25" bestFit="1" customWidth="1" style="107" min="8454" max="8458"/>
    <col width="3.5" bestFit="1" customWidth="1" style="107" min="8459" max="8459"/>
    <col width="3.25" bestFit="1" customWidth="1" style="107" min="8460" max="8461"/>
    <col width="4.75" bestFit="1" customWidth="1" style="107" min="8462" max="8463"/>
    <col width="5.25" bestFit="1" customWidth="1" style="107" min="8464" max="8464"/>
    <col width="4.875" bestFit="1" customWidth="1" style="107" min="8465" max="8465"/>
    <col width="7.875" bestFit="1" customWidth="1" style="107" min="8466" max="8466"/>
    <col width="5.125" bestFit="1" customWidth="1" style="107" min="8467" max="8467"/>
    <col width="5.5" bestFit="1" customWidth="1" style="107" min="8468" max="8468"/>
    <col width="5.75" bestFit="1" customWidth="1" style="107" min="8469" max="8469"/>
    <col width="7.875" bestFit="1" customWidth="1" style="107" min="8470" max="8470"/>
    <col width="5.125" bestFit="1" customWidth="1" style="107" min="8471" max="8471"/>
    <col width="4.625" bestFit="1" customWidth="1" style="107" min="8472" max="8472"/>
    <col width="7.875" bestFit="1" customWidth="1" style="107" min="8473" max="8473"/>
    <col width="6.125" bestFit="1" customWidth="1" style="107" min="8474" max="8474"/>
    <col width="36.5" bestFit="1" customWidth="1" style="107" min="8475" max="8475"/>
    <col width="29.25" bestFit="1" customWidth="1" style="107" min="8476" max="8476"/>
    <col width="9.875" bestFit="1" customWidth="1" style="107" min="8477" max="8478"/>
    <col width="9.25" bestFit="1" customWidth="1" style="107" min="8479" max="8479"/>
    <col width="2.5" bestFit="1" customWidth="1" style="107" min="8480" max="8480"/>
    <col width="3.25" bestFit="1" customWidth="1" style="107" min="8481" max="8481"/>
    <col width="3.625" bestFit="1" customWidth="1" style="107" min="8482" max="8482"/>
    <col width="3.375" bestFit="1" customWidth="1" style="107" min="8483" max="8483"/>
    <col width="23.625" bestFit="1" customWidth="1" style="107" min="8484" max="8484"/>
    <col width="8.25" bestFit="1" customWidth="1" style="107" min="8485" max="8485"/>
    <col width="6.875" bestFit="1" customWidth="1" style="107" min="8486" max="8486"/>
    <col width="6.375" bestFit="1" customWidth="1" style="107" min="8487" max="8487"/>
    <col width="19.625" bestFit="1" customWidth="1" style="107" min="8488" max="8488"/>
    <col width="51.375" bestFit="1" customWidth="1" style="107" min="8489" max="8489"/>
    <col width="6.25" bestFit="1" customWidth="1" style="107" min="8490" max="8490"/>
    <col width="2.625" bestFit="1" customWidth="1" style="107" min="8491" max="8491"/>
    <col width="5.125" bestFit="1" customWidth="1" style="107" min="8492" max="8492"/>
    <col width="27.375" bestFit="1" customWidth="1" style="107" min="8493" max="8493"/>
    <col width="5.875" bestFit="1" customWidth="1" style="107" min="8494" max="8494"/>
    <col width="3.75" bestFit="1" customWidth="1" style="107" min="8495" max="8495"/>
    <col width="6.25" bestFit="1" customWidth="1" style="107" min="8496" max="8496"/>
    <col width="6.875" bestFit="1" customWidth="1" style="107" min="8497" max="8497"/>
    <col width="6.75" bestFit="1" customWidth="1" style="107" min="8498" max="8498"/>
    <col width="5.875" bestFit="1" customWidth="1" style="107" min="8499" max="8499"/>
    <col width="91.875" bestFit="1" customWidth="1" style="107" min="8500" max="8500"/>
    <col width="131.25" bestFit="1" customWidth="1" style="107" min="8501" max="8501"/>
    <col width="7" bestFit="1" customWidth="1" style="107" min="8502" max="8502"/>
    <col width="7.875" bestFit="1" customWidth="1" style="107" min="8503" max="8503"/>
    <col width="8.5" bestFit="1" customWidth="1" style="107" min="8504" max="8504"/>
    <col width="4.75" bestFit="1" customWidth="1" style="107" min="8505" max="8505"/>
    <col width="23.25" bestFit="1" customWidth="1" style="107" min="8506" max="8506"/>
    <col width="6.875" bestFit="1" customWidth="1" style="107" min="8507" max="8507"/>
    <col width="7.875" bestFit="1" customWidth="1" style="107" min="8508" max="8508"/>
    <col width="7.75" bestFit="1" customWidth="1" style="107" min="8509" max="8509"/>
    <col width="8" bestFit="1" customWidth="1" style="107" min="8510" max="8510"/>
    <col width="4.625" bestFit="1" customWidth="1" style="107" min="8511" max="8511"/>
    <col width="7.875" bestFit="1" customWidth="1" style="107" min="8512" max="8512"/>
    <col width="4" bestFit="1" customWidth="1" style="107" min="8513" max="8513"/>
    <col width="4.625" customWidth="1" style="107" min="8514" max="8514"/>
    <col width="4" bestFit="1" customWidth="1" style="107" min="8515" max="8524"/>
    <col width="3.75" bestFit="1" customWidth="1" style="107" min="8525" max="8525"/>
    <col width="4" bestFit="1" customWidth="1" style="107" min="8526" max="8526"/>
    <col width="3.625" bestFit="1" customWidth="1" style="107" min="8527" max="8527"/>
    <col width="9.875" bestFit="1" customWidth="1" style="107" min="8528" max="8528"/>
    <col width="5" bestFit="1" customWidth="1" style="107" min="8529" max="8529"/>
    <col width="7.125" bestFit="1" customWidth="1" style="107" min="8530" max="8530"/>
    <col width="9.375" bestFit="1" customWidth="1" style="107" min="8531" max="8531"/>
    <col width="10.25" bestFit="1" customWidth="1" style="107" min="8532" max="8532"/>
    <col width="7.375" bestFit="1" customWidth="1" style="107" min="8533" max="8533"/>
    <col width="47.375" bestFit="1" customWidth="1" style="107" min="8534" max="8534"/>
    <col width="73.25" bestFit="1" customWidth="1" style="107" min="8535" max="8535"/>
    <col width="26.625" bestFit="1" customWidth="1" style="107" min="8536" max="8536"/>
    <col width="26.75" bestFit="1" customWidth="1" style="107" min="8537" max="8538"/>
    <col width="6.375" bestFit="1" customWidth="1" style="107" min="8539" max="8539"/>
    <col width="9.875" bestFit="1" customWidth="1" style="107" min="8540" max="8541"/>
    <col width="26.5" bestFit="1" customWidth="1" style="107" min="8542" max="8542"/>
    <col width="9.125" bestFit="1" customWidth="1" style="107" min="8543" max="8543"/>
    <col width="12.625" bestFit="1" customWidth="1" style="107" min="8544" max="8544"/>
    <col width="36.5" bestFit="1" customWidth="1" style="107" min="8545" max="8545"/>
    <col width="3.375" bestFit="1" customWidth="1" style="107" min="8546" max="8546"/>
    <col width="8" bestFit="1" customWidth="1" style="107" min="8547" max="8547"/>
    <col width="5.625" bestFit="1" customWidth="1" style="107" min="8548" max="8548"/>
    <col width="7.875" bestFit="1" customWidth="1" style="107" min="8549" max="8549"/>
    <col width="6" bestFit="1" customWidth="1" style="107" min="8550" max="8550"/>
    <col width="11.25" bestFit="1" customWidth="1" style="107" min="8551" max="8551"/>
    <col width="9" customWidth="1" style="107" min="8552" max="8704"/>
    <col width="13.125" bestFit="1" customWidth="1" style="107" min="8705" max="8705"/>
    <col width="10.875" bestFit="1" customWidth="1" style="107" min="8706" max="8706"/>
    <col width="4.625" bestFit="1" customWidth="1" style="107" min="8707" max="8707"/>
    <col width="7" bestFit="1" customWidth="1" style="107" min="8708" max="8708"/>
    <col width="5.125" bestFit="1" customWidth="1" style="107" min="8709" max="8709"/>
    <col width="3.25" bestFit="1" customWidth="1" style="107" min="8710" max="8714"/>
    <col width="3.5" bestFit="1" customWidth="1" style="107" min="8715" max="8715"/>
    <col width="3.25" bestFit="1" customWidth="1" style="107" min="8716" max="8717"/>
    <col width="4.75" bestFit="1" customWidth="1" style="107" min="8718" max="8719"/>
    <col width="5.25" bestFit="1" customWidth="1" style="107" min="8720" max="8720"/>
    <col width="4.875" bestFit="1" customWidth="1" style="107" min="8721" max="8721"/>
    <col width="7.875" bestFit="1" customWidth="1" style="107" min="8722" max="8722"/>
    <col width="5.125" bestFit="1" customWidth="1" style="107" min="8723" max="8723"/>
    <col width="5.5" bestFit="1" customWidth="1" style="107" min="8724" max="8724"/>
    <col width="5.75" bestFit="1" customWidth="1" style="107" min="8725" max="8725"/>
    <col width="7.875" bestFit="1" customWidth="1" style="107" min="8726" max="8726"/>
    <col width="5.125" bestFit="1" customWidth="1" style="107" min="8727" max="8727"/>
    <col width="4.625" bestFit="1" customWidth="1" style="107" min="8728" max="8728"/>
    <col width="7.875" bestFit="1" customWidth="1" style="107" min="8729" max="8729"/>
    <col width="6.125" bestFit="1" customWidth="1" style="107" min="8730" max="8730"/>
    <col width="36.5" bestFit="1" customWidth="1" style="107" min="8731" max="8731"/>
    <col width="29.25" bestFit="1" customWidth="1" style="107" min="8732" max="8732"/>
    <col width="9.875" bestFit="1" customWidth="1" style="107" min="8733" max="8734"/>
    <col width="9.25" bestFit="1" customWidth="1" style="107" min="8735" max="8735"/>
    <col width="2.5" bestFit="1" customWidth="1" style="107" min="8736" max="8736"/>
    <col width="3.25" bestFit="1" customWidth="1" style="107" min="8737" max="8737"/>
    <col width="3.625" bestFit="1" customWidth="1" style="107" min="8738" max="8738"/>
    <col width="3.375" bestFit="1" customWidth="1" style="107" min="8739" max="8739"/>
    <col width="23.625" bestFit="1" customWidth="1" style="107" min="8740" max="8740"/>
    <col width="8.25" bestFit="1" customWidth="1" style="107" min="8741" max="8741"/>
    <col width="6.875" bestFit="1" customWidth="1" style="107" min="8742" max="8742"/>
    <col width="6.375" bestFit="1" customWidth="1" style="107" min="8743" max="8743"/>
    <col width="19.625" bestFit="1" customWidth="1" style="107" min="8744" max="8744"/>
    <col width="51.375" bestFit="1" customWidth="1" style="107" min="8745" max="8745"/>
    <col width="6.25" bestFit="1" customWidth="1" style="107" min="8746" max="8746"/>
    <col width="2.625" bestFit="1" customWidth="1" style="107" min="8747" max="8747"/>
    <col width="5.125" bestFit="1" customWidth="1" style="107" min="8748" max="8748"/>
    <col width="27.375" bestFit="1" customWidth="1" style="107" min="8749" max="8749"/>
    <col width="5.875" bestFit="1" customWidth="1" style="107" min="8750" max="8750"/>
    <col width="3.75" bestFit="1" customWidth="1" style="107" min="8751" max="8751"/>
    <col width="6.25" bestFit="1" customWidth="1" style="107" min="8752" max="8752"/>
    <col width="6.875" bestFit="1" customWidth="1" style="107" min="8753" max="8753"/>
    <col width="6.75" bestFit="1" customWidth="1" style="107" min="8754" max="8754"/>
    <col width="5.875" bestFit="1" customWidth="1" style="107" min="8755" max="8755"/>
    <col width="91.875" bestFit="1" customWidth="1" style="107" min="8756" max="8756"/>
    <col width="131.25" bestFit="1" customWidth="1" style="107" min="8757" max="8757"/>
    <col width="7" bestFit="1" customWidth="1" style="107" min="8758" max="8758"/>
    <col width="7.875" bestFit="1" customWidth="1" style="107" min="8759" max="8759"/>
    <col width="8.5" bestFit="1" customWidth="1" style="107" min="8760" max="8760"/>
    <col width="4.75" bestFit="1" customWidth="1" style="107" min="8761" max="8761"/>
    <col width="23.25" bestFit="1" customWidth="1" style="107" min="8762" max="8762"/>
    <col width="6.875" bestFit="1" customWidth="1" style="107" min="8763" max="8763"/>
    <col width="7.875" bestFit="1" customWidth="1" style="107" min="8764" max="8764"/>
    <col width="7.75" bestFit="1" customWidth="1" style="107" min="8765" max="8765"/>
    <col width="8" bestFit="1" customWidth="1" style="107" min="8766" max="8766"/>
    <col width="4.625" bestFit="1" customWidth="1" style="107" min="8767" max="8767"/>
    <col width="7.875" bestFit="1" customWidth="1" style="107" min="8768" max="8768"/>
    <col width="4" bestFit="1" customWidth="1" style="107" min="8769" max="8769"/>
    <col width="4.625" customWidth="1" style="107" min="8770" max="8770"/>
    <col width="4" bestFit="1" customWidth="1" style="107" min="8771" max="8780"/>
    <col width="3.75" bestFit="1" customWidth="1" style="107" min="8781" max="8781"/>
    <col width="4" bestFit="1" customWidth="1" style="107" min="8782" max="8782"/>
    <col width="3.625" bestFit="1" customWidth="1" style="107" min="8783" max="8783"/>
    <col width="9.875" bestFit="1" customWidth="1" style="107" min="8784" max="8784"/>
    <col width="5" bestFit="1" customWidth="1" style="107" min="8785" max="8785"/>
    <col width="7.125" bestFit="1" customWidth="1" style="107" min="8786" max="8786"/>
    <col width="9.375" bestFit="1" customWidth="1" style="107" min="8787" max="8787"/>
    <col width="10.25" bestFit="1" customWidth="1" style="107" min="8788" max="8788"/>
    <col width="7.375" bestFit="1" customWidth="1" style="107" min="8789" max="8789"/>
    <col width="47.375" bestFit="1" customWidth="1" style="107" min="8790" max="8790"/>
    <col width="73.25" bestFit="1" customWidth="1" style="107" min="8791" max="8791"/>
    <col width="26.625" bestFit="1" customWidth="1" style="107" min="8792" max="8792"/>
    <col width="26.75" bestFit="1" customWidth="1" style="107" min="8793" max="8794"/>
    <col width="6.375" bestFit="1" customWidth="1" style="107" min="8795" max="8795"/>
    <col width="9.875" bestFit="1" customWidth="1" style="107" min="8796" max="8797"/>
    <col width="26.5" bestFit="1" customWidth="1" style="107" min="8798" max="8798"/>
    <col width="9.125" bestFit="1" customWidth="1" style="107" min="8799" max="8799"/>
    <col width="12.625" bestFit="1" customWidth="1" style="107" min="8800" max="8800"/>
    <col width="36.5" bestFit="1" customWidth="1" style="107" min="8801" max="8801"/>
    <col width="3.375" bestFit="1" customWidth="1" style="107" min="8802" max="8802"/>
    <col width="8" bestFit="1" customWidth="1" style="107" min="8803" max="8803"/>
    <col width="5.625" bestFit="1" customWidth="1" style="107" min="8804" max="8804"/>
    <col width="7.875" bestFit="1" customWidth="1" style="107" min="8805" max="8805"/>
    <col width="6" bestFit="1" customWidth="1" style="107" min="8806" max="8806"/>
    <col width="11.25" bestFit="1" customWidth="1" style="107" min="8807" max="8807"/>
    <col width="9" customWidth="1" style="107" min="8808" max="8960"/>
    <col width="13.125" bestFit="1" customWidth="1" style="107" min="8961" max="8961"/>
    <col width="10.875" bestFit="1" customWidth="1" style="107" min="8962" max="8962"/>
    <col width="4.625" bestFit="1" customWidth="1" style="107" min="8963" max="8963"/>
    <col width="7" bestFit="1" customWidth="1" style="107" min="8964" max="8964"/>
    <col width="5.125" bestFit="1" customWidth="1" style="107" min="8965" max="8965"/>
    <col width="3.25" bestFit="1" customWidth="1" style="107" min="8966" max="8970"/>
    <col width="3.5" bestFit="1" customWidth="1" style="107" min="8971" max="8971"/>
    <col width="3.25" bestFit="1" customWidth="1" style="107" min="8972" max="8973"/>
    <col width="4.75" bestFit="1" customWidth="1" style="107" min="8974" max="8975"/>
    <col width="5.25" bestFit="1" customWidth="1" style="107" min="8976" max="8976"/>
    <col width="4.875" bestFit="1" customWidth="1" style="107" min="8977" max="8977"/>
    <col width="7.875" bestFit="1" customWidth="1" style="107" min="8978" max="8978"/>
    <col width="5.125" bestFit="1" customWidth="1" style="107" min="8979" max="8979"/>
    <col width="5.5" bestFit="1" customWidth="1" style="107" min="8980" max="8980"/>
    <col width="5.75" bestFit="1" customWidth="1" style="107" min="8981" max="8981"/>
    <col width="7.875" bestFit="1" customWidth="1" style="107" min="8982" max="8982"/>
    <col width="5.125" bestFit="1" customWidth="1" style="107" min="8983" max="8983"/>
    <col width="4.625" bestFit="1" customWidth="1" style="107" min="8984" max="8984"/>
    <col width="7.875" bestFit="1" customWidth="1" style="107" min="8985" max="8985"/>
    <col width="6.125" bestFit="1" customWidth="1" style="107" min="8986" max="8986"/>
    <col width="36.5" bestFit="1" customWidth="1" style="107" min="8987" max="8987"/>
    <col width="29.25" bestFit="1" customWidth="1" style="107" min="8988" max="8988"/>
    <col width="9.875" bestFit="1" customWidth="1" style="107" min="8989" max="8990"/>
    <col width="9.25" bestFit="1" customWidth="1" style="107" min="8991" max="8991"/>
    <col width="2.5" bestFit="1" customWidth="1" style="107" min="8992" max="8992"/>
    <col width="3.25" bestFit="1" customWidth="1" style="107" min="8993" max="8993"/>
    <col width="3.625" bestFit="1" customWidth="1" style="107" min="8994" max="8994"/>
    <col width="3.375" bestFit="1" customWidth="1" style="107" min="8995" max="8995"/>
    <col width="23.625" bestFit="1" customWidth="1" style="107" min="8996" max="8996"/>
    <col width="8.25" bestFit="1" customWidth="1" style="107" min="8997" max="8997"/>
    <col width="6.875" bestFit="1" customWidth="1" style="107" min="8998" max="8998"/>
    <col width="6.375" bestFit="1" customWidth="1" style="107" min="8999" max="8999"/>
    <col width="19.625" bestFit="1" customWidth="1" style="107" min="9000" max="9000"/>
    <col width="51.375" bestFit="1" customWidth="1" style="107" min="9001" max="9001"/>
    <col width="6.25" bestFit="1" customWidth="1" style="107" min="9002" max="9002"/>
    <col width="2.625" bestFit="1" customWidth="1" style="107" min="9003" max="9003"/>
    <col width="5.125" bestFit="1" customWidth="1" style="107" min="9004" max="9004"/>
    <col width="27.375" bestFit="1" customWidth="1" style="107" min="9005" max="9005"/>
    <col width="5.875" bestFit="1" customWidth="1" style="107" min="9006" max="9006"/>
    <col width="3.75" bestFit="1" customWidth="1" style="107" min="9007" max="9007"/>
    <col width="6.25" bestFit="1" customWidth="1" style="107" min="9008" max="9008"/>
    <col width="6.875" bestFit="1" customWidth="1" style="107" min="9009" max="9009"/>
    <col width="6.75" bestFit="1" customWidth="1" style="107" min="9010" max="9010"/>
    <col width="5.875" bestFit="1" customWidth="1" style="107" min="9011" max="9011"/>
    <col width="91.875" bestFit="1" customWidth="1" style="107" min="9012" max="9012"/>
    <col width="131.25" bestFit="1" customWidth="1" style="107" min="9013" max="9013"/>
    <col width="7" bestFit="1" customWidth="1" style="107" min="9014" max="9014"/>
    <col width="7.875" bestFit="1" customWidth="1" style="107" min="9015" max="9015"/>
    <col width="8.5" bestFit="1" customWidth="1" style="107" min="9016" max="9016"/>
    <col width="4.75" bestFit="1" customWidth="1" style="107" min="9017" max="9017"/>
    <col width="23.25" bestFit="1" customWidth="1" style="107" min="9018" max="9018"/>
    <col width="6.875" bestFit="1" customWidth="1" style="107" min="9019" max="9019"/>
    <col width="7.875" bestFit="1" customWidth="1" style="107" min="9020" max="9020"/>
    <col width="7.75" bestFit="1" customWidth="1" style="107" min="9021" max="9021"/>
    <col width="8" bestFit="1" customWidth="1" style="107" min="9022" max="9022"/>
    <col width="4.625" bestFit="1" customWidth="1" style="107" min="9023" max="9023"/>
    <col width="7.875" bestFit="1" customWidth="1" style="107" min="9024" max="9024"/>
    <col width="4" bestFit="1" customWidth="1" style="107" min="9025" max="9025"/>
    <col width="4.625" customWidth="1" style="107" min="9026" max="9026"/>
    <col width="4" bestFit="1" customWidth="1" style="107" min="9027" max="9036"/>
    <col width="3.75" bestFit="1" customWidth="1" style="107" min="9037" max="9037"/>
    <col width="4" bestFit="1" customWidth="1" style="107" min="9038" max="9038"/>
    <col width="3.625" bestFit="1" customWidth="1" style="107" min="9039" max="9039"/>
    <col width="9.875" bestFit="1" customWidth="1" style="107" min="9040" max="9040"/>
    <col width="5" bestFit="1" customWidth="1" style="107" min="9041" max="9041"/>
    <col width="7.125" bestFit="1" customWidth="1" style="107" min="9042" max="9042"/>
    <col width="9.375" bestFit="1" customWidth="1" style="107" min="9043" max="9043"/>
    <col width="10.25" bestFit="1" customWidth="1" style="107" min="9044" max="9044"/>
    <col width="7.375" bestFit="1" customWidth="1" style="107" min="9045" max="9045"/>
    <col width="47.375" bestFit="1" customWidth="1" style="107" min="9046" max="9046"/>
    <col width="73.25" bestFit="1" customWidth="1" style="107" min="9047" max="9047"/>
    <col width="26.625" bestFit="1" customWidth="1" style="107" min="9048" max="9048"/>
    <col width="26.75" bestFit="1" customWidth="1" style="107" min="9049" max="9050"/>
    <col width="6.375" bestFit="1" customWidth="1" style="107" min="9051" max="9051"/>
    <col width="9.875" bestFit="1" customWidth="1" style="107" min="9052" max="9053"/>
    <col width="26.5" bestFit="1" customWidth="1" style="107" min="9054" max="9054"/>
    <col width="9.125" bestFit="1" customWidth="1" style="107" min="9055" max="9055"/>
    <col width="12.625" bestFit="1" customWidth="1" style="107" min="9056" max="9056"/>
    <col width="36.5" bestFit="1" customWidth="1" style="107" min="9057" max="9057"/>
    <col width="3.375" bestFit="1" customWidth="1" style="107" min="9058" max="9058"/>
    <col width="8" bestFit="1" customWidth="1" style="107" min="9059" max="9059"/>
    <col width="5.625" bestFit="1" customWidth="1" style="107" min="9060" max="9060"/>
    <col width="7.875" bestFit="1" customWidth="1" style="107" min="9061" max="9061"/>
    <col width="6" bestFit="1" customWidth="1" style="107" min="9062" max="9062"/>
    <col width="11.25" bestFit="1" customWidth="1" style="107" min="9063" max="9063"/>
    <col width="9" customWidth="1" style="107" min="9064" max="9216"/>
    <col width="13.125" bestFit="1" customWidth="1" style="107" min="9217" max="9217"/>
    <col width="10.875" bestFit="1" customWidth="1" style="107" min="9218" max="9218"/>
    <col width="4.625" bestFit="1" customWidth="1" style="107" min="9219" max="9219"/>
    <col width="7" bestFit="1" customWidth="1" style="107" min="9220" max="9220"/>
    <col width="5.125" bestFit="1" customWidth="1" style="107" min="9221" max="9221"/>
    <col width="3.25" bestFit="1" customWidth="1" style="107" min="9222" max="9226"/>
    <col width="3.5" bestFit="1" customWidth="1" style="107" min="9227" max="9227"/>
    <col width="3.25" bestFit="1" customWidth="1" style="107" min="9228" max="9229"/>
    <col width="4.75" bestFit="1" customWidth="1" style="107" min="9230" max="9231"/>
    <col width="5.25" bestFit="1" customWidth="1" style="107" min="9232" max="9232"/>
    <col width="4.875" bestFit="1" customWidth="1" style="107" min="9233" max="9233"/>
    <col width="7.875" bestFit="1" customWidth="1" style="107" min="9234" max="9234"/>
    <col width="5.125" bestFit="1" customWidth="1" style="107" min="9235" max="9235"/>
    <col width="5.5" bestFit="1" customWidth="1" style="107" min="9236" max="9236"/>
    <col width="5.75" bestFit="1" customWidth="1" style="107" min="9237" max="9237"/>
    <col width="7.875" bestFit="1" customWidth="1" style="107" min="9238" max="9238"/>
    <col width="5.125" bestFit="1" customWidth="1" style="107" min="9239" max="9239"/>
    <col width="4.625" bestFit="1" customWidth="1" style="107" min="9240" max="9240"/>
    <col width="7.875" bestFit="1" customWidth="1" style="107" min="9241" max="9241"/>
    <col width="6.125" bestFit="1" customWidth="1" style="107" min="9242" max="9242"/>
    <col width="36.5" bestFit="1" customWidth="1" style="107" min="9243" max="9243"/>
    <col width="29.25" bestFit="1" customWidth="1" style="107" min="9244" max="9244"/>
    <col width="9.875" bestFit="1" customWidth="1" style="107" min="9245" max="9246"/>
    <col width="9.25" bestFit="1" customWidth="1" style="107" min="9247" max="9247"/>
    <col width="2.5" bestFit="1" customWidth="1" style="107" min="9248" max="9248"/>
    <col width="3.25" bestFit="1" customWidth="1" style="107" min="9249" max="9249"/>
    <col width="3.625" bestFit="1" customWidth="1" style="107" min="9250" max="9250"/>
    <col width="3.375" bestFit="1" customWidth="1" style="107" min="9251" max="9251"/>
    <col width="23.625" bestFit="1" customWidth="1" style="107" min="9252" max="9252"/>
    <col width="8.25" bestFit="1" customWidth="1" style="107" min="9253" max="9253"/>
    <col width="6.875" bestFit="1" customWidth="1" style="107" min="9254" max="9254"/>
    <col width="6.375" bestFit="1" customWidth="1" style="107" min="9255" max="9255"/>
    <col width="19.625" bestFit="1" customWidth="1" style="107" min="9256" max="9256"/>
    <col width="51.375" bestFit="1" customWidth="1" style="107" min="9257" max="9257"/>
    <col width="6.25" bestFit="1" customWidth="1" style="107" min="9258" max="9258"/>
    <col width="2.625" bestFit="1" customWidth="1" style="107" min="9259" max="9259"/>
    <col width="5.125" bestFit="1" customWidth="1" style="107" min="9260" max="9260"/>
    <col width="27.375" bestFit="1" customWidth="1" style="107" min="9261" max="9261"/>
    <col width="5.875" bestFit="1" customWidth="1" style="107" min="9262" max="9262"/>
    <col width="3.75" bestFit="1" customWidth="1" style="107" min="9263" max="9263"/>
    <col width="6.25" bestFit="1" customWidth="1" style="107" min="9264" max="9264"/>
    <col width="6.875" bestFit="1" customWidth="1" style="107" min="9265" max="9265"/>
    <col width="6.75" bestFit="1" customWidth="1" style="107" min="9266" max="9266"/>
    <col width="5.875" bestFit="1" customWidth="1" style="107" min="9267" max="9267"/>
    <col width="91.875" bestFit="1" customWidth="1" style="107" min="9268" max="9268"/>
    <col width="131.25" bestFit="1" customWidth="1" style="107" min="9269" max="9269"/>
    <col width="7" bestFit="1" customWidth="1" style="107" min="9270" max="9270"/>
    <col width="7.875" bestFit="1" customWidth="1" style="107" min="9271" max="9271"/>
    <col width="8.5" bestFit="1" customWidth="1" style="107" min="9272" max="9272"/>
    <col width="4.75" bestFit="1" customWidth="1" style="107" min="9273" max="9273"/>
    <col width="23.25" bestFit="1" customWidth="1" style="107" min="9274" max="9274"/>
    <col width="6.875" bestFit="1" customWidth="1" style="107" min="9275" max="9275"/>
    <col width="7.875" bestFit="1" customWidth="1" style="107" min="9276" max="9276"/>
    <col width="7.75" bestFit="1" customWidth="1" style="107" min="9277" max="9277"/>
    <col width="8" bestFit="1" customWidth="1" style="107" min="9278" max="9278"/>
    <col width="4.625" bestFit="1" customWidth="1" style="107" min="9279" max="9279"/>
    <col width="7.875" bestFit="1" customWidth="1" style="107" min="9280" max="9280"/>
    <col width="4" bestFit="1" customWidth="1" style="107" min="9281" max="9281"/>
    <col width="4.625" customWidth="1" style="107" min="9282" max="9282"/>
    <col width="4" bestFit="1" customWidth="1" style="107" min="9283" max="9292"/>
    <col width="3.75" bestFit="1" customWidth="1" style="107" min="9293" max="9293"/>
    <col width="4" bestFit="1" customWidth="1" style="107" min="9294" max="9294"/>
    <col width="3.625" bestFit="1" customWidth="1" style="107" min="9295" max="9295"/>
    <col width="9.875" bestFit="1" customWidth="1" style="107" min="9296" max="9296"/>
    <col width="5" bestFit="1" customWidth="1" style="107" min="9297" max="9297"/>
    <col width="7.125" bestFit="1" customWidth="1" style="107" min="9298" max="9298"/>
    <col width="9.375" bestFit="1" customWidth="1" style="107" min="9299" max="9299"/>
    <col width="10.25" bestFit="1" customWidth="1" style="107" min="9300" max="9300"/>
    <col width="7.375" bestFit="1" customWidth="1" style="107" min="9301" max="9301"/>
    <col width="47.375" bestFit="1" customWidth="1" style="107" min="9302" max="9302"/>
    <col width="73.25" bestFit="1" customWidth="1" style="107" min="9303" max="9303"/>
    <col width="26.625" bestFit="1" customWidth="1" style="107" min="9304" max="9304"/>
    <col width="26.75" bestFit="1" customWidth="1" style="107" min="9305" max="9306"/>
    <col width="6.375" bestFit="1" customWidth="1" style="107" min="9307" max="9307"/>
    <col width="9.875" bestFit="1" customWidth="1" style="107" min="9308" max="9309"/>
    <col width="26.5" bestFit="1" customWidth="1" style="107" min="9310" max="9310"/>
    <col width="9.125" bestFit="1" customWidth="1" style="107" min="9311" max="9311"/>
    <col width="12.625" bestFit="1" customWidth="1" style="107" min="9312" max="9312"/>
    <col width="36.5" bestFit="1" customWidth="1" style="107" min="9313" max="9313"/>
    <col width="3.375" bestFit="1" customWidth="1" style="107" min="9314" max="9314"/>
    <col width="8" bestFit="1" customWidth="1" style="107" min="9315" max="9315"/>
    <col width="5.625" bestFit="1" customWidth="1" style="107" min="9316" max="9316"/>
    <col width="7.875" bestFit="1" customWidth="1" style="107" min="9317" max="9317"/>
    <col width="6" bestFit="1" customWidth="1" style="107" min="9318" max="9318"/>
    <col width="11.25" bestFit="1" customWidth="1" style="107" min="9319" max="9319"/>
    <col width="9" customWidth="1" style="107" min="9320" max="9472"/>
    <col width="13.125" bestFit="1" customWidth="1" style="107" min="9473" max="9473"/>
    <col width="10.875" bestFit="1" customWidth="1" style="107" min="9474" max="9474"/>
    <col width="4.625" bestFit="1" customWidth="1" style="107" min="9475" max="9475"/>
    <col width="7" bestFit="1" customWidth="1" style="107" min="9476" max="9476"/>
    <col width="5.125" bestFit="1" customWidth="1" style="107" min="9477" max="9477"/>
    <col width="3.25" bestFit="1" customWidth="1" style="107" min="9478" max="9482"/>
    <col width="3.5" bestFit="1" customWidth="1" style="107" min="9483" max="9483"/>
    <col width="3.25" bestFit="1" customWidth="1" style="107" min="9484" max="9485"/>
    <col width="4.75" bestFit="1" customWidth="1" style="107" min="9486" max="9487"/>
    <col width="5.25" bestFit="1" customWidth="1" style="107" min="9488" max="9488"/>
    <col width="4.875" bestFit="1" customWidth="1" style="107" min="9489" max="9489"/>
    <col width="7.875" bestFit="1" customWidth="1" style="107" min="9490" max="9490"/>
    <col width="5.125" bestFit="1" customWidth="1" style="107" min="9491" max="9491"/>
    <col width="5.5" bestFit="1" customWidth="1" style="107" min="9492" max="9492"/>
    <col width="5.75" bestFit="1" customWidth="1" style="107" min="9493" max="9493"/>
    <col width="7.875" bestFit="1" customWidth="1" style="107" min="9494" max="9494"/>
    <col width="5.125" bestFit="1" customWidth="1" style="107" min="9495" max="9495"/>
    <col width="4.625" bestFit="1" customWidth="1" style="107" min="9496" max="9496"/>
    <col width="7.875" bestFit="1" customWidth="1" style="107" min="9497" max="9497"/>
    <col width="6.125" bestFit="1" customWidth="1" style="107" min="9498" max="9498"/>
    <col width="36.5" bestFit="1" customWidth="1" style="107" min="9499" max="9499"/>
    <col width="29.25" bestFit="1" customWidth="1" style="107" min="9500" max="9500"/>
    <col width="9.875" bestFit="1" customWidth="1" style="107" min="9501" max="9502"/>
    <col width="9.25" bestFit="1" customWidth="1" style="107" min="9503" max="9503"/>
    <col width="2.5" bestFit="1" customWidth="1" style="107" min="9504" max="9504"/>
    <col width="3.25" bestFit="1" customWidth="1" style="107" min="9505" max="9505"/>
    <col width="3.625" bestFit="1" customWidth="1" style="107" min="9506" max="9506"/>
    <col width="3.375" bestFit="1" customWidth="1" style="107" min="9507" max="9507"/>
    <col width="23.625" bestFit="1" customWidth="1" style="107" min="9508" max="9508"/>
    <col width="8.25" bestFit="1" customWidth="1" style="107" min="9509" max="9509"/>
    <col width="6.875" bestFit="1" customWidth="1" style="107" min="9510" max="9510"/>
    <col width="6.375" bestFit="1" customWidth="1" style="107" min="9511" max="9511"/>
    <col width="19.625" bestFit="1" customWidth="1" style="107" min="9512" max="9512"/>
    <col width="51.375" bestFit="1" customWidth="1" style="107" min="9513" max="9513"/>
    <col width="6.25" bestFit="1" customWidth="1" style="107" min="9514" max="9514"/>
    <col width="2.625" bestFit="1" customWidth="1" style="107" min="9515" max="9515"/>
    <col width="5.125" bestFit="1" customWidth="1" style="107" min="9516" max="9516"/>
    <col width="27.375" bestFit="1" customWidth="1" style="107" min="9517" max="9517"/>
    <col width="5.875" bestFit="1" customWidth="1" style="107" min="9518" max="9518"/>
    <col width="3.75" bestFit="1" customWidth="1" style="107" min="9519" max="9519"/>
    <col width="6.25" bestFit="1" customWidth="1" style="107" min="9520" max="9520"/>
    <col width="6.875" bestFit="1" customWidth="1" style="107" min="9521" max="9521"/>
    <col width="6.75" bestFit="1" customWidth="1" style="107" min="9522" max="9522"/>
    <col width="5.875" bestFit="1" customWidth="1" style="107" min="9523" max="9523"/>
    <col width="91.875" bestFit="1" customWidth="1" style="107" min="9524" max="9524"/>
    <col width="131.25" bestFit="1" customWidth="1" style="107" min="9525" max="9525"/>
    <col width="7" bestFit="1" customWidth="1" style="107" min="9526" max="9526"/>
    <col width="7.875" bestFit="1" customWidth="1" style="107" min="9527" max="9527"/>
    <col width="8.5" bestFit="1" customWidth="1" style="107" min="9528" max="9528"/>
    <col width="4.75" bestFit="1" customWidth="1" style="107" min="9529" max="9529"/>
    <col width="23.25" bestFit="1" customWidth="1" style="107" min="9530" max="9530"/>
    <col width="6.875" bestFit="1" customWidth="1" style="107" min="9531" max="9531"/>
    <col width="7.875" bestFit="1" customWidth="1" style="107" min="9532" max="9532"/>
    <col width="7.75" bestFit="1" customWidth="1" style="107" min="9533" max="9533"/>
    <col width="8" bestFit="1" customWidth="1" style="107" min="9534" max="9534"/>
    <col width="4.625" bestFit="1" customWidth="1" style="107" min="9535" max="9535"/>
    <col width="7.875" bestFit="1" customWidth="1" style="107" min="9536" max="9536"/>
    <col width="4" bestFit="1" customWidth="1" style="107" min="9537" max="9537"/>
    <col width="4.625" customWidth="1" style="107" min="9538" max="9538"/>
    <col width="4" bestFit="1" customWidth="1" style="107" min="9539" max="9548"/>
    <col width="3.75" bestFit="1" customWidth="1" style="107" min="9549" max="9549"/>
    <col width="4" bestFit="1" customWidth="1" style="107" min="9550" max="9550"/>
    <col width="3.625" bestFit="1" customWidth="1" style="107" min="9551" max="9551"/>
    <col width="9.875" bestFit="1" customWidth="1" style="107" min="9552" max="9552"/>
    <col width="5" bestFit="1" customWidth="1" style="107" min="9553" max="9553"/>
    <col width="7.125" bestFit="1" customWidth="1" style="107" min="9554" max="9554"/>
    <col width="9.375" bestFit="1" customWidth="1" style="107" min="9555" max="9555"/>
    <col width="10.25" bestFit="1" customWidth="1" style="107" min="9556" max="9556"/>
    <col width="7.375" bestFit="1" customWidth="1" style="107" min="9557" max="9557"/>
    <col width="47.375" bestFit="1" customWidth="1" style="107" min="9558" max="9558"/>
    <col width="73.25" bestFit="1" customWidth="1" style="107" min="9559" max="9559"/>
    <col width="26.625" bestFit="1" customWidth="1" style="107" min="9560" max="9560"/>
    <col width="26.75" bestFit="1" customWidth="1" style="107" min="9561" max="9562"/>
    <col width="6.375" bestFit="1" customWidth="1" style="107" min="9563" max="9563"/>
    <col width="9.875" bestFit="1" customWidth="1" style="107" min="9564" max="9565"/>
    <col width="26.5" bestFit="1" customWidth="1" style="107" min="9566" max="9566"/>
    <col width="9.125" bestFit="1" customWidth="1" style="107" min="9567" max="9567"/>
    <col width="12.625" bestFit="1" customWidth="1" style="107" min="9568" max="9568"/>
    <col width="36.5" bestFit="1" customWidth="1" style="107" min="9569" max="9569"/>
    <col width="3.375" bestFit="1" customWidth="1" style="107" min="9570" max="9570"/>
    <col width="8" bestFit="1" customWidth="1" style="107" min="9571" max="9571"/>
    <col width="5.625" bestFit="1" customWidth="1" style="107" min="9572" max="9572"/>
    <col width="7.875" bestFit="1" customWidth="1" style="107" min="9573" max="9573"/>
    <col width="6" bestFit="1" customWidth="1" style="107" min="9574" max="9574"/>
    <col width="11.25" bestFit="1" customWidth="1" style="107" min="9575" max="9575"/>
    <col width="9" customWidth="1" style="107" min="9576" max="9728"/>
    <col width="13.125" bestFit="1" customWidth="1" style="107" min="9729" max="9729"/>
    <col width="10.875" bestFit="1" customWidth="1" style="107" min="9730" max="9730"/>
    <col width="4.625" bestFit="1" customWidth="1" style="107" min="9731" max="9731"/>
    <col width="7" bestFit="1" customWidth="1" style="107" min="9732" max="9732"/>
    <col width="5.125" bestFit="1" customWidth="1" style="107" min="9733" max="9733"/>
    <col width="3.25" bestFit="1" customWidth="1" style="107" min="9734" max="9738"/>
    <col width="3.5" bestFit="1" customWidth="1" style="107" min="9739" max="9739"/>
    <col width="3.25" bestFit="1" customWidth="1" style="107" min="9740" max="9741"/>
    <col width="4.75" bestFit="1" customWidth="1" style="107" min="9742" max="9743"/>
    <col width="5.25" bestFit="1" customWidth="1" style="107" min="9744" max="9744"/>
    <col width="4.875" bestFit="1" customWidth="1" style="107" min="9745" max="9745"/>
    <col width="7.875" bestFit="1" customWidth="1" style="107" min="9746" max="9746"/>
    <col width="5.125" bestFit="1" customWidth="1" style="107" min="9747" max="9747"/>
    <col width="5.5" bestFit="1" customWidth="1" style="107" min="9748" max="9748"/>
    <col width="5.75" bestFit="1" customWidth="1" style="107" min="9749" max="9749"/>
    <col width="7.875" bestFit="1" customWidth="1" style="107" min="9750" max="9750"/>
    <col width="5.125" bestFit="1" customWidth="1" style="107" min="9751" max="9751"/>
    <col width="4.625" bestFit="1" customWidth="1" style="107" min="9752" max="9752"/>
    <col width="7.875" bestFit="1" customWidth="1" style="107" min="9753" max="9753"/>
    <col width="6.125" bestFit="1" customWidth="1" style="107" min="9754" max="9754"/>
    <col width="36.5" bestFit="1" customWidth="1" style="107" min="9755" max="9755"/>
    <col width="29.25" bestFit="1" customWidth="1" style="107" min="9756" max="9756"/>
    <col width="9.875" bestFit="1" customWidth="1" style="107" min="9757" max="9758"/>
    <col width="9.25" bestFit="1" customWidth="1" style="107" min="9759" max="9759"/>
    <col width="2.5" bestFit="1" customWidth="1" style="107" min="9760" max="9760"/>
    <col width="3.25" bestFit="1" customWidth="1" style="107" min="9761" max="9761"/>
    <col width="3.625" bestFit="1" customWidth="1" style="107" min="9762" max="9762"/>
    <col width="3.375" bestFit="1" customWidth="1" style="107" min="9763" max="9763"/>
    <col width="23.625" bestFit="1" customWidth="1" style="107" min="9764" max="9764"/>
    <col width="8.25" bestFit="1" customWidth="1" style="107" min="9765" max="9765"/>
    <col width="6.875" bestFit="1" customWidth="1" style="107" min="9766" max="9766"/>
    <col width="6.375" bestFit="1" customWidth="1" style="107" min="9767" max="9767"/>
    <col width="19.625" bestFit="1" customWidth="1" style="107" min="9768" max="9768"/>
    <col width="51.375" bestFit="1" customWidth="1" style="107" min="9769" max="9769"/>
    <col width="6.25" bestFit="1" customWidth="1" style="107" min="9770" max="9770"/>
    <col width="2.625" bestFit="1" customWidth="1" style="107" min="9771" max="9771"/>
    <col width="5.125" bestFit="1" customWidth="1" style="107" min="9772" max="9772"/>
    <col width="27.375" bestFit="1" customWidth="1" style="107" min="9773" max="9773"/>
    <col width="5.875" bestFit="1" customWidth="1" style="107" min="9774" max="9774"/>
    <col width="3.75" bestFit="1" customWidth="1" style="107" min="9775" max="9775"/>
    <col width="6.25" bestFit="1" customWidth="1" style="107" min="9776" max="9776"/>
    <col width="6.875" bestFit="1" customWidth="1" style="107" min="9777" max="9777"/>
    <col width="6.75" bestFit="1" customWidth="1" style="107" min="9778" max="9778"/>
    <col width="5.875" bestFit="1" customWidth="1" style="107" min="9779" max="9779"/>
    <col width="91.875" bestFit="1" customWidth="1" style="107" min="9780" max="9780"/>
    <col width="131.25" bestFit="1" customWidth="1" style="107" min="9781" max="9781"/>
    <col width="7" bestFit="1" customWidth="1" style="107" min="9782" max="9782"/>
    <col width="7.875" bestFit="1" customWidth="1" style="107" min="9783" max="9783"/>
    <col width="8.5" bestFit="1" customWidth="1" style="107" min="9784" max="9784"/>
    <col width="4.75" bestFit="1" customWidth="1" style="107" min="9785" max="9785"/>
    <col width="23.25" bestFit="1" customWidth="1" style="107" min="9786" max="9786"/>
    <col width="6.875" bestFit="1" customWidth="1" style="107" min="9787" max="9787"/>
    <col width="7.875" bestFit="1" customWidth="1" style="107" min="9788" max="9788"/>
    <col width="7.75" bestFit="1" customWidth="1" style="107" min="9789" max="9789"/>
    <col width="8" bestFit="1" customWidth="1" style="107" min="9790" max="9790"/>
    <col width="4.625" bestFit="1" customWidth="1" style="107" min="9791" max="9791"/>
    <col width="7.875" bestFit="1" customWidth="1" style="107" min="9792" max="9792"/>
    <col width="4" bestFit="1" customWidth="1" style="107" min="9793" max="9793"/>
    <col width="4.625" customWidth="1" style="107" min="9794" max="9794"/>
    <col width="4" bestFit="1" customWidth="1" style="107" min="9795" max="9804"/>
    <col width="3.75" bestFit="1" customWidth="1" style="107" min="9805" max="9805"/>
    <col width="4" bestFit="1" customWidth="1" style="107" min="9806" max="9806"/>
    <col width="3.625" bestFit="1" customWidth="1" style="107" min="9807" max="9807"/>
    <col width="9.875" bestFit="1" customWidth="1" style="107" min="9808" max="9808"/>
    <col width="5" bestFit="1" customWidth="1" style="107" min="9809" max="9809"/>
    <col width="7.125" bestFit="1" customWidth="1" style="107" min="9810" max="9810"/>
    <col width="9.375" bestFit="1" customWidth="1" style="107" min="9811" max="9811"/>
    <col width="10.25" bestFit="1" customWidth="1" style="107" min="9812" max="9812"/>
    <col width="7.375" bestFit="1" customWidth="1" style="107" min="9813" max="9813"/>
    <col width="47.375" bestFit="1" customWidth="1" style="107" min="9814" max="9814"/>
    <col width="73.25" bestFit="1" customWidth="1" style="107" min="9815" max="9815"/>
    <col width="26.625" bestFit="1" customWidth="1" style="107" min="9816" max="9816"/>
    <col width="26.75" bestFit="1" customWidth="1" style="107" min="9817" max="9818"/>
    <col width="6.375" bestFit="1" customWidth="1" style="107" min="9819" max="9819"/>
    <col width="9.875" bestFit="1" customWidth="1" style="107" min="9820" max="9821"/>
    <col width="26.5" bestFit="1" customWidth="1" style="107" min="9822" max="9822"/>
    <col width="9.125" bestFit="1" customWidth="1" style="107" min="9823" max="9823"/>
    <col width="12.625" bestFit="1" customWidth="1" style="107" min="9824" max="9824"/>
    <col width="36.5" bestFit="1" customWidth="1" style="107" min="9825" max="9825"/>
    <col width="3.375" bestFit="1" customWidth="1" style="107" min="9826" max="9826"/>
    <col width="8" bestFit="1" customWidth="1" style="107" min="9827" max="9827"/>
    <col width="5.625" bestFit="1" customWidth="1" style="107" min="9828" max="9828"/>
    <col width="7.875" bestFit="1" customWidth="1" style="107" min="9829" max="9829"/>
    <col width="6" bestFit="1" customWidth="1" style="107" min="9830" max="9830"/>
    <col width="11.25" bestFit="1" customWidth="1" style="107" min="9831" max="9831"/>
    <col width="9" customWidth="1" style="107" min="9832" max="9984"/>
    <col width="13.125" bestFit="1" customWidth="1" style="107" min="9985" max="9985"/>
    <col width="10.875" bestFit="1" customWidth="1" style="107" min="9986" max="9986"/>
    <col width="4.625" bestFit="1" customWidth="1" style="107" min="9987" max="9987"/>
    <col width="7" bestFit="1" customWidth="1" style="107" min="9988" max="9988"/>
    <col width="5.125" bestFit="1" customWidth="1" style="107" min="9989" max="9989"/>
    <col width="3.25" bestFit="1" customWidth="1" style="107" min="9990" max="9994"/>
    <col width="3.5" bestFit="1" customWidth="1" style="107" min="9995" max="9995"/>
    <col width="3.25" bestFit="1" customWidth="1" style="107" min="9996" max="9997"/>
    <col width="4.75" bestFit="1" customWidth="1" style="107" min="9998" max="9999"/>
    <col width="5.25" bestFit="1" customWidth="1" style="107" min="10000" max="10000"/>
    <col width="4.875" bestFit="1" customWidth="1" style="107" min="10001" max="10001"/>
    <col width="7.875" bestFit="1" customWidth="1" style="107" min="10002" max="10002"/>
    <col width="5.125" bestFit="1" customWidth="1" style="107" min="10003" max="10003"/>
    <col width="5.5" bestFit="1" customWidth="1" style="107" min="10004" max="10004"/>
    <col width="5.75" bestFit="1" customWidth="1" style="107" min="10005" max="10005"/>
    <col width="7.875" bestFit="1" customWidth="1" style="107" min="10006" max="10006"/>
    <col width="5.125" bestFit="1" customWidth="1" style="107" min="10007" max="10007"/>
    <col width="4.625" bestFit="1" customWidth="1" style="107" min="10008" max="10008"/>
    <col width="7.875" bestFit="1" customWidth="1" style="107" min="10009" max="10009"/>
    <col width="6.125" bestFit="1" customWidth="1" style="107" min="10010" max="10010"/>
    <col width="36.5" bestFit="1" customWidth="1" style="107" min="10011" max="10011"/>
    <col width="29.25" bestFit="1" customWidth="1" style="107" min="10012" max="10012"/>
    <col width="9.875" bestFit="1" customWidth="1" style="107" min="10013" max="10014"/>
    <col width="9.25" bestFit="1" customWidth="1" style="107" min="10015" max="10015"/>
    <col width="2.5" bestFit="1" customWidth="1" style="107" min="10016" max="10016"/>
    <col width="3.25" bestFit="1" customWidth="1" style="107" min="10017" max="10017"/>
    <col width="3.625" bestFit="1" customWidth="1" style="107" min="10018" max="10018"/>
    <col width="3.375" bestFit="1" customWidth="1" style="107" min="10019" max="10019"/>
    <col width="23.625" bestFit="1" customWidth="1" style="107" min="10020" max="10020"/>
    <col width="8.25" bestFit="1" customWidth="1" style="107" min="10021" max="10021"/>
    <col width="6.875" bestFit="1" customWidth="1" style="107" min="10022" max="10022"/>
    <col width="6.375" bestFit="1" customWidth="1" style="107" min="10023" max="10023"/>
    <col width="19.625" bestFit="1" customWidth="1" style="107" min="10024" max="10024"/>
    <col width="51.375" bestFit="1" customWidth="1" style="107" min="10025" max="10025"/>
    <col width="6.25" bestFit="1" customWidth="1" style="107" min="10026" max="10026"/>
    <col width="2.625" bestFit="1" customWidth="1" style="107" min="10027" max="10027"/>
    <col width="5.125" bestFit="1" customWidth="1" style="107" min="10028" max="10028"/>
    <col width="27.375" bestFit="1" customWidth="1" style="107" min="10029" max="10029"/>
    <col width="5.875" bestFit="1" customWidth="1" style="107" min="10030" max="10030"/>
    <col width="3.75" bestFit="1" customWidth="1" style="107" min="10031" max="10031"/>
    <col width="6.25" bestFit="1" customWidth="1" style="107" min="10032" max="10032"/>
    <col width="6.875" bestFit="1" customWidth="1" style="107" min="10033" max="10033"/>
    <col width="6.75" bestFit="1" customWidth="1" style="107" min="10034" max="10034"/>
    <col width="5.875" bestFit="1" customWidth="1" style="107" min="10035" max="10035"/>
    <col width="91.875" bestFit="1" customWidth="1" style="107" min="10036" max="10036"/>
    <col width="131.25" bestFit="1" customWidth="1" style="107" min="10037" max="10037"/>
    <col width="7" bestFit="1" customWidth="1" style="107" min="10038" max="10038"/>
    <col width="7.875" bestFit="1" customWidth="1" style="107" min="10039" max="10039"/>
    <col width="8.5" bestFit="1" customWidth="1" style="107" min="10040" max="10040"/>
    <col width="4.75" bestFit="1" customWidth="1" style="107" min="10041" max="10041"/>
    <col width="23.25" bestFit="1" customWidth="1" style="107" min="10042" max="10042"/>
    <col width="6.875" bestFit="1" customWidth="1" style="107" min="10043" max="10043"/>
    <col width="7.875" bestFit="1" customWidth="1" style="107" min="10044" max="10044"/>
    <col width="7.75" bestFit="1" customWidth="1" style="107" min="10045" max="10045"/>
    <col width="8" bestFit="1" customWidth="1" style="107" min="10046" max="10046"/>
    <col width="4.625" bestFit="1" customWidth="1" style="107" min="10047" max="10047"/>
    <col width="7.875" bestFit="1" customWidth="1" style="107" min="10048" max="10048"/>
    <col width="4" bestFit="1" customWidth="1" style="107" min="10049" max="10049"/>
    <col width="4.625" customWidth="1" style="107" min="10050" max="10050"/>
    <col width="4" bestFit="1" customWidth="1" style="107" min="10051" max="10060"/>
    <col width="3.75" bestFit="1" customWidth="1" style="107" min="10061" max="10061"/>
    <col width="4" bestFit="1" customWidth="1" style="107" min="10062" max="10062"/>
    <col width="3.625" bestFit="1" customWidth="1" style="107" min="10063" max="10063"/>
    <col width="9.875" bestFit="1" customWidth="1" style="107" min="10064" max="10064"/>
    <col width="5" bestFit="1" customWidth="1" style="107" min="10065" max="10065"/>
    <col width="7.125" bestFit="1" customWidth="1" style="107" min="10066" max="10066"/>
    <col width="9.375" bestFit="1" customWidth="1" style="107" min="10067" max="10067"/>
    <col width="10.25" bestFit="1" customWidth="1" style="107" min="10068" max="10068"/>
    <col width="7.375" bestFit="1" customWidth="1" style="107" min="10069" max="10069"/>
    <col width="47.375" bestFit="1" customWidth="1" style="107" min="10070" max="10070"/>
    <col width="73.25" bestFit="1" customWidth="1" style="107" min="10071" max="10071"/>
    <col width="26.625" bestFit="1" customWidth="1" style="107" min="10072" max="10072"/>
    <col width="26.75" bestFit="1" customWidth="1" style="107" min="10073" max="10074"/>
    <col width="6.375" bestFit="1" customWidth="1" style="107" min="10075" max="10075"/>
    <col width="9.875" bestFit="1" customWidth="1" style="107" min="10076" max="10077"/>
    <col width="26.5" bestFit="1" customWidth="1" style="107" min="10078" max="10078"/>
    <col width="9.125" bestFit="1" customWidth="1" style="107" min="10079" max="10079"/>
    <col width="12.625" bestFit="1" customWidth="1" style="107" min="10080" max="10080"/>
    <col width="36.5" bestFit="1" customWidth="1" style="107" min="10081" max="10081"/>
    <col width="3.375" bestFit="1" customWidth="1" style="107" min="10082" max="10082"/>
    <col width="8" bestFit="1" customWidth="1" style="107" min="10083" max="10083"/>
    <col width="5.625" bestFit="1" customWidth="1" style="107" min="10084" max="10084"/>
    <col width="7.875" bestFit="1" customWidth="1" style="107" min="10085" max="10085"/>
    <col width="6" bestFit="1" customWidth="1" style="107" min="10086" max="10086"/>
    <col width="11.25" bestFit="1" customWidth="1" style="107" min="10087" max="10087"/>
    <col width="9" customWidth="1" style="107" min="10088" max="10240"/>
    <col width="13.125" bestFit="1" customWidth="1" style="107" min="10241" max="10241"/>
    <col width="10.875" bestFit="1" customWidth="1" style="107" min="10242" max="10242"/>
    <col width="4.625" bestFit="1" customWidth="1" style="107" min="10243" max="10243"/>
    <col width="7" bestFit="1" customWidth="1" style="107" min="10244" max="10244"/>
    <col width="5.125" bestFit="1" customWidth="1" style="107" min="10245" max="10245"/>
    <col width="3.25" bestFit="1" customWidth="1" style="107" min="10246" max="10250"/>
    <col width="3.5" bestFit="1" customWidth="1" style="107" min="10251" max="10251"/>
    <col width="3.25" bestFit="1" customWidth="1" style="107" min="10252" max="10253"/>
    <col width="4.75" bestFit="1" customWidth="1" style="107" min="10254" max="10255"/>
    <col width="5.25" bestFit="1" customWidth="1" style="107" min="10256" max="10256"/>
    <col width="4.875" bestFit="1" customWidth="1" style="107" min="10257" max="10257"/>
    <col width="7.875" bestFit="1" customWidth="1" style="107" min="10258" max="10258"/>
    <col width="5.125" bestFit="1" customWidth="1" style="107" min="10259" max="10259"/>
    <col width="5.5" bestFit="1" customWidth="1" style="107" min="10260" max="10260"/>
    <col width="5.75" bestFit="1" customWidth="1" style="107" min="10261" max="10261"/>
    <col width="7.875" bestFit="1" customWidth="1" style="107" min="10262" max="10262"/>
    <col width="5.125" bestFit="1" customWidth="1" style="107" min="10263" max="10263"/>
    <col width="4.625" bestFit="1" customWidth="1" style="107" min="10264" max="10264"/>
    <col width="7.875" bestFit="1" customWidth="1" style="107" min="10265" max="10265"/>
    <col width="6.125" bestFit="1" customWidth="1" style="107" min="10266" max="10266"/>
    <col width="36.5" bestFit="1" customWidth="1" style="107" min="10267" max="10267"/>
    <col width="29.25" bestFit="1" customWidth="1" style="107" min="10268" max="10268"/>
    <col width="9.875" bestFit="1" customWidth="1" style="107" min="10269" max="10270"/>
    <col width="9.25" bestFit="1" customWidth="1" style="107" min="10271" max="10271"/>
    <col width="2.5" bestFit="1" customWidth="1" style="107" min="10272" max="10272"/>
    <col width="3.25" bestFit="1" customWidth="1" style="107" min="10273" max="10273"/>
    <col width="3.625" bestFit="1" customWidth="1" style="107" min="10274" max="10274"/>
    <col width="3.375" bestFit="1" customWidth="1" style="107" min="10275" max="10275"/>
    <col width="23.625" bestFit="1" customWidth="1" style="107" min="10276" max="10276"/>
    <col width="8.25" bestFit="1" customWidth="1" style="107" min="10277" max="10277"/>
    <col width="6.875" bestFit="1" customWidth="1" style="107" min="10278" max="10278"/>
    <col width="6.375" bestFit="1" customWidth="1" style="107" min="10279" max="10279"/>
    <col width="19.625" bestFit="1" customWidth="1" style="107" min="10280" max="10280"/>
    <col width="51.375" bestFit="1" customWidth="1" style="107" min="10281" max="10281"/>
    <col width="6.25" bestFit="1" customWidth="1" style="107" min="10282" max="10282"/>
    <col width="2.625" bestFit="1" customWidth="1" style="107" min="10283" max="10283"/>
    <col width="5.125" bestFit="1" customWidth="1" style="107" min="10284" max="10284"/>
    <col width="27.375" bestFit="1" customWidth="1" style="107" min="10285" max="10285"/>
    <col width="5.875" bestFit="1" customWidth="1" style="107" min="10286" max="10286"/>
    <col width="3.75" bestFit="1" customWidth="1" style="107" min="10287" max="10287"/>
    <col width="6.25" bestFit="1" customWidth="1" style="107" min="10288" max="10288"/>
    <col width="6.875" bestFit="1" customWidth="1" style="107" min="10289" max="10289"/>
    <col width="6.75" bestFit="1" customWidth="1" style="107" min="10290" max="10290"/>
    <col width="5.875" bestFit="1" customWidth="1" style="107" min="10291" max="10291"/>
    <col width="91.875" bestFit="1" customWidth="1" style="107" min="10292" max="10292"/>
    <col width="131.25" bestFit="1" customWidth="1" style="107" min="10293" max="10293"/>
    <col width="7" bestFit="1" customWidth="1" style="107" min="10294" max="10294"/>
    <col width="7.875" bestFit="1" customWidth="1" style="107" min="10295" max="10295"/>
    <col width="8.5" bestFit="1" customWidth="1" style="107" min="10296" max="10296"/>
    <col width="4.75" bestFit="1" customWidth="1" style="107" min="10297" max="10297"/>
    <col width="23.25" bestFit="1" customWidth="1" style="107" min="10298" max="10298"/>
    <col width="6.875" bestFit="1" customWidth="1" style="107" min="10299" max="10299"/>
    <col width="7.875" bestFit="1" customWidth="1" style="107" min="10300" max="10300"/>
    <col width="7.75" bestFit="1" customWidth="1" style="107" min="10301" max="10301"/>
    <col width="8" bestFit="1" customWidth="1" style="107" min="10302" max="10302"/>
    <col width="4.625" bestFit="1" customWidth="1" style="107" min="10303" max="10303"/>
    <col width="7.875" bestFit="1" customWidth="1" style="107" min="10304" max="10304"/>
    <col width="4" bestFit="1" customWidth="1" style="107" min="10305" max="10305"/>
    <col width="4.625" customWidth="1" style="107" min="10306" max="10306"/>
    <col width="4" bestFit="1" customWidth="1" style="107" min="10307" max="10316"/>
    <col width="3.75" bestFit="1" customWidth="1" style="107" min="10317" max="10317"/>
    <col width="4" bestFit="1" customWidth="1" style="107" min="10318" max="10318"/>
    <col width="3.625" bestFit="1" customWidth="1" style="107" min="10319" max="10319"/>
    <col width="9.875" bestFit="1" customWidth="1" style="107" min="10320" max="10320"/>
    <col width="5" bestFit="1" customWidth="1" style="107" min="10321" max="10321"/>
    <col width="7.125" bestFit="1" customWidth="1" style="107" min="10322" max="10322"/>
    <col width="9.375" bestFit="1" customWidth="1" style="107" min="10323" max="10323"/>
    <col width="10.25" bestFit="1" customWidth="1" style="107" min="10324" max="10324"/>
    <col width="7.375" bestFit="1" customWidth="1" style="107" min="10325" max="10325"/>
    <col width="47.375" bestFit="1" customWidth="1" style="107" min="10326" max="10326"/>
    <col width="73.25" bestFit="1" customWidth="1" style="107" min="10327" max="10327"/>
    <col width="26.625" bestFit="1" customWidth="1" style="107" min="10328" max="10328"/>
    <col width="26.75" bestFit="1" customWidth="1" style="107" min="10329" max="10330"/>
    <col width="6.375" bestFit="1" customWidth="1" style="107" min="10331" max="10331"/>
    <col width="9.875" bestFit="1" customWidth="1" style="107" min="10332" max="10333"/>
    <col width="26.5" bestFit="1" customWidth="1" style="107" min="10334" max="10334"/>
    <col width="9.125" bestFit="1" customWidth="1" style="107" min="10335" max="10335"/>
    <col width="12.625" bestFit="1" customWidth="1" style="107" min="10336" max="10336"/>
    <col width="36.5" bestFit="1" customWidth="1" style="107" min="10337" max="10337"/>
    <col width="3.375" bestFit="1" customWidth="1" style="107" min="10338" max="10338"/>
    <col width="8" bestFit="1" customWidth="1" style="107" min="10339" max="10339"/>
    <col width="5.625" bestFit="1" customWidth="1" style="107" min="10340" max="10340"/>
    <col width="7.875" bestFit="1" customWidth="1" style="107" min="10341" max="10341"/>
    <col width="6" bestFit="1" customWidth="1" style="107" min="10342" max="10342"/>
    <col width="11.25" bestFit="1" customWidth="1" style="107" min="10343" max="10343"/>
    <col width="9" customWidth="1" style="107" min="10344" max="10496"/>
    <col width="13.125" bestFit="1" customWidth="1" style="107" min="10497" max="10497"/>
    <col width="10.875" bestFit="1" customWidth="1" style="107" min="10498" max="10498"/>
    <col width="4.625" bestFit="1" customWidth="1" style="107" min="10499" max="10499"/>
    <col width="7" bestFit="1" customWidth="1" style="107" min="10500" max="10500"/>
    <col width="5.125" bestFit="1" customWidth="1" style="107" min="10501" max="10501"/>
    <col width="3.25" bestFit="1" customWidth="1" style="107" min="10502" max="10506"/>
    <col width="3.5" bestFit="1" customWidth="1" style="107" min="10507" max="10507"/>
    <col width="3.25" bestFit="1" customWidth="1" style="107" min="10508" max="10509"/>
    <col width="4.75" bestFit="1" customWidth="1" style="107" min="10510" max="10511"/>
    <col width="5.25" bestFit="1" customWidth="1" style="107" min="10512" max="10512"/>
    <col width="4.875" bestFit="1" customWidth="1" style="107" min="10513" max="10513"/>
    <col width="7.875" bestFit="1" customWidth="1" style="107" min="10514" max="10514"/>
    <col width="5.125" bestFit="1" customWidth="1" style="107" min="10515" max="10515"/>
    <col width="5.5" bestFit="1" customWidth="1" style="107" min="10516" max="10516"/>
    <col width="5.75" bestFit="1" customWidth="1" style="107" min="10517" max="10517"/>
    <col width="7.875" bestFit="1" customWidth="1" style="107" min="10518" max="10518"/>
    <col width="5.125" bestFit="1" customWidth="1" style="107" min="10519" max="10519"/>
    <col width="4.625" bestFit="1" customWidth="1" style="107" min="10520" max="10520"/>
    <col width="7.875" bestFit="1" customWidth="1" style="107" min="10521" max="10521"/>
    <col width="6.125" bestFit="1" customWidth="1" style="107" min="10522" max="10522"/>
    <col width="36.5" bestFit="1" customWidth="1" style="107" min="10523" max="10523"/>
    <col width="29.25" bestFit="1" customWidth="1" style="107" min="10524" max="10524"/>
    <col width="9.875" bestFit="1" customWidth="1" style="107" min="10525" max="10526"/>
    <col width="9.25" bestFit="1" customWidth="1" style="107" min="10527" max="10527"/>
    <col width="2.5" bestFit="1" customWidth="1" style="107" min="10528" max="10528"/>
    <col width="3.25" bestFit="1" customWidth="1" style="107" min="10529" max="10529"/>
    <col width="3.625" bestFit="1" customWidth="1" style="107" min="10530" max="10530"/>
    <col width="3.375" bestFit="1" customWidth="1" style="107" min="10531" max="10531"/>
    <col width="23.625" bestFit="1" customWidth="1" style="107" min="10532" max="10532"/>
    <col width="8.25" bestFit="1" customWidth="1" style="107" min="10533" max="10533"/>
    <col width="6.875" bestFit="1" customWidth="1" style="107" min="10534" max="10534"/>
    <col width="6.375" bestFit="1" customWidth="1" style="107" min="10535" max="10535"/>
    <col width="19.625" bestFit="1" customWidth="1" style="107" min="10536" max="10536"/>
    <col width="51.375" bestFit="1" customWidth="1" style="107" min="10537" max="10537"/>
    <col width="6.25" bestFit="1" customWidth="1" style="107" min="10538" max="10538"/>
    <col width="2.625" bestFit="1" customWidth="1" style="107" min="10539" max="10539"/>
    <col width="5.125" bestFit="1" customWidth="1" style="107" min="10540" max="10540"/>
    <col width="27.375" bestFit="1" customWidth="1" style="107" min="10541" max="10541"/>
    <col width="5.875" bestFit="1" customWidth="1" style="107" min="10542" max="10542"/>
    <col width="3.75" bestFit="1" customWidth="1" style="107" min="10543" max="10543"/>
    <col width="6.25" bestFit="1" customWidth="1" style="107" min="10544" max="10544"/>
    <col width="6.875" bestFit="1" customWidth="1" style="107" min="10545" max="10545"/>
    <col width="6.75" bestFit="1" customWidth="1" style="107" min="10546" max="10546"/>
    <col width="5.875" bestFit="1" customWidth="1" style="107" min="10547" max="10547"/>
    <col width="91.875" bestFit="1" customWidth="1" style="107" min="10548" max="10548"/>
    <col width="131.25" bestFit="1" customWidth="1" style="107" min="10549" max="10549"/>
    <col width="7" bestFit="1" customWidth="1" style="107" min="10550" max="10550"/>
    <col width="7.875" bestFit="1" customWidth="1" style="107" min="10551" max="10551"/>
    <col width="8.5" bestFit="1" customWidth="1" style="107" min="10552" max="10552"/>
    <col width="4.75" bestFit="1" customWidth="1" style="107" min="10553" max="10553"/>
    <col width="23.25" bestFit="1" customWidth="1" style="107" min="10554" max="10554"/>
    <col width="6.875" bestFit="1" customWidth="1" style="107" min="10555" max="10555"/>
    <col width="7.875" bestFit="1" customWidth="1" style="107" min="10556" max="10556"/>
    <col width="7.75" bestFit="1" customWidth="1" style="107" min="10557" max="10557"/>
    <col width="8" bestFit="1" customWidth="1" style="107" min="10558" max="10558"/>
    <col width="4.625" bestFit="1" customWidth="1" style="107" min="10559" max="10559"/>
    <col width="7.875" bestFit="1" customWidth="1" style="107" min="10560" max="10560"/>
    <col width="4" bestFit="1" customWidth="1" style="107" min="10561" max="10561"/>
    <col width="4.625" customWidth="1" style="107" min="10562" max="10562"/>
    <col width="4" bestFit="1" customWidth="1" style="107" min="10563" max="10572"/>
    <col width="3.75" bestFit="1" customWidth="1" style="107" min="10573" max="10573"/>
    <col width="4" bestFit="1" customWidth="1" style="107" min="10574" max="10574"/>
    <col width="3.625" bestFit="1" customWidth="1" style="107" min="10575" max="10575"/>
    <col width="9.875" bestFit="1" customWidth="1" style="107" min="10576" max="10576"/>
    <col width="5" bestFit="1" customWidth="1" style="107" min="10577" max="10577"/>
    <col width="7.125" bestFit="1" customWidth="1" style="107" min="10578" max="10578"/>
    <col width="9.375" bestFit="1" customWidth="1" style="107" min="10579" max="10579"/>
    <col width="10.25" bestFit="1" customWidth="1" style="107" min="10580" max="10580"/>
    <col width="7.375" bestFit="1" customWidth="1" style="107" min="10581" max="10581"/>
    <col width="47.375" bestFit="1" customWidth="1" style="107" min="10582" max="10582"/>
    <col width="73.25" bestFit="1" customWidth="1" style="107" min="10583" max="10583"/>
    <col width="26.625" bestFit="1" customWidth="1" style="107" min="10584" max="10584"/>
    <col width="26.75" bestFit="1" customWidth="1" style="107" min="10585" max="10586"/>
    <col width="6.375" bestFit="1" customWidth="1" style="107" min="10587" max="10587"/>
    <col width="9.875" bestFit="1" customWidth="1" style="107" min="10588" max="10589"/>
    <col width="26.5" bestFit="1" customWidth="1" style="107" min="10590" max="10590"/>
    <col width="9.125" bestFit="1" customWidth="1" style="107" min="10591" max="10591"/>
    <col width="12.625" bestFit="1" customWidth="1" style="107" min="10592" max="10592"/>
    <col width="36.5" bestFit="1" customWidth="1" style="107" min="10593" max="10593"/>
    <col width="3.375" bestFit="1" customWidth="1" style="107" min="10594" max="10594"/>
    <col width="8" bestFit="1" customWidth="1" style="107" min="10595" max="10595"/>
    <col width="5.625" bestFit="1" customWidth="1" style="107" min="10596" max="10596"/>
    <col width="7.875" bestFit="1" customWidth="1" style="107" min="10597" max="10597"/>
    <col width="6" bestFit="1" customWidth="1" style="107" min="10598" max="10598"/>
    <col width="11.25" bestFit="1" customWidth="1" style="107" min="10599" max="10599"/>
    <col width="9" customWidth="1" style="107" min="10600" max="10752"/>
    <col width="13.125" bestFit="1" customWidth="1" style="107" min="10753" max="10753"/>
    <col width="10.875" bestFit="1" customWidth="1" style="107" min="10754" max="10754"/>
    <col width="4.625" bestFit="1" customWidth="1" style="107" min="10755" max="10755"/>
    <col width="7" bestFit="1" customWidth="1" style="107" min="10756" max="10756"/>
    <col width="5.125" bestFit="1" customWidth="1" style="107" min="10757" max="10757"/>
    <col width="3.25" bestFit="1" customWidth="1" style="107" min="10758" max="10762"/>
    <col width="3.5" bestFit="1" customWidth="1" style="107" min="10763" max="10763"/>
    <col width="3.25" bestFit="1" customWidth="1" style="107" min="10764" max="10765"/>
    <col width="4.75" bestFit="1" customWidth="1" style="107" min="10766" max="10767"/>
    <col width="5.25" bestFit="1" customWidth="1" style="107" min="10768" max="10768"/>
    <col width="4.875" bestFit="1" customWidth="1" style="107" min="10769" max="10769"/>
    <col width="7.875" bestFit="1" customWidth="1" style="107" min="10770" max="10770"/>
    <col width="5.125" bestFit="1" customWidth="1" style="107" min="10771" max="10771"/>
    <col width="5.5" bestFit="1" customWidth="1" style="107" min="10772" max="10772"/>
    <col width="5.75" bestFit="1" customWidth="1" style="107" min="10773" max="10773"/>
    <col width="7.875" bestFit="1" customWidth="1" style="107" min="10774" max="10774"/>
    <col width="5.125" bestFit="1" customWidth="1" style="107" min="10775" max="10775"/>
    <col width="4.625" bestFit="1" customWidth="1" style="107" min="10776" max="10776"/>
    <col width="7.875" bestFit="1" customWidth="1" style="107" min="10777" max="10777"/>
    <col width="6.125" bestFit="1" customWidth="1" style="107" min="10778" max="10778"/>
    <col width="36.5" bestFit="1" customWidth="1" style="107" min="10779" max="10779"/>
    <col width="29.25" bestFit="1" customWidth="1" style="107" min="10780" max="10780"/>
    <col width="9.875" bestFit="1" customWidth="1" style="107" min="10781" max="10782"/>
    <col width="9.25" bestFit="1" customWidth="1" style="107" min="10783" max="10783"/>
    <col width="2.5" bestFit="1" customWidth="1" style="107" min="10784" max="10784"/>
    <col width="3.25" bestFit="1" customWidth="1" style="107" min="10785" max="10785"/>
    <col width="3.625" bestFit="1" customWidth="1" style="107" min="10786" max="10786"/>
    <col width="3.375" bestFit="1" customWidth="1" style="107" min="10787" max="10787"/>
    <col width="23.625" bestFit="1" customWidth="1" style="107" min="10788" max="10788"/>
    <col width="8.25" bestFit="1" customWidth="1" style="107" min="10789" max="10789"/>
    <col width="6.875" bestFit="1" customWidth="1" style="107" min="10790" max="10790"/>
    <col width="6.375" bestFit="1" customWidth="1" style="107" min="10791" max="10791"/>
    <col width="19.625" bestFit="1" customWidth="1" style="107" min="10792" max="10792"/>
    <col width="51.375" bestFit="1" customWidth="1" style="107" min="10793" max="10793"/>
    <col width="6.25" bestFit="1" customWidth="1" style="107" min="10794" max="10794"/>
    <col width="2.625" bestFit="1" customWidth="1" style="107" min="10795" max="10795"/>
    <col width="5.125" bestFit="1" customWidth="1" style="107" min="10796" max="10796"/>
    <col width="27.375" bestFit="1" customWidth="1" style="107" min="10797" max="10797"/>
    <col width="5.875" bestFit="1" customWidth="1" style="107" min="10798" max="10798"/>
    <col width="3.75" bestFit="1" customWidth="1" style="107" min="10799" max="10799"/>
    <col width="6.25" bestFit="1" customWidth="1" style="107" min="10800" max="10800"/>
    <col width="6.875" bestFit="1" customWidth="1" style="107" min="10801" max="10801"/>
    <col width="6.75" bestFit="1" customWidth="1" style="107" min="10802" max="10802"/>
    <col width="5.875" bestFit="1" customWidth="1" style="107" min="10803" max="10803"/>
    <col width="91.875" bestFit="1" customWidth="1" style="107" min="10804" max="10804"/>
    <col width="131.25" bestFit="1" customWidth="1" style="107" min="10805" max="10805"/>
    <col width="7" bestFit="1" customWidth="1" style="107" min="10806" max="10806"/>
    <col width="7.875" bestFit="1" customWidth="1" style="107" min="10807" max="10807"/>
    <col width="8.5" bestFit="1" customWidth="1" style="107" min="10808" max="10808"/>
    <col width="4.75" bestFit="1" customWidth="1" style="107" min="10809" max="10809"/>
    <col width="23.25" bestFit="1" customWidth="1" style="107" min="10810" max="10810"/>
    <col width="6.875" bestFit="1" customWidth="1" style="107" min="10811" max="10811"/>
    <col width="7.875" bestFit="1" customWidth="1" style="107" min="10812" max="10812"/>
    <col width="7.75" bestFit="1" customWidth="1" style="107" min="10813" max="10813"/>
    <col width="8" bestFit="1" customWidth="1" style="107" min="10814" max="10814"/>
    <col width="4.625" bestFit="1" customWidth="1" style="107" min="10815" max="10815"/>
    <col width="7.875" bestFit="1" customWidth="1" style="107" min="10816" max="10816"/>
    <col width="4" bestFit="1" customWidth="1" style="107" min="10817" max="10817"/>
    <col width="4.625" customWidth="1" style="107" min="10818" max="10818"/>
    <col width="4" bestFit="1" customWidth="1" style="107" min="10819" max="10828"/>
    <col width="3.75" bestFit="1" customWidth="1" style="107" min="10829" max="10829"/>
    <col width="4" bestFit="1" customWidth="1" style="107" min="10830" max="10830"/>
    <col width="3.625" bestFit="1" customWidth="1" style="107" min="10831" max="10831"/>
    <col width="9.875" bestFit="1" customWidth="1" style="107" min="10832" max="10832"/>
    <col width="5" bestFit="1" customWidth="1" style="107" min="10833" max="10833"/>
    <col width="7.125" bestFit="1" customWidth="1" style="107" min="10834" max="10834"/>
    <col width="9.375" bestFit="1" customWidth="1" style="107" min="10835" max="10835"/>
    <col width="10.25" bestFit="1" customWidth="1" style="107" min="10836" max="10836"/>
    <col width="7.375" bestFit="1" customWidth="1" style="107" min="10837" max="10837"/>
    <col width="47.375" bestFit="1" customWidth="1" style="107" min="10838" max="10838"/>
    <col width="73.25" bestFit="1" customWidth="1" style="107" min="10839" max="10839"/>
    <col width="26.625" bestFit="1" customWidth="1" style="107" min="10840" max="10840"/>
    <col width="26.75" bestFit="1" customWidth="1" style="107" min="10841" max="10842"/>
    <col width="6.375" bestFit="1" customWidth="1" style="107" min="10843" max="10843"/>
    <col width="9.875" bestFit="1" customWidth="1" style="107" min="10844" max="10845"/>
    <col width="26.5" bestFit="1" customWidth="1" style="107" min="10846" max="10846"/>
    <col width="9.125" bestFit="1" customWidth="1" style="107" min="10847" max="10847"/>
    <col width="12.625" bestFit="1" customWidth="1" style="107" min="10848" max="10848"/>
    <col width="36.5" bestFit="1" customWidth="1" style="107" min="10849" max="10849"/>
    <col width="3.375" bestFit="1" customWidth="1" style="107" min="10850" max="10850"/>
    <col width="8" bestFit="1" customWidth="1" style="107" min="10851" max="10851"/>
    <col width="5.625" bestFit="1" customWidth="1" style="107" min="10852" max="10852"/>
    <col width="7.875" bestFit="1" customWidth="1" style="107" min="10853" max="10853"/>
    <col width="6" bestFit="1" customWidth="1" style="107" min="10854" max="10854"/>
    <col width="11.25" bestFit="1" customWidth="1" style="107" min="10855" max="10855"/>
    <col width="9" customWidth="1" style="107" min="10856" max="11008"/>
    <col width="13.125" bestFit="1" customWidth="1" style="107" min="11009" max="11009"/>
    <col width="10.875" bestFit="1" customWidth="1" style="107" min="11010" max="11010"/>
    <col width="4.625" bestFit="1" customWidth="1" style="107" min="11011" max="11011"/>
    <col width="7" bestFit="1" customWidth="1" style="107" min="11012" max="11012"/>
    <col width="5.125" bestFit="1" customWidth="1" style="107" min="11013" max="11013"/>
    <col width="3.25" bestFit="1" customWidth="1" style="107" min="11014" max="11018"/>
    <col width="3.5" bestFit="1" customWidth="1" style="107" min="11019" max="11019"/>
    <col width="3.25" bestFit="1" customWidth="1" style="107" min="11020" max="11021"/>
    <col width="4.75" bestFit="1" customWidth="1" style="107" min="11022" max="11023"/>
    <col width="5.25" bestFit="1" customWidth="1" style="107" min="11024" max="11024"/>
    <col width="4.875" bestFit="1" customWidth="1" style="107" min="11025" max="11025"/>
    <col width="7.875" bestFit="1" customWidth="1" style="107" min="11026" max="11026"/>
    <col width="5.125" bestFit="1" customWidth="1" style="107" min="11027" max="11027"/>
    <col width="5.5" bestFit="1" customWidth="1" style="107" min="11028" max="11028"/>
    <col width="5.75" bestFit="1" customWidth="1" style="107" min="11029" max="11029"/>
    <col width="7.875" bestFit="1" customWidth="1" style="107" min="11030" max="11030"/>
    <col width="5.125" bestFit="1" customWidth="1" style="107" min="11031" max="11031"/>
    <col width="4.625" bestFit="1" customWidth="1" style="107" min="11032" max="11032"/>
    <col width="7.875" bestFit="1" customWidth="1" style="107" min="11033" max="11033"/>
    <col width="6.125" bestFit="1" customWidth="1" style="107" min="11034" max="11034"/>
    <col width="36.5" bestFit="1" customWidth="1" style="107" min="11035" max="11035"/>
    <col width="29.25" bestFit="1" customWidth="1" style="107" min="11036" max="11036"/>
    <col width="9.875" bestFit="1" customWidth="1" style="107" min="11037" max="11038"/>
    <col width="9.25" bestFit="1" customWidth="1" style="107" min="11039" max="11039"/>
    <col width="2.5" bestFit="1" customWidth="1" style="107" min="11040" max="11040"/>
    <col width="3.25" bestFit="1" customWidth="1" style="107" min="11041" max="11041"/>
    <col width="3.625" bestFit="1" customWidth="1" style="107" min="11042" max="11042"/>
    <col width="3.375" bestFit="1" customWidth="1" style="107" min="11043" max="11043"/>
    <col width="23.625" bestFit="1" customWidth="1" style="107" min="11044" max="11044"/>
    <col width="8.25" bestFit="1" customWidth="1" style="107" min="11045" max="11045"/>
    <col width="6.875" bestFit="1" customWidth="1" style="107" min="11046" max="11046"/>
    <col width="6.375" bestFit="1" customWidth="1" style="107" min="11047" max="11047"/>
    <col width="19.625" bestFit="1" customWidth="1" style="107" min="11048" max="11048"/>
    <col width="51.375" bestFit="1" customWidth="1" style="107" min="11049" max="11049"/>
    <col width="6.25" bestFit="1" customWidth="1" style="107" min="11050" max="11050"/>
    <col width="2.625" bestFit="1" customWidth="1" style="107" min="11051" max="11051"/>
    <col width="5.125" bestFit="1" customWidth="1" style="107" min="11052" max="11052"/>
    <col width="27.375" bestFit="1" customWidth="1" style="107" min="11053" max="11053"/>
    <col width="5.875" bestFit="1" customWidth="1" style="107" min="11054" max="11054"/>
    <col width="3.75" bestFit="1" customWidth="1" style="107" min="11055" max="11055"/>
    <col width="6.25" bestFit="1" customWidth="1" style="107" min="11056" max="11056"/>
    <col width="6.875" bestFit="1" customWidth="1" style="107" min="11057" max="11057"/>
    <col width="6.75" bestFit="1" customWidth="1" style="107" min="11058" max="11058"/>
    <col width="5.875" bestFit="1" customWidth="1" style="107" min="11059" max="11059"/>
    <col width="91.875" bestFit="1" customWidth="1" style="107" min="11060" max="11060"/>
    <col width="131.25" bestFit="1" customWidth="1" style="107" min="11061" max="11061"/>
    <col width="7" bestFit="1" customWidth="1" style="107" min="11062" max="11062"/>
    <col width="7.875" bestFit="1" customWidth="1" style="107" min="11063" max="11063"/>
    <col width="8.5" bestFit="1" customWidth="1" style="107" min="11064" max="11064"/>
    <col width="4.75" bestFit="1" customWidth="1" style="107" min="11065" max="11065"/>
    <col width="23.25" bestFit="1" customWidth="1" style="107" min="11066" max="11066"/>
    <col width="6.875" bestFit="1" customWidth="1" style="107" min="11067" max="11067"/>
    <col width="7.875" bestFit="1" customWidth="1" style="107" min="11068" max="11068"/>
    <col width="7.75" bestFit="1" customWidth="1" style="107" min="11069" max="11069"/>
    <col width="8" bestFit="1" customWidth="1" style="107" min="11070" max="11070"/>
    <col width="4.625" bestFit="1" customWidth="1" style="107" min="11071" max="11071"/>
    <col width="7.875" bestFit="1" customWidth="1" style="107" min="11072" max="11072"/>
    <col width="4" bestFit="1" customWidth="1" style="107" min="11073" max="11073"/>
    <col width="4.625" customWidth="1" style="107" min="11074" max="11074"/>
    <col width="4" bestFit="1" customWidth="1" style="107" min="11075" max="11084"/>
    <col width="3.75" bestFit="1" customWidth="1" style="107" min="11085" max="11085"/>
    <col width="4" bestFit="1" customWidth="1" style="107" min="11086" max="11086"/>
    <col width="3.625" bestFit="1" customWidth="1" style="107" min="11087" max="11087"/>
    <col width="9.875" bestFit="1" customWidth="1" style="107" min="11088" max="11088"/>
    <col width="5" bestFit="1" customWidth="1" style="107" min="11089" max="11089"/>
    <col width="7.125" bestFit="1" customWidth="1" style="107" min="11090" max="11090"/>
    <col width="9.375" bestFit="1" customWidth="1" style="107" min="11091" max="11091"/>
    <col width="10.25" bestFit="1" customWidth="1" style="107" min="11092" max="11092"/>
    <col width="7.375" bestFit="1" customWidth="1" style="107" min="11093" max="11093"/>
    <col width="47.375" bestFit="1" customWidth="1" style="107" min="11094" max="11094"/>
    <col width="73.25" bestFit="1" customWidth="1" style="107" min="11095" max="11095"/>
    <col width="26.625" bestFit="1" customWidth="1" style="107" min="11096" max="11096"/>
    <col width="26.75" bestFit="1" customWidth="1" style="107" min="11097" max="11098"/>
    <col width="6.375" bestFit="1" customWidth="1" style="107" min="11099" max="11099"/>
    <col width="9.875" bestFit="1" customWidth="1" style="107" min="11100" max="11101"/>
    <col width="26.5" bestFit="1" customWidth="1" style="107" min="11102" max="11102"/>
    <col width="9.125" bestFit="1" customWidth="1" style="107" min="11103" max="11103"/>
    <col width="12.625" bestFit="1" customWidth="1" style="107" min="11104" max="11104"/>
    <col width="36.5" bestFit="1" customWidth="1" style="107" min="11105" max="11105"/>
    <col width="3.375" bestFit="1" customWidth="1" style="107" min="11106" max="11106"/>
    <col width="8" bestFit="1" customWidth="1" style="107" min="11107" max="11107"/>
    <col width="5.625" bestFit="1" customWidth="1" style="107" min="11108" max="11108"/>
    <col width="7.875" bestFit="1" customWidth="1" style="107" min="11109" max="11109"/>
    <col width="6" bestFit="1" customWidth="1" style="107" min="11110" max="11110"/>
    <col width="11.25" bestFit="1" customWidth="1" style="107" min="11111" max="11111"/>
    <col width="9" customWidth="1" style="107" min="11112" max="11264"/>
    <col width="13.125" bestFit="1" customWidth="1" style="107" min="11265" max="11265"/>
    <col width="10.875" bestFit="1" customWidth="1" style="107" min="11266" max="11266"/>
    <col width="4.625" bestFit="1" customWidth="1" style="107" min="11267" max="11267"/>
    <col width="7" bestFit="1" customWidth="1" style="107" min="11268" max="11268"/>
    <col width="5.125" bestFit="1" customWidth="1" style="107" min="11269" max="11269"/>
    <col width="3.25" bestFit="1" customWidth="1" style="107" min="11270" max="11274"/>
    <col width="3.5" bestFit="1" customWidth="1" style="107" min="11275" max="11275"/>
    <col width="3.25" bestFit="1" customWidth="1" style="107" min="11276" max="11277"/>
    <col width="4.75" bestFit="1" customWidth="1" style="107" min="11278" max="11279"/>
    <col width="5.25" bestFit="1" customWidth="1" style="107" min="11280" max="11280"/>
    <col width="4.875" bestFit="1" customWidth="1" style="107" min="11281" max="11281"/>
    <col width="7.875" bestFit="1" customWidth="1" style="107" min="11282" max="11282"/>
    <col width="5.125" bestFit="1" customWidth="1" style="107" min="11283" max="11283"/>
    <col width="5.5" bestFit="1" customWidth="1" style="107" min="11284" max="11284"/>
    <col width="5.75" bestFit="1" customWidth="1" style="107" min="11285" max="11285"/>
    <col width="7.875" bestFit="1" customWidth="1" style="107" min="11286" max="11286"/>
    <col width="5.125" bestFit="1" customWidth="1" style="107" min="11287" max="11287"/>
    <col width="4.625" bestFit="1" customWidth="1" style="107" min="11288" max="11288"/>
    <col width="7.875" bestFit="1" customWidth="1" style="107" min="11289" max="11289"/>
    <col width="6.125" bestFit="1" customWidth="1" style="107" min="11290" max="11290"/>
    <col width="36.5" bestFit="1" customWidth="1" style="107" min="11291" max="11291"/>
    <col width="29.25" bestFit="1" customWidth="1" style="107" min="11292" max="11292"/>
    <col width="9.875" bestFit="1" customWidth="1" style="107" min="11293" max="11294"/>
    <col width="9.25" bestFit="1" customWidth="1" style="107" min="11295" max="11295"/>
    <col width="2.5" bestFit="1" customWidth="1" style="107" min="11296" max="11296"/>
    <col width="3.25" bestFit="1" customWidth="1" style="107" min="11297" max="11297"/>
    <col width="3.625" bestFit="1" customWidth="1" style="107" min="11298" max="11298"/>
    <col width="3.375" bestFit="1" customWidth="1" style="107" min="11299" max="11299"/>
    <col width="23.625" bestFit="1" customWidth="1" style="107" min="11300" max="11300"/>
    <col width="8.25" bestFit="1" customWidth="1" style="107" min="11301" max="11301"/>
    <col width="6.875" bestFit="1" customWidth="1" style="107" min="11302" max="11302"/>
    <col width="6.375" bestFit="1" customWidth="1" style="107" min="11303" max="11303"/>
    <col width="19.625" bestFit="1" customWidth="1" style="107" min="11304" max="11304"/>
    <col width="51.375" bestFit="1" customWidth="1" style="107" min="11305" max="11305"/>
    <col width="6.25" bestFit="1" customWidth="1" style="107" min="11306" max="11306"/>
    <col width="2.625" bestFit="1" customWidth="1" style="107" min="11307" max="11307"/>
    <col width="5.125" bestFit="1" customWidth="1" style="107" min="11308" max="11308"/>
    <col width="27.375" bestFit="1" customWidth="1" style="107" min="11309" max="11309"/>
    <col width="5.875" bestFit="1" customWidth="1" style="107" min="11310" max="11310"/>
    <col width="3.75" bestFit="1" customWidth="1" style="107" min="11311" max="11311"/>
    <col width="6.25" bestFit="1" customWidth="1" style="107" min="11312" max="11312"/>
    <col width="6.875" bestFit="1" customWidth="1" style="107" min="11313" max="11313"/>
    <col width="6.75" bestFit="1" customWidth="1" style="107" min="11314" max="11314"/>
    <col width="5.875" bestFit="1" customWidth="1" style="107" min="11315" max="11315"/>
    <col width="91.875" bestFit="1" customWidth="1" style="107" min="11316" max="11316"/>
    <col width="131.25" bestFit="1" customWidth="1" style="107" min="11317" max="11317"/>
    <col width="7" bestFit="1" customWidth="1" style="107" min="11318" max="11318"/>
    <col width="7.875" bestFit="1" customWidth="1" style="107" min="11319" max="11319"/>
    <col width="8.5" bestFit="1" customWidth="1" style="107" min="11320" max="11320"/>
    <col width="4.75" bestFit="1" customWidth="1" style="107" min="11321" max="11321"/>
    <col width="23.25" bestFit="1" customWidth="1" style="107" min="11322" max="11322"/>
    <col width="6.875" bestFit="1" customWidth="1" style="107" min="11323" max="11323"/>
    <col width="7.875" bestFit="1" customWidth="1" style="107" min="11324" max="11324"/>
    <col width="7.75" bestFit="1" customWidth="1" style="107" min="11325" max="11325"/>
    <col width="8" bestFit="1" customWidth="1" style="107" min="11326" max="11326"/>
    <col width="4.625" bestFit="1" customWidth="1" style="107" min="11327" max="11327"/>
    <col width="7.875" bestFit="1" customWidth="1" style="107" min="11328" max="11328"/>
    <col width="4" bestFit="1" customWidth="1" style="107" min="11329" max="11329"/>
    <col width="4.625" customWidth="1" style="107" min="11330" max="11330"/>
    <col width="4" bestFit="1" customWidth="1" style="107" min="11331" max="11340"/>
    <col width="3.75" bestFit="1" customWidth="1" style="107" min="11341" max="11341"/>
    <col width="4" bestFit="1" customWidth="1" style="107" min="11342" max="11342"/>
    <col width="3.625" bestFit="1" customWidth="1" style="107" min="11343" max="11343"/>
    <col width="9.875" bestFit="1" customWidth="1" style="107" min="11344" max="11344"/>
    <col width="5" bestFit="1" customWidth="1" style="107" min="11345" max="11345"/>
    <col width="7.125" bestFit="1" customWidth="1" style="107" min="11346" max="11346"/>
    <col width="9.375" bestFit="1" customWidth="1" style="107" min="11347" max="11347"/>
    <col width="10.25" bestFit="1" customWidth="1" style="107" min="11348" max="11348"/>
    <col width="7.375" bestFit="1" customWidth="1" style="107" min="11349" max="11349"/>
    <col width="47.375" bestFit="1" customWidth="1" style="107" min="11350" max="11350"/>
    <col width="73.25" bestFit="1" customWidth="1" style="107" min="11351" max="11351"/>
    <col width="26.625" bestFit="1" customWidth="1" style="107" min="11352" max="11352"/>
    <col width="26.75" bestFit="1" customWidth="1" style="107" min="11353" max="11354"/>
    <col width="6.375" bestFit="1" customWidth="1" style="107" min="11355" max="11355"/>
    <col width="9.875" bestFit="1" customWidth="1" style="107" min="11356" max="11357"/>
    <col width="26.5" bestFit="1" customWidth="1" style="107" min="11358" max="11358"/>
    <col width="9.125" bestFit="1" customWidth="1" style="107" min="11359" max="11359"/>
    <col width="12.625" bestFit="1" customWidth="1" style="107" min="11360" max="11360"/>
    <col width="36.5" bestFit="1" customWidth="1" style="107" min="11361" max="11361"/>
    <col width="3.375" bestFit="1" customWidth="1" style="107" min="11362" max="11362"/>
    <col width="8" bestFit="1" customWidth="1" style="107" min="11363" max="11363"/>
    <col width="5.625" bestFit="1" customWidth="1" style="107" min="11364" max="11364"/>
    <col width="7.875" bestFit="1" customWidth="1" style="107" min="11365" max="11365"/>
    <col width="6" bestFit="1" customWidth="1" style="107" min="11366" max="11366"/>
    <col width="11.25" bestFit="1" customWidth="1" style="107" min="11367" max="11367"/>
    <col width="9" customWidth="1" style="107" min="11368" max="11520"/>
    <col width="13.125" bestFit="1" customWidth="1" style="107" min="11521" max="11521"/>
    <col width="10.875" bestFit="1" customWidth="1" style="107" min="11522" max="11522"/>
    <col width="4.625" bestFit="1" customWidth="1" style="107" min="11523" max="11523"/>
    <col width="7" bestFit="1" customWidth="1" style="107" min="11524" max="11524"/>
    <col width="5.125" bestFit="1" customWidth="1" style="107" min="11525" max="11525"/>
    <col width="3.25" bestFit="1" customWidth="1" style="107" min="11526" max="11530"/>
    <col width="3.5" bestFit="1" customWidth="1" style="107" min="11531" max="11531"/>
    <col width="3.25" bestFit="1" customWidth="1" style="107" min="11532" max="11533"/>
    <col width="4.75" bestFit="1" customWidth="1" style="107" min="11534" max="11535"/>
    <col width="5.25" bestFit="1" customWidth="1" style="107" min="11536" max="11536"/>
    <col width="4.875" bestFit="1" customWidth="1" style="107" min="11537" max="11537"/>
    <col width="7.875" bestFit="1" customWidth="1" style="107" min="11538" max="11538"/>
    <col width="5.125" bestFit="1" customWidth="1" style="107" min="11539" max="11539"/>
    <col width="5.5" bestFit="1" customWidth="1" style="107" min="11540" max="11540"/>
    <col width="5.75" bestFit="1" customWidth="1" style="107" min="11541" max="11541"/>
    <col width="7.875" bestFit="1" customWidth="1" style="107" min="11542" max="11542"/>
    <col width="5.125" bestFit="1" customWidth="1" style="107" min="11543" max="11543"/>
    <col width="4.625" bestFit="1" customWidth="1" style="107" min="11544" max="11544"/>
    <col width="7.875" bestFit="1" customWidth="1" style="107" min="11545" max="11545"/>
    <col width="6.125" bestFit="1" customWidth="1" style="107" min="11546" max="11546"/>
    <col width="36.5" bestFit="1" customWidth="1" style="107" min="11547" max="11547"/>
    <col width="29.25" bestFit="1" customWidth="1" style="107" min="11548" max="11548"/>
    <col width="9.875" bestFit="1" customWidth="1" style="107" min="11549" max="11550"/>
    <col width="9.25" bestFit="1" customWidth="1" style="107" min="11551" max="11551"/>
    <col width="2.5" bestFit="1" customWidth="1" style="107" min="11552" max="11552"/>
    <col width="3.25" bestFit="1" customWidth="1" style="107" min="11553" max="11553"/>
    <col width="3.625" bestFit="1" customWidth="1" style="107" min="11554" max="11554"/>
    <col width="3.375" bestFit="1" customWidth="1" style="107" min="11555" max="11555"/>
    <col width="23.625" bestFit="1" customWidth="1" style="107" min="11556" max="11556"/>
    <col width="8.25" bestFit="1" customWidth="1" style="107" min="11557" max="11557"/>
    <col width="6.875" bestFit="1" customWidth="1" style="107" min="11558" max="11558"/>
    <col width="6.375" bestFit="1" customWidth="1" style="107" min="11559" max="11559"/>
    <col width="19.625" bestFit="1" customWidth="1" style="107" min="11560" max="11560"/>
    <col width="51.375" bestFit="1" customWidth="1" style="107" min="11561" max="11561"/>
    <col width="6.25" bestFit="1" customWidth="1" style="107" min="11562" max="11562"/>
    <col width="2.625" bestFit="1" customWidth="1" style="107" min="11563" max="11563"/>
    <col width="5.125" bestFit="1" customWidth="1" style="107" min="11564" max="11564"/>
    <col width="27.375" bestFit="1" customWidth="1" style="107" min="11565" max="11565"/>
    <col width="5.875" bestFit="1" customWidth="1" style="107" min="11566" max="11566"/>
    <col width="3.75" bestFit="1" customWidth="1" style="107" min="11567" max="11567"/>
    <col width="6.25" bestFit="1" customWidth="1" style="107" min="11568" max="11568"/>
    <col width="6.875" bestFit="1" customWidth="1" style="107" min="11569" max="11569"/>
    <col width="6.75" bestFit="1" customWidth="1" style="107" min="11570" max="11570"/>
    <col width="5.875" bestFit="1" customWidth="1" style="107" min="11571" max="11571"/>
    <col width="91.875" bestFit="1" customWidth="1" style="107" min="11572" max="11572"/>
    <col width="131.25" bestFit="1" customWidth="1" style="107" min="11573" max="11573"/>
    <col width="7" bestFit="1" customWidth="1" style="107" min="11574" max="11574"/>
    <col width="7.875" bestFit="1" customWidth="1" style="107" min="11575" max="11575"/>
    <col width="8.5" bestFit="1" customWidth="1" style="107" min="11576" max="11576"/>
    <col width="4.75" bestFit="1" customWidth="1" style="107" min="11577" max="11577"/>
    <col width="23.25" bestFit="1" customWidth="1" style="107" min="11578" max="11578"/>
    <col width="6.875" bestFit="1" customWidth="1" style="107" min="11579" max="11579"/>
    <col width="7.875" bestFit="1" customWidth="1" style="107" min="11580" max="11580"/>
    <col width="7.75" bestFit="1" customWidth="1" style="107" min="11581" max="11581"/>
    <col width="8" bestFit="1" customWidth="1" style="107" min="11582" max="11582"/>
    <col width="4.625" bestFit="1" customWidth="1" style="107" min="11583" max="11583"/>
    <col width="7.875" bestFit="1" customWidth="1" style="107" min="11584" max="11584"/>
    <col width="4" bestFit="1" customWidth="1" style="107" min="11585" max="11585"/>
    <col width="4.625" customWidth="1" style="107" min="11586" max="11586"/>
    <col width="4" bestFit="1" customWidth="1" style="107" min="11587" max="11596"/>
    <col width="3.75" bestFit="1" customWidth="1" style="107" min="11597" max="11597"/>
    <col width="4" bestFit="1" customWidth="1" style="107" min="11598" max="11598"/>
    <col width="3.625" bestFit="1" customWidth="1" style="107" min="11599" max="11599"/>
    <col width="9.875" bestFit="1" customWidth="1" style="107" min="11600" max="11600"/>
    <col width="5" bestFit="1" customWidth="1" style="107" min="11601" max="11601"/>
    <col width="7.125" bestFit="1" customWidth="1" style="107" min="11602" max="11602"/>
    <col width="9.375" bestFit="1" customWidth="1" style="107" min="11603" max="11603"/>
    <col width="10.25" bestFit="1" customWidth="1" style="107" min="11604" max="11604"/>
    <col width="7.375" bestFit="1" customWidth="1" style="107" min="11605" max="11605"/>
    <col width="47.375" bestFit="1" customWidth="1" style="107" min="11606" max="11606"/>
    <col width="73.25" bestFit="1" customWidth="1" style="107" min="11607" max="11607"/>
    <col width="26.625" bestFit="1" customWidth="1" style="107" min="11608" max="11608"/>
    <col width="26.75" bestFit="1" customWidth="1" style="107" min="11609" max="11610"/>
    <col width="6.375" bestFit="1" customWidth="1" style="107" min="11611" max="11611"/>
    <col width="9.875" bestFit="1" customWidth="1" style="107" min="11612" max="11613"/>
    <col width="26.5" bestFit="1" customWidth="1" style="107" min="11614" max="11614"/>
    <col width="9.125" bestFit="1" customWidth="1" style="107" min="11615" max="11615"/>
    <col width="12.625" bestFit="1" customWidth="1" style="107" min="11616" max="11616"/>
    <col width="36.5" bestFit="1" customWidth="1" style="107" min="11617" max="11617"/>
    <col width="3.375" bestFit="1" customWidth="1" style="107" min="11618" max="11618"/>
    <col width="8" bestFit="1" customWidth="1" style="107" min="11619" max="11619"/>
    <col width="5.625" bestFit="1" customWidth="1" style="107" min="11620" max="11620"/>
    <col width="7.875" bestFit="1" customWidth="1" style="107" min="11621" max="11621"/>
    <col width="6" bestFit="1" customWidth="1" style="107" min="11622" max="11622"/>
    <col width="11.25" bestFit="1" customWidth="1" style="107" min="11623" max="11623"/>
    <col width="9" customWidth="1" style="107" min="11624" max="11776"/>
    <col width="13.125" bestFit="1" customWidth="1" style="107" min="11777" max="11777"/>
    <col width="10.875" bestFit="1" customWidth="1" style="107" min="11778" max="11778"/>
    <col width="4.625" bestFit="1" customWidth="1" style="107" min="11779" max="11779"/>
    <col width="7" bestFit="1" customWidth="1" style="107" min="11780" max="11780"/>
    <col width="5.125" bestFit="1" customWidth="1" style="107" min="11781" max="11781"/>
    <col width="3.25" bestFit="1" customWidth="1" style="107" min="11782" max="11786"/>
    <col width="3.5" bestFit="1" customWidth="1" style="107" min="11787" max="11787"/>
    <col width="3.25" bestFit="1" customWidth="1" style="107" min="11788" max="11789"/>
    <col width="4.75" bestFit="1" customWidth="1" style="107" min="11790" max="11791"/>
    <col width="5.25" bestFit="1" customWidth="1" style="107" min="11792" max="11792"/>
    <col width="4.875" bestFit="1" customWidth="1" style="107" min="11793" max="11793"/>
    <col width="7.875" bestFit="1" customWidth="1" style="107" min="11794" max="11794"/>
    <col width="5.125" bestFit="1" customWidth="1" style="107" min="11795" max="11795"/>
    <col width="5.5" bestFit="1" customWidth="1" style="107" min="11796" max="11796"/>
    <col width="5.75" bestFit="1" customWidth="1" style="107" min="11797" max="11797"/>
    <col width="7.875" bestFit="1" customWidth="1" style="107" min="11798" max="11798"/>
    <col width="5.125" bestFit="1" customWidth="1" style="107" min="11799" max="11799"/>
    <col width="4.625" bestFit="1" customWidth="1" style="107" min="11800" max="11800"/>
    <col width="7.875" bestFit="1" customWidth="1" style="107" min="11801" max="11801"/>
    <col width="6.125" bestFit="1" customWidth="1" style="107" min="11802" max="11802"/>
    <col width="36.5" bestFit="1" customWidth="1" style="107" min="11803" max="11803"/>
    <col width="29.25" bestFit="1" customWidth="1" style="107" min="11804" max="11804"/>
    <col width="9.875" bestFit="1" customWidth="1" style="107" min="11805" max="11806"/>
    <col width="9.25" bestFit="1" customWidth="1" style="107" min="11807" max="11807"/>
    <col width="2.5" bestFit="1" customWidth="1" style="107" min="11808" max="11808"/>
    <col width="3.25" bestFit="1" customWidth="1" style="107" min="11809" max="11809"/>
    <col width="3.625" bestFit="1" customWidth="1" style="107" min="11810" max="11810"/>
    <col width="3.375" bestFit="1" customWidth="1" style="107" min="11811" max="11811"/>
    <col width="23.625" bestFit="1" customWidth="1" style="107" min="11812" max="11812"/>
    <col width="8.25" bestFit="1" customWidth="1" style="107" min="11813" max="11813"/>
    <col width="6.875" bestFit="1" customWidth="1" style="107" min="11814" max="11814"/>
    <col width="6.375" bestFit="1" customWidth="1" style="107" min="11815" max="11815"/>
    <col width="19.625" bestFit="1" customWidth="1" style="107" min="11816" max="11816"/>
    <col width="51.375" bestFit="1" customWidth="1" style="107" min="11817" max="11817"/>
    <col width="6.25" bestFit="1" customWidth="1" style="107" min="11818" max="11818"/>
    <col width="2.625" bestFit="1" customWidth="1" style="107" min="11819" max="11819"/>
    <col width="5.125" bestFit="1" customWidth="1" style="107" min="11820" max="11820"/>
    <col width="27.375" bestFit="1" customWidth="1" style="107" min="11821" max="11821"/>
    <col width="5.875" bestFit="1" customWidth="1" style="107" min="11822" max="11822"/>
    <col width="3.75" bestFit="1" customWidth="1" style="107" min="11823" max="11823"/>
    <col width="6.25" bestFit="1" customWidth="1" style="107" min="11824" max="11824"/>
    <col width="6.875" bestFit="1" customWidth="1" style="107" min="11825" max="11825"/>
    <col width="6.75" bestFit="1" customWidth="1" style="107" min="11826" max="11826"/>
    <col width="5.875" bestFit="1" customWidth="1" style="107" min="11827" max="11827"/>
    <col width="91.875" bestFit="1" customWidth="1" style="107" min="11828" max="11828"/>
    <col width="131.25" bestFit="1" customWidth="1" style="107" min="11829" max="11829"/>
    <col width="7" bestFit="1" customWidth="1" style="107" min="11830" max="11830"/>
    <col width="7.875" bestFit="1" customWidth="1" style="107" min="11831" max="11831"/>
    <col width="8.5" bestFit="1" customWidth="1" style="107" min="11832" max="11832"/>
    <col width="4.75" bestFit="1" customWidth="1" style="107" min="11833" max="11833"/>
    <col width="23.25" bestFit="1" customWidth="1" style="107" min="11834" max="11834"/>
    <col width="6.875" bestFit="1" customWidth="1" style="107" min="11835" max="11835"/>
    <col width="7.875" bestFit="1" customWidth="1" style="107" min="11836" max="11836"/>
    <col width="7.75" bestFit="1" customWidth="1" style="107" min="11837" max="11837"/>
    <col width="8" bestFit="1" customWidth="1" style="107" min="11838" max="11838"/>
    <col width="4.625" bestFit="1" customWidth="1" style="107" min="11839" max="11839"/>
    <col width="7.875" bestFit="1" customWidth="1" style="107" min="11840" max="11840"/>
    <col width="4" bestFit="1" customWidth="1" style="107" min="11841" max="11841"/>
    <col width="4.625" customWidth="1" style="107" min="11842" max="11842"/>
    <col width="4" bestFit="1" customWidth="1" style="107" min="11843" max="11852"/>
    <col width="3.75" bestFit="1" customWidth="1" style="107" min="11853" max="11853"/>
    <col width="4" bestFit="1" customWidth="1" style="107" min="11854" max="11854"/>
    <col width="3.625" bestFit="1" customWidth="1" style="107" min="11855" max="11855"/>
    <col width="9.875" bestFit="1" customWidth="1" style="107" min="11856" max="11856"/>
    <col width="5" bestFit="1" customWidth="1" style="107" min="11857" max="11857"/>
    <col width="7.125" bestFit="1" customWidth="1" style="107" min="11858" max="11858"/>
    <col width="9.375" bestFit="1" customWidth="1" style="107" min="11859" max="11859"/>
    <col width="10.25" bestFit="1" customWidth="1" style="107" min="11860" max="11860"/>
    <col width="7.375" bestFit="1" customWidth="1" style="107" min="11861" max="11861"/>
    <col width="47.375" bestFit="1" customWidth="1" style="107" min="11862" max="11862"/>
    <col width="73.25" bestFit="1" customWidth="1" style="107" min="11863" max="11863"/>
    <col width="26.625" bestFit="1" customWidth="1" style="107" min="11864" max="11864"/>
    <col width="26.75" bestFit="1" customWidth="1" style="107" min="11865" max="11866"/>
    <col width="6.375" bestFit="1" customWidth="1" style="107" min="11867" max="11867"/>
    <col width="9.875" bestFit="1" customWidth="1" style="107" min="11868" max="11869"/>
    <col width="26.5" bestFit="1" customWidth="1" style="107" min="11870" max="11870"/>
    <col width="9.125" bestFit="1" customWidth="1" style="107" min="11871" max="11871"/>
    <col width="12.625" bestFit="1" customWidth="1" style="107" min="11872" max="11872"/>
    <col width="36.5" bestFit="1" customWidth="1" style="107" min="11873" max="11873"/>
    <col width="3.375" bestFit="1" customWidth="1" style="107" min="11874" max="11874"/>
    <col width="8" bestFit="1" customWidth="1" style="107" min="11875" max="11875"/>
    <col width="5.625" bestFit="1" customWidth="1" style="107" min="11876" max="11876"/>
    <col width="7.875" bestFit="1" customWidth="1" style="107" min="11877" max="11877"/>
    <col width="6" bestFit="1" customWidth="1" style="107" min="11878" max="11878"/>
    <col width="11.25" bestFit="1" customWidth="1" style="107" min="11879" max="11879"/>
    <col width="9" customWidth="1" style="107" min="11880" max="12032"/>
    <col width="13.125" bestFit="1" customWidth="1" style="107" min="12033" max="12033"/>
    <col width="10.875" bestFit="1" customWidth="1" style="107" min="12034" max="12034"/>
    <col width="4.625" bestFit="1" customWidth="1" style="107" min="12035" max="12035"/>
    <col width="7" bestFit="1" customWidth="1" style="107" min="12036" max="12036"/>
    <col width="5.125" bestFit="1" customWidth="1" style="107" min="12037" max="12037"/>
    <col width="3.25" bestFit="1" customWidth="1" style="107" min="12038" max="12042"/>
    <col width="3.5" bestFit="1" customWidth="1" style="107" min="12043" max="12043"/>
    <col width="3.25" bestFit="1" customWidth="1" style="107" min="12044" max="12045"/>
    <col width="4.75" bestFit="1" customWidth="1" style="107" min="12046" max="12047"/>
    <col width="5.25" bestFit="1" customWidth="1" style="107" min="12048" max="12048"/>
    <col width="4.875" bestFit="1" customWidth="1" style="107" min="12049" max="12049"/>
    <col width="7.875" bestFit="1" customWidth="1" style="107" min="12050" max="12050"/>
    <col width="5.125" bestFit="1" customWidth="1" style="107" min="12051" max="12051"/>
    <col width="5.5" bestFit="1" customWidth="1" style="107" min="12052" max="12052"/>
    <col width="5.75" bestFit="1" customWidth="1" style="107" min="12053" max="12053"/>
    <col width="7.875" bestFit="1" customWidth="1" style="107" min="12054" max="12054"/>
    <col width="5.125" bestFit="1" customWidth="1" style="107" min="12055" max="12055"/>
    <col width="4.625" bestFit="1" customWidth="1" style="107" min="12056" max="12056"/>
    <col width="7.875" bestFit="1" customWidth="1" style="107" min="12057" max="12057"/>
    <col width="6.125" bestFit="1" customWidth="1" style="107" min="12058" max="12058"/>
    <col width="36.5" bestFit="1" customWidth="1" style="107" min="12059" max="12059"/>
    <col width="29.25" bestFit="1" customWidth="1" style="107" min="12060" max="12060"/>
    <col width="9.875" bestFit="1" customWidth="1" style="107" min="12061" max="12062"/>
    <col width="9.25" bestFit="1" customWidth="1" style="107" min="12063" max="12063"/>
    <col width="2.5" bestFit="1" customWidth="1" style="107" min="12064" max="12064"/>
    <col width="3.25" bestFit="1" customWidth="1" style="107" min="12065" max="12065"/>
    <col width="3.625" bestFit="1" customWidth="1" style="107" min="12066" max="12066"/>
    <col width="3.375" bestFit="1" customWidth="1" style="107" min="12067" max="12067"/>
    <col width="23.625" bestFit="1" customWidth="1" style="107" min="12068" max="12068"/>
    <col width="8.25" bestFit="1" customWidth="1" style="107" min="12069" max="12069"/>
    <col width="6.875" bestFit="1" customWidth="1" style="107" min="12070" max="12070"/>
    <col width="6.375" bestFit="1" customWidth="1" style="107" min="12071" max="12071"/>
    <col width="19.625" bestFit="1" customWidth="1" style="107" min="12072" max="12072"/>
    <col width="51.375" bestFit="1" customWidth="1" style="107" min="12073" max="12073"/>
    <col width="6.25" bestFit="1" customWidth="1" style="107" min="12074" max="12074"/>
    <col width="2.625" bestFit="1" customWidth="1" style="107" min="12075" max="12075"/>
    <col width="5.125" bestFit="1" customWidth="1" style="107" min="12076" max="12076"/>
    <col width="27.375" bestFit="1" customWidth="1" style="107" min="12077" max="12077"/>
    <col width="5.875" bestFit="1" customWidth="1" style="107" min="12078" max="12078"/>
    <col width="3.75" bestFit="1" customWidth="1" style="107" min="12079" max="12079"/>
    <col width="6.25" bestFit="1" customWidth="1" style="107" min="12080" max="12080"/>
    <col width="6.875" bestFit="1" customWidth="1" style="107" min="12081" max="12081"/>
    <col width="6.75" bestFit="1" customWidth="1" style="107" min="12082" max="12082"/>
    <col width="5.875" bestFit="1" customWidth="1" style="107" min="12083" max="12083"/>
    <col width="91.875" bestFit="1" customWidth="1" style="107" min="12084" max="12084"/>
    <col width="131.25" bestFit="1" customWidth="1" style="107" min="12085" max="12085"/>
    <col width="7" bestFit="1" customWidth="1" style="107" min="12086" max="12086"/>
    <col width="7.875" bestFit="1" customWidth="1" style="107" min="12087" max="12087"/>
    <col width="8.5" bestFit="1" customWidth="1" style="107" min="12088" max="12088"/>
    <col width="4.75" bestFit="1" customWidth="1" style="107" min="12089" max="12089"/>
    <col width="23.25" bestFit="1" customWidth="1" style="107" min="12090" max="12090"/>
    <col width="6.875" bestFit="1" customWidth="1" style="107" min="12091" max="12091"/>
    <col width="7.875" bestFit="1" customWidth="1" style="107" min="12092" max="12092"/>
    <col width="7.75" bestFit="1" customWidth="1" style="107" min="12093" max="12093"/>
    <col width="8" bestFit="1" customWidth="1" style="107" min="12094" max="12094"/>
    <col width="4.625" bestFit="1" customWidth="1" style="107" min="12095" max="12095"/>
    <col width="7.875" bestFit="1" customWidth="1" style="107" min="12096" max="12096"/>
    <col width="4" bestFit="1" customWidth="1" style="107" min="12097" max="12097"/>
    <col width="4.625" customWidth="1" style="107" min="12098" max="12098"/>
    <col width="4" bestFit="1" customWidth="1" style="107" min="12099" max="12108"/>
    <col width="3.75" bestFit="1" customWidth="1" style="107" min="12109" max="12109"/>
    <col width="4" bestFit="1" customWidth="1" style="107" min="12110" max="12110"/>
    <col width="3.625" bestFit="1" customWidth="1" style="107" min="12111" max="12111"/>
    <col width="9.875" bestFit="1" customWidth="1" style="107" min="12112" max="12112"/>
    <col width="5" bestFit="1" customWidth="1" style="107" min="12113" max="12113"/>
    <col width="7.125" bestFit="1" customWidth="1" style="107" min="12114" max="12114"/>
    <col width="9.375" bestFit="1" customWidth="1" style="107" min="12115" max="12115"/>
    <col width="10.25" bestFit="1" customWidth="1" style="107" min="12116" max="12116"/>
    <col width="7.375" bestFit="1" customWidth="1" style="107" min="12117" max="12117"/>
    <col width="47.375" bestFit="1" customWidth="1" style="107" min="12118" max="12118"/>
    <col width="73.25" bestFit="1" customWidth="1" style="107" min="12119" max="12119"/>
    <col width="26.625" bestFit="1" customWidth="1" style="107" min="12120" max="12120"/>
    <col width="26.75" bestFit="1" customWidth="1" style="107" min="12121" max="12122"/>
    <col width="6.375" bestFit="1" customWidth="1" style="107" min="12123" max="12123"/>
    <col width="9.875" bestFit="1" customWidth="1" style="107" min="12124" max="12125"/>
    <col width="26.5" bestFit="1" customWidth="1" style="107" min="12126" max="12126"/>
    <col width="9.125" bestFit="1" customWidth="1" style="107" min="12127" max="12127"/>
    <col width="12.625" bestFit="1" customWidth="1" style="107" min="12128" max="12128"/>
    <col width="36.5" bestFit="1" customWidth="1" style="107" min="12129" max="12129"/>
    <col width="3.375" bestFit="1" customWidth="1" style="107" min="12130" max="12130"/>
    <col width="8" bestFit="1" customWidth="1" style="107" min="12131" max="12131"/>
    <col width="5.625" bestFit="1" customWidth="1" style="107" min="12132" max="12132"/>
    <col width="7.875" bestFit="1" customWidth="1" style="107" min="12133" max="12133"/>
    <col width="6" bestFit="1" customWidth="1" style="107" min="12134" max="12134"/>
    <col width="11.25" bestFit="1" customWidth="1" style="107" min="12135" max="12135"/>
    <col width="9" customWidth="1" style="107" min="12136" max="12288"/>
    <col width="13.125" bestFit="1" customWidth="1" style="107" min="12289" max="12289"/>
    <col width="10.875" bestFit="1" customWidth="1" style="107" min="12290" max="12290"/>
    <col width="4.625" bestFit="1" customWidth="1" style="107" min="12291" max="12291"/>
    <col width="7" bestFit="1" customWidth="1" style="107" min="12292" max="12292"/>
    <col width="5.125" bestFit="1" customWidth="1" style="107" min="12293" max="12293"/>
    <col width="3.25" bestFit="1" customWidth="1" style="107" min="12294" max="12298"/>
    <col width="3.5" bestFit="1" customWidth="1" style="107" min="12299" max="12299"/>
    <col width="3.25" bestFit="1" customWidth="1" style="107" min="12300" max="12301"/>
    <col width="4.75" bestFit="1" customWidth="1" style="107" min="12302" max="12303"/>
    <col width="5.25" bestFit="1" customWidth="1" style="107" min="12304" max="12304"/>
    <col width="4.875" bestFit="1" customWidth="1" style="107" min="12305" max="12305"/>
    <col width="7.875" bestFit="1" customWidth="1" style="107" min="12306" max="12306"/>
    <col width="5.125" bestFit="1" customWidth="1" style="107" min="12307" max="12307"/>
    <col width="5.5" bestFit="1" customWidth="1" style="107" min="12308" max="12308"/>
    <col width="5.75" bestFit="1" customWidth="1" style="107" min="12309" max="12309"/>
    <col width="7.875" bestFit="1" customWidth="1" style="107" min="12310" max="12310"/>
    <col width="5.125" bestFit="1" customWidth="1" style="107" min="12311" max="12311"/>
    <col width="4.625" bestFit="1" customWidth="1" style="107" min="12312" max="12312"/>
    <col width="7.875" bestFit="1" customWidth="1" style="107" min="12313" max="12313"/>
    <col width="6.125" bestFit="1" customWidth="1" style="107" min="12314" max="12314"/>
    <col width="36.5" bestFit="1" customWidth="1" style="107" min="12315" max="12315"/>
    <col width="29.25" bestFit="1" customWidth="1" style="107" min="12316" max="12316"/>
    <col width="9.875" bestFit="1" customWidth="1" style="107" min="12317" max="12318"/>
    <col width="9.25" bestFit="1" customWidth="1" style="107" min="12319" max="12319"/>
    <col width="2.5" bestFit="1" customWidth="1" style="107" min="12320" max="12320"/>
    <col width="3.25" bestFit="1" customWidth="1" style="107" min="12321" max="12321"/>
    <col width="3.625" bestFit="1" customWidth="1" style="107" min="12322" max="12322"/>
    <col width="3.375" bestFit="1" customWidth="1" style="107" min="12323" max="12323"/>
    <col width="23.625" bestFit="1" customWidth="1" style="107" min="12324" max="12324"/>
    <col width="8.25" bestFit="1" customWidth="1" style="107" min="12325" max="12325"/>
    <col width="6.875" bestFit="1" customWidth="1" style="107" min="12326" max="12326"/>
    <col width="6.375" bestFit="1" customWidth="1" style="107" min="12327" max="12327"/>
    <col width="19.625" bestFit="1" customWidth="1" style="107" min="12328" max="12328"/>
    <col width="51.375" bestFit="1" customWidth="1" style="107" min="12329" max="12329"/>
    <col width="6.25" bestFit="1" customWidth="1" style="107" min="12330" max="12330"/>
    <col width="2.625" bestFit="1" customWidth="1" style="107" min="12331" max="12331"/>
    <col width="5.125" bestFit="1" customWidth="1" style="107" min="12332" max="12332"/>
    <col width="27.375" bestFit="1" customWidth="1" style="107" min="12333" max="12333"/>
    <col width="5.875" bestFit="1" customWidth="1" style="107" min="12334" max="12334"/>
    <col width="3.75" bestFit="1" customWidth="1" style="107" min="12335" max="12335"/>
    <col width="6.25" bestFit="1" customWidth="1" style="107" min="12336" max="12336"/>
    <col width="6.875" bestFit="1" customWidth="1" style="107" min="12337" max="12337"/>
    <col width="6.75" bestFit="1" customWidth="1" style="107" min="12338" max="12338"/>
    <col width="5.875" bestFit="1" customWidth="1" style="107" min="12339" max="12339"/>
    <col width="91.875" bestFit="1" customWidth="1" style="107" min="12340" max="12340"/>
    <col width="131.25" bestFit="1" customWidth="1" style="107" min="12341" max="12341"/>
    <col width="7" bestFit="1" customWidth="1" style="107" min="12342" max="12342"/>
    <col width="7.875" bestFit="1" customWidth="1" style="107" min="12343" max="12343"/>
    <col width="8.5" bestFit="1" customWidth="1" style="107" min="12344" max="12344"/>
    <col width="4.75" bestFit="1" customWidth="1" style="107" min="12345" max="12345"/>
    <col width="23.25" bestFit="1" customWidth="1" style="107" min="12346" max="12346"/>
    <col width="6.875" bestFit="1" customWidth="1" style="107" min="12347" max="12347"/>
    <col width="7.875" bestFit="1" customWidth="1" style="107" min="12348" max="12348"/>
    <col width="7.75" bestFit="1" customWidth="1" style="107" min="12349" max="12349"/>
    <col width="8" bestFit="1" customWidth="1" style="107" min="12350" max="12350"/>
    <col width="4.625" bestFit="1" customWidth="1" style="107" min="12351" max="12351"/>
    <col width="7.875" bestFit="1" customWidth="1" style="107" min="12352" max="12352"/>
    <col width="4" bestFit="1" customWidth="1" style="107" min="12353" max="12353"/>
    <col width="4.625" customWidth="1" style="107" min="12354" max="12354"/>
    <col width="4" bestFit="1" customWidth="1" style="107" min="12355" max="12364"/>
    <col width="3.75" bestFit="1" customWidth="1" style="107" min="12365" max="12365"/>
    <col width="4" bestFit="1" customWidth="1" style="107" min="12366" max="12366"/>
    <col width="3.625" bestFit="1" customWidth="1" style="107" min="12367" max="12367"/>
    <col width="9.875" bestFit="1" customWidth="1" style="107" min="12368" max="12368"/>
    <col width="5" bestFit="1" customWidth="1" style="107" min="12369" max="12369"/>
    <col width="7.125" bestFit="1" customWidth="1" style="107" min="12370" max="12370"/>
    <col width="9.375" bestFit="1" customWidth="1" style="107" min="12371" max="12371"/>
    <col width="10.25" bestFit="1" customWidth="1" style="107" min="12372" max="12372"/>
    <col width="7.375" bestFit="1" customWidth="1" style="107" min="12373" max="12373"/>
    <col width="47.375" bestFit="1" customWidth="1" style="107" min="12374" max="12374"/>
    <col width="73.25" bestFit="1" customWidth="1" style="107" min="12375" max="12375"/>
    <col width="26.625" bestFit="1" customWidth="1" style="107" min="12376" max="12376"/>
    <col width="26.75" bestFit="1" customWidth="1" style="107" min="12377" max="12378"/>
    <col width="6.375" bestFit="1" customWidth="1" style="107" min="12379" max="12379"/>
    <col width="9.875" bestFit="1" customWidth="1" style="107" min="12380" max="12381"/>
    <col width="26.5" bestFit="1" customWidth="1" style="107" min="12382" max="12382"/>
    <col width="9.125" bestFit="1" customWidth="1" style="107" min="12383" max="12383"/>
    <col width="12.625" bestFit="1" customWidth="1" style="107" min="12384" max="12384"/>
    <col width="36.5" bestFit="1" customWidth="1" style="107" min="12385" max="12385"/>
    <col width="3.375" bestFit="1" customWidth="1" style="107" min="12386" max="12386"/>
    <col width="8" bestFit="1" customWidth="1" style="107" min="12387" max="12387"/>
    <col width="5.625" bestFit="1" customWidth="1" style="107" min="12388" max="12388"/>
    <col width="7.875" bestFit="1" customWidth="1" style="107" min="12389" max="12389"/>
    <col width="6" bestFit="1" customWidth="1" style="107" min="12390" max="12390"/>
    <col width="11.25" bestFit="1" customWidth="1" style="107" min="12391" max="12391"/>
    <col width="9" customWidth="1" style="107" min="12392" max="12544"/>
    <col width="13.125" bestFit="1" customWidth="1" style="107" min="12545" max="12545"/>
    <col width="10.875" bestFit="1" customWidth="1" style="107" min="12546" max="12546"/>
    <col width="4.625" bestFit="1" customWidth="1" style="107" min="12547" max="12547"/>
    <col width="7" bestFit="1" customWidth="1" style="107" min="12548" max="12548"/>
    <col width="5.125" bestFit="1" customWidth="1" style="107" min="12549" max="12549"/>
    <col width="3.25" bestFit="1" customWidth="1" style="107" min="12550" max="12554"/>
    <col width="3.5" bestFit="1" customWidth="1" style="107" min="12555" max="12555"/>
    <col width="3.25" bestFit="1" customWidth="1" style="107" min="12556" max="12557"/>
    <col width="4.75" bestFit="1" customWidth="1" style="107" min="12558" max="12559"/>
    <col width="5.25" bestFit="1" customWidth="1" style="107" min="12560" max="12560"/>
    <col width="4.875" bestFit="1" customWidth="1" style="107" min="12561" max="12561"/>
    <col width="7.875" bestFit="1" customWidth="1" style="107" min="12562" max="12562"/>
    <col width="5.125" bestFit="1" customWidth="1" style="107" min="12563" max="12563"/>
    <col width="5.5" bestFit="1" customWidth="1" style="107" min="12564" max="12564"/>
    <col width="5.75" bestFit="1" customWidth="1" style="107" min="12565" max="12565"/>
    <col width="7.875" bestFit="1" customWidth="1" style="107" min="12566" max="12566"/>
    <col width="5.125" bestFit="1" customWidth="1" style="107" min="12567" max="12567"/>
    <col width="4.625" bestFit="1" customWidth="1" style="107" min="12568" max="12568"/>
    <col width="7.875" bestFit="1" customWidth="1" style="107" min="12569" max="12569"/>
    <col width="6.125" bestFit="1" customWidth="1" style="107" min="12570" max="12570"/>
    <col width="36.5" bestFit="1" customWidth="1" style="107" min="12571" max="12571"/>
    <col width="29.25" bestFit="1" customWidth="1" style="107" min="12572" max="12572"/>
    <col width="9.875" bestFit="1" customWidth="1" style="107" min="12573" max="12574"/>
    <col width="9.25" bestFit="1" customWidth="1" style="107" min="12575" max="12575"/>
    <col width="2.5" bestFit="1" customWidth="1" style="107" min="12576" max="12576"/>
    <col width="3.25" bestFit="1" customWidth="1" style="107" min="12577" max="12577"/>
    <col width="3.625" bestFit="1" customWidth="1" style="107" min="12578" max="12578"/>
    <col width="3.375" bestFit="1" customWidth="1" style="107" min="12579" max="12579"/>
    <col width="23.625" bestFit="1" customWidth="1" style="107" min="12580" max="12580"/>
    <col width="8.25" bestFit="1" customWidth="1" style="107" min="12581" max="12581"/>
    <col width="6.875" bestFit="1" customWidth="1" style="107" min="12582" max="12582"/>
    <col width="6.375" bestFit="1" customWidth="1" style="107" min="12583" max="12583"/>
    <col width="19.625" bestFit="1" customWidth="1" style="107" min="12584" max="12584"/>
    <col width="51.375" bestFit="1" customWidth="1" style="107" min="12585" max="12585"/>
    <col width="6.25" bestFit="1" customWidth="1" style="107" min="12586" max="12586"/>
    <col width="2.625" bestFit="1" customWidth="1" style="107" min="12587" max="12587"/>
    <col width="5.125" bestFit="1" customWidth="1" style="107" min="12588" max="12588"/>
    <col width="27.375" bestFit="1" customWidth="1" style="107" min="12589" max="12589"/>
    <col width="5.875" bestFit="1" customWidth="1" style="107" min="12590" max="12590"/>
    <col width="3.75" bestFit="1" customWidth="1" style="107" min="12591" max="12591"/>
    <col width="6.25" bestFit="1" customWidth="1" style="107" min="12592" max="12592"/>
    <col width="6.875" bestFit="1" customWidth="1" style="107" min="12593" max="12593"/>
    <col width="6.75" bestFit="1" customWidth="1" style="107" min="12594" max="12594"/>
    <col width="5.875" bestFit="1" customWidth="1" style="107" min="12595" max="12595"/>
    <col width="91.875" bestFit="1" customWidth="1" style="107" min="12596" max="12596"/>
    <col width="131.25" bestFit="1" customWidth="1" style="107" min="12597" max="12597"/>
    <col width="7" bestFit="1" customWidth="1" style="107" min="12598" max="12598"/>
    <col width="7.875" bestFit="1" customWidth="1" style="107" min="12599" max="12599"/>
    <col width="8.5" bestFit="1" customWidth="1" style="107" min="12600" max="12600"/>
    <col width="4.75" bestFit="1" customWidth="1" style="107" min="12601" max="12601"/>
    <col width="23.25" bestFit="1" customWidth="1" style="107" min="12602" max="12602"/>
    <col width="6.875" bestFit="1" customWidth="1" style="107" min="12603" max="12603"/>
    <col width="7.875" bestFit="1" customWidth="1" style="107" min="12604" max="12604"/>
    <col width="7.75" bestFit="1" customWidth="1" style="107" min="12605" max="12605"/>
    <col width="8" bestFit="1" customWidth="1" style="107" min="12606" max="12606"/>
    <col width="4.625" bestFit="1" customWidth="1" style="107" min="12607" max="12607"/>
    <col width="7.875" bestFit="1" customWidth="1" style="107" min="12608" max="12608"/>
    <col width="4" bestFit="1" customWidth="1" style="107" min="12609" max="12609"/>
    <col width="4.625" customWidth="1" style="107" min="12610" max="12610"/>
    <col width="4" bestFit="1" customWidth="1" style="107" min="12611" max="12620"/>
    <col width="3.75" bestFit="1" customWidth="1" style="107" min="12621" max="12621"/>
    <col width="4" bestFit="1" customWidth="1" style="107" min="12622" max="12622"/>
    <col width="3.625" bestFit="1" customWidth="1" style="107" min="12623" max="12623"/>
    <col width="9.875" bestFit="1" customWidth="1" style="107" min="12624" max="12624"/>
    <col width="5" bestFit="1" customWidth="1" style="107" min="12625" max="12625"/>
    <col width="7.125" bestFit="1" customWidth="1" style="107" min="12626" max="12626"/>
    <col width="9.375" bestFit="1" customWidth="1" style="107" min="12627" max="12627"/>
    <col width="10.25" bestFit="1" customWidth="1" style="107" min="12628" max="12628"/>
    <col width="7.375" bestFit="1" customWidth="1" style="107" min="12629" max="12629"/>
    <col width="47.375" bestFit="1" customWidth="1" style="107" min="12630" max="12630"/>
    <col width="73.25" bestFit="1" customWidth="1" style="107" min="12631" max="12631"/>
    <col width="26.625" bestFit="1" customWidth="1" style="107" min="12632" max="12632"/>
    <col width="26.75" bestFit="1" customWidth="1" style="107" min="12633" max="12634"/>
    <col width="6.375" bestFit="1" customWidth="1" style="107" min="12635" max="12635"/>
    <col width="9.875" bestFit="1" customWidth="1" style="107" min="12636" max="12637"/>
    <col width="26.5" bestFit="1" customWidth="1" style="107" min="12638" max="12638"/>
    <col width="9.125" bestFit="1" customWidth="1" style="107" min="12639" max="12639"/>
    <col width="12.625" bestFit="1" customWidth="1" style="107" min="12640" max="12640"/>
    <col width="36.5" bestFit="1" customWidth="1" style="107" min="12641" max="12641"/>
    <col width="3.375" bestFit="1" customWidth="1" style="107" min="12642" max="12642"/>
    <col width="8" bestFit="1" customWidth="1" style="107" min="12643" max="12643"/>
    <col width="5.625" bestFit="1" customWidth="1" style="107" min="12644" max="12644"/>
    <col width="7.875" bestFit="1" customWidth="1" style="107" min="12645" max="12645"/>
    <col width="6" bestFit="1" customWidth="1" style="107" min="12646" max="12646"/>
    <col width="11.25" bestFit="1" customWidth="1" style="107" min="12647" max="12647"/>
    <col width="9" customWidth="1" style="107" min="12648" max="12800"/>
    <col width="13.125" bestFit="1" customWidth="1" style="107" min="12801" max="12801"/>
    <col width="10.875" bestFit="1" customWidth="1" style="107" min="12802" max="12802"/>
    <col width="4.625" bestFit="1" customWidth="1" style="107" min="12803" max="12803"/>
    <col width="7" bestFit="1" customWidth="1" style="107" min="12804" max="12804"/>
    <col width="5.125" bestFit="1" customWidth="1" style="107" min="12805" max="12805"/>
    <col width="3.25" bestFit="1" customWidth="1" style="107" min="12806" max="12810"/>
    <col width="3.5" bestFit="1" customWidth="1" style="107" min="12811" max="12811"/>
    <col width="3.25" bestFit="1" customWidth="1" style="107" min="12812" max="12813"/>
    <col width="4.75" bestFit="1" customWidth="1" style="107" min="12814" max="12815"/>
    <col width="5.25" bestFit="1" customWidth="1" style="107" min="12816" max="12816"/>
    <col width="4.875" bestFit="1" customWidth="1" style="107" min="12817" max="12817"/>
    <col width="7.875" bestFit="1" customWidth="1" style="107" min="12818" max="12818"/>
    <col width="5.125" bestFit="1" customWidth="1" style="107" min="12819" max="12819"/>
    <col width="5.5" bestFit="1" customWidth="1" style="107" min="12820" max="12820"/>
    <col width="5.75" bestFit="1" customWidth="1" style="107" min="12821" max="12821"/>
    <col width="7.875" bestFit="1" customWidth="1" style="107" min="12822" max="12822"/>
    <col width="5.125" bestFit="1" customWidth="1" style="107" min="12823" max="12823"/>
    <col width="4.625" bestFit="1" customWidth="1" style="107" min="12824" max="12824"/>
    <col width="7.875" bestFit="1" customWidth="1" style="107" min="12825" max="12825"/>
    <col width="6.125" bestFit="1" customWidth="1" style="107" min="12826" max="12826"/>
    <col width="36.5" bestFit="1" customWidth="1" style="107" min="12827" max="12827"/>
    <col width="29.25" bestFit="1" customWidth="1" style="107" min="12828" max="12828"/>
    <col width="9.875" bestFit="1" customWidth="1" style="107" min="12829" max="12830"/>
    <col width="9.25" bestFit="1" customWidth="1" style="107" min="12831" max="12831"/>
    <col width="2.5" bestFit="1" customWidth="1" style="107" min="12832" max="12832"/>
    <col width="3.25" bestFit="1" customWidth="1" style="107" min="12833" max="12833"/>
    <col width="3.625" bestFit="1" customWidth="1" style="107" min="12834" max="12834"/>
    <col width="3.375" bestFit="1" customWidth="1" style="107" min="12835" max="12835"/>
    <col width="23.625" bestFit="1" customWidth="1" style="107" min="12836" max="12836"/>
    <col width="8.25" bestFit="1" customWidth="1" style="107" min="12837" max="12837"/>
    <col width="6.875" bestFit="1" customWidth="1" style="107" min="12838" max="12838"/>
    <col width="6.375" bestFit="1" customWidth="1" style="107" min="12839" max="12839"/>
    <col width="19.625" bestFit="1" customWidth="1" style="107" min="12840" max="12840"/>
    <col width="51.375" bestFit="1" customWidth="1" style="107" min="12841" max="12841"/>
    <col width="6.25" bestFit="1" customWidth="1" style="107" min="12842" max="12842"/>
    <col width="2.625" bestFit="1" customWidth="1" style="107" min="12843" max="12843"/>
    <col width="5.125" bestFit="1" customWidth="1" style="107" min="12844" max="12844"/>
    <col width="27.375" bestFit="1" customWidth="1" style="107" min="12845" max="12845"/>
    <col width="5.875" bestFit="1" customWidth="1" style="107" min="12846" max="12846"/>
    <col width="3.75" bestFit="1" customWidth="1" style="107" min="12847" max="12847"/>
    <col width="6.25" bestFit="1" customWidth="1" style="107" min="12848" max="12848"/>
    <col width="6.875" bestFit="1" customWidth="1" style="107" min="12849" max="12849"/>
    <col width="6.75" bestFit="1" customWidth="1" style="107" min="12850" max="12850"/>
    <col width="5.875" bestFit="1" customWidth="1" style="107" min="12851" max="12851"/>
    <col width="91.875" bestFit="1" customWidth="1" style="107" min="12852" max="12852"/>
    <col width="131.25" bestFit="1" customWidth="1" style="107" min="12853" max="12853"/>
    <col width="7" bestFit="1" customWidth="1" style="107" min="12854" max="12854"/>
    <col width="7.875" bestFit="1" customWidth="1" style="107" min="12855" max="12855"/>
    <col width="8.5" bestFit="1" customWidth="1" style="107" min="12856" max="12856"/>
    <col width="4.75" bestFit="1" customWidth="1" style="107" min="12857" max="12857"/>
    <col width="23.25" bestFit="1" customWidth="1" style="107" min="12858" max="12858"/>
    <col width="6.875" bestFit="1" customWidth="1" style="107" min="12859" max="12859"/>
    <col width="7.875" bestFit="1" customWidth="1" style="107" min="12860" max="12860"/>
    <col width="7.75" bestFit="1" customWidth="1" style="107" min="12861" max="12861"/>
    <col width="8" bestFit="1" customWidth="1" style="107" min="12862" max="12862"/>
    <col width="4.625" bestFit="1" customWidth="1" style="107" min="12863" max="12863"/>
    <col width="7.875" bestFit="1" customWidth="1" style="107" min="12864" max="12864"/>
    <col width="4" bestFit="1" customWidth="1" style="107" min="12865" max="12865"/>
    <col width="4.625" customWidth="1" style="107" min="12866" max="12866"/>
    <col width="4" bestFit="1" customWidth="1" style="107" min="12867" max="12876"/>
    <col width="3.75" bestFit="1" customWidth="1" style="107" min="12877" max="12877"/>
    <col width="4" bestFit="1" customWidth="1" style="107" min="12878" max="12878"/>
    <col width="3.625" bestFit="1" customWidth="1" style="107" min="12879" max="12879"/>
    <col width="9.875" bestFit="1" customWidth="1" style="107" min="12880" max="12880"/>
    <col width="5" bestFit="1" customWidth="1" style="107" min="12881" max="12881"/>
    <col width="7.125" bestFit="1" customWidth="1" style="107" min="12882" max="12882"/>
    <col width="9.375" bestFit="1" customWidth="1" style="107" min="12883" max="12883"/>
    <col width="10.25" bestFit="1" customWidth="1" style="107" min="12884" max="12884"/>
    <col width="7.375" bestFit="1" customWidth="1" style="107" min="12885" max="12885"/>
    <col width="47.375" bestFit="1" customWidth="1" style="107" min="12886" max="12886"/>
    <col width="73.25" bestFit="1" customWidth="1" style="107" min="12887" max="12887"/>
    <col width="26.625" bestFit="1" customWidth="1" style="107" min="12888" max="12888"/>
    <col width="26.75" bestFit="1" customWidth="1" style="107" min="12889" max="12890"/>
    <col width="6.375" bestFit="1" customWidth="1" style="107" min="12891" max="12891"/>
    <col width="9.875" bestFit="1" customWidth="1" style="107" min="12892" max="12893"/>
    <col width="26.5" bestFit="1" customWidth="1" style="107" min="12894" max="12894"/>
    <col width="9.125" bestFit="1" customWidth="1" style="107" min="12895" max="12895"/>
    <col width="12.625" bestFit="1" customWidth="1" style="107" min="12896" max="12896"/>
    <col width="36.5" bestFit="1" customWidth="1" style="107" min="12897" max="12897"/>
    <col width="3.375" bestFit="1" customWidth="1" style="107" min="12898" max="12898"/>
    <col width="8" bestFit="1" customWidth="1" style="107" min="12899" max="12899"/>
    <col width="5.625" bestFit="1" customWidth="1" style="107" min="12900" max="12900"/>
    <col width="7.875" bestFit="1" customWidth="1" style="107" min="12901" max="12901"/>
    <col width="6" bestFit="1" customWidth="1" style="107" min="12902" max="12902"/>
    <col width="11.25" bestFit="1" customWidth="1" style="107" min="12903" max="12903"/>
    <col width="9" customWidth="1" style="107" min="12904" max="13056"/>
    <col width="13.125" bestFit="1" customWidth="1" style="107" min="13057" max="13057"/>
    <col width="10.875" bestFit="1" customWidth="1" style="107" min="13058" max="13058"/>
    <col width="4.625" bestFit="1" customWidth="1" style="107" min="13059" max="13059"/>
    <col width="7" bestFit="1" customWidth="1" style="107" min="13060" max="13060"/>
    <col width="5.125" bestFit="1" customWidth="1" style="107" min="13061" max="13061"/>
    <col width="3.25" bestFit="1" customWidth="1" style="107" min="13062" max="13066"/>
    <col width="3.5" bestFit="1" customWidth="1" style="107" min="13067" max="13067"/>
    <col width="3.25" bestFit="1" customWidth="1" style="107" min="13068" max="13069"/>
    <col width="4.75" bestFit="1" customWidth="1" style="107" min="13070" max="13071"/>
    <col width="5.25" bestFit="1" customWidth="1" style="107" min="13072" max="13072"/>
    <col width="4.875" bestFit="1" customWidth="1" style="107" min="13073" max="13073"/>
    <col width="7.875" bestFit="1" customWidth="1" style="107" min="13074" max="13074"/>
    <col width="5.125" bestFit="1" customWidth="1" style="107" min="13075" max="13075"/>
    <col width="5.5" bestFit="1" customWidth="1" style="107" min="13076" max="13076"/>
    <col width="5.75" bestFit="1" customWidth="1" style="107" min="13077" max="13077"/>
    <col width="7.875" bestFit="1" customWidth="1" style="107" min="13078" max="13078"/>
    <col width="5.125" bestFit="1" customWidth="1" style="107" min="13079" max="13079"/>
    <col width="4.625" bestFit="1" customWidth="1" style="107" min="13080" max="13080"/>
    <col width="7.875" bestFit="1" customWidth="1" style="107" min="13081" max="13081"/>
    <col width="6.125" bestFit="1" customWidth="1" style="107" min="13082" max="13082"/>
    <col width="36.5" bestFit="1" customWidth="1" style="107" min="13083" max="13083"/>
    <col width="29.25" bestFit="1" customWidth="1" style="107" min="13084" max="13084"/>
    <col width="9.875" bestFit="1" customWidth="1" style="107" min="13085" max="13086"/>
    <col width="9.25" bestFit="1" customWidth="1" style="107" min="13087" max="13087"/>
    <col width="2.5" bestFit="1" customWidth="1" style="107" min="13088" max="13088"/>
    <col width="3.25" bestFit="1" customWidth="1" style="107" min="13089" max="13089"/>
    <col width="3.625" bestFit="1" customWidth="1" style="107" min="13090" max="13090"/>
    <col width="3.375" bestFit="1" customWidth="1" style="107" min="13091" max="13091"/>
    <col width="23.625" bestFit="1" customWidth="1" style="107" min="13092" max="13092"/>
    <col width="8.25" bestFit="1" customWidth="1" style="107" min="13093" max="13093"/>
    <col width="6.875" bestFit="1" customWidth="1" style="107" min="13094" max="13094"/>
    <col width="6.375" bestFit="1" customWidth="1" style="107" min="13095" max="13095"/>
    <col width="19.625" bestFit="1" customWidth="1" style="107" min="13096" max="13096"/>
    <col width="51.375" bestFit="1" customWidth="1" style="107" min="13097" max="13097"/>
    <col width="6.25" bestFit="1" customWidth="1" style="107" min="13098" max="13098"/>
    <col width="2.625" bestFit="1" customWidth="1" style="107" min="13099" max="13099"/>
    <col width="5.125" bestFit="1" customWidth="1" style="107" min="13100" max="13100"/>
    <col width="27.375" bestFit="1" customWidth="1" style="107" min="13101" max="13101"/>
    <col width="5.875" bestFit="1" customWidth="1" style="107" min="13102" max="13102"/>
    <col width="3.75" bestFit="1" customWidth="1" style="107" min="13103" max="13103"/>
    <col width="6.25" bestFit="1" customWidth="1" style="107" min="13104" max="13104"/>
    <col width="6.875" bestFit="1" customWidth="1" style="107" min="13105" max="13105"/>
    <col width="6.75" bestFit="1" customWidth="1" style="107" min="13106" max="13106"/>
    <col width="5.875" bestFit="1" customWidth="1" style="107" min="13107" max="13107"/>
    <col width="91.875" bestFit="1" customWidth="1" style="107" min="13108" max="13108"/>
    <col width="131.25" bestFit="1" customWidth="1" style="107" min="13109" max="13109"/>
    <col width="7" bestFit="1" customWidth="1" style="107" min="13110" max="13110"/>
    <col width="7.875" bestFit="1" customWidth="1" style="107" min="13111" max="13111"/>
    <col width="8.5" bestFit="1" customWidth="1" style="107" min="13112" max="13112"/>
    <col width="4.75" bestFit="1" customWidth="1" style="107" min="13113" max="13113"/>
    <col width="23.25" bestFit="1" customWidth="1" style="107" min="13114" max="13114"/>
    <col width="6.875" bestFit="1" customWidth="1" style="107" min="13115" max="13115"/>
    <col width="7.875" bestFit="1" customWidth="1" style="107" min="13116" max="13116"/>
    <col width="7.75" bestFit="1" customWidth="1" style="107" min="13117" max="13117"/>
    <col width="8" bestFit="1" customWidth="1" style="107" min="13118" max="13118"/>
    <col width="4.625" bestFit="1" customWidth="1" style="107" min="13119" max="13119"/>
    <col width="7.875" bestFit="1" customWidth="1" style="107" min="13120" max="13120"/>
    <col width="4" bestFit="1" customWidth="1" style="107" min="13121" max="13121"/>
    <col width="4.625" customWidth="1" style="107" min="13122" max="13122"/>
    <col width="4" bestFit="1" customWidth="1" style="107" min="13123" max="13132"/>
    <col width="3.75" bestFit="1" customWidth="1" style="107" min="13133" max="13133"/>
    <col width="4" bestFit="1" customWidth="1" style="107" min="13134" max="13134"/>
    <col width="3.625" bestFit="1" customWidth="1" style="107" min="13135" max="13135"/>
    <col width="9.875" bestFit="1" customWidth="1" style="107" min="13136" max="13136"/>
    <col width="5" bestFit="1" customWidth="1" style="107" min="13137" max="13137"/>
    <col width="7.125" bestFit="1" customWidth="1" style="107" min="13138" max="13138"/>
    <col width="9.375" bestFit="1" customWidth="1" style="107" min="13139" max="13139"/>
    <col width="10.25" bestFit="1" customWidth="1" style="107" min="13140" max="13140"/>
    <col width="7.375" bestFit="1" customWidth="1" style="107" min="13141" max="13141"/>
    <col width="47.375" bestFit="1" customWidth="1" style="107" min="13142" max="13142"/>
    <col width="73.25" bestFit="1" customWidth="1" style="107" min="13143" max="13143"/>
    <col width="26.625" bestFit="1" customWidth="1" style="107" min="13144" max="13144"/>
    <col width="26.75" bestFit="1" customWidth="1" style="107" min="13145" max="13146"/>
    <col width="6.375" bestFit="1" customWidth="1" style="107" min="13147" max="13147"/>
    <col width="9.875" bestFit="1" customWidth="1" style="107" min="13148" max="13149"/>
    <col width="26.5" bestFit="1" customWidth="1" style="107" min="13150" max="13150"/>
    <col width="9.125" bestFit="1" customWidth="1" style="107" min="13151" max="13151"/>
    <col width="12.625" bestFit="1" customWidth="1" style="107" min="13152" max="13152"/>
    <col width="36.5" bestFit="1" customWidth="1" style="107" min="13153" max="13153"/>
    <col width="3.375" bestFit="1" customWidth="1" style="107" min="13154" max="13154"/>
    <col width="8" bestFit="1" customWidth="1" style="107" min="13155" max="13155"/>
    <col width="5.625" bestFit="1" customWidth="1" style="107" min="13156" max="13156"/>
    <col width="7.875" bestFit="1" customWidth="1" style="107" min="13157" max="13157"/>
    <col width="6" bestFit="1" customWidth="1" style="107" min="13158" max="13158"/>
    <col width="11.25" bestFit="1" customWidth="1" style="107" min="13159" max="13159"/>
    <col width="9" customWidth="1" style="107" min="13160" max="13312"/>
    <col width="13.125" bestFit="1" customWidth="1" style="107" min="13313" max="13313"/>
    <col width="10.875" bestFit="1" customWidth="1" style="107" min="13314" max="13314"/>
    <col width="4.625" bestFit="1" customWidth="1" style="107" min="13315" max="13315"/>
    <col width="7" bestFit="1" customWidth="1" style="107" min="13316" max="13316"/>
    <col width="5.125" bestFit="1" customWidth="1" style="107" min="13317" max="13317"/>
    <col width="3.25" bestFit="1" customWidth="1" style="107" min="13318" max="13322"/>
    <col width="3.5" bestFit="1" customWidth="1" style="107" min="13323" max="13323"/>
    <col width="3.25" bestFit="1" customWidth="1" style="107" min="13324" max="13325"/>
    <col width="4.75" bestFit="1" customWidth="1" style="107" min="13326" max="13327"/>
    <col width="5.25" bestFit="1" customWidth="1" style="107" min="13328" max="13328"/>
    <col width="4.875" bestFit="1" customWidth="1" style="107" min="13329" max="13329"/>
    <col width="7.875" bestFit="1" customWidth="1" style="107" min="13330" max="13330"/>
    <col width="5.125" bestFit="1" customWidth="1" style="107" min="13331" max="13331"/>
    <col width="5.5" bestFit="1" customWidth="1" style="107" min="13332" max="13332"/>
    <col width="5.75" bestFit="1" customWidth="1" style="107" min="13333" max="13333"/>
    <col width="7.875" bestFit="1" customWidth="1" style="107" min="13334" max="13334"/>
    <col width="5.125" bestFit="1" customWidth="1" style="107" min="13335" max="13335"/>
    <col width="4.625" bestFit="1" customWidth="1" style="107" min="13336" max="13336"/>
    <col width="7.875" bestFit="1" customWidth="1" style="107" min="13337" max="13337"/>
    <col width="6.125" bestFit="1" customWidth="1" style="107" min="13338" max="13338"/>
    <col width="36.5" bestFit="1" customWidth="1" style="107" min="13339" max="13339"/>
    <col width="29.25" bestFit="1" customWidth="1" style="107" min="13340" max="13340"/>
    <col width="9.875" bestFit="1" customWidth="1" style="107" min="13341" max="13342"/>
    <col width="9.25" bestFit="1" customWidth="1" style="107" min="13343" max="13343"/>
    <col width="2.5" bestFit="1" customWidth="1" style="107" min="13344" max="13344"/>
    <col width="3.25" bestFit="1" customWidth="1" style="107" min="13345" max="13345"/>
    <col width="3.625" bestFit="1" customWidth="1" style="107" min="13346" max="13346"/>
    <col width="3.375" bestFit="1" customWidth="1" style="107" min="13347" max="13347"/>
    <col width="23.625" bestFit="1" customWidth="1" style="107" min="13348" max="13348"/>
    <col width="8.25" bestFit="1" customWidth="1" style="107" min="13349" max="13349"/>
    <col width="6.875" bestFit="1" customWidth="1" style="107" min="13350" max="13350"/>
    <col width="6.375" bestFit="1" customWidth="1" style="107" min="13351" max="13351"/>
    <col width="19.625" bestFit="1" customWidth="1" style="107" min="13352" max="13352"/>
    <col width="51.375" bestFit="1" customWidth="1" style="107" min="13353" max="13353"/>
    <col width="6.25" bestFit="1" customWidth="1" style="107" min="13354" max="13354"/>
    <col width="2.625" bestFit="1" customWidth="1" style="107" min="13355" max="13355"/>
    <col width="5.125" bestFit="1" customWidth="1" style="107" min="13356" max="13356"/>
    <col width="27.375" bestFit="1" customWidth="1" style="107" min="13357" max="13357"/>
    <col width="5.875" bestFit="1" customWidth="1" style="107" min="13358" max="13358"/>
    <col width="3.75" bestFit="1" customWidth="1" style="107" min="13359" max="13359"/>
    <col width="6.25" bestFit="1" customWidth="1" style="107" min="13360" max="13360"/>
    <col width="6.875" bestFit="1" customWidth="1" style="107" min="13361" max="13361"/>
    <col width="6.75" bestFit="1" customWidth="1" style="107" min="13362" max="13362"/>
    <col width="5.875" bestFit="1" customWidth="1" style="107" min="13363" max="13363"/>
    <col width="91.875" bestFit="1" customWidth="1" style="107" min="13364" max="13364"/>
    <col width="131.25" bestFit="1" customWidth="1" style="107" min="13365" max="13365"/>
    <col width="7" bestFit="1" customWidth="1" style="107" min="13366" max="13366"/>
    <col width="7.875" bestFit="1" customWidth="1" style="107" min="13367" max="13367"/>
    <col width="8.5" bestFit="1" customWidth="1" style="107" min="13368" max="13368"/>
    <col width="4.75" bestFit="1" customWidth="1" style="107" min="13369" max="13369"/>
    <col width="23.25" bestFit="1" customWidth="1" style="107" min="13370" max="13370"/>
    <col width="6.875" bestFit="1" customWidth="1" style="107" min="13371" max="13371"/>
    <col width="7.875" bestFit="1" customWidth="1" style="107" min="13372" max="13372"/>
    <col width="7.75" bestFit="1" customWidth="1" style="107" min="13373" max="13373"/>
    <col width="8" bestFit="1" customWidth="1" style="107" min="13374" max="13374"/>
    <col width="4.625" bestFit="1" customWidth="1" style="107" min="13375" max="13375"/>
    <col width="7.875" bestFit="1" customWidth="1" style="107" min="13376" max="13376"/>
    <col width="4" bestFit="1" customWidth="1" style="107" min="13377" max="13377"/>
    <col width="4.625" customWidth="1" style="107" min="13378" max="13378"/>
    <col width="4" bestFit="1" customWidth="1" style="107" min="13379" max="13388"/>
    <col width="3.75" bestFit="1" customWidth="1" style="107" min="13389" max="13389"/>
    <col width="4" bestFit="1" customWidth="1" style="107" min="13390" max="13390"/>
    <col width="3.625" bestFit="1" customWidth="1" style="107" min="13391" max="13391"/>
    <col width="9.875" bestFit="1" customWidth="1" style="107" min="13392" max="13392"/>
    <col width="5" bestFit="1" customWidth="1" style="107" min="13393" max="13393"/>
    <col width="7.125" bestFit="1" customWidth="1" style="107" min="13394" max="13394"/>
    <col width="9.375" bestFit="1" customWidth="1" style="107" min="13395" max="13395"/>
    <col width="10.25" bestFit="1" customWidth="1" style="107" min="13396" max="13396"/>
    <col width="7.375" bestFit="1" customWidth="1" style="107" min="13397" max="13397"/>
    <col width="47.375" bestFit="1" customWidth="1" style="107" min="13398" max="13398"/>
    <col width="73.25" bestFit="1" customWidth="1" style="107" min="13399" max="13399"/>
    <col width="26.625" bestFit="1" customWidth="1" style="107" min="13400" max="13400"/>
    <col width="26.75" bestFit="1" customWidth="1" style="107" min="13401" max="13402"/>
    <col width="6.375" bestFit="1" customWidth="1" style="107" min="13403" max="13403"/>
    <col width="9.875" bestFit="1" customWidth="1" style="107" min="13404" max="13405"/>
    <col width="26.5" bestFit="1" customWidth="1" style="107" min="13406" max="13406"/>
    <col width="9.125" bestFit="1" customWidth="1" style="107" min="13407" max="13407"/>
    <col width="12.625" bestFit="1" customWidth="1" style="107" min="13408" max="13408"/>
    <col width="36.5" bestFit="1" customWidth="1" style="107" min="13409" max="13409"/>
    <col width="3.375" bestFit="1" customWidth="1" style="107" min="13410" max="13410"/>
    <col width="8" bestFit="1" customWidth="1" style="107" min="13411" max="13411"/>
    <col width="5.625" bestFit="1" customWidth="1" style="107" min="13412" max="13412"/>
    <col width="7.875" bestFit="1" customWidth="1" style="107" min="13413" max="13413"/>
    <col width="6" bestFit="1" customWidth="1" style="107" min="13414" max="13414"/>
    <col width="11.25" bestFit="1" customWidth="1" style="107" min="13415" max="13415"/>
    <col width="9" customWidth="1" style="107" min="13416" max="13568"/>
    <col width="13.125" bestFit="1" customWidth="1" style="107" min="13569" max="13569"/>
    <col width="10.875" bestFit="1" customWidth="1" style="107" min="13570" max="13570"/>
    <col width="4.625" bestFit="1" customWidth="1" style="107" min="13571" max="13571"/>
    <col width="7" bestFit="1" customWidth="1" style="107" min="13572" max="13572"/>
    <col width="5.125" bestFit="1" customWidth="1" style="107" min="13573" max="13573"/>
    <col width="3.25" bestFit="1" customWidth="1" style="107" min="13574" max="13578"/>
    <col width="3.5" bestFit="1" customWidth="1" style="107" min="13579" max="13579"/>
    <col width="3.25" bestFit="1" customWidth="1" style="107" min="13580" max="13581"/>
    <col width="4.75" bestFit="1" customWidth="1" style="107" min="13582" max="13583"/>
    <col width="5.25" bestFit="1" customWidth="1" style="107" min="13584" max="13584"/>
    <col width="4.875" bestFit="1" customWidth="1" style="107" min="13585" max="13585"/>
    <col width="7.875" bestFit="1" customWidth="1" style="107" min="13586" max="13586"/>
    <col width="5.125" bestFit="1" customWidth="1" style="107" min="13587" max="13587"/>
    <col width="5.5" bestFit="1" customWidth="1" style="107" min="13588" max="13588"/>
    <col width="5.75" bestFit="1" customWidth="1" style="107" min="13589" max="13589"/>
    <col width="7.875" bestFit="1" customWidth="1" style="107" min="13590" max="13590"/>
    <col width="5.125" bestFit="1" customWidth="1" style="107" min="13591" max="13591"/>
    <col width="4.625" bestFit="1" customWidth="1" style="107" min="13592" max="13592"/>
    <col width="7.875" bestFit="1" customWidth="1" style="107" min="13593" max="13593"/>
    <col width="6.125" bestFit="1" customWidth="1" style="107" min="13594" max="13594"/>
    <col width="36.5" bestFit="1" customWidth="1" style="107" min="13595" max="13595"/>
    <col width="29.25" bestFit="1" customWidth="1" style="107" min="13596" max="13596"/>
    <col width="9.875" bestFit="1" customWidth="1" style="107" min="13597" max="13598"/>
    <col width="9.25" bestFit="1" customWidth="1" style="107" min="13599" max="13599"/>
    <col width="2.5" bestFit="1" customWidth="1" style="107" min="13600" max="13600"/>
    <col width="3.25" bestFit="1" customWidth="1" style="107" min="13601" max="13601"/>
    <col width="3.625" bestFit="1" customWidth="1" style="107" min="13602" max="13602"/>
    <col width="3.375" bestFit="1" customWidth="1" style="107" min="13603" max="13603"/>
    <col width="23.625" bestFit="1" customWidth="1" style="107" min="13604" max="13604"/>
    <col width="8.25" bestFit="1" customWidth="1" style="107" min="13605" max="13605"/>
    <col width="6.875" bestFit="1" customWidth="1" style="107" min="13606" max="13606"/>
    <col width="6.375" bestFit="1" customWidth="1" style="107" min="13607" max="13607"/>
    <col width="19.625" bestFit="1" customWidth="1" style="107" min="13608" max="13608"/>
    <col width="51.375" bestFit="1" customWidth="1" style="107" min="13609" max="13609"/>
    <col width="6.25" bestFit="1" customWidth="1" style="107" min="13610" max="13610"/>
    <col width="2.625" bestFit="1" customWidth="1" style="107" min="13611" max="13611"/>
    <col width="5.125" bestFit="1" customWidth="1" style="107" min="13612" max="13612"/>
    <col width="27.375" bestFit="1" customWidth="1" style="107" min="13613" max="13613"/>
    <col width="5.875" bestFit="1" customWidth="1" style="107" min="13614" max="13614"/>
    <col width="3.75" bestFit="1" customWidth="1" style="107" min="13615" max="13615"/>
    <col width="6.25" bestFit="1" customWidth="1" style="107" min="13616" max="13616"/>
    <col width="6.875" bestFit="1" customWidth="1" style="107" min="13617" max="13617"/>
    <col width="6.75" bestFit="1" customWidth="1" style="107" min="13618" max="13618"/>
    <col width="5.875" bestFit="1" customWidth="1" style="107" min="13619" max="13619"/>
    <col width="91.875" bestFit="1" customWidth="1" style="107" min="13620" max="13620"/>
    <col width="131.25" bestFit="1" customWidth="1" style="107" min="13621" max="13621"/>
    <col width="7" bestFit="1" customWidth="1" style="107" min="13622" max="13622"/>
    <col width="7.875" bestFit="1" customWidth="1" style="107" min="13623" max="13623"/>
    <col width="8.5" bestFit="1" customWidth="1" style="107" min="13624" max="13624"/>
    <col width="4.75" bestFit="1" customWidth="1" style="107" min="13625" max="13625"/>
    <col width="23.25" bestFit="1" customWidth="1" style="107" min="13626" max="13626"/>
    <col width="6.875" bestFit="1" customWidth="1" style="107" min="13627" max="13627"/>
    <col width="7.875" bestFit="1" customWidth="1" style="107" min="13628" max="13628"/>
    <col width="7.75" bestFit="1" customWidth="1" style="107" min="13629" max="13629"/>
    <col width="8" bestFit="1" customWidth="1" style="107" min="13630" max="13630"/>
    <col width="4.625" bestFit="1" customWidth="1" style="107" min="13631" max="13631"/>
    <col width="7.875" bestFit="1" customWidth="1" style="107" min="13632" max="13632"/>
    <col width="4" bestFit="1" customWidth="1" style="107" min="13633" max="13633"/>
    <col width="4.625" customWidth="1" style="107" min="13634" max="13634"/>
    <col width="4" bestFit="1" customWidth="1" style="107" min="13635" max="13644"/>
    <col width="3.75" bestFit="1" customWidth="1" style="107" min="13645" max="13645"/>
    <col width="4" bestFit="1" customWidth="1" style="107" min="13646" max="13646"/>
    <col width="3.625" bestFit="1" customWidth="1" style="107" min="13647" max="13647"/>
    <col width="9.875" bestFit="1" customWidth="1" style="107" min="13648" max="13648"/>
    <col width="5" bestFit="1" customWidth="1" style="107" min="13649" max="13649"/>
    <col width="7.125" bestFit="1" customWidth="1" style="107" min="13650" max="13650"/>
    <col width="9.375" bestFit="1" customWidth="1" style="107" min="13651" max="13651"/>
    <col width="10.25" bestFit="1" customWidth="1" style="107" min="13652" max="13652"/>
    <col width="7.375" bestFit="1" customWidth="1" style="107" min="13653" max="13653"/>
    <col width="47.375" bestFit="1" customWidth="1" style="107" min="13654" max="13654"/>
    <col width="73.25" bestFit="1" customWidth="1" style="107" min="13655" max="13655"/>
    <col width="26.625" bestFit="1" customWidth="1" style="107" min="13656" max="13656"/>
    <col width="26.75" bestFit="1" customWidth="1" style="107" min="13657" max="13658"/>
    <col width="6.375" bestFit="1" customWidth="1" style="107" min="13659" max="13659"/>
    <col width="9.875" bestFit="1" customWidth="1" style="107" min="13660" max="13661"/>
    <col width="26.5" bestFit="1" customWidth="1" style="107" min="13662" max="13662"/>
    <col width="9.125" bestFit="1" customWidth="1" style="107" min="13663" max="13663"/>
    <col width="12.625" bestFit="1" customWidth="1" style="107" min="13664" max="13664"/>
    <col width="36.5" bestFit="1" customWidth="1" style="107" min="13665" max="13665"/>
    <col width="3.375" bestFit="1" customWidth="1" style="107" min="13666" max="13666"/>
    <col width="8" bestFit="1" customWidth="1" style="107" min="13667" max="13667"/>
    <col width="5.625" bestFit="1" customWidth="1" style="107" min="13668" max="13668"/>
    <col width="7.875" bestFit="1" customWidth="1" style="107" min="13669" max="13669"/>
    <col width="6" bestFit="1" customWidth="1" style="107" min="13670" max="13670"/>
    <col width="11.25" bestFit="1" customWidth="1" style="107" min="13671" max="13671"/>
    <col width="9" customWidth="1" style="107" min="13672" max="13824"/>
    <col width="13.125" bestFit="1" customWidth="1" style="107" min="13825" max="13825"/>
    <col width="10.875" bestFit="1" customWidth="1" style="107" min="13826" max="13826"/>
    <col width="4.625" bestFit="1" customWidth="1" style="107" min="13827" max="13827"/>
    <col width="7" bestFit="1" customWidth="1" style="107" min="13828" max="13828"/>
    <col width="5.125" bestFit="1" customWidth="1" style="107" min="13829" max="13829"/>
    <col width="3.25" bestFit="1" customWidth="1" style="107" min="13830" max="13834"/>
    <col width="3.5" bestFit="1" customWidth="1" style="107" min="13835" max="13835"/>
    <col width="3.25" bestFit="1" customWidth="1" style="107" min="13836" max="13837"/>
    <col width="4.75" bestFit="1" customWidth="1" style="107" min="13838" max="13839"/>
    <col width="5.25" bestFit="1" customWidth="1" style="107" min="13840" max="13840"/>
    <col width="4.875" bestFit="1" customWidth="1" style="107" min="13841" max="13841"/>
    <col width="7.875" bestFit="1" customWidth="1" style="107" min="13842" max="13842"/>
    <col width="5.125" bestFit="1" customWidth="1" style="107" min="13843" max="13843"/>
    <col width="5.5" bestFit="1" customWidth="1" style="107" min="13844" max="13844"/>
    <col width="5.75" bestFit="1" customWidth="1" style="107" min="13845" max="13845"/>
    <col width="7.875" bestFit="1" customWidth="1" style="107" min="13846" max="13846"/>
    <col width="5.125" bestFit="1" customWidth="1" style="107" min="13847" max="13847"/>
    <col width="4.625" bestFit="1" customWidth="1" style="107" min="13848" max="13848"/>
    <col width="7.875" bestFit="1" customWidth="1" style="107" min="13849" max="13849"/>
    <col width="6.125" bestFit="1" customWidth="1" style="107" min="13850" max="13850"/>
    <col width="36.5" bestFit="1" customWidth="1" style="107" min="13851" max="13851"/>
    <col width="29.25" bestFit="1" customWidth="1" style="107" min="13852" max="13852"/>
    <col width="9.875" bestFit="1" customWidth="1" style="107" min="13853" max="13854"/>
    <col width="9.25" bestFit="1" customWidth="1" style="107" min="13855" max="13855"/>
    <col width="2.5" bestFit="1" customWidth="1" style="107" min="13856" max="13856"/>
    <col width="3.25" bestFit="1" customWidth="1" style="107" min="13857" max="13857"/>
    <col width="3.625" bestFit="1" customWidth="1" style="107" min="13858" max="13858"/>
    <col width="3.375" bestFit="1" customWidth="1" style="107" min="13859" max="13859"/>
    <col width="23.625" bestFit="1" customWidth="1" style="107" min="13860" max="13860"/>
    <col width="8.25" bestFit="1" customWidth="1" style="107" min="13861" max="13861"/>
    <col width="6.875" bestFit="1" customWidth="1" style="107" min="13862" max="13862"/>
    <col width="6.375" bestFit="1" customWidth="1" style="107" min="13863" max="13863"/>
    <col width="19.625" bestFit="1" customWidth="1" style="107" min="13864" max="13864"/>
    <col width="51.375" bestFit="1" customWidth="1" style="107" min="13865" max="13865"/>
    <col width="6.25" bestFit="1" customWidth="1" style="107" min="13866" max="13866"/>
    <col width="2.625" bestFit="1" customWidth="1" style="107" min="13867" max="13867"/>
    <col width="5.125" bestFit="1" customWidth="1" style="107" min="13868" max="13868"/>
    <col width="27.375" bestFit="1" customWidth="1" style="107" min="13869" max="13869"/>
    <col width="5.875" bestFit="1" customWidth="1" style="107" min="13870" max="13870"/>
    <col width="3.75" bestFit="1" customWidth="1" style="107" min="13871" max="13871"/>
    <col width="6.25" bestFit="1" customWidth="1" style="107" min="13872" max="13872"/>
    <col width="6.875" bestFit="1" customWidth="1" style="107" min="13873" max="13873"/>
    <col width="6.75" bestFit="1" customWidth="1" style="107" min="13874" max="13874"/>
    <col width="5.875" bestFit="1" customWidth="1" style="107" min="13875" max="13875"/>
    <col width="91.875" bestFit="1" customWidth="1" style="107" min="13876" max="13876"/>
    <col width="131.25" bestFit="1" customWidth="1" style="107" min="13877" max="13877"/>
    <col width="7" bestFit="1" customWidth="1" style="107" min="13878" max="13878"/>
    <col width="7.875" bestFit="1" customWidth="1" style="107" min="13879" max="13879"/>
    <col width="8.5" bestFit="1" customWidth="1" style="107" min="13880" max="13880"/>
    <col width="4.75" bestFit="1" customWidth="1" style="107" min="13881" max="13881"/>
    <col width="23.25" bestFit="1" customWidth="1" style="107" min="13882" max="13882"/>
    <col width="6.875" bestFit="1" customWidth="1" style="107" min="13883" max="13883"/>
    <col width="7.875" bestFit="1" customWidth="1" style="107" min="13884" max="13884"/>
    <col width="7.75" bestFit="1" customWidth="1" style="107" min="13885" max="13885"/>
    <col width="8" bestFit="1" customWidth="1" style="107" min="13886" max="13886"/>
    <col width="4.625" bestFit="1" customWidth="1" style="107" min="13887" max="13887"/>
    <col width="7.875" bestFit="1" customWidth="1" style="107" min="13888" max="13888"/>
    <col width="4" bestFit="1" customWidth="1" style="107" min="13889" max="13889"/>
    <col width="4.625" customWidth="1" style="107" min="13890" max="13890"/>
    <col width="4" bestFit="1" customWidth="1" style="107" min="13891" max="13900"/>
    <col width="3.75" bestFit="1" customWidth="1" style="107" min="13901" max="13901"/>
    <col width="4" bestFit="1" customWidth="1" style="107" min="13902" max="13902"/>
    <col width="3.625" bestFit="1" customWidth="1" style="107" min="13903" max="13903"/>
    <col width="9.875" bestFit="1" customWidth="1" style="107" min="13904" max="13904"/>
    <col width="5" bestFit="1" customWidth="1" style="107" min="13905" max="13905"/>
    <col width="7.125" bestFit="1" customWidth="1" style="107" min="13906" max="13906"/>
    <col width="9.375" bestFit="1" customWidth="1" style="107" min="13907" max="13907"/>
    <col width="10.25" bestFit="1" customWidth="1" style="107" min="13908" max="13908"/>
    <col width="7.375" bestFit="1" customWidth="1" style="107" min="13909" max="13909"/>
    <col width="47.375" bestFit="1" customWidth="1" style="107" min="13910" max="13910"/>
    <col width="73.25" bestFit="1" customWidth="1" style="107" min="13911" max="13911"/>
    <col width="26.625" bestFit="1" customWidth="1" style="107" min="13912" max="13912"/>
    <col width="26.75" bestFit="1" customWidth="1" style="107" min="13913" max="13914"/>
    <col width="6.375" bestFit="1" customWidth="1" style="107" min="13915" max="13915"/>
    <col width="9.875" bestFit="1" customWidth="1" style="107" min="13916" max="13917"/>
    <col width="26.5" bestFit="1" customWidth="1" style="107" min="13918" max="13918"/>
    <col width="9.125" bestFit="1" customWidth="1" style="107" min="13919" max="13919"/>
    <col width="12.625" bestFit="1" customWidth="1" style="107" min="13920" max="13920"/>
    <col width="36.5" bestFit="1" customWidth="1" style="107" min="13921" max="13921"/>
    <col width="3.375" bestFit="1" customWidth="1" style="107" min="13922" max="13922"/>
    <col width="8" bestFit="1" customWidth="1" style="107" min="13923" max="13923"/>
    <col width="5.625" bestFit="1" customWidth="1" style="107" min="13924" max="13924"/>
    <col width="7.875" bestFit="1" customWidth="1" style="107" min="13925" max="13925"/>
    <col width="6" bestFit="1" customWidth="1" style="107" min="13926" max="13926"/>
    <col width="11.25" bestFit="1" customWidth="1" style="107" min="13927" max="13927"/>
    <col width="9" customWidth="1" style="107" min="13928" max="14080"/>
    <col width="13.125" bestFit="1" customWidth="1" style="107" min="14081" max="14081"/>
    <col width="10.875" bestFit="1" customWidth="1" style="107" min="14082" max="14082"/>
    <col width="4.625" bestFit="1" customWidth="1" style="107" min="14083" max="14083"/>
    <col width="7" bestFit="1" customWidth="1" style="107" min="14084" max="14084"/>
    <col width="5.125" bestFit="1" customWidth="1" style="107" min="14085" max="14085"/>
    <col width="3.25" bestFit="1" customWidth="1" style="107" min="14086" max="14090"/>
    <col width="3.5" bestFit="1" customWidth="1" style="107" min="14091" max="14091"/>
    <col width="3.25" bestFit="1" customWidth="1" style="107" min="14092" max="14093"/>
    <col width="4.75" bestFit="1" customWidth="1" style="107" min="14094" max="14095"/>
    <col width="5.25" bestFit="1" customWidth="1" style="107" min="14096" max="14096"/>
    <col width="4.875" bestFit="1" customWidth="1" style="107" min="14097" max="14097"/>
    <col width="7.875" bestFit="1" customWidth="1" style="107" min="14098" max="14098"/>
    <col width="5.125" bestFit="1" customWidth="1" style="107" min="14099" max="14099"/>
    <col width="5.5" bestFit="1" customWidth="1" style="107" min="14100" max="14100"/>
    <col width="5.75" bestFit="1" customWidth="1" style="107" min="14101" max="14101"/>
    <col width="7.875" bestFit="1" customWidth="1" style="107" min="14102" max="14102"/>
    <col width="5.125" bestFit="1" customWidth="1" style="107" min="14103" max="14103"/>
    <col width="4.625" bestFit="1" customWidth="1" style="107" min="14104" max="14104"/>
    <col width="7.875" bestFit="1" customWidth="1" style="107" min="14105" max="14105"/>
    <col width="6.125" bestFit="1" customWidth="1" style="107" min="14106" max="14106"/>
    <col width="36.5" bestFit="1" customWidth="1" style="107" min="14107" max="14107"/>
    <col width="29.25" bestFit="1" customWidth="1" style="107" min="14108" max="14108"/>
    <col width="9.875" bestFit="1" customWidth="1" style="107" min="14109" max="14110"/>
    <col width="9.25" bestFit="1" customWidth="1" style="107" min="14111" max="14111"/>
    <col width="2.5" bestFit="1" customWidth="1" style="107" min="14112" max="14112"/>
    <col width="3.25" bestFit="1" customWidth="1" style="107" min="14113" max="14113"/>
    <col width="3.625" bestFit="1" customWidth="1" style="107" min="14114" max="14114"/>
    <col width="3.375" bestFit="1" customWidth="1" style="107" min="14115" max="14115"/>
    <col width="23.625" bestFit="1" customWidth="1" style="107" min="14116" max="14116"/>
    <col width="8.25" bestFit="1" customWidth="1" style="107" min="14117" max="14117"/>
    <col width="6.875" bestFit="1" customWidth="1" style="107" min="14118" max="14118"/>
    <col width="6.375" bestFit="1" customWidth="1" style="107" min="14119" max="14119"/>
    <col width="19.625" bestFit="1" customWidth="1" style="107" min="14120" max="14120"/>
    <col width="51.375" bestFit="1" customWidth="1" style="107" min="14121" max="14121"/>
    <col width="6.25" bestFit="1" customWidth="1" style="107" min="14122" max="14122"/>
    <col width="2.625" bestFit="1" customWidth="1" style="107" min="14123" max="14123"/>
    <col width="5.125" bestFit="1" customWidth="1" style="107" min="14124" max="14124"/>
    <col width="27.375" bestFit="1" customWidth="1" style="107" min="14125" max="14125"/>
    <col width="5.875" bestFit="1" customWidth="1" style="107" min="14126" max="14126"/>
    <col width="3.75" bestFit="1" customWidth="1" style="107" min="14127" max="14127"/>
    <col width="6.25" bestFit="1" customWidth="1" style="107" min="14128" max="14128"/>
    <col width="6.875" bestFit="1" customWidth="1" style="107" min="14129" max="14129"/>
    <col width="6.75" bestFit="1" customWidth="1" style="107" min="14130" max="14130"/>
    <col width="5.875" bestFit="1" customWidth="1" style="107" min="14131" max="14131"/>
    <col width="91.875" bestFit="1" customWidth="1" style="107" min="14132" max="14132"/>
    <col width="131.25" bestFit="1" customWidth="1" style="107" min="14133" max="14133"/>
    <col width="7" bestFit="1" customWidth="1" style="107" min="14134" max="14134"/>
    <col width="7.875" bestFit="1" customWidth="1" style="107" min="14135" max="14135"/>
    <col width="8.5" bestFit="1" customWidth="1" style="107" min="14136" max="14136"/>
    <col width="4.75" bestFit="1" customWidth="1" style="107" min="14137" max="14137"/>
    <col width="23.25" bestFit="1" customWidth="1" style="107" min="14138" max="14138"/>
    <col width="6.875" bestFit="1" customWidth="1" style="107" min="14139" max="14139"/>
    <col width="7.875" bestFit="1" customWidth="1" style="107" min="14140" max="14140"/>
    <col width="7.75" bestFit="1" customWidth="1" style="107" min="14141" max="14141"/>
    <col width="8" bestFit="1" customWidth="1" style="107" min="14142" max="14142"/>
    <col width="4.625" bestFit="1" customWidth="1" style="107" min="14143" max="14143"/>
    <col width="7.875" bestFit="1" customWidth="1" style="107" min="14144" max="14144"/>
    <col width="4" bestFit="1" customWidth="1" style="107" min="14145" max="14145"/>
    <col width="4.625" customWidth="1" style="107" min="14146" max="14146"/>
    <col width="4" bestFit="1" customWidth="1" style="107" min="14147" max="14156"/>
    <col width="3.75" bestFit="1" customWidth="1" style="107" min="14157" max="14157"/>
    <col width="4" bestFit="1" customWidth="1" style="107" min="14158" max="14158"/>
    <col width="3.625" bestFit="1" customWidth="1" style="107" min="14159" max="14159"/>
    <col width="9.875" bestFit="1" customWidth="1" style="107" min="14160" max="14160"/>
    <col width="5" bestFit="1" customWidth="1" style="107" min="14161" max="14161"/>
    <col width="7.125" bestFit="1" customWidth="1" style="107" min="14162" max="14162"/>
    <col width="9.375" bestFit="1" customWidth="1" style="107" min="14163" max="14163"/>
    <col width="10.25" bestFit="1" customWidth="1" style="107" min="14164" max="14164"/>
    <col width="7.375" bestFit="1" customWidth="1" style="107" min="14165" max="14165"/>
    <col width="47.375" bestFit="1" customWidth="1" style="107" min="14166" max="14166"/>
    <col width="73.25" bestFit="1" customWidth="1" style="107" min="14167" max="14167"/>
    <col width="26.625" bestFit="1" customWidth="1" style="107" min="14168" max="14168"/>
    <col width="26.75" bestFit="1" customWidth="1" style="107" min="14169" max="14170"/>
    <col width="6.375" bestFit="1" customWidth="1" style="107" min="14171" max="14171"/>
    <col width="9.875" bestFit="1" customWidth="1" style="107" min="14172" max="14173"/>
    <col width="26.5" bestFit="1" customWidth="1" style="107" min="14174" max="14174"/>
    <col width="9.125" bestFit="1" customWidth="1" style="107" min="14175" max="14175"/>
    <col width="12.625" bestFit="1" customWidth="1" style="107" min="14176" max="14176"/>
    <col width="36.5" bestFit="1" customWidth="1" style="107" min="14177" max="14177"/>
    <col width="3.375" bestFit="1" customWidth="1" style="107" min="14178" max="14178"/>
    <col width="8" bestFit="1" customWidth="1" style="107" min="14179" max="14179"/>
    <col width="5.625" bestFit="1" customWidth="1" style="107" min="14180" max="14180"/>
    <col width="7.875" bestFit="1" customWidth="1" style="107" min="14181" max="14181"/>
    <col width="6" bestFit="1" customWidth="1" style="107" min="14182" max="14182"/>
    <col width="11.25" bestFit="1" customWidth="1" style="107" min="14183" max="14183"/>
    <col width="9" customWidth="1" style="107" min="14184" max="14336"/>
    <col width="13.125" bestFit="1" customWidth="1" style="107" min="14337" max="14337"/>
    <col width="10.875" bestFit="1" customWidth="1" style="107" min="14338" max="14338"/>
    <col width="4.625" bestFit="1" customWidth="1" style="107" min="14339" max="14339"/>
    <col width="7" bestFit="1" customWidth="1" style="107" min="14340" max="14340"/>
    <col width="5.125" bestFit="1" customWidth="1" style="107" min="14341" max="14341"/>
    <col width="3.25" bestFit="1" customWidth="1" style="107" min="14342" max="14346"/>
    <col width="3.5" bestFit="1" customWidth="1" style="107" min="14347" max="14347"/>
    <col width="3.25" bestFit="1" customWidth="1" style="107" min="14348" max="14349"/>
    <col width="4.75" bestFit="1" customWidth="1" style="107" min="14350" max="14351"/>
    <col width="5.25" bestFit="1" customWidth="1" style="107" min="14352" max="14352"/>
    <col width="4.875" bestFit="1" customWidth="1" style="107" min="14353" max="14353"/>
    <col width="7.875" bestFit="1" customWidth="1" style="107" min="14354" max="14354"/>
    <col width="5.125" bestFit="1" customWidth="1" style="107" min="14355" max="14355"/>
    <col width="5.5" bestFit="1" customWidth="1" style="107" min="14356" max="14356"/>
    <col width="5.75" bestFit="1" customWidth="1" style="107" min="14357" max="14357"/>
    <col width="7.875" bestFit="1" customWidth="1" style="107" min="14358" max="14358"/>
    <col width="5.125" bestFit="1" customWidth="1" style="107" min="14359" max="14359"/>
    <col width="4.625" bestFit="1" customWidth="1" style="107" min="14360" max="14360"/>
    <col width="7.875" bestFit="1" customWidth="1" style="107" min="14361" max="14361"/>
    <col width="6.125" bestFit="1" customWidth="1" style="107" min="14362" max="14362"/>
    <col width="36.5" bestFit="1" customWidth="1" style="107" min="14363" max="14363"/>
    <col width="29.25" bestFit="1" customWidth="1" style="107" min="14364" max="14364"/>
    <col width="9.875" bestFit="1" customWidth="1" style="107" min="14365" max="14366"/>
    <col width="9.25" bestFit="1" customWidth="1" style="107" min="14367" max="14367"/>
    <col width="2.5" bestFit="1" customWidth="1" style="107" min="14368" max="14368"/>
    <col width="3.25" bestFit="1" customWidth="1" style="107" min="14369" max="14369"/>
    <col width="3.625" bestFit="1" customWidth="1" style="107" min="14370" max="14370"/>
    <col width="3.375" bestFit="1" customWidth="1" style="107" min="14371" max="14371"/>
    <col width="23.625" bestFit="1" customWidth="1" style="107" min="14372" max="14372"/>
    <col width="8.25" bestFit="1" customWidth="1" style="107" min="14373" max="14373"/>
    <col width="6.875" bestFit="1" customWidth="1" style="107" min="14374" max="14374"/>
    <col width="6.375" bestFit="1" customWidth="1" style="107" min="14375" max="14375"/>
    <col width="19.625" bestFit="1" customWidth="1" style="107" min="14376" max="14376"/>
    <col width="51.375" bestFit="1" customWidth="1" style="107" min="14377" max="14377"/>
    <col width="6.25" bestFit="1" customWidth="1" style="107" min="14378" max="14378"/>
    <col width="2.625" bestFit="1" customWidth="1" style="107" min="14379" max="14379"/>
    <col width="5.125" bestFit="1" customWidth="1" style="107" min="14380" max="14380"/>
    <col width="27.375" bestFit="1" customWidth="1" style="107" min="14381" max="14381"/>
    <col width="5.875" bestFit="1" customWidth="1" style="107" min="14382" max="14382"/>
    <col width="3.75" bestFit="1" customWidth="1" style="107" min="14383" max="14383"/>
    <col width="6.25" bestFit="1" customWidth="1" style="107" min="14384" max="14384"/>
    <col width="6.875" bestFit="1" customWidth="1" style="107" min="14385" max="14385"/>
    <col width="6.75" bestFit="1" customWidth="1" style="107" min="14386" max="14386"/>
    <col width="5.875" bestFit="1" customWidth="1" style="107" min="14387" max="14387"/>
    <col width="91.875" bestFit="1" customWidth="1" style="107" min="14388" max="14388"/>
    <col width="131.25" bestFit="1" customWidth="1" style="107" min="14389" max="14389"/>
    <col width="7" bestFit="1" customWidth="1" style="107" min="14390" max="14390"/>
    <col width="7.875" bestFit="1" customWidth="1" style="107" min="14391" max="14391"/>
    <col width="8.5" bestFit="1" customWidth="1" style="107" min="14392" max="14392"/>
    <col width="4.75" bestFit="1" customWidth="1" style="107" min="14393" max="14393"/>
    <col width="23.25" bestFit="1" customWidth="1" style="107" min="14394" max="14394"/>
    <col width="6.875" bestFit="1" customWidth="1" style="107" min="14395" max="14395"/>
    <col width="7.875" bestFit="1" customWidth="1" style="107" min="14396" max="14396"/>
    <col width="7.75" bestFit="1" customWidth="1" style="107" min="14397" max="14397"/>
    <col width="8" bestFit="1" customWidth="1" style="107" min="14398" max="14398"/>
    <col width="4.625" bestFit="1" customWidth="1" style="107" min="14399" max="14399"/>
    <col width="7.875" bestFit="1" customWidth="1" style="107" min="14400" max="14400"/>
    <col width="4" bestFit="1" customWidth="1" style="107" min="14401" max="14401"/>
    <col width="4.625" customWidth="1" style="107" min="14402" max="14402"/>
    <col width="4" bestFit="1" customWidth="1" style="107" min="14403" max="14412"/>
    <col width="3.75" bestFit="1" customWidth="1" style="107" min="14413" max="14413"/>
    <col width="4" bestFit="1" customWidth="1" style="107" min="14414" max="14414"/>
    <col width="3.625" bestFit="1" customWidth="1" style="107" min="14415" max="14415"/>
    <col width="9.875" bestFit="1" customWidth="1" style="107" min="14416" max="14416"/>
    <col width="5" bestFit="1" customWidth="1" style="107" min="14417" max="14417"/>
    <col width="7.125" bestFit="1" customWidth="1" style="107" min="14418" max="14418"/>
    <col width="9.375" bestFit="1" customWidth="1" style="107" min="14419" max="14419"/>
    <col width="10.25" bestFit="1" customWidth="1" style="107" min="14420" max="14420"/>
    <col width="7.375" bestFit="1" customWidth="1" style="107" min="14421" max="14421"/>
    <col width="47.375" bestFit="1" customWidth="1" style="107" min="14422" max="14422"/>
    <col width="73.25" bestFit="1" customWidth="1" style="107" min="14423" max="14423"/>
    <col width="26.625" bestFit="1" customWidth="1" style="107" min="14424" max="14424"/>
    <col width="26.75" bestFit="1" customWidth="1" style="107" min="14425" max="14426"/>
    <col width="6.375" bestFit="1" customWidth="1" style="107" min="14427" max="14427"/>
    <col width="9.875" bestFit="1" customWidth="1" style="107" min="14428" max="14429"/>
    <col width="26.5" bestFit="1" customWidth="1" style="107" min="14430" max="14430"/>
    <col width="9.125" bestFit="1" customWidth="1" style="107" min="14431" max="14431"/>
    <col width="12.625" bestFit="1" customWidth="1" style="107" min="14432" max="14432"/>
    <col width="36.5" bestFit="1" customWidth="1" style="107" min="14433" max="14433"/>
    <col width="3.375" bestFit="1" customWidth="1" style="107" min="14434" max="14434"/>
    <col width="8" bestFit="1" customWidth="1" style="107" min="14435" max="14435"/>
    <col width="5.625" bestFit="1" customWidth="1" style="107" min="14436" max="14436"/>
    <col width="7.875" bestFit="1" customWidth="1" style="107" min="14437" max="14437"/>
    <col width="6" bestFit="1" customWidth="1" style="107" min="14438" max="14438"/>
    <col width="11.25" bestFit="1" customWidth="1" style="107" min="14439" max="14439"/>
    <col width="9" customWidth="1" style="107" min="14440" max="14592"/>
    <col width="13.125" bestFit="1" customWidth="1" style="107" min="14593" max="14593"/>
    <col width="10.875" bestFit="1" customWidth="1" style="107" min="14594" max="14594"/>
    <col width="4.625" bestFit="1" customWidth="1" style="107" min="14595" max="14595"/>
    <col width="7" bestFit="1" customWidth="1" style="107" min="14596" max="14596"/>
    <col width="5.125" bestFit="1" customWidth="1" style="107" min="14597" max="14597"/>
    <col width="3.25" bestFit="1" customWidth="1" style="107" min="14598" max="14602"/>
    <col width="3.5" bestFit="1" customWidth="1" style="107" min="14603" max="14603"/>
    <col width="3.25" bestFit="1" customWidth="1" style="107" min="14604" max="14605"/>
    <col width="4.75" bestFit="1" customWidth="1" style="107" min="14606" max="14607"/>
    <col width="5.25" bestFit="1" customWidth="1" style="107" min="14608" max="14608"/>
    <col width="4.875" bestFit="1" customWidth="1" style="107" min="14609" max="14609"/>
    <col width="7.875" bestFit="1" customWidth="1" style="107" min="14610" max="14610"/>
    <col width="5.125" bestFit="1" customWidth="1" style="107" min="14611" max="14611"/>
    <col width="5.5" bestFit="1" customWidth="1" style="107" min="14612" max="14612"/>
    <col width="5.75" bestFit="1" customWidth="1" style="107" min="14613" max="14613"/>
    <col width="7.875" bestFit="1" customWidth="1" style="107" min="14614" max="14614"/>
    <col width="5.125" bestFit="1" customWidth="1" style="107" min="14615" max="14615"/>
    <col width="4.625" bestFit="1" customWidth="1" style="107" min="14616" max="14616"/>
    <col width="7.875" bestFit="1" customWidth="1" style="107" min="14617" max="14617"/>
    <col width="6.125" bestFit="1" customWidth="1" style="107" min="14618" max="14618"/>
    <col width="36.5" bestFit="1" customWidth="1" style="107" min="14619" max="14619"/>
    <col width="29.25" bestFit="1" customWidth="1" style="107" min="14620" max="14620"/>
    <col width="9.875" bestFit="1" customWidth="1" style="107" min="14621" max="14622"/>
    <col width="9.25" bestFit="1" customWidth="1" style="107" min="14623" max="14623"/>
    <col width="2.5" bestFit="1" customWidth="1" style="107" min="14624" max="14624"/>
    <col width="3.25" bestFit="1" customWidth="1" style="107" min="14625" max="14625"/>
    <col width="3.625" bestFit="1" customWidth="1" style="107" min="14626" max="14626"/>
    <col width="3.375" bestFit="1" customWidth="1" style="107" min="14627" max="14627"/>
    <col width="23.625" bestFit="1" customWidth="1" style="107" min="14628" max="14628"/>
    <col width="8.25" bestFit="1" customWidth="1" style="107" min="14629" max="14629"/>
    <col width="6.875" bestFit="1" customWidth="1" style="107" min="14630" max="14630"/>
    <col width="6.375" bestFit="1" customWidth="1" style="107" min="14631" max="14631"/>
    <col width="19.625" bestFit="1" customWidth="1" style="107" min="14632" max="14632"/>
    <col width="51.375" bestFit="1" customWidth="1" style="107" min="14633" max="14633"/>
    <col width="6.25" bestFit="1" customWidth="1" style="107" min="14634" max="14634"/>
    <col width="2.625" bestFit="1" customWidth="1" style="107" min="14635" max="14635"/>
    <col width="5.125" bestFit="1" customWidth="1" style="107" min="14636" max="14636"/>
    <col width="27.375" bestFit="1" customWidth="1" style="107" min="14637" max="14637"/>
    <col width="5.875" bestFit="1" customWidth="1" style="107" min="14638" max="14638"/>
    <col width="3.75" bestFit="1" customWidth="1" style="107" min="14639" max="14639"/>
    <col width="6.25" bestFit="1" customWidth="1" style="107" min="14640" max="14640"/>
    <col width="6.875" bestFit="1" customWidth="1" style="107" min="14641" max="14641"/>
    <col width="6.75" bestFit="1" customWidth="1" style="107" min="14642" max="14642"/>
    <col width="5.875" bestFit="1" customWidth="1" style="107" min="14643" max="14643"/>
    <col width="91.875" bestFit="1" customWidth="1" style="107" min="14644" max="14644"/>
    <col width="131.25" bestFit="1" customWidth="1" style="107" min="14645" max="14645"/>
    <col width="7" bestFit="1" customWidth="1" style="107" min="14646" max="14646"/>
    <col width="7.875" bestFit="1" customWidth="1" style="107" min="14647" max="14647"/>
    <col width="8.5" bestFit="1" customWidth="1" style="107" min="14648" max="14648"/>
    <col width="4.75" bestFit="1" customWidth="1" style="107" min="14649" max="14649"/>
    <col width="23.25" bestFit="1" customWidth="1" style="107" min="14650" max="14650"/>
    <col width="6.875" bestFit="1" customWidth="1" style="107" min="14651" max="14651"/>
    <col width="7.875" bestFit="1" customWidth="1" style="107" min="14652" max="14652"/>
    <col width="7.75" bestFit="1" customWidth="1" style="107" min="14653" max="14653"/>
    <col width="8" bestFit="1" customWidth="1" style="107" min="14654" max="14654"/>
    <col width="4.625" bestFit="1" customWidth="1" style="107" min="14655" max="14655"/>
    <col width="7.875" bestFit="1" customWidth="1" style="107" min="14656" max="14656"/>
    <col width="4" bestFit="1" customWidth="1" style="107" min="14657" max="14657"/>
    <col width="4.625" customWidth="1" style="107" min="14658" max="14658"/>
    <col width="4" bestFit="1" customWidth="1" style="107" min="14659" max="14668"/>
    <col width="3.75" bestFit="1" customWidth="1" style="107" min="14669" max="14669"/>
    <col width="4" bestFit="1" customWidth="1" style="107" min="14670" max="14670"/>
    <col width="3.625" bestFit="1" customWidth="1" style="107" min="14671" max="14671"/>
    <col width="9.875" bestFit="1" customWidth="1" style="107" min="14672" max="14672"/>
    <col width="5" bestFit="1" customWidth="1" style="107" min="14673" max="14673"/>
    <col width="7.125" bestFit="1" customWidth="1" style="107" min="14674" max="14674"/>
    <col width="9.375" bestFit="1" customWidth="1" style="107" min="14675" max="14675"/>
    <col width="10.25" bestFit="1" customWidth="1" style="107" min="14676" max="14676"/>
    <col width="7.375" bestFit="1" customWidth="1" style="107" min="14677" max="14677"/>
    <col width="47.375" bestFit="1" customWidth="1" style="107" min="14678" max="14678"/>
    <col width="73.25" bestFit="1" customWidth="1" style="107" min="14679" max="14679"/>
    <col width="26.625" bestFit="1" customWidth="1" style="107" min="14680" max="14680"/>
    <col width="26.75" bestFit="1" customWidth="1" style="107" min="14681" max="14682"/>
    <col width="6.375" bestFit="1" customWidth="1" style="107" min="14683" max="14683"/>
    <col width="9.875" bestFit="1" customWidth="1" style="107" min="14684" max="14685"/>
    <col width="26.5" bestFit="1" customWidth="1" style="107" min="14686" max="14686"/>
    <col width="9.125" bestFit="1" customWidth="1" style="107" min="14687" max="14687"/>
    <col width="12.625" bestFit="1" customWidth="1" style="107" min="14688" max="14688"/>
    <col width="36.5" bestFit="1" customWidth="1" style="107" min="14689" max="14689"/>
    <col width="3.375" bestFit="1" customWidth="1" style="107" min="14690" max="14690"/>
    <col width="8" bestFit="1" customWidth="1" style="107" min="14691" max="14691"/>
    <col width="5.625" bestFit="1" customWidth="1" style="107" min="14692" max="14692"/>
    <col width="7.875" bestFit="1" customWidth="1" style="107" min="14693" max="14693"/>
    <col width="6" bestFit="1" customWidth="1" style="107" min="14694" max="14694"/>
    <col width="11.25" bestFit="1" customWidth="1" style="107" min="14695" max="14695"/>
    <col width="9" customWidth="1" style="107" min="14696" max="14848"/>
    <col width="13.125" bestFit="1" customWidth="1" style="107" min="14849" max="14849"/>
    <col width="10.875" bestFit="1" customWidth="1" style="107" min="14850" max="14850"/>
    <col width="4.625" bestFit="1" customWidth="1" style="107" min="14851" max="14851"/>
    <col width="7" bestFit="1" customWidth="1" style="107" min="14852" max="14852"/>
    <col width="5.125" bestFit="1" customWidth="1" style="107" min="14853" max="14853"/>
    <col width="3.25" bestFit="1" customWidth="1" style="107" min="14854" max="14858"/>
    <col width="3.5" bestFit="1" customWidth="1" style="107" min="14859" max="14859"/>
    <col width="3.25" bestFit="1" customWidth="1" style="107" min="14860" max="14861"/>
    <col width="4.75" bestFit="1" customWidth="1" style="107" min="14862" max="14863"/>
    <col width="5.25" bestFit="1" customWidth="1" style="107" min="14864" max="14864"/>
    <col width="4.875" bestFit="1" customWidth="1" style="107" min="14865" max="14865"/>
    <col width="7.875" bestFit="1" customWidth="1" style="107" min="14866" max="14866"/>
    <col width="5.125" bestFit="1" customWidth="1" style="107" min="14867" max="14867"/>
    <col width="5.5" bestFit="1" customWidth="1" style="107" min="14868" max="14868"/>
    <col width="5.75" bestFit="1" customWidth="1" style="107" min="14869" max="14869"/>
    <col width="7.875" bestFit="1" customWidth="1" style="107" min="14870" max="14870"/>
    <col width="5.125" bestFit="1" customWidth="1" style="107" min="14871" max="14871"/>
    <col width="4.625" bestFit="1" customWidth="1" style="107" min="14872" max="14872"/>
    <col width="7.875" bestFit="1" customWidth="1" style="107" min="14873" max="14873"/>
    <col width="6.125" bestFit="1" customWidth="1" style="107" min="14874" max="14874"/>
    <col width="36.5" bestFit="1" customWidth="1" style="107" min="14875" max="14875"/>
    <col width="29.25" bestFit="1" customWidth="1" style="107" min="14876" max="14876"/>
    <col width="9.875" bestFit="1" customWidth="1" style="107" min="14877" max="14878"/>
    <col width="9.25" bestFit="1" customWidth="1" style="107" min="14879" max="14879"/>
    <col width="2.5" bestFit="1" customWidth="1" style="107" min="14880" max="14880"/>
    <col width="3.25" bestFit="1" customWidth="1" style="107" min="14881" max="14881"/>
    <col width="3.625" bestFit="1" customWidth="1" style="107" min="14882" max="14882"/>
    <col width="3.375" bestFit="1" customWidth="1" style="107" min="14883" max="14883"/>
    <col width="23.625" bestFit="1" customWidth="1" style="107" min="14884" max="14884"/>
    <col width="8.25" bestFit="1" customWidth="1" style="107" min="14885" max="14885"/>
    <col width="6.875" bestFit="1" customWidth="1" style="107" min="14886" max="14886"/>
    <col width="6.375" bestFit="1" customWidth="1" style="107" min="14887" max="14887"/>
    <col width="19.625" bestFit="1" customWidth="1" style="107" min="14888" max="14888"/>
    <col width="51.375" bestFit="1" customWidth="1" style="107" min="14889" max="14889"/>
    <col width="6.25" bestFit="1" customWidth="1" style="107" min="14890" max="14890"/>
    <col width="2.625" bestFit="1" customWidth="1" style="107" min="14891" max="14891"/>
    <col width="5.125" bestFit="1" customWidth="1" style="107" min="14892" max="14892"/>
    <col width="27.375" bestFit="1" customWidth="1" style="107" min="14893" max="14893"/>
    <col width="5.875" bestFit="1" customWidth="1" style="107" min="14894" max="14894"/>
    <col width="3.75" bestFit="1" customWidth="1" style="107" min="14895" max="14895"/>
    <col width="6.25" bestFit="1" customWidth="1" style="107" min="14896" max="14896"/>
    <col width="6.875" bestFit="1" customWidth="1" style="107" min="14897" max="14897"/>
    <col width="6.75" bestFit="1" customWidth="1" style="107" min="14898" max="14898"/>
    <col width="5.875" bestFit="1" customWidth="1" style="107" min="14899" max="14899"/>
    <col width="91.875" bestFit="1" customWidth="1" style="107" min="14900" max="14900"/>
    <col width="131.25" bestFit="1" customWidth="1" style="107" min="14901" max="14901"/>
    <col width="7" bestFit="1" customWidth="1" style="107" min="14902" max="14902"/>
    <col width="7.875" bestFit="1" customWidth="1" style="107" min="14903" max="14903"/>
    <col width="8.5" bestFit="1" customWidth="1" style="107" min="14904" max="14904"/>
    <col width="4.75" bestFit="1" customWidth="1" style="107" min="14905" max="14905"/>
    <col width="23.25" bestFit="1" customWidth="1" style="107" min="14906" max="14906"/>
    <col width="6.875" bestFit="1" customWidth="1" style="107" min="14907" max="14907"/>
    <col width="7.875" bestFit="1" customWidth="1" style="107" min="14908" max="14908"/>
    <col width="7.75" bestFit="1" customWidth="1" style="107" min="14909" max="14909"/>
    <col width="8" bestFit="1" customWidth="1" style="107" min="14910" max="14910"/>
    <col width="4.625" bestFit="1" customWidth="1" style="107" min="14911" max="14911"/>
    <col width="7.875" bestFit="1" customWidth="1" style="107" min="14912" max="14912"/>
    <col width="4" bestFit="1" customWidth="1" style="107" min="14913" max="14913"/>
    <col width="4.625" customWidth="1" style="107" min="14914" max="14914"/>
    <col width="4" bestFit="1" customWidth="1" style="107" min="14915" max="14924"/>
    <col width="3.75" bestFit="1" customWidth="1" style="107" min="14925" max="14925"/>
    <col width="4" bestFit="1" customWidth="1" style="107" min="14926" max="14926"/>
    <col width="3.625" bestFit="1" customWidth="1" style="107" min="14927" max="14927"/>
    <col width="9.875" bestFit="1" customWidth="1" style="107" min="14928" max="14928"/>
    <col width="5" bestFit="1" customWidth="1" style="107" min="14929" max="14929"/>
    <col width="7.125" bestFit="1" customWidth="1" style="107" min="14930" max="14930"/>
    <col width="9.375" bestFit="1" customWidth="1" style="107" min="14931" max="14931"/>
    <col width="10.25" bestFit="1" customWidth="1" style="107" min="14932" max="14932"/>
    <col width="7.375" bestFit="1" customWidth="1" style="107" min="14933" max="14933"/>
    <col width="47.375" bestFit="1" customWidth="1" style="107" min="14934" max="14934"/>
    <col width="73.25" bestFit="1" customWidth="1" style="107" min="14935" max="14935"/>
    <col width="26.625" bestFit="1" customWidth="1" style="107" min="14936" max="14936"/>
    <col width="26.75" bestFit="1" customWidth="1" style="107" min="14937" max="14938"/>
    <col width="6.375" bestFit="1" customWidth="1" style="107" min="14939" max="14939"/>
    <col width="9.875" bestFit="1" customWidth="1" style="107" min="14940" max="14941"/>
    <col width="26.5" bestFit="1" customWidth="1" style="107" min="14942" max="14942"/>
    <col width="9.125" bestFit="1" customWidth="1" style="107" min="14943" max="14943"/>
    <col width="12.625" bestFit="1" customWidth="1" style="107" min="14944" max="14944"/>
    <col width="36.5" bestFit="1" customWidth="1" style="107" min="14945" max="14945"/>
    <col width="3.375" bestFit="1" customWidth="1" style="107" min="14946" max="14946"/>
    <col width="8" bestFit="1" customWidth="1" style="107" min="14947" max="14947"/>
    <col width="5.625" bestFit="1" customWidth="1" style="107" min="14948" max="14948"/>
    <col width="7.875" bestFit="1" customWidth="1" style="107" min="14949" max="14949"/>
    <col width="6" bestFit="1" customWidth="1" style="107" min="14950" max="14950"/>
    <col width="11.25" bestFit="1" customWidth="1" style="107" min="14951" max="14951"/>
    <col width="9" customWidth="1" style="107" min="14952" max="15104"/>
    <col width="13.125" bestFit="1" customWidth="1" style="107" min="15105" max="15105"/>
    <col width="10.875" bestFit="1" customWidth="1" style="107" min="15106" max="15106"/>
    <col width="4.625" bestFit="1" customWidth="1" style="107" min="15107" max="15107"/>
    <col width="7" bestFit="1" customWidth="1" style="107" min="15108" max="15108"/>
    <col width="5.125" bestFit="1" customWidth="1" style="107" min="15109" max="15109"/>
    <col width="3.25" bestFit="1" customWidth="1" style="107" min="15110" max="15114"/>
    <col width="3.5" bestFit="1" customWidth="1" style="107" min="15115" max="15115"/>
    <col width="3.25" bestFit="1" customWidth="1" style="107" min="15116" max="15117"/>
    <col width="4.75" bestFit="1" customWidth="1" style="107" min="15118" max="15119"/>
    <col width="5.25" bestFit="1" customWidth="1" style="107" min="15120" max="15120"/>
    <col width="4.875" bestFit="1" customWidth="1" style="107" min="15121" max="15121"/>
    <col width="7.875" bestFit="1" customWidth="1" style="107" min="15122" max="15122"/>
    <col width="5.125" bestFit="1" customWidth="1" style="107" min="15123" max="15123"/>
    <col width="5.5" bestFit="1" customWidth="1" style="107" min="15124" max="15124"/>
    <col width="5.75" bestFit="1" customWidth="1" style="107" min="15125" max="15125"/>
    <col width="7.875" bestFit="1" customWidth="1" style="107" min="15126" max="15126"/>
    <col width="5.125" bestFit="1" customWidth="1" style="107" min="15127" max="15127"/>
    <col width="4.625" bestFit="1" customWidth="1" style="107" min="15128" max="15128"/>
    <col width="7.875" bestFit="1" customWidth="1" style="107" min="15129" max="15129"/>
    <col width="6.125" bestFit="1" customWidth="1" style="107" min="15130" max="15130"/>
    <col width="36.5" bestFit="1" customWidth="1" style="107" min="15131" max="15131"/>
    <col width="29.25" bestFit="1" customWidth="1" style="107" min="15132" max="15132"/>
    <col width="9.875" bestFit="1" customWidth="1" style="107" min="15133" max="15134"/>
    <col width="9.25" bestFit="1" customWidth="1" style="107" min="15135" max="15135"/>
    <col width="2.5" bestFit="1" customWidth="1" style="107" min="15136" max="15136"/>
    <col width="3.25" bestFit="1" customWidth="1" style="107" min="15137" max="15137"/>
    <col width="3.625" bestFit="1" customWidth="1" style="107" min="15138" max="15138"/>
    <col width="3.375" bestFit="1" customWidth="1" style="107" min="15139" max="15139"/>
    <col width="23.625" bestFit="1" customWidth="1" style="107" min="15140" max="15140"/>
    <col width="8.25" bestFit="1" customWidth="1" style="107" min="15141" max="15141"/>
    <col width="6.875" bestFit="1" customWidth="1" style="107" min="15142" max="15142"/>
    <col width="6.375" bestFit="1" customWidth="1" style="107" min="15143" max="15143"/>
    <col width="19.625" bestFit="1" customWidth="1" style="107" min="15144" max="15144"/>
    <col width="51.375" bestFit="1" customWidth="1" style="107" min="15145" max="15145"/>
    <col width="6.25" bestFit="1" customWidth="1" style="107" min="15146" max="15146"/>
    <col width="2.625" bestFit="1" customWidth="1" style="107" min="15147" max="15147"/>
    <col width="5.125" bestFit="1" customWidth="1" style="107" min="15148" max="15148"/>
    <col width="27.375" bestFit="1" customWidth="1" style="107" min="15149" max="15149"/>
    <col width="5.875" bestFit="1" customWidth="1" style="107" min="15150" max="15150"/>
    <col width="3.75" bestFit="1" customWidth="1" style="107" min="15151" max="15151"/>
    <col width="6.25" bestFit="1" customWidth="1" style="107" min="15152" max="15152"/>
    <col width="6.875" bestFit="1" customWidth="1" style="107" min="15153" max="15153"/>
    <col width="6.75" bestFit="1" customWidth="1" style="107" min="15154" max="15154"/>
    <col width="5.875" bestFit="1" customWidth="1" style="107" min="15155" max="15155"/>
    <col width="91.875" bestFit="1" customWidth="1" style="107" min="15156" max="15156"/>
    <col width="131.25" bestFit="1" customWidth="1" style="107" min="15157" max="15157"/>
    <col width="7" bestFit="1" customWidth="1" style="107" min="15158" max="15158"/>
    <col width="7.875" bestFit="1" customWidth="1" style="107" min="15159" max="15159"/>
    <col width="8.5" bestFit="1" customWidth="1" style="107" min="15160" max="15160"/>
    <col width="4.75" bestFit="1" customWidth="1" style="107" min="15161" max="15161"/>
    <col width="23.25" bestFit="1" customWidth="1" style="107" min="15162" max="15162"/>
    <col width="6.875" bestFit="1" customWidth="1" style="107" min="15163" max="15163"/>
    <col width="7.875" bestFit="1" customWidth="1" style="107" min="15164" max="15164"/>
    <col width="7.75" bestFit="1" customWidth="1" style="107" min="15165" max="15165"/>
    <col width="8" bestFit="1" customWidth="1" style="107" min="15166" max="15166"/>
    <col width="4.625" bestFit="1" customWidth="1" style="107" min="15167" max="15167"/>
    <col width="7.875" bestFit="1" customWidth="1" style="107" min="15168" max="15168"/>
    <col width="4" bestFit="1" customWidth="1" style="107" min="15169" max="15169"/>
    <col width="4.625" customWidth="1" style="107" min="15170" max="15170"/>
    <col width="4" bestFit="1" customWidth="1" style="107" min="15171" max="15180"/>
    <col width="3.75" bestFit="1" customWidth="1" style="107" min="15181" max="15181"/>
    <col width="4" bestFit="1" customWidth="1" style="107" min="15182" max="15182"/>
    <col width="3.625" bestFit="1" customWidth="1" style="107" min="15183" max="15183"/>
    <col width="9.875" bestFit="1" customWidth="1" style="107" min="15184" max="15184"/>
    <col width="5" bestFit="1" customWidth="1" style="107" min="15185" max="15185"/>
    <col width="7.125" bestFit="1" customWidth="1" style="107" min="15186" max="15186"/>
    <col width="9.375" bestFit="1" customWidth="1" style="107" min="15187" max="15187"/>
    <col width="10.25" bestFit="1" customWidth="1" style="107" min="15188" max="15188"/>
    <col width="7.375" bestFit="1" customWidth="1" style="107" min="15189" max="15189"/>
    <col width="47.375" bestFit="1" customWidth="1" style="107" min="15190" max="15190"/>
    <col width="73.25" bestFit="1" customWidth="1" style="107" min="15191" max="15191"/>
    <col width="26.625" bestFit="1" customWidth="1" style="107" min="15192" max="15192"/>
    <col width="26.75" bestFit="1" customWidth="1" style="107" min="15193" max="15194"/>
    <col width="6.375" bestFit="1" customWidth="1" style="107" min="15195" max="15195"/>
    <col width="9.875" bestFit="1" customWidth="1" style="107" min="15196" max="15197"/>
    <col width="26.5" bestFit="1" customWidth="1" style="107" min="15198" max="15198"/>
    <col width="9.125" bestFit="1" customWidth="1" style="107" min="15199" max="15199"/>
    <col width="12.625" bestFit="1" customWidth="1" style="107" min="15200" max="15200"/>
    <col width="36.5" bestFit="1" customWidth="1" style="107" min="15201" max="15201"/>
    <col width="3.375" bestFit="1" customWidth="1" style="107" min="15202" max="15202"/>
    <col width="8" bestFit="1" customWidth="1" style="107" min="15203" max="15203"/>
    <col width="5.625" bestFit="1" customWidth="1" style="107" min="15204" max="15204"/>
    <col width="7.875" bestFit="1" customWidth="1" style="107" min="15205" max="15205"/>
    <col width="6" bestFit="1" customWidth="1" style="107" min="15206" max="15206"/>
    <col width="11.25" bestFit="1" customWidth="1" style="107" min="15207" max="15207"/>
    <col width="9" customWidth="1" style="107" min="15208" max="15360"/>
    <col width="13.125" bestFit="1" customWidth="1" style="107" min="15361" max="15361"/>
    <col width="10.875" bestFit="1" customWidth="1" style="107" min="15362" max="15362"/>
    <col width="4.625" bestFit="1" customWidth="1" style="107" min="15363" max="15363"/>
    <col width="7" bestFit="1" customWidth="1" style="107" min="15364" max="15364"/>
    <col width="5.125" bestFit="1" customWidth="1" style="107" min="15365" max="15365"/>
    <col width="3.25" bestFit="1" customWidth="1" style="107" min="15366" max="15370"/>
    <col width="3.5" bestFit="1" customWidth="1" style="107" min="15371" max="15371"/>
    <col width="3.25" bestFit="1" customWidth="1" style="107" min="15372" max="15373"/>
    <col width="4.75" bestFit="1" customWidth="1" style="107" min="15374" max="15375"/>
    <col width="5.25" bestFit="1" customWidth="1" style="107" min="15376" max="15376"/>
    <col width="4.875" bestFit="1" customWidth="1" style="107" min="15377" max="15377"/>
    <col width="7.875" bestFit="1" customWidth="1" style="107" min="15378" max="15378"/>
    <col width="5.125" bestFit="1" customWidth="1" style="107" min="15379" max="15379"/>
    <col width="5.5" bestFit="1" customWidth="1" style="107" min="15380" max="15380"/>
    <col width="5.75" bestFit="1" customWidth="1" style="107" min="15381" max="15381"/>
    <col width="7.875" bestFit="1" customWidth="1" style="107" min="15382" max="15382"/>
    <col width="5.125" bestFit="1" customWidth="1" style="107" min="15383" max="15383"/>
    <col width="4.625" bestFit="1" customWidth="1" style="107" min="15384" max="15384"/>
    <col width="7.875" bestFit="1" customWidth="1" style="107" min="15385" max="15385"/>
    <col width="6.125" bestFit="1" customWidth="1" style="107" min="15386" max="15386"/>
    <col width="36.5" bestFit="1" customWidth="1" style="107" min="15387" max="15387"/>
    <col width="29.25" bestFit="1" customWidth="1" style="107" min="15388" max="15388"/>
    <col width="9.875" bestFit="1" customWidth="1" style="107" min="15389" max="15390"/>
    <col width="9.25" bestFit="1" customWidth="1" style="107" min="15391" max="15391"/>
    <col width="2.5" bestFit="1" customWidth="1" style="107" min="15392" max="15392"/>
    <col width="3.25" bestFit="1" customWidth="1" style="107" min="15393" max="15393"/>
    <col width="3.625" bestFit="1" customWidth="1" style="107" min="15394" max="15394"/>
    <col width="3.375" bestFit="1" customWidth="1" style="107" min="15395" max="15395"/>
    <col width="23.625" bestFit="1" customWidth="1" style="107" min="15396" max="15396"/>
    <col width="8.25" bestFit="1" customWidth="1" style="107" min="15397" max="15397"/>
    <col width="6.875" bestFit="1" customWidth="1" style="107" min="15398" max="15398"/>
    <col width="6.375" bestFit="1" customWidth="1" style="107" min="15399" max="15399"/>
    <col width="19.625" bestFit="1" customWidth="1" style="107" min="15400" max="15400"/>
    <col width="51.375" bestFit="1" customWidth="1" style="107" min="15401" max="15401"/>
    <col width="6.25" bestFit="1" customWidth="1" style="107" min="15402" max="15402"/>
    <col width="2.625" bestFit="1" customWidth="1" style="107" min="15403" max="15403"/>
    <col width="5.125" bestFit="1" customWidth="1" style="107" min="15404" max="15404"/>
    <col width="27.375" bestFit="1" customWidth="1" style="107" min="15405" max="15405"/>
    <col width="5.875" bestFit="1" customWidth="1" style="107" min="15406" max="15406"/>
    <col width="3.75" bestFit="1" customWidth="1" style="107" min="15407" max="15407"/>
    <col width="6.25" bestFit="1" customWidth="1" style="107" min="15408" max="15408"/>
    <col width="6.875" bestFit="1" customWidth="1" style="107" min="15409" max="15409"/>
    <col width="6.75" bestFit="1" customWidth="1" style="107" min="15410" max="15410"/>
    <col width="5.875" bestFit="1" customWidth="1" style="107" min="15411" max="15411"/>
    <col width="91.875" bestFit="1" customWidth="1" style="107" min="15412" max="15412"/>
    <col width="131.25" bestFit="1" customWidth="1" style="107" min="15413" max="15413"/>
    <col width="7" bestFit="1" customWidth="1" style="107" min="15414" max="15414"/>
    <col width="7.875" bestFit="1" customWidth="1" style="107" min="15415" max="15415"/>
    <col width="8.5" bestFit="1" customWidth="1" style="107" min="15416" max="15416"/>
    <col width="4.75" bestFit="1" customWidth="1" style="107" min="15417" max="15417"/>
    <col width="23.25" bestFit="1" customWidth="1" style="107" min="15418" max="15418"/>
    <col width="6.875" bestFit="1" customWidth="1" style="107" min="15419" max="15419"/>
    <col width="7.875" bestFit="1" customWidth="1" style="107" min="15420" max="15420"/>
    <col width="7.75" bestFit="1" customWidth="1" style="107" min="15421" max="15421"/>
    <col width="8" bestFit="1" customWidth="1" style="107" min="15422" max="15422"/>
    <col width="4.625" bestFit="1" customWidth="1" style="107" min="15423" max="15423"/>
    <col width="7.875" bestFit="1" customWidth="1" style="107" min="15424" max="15424"/>
    <col width="4" bestFit="1" customWidth="1" style="107" min="15425" max="15425"/>
    <col width="4.625" customWidth="1" style="107" min="15426" max="15426"/>
    <col width="4" bestFit="1" customWidth="1" style="107" min="15427" max="15436"/>
    <col width="3.75" bestFit="1" customWidth="1" style="107" min="15437" max="15437"/>
    <col width="4" bestFit="1" customWidth="1" style="107" min="15438" max="15438"/>
    <col width="3.625" bestFit="1" customWidth="1" style="107" min="15439" max="15439"/>
    <col width="9.875" bestFit="1" customWidth="1" style="107" min="15440" max="15440"/>
    <col width="5" bestFit="1" customWidth="1" style="107" min="15441" max="15441"/>
    <col width="7.125" bestFit="1" customWidth="1" style="107" min="15442" max="15442"/>
    <col width="9.375" bestFit="1" customWidth="1" style="107" min="15443" max="15443"/>
    <col width="10.25" bestFit="1" customWidth="1" style="107" min="15444" max="15444"/>
    <col width="7.375" bestFit="1" customWidth="1" style="107" min="15445" max="15445"/>
    <col width="47.375" bestFit="1" customWidth="1" style="107" min="15446" max="15446"/>
    <col width="73.25" bestFit="1" customWidth="1" style="107" min="15447" max="15447"/>
    <col width="26.625" bestFit="1" customWidth="1" style="107" min="15448" max="15448"/>
    <col width="26.75" bestFit="1" customWidth="1" style="107" min="15449" max="15450"/>
    <col width="6.375" bestFit="1" customWidth="1" style="107" min="15451" max="15451"/>
    <col width="9.875" bestFit="1" customWidth="1" style="107" min="15452" max="15453"/>
    <col width="26.5" bestFit="1" customWidth="1" style="107" min="15454" max="15454"/>
    <col width="9.125" bestFit="1" customWidth="1" style="107" min="15455" max="15455"/>
    <col width="12.625" bestFit="1" customWidth="1" style="107" min="15456" max="15456"/>
    <col width="36.5" bestFit="1" customWidth="1" style="107" min="15457" max="15457"/>
    <col width="3.375" bestFit="1" customWidth="1" style="107" min="15458" max="15458"/>
    <col width="8" bestFit="1" customWidth="1" style="107" min="15459" max="15459"/>
    <col width="5.625" bestFit="1" customWidth="1" style="107" min="15460" max="15460"/>
    <col width="7.875" bestFit="1" customWidth="1" style="107" min="15461" max="15461"/>
    <col width="6" bestFit="1" customWidth="1" style="107" min="15462" max="15462"/>
    <col width="11.25" bestFit="1" customWidth="1" style="107" min="15463" max="15463"/>
    <col width="9" customWidth="1" style="107" min="15464" max="15616"/>
    <col width="13.125" bestFit="1" customWidth="1" style="107" min="15617" max="15617"/>
    <col width="10.875" bestFit="1" customWidth="1" style="107" min="15618" max="15618"/>
    <col width="4.625" bestFit="1" customWidth="1" style="107" min="15619" max="15619"/>
    <col width="7" bestFit="1" customWidth="1" style="107" min="15620" max="15620"/>
    <col width="5.125" bestFit="1" customWidth="1" style="107" min="15621" max="15621"/>
    <col width="3.25" bestFit="1" customWidth="1" style="107" min="15622" max="15626"/>
    <col width="3.5" bestFit="1" customWidth="1" style="107" min="15627" max="15627"/>
    <col width="3.25" bestFit="1" customWidth="1" style="107" min="15628" max="15629"/>
    <col width="4.75" bestFit="1" customWidth="1" style="107" min="15630" max="15631"/>
    <col width="5.25" bestFit="1" customWidth="1" style="107" min="15632" max="15632"/>
    <col width="4.875" bestFit="1" customWidth="1" style="107" min="15633" max="15633"/>
    <col width="7.875" bestFit="1" customWidth="1" style="107" min="15634" max="15634"/>
    <col width="5.125" bestFit="1" customWidth="1" style="107" min="15635" max="15635"/>
    <col width="5.5" bestFit="1" customWidth="1" style="107" min="15636" max="15636"/>
    <col width="5.75" bestFit="1" customWidth="1" style="107" min="15637" max="15637"/>
    <col width="7.875" bestFit="1" customWidth="1" style="107" min="15638" max="15638"/>
    <col width="5.125" bestFit="1" customWidth="1" style="107" min="15639" max="15639"/>
    <col width="4.625" bestFit="1" customWidth="1" style="107" min="15640" max="15640"/>
    <col width="7.875" bestFit="1" customWidth="1" style="107" min="15641" max="15641"/>
    <col width="6.125" bestFit="1" customWidth="1" style="107" min="15642" max="15642"/>
    <col width="36.5" bestFit="1" customWidth="1" style="107" min="15643" max="15643"/>
    <col width="29.25" bestFit="1" customWidth="1" style="107" min="15644" max="15644"/>
    <col width="9.875" bestFit="1" customWidth="1" style="107" min="15645" max="15646"/>
    <col width="9.25" bestFit="1" customWidth="1" style="107" min="15647" max="15647"/>
    <col width="2.5" bestFit="1" customWidth="1" style="107" min="15648" max="15648"/>
    <col width="3.25" bestFit="1" customWidth="1" style="107" min="15649" max="15649"/>
    <col width="3.625" bestFit="1" customWidth="1" style="107" min="15650" max="15650"/>
    <col width="3.375" bestFit="1" customWidth="1" style="107" min="15651" max="15651"/>
    <col width="23.625" bestFit="1" customWidth="1" style="107" min="15652" max="15652"/>
    <col width="8.25" bestFit="1" customWidth="1" style="107" min="15653" max="15653"/>
    <col width="6.875" bestFit="1" customWidth="1" style="107" min="15654" max="15654"/>
    <col width="6.375" bestFit="1" customWidth="1" style="107" min="15655" max="15655"/>
    <col width="19.625" bestFit="1" customWidth="1" style="107" min="15656" max="15656"/>
    <col width="51.375" bestFit="1" customWidth="1" style="107" min="15657" max="15657"/>
    <col width="6.25" bestFit="1" customWidth="1" style="107" min="15658" max="15658"/>
    <col width="2.625" bestFit="1" customWidth="1" style="107" min="15659" max="15659"/>
    <col width="5.125" bestFit="1" customWidth="1" style="107" min="15660" max="15660"/>
    <col width="27.375" bestFit="1" customWidth="1" style="107" min="15661" max="15661"/>
    <col width="5.875" bestFit="1" customWidth="1" style="107" min="15662" max="15662"/>
    <col width="3.75" bestFit="1" customWidth="1" style="107" min="15663" max="15663"/>
    <col width="6.25" bestFit="1" customWidth="1" style="107" min="15664" max="15664"/>
    <col width="6.875" bestFit="1" customWidth="1" style="107" min="15665" max="15665"/>
    <col width="6.75" bestFit="1" customWidth="1" style="107" min="15666" max="15666"/>
    <col width="5.875" bestFit="1" customWidth="1" style="107" min="15667" max="15667"/>
    <col width="91.875" bestFit="1" customWidth="1" style="107" min="15668" max="15668"/>
    <col width="131.25" bestFit="1" customWidth="1" style="107" min="15669" max="15669"/>
    <col width="7" bestFit="1" customWidth="1" style="107" min="15670" max="15670"/>
    <col width="7.875" bestFit="1" customWidth="1" style="107" min="15671" max="15671"/>
    <col width="8.5" bestFit="1" customWidth="1" style="107" min="15672" max="15672"/>
    <col width="4.75" bestFit="1" customWidth="1" style="107" min="15673" max="15673"/>
    <col width="23.25" bestFit="1" customWidth="1" style="107" min="15674" max="15674"/>
    <col width="6.875" bestFit="1" customWidth="1" style="107" min="15675" max="15675"/>
    <col width="7.875" bestFit="1" customWidth="1" style="107" min="15676" max="15676"/>
    <col width="7.75" bestFit="1" customWidth="1" style="107" min="15677" max="15677"/>
    <col width="8" bestFit="1" customWidth="1" style="107" min="15678" max="15678"/>
    <col width="4.625" bestFit="1" customWidth="1" style="107" min="15679" max="15679"/>
    <col width="7.875" bestFit="1" customWidth="1" style="107" min="15680" max="15680"/>
    <col width="4" bestFit="1" customWidth="1" style="107" min="15681" max="15681"/>
    <col width="4.625" customWidth="1" style="107" min="15682" max="15682"/>
    <col width="4" bestFit="1" customWidth="1" style="107" min="15683" max="15692"/>
    <col width="3.75" bestFit="1" customWidth="1" style="107" min="15693" max="15693"/>
    <col width="4" bestFit="1" customWidth="1" style="107" min="15694" max="15694"/>
    <col width="3.625" bestFit="1" customWidth="1" style="107" min="15695" max="15695"/>
    <col width="9.875" bestFit="1" customWidth="1" style="107" min="15696" max="15696"/>
    <col width="5" bestFit="1" customWidth="1" style="107" min="15697" max="15697"/>
    <col width="7.125" bestFit="1" customWidth="1" style="107" min="15698" max="15698"/>
    <col width="9.375" bestFit="1" customWidth="1" style="107" min="15699" max="15699"/>
    <col width="10.25" bestFit="1" customWidth="1" style="107" min="15700" max="15700"/>
    <col width="7.375" bestFit="1" customWidth="1" style="107" min="15701" max="15701"/>
    <col width="47.375" bestFit="1" customWidth="1" style="107" min="15702" max="15702"/>
    <col width="73.25" bestFit="1" customWidth="1" style="107" min="15703" max="15703"/>
    <col width="26.625" bestFit="1" customWidth="1" style="107" min="15704" max="15704"/>
    <col width="26.75" bestFit="1" customWidth="1" style="107" min="15705" max="15706"/>
    <col width="6.375" bestFit="1" customWidth="1" style="107" min="15707" max="15707"/>
    <col width="9.875" bestFit="1" customWidth="1" style="107" min="15708" max="15709"/>
    <col width="26.5" bestFit="1" customWidth="1" style="107" min="15710" max="15710"/>
    <col width="9.125" bestFit="1" customWidth="1" style="107" min="15711" max="15711"/>
    <col width="12.625" bestFit="1" customWidth="1" style="107" min="15712" max="15712"/>
    <col width="36.5" bestFit="1" customWidth="1" style="107" min="15713" max="15713"/>
    <col width="3.375" bestFit="1" customWidth="1" style="107" min="15714" max="15714"/>
    <col width="8" bestFit="1" customWidth="1" style="107" min="15715" max="15715"/>
    <col width="5.625" bestFit="1" customWidth="1" style="107" min="15716" max="15716"/>
    <col width="7.875" bestFit="1" customWidth="1" style="107" min="15717" max="15717"/>
    <col width="6" bestFit="1" customWidth="1" style="107" min="15718" max="15718"/>
    <col width="11.25" bestFit="1" customWidth="1" style="107" min="15719" max="15719"/>
    <col width="9" customWidth="1" style="107" min="15720" max="15872"/>
    <col width="13.125" bestFit="1" customWidth="1" style="107" min="15873" max="15873"/>
    <col width="10.875" bestFit="1" customWidth="1" style="107" min="15874" max="15874"/>
    <col width="4.625" bestFit="1" customWidth="1" style="107" min="15875" max="15875"/>
    <col width="7" bestFit="1" customWidth="1" style="107" min="15876" max="15876"/>
    <col width="5.125" bestFit="1" customWidth="1" style="107" min="15877" max="15877"/>
    <col width="3.25" bestFit="1" customWidth="1" style="107" min="15878" max="15882"/>
    <col width="3.5" bestFit="1" customWidth="1" style="107" min="15883" max="15883"/>
    <col width="3.25" bestFit="1" customWidth="1" style="107" min="15884" max="15885"/>
    <col width="4.75" bestFit="1" customWidth="1" style="107" min="15886" max="15887"/>
    <col width="5.25" bestFit="1" customWidth="1" style="107" min="15888" max="15888"/>
    <col width="4.875" bestFit="1" customWidth="1" style="107" min="15889" max="15889"/>
    <col width="7.875" bestFit="1" customWidth="1" style="107" min="15890" max="15890"/>
    <col width="5.125" bestFit="1" customWidth="1" style="107" min="15891" max="15891"/>
    <col width="5.5" bestFit="1" customWidth="1" style="107" min="15892" max="15892"/>
    <col width="5.75" bestFit="1" customWidth="1" style="107" min="15893" max="15893"/>
    <col width="7.875" bestFit="1" customWidth="1" style="107" min="15894" max="15894"/>
    <col width="5.125" bestFit="1" customWidth="1" style="107" min="15895" max="15895"/>
    <col width="4.625" bestFit="1" customWidth="1" style="107" min="15896" max="15896"/>
    <col width="7.875" bestFit="1" customWidth="1" style="107" min="15897" max="15897"/>
    <col width="6.125" bestFit="1" customWidth="1" style="107" min="15898" max="15898"/>
    <col width="36.5" bestFit="1" customWidth="1" style="107" min="15899" max="15899"/>
    <col width="29.25" bestFit="1" customWidth="1" style="107" min="15900" max="15900"/>
    <col width="9.875" bestFit="1" customWidth="1" style="107" min="15901" max="15902"/>
    <col width="9.25" bestFit="1" customWidth="1" style="107" min="15903" max="15903"/>
    <col width="2.5" bestFit="1" customWidth="1" style="107" min="15904" max="15904"/>
    <col width="3.25" bestFit="1" customWidth="1" style="107" min="15905" max="15905"/>
    <col width="3.625" bestFit="1" customWidth="1" style="107" min="15906" max="15906"/>
    <col width="3.375" bestFit="1" customWidth="1" style="107" min="15907" max="15907"/>
    <col width="23.625" bestFit="1" customWidth="1" style="107" min="15908" max="15908"/>
    <col width="8.25" bestFit="1" customWidth="1" style="107" min="15909" max="15909"/>
    <col width="6.875" bestFit="1" customWidth="1" style="107" min="15910" max="15910"/>
    <col width="6.375" bestFit="1" customWidth="1" style="107" min="15911" max="15911"/>
    <col width="19.625" bestFit="1" customWidth="1" style="107" min="15912" max="15912"/>
    <col width="51.375" bestFit="1" customWidth="1" style="107" min="15913" max="15913"/>
    <col width="6.25" bestFit="1" customWidth="1" style="107" min="15914" max="15914"/>
    <col width="2.625" bestFit="1" customWidth="1" style="107" min="15915" max="15915"/>
    <col width="5.125" bestFit="1" customWidth="1" style="107" min="15916" max="15916"/>
    <col width="27.375" bestFit="1" customWidth="1" style="107" min="15917" max="15917"/>
    <col width="5.875" bestFit="1" customWidth="1" style="107" min="15918" max="15918"/>
    <col width="3.75" bestFit="1" customWidth="1" style="107" min="15919" max="15919"/>
    <col width="6.25" bestFit="1" customWidth="1" style="107" min="15920" max="15920"/>
    <col width="6.875" bestFit="1" customWidth="1" style="107" min="15921" max="15921"/>
    <col width="6.75" bestFit="1" customWidth="1" style="107" min="15922" max="15922"/>
    <col width="5.875" bestFit="1" customWidth="1" style="107" min="15923" max="15923"/>
    <col width="91.875" bestFit="1" customWidth="1" style="107" min="15924" max="15924"/>
    <col width="131.25" bestFit="1" customWidth="1" style="107" min="15925" max="15925"/>
    <col width="7" bestFit="1" customWidth="1" style="107" min="15926" max="15926"/>
    <col width="7.875" bestFit="1" customWidth="1" style="107" min="15927" max="15927"/>
    <col width="8.5" bestFit="1" customWidth="1" style="107" min="15928" max="15928"/>
    <col width="4.75" bestFit="1" customWidth="1" style="107" min="15929" max="15929"/>
    <col width="23.25" bestFit="1" customWidth="1" style="107" min="15930" max="15930"/>
    <col width="6.875" bestFit="1" customWidth="1" style="107" min="15931" max="15931"/>
    <col width="7.875" bestFit="1" customWidth="1" style="107" min="15932" max="15932"/>
    <col width="7.75" bestFit="1" customWidth="1" style="107" min="15933" max="15933"/>
    <col width="8" bestFit="1" customWidth="1" style="107" min="15934" max="15934"/>
    <col width="4.625" bestFit="1" customWidth="1" style="107" min="15935" max="15935"/>
    <col width="7.875" bestFit="1" customWidth="1" style="107" min="15936" max="15936"/>
    <col width="4" bestFit="1" customWidth="1" style="107" min="15937" max="15937"/>
    <col width="4.625" customWidth="1" style="107" min="15938" max="15938"/>
    <col width="4" bestFit="1" customWidth="1" style="107" min="15939" max="15948"/>
    <col width="3.75" bestFit="1" customWidth="1" style="107" min="15949" max="15949"/>
    <col width="4" bestFit="1" customWidth="1" style="107" min="15950" max="15950"/>
    <col width="3.625" bestFit="1" customWidth="1" style="107" min="15951" max="15951"/>
    <col width="9.875" bestFit="1" customWidth="1" style="107" min="15952" max="15952"/>
    <col width="5" bestFit="1" customWidth="1" style="107" min="15953" max="15953"/>
    <col width="7.125" bestFit="1" customWidth="1" style="107" min="15954" max="15954"/>
    <col width="9.375" bestFit="1" customWidth="1" style="107" min="15955" max="15955"/>
    <col width="10.25" bestFit="1" customWidth="1" style="107" min="15956" max="15956"/>
    <col width="7.375" bestFit="1" customWidth="1" style="107" min="15957" max="15957"/>
    <col width="47.375" bestFit="1" customWidth="1" style="107" min="15958" max="15958"/>
    <col width="73.25" bestFit="1" customWidth="1" style="107" min="15959" max="15959"/>
    <col width="26.625" bestFit="1" customWidth="1" style="107" min="15960" max="15960"/>
    <col width="26.75" bestFit="1" customWidth="1" style="107" min="15961" max="15962"/>
    <col width="6.375" bestFit="1" customWidth="1" style="107" min="15963" max="15963"/>
    <col width="9.875" bestFit="1" customWidth="1" style="107" min="15964" max="15965"/>
    <col width="26.5" bestFit="1" customWidth="1" style="107" min="15966" max="15966"/>
    <col width="9.125" bestFit="1" customWidth="1" style="107" min="15967" max="15967"/>
    <col width="12.625" bestFit="1" customWidth="1" style="107" min="15968" max="15968"/>
    <col width="36.5" bestFit="1" customWidth="1" style="107" min="15969" max="15969"/>
    <col width="3.375" bestFit="1" customWidth="1" style="107" min="15970" max="15970"/>
    <col width="8" bestFit="1" customWidth="1" style="107" min="15971" max="15971"/>
    <col width="5.625" bestFit="1" customWidth="1" style="107" min="15972" max="15972"/>
    <col width="7.875" bestFit="1" customWidth="1" style="107" min="15973" max="15973"/>
    <col width="6" bestFit="1" customWidth="1" style="107" min="15974" max="15974"/>
    <col width="11.25" bestFit="1" customWidth="1" style="107" min="15975" max="15975"/>
    <col width="9" customWidth="1" style="107" min="15976" max="16128"/>
    <col width="13.125" bestFit="1" customWidth="1" style="107" min="16129" max="16129"/>
    <col width="10.875" bestFit="1" customWidth="1" style="107" min="16130" max="16130"/>
    <col width="4.625" bestFit="1" customWidth="1" style="107" min="16131" max="16131"/>
    <col width="7" bestFit="1" customWidth="1" style="107" min="16132" max="16132"/>
    <col width="5.125" bestFit="1" customWidth="1" style="107" min="16133" max="16133"/>
    <col width="3.25" bestFit="1" customWidth="1" style="107" min="16134" max="16138"/>
    <col width="3.5" bestFit="1" customWidth="1" style="107" min="16139" max="16139"/>
    <col width="3.25" bestFit="1" customWidth="1" style="107" min="16140" max="16141"/>
    <col width="4.75" bestFit="1" customWidth="1" style="107" min="16142" max="16143"/>
    <col width="5.25" bestFit="1" customWidth="1" style="107" min="16144" max="16144"/>
    <col width="4.875" bestFit="1" customWidth="1" style="107" min="16145" max="16145"/>
    <col width="7.875" bestFit="1" customWidth="1" style="107" min="16146" max="16146"/>
    <col width="5.125" bestFit="1" customWidth="1" style="107" min="16147" max="16147"/>
    <col width="5.5" bestFit="1" customWidth="1" style="107" min="16148" max="16148"/>
    <col width="5.75" bestFit="1" customWidth="1" style="107" min="16149" max="16149"/>
    <col width="7.875" bestFit="1" customWidth="1" style="107" min="16150" max="16150"/>
    <col width="5.125" bestFit="1" customWidth="1" style="107" min="16151" max="16151"/>
    <col width="4.625" bestFit="1" customWidth="1" style="107" min="16152" max="16152"/>
    <col width="7.875" bestFit="1" customWidth="1" style="107" min="16153" max="16153"/>
    <col width="6.125" bestFit="1" customWidth="1" style="107" min="16154" max="16154"/>
    <col width="36.5" bestFit="1" customWidth="1" style="107" min="16155" max="16155"/>
    <col width="29.25" bestFit="1" customWidth="1" style="107" min="16156" max="16156"/>
    <col width="9.875" bestFit="1" customWidth="1" style="107" min="16157" max="16158"/>
    <col width="9.25" bestFit="1" customWidth="1" style="107" min="16159" max="16159"/>
    <col width="2.5" bestFit="1" customWidth="1" style="107" min="16160" max="16160"/>
    <col width="3.25" bestFit="1" customWidth="1" style="107" min="16161" max="16161"/>
    <col width="3.625" bestFit="1" customWidth="1" style="107" min="16162" max="16162"/>
    <col width="3.375" bestFit="1" customWidth="1" style="107" min="16163" max="16163"/>
    <col width="23.625" bestFit="1" customWidth="1" style="107" min="16164" max="16164"/>
    <col width="8.25" bestFit="1" customWidth="1" style="107" min="16165" max="16165"/>
    <col width="6.875" bestFit="1" customWidth="1" style="107" min="16166" max="16166"/>
    <col width="6.375" bestFit="1" customWidth="1" style="107" min="16167" max="16167"/>
    <col width="19.625" bestFit="1" customWidth="1" style="107" min="16168" max="16168"/>
    <col width="51.375" bestFit="1" customWidth="1" style="107" min="16169" max="16169"/>
    <col width="6.25" bestFit="1" customWidth="1" style="107" min="16170" max="16170"/>
    <col width="2.625" bestFit="1" customWidth="1" style="107" min="16171" max="16171"/>
    <col width="5.125" bestFit="1" customWidth="1" style="107" min="16172" max="16172"/>
    <col width="27.375" bestFit="1" customWidth="1" style="107" min="16173" max="16173"/>
    <col width="5.875" bestFit="1" customWidth="1" style="107" min="16174" max="16174"/>
    <col width="3.75" bestFit="1" customWidth="1" style="107" min="16175" max="16175"/>
    <col width="6.25" bestFit="1" customWidth="1" style="107" min="16176" max="16176"/>
    <col width="6.875" bestFit="1" customWidth="1" style="107" min="16177" max="16177"/>
    <col width="6.75" bestFit="1" customWidth="1" style="107" min="16178" max="16178"/>
    <col width="5.875" bestFit="1" customWidth="1" style="107" min="16179" max="16179"/>
    <col width="91.875" bestFit="1" customWidth="1" style="107" min="16180" max="16180"/>
    <col width="131.25" bestFit="1" customWidth="1" style="107" min="16181" max="16181"/>
    <col width="7" bestFit="1" customWidth="1" style="107" min="16182" max="16182"/>
    <col width="7.875" bestFit="1" customWidth="1" style="107" min="16183" max="16183"/>
    <col width="8.5" bestFit="1" customWidth="1" style="107" min="16184" max="16184"/>
    <col width="4.75" bestFit="1" customWidth="1" style="107" min="16185" max="16185"/>
    <col width="23.25" bestFit="1" customWidth="1" style="107" min="16186" max="16186"/>
    <col width="6.875" bestFit="1" customWidth="1" style="107" min="16187" max="16187"/>
    <col width="7.875" bestFit="1" customWidth="1" style="107" min="16188" max="16188"/>
    <col width="7.75" bestFit="1" customWidth="1" style="107" min="16189" max="16189"/>
    <col width="8" bestFit="1" customWidth="1" style="107" min="16190" max="16190"/>
    <col width="4.625" bestFit="1" customWidth="1" style="107" min="16191" max="16191"/>
    <col width="7.875" bestFit="1" customWidth="1" style="107" min="16192" max="16192"/>
    <col width="4" bestFit="1" customWidth="1" style="107" min="16193" max="16193"/>
    <col width="4.625" customWidth="1" style="107" min="16194" max="16194"/>
    <col width="4" bestFit="1" customWidth="1" style="107" min="16195" max="16204"/>
    <col width="3.75" bestFit="1" customWidth="1" style="107" min="16205" max="16205"/>
    <col width="4" bestFit="1" customWidth="1" style="107" min="16206" max="16206"/>
    <col width="3.625" bestFit="1" customWidth="1" style="107" min="16207" max="16207"/>
    <col width="9.875" bestFit="1" customWidth="1" style="107" min="16208" max="16208"/>
    <col width="5" bestFit="1" customWidth="1" style="107" min="16209" max="16209"/>
    <col width="7.125" bestFit="1" customWidth="1" style="107" min="16210" max="16210"/>
    <col width="9.375" bestFit="1" customWidth="1" style="107" min="16211" max="16211"/>
    <col width="10.25" bestFit="1" customWidth="1" style="107" min="16212" max="16212"/>
    <col width="7.375" bestFit="1" customWidth="1" style="107" min="16213" max="16213"/>
    <col width="47.375" bestFit="1" customWidth="1" style="107" min="16214" max="16214"/>
    <col width="73.25" bestFit="1" customWidth="1" style="107" min="16215" max="16215"/>
    <col width="26.625" bestFit="1" customWidth="1" style="107" min="16216" max="16216"/>
    <col width="26.75" bestFit="1" customWidth="1" style="107" min="16217" max="16218"/>
    <col width="6.375" bestFit="1" customWidth="1" style="107" min="16219" max="16219"/>
    <col width="9.875" bestFit="1" customWidth="1" style="107" min="16220" max="16221"/>
    <col width="26.5" bestFit="1" customWidth="1" style="107" min="16222" max="16222"/>
    <col width="9.125" bestFit="1" customWidth="1" style="107" min="16223" max="16223"/>
    <col width="12.625" bestFit="1" customWidth="1" style="107" min="16224" max="16224"/>
    <col width="36.5" bestFit="1" customWidth="1" style="107" min="16225" max="16225"/>
    <col width="3.375" bestFit="1" customWidth="1" style="107" min="16226" max="16226"/>
    <col width="8" bestFit="1" customWidth="1" style="107" min="16227" max="16227"/>
    <col width="5.625" bestFit="1" customWidth="1" style="107" min="16228" max="16228"/>
    <col width="7.875" bestFit="1" customWidth="1" style="107" min="16229" max="16229"/>
    <col width="6" bestFit="1" customWidth="1" style="107" min="16230" max="16230"/>
    <col width="11.25" bestFit="1" customWidth="1" style="107" min="16231" max="16231"/>
    <col width="9" customWidth="1" style="107" min="16232" max="16384"/>
  </cols>
  <sheetData>
    <row r="1" ht="12" customHeight="1">
      <c r="A1" s="106" t="inlineStr">
        <is>
          <t>B/K No</t>
        </is>
      </c>
      <c r="B1" s="106" t="inlineStr">
        <is>
          <t>Cntr Type &amp; Size</t>
        </is>
      </c>
      <c r="C1" s="106" t="inlineStr">
        <is>
          <t>Pickup</t>
        </is>
      </c>
      <c r="D1" s="106" t="inlineStr">
        <is>
          <t>CY Return</t>
        </is>
      </c>
      <c r="E1" s="106" t="inlineStr">
        <is>
          <t>RCVCD</t>
        </is>
      </c>
      <c r="F1" s="106" t="inlineStr">
        <is>
          <t>C10</t>
        </is>
      </c>
      <c r="G1" s="106" t="inlineStr">
        <is>
          <t>C20</t>
        </is>
      </c>
      <c r="H1" s="106" t="inlineStr">
        <is>
          <t>C40</t>
        </is>
      </c>
      <c r="I1" s="106" t="inlineStr">
        <is>
          <t>C45</t>
        </is>
      </c>
      <c r="J1" s="106" t="inlineStr">
        <is>
          <t>TEU</t>
        </is>
      </c>
      <c r="K1" s="106" t="inlineStr">
        <is>
          <t>SOC</t>
        </is>
      </c>
      <c r="L1" s="106" t="inlineStr">
        <is>
          <t>SVC</t>
        </is>
      </c>
      <c r="M1" s="106" t="inlineStr">
        <is>
          <t>VSL</t>
        </is>
      </c>
      <c r="N1" s="106" t="inlineStr">
        <is>
          <t>VOY</t>
        </is>
      </c>
      <c r="O1" s="106" t="inlineStr">
        <is>
          <t>POL</t>
        </is>
      </c>
      <c r="P1" s="106" t="inlineStr">
        <is>
          <t>LWharf</t>
        </is>
      </c>
      <c r="Q1" s="106" t="inlineStr">
        <is>
          <t>LAREA</t>
        </is>
      </c>
      <c r="R1" s="106" t="inlineStr">
        <is>
          <t>ETD</t>
        </is>
      </c>
      <c r="S1" s="106" t="inlineStr">
        <is>
          <t>POD</t>
        </is>
      </c>
      <c r="T1" s="106" t="inlineStr">
        <is>
          <t>DWharf</t>
        </is>
      </c>
      <c r="U1" s="106" t="inlineStr">
        <is>
          <t>Delivery</t>
        </is>
      </c>
      <c r="V1" s="106" t="inlineStr">
        <is>
          <t>ETA</t>
        </is>
      </c>
      <c r="W1" s="106" t="inlineStr">
        <is>
          <t>DAREA</t>
        </is>
      </c>
      <c r="X1" s="106" t="inlineStr">
        <is>
          <t>Inland</t>
        </is>
      </c>
      <c r="Y1" s="106" t="inlineStr">
        <is>
          <t>T/S WHARF</t>
        </is>
      </c>
      <c r="Z1" s="106" t="inlineStr">
        <is>
          <t>TS PORT</t>
        </is>
      </c>
      <c r="AA1" s="106" t="inlineStr">
        <is>
          <t>Shipper</t>
        </is>
      </c>
      <c r="AB1" s="106" t="inlineStr">
        <is>
          <t>Org Shipper</t>
        </is>
      </c>
      <c r="AC1" s="106" t="inlineStr">
        <is>
          <t>BKG WGT</t>
        </is>
      </c>
      <c r="AD1" s="106" t="inlineStr">
        <is>
          <t>BK Tot Weight</t>
        </is>
      </c>
      <c r="AE1" s="106" t="inlineStr">
        <is>
          <t>Cntr Compare</t>
        </is>
      </c>
      <c r="AF1" s="106" t="inlineStr">
        <is>
          <t>SR</t>
        </is>
      </c>
      <c r="AG1" s="106" t="inlineStr">
        <is>
          <t>PKG</t>
        </is>
      </c>
      <c r="AH1" s="106" t="inlineStr">
        <is>
          <t>EL</t>
        </is>
      </c>
      <c r="AI1" s="106" t="inlineStr">
        <is>
          <t>CHK</t>
        </is>
      </c>
      <c r="AJ1" s="106" t="inlineStr">
        <is>
          <t>TRAFFIC</t>
        </is>
      </c>
      <c r="AK1" s="106" t="inlineStr">
        <is>
          <t>DocumentID</t>
        </is>
      </c>
      <c r="AL1" s="106" t="inlineStr">
        <is>
          <t>Document</t>
        </is>
      </c>
      <c r="AM1" s="106" t="inlineStr">
        <is>
          <t>SALESCD</t>
        </is>
      </c>
      <c r="AN1" s="106" t="inlineStr">
        <is>
          <t>SALESNM</t>
        </is>
      </c>
      <c r="AO1" s="106" t="inlineStr">
        <is>
          <t>Main Item</t>
        </is>
      </c>
      <c r="AP1" s="106" t="inlineStr">
        <is>
          <t>B/K Type</t>
        </is>
      </c>
      <c r="AQ1" s="106" t="inlineStr">
        <is>
          <t>DG</t>
        </is>
      </c>
      <c r="AR1" s="106" t="inlineStr">
        <is>
          <t>DGCNT</t>
        </is>
      </c>
      <c r="AS1" s="106" t="inlineStr">
        <is>
          <t>RF</t>
        </is>
      </c>
      <c r="AT1" s="106" t="inlineStr">
        <is>
          <t>RFCNT</t>
        </is>
      </c>
      <c r="AU1" s="106" t="inlineStr">
        <is>
          <t>AWK</t>
        </is>
      </c>
      <c r="AV1" s="106" t="inlineStr">
        <is>
          <t>AWKCNT</t>
        </is>
      </c>
      <c r="AW1" s="106" t="inlineStr">
        <is>
          <t>AWKVOID</t>
        </is>
      </c>
      <c r="AX1" s="106" t="inlineStr">
        <is>
          <t>FLEXIBAG</t>
        </is>
      </c>
      <c r="AY1" s="106" t="inlineStr">
        <is>
          <t>BLISSUE</t>
        </is>
      </c>
      <c r="AZ1" s="106" t="inlineStr">
        <is>
          <t>Remark</t>
        </is>
      </c>
      <c r="BA1" s="106" t="inlineStr">
        <is>
          <t>OFFICERMK</t>
        </is>
      </c>
      <c r="BB1" s="106" t="inlineStr">
        <is>
          <t>PAY TERM</t>
        </is>
      </c>
      <c r="BC1" s="106" t="inlineStr">
        <is>
          <t>Input Date</t>
        </is>
      </c>
      <c r="BD1" s="106" t="inlineStr">
        <is>
          <t>Update Date</t>
        </is>
      </c>
      <c r="BE1" s="106" t="inlineStr">
        <is>
          <t>Status</t>
        </is>
      </c>
      <c r="BF1" s="106" t="inlineStr">
        <is>
          <t>Commodity</t>
        </is>
      </c>
      <c r="BG1" s="106" t="inlineStr">
        <is>
          <t>Self Trans</t>
        </is>
      </c>
      <c r="BH1" s="106" t="inlineStr">
        <is>
          <t>Booking Loc</t>
        </is>
      </c>
      <c r="BI1" s="106" t="inlineStr">
        <is>
          <t>Trans Code</t>
        </is>
      </c>
      <c r="BJ1" s="106" t="inlineStr">
        <is>
          <t>Trans Name</t>
        </is>
      </c>
      <c r="BK1" s="106" t="inlineStr">
        <is>
          <t>Pickup</t>
        </is>
      </c>
      <c r="BL1" s="106" t="inlineStr">
        <is>
          <t>Pickup Date</t>
        </is>
      </c>
      <c r="BM1" s="106" t="inlineStr">
        <is>
          <t>12GP</t>
        </is>
      </c>
      <c r="BN1" s="106" t="inlineStr">
        <is>
          <t>22GP</t>
        </is>
      </c>
      <c r="BO1" s="106" t="inlineStr">
        <is>
          <t>42GP</t>
        </is>
      </c>
      <c r="BP1" s="106" t="inlineStr">
        <is>
          <t>45GP</t>
        </is>
      </c>
      <c r="BQ1" s="106" t="inlineStr">
        <is>
          <t>22RE</t>
        </is>
      </c>
      <c r="BR1" s="106" t="inlineStr">
        <is>
          <t>45RE</t>
        </is>
      </c>
      <c r="BS1" s="106" t="inlineStr">
        <is>
          <t>22UT</t>
        </is>
      </c>
      <c r="BT1" s="106" t="inlineStr">
        <is>
          <t>42UT</t>
        </is>
      </c>
      <c r="BU1" s="106" t="inlineStr">
        <is>
          <t>22PC</t>
        </is>
      </c>
      <c r="BV1" s="106" t="inlineStr">
        <is>
          <t>42PC</t>
        </is>
      </c>
      <c r="BW1" s="106" t="inlineStr">
        <is>
          <t>22TN</t>
        </is>
      </c>
      <c r="BX1" s="106" t="inlineStr">
        <is>
          <t>42TN</t>
        </is>
      </c>
      <c r="BY1" s="106" t="inlineStr">
        <is>
          <t>FE</t>
        </is>
      </c>
      <c r="BZ1" s="106" t="inlineStr">
        <is>
          <t>STAY</t>
        </is>
      </c>
      <c r="CA1" s="106" t="inlineStr">
        <is>
          <t>WEB</t>
        </is>
      </c>
      <c r="CB1" s="106" t="inlineStr">
        <is>
          <t>Special Remark</t>
        </is>
      </c>
      <c r="CC1" s="106" t="inlineStr">
        <is>
          <t>Return</t>
        </is>
      </c>
      <c r="CD1" s="106" t="inlineStr">
        <is>
          <t>Over WGT</t>
        </is>
      </c>
      <c r="CE1" s="106" t="inlineStr">
        <is>
          <t>VGM ERR MSG</t>
        </is>
      </c>
      <c r="CF1" s="106" t="inlineStr">
        <is>
          <t>CLASS(DG) TEU</t>
        </is>
      </c>
      <c r="CG1" s="106" t="inlineStr">
        <is>
          <t>CGO TERM</t>
        </is>
      </c>
      <c r="CH1" s="106" t="inlineStr">
        <is>
          <t>T/S Info</t>
        </is>
      </c>
      <c r="CI1" s="106" t="inlineStr">
        <is>
          <t>Email</t>
        </is>
      </c>
      <c r="CJ1" s="106" t="inlineStr">
        <is>
          <t>Shipper</t>
        </is>
      </c>
      <c r="CK1" s="106" t="inlineStr">
        <is>
          <t>Consignee</t>
        </is>
      </c>
      <c r="CL1" s="106" t="inlineStr">
        <is>
          <t>Notify</t>
        </is>
      </c>
      <c r="CM1" s="106" t="inlineStr">
        <is>
          <t>B/L Close</t>
        </is>
      </c>
      <c r="CN1" s="106" t="inlineStr">
        <is>
          <t>DOC_CLOSE</t>
        </is>
      </c>
      <c r="CO1" s="106" t="inlineStr">
        <is>
          <t>CNTR_CLOSE</t>
        </is>
      </c>
      <c r="CP1" s="106" t="inlineStr">
        <is>
          <t>Special Info.</t>
        </is>
      </c>
      <c r="CQ1" s="106" t="inlineStr">
        <is>
          <t>TARIFF REF</t>
        </is>
      </c>
      <c r="CR1" s="106" t="inlineStr">
        <is>
          <t>TARIFF CUSTOMER</t>
        </is>
      </c>
      <c r="CS1" s="106" t="inlineStr">
        <is>
          <t>TARIFF CUSTOMER NAME</t>
        </is>
      </c>
      <c r="CT1" s="106" t="inlineStr">
        <is>
          <t>Split</t>
        </is>
      </c>
      <c r="CU1" s="106" t="inlineStr">
        <is>
          <t>DG App Mail</t>
        </is>
      </c>
      <c r="CV1" s="106" t="inlineStr">
        <is>
          <t>Cas No.</t>
        </is>
      </c>
      <c r="CW1" s="106" t="inlineStr">
        <is>
          <t>CUST ETD</t>
        </is>
      </c>
      <c r="CX1" s="106" t="inlineStr">
        <is>
          <t>HSCODE</t>
        </is>
      </c>
      <c r="CY1" s="155" t="inlineStr">
        <is>
          <t>Roll Over Remark</t>
        </is>
      </c>
    </row>
    <row r="2" ht="12" customHeight="1">
      <c r="A2" s="116" t="inlineStr">
        <is>
          <t>HASLS22260902579</t>
        </is>
      </c>
      <c r="B2" s="96" t="inlineStr">
        <is>
          <t>20'x1</t>
        </is>
      </c>
      <c r="C2" s="97" t="n">
        <v>1</v>
      </c>
      <c r="D2" s="97" t="n">
        <v>1</v>
      </c>
      <c r="E2" s="97" t="n"/>
      <c r="F2" s="97" t="n">
        <v>0</v>
      </c>
      <c r="G2" s="97" t="n">
        <v>1</v>
      </c>
      <c r="H2" s="97" t="n">
        <v>0</v>
      </c>
      <c r="I2" s="97" t="n">
        <v>0</v>
      </c>
      <c r="J2" s="97" t="n">
        <v>1</v>
      </c>
      <c r="K2" s="96" t="inlineStr">
        <is>
          <t>N</t>
        </is>
      </c>
      <c r="L2" s="96" t="inlineStr">
        <is>
          <t>KTS1</t>
        </is>
      </c>
      <c r="M2" s="96" t="inlineStr">
        <is>
          <t>KJT</t>
        </is>
      </c>
      <c r="N2" s="96" t="inlineStr">
        <is>
          <t>2611N</t>
        </is>
      </c>
      <c r="O2" s="96" t="inlineStr">
        <is>
          <t>THLCH</t>
        </is>
      </c>
      <c r="P2" s="96" t="inlineStr">
        <is>
          <t>LCH04</t>
        </is>
      </c>
      <c r="Q2" s="96" t="inlineStr">
        <is>
          <t>IA</t>
        </is>
      </c>
      <c r="R2" s="161" t="inlineStr">
        <is>
          <t>2026-10-21</t>
        </is>
      </c>
      <c r="S2" s="96" t="inlineStr">
        <is>
          <t>HKHKG</t>
        </is>
      </c>
      <c r="T2" s="96" t="inlineStr">
        <is>
          <t>HKG03</t>
        </is>
      </c>
      <c r="U2" s="96" t="inlineStr">
        <is>
          <t>HKHKG</t>
        </is>
      </c>
      <c r="V2" s="161" t="inlineStr">
        <is>
          <t>2026-10-25</t>
        </is>
      </c>
      <c r="W2" s="96" t="inlineStr">
        <is>
          <t>IA</t>
        </is>
      </c>
      <c r="X2" s="97" t="n"/>
      <c r="Y2" s="97" t="n"/>
      <c r="Z2" s="97" t="n"/>
      <c r="AA2" s="96" t="inlineStr">
        <is>
          <t>DOUBLE A (1991) PUBLIC COMPANY LIMITED</t>
        </is>
      </c>
      <c r="AB2" s="96" t="inlineStr">
        <is>
          <t>DOUBLE A (1991) PUBLIC COMPANY LIMITED</t>
        </is>
      </c>
      <c r="AC2" s="163" t="n">
        <v>16792</v>
      </c>
      <c r="AD2" s="163" t="n">
        <v>18992</v>
      </c>
      <c r="AE2" s="96" t="inlineStr">
        <is>
          <t>OK</t>
        </is>
      </c>
      <c r="AF2" s="96" t="inlineStr">
        <is>
          <t>SR</t>
        </is>
      </c>
      <c r="AG2" s="97" t="n"/>
      <c r="AH2" s="96" t="inlineStr">
        <is>
          <t>CHK</t>
        </is>
      </c>
      <c r="AI2" s="97" t="inlineStr">
        <is>
          <t>OK</t>
        </is>
      </c>
      <c r="AJ2" s="97" t="n"/>
      <c r="AK2" s="97" t="n"/>
      <c r="AL2" s="97" t="n"/>
      <c r="AM2" s="96" t="inlineStr">
        <is>
          <t>TBKK19</t>
        </is>
      </c>
      <c r="AN2" s="96" t="inlineStr">
        <is>
          <t>Kanokporn</t>
        </is>
      </c>
      <c r="AO2" s="96" t="inlineStr">
        <is>
          <t>PAPER</t>
        </is>
      </c>
      <c r="AP2" s="96" t="inlineStr">
        <is>
          <t>Normal</t>
        </is>
      </c>
      <c r="AQ2" s="97" t="n"/>
      <c r="AR2" s="97" t="n"/>
      <c r="AS2" s="97" t="n"/>
      <c r="AT2" s="97" t="n"/>
      <c r="AU2" s="97" t="n"/>
      <c r="AV2" s="97" t="n"/>
      <c r="AW2" s="97" t="n">
        <v>0</v>
      </c>
      <c r="AX2" s="96" t="inlineStr">
        <is>
          <t>N</t>
        </is>
      </c>
      <c r="AY2" s="97" t="inlineStr">
        <is>
          <t>OBL</t>
        </is>
      </c>
      <c r="AZ2" s="96" t="inlineStr">
        <is>
          <t>CY-RTN : 09-11/10/2026
REF : PI-HK-TH-DA-26100004
FRT $35, FREE TIME 14/14, DTHC(HKD)2000</t>
        </is>
      </c>
      <c r="BA2" s="97" t="n"/>
      <c r="BB2" s="96" t="inlineStr">
        <is>
          <t>P</t>
        </is>
      </c>
      <c r="BC2" s="161" t="inlineStr">
        <is>
          <t>2026-09-28</t>
        </is>
      </c>
      <c r="BD2" s="161" t="inlineStr">
        <is>
          <t>2026-10-14</t>
        </is>
      </c>
      <c r="BE2" s="96" t="inlineStr">
        <is>
          <t>Y</t>
        </is>
      </c>
      <c r="BF2" s="96" t="inlineStr">
        <is>
          <t>PAPER</t>
        </is>
      </c>
      <c r="BG2" s="96" t="inlineStr">
        <is>
          <t>Line</t>
        </is>
      </c>
      <c r="BH2" s="96" t="inlineStr">
        <is>
          <t>S22</t>
        </is>
      </c>
      <c r="BI2" s="97" t="n"/>
      <c r="BJ2" s="97" t="n"/>
      <c r="BK2" s="96" t="inlineStr">
        <is>
          <t>LCHY5</t>
        </is>
      </c>
      <c r="BL2" s="161" t="inlineStr">
        <is>
          <t>2026-10-09</t>
        </is>
      </c>
      <c r="BM2" s="127" t="n"/>
      <c r="BN2" s="127" t="n">
        <v>1</v>
      </c>
      <c r="BO2" s="127" t="n"/>
      <c r="BP2" s="127" t="n"/>
      <c r="BQ2" s="127" t="n"/>
      <c r="BR2" s="127" t="n"/>
      <c r="BS2" s="127" t="n"/>
      <c r="BT2" s="127" t="n"/>
      <c r="BU2" s="127" t="n"/>
      <c r="BV2" s="127" t="n"/>
      <c r="BW2" s="127" t="n"/>
      <c r="BX2" s="127" t="n"/>
      <c r="BY2" s="96" t="inlineStr">
        <is>
          <t>FULL</t>
        </is>
      </c>
      <c r="BZ2" s="97" t="n"/>
      <c r="CA2" s="96" t="n"/>
      <c r="CB2" s="97" t="n"/>
      <c r="CC2" s="96" t="inlineStr">
        <is>
          <t>LCH04</t>
        </is>
      </c>
      <c r="CD2" s="97" t="n"/>
      <c r="CE2" s="97" t="n"/>
      <c r="CF2" s="96" t="inlineStr">
        <is>
          <t>0 Teu</t>
        </is>
      </c>
      <c r="CG2" s="96" t="inlineStr">
        <is>
          <t>CY/CY</t>
        </is>
      </c>
      <c r="CH2" s="97" t="n"/>
      <c r="CI2" s="96" t="inlineStr">
        <is>
          <t>kan_b@doublea1991.com</t>
        </is>
      </c>
      <c r="CJ2" s="96" t="inlineStr">
        <is>
          <t>DOUBLE A (1991) PUBLIC COMPANY</t>
        </is>
      </c>
      <c r="CK2" s="96" t="inlineStr">
        <is>
          <t>OH360 CO., LTD.</t>
        </is>
      </c>
      <c r="CL2" s="96" t="inlineStr">
        <is>
          <t>OH360 CO., LTD.</t>
        </is>
      </c>
      <c r="CM2" s="97" t="inlineStr">
        <is>
          <t>CLOSED</t>
        </is>
      </c>
      <c r="CN2" s="96" t="inlineStr">
        <is>
          <t>202610161200</t>
        </is>
      </c>
      <c r="CO2" s="96" t="inlineStr">
        <is>
          <t>202610181700</t>
        </is>
      </c>
      <c r="CP2" s="97" t="n"/>
      <c r="CQ2" s="96" t="inlineStr">
        <is>
          <t>S19-2312005</t>
        </is>
      </c>
      <c r="CR2" s="96" t="inlineStr">
        <is>
          <t>TH0382</t>
        </is>
      </c>
      <c r="CS2" s="96" t="inlineStr">
        <is>
          <t>DOUBLE A (1991) PUBLIC COMPANY LIMITED</t>
        </is>
      </c>
      <c r="CT2" s="96" t="inlineStr">
        <is>
          <t>N</t>
        </is>
      </c>
      <c r="CU2" s="97" t="n"/>
      <c r="CV2" s="97" t="n"/>
      <c r="CW2" s="161" t="inlineStr">
        <is>
          <t>2026-10-15</t>
        </is>
      </c>
      <c r="CX2" s="97" t="n"/>
      <c r="CY2" s="156" t="n"/>
    </row>
    <row r="3" ht="12" customHeight="1">
      <c r="A3" s="116" t="inlineStr">
        <is>
          <t>HASLS22261000840</t>
        </is>
      </c>
      <c r="B3" s="96" t="inlineStr">
        <is>
          <t>20'x1</t>
        </is>
      </c>
      <c r="C3" s="97" t="n">
        <v>1</v>
      </c>
      <c r="D3" s="97" t="n">
        <v>1</v>
      </c>
      <c r="E3" s="97" t="n"/>
      <c r="F3" s="97" t="n">
        <v>0</v>
      </c>
      <c r="G3" s="97" t="n">
        <v>1</v>
      </c>
      <c r="H3" s="97" t="n">
        <v>0</v>
      </c>
      <c r="I3" s="97" t="n">
        <v>0</v>
      </c>
      <c r="J3" s="97" t="n">
        <v>1</v>
      </c>
      <c r="K3" s="96" t="inlineStr">
        <is>
          <t>N</t>
        </is>
      </c>
      <c r="L3" s="96" t="inlineStr">
        <is>
          <t>KTS1</t>
        </is>
      </c>
      <c r="M3" s="96" t="inlineStr">
        <is>
          <t>KJT</t>
        </is>
      </c>
      <c r="N3" s="96" t="inlineStr">
        <is>
          <t>2611N</t>
        </is>
      </c>
      <c r="O3" s="96" t="inlineStr">
        <is>
          <t>THLCH</t>
        </is>
      </c>
      <c r="P3" s="96" t="inlineStr">
        <is>
          <t>LCH04</t>
        </is>
      </c>
      <c r="Q3" s="96" t="inlineStr">
        <is>
          <t>IA</t>
        </is>
      </c>
      <c r="R3" s="161" t="inlineStr">
        <is>
          <t>2026-10-21</t>
        </is>
      </c>
      <c r="S3" s="96" t="inlineStr">
        <is>
          <t>TWKEL</t>
        </is>
      </c>
      <c r="T3" s="96" t="inlineStr">
        <is>
          <t>KEL02</t>
        </is>
      </c>
      <c r="U3" s="96" t="inlineStr">
        <is>
          <t>TWKEL</t>
        </is>
      </c>
      <c r="V3" s="161" t="inlineStr">
        <is>
          <t>2026-10-27</t>
        </is>
      </c>
      <c r="W3" s="96" t="inlineStr">
        <is>
          <t>IA</t>
        </is>
      </c>
      <c r="X3" s="97" t="n"/>
      <c r="Y3" s="97" t="n"/>
      <c r="Z3" s="97" t="n"/>
      <c r="AA3" s="96" t="inlineStr">
        <is>
          <t>UBE CHEMICALS (ASIA) PUBLIC COMPANY LIMITED</t>
        </is>
      </c>
      <c r="AB3" s="96" t="inlineStr">
        <is>
          <t>UBE CHEMICALS (ASIA) PUBLIC COMPANY LIMITED</t>
        </is>
      </c>
      <c r="AC3" s="163" t="n">
        <v>8185</v>
      </c>
      <c r="AD3" s="163" t="n">
        <v>10385</v>
      </c>
      <c r="AE3" s="96" t="inlineStr">
        <is>
          <t>OK</t>
        </is>
      </c>
      <c r="AF3" s="96" t="n"/>
      <c r="AG3" s="97" t="n"/>
      <c r="AH3" s="96" t="inlineStr">
        <is>
          <t>CHK</t>
        </is>
      </c>
      <c r="AI3" s="97" t="inlineStr">
        <is>
          <t>OK</t>
        </is>
      </c>
      <c r="AJ3" s="97" t="n"/>
      <c r="AK3" s="97" t="n"/>
      <c r="AL3" s="97" t="n"/>
      <c r="AM3" s="96" t="inlineStr">
        <is>
          <t>TBKK47</t>
        </is>
      </c>
      <c r="AN3" s="96" t="inlineStr">
        <is>
          <t>Tarn(Supaporn)</t>
        </is>
      </c>
      <c r="AO3" s="96" t="inlineStr">
        <is>
          <t>UBE POLYAMIDE RESIN</t>
        </is>
      </c>
      <c r="AP3" s="96" t="inlineStr">
        <is>
          <t>Normal</t>
        </is>
      </c>
      <c r="AQ3" s="97" t="n"/>
      <c r="AR3" s="97" t="n"/>
      <c r="AS3" s="97" t="n"/>
      <c r="AT3" s="97" t="n"/>
      <c r="AU3" s="97" t="n"/>
      <c r="AV3" s="97" t="n"/>
      <c r="AW3" s="97" t="n">
        <v>0</v>
      </c>
      <c r="AX3" s="96" t="inlineStr">
        <is>
          <t>N</t>
        </is>
      </c>
      <c r="AY3" s="97" t="inlineStr">
        <is>
          <t>OBL</t>
        </is>
      </c>
      <c r="AZ3" s="96" t="inlineStr">
        <is>
          <t>CY-RTN 14-16/10/26 (2002054735)</t>
        </is>
      </c>
      <c r="BA3" s="97" t="inlineStr">
        <is>
          <t>SI 15/10</t>
        </is>
      </c>
      <c r="BB3" s="96" t="inlineStr">
        <is>
          <t>P</t>
        </is>
      </c>
      <c r="BC3" s="161" t="inlineStr">
        <is>
          <t>2026-10-12</t>
        </is>
      </c>
      <c r="BD3" s="161" t="inlineStr">
        <is>
          <t>2026-10-15</t>
        </is>
      </c>
      <c r="BE3" s="96" t="inlineStr">
        <is>
          <t>Y</t>
        </is>
      </c>
      <c r="BF3" s="96" t="inlineStr">
        <is>
          <t>RESIN</t>
        </is>
      </c>
      <c r="BG3" s="96" t="inlineStr">
        <is>
          <t>Line</t>
        </is>
      </c>
      <c r="BH3" s="96" t="inlineStr">
        <is>
          <t>S22</t>
        </is>
      </c>
      <c r="BI3" s="97" t="n"/>
      <c r="BJ3" s="97" t="n"/>
      <c r="BK3" s="96" t="inlineStr">
        <is>
          <t>LCHY5</t>
        </is>
      </c>
      <c r="BL3" s="161" t="inlineStr">
        <is>
          <t>2026-10-14</t>
        </is>
      </c>
      <c r="BM3" s="127" t="n"/>
      <c r="BN3" s="127" t="n">
        <v>1</v>
      </c>
      <c r="BO3" s="127" t="n"/>
      <c r="BP3" s="127" t="n"/>
      <c r="BQ3" s="127" t="n"/>
      <c r="BR3" s="127" t="n"/>
      <c r="BS3" s="127" t="n"/>
      <c r="BT3" s="127" t="n"/>
      <c r="BU3" s="127" t="n"/>
      <c r="BV3" s="127" t="n"/>
      <c r="BW3" s="127" t="n"/>
      <c r="BX3" s="127" t="n"/>
      <c r="BY3" s="96" t="inlineStr">
        <is>
          <t>FULL</t>
        </is>
      </c>
      <c r="BZ3" s="97" t="n"/>
      <c r="CA3" s="96" t="n"/>
      <c r="CB3" s="97" t="n"/>
      <c r="CC3" s="96" t="inlineStr">
        <is>
          <t>LCH04</t>
        </is>
      </c>
      <c r="CD3" s="97" t="n"/>
      <c r="CE3" s="97" t="n"/>
      <c r="CF3" s="96" t="inlineStr">
        <is>
          <t>0 Teu</t>
        </is>
      </c>
      <c r="CG3" s="96" t="inlineStr">
        <is>
          <t>CY/CY</t>
        </is>
      </c>
      <c r="CH3" s="97" t="n"/>
      <c r="CI3" s="96" t="inlineStr">
        <is>
          <t>hataipach@ube.co.th;ugttransportex@ube.co.th</t>
        </is>
      </c>
      <c r="CJ3" s="96" t="inlineStr">
        <is>
          <t>UBE CHEMICALS (ASIA) PUBLIC</t>
        </is>
      </c>
      <c r="CK3" s="96" t="inlineStr">
        <is>
          <t>FULLESTY CORPORATION</t>
        </is>
      </c>
      <c r="CL3" s="96" t="inlineStr">
        <is>
          <t>FULLESTY CORPORATION</t>
        </is>
      </c>
      <c r="CM3" s="97" t="inlineStr">
        <is>
          <t>CLOSED</t>
        </is>
      </c>
      <c r="CN3" s="96" t="inlineStr">
        <is>
          <t>202610161200</t>
        </is>
      </c>
      <c r="CO3" s="96" t="inlineStr">
        <is>
          <t>202610181700</t>
        </is>
      </c>
      <c r="CP3" s="97" t="n"/>
      <c r="CQ3" s="96" t="inlineStr">
        <is>
          <t>BKK17A0457-1</t>
        </is>
      </c>
      <c r="CR3" s="96" t="inlineStr">
        <is>
          <t>TH035E</t>
        </is>
      </c>
      <c r="CS3" s="96" t="inlineStr">
        <is>
          <t>UBE CHEMICALS (ASIA) PUBLIC COMPANY LIMITED</t>
        </is>
      </c>
      <c r="CT3" s="96" t="inlineStr">
        <is>
          <t>N</t>
        </is>
      </c>
      <c r="CU3" s="97" t="n"/>
      <c r="CV3" s="97" t="n"/>
      <c r="CW3" s="161" t="inlineStr">
        <is>
          <t>2026-10-20</t>
        </is>
      </c>
      <c r="CX3" s="97" t="inlineStr">
        <is>
          <t>390810</t>
        </is>
      </c>
      <c r="CY3" s="183" t="n"/>
    </row>
    <row r="4" ht="12" customHeight="1">
      <c r="A4" s="116" t="inlineStr">
        <is>
          <t>HASLS22261000649</t>
        </is>
      </c>
      <c r="B4" s="96" t="inlineStr">
        <is>
          <t>20'x1</t>
        </is>
      </c>
      <c r="C4" s="97" t="n">
        <v>1</v>
      </c>
      <c r="D4" s="97" t="n">
        <v>1</v>
      </c>
      <c r="E4" s="97" t="n"/>
      <c r="F4" s="97" t="n">
        <v>0</v>
      </c>
      <c r="G4" s="97" t="n">
        <v>1</v>
      </c>
      <c r="H4" s="97" t="n">
        <v>0</v>
      </c>
      <c r="I4" s="97" t="n">
        <v>0</v>
      </c>
      <c r="J4" s="97" t="n">
        <v>1</v>
      </c>
      <c r="K4" s="96" t="inlineStr">
        <is>
          <t>N</t>
        </is>
      </c>
      <c r="L4" s="96" t="inlineStr">
        <is>
          <t>KTS1</t>
        </is>
      </c>
      <c r="M4" s="96" t="inlineStr">
        <is>
          <t>KJT</t>
        </is>
      </c>
      <c r="N4" s="96" t="inlineStr">
        <is>
          <t>2611N</t>
        </is>
      </c>
      <c r="O4" s="96" t="inlineStr">
        <is>
          <t>THLCH</t>
        </is>
      </c>
      <c r="P4" s="96" t="inlineStr">
        <is>
          <t>LCH04</t>
        </is>
      </c>
      <c r="Q4" s="96" t="inlineStr">
        <is>
          <t>IA</t>
        </is>
      </c>
      <c r="R4" s="161" t="inlineStr">
        <is>
          <t>2026-10-21</t>
        </is>
      </c>
      <c r="S4" s="96" t="inlineStr">
        <is>
          <t>HKHKG</t>
        </is>
      </c>
      <c r="T4" s="96" t="inlineStr">
        <is>
          <t>HKG03</t>
        </is>
      </c>
      <c r="U4" s="96" t="inlineStr">
        <is>
          <t>CNTAP</t>
        </is>
      </c>
      <c r="V4" s="161" t="inlineStr">
        <is>
          <t>2026-10-25</t>
        </is>
      </c>
      <c r="W4" s="96" t="inlineStr">
        <is>
          <t>IA</t>
        </is>
      </c>
      <c r="X4" s="97" t="inlineStr">
        <is>
          <t>Barge</t>
        </is>
      </c>
      <c r="Y4" s="97" t="n"/>
      <c r="Z4" s="97" t="n"/>
      <c r="AA4" s="96" t="inlineStr">
        <is>
          <t>UBE CHEMICALS (ASIA) PUBLIC COMPANY LIMITED</t>
        </is>
      </c>
      <c r="AB4" s="96" t="inlineStr">
        <is>
          <t>INDO-THAI SYNTHETICS CO., LTD.</t>
        </is>
      </c>
      <c r="AC4" s="163" t="n">
        <v>18960</v>
      </c>
      <c r="AD4" s="163" t="n">
        <v>21160</v>
      </c>
      <c r="AE4" s="96" t="inlineStr">
        <is>
          <t>OK</t>
        </is>
      </c>
      <c r="AF4" s="96" t="n"/>
      <c r="AG4" s="97" t="n"/>
      <c r="AH4" s="96" t="inlineStr">
        <is>
          <t>CHK</t>
        </is>
      </c>
      <c r="AI4" s="97" t="inlineStr">
        <is>
          <t>OK</t>
        </is>
      </c>
      <c r="AJ4" s="97" t="n"/>
      <c r="AK4" s="97" t="n"/>
      <c r="AL4" s="97" t="n"/>
      <c r="AM4" s="96" t="inlineStr">
        <is>
          <t>TBKK47</t>
        </is>
      </c>
      <c r="AN4" s="96" t="inlineStr">
        <is>
          <t>Tarn(Supaporn)</t>
        </is>
      </c>
      <c r="AO4" s="96" t="inlineStr">
        <is>
          <t>POLYBUTADIENE RUBBER</t>
        </is>
      </c>
      <c r="AP4" s="96" t="inlineStr">
        <is>
          <t>Normal</t>
        </is>
      </c>
      <c r="AQ4" s="97" t="n"/>
      <c r="AR4" s="97" t="n"/>
      <c r="AS4" s="97" t="n"/>
      <c r="AT4" s="97" t="n"/>
      <c r="AU4" s="97" t="n"/>
      <c r="AV4" s="97" t="n"/>
      <c r="AW4" s="97" t="n">
        <v>0</v>
      </c>
      <c r="AX4" s="96" t="inlineStr">
        <is>
          <t>N</t>
        </is>
      </c>
      <c r="AY4" s="97" t="inlineStr">
        <is>
          <t>OBL</t>
        </is>
      </c>
      <c r="AZ4" s="96" t="inlineStr">
        <is>
          <t xml:space="preserve">CY-RTN : 15-16/10/2026 
REF : ID-N016754
RQST Good condition; Grade B+ 
</t>
        </is>
      </c>
      <c r="BA4" s="97" t="inlineStr">
        <is>
          <t>SI DD.19/10/26</t>
        </is>
      </c>
      <c r="BB4" s="96" t="inlineStr">
        <is>
          <t>P</t>
        </is>
      </c>
      <c r="BC4" s="161" t="inlineStr">
        <is>
          <t>2026-10-08</t>
        </is>
      </c>
      <c r="BD4" s="161" t="inlineStr">
        <is>
          <t>2026-10-19</t>
        </is>
      </c>
      <c r="BE4" s="96" t="inlineStr">
        <is>
          <t>Y</t>
        </is>
      </c>
      <c r="BF4" s="96" t="inlineStr">
        <is>
          <t xml:space="preserve">Polybutadiene Rubber </t>
        </is>
      </c>
      <c r="BG4" s="96" t="inlineStr">
        <is>
          <t>Line</t>
        </is>
      </c>
      <c r="BH4" s="96" t="inlineStr">
        <is>
          <t>S22</t>
        </is>
      </c>
      <c r="BI4" s="97" t="n"/>
      <c r="BJ4" s="97" t="n"/>
      <c r="BK4" s="96" t="inlineStr">
        <is>
          <t>LCHY5</t>
        </is>
      </c>
      <c r="BL4" s="161" t="inlineStr">
        <is>
          <t>2026-10-15</t>
        </is>
      </c>
      <c r="BM4" s="127" t="n"/>
      <c r="BN4" s="127" t="n">
        <v>1</v>
      </c>
      <c r="BO4" s="127" t="n"/>
      <c r="BP4" s="127" t="n"/>
      <c r="BQ4" s="127" t="n"/>
      <c r="BR4" s="127" t="n"/>
      <c r="BS4" s="127" t="n"/>
      <c r="BT4" s="127" t="n"/>
      <c r="BU4" s="127" t="n"/>
      <c r="BV4" s="127" t="n"/>
      <c r="BW4" s="127" t="n"/>
      <c r="BX4" s="127" t="n"/>
      <c r="BY4" s="96" t="inlineStr">
        <is>
          <t>FULL</t>
        </is>
      </c>
      <c r="BZ4" s="97" t="n"/>
      <c r="CA4" s="96" t="n"/>
      <c r="CB4" s="97" t="n"/>
      <c r="CC4" s="96" t="inlineStr">
        <is>
          <t>LCH04</t>
        </is>
      </c>
      <c r="CD4" s="97" t="n"/>
      <c r="CE4" s="97" t="n"/>
      <c r="CF4" s="96" t="inlineStr">
        <is>
          <t>0 Teu</t>
        </is>
      </c>
      <c r="CG4" s="96" t="inlineStr">
        <is>
          <t>CY/CY</t>
        </is>
      </c>
      <c r="CH4" s="97" t="n"/>
      <c r="CI4" s="96" t="inlineStr">
        <is>
          <t>nunnaphus@ube.co.th;ugttransportex@ube.co.th</t>
        </is>
      </c>
      <c r="CJ4" s="96" t="inlineStr">
        <is>
          <t>THAI SYNTHETIC RUBBERS COMPANY</t>
        </is>
      </c>
      <c r="CK4" s="96" t="inlineStr">
        <is>
          <t>DONGGUAN LAAYOUNE CHEMICAL</t>
        </is>
      </c>
      <c r="CL4" s="96" t="inlineStr">
        <is>
          <t>LAAYOUNE INDUSTRIAL CO.,LIMITED</t>
        </is>
      </c>
      <c r="CM4" s="97" t="inlineStr">
        <is>
          <t>CLOSED</t>
        </is>
      </c>
      <c r="CN4" s="96" t="inlineStr">
        <is>
          <t>202610161200</t>
        </is>
      </c>
      <c r="CO4" s="96" t="inlineStr">
        <is>
          <t>202610181700</t>
        </is>
      </c>
      <c r="CP4" s="97" t="n"/>
      <c r="CQ4" s="96" t="inlineStr">
        <is>
          <t>BKK17A0457-1</t>
        </is>
      </c>
      <c r="CR4" s="96" t="inlineStr">
        <is>
          <t>TH035E</t>
        </is>
      </c>
      <c r="CS4" s="96" t="inlineStr">
        <is>
          <t>UBE CHEMICALS (ASIA) PUBLIC COMPANY LIMITED</t>
        </is>
      </c>
      <c r="CT4" s="96" t="inlineStr">
        <is>
          <t>N</t>
        </is>
      </c>
      <c r="CU4" s="97" t="n"/>
      <c r="CV4" s="97" t="n"/>
      <c r="CW4" s="161" t="inlineStr">
        <is>
          <t>2026-10-19</t>
        </is>
      </c>
      <c r="CX4" s="97" t="inlineStr">
        <is>
          <t>400220</t>
        </is>
      </c>
      <c r="CY4" s="183" t="n"/>
    </row>
    <row r="5" ht="12" customHeight="1">
      <c r="A5" s="116" t="inlineStr">
        <is>
          <t>HASLS22260902102</t>
        </is>
      </c>
      <c r="B5" s="96" t="inlineStr">
        <is>
          <t>20'x1</t>
        </is>
      </c>
      <c r="C5" s="97" t="n">
        <v>1</v>
      </c>
      <c r="D5" s="97" t="n">
        <v>1</v>
      </c>
      <c r="E5" s="97" t="n"/>
      <c r="F5" s="97" t="n">
        <v>0</v>
      </c>
      <c r="G5" s="97" t="n">
        <v>1</v>
      </c>
      <c r="H5" s="97" t="n">
        <v>0</v>
      </c>
      <c r="I5" s="97" t="n">
        <v>0</v>
      </c>
      <c r="J5" s="97" t="n">
        <v>1</v>
      </c>
      <c r="K5" s="96" t="inlineStr">
        <is>
          <t>N</t>
        </is>
      </c>
      <c r="L5" s="96" t="inlineStr">
        <is>
          <t>KTS1</t>
        </is>
      </c>
      <c r="M5" s="96" t="inlineStr">
        <is>
          <t>KJT</t>
        </is>
      </c>
      <c r="N5" s="96" t="inlineStr">
        <is>
          <t>2611N</t>
        </is>
      </c>
      <c r="O5" s="96" t="inlineStr">
        <is>
          <t>THLCH</t>
        </is>
      </c>
      <c r="P5" s="96" t="inlineStr">
        <is>
          <t>LCH04</t>
        </is>
      </c>
      <c r="Q5" s="96" t="inlineStr">
        <is>
          <t>IA</t>
        </is>
      </c>
      <c r="R5" s="161" t="inlineStr">
        <is>
          <t>2026-10-21</t>
        </is>
      </c>
      <c r="S5" s="96" t="inlineStr">
        <is>
          <t>HKHKG</t>
        </is>
      </c>
      <c r="T5" s="96" t="inlineStr">
        <is>
          <t>HKG03</t>
        </is>
      </c>
      <c r="U5" s="96" t="inlineStr">
        <is>
          <t>HKHKG</t>
        </is>
      </c>
      <c r="V5" s="161" t="inlineStr">
        <is>
          <t>2026-10-25</t>
        </is>
      </c>
      <c r="W5" s="96" t="inlineStr">
        <is>
          <t>IA</t>
        </is>
      </c>
      <c r="X5" s="97" t="n"/>
      <c r="Y5" s="97" t="n"/>
      <c r="Z5" s="97" t="n"/>
      <c r="AA5" s="96" t="inlineStr">
        <is>
          <t>THAI POLYCARBONATE CO., LTD.</t>
        </is>
      </c>
      <c r="AB5" s="96" t="inlineStr">
        <is>
          <t>THAI POLYACETAL CO., LTD.</t>
        </is>
      </c>
      <c r="AC5" s="163" t="n">
        <v>15421</v>
      </c>
      <c r="AD5" s="163" t="n">
        <v>17621</v>
      </c>
      <c r="AE5" s="96" t="inlineStr">
        <is>
          <t>OK</t>
        </is>
      </c>
      <c r="AF5" s="96" t="n"/>
      <c r="AG5" s="97" t="n"/>
      <c r="AH5" s="96" t="inlineStr">
        <is>
          <t>CHK</t>
        </is>
      </c>
      <c r="AI5" s="97" t="inlineStr">
        <is>
          <t>OK</t>
        </is>
      </c>
      <c r="AJ5" s="97" t="n"/>
      <c r="AK5" s="97" t="n"/>
      <c r="AL5" s="97" t="n"/>
      <c r="AM5" s="96" t="inlineStr">
        <is>
          <t>TBKK55</t>
        </is>
      </c>
      <c r="AN5" s="96" t="inlineStr">
        <is>
          <t>Vilaiporn</t>
        </is>
      </c>
      <c r="AO5" s="96" t="inlineStr">
        <is>
          <t>M-PPE RESIN IUPIACE</t>
        </is>
      </c>
      <c r="AP5" s="96" t="inlineStr">
        <is>
          <t>Normal</t>
        </is>
      </c>
      <c r="AQ5" s="97" t="n"/>
      <c r="AR5" s="97" t="n"/>
      <c r="AS5" s="97" t="n"/>
      <c r="AT5" s="97" t="n"/>
      <c r="AU5" s="97" t="n"/>
      <c r="AV5" s="97" t="n"/>
      <c r="AW5" s="97" t="n">
        <v>0</v>
      </c>
      <c r="AX5" s="96" t="inlineStr">
        <is>
          <t>N</t>
        </is>
      </c>
      <c r="AY5" s="97" t="n"/>
      <c r="AZ5" s="96" t="inlineStr">
        <is>
          <t>Pickup : 2026-10-09, Return : 2026-10-12 [1ST RTN 13/10/2026 W/O RENT]
** PLEASE CHECK OPEN GATE BEFORE RETURN CONTAINER **</t>
        </is>
      </c>
      <c r="BA5" s="97" t="inlineStr">
        <is>
          <t>SI DD.6/10/26</t>
        </is>
      </c>
      <c r="BB5" s="96" t="inlineStr">
        <is>
          <t>P</t>
        </is>
      </c>
      <c r="BC5" s="161" t="inlineStr">
        <is>
          <t>2026-09-23</t>
        </is>
      </c>
      <c r="BD5" s="161" t="inlineStr">
        <is>
          <t>2026-10-06</t>
        </is>
      </c>
      <c r="BE5" s="96" t="inlineStr">
        <is>
          <t>Y</t>
        </is>
      </c>
      <c r="BF5" s="96" t="inlineStr">
        <is>
          <t>RESIN</t>
        </is>
      </c>
      <c r="BG5" s="96" t="inlineStr">
        <is>
          <t>Line</t>
        </is>
      </c>
      <c r="BH5" s="96" t="inlineStr">
        <is>
          <t>S22</t>
        </is>
      </c>
      <c r="BI5" s="97" t="n"/>
      <c r="BJ5" s="97" t="n"/>
      <c r="BK5" s="96" t="inlineStr">
        <is>
          <t>LCHY5</t>
        </is>
      </c>
      <c r="BL5" s="161" t="inlineStr">
        <is>
          <t>2026-10-09</t>
        </is>
      </c>
      <c r="BM5" s="127" t="n"/>
      <c r="BN5" s="127" t="n">
        <v>1</v>
      </c>
      <c r="BO5" s="127" t="n"/>
      <c r="BP5" s="127" t="n"/>
      <c r="BQ5" s="127" t="n"/>
      <c r="BR5" s="127" t="n"/>
      <c r="BS5" s="127" t="n"/>
      <c r="BT5" s="127" t="n"/>
      <c r="BU5" s="127" t="n"/>
      <c r="BV5" s="127" t="n"/>
      <c r="BW5" s="127" t="n"/>
      <c r="BX5" s="127" t="n"/>
      <c r="BY5" s="96" t="inlineStr">
        <is>
          <t>FULL</t>
        </is>
      </c>
      <c r="BZ5" s="97" t="n"/>
      <c r="CA5" s="96" t="inlineStr">
        <is>
          <t>Y</t>
        </is>
      </c>
      <c r="CB5" s="97" t="n"/>
      <c r="CC5" s="96" t="inlineStr">
        <is>
          <t>LCH04</t>
        </is>
      </c>
      <c r="CD5" s="97" t="n"/>
      <c r="CE5" s="97" t="n"/>
      <c r="CF5" s="96" t="inlineStr">
        <is>
          <t>0 Teu</t>
        </is>
      </c>
      <c r="CG5" s="96" t="inlineStr">
        <is>
          <t>CY/CY</t>
        </is>
      </c>
      <c r="CH5" s="97" t="n"/>
      <c r="CI5" s="96" t="inlineStr">
        <is>
          <t>thadta.choo@th.tpcc-tpac.com</t>
        </is>
      </c>
      <c r="CJ5" s="96" t="inlineStr">
        <is>
          <t>THAI POLYACETAL CO.,LTD.</t>
        </is>
      </c>
      <c r="CK5" s="96" t="inlineStr">
        <is>
          <t>MITSUI &amp; CO. (HONG KONG) LTD</t>
        </is>
      </c>
      <c r="CL5" s="96" t="inlineStr">
        <is>
          <t>MITSUI &amp; CO. (HONG KONG) LTD</t>
        </is>
      </c>
      <c r="CM5" s="97" t="n"/>
      <c r="CN5" s="96" t="inlineStr">
        <is>
          <t>202610161200</t>
        </is>
      </c>
      <c r="CO5" s="96" t="inlineStr">
        <is>
          <t>202610181700</t>
        </is>
      </c>
      <c r="CP5" s="97" t="n"/>
      <c r="CQ5" s="96" t="inlineStr">
        <is>
          <t>S19-2112039</t>
        </is>
      </c>
      <c r="CR5" s="96" t="inlineStr">
        <is>
          <t>THTKNC</t>
        </is>
      </c>
      <c r="CS5" s="96" t="inlineStr">
        <is>
          <t>THAI POLYCARBONATE CO., LTD.</t>
        </is>
      </c>
      <c r="CT5" s="96" t="inlineStr">
        <is>
          <t>N</t>
        </is>
      </c>
      <c r="CU5" s="97" t="n"/>
      <c r="CV5" s="97" t="n"/>
      <c r="CW5" s="161" t="inlineStr">
        <is>
          <t>2026-10-17</t>
        </is>
      </c>
      <c r="CX5" s="97" t="n"/>
      <c r="CY5" s="183" t="n"/>
    </row>
    <row r="6" ht="12" customHeight="1">
      <c r="A6" s="116" t="inlineStr">
        <is>
          <t>HASLS22261000689</t>
        </is>
      </c>
      <c r="B6" s="96" t="inlineStr">
        <is>
          <t>20'x1</t>
        </is>
      </c>
      <c r="C6" s="97" t="n">
        <v>1</v>
      </c>
      <c r="D6" s="97" t="n">
        <v>1</v>
      </c>
      <c r="E6" s="97" t="n"/>
      <c r="F6" s="97" t="n">
        <v>0</v>
      </c>
      <c r="G6" s="97" t="n">
        <v>1</v>
      </c>
      <c r="H6" s="97" t="n">
        <v>0</v>
      </c>
      <c r="I6" s="97" t="n">
        <v>0</v>
      </c>
      <c r="J6" s="97" t="n">
        <v>1</v>
      </c>
      <c r="K6" s="96" t="inlineStr">
        <is>
          <t>N</t>
        </is>
      </c>
      <c r="L6" s="96" t="inlineStr">
        <is>
          <t>KTS1</t>
        </is>
      </c>
      <c r="M6" s="96" t="inlineStr">
        <is>
          <t>KJT</t>
        </is>
      </c>
      <c r="N6" s="96" t="inlineStr">
        <is>
          <t>2611N</t>
        </is>
      </c>
      <c r="O6" s="96" t="inlineStr">
        <is>
          <t>THLCH</t>
        </is>
      </c>
      <c r="P6" s="96" t="inlineStr">
        <is>
          <t>LCH04</t>
        </is>
      </c>
      <c r="Q6" s="96" t="inlineStr">
        <is>
          <t>IA</t>
        </is>
      </c>
      <c r="R6" s="161" t="inlineStr">
        <is>
          <t>2026-10-21</t>
        </is>
      </c>
      <c r="S6" s="96" t="inlineStr">
        <is>
          <t>HKHKG</t>
        </is>
      </c>
      <c r="T6" s="96" t="inlineStr">
        <is>
          <t>HKG03</t>
        </is>
      </c>
      <c r="U6" s="96" t="inlineStr">
        <is>
          <t>HKHKG</t>
        </is>
      </c>
      <c r="V6" s="161" t="inlineStr">
        <is>
          <t>2026-10-25</t>
        </is>
      </c>
      <c r="W6" s="96" t="inlineStr">
        <is>
          <t>IA</t>
        </is>
      </c>
      <c r="X6" s="97" t="n"/>
      <c r="Y6" s="97" t="n"/>
      <c r="Z6" s="97" t="n"/>
      <c r="AA6" s="96" t="inlineStr">
        <is>
          <t>RHENUS LOGISTICS CO., LTD.</t>
        </is>
      </c>
      <c r="AB6" s="96" t="inlineStr">
        <is>
          <t>UMC ELECTRONICS (THAILAND) LTD.</t>
        </is>
      </c>
      <c r="AC6" s="163" t="n">
        <v>2469.72</v>
      </c>
      <c r="AD6" s="163" t="n">
        <v>4669.72</v>
      </c>
      <c r="AE6" s="96" t="inlineStr">
        <is>
          <t>OK</t>
        </is>
      </c>
      <c r="AF6" s="96" t="inlineStr">
        <is>
          <t>SR</t>
        </is>
      </c>
      <c r="AG6" s="97" t="n"/>
      <c r="AH6" s="96" t="inlineStr">
        <is>
          <t>CHK</t>
        </is>
      </c>
      <c r="AI6" s="97" t="inlineStr">
        <is>
          <t>OK</t>
        </is>
      </c>
      <c r="AJ6" s="97" t="n"/>
      <c r="AK6" s="97" t="n"/>
      <c r="AL6" s="97" t="n"/>
      <c r="AM6" s="96" t="inlineStr">
        <is>
          <t>TH0011</t>
        </is>
      </c>
      <c r="AN6" s="96" t="inlineStr">
        <is>
          <t>Nannaapust Sukporntaweewat</t>
        </is>
      </c>
      <c r="AO6" s="96" t="inlineStr">
        <is>
          <t>PCBA (PRINTED CIRCUIT BOARD ASSEMBLY)</t>
        </is>
      </c>
      <c r="AP6" s="96" t="inlineStr">
        <is>
          <t>Normal</t>
        </is>
      </c>
      <c r="AQ6" s="97" t="n"/>
      <c r="AR6" s="97" t="n"/>
      <c r="AS6" s="97" t="n"/>
      <c r="AT6" s="97" t="n"/>
      <c r="AU6" s="97" t="n"/>
      <c r="AV6" s="97" t="n"/>
      <c r="AW6" s="97" t="n">
        <v>0</v>
      </c>
      <c r="AX6" s="96" t="inlineStr">
        <is>
          <t>N</t>
        </is>
      </c>
      <c r="AY6" s="97" t="inlineStr">
        <is>
          <t>OBL</t>
        </is>
      </c>
      <c r="AZ6" s="96" t="inlineStr">
        <is>
          <t xml:space="preserve">Pickup : 2026-10-15, Return : 2026-10-15
 ** PLEASE CHECK OPEN GATE BEFORE RETURN CNTR **
</t>
        </is>
      </c>
      <c r="BA6" s="97" t="inlineStr">
        <is>
          <t>good and clean container</t>
        </is>
      </c>
      <c r="BB6" s="96" t="inlineStr">
        <is>
          <t>P</t>
        </is>
      </c>
      <c r="BC6" s="161" t="inlineStr">
        <is>
          <t>2026-10-08</t>
        </is>
      </c>
      <c r="BD6" s="161" t="inlineStr">
        <is>
          <t>2026-10-15</t>
        </is>
      </c>
      <c r="BE6" s="96" t="inlineStr">
        <is>
          <t>Y</t>
        </is>
      </c>
      <c r="BF6" s="96" t="inlineStr">
        <is>
          <t>PCBA (8537.20.29)</t>
        </is>
      </c>
      <c r="BG6" s="96" t="inlineStr">
        <is>
          <t>Line</t>
        </is>
      </c>
      <c r="BH6" s="96" t="inlineStr">
        <is>
          <t>S22</t>
        </is>
      </c>
      <c r="BI6" s="97" t="n"/>
      <c r="BJ6" s="97" t="n"/>
      <c r="BK6" s="96" t="inlineStr">
        <is>
          <t>LCHY5</t>
        </is>
      </c>
      <c r="BL6" s="161" t="inlineStr">
        <is>
          <t>2026-10-15</t>
        </is>
      </c>
      <c r="BM6" s="127" t="n"/>
      <c r="BN6" s="127" t="n">
        <v>1</v>
      </c>
      <c r="BO6" s="127" t="n"/>
      <c r="BP6" s="127" t="n"/>
      <c r="BQ6" s="127" t="n"/>
      <c r="BR6" s="127" t="n"/>
      <c r="BS6" s="127" t="n"/>
      <c r="BT6" s="127" t="n"/>
      <c r="BU6" s="127" t="n"/>
      <c r="BV6" s="127" t="n"/>
      <c r="BW6" s="127" t="n"/>
      <c r="BX6" s="127" t="n"/>
      <c r="BY6" s="96" t="inlineStr">
        <is>
          <t>FULL</t>
        </is>
      </c>
      <c r="BZ6" s="97" t="n"/>
      <c r="CA6" s="96" t="inlineStr">
        <is>
          <t>Y</t>
        </is>
      </c>
      <c r="CB6" s="97" t="n"/>
      <c r="CC6" s="96" t="inlineStr">
        <is>
          <t>LCH04</t>
        </is>
      </c>
      <c r="CD6" s="97" t="n"/>
      <c r="CE6" s="97" t="n"/>
      <c r="CF6" s="96" t="inlineStr">
        <is>
          <t>0 Teu</t>
        </is>
      </c>
      <c r="CG6" s="96" t="inlineStr">
        <is>
          <t>CY/CY</t>
        </is>
      </c>
      <c r="CH6" s="97" t="n"/>
      <c r="CI6" s="96" t="inlineStr">
        <is>
          <t>LCB_SEAEXPORT.th@rhenus.com</t>
        </is>
      </c>
      <c r="CJ6" s="96" t="inlineStr">
        <is>
          <t>RHENUS LOGISTICS CO., LTD.</t>
        </is>
      </c>
      <c r="CK6" s="96" t="inlineStr">
        <is>
          <t>RHENUS LOGISTICS HONG KONG LTD.</t>
        </is>
      </c>
      <c r="CL6" s="96" t="inlineStr">
        <is>
          <t>RHENUS LOGISTICS HONG KONG LTD.</t>
        </is>
      </c>
      <c r="CM6" s="97" t="inlineStr">
        <is>
          <t>CLOSED</t>
        </is>
      </c>
      <c r="CN6" s="96" t="inlineStr">
        <is>
          <t>202610161200</t>
        </is>
      </c>
      <c r="CO6" s="96" t="inlineStr">
        <is>
          <t>202610181700</t>
        </is>
      </c>
      <c r="CP6" s="97" t="n"/>
      <c r="CQ6" s="96" t="inlineStr">
        <is>
          <t>S22-2412011</t>
        </is>
      </c>
      <c r="CR6" s="96" t="inlineStr">
        <is>
          <t>TH005U</t>
        </is>
      </c>
      <c r="CS6" s="96" t="inlineStr">
        <is>
          <t>RHENUS LOGISTICS CO., LTD.</t>
        </is>
      </c>
      <c r="CT6" s="96" t="inlineStr">
        <is>
          <t>N</t>
        </is>
      </c>
      <c r="CU6" s="97" t="n"/>
      <c r="CV6" s="97" t="n"/>
      <c r="CW6" s="161" t="inlineStr">
        <is>
          <t>2026-10-19</t>
        </is>
      </c>
      <c r="CX6" s="97" t="inlineStr">
        <is>
          <t>853720</t>
        </is>
      </c>
      <c r="CY6" s="183" t="n"/>
    </row>
    <row r="7" ht="12" customHeight="1">
      <c r="A7" s="116" t="inlineStr">
        <is>
          <t>HASLS22260902372</t>
        </is>
      </c>
      <c r="B7" s="96" t="inlineStr">
        <is>
          <t>20'x1</t>
        </is>
      </c>
      <c r="C7" s="97" t="n">
        <v>1</v>
      </c>
      <c r="D7" s="97" t="n">
        <v>1</v>
      </c>
      <c r="E7" s="97" t="n"/>
      <c r="F7" s="97" t="n">
        <v>0</v>
      </c>
      <c r="G7" s="97" t="n">
        <v>1</v>
      </c>
      <c r="H7" s="97" t="n">
        <v>0</v>
      </c>
      <c r="I7" s="97" t="n">
        <v>0</v>
      </c>
      <c r="J7" s="97" t="n">
        <v>1</v>
      </c>
      <c r="K7" s="96" t="inlineStr">
        <is>
          <t>N</t>
        </is>
      </c>
      <c r="L7" s="96" t="inlineStr">
        <is>
          <t>KTS1</t>
        </is>
      </c>
      <c r="M7" s="96" t="inlineStr">
        <is>
          <t>KJT</t>
        </is>
      </c>
      <c r="N7" s="96" t="inlineStr">
        <is>
          <t>2611N</t>
        </is>
      </c>
      <c r="O7" s="96" t="inlineStr">
        <is>
          <t>THLCH</t>
        </is>
      </c>
      <c r="P7" s="96" t="inlineStr">
        <is>
          <t>LCH04</t>
        </is>
      </c>
      <c r="Q7" s="96" t="inlineStr">
        <is>
          <t>IA</t>
        </is>
      </c>
      <c r="R7" s="161" t="inlineStr">
        <is>
          <t>2026-10-21</t>
        </is>
      </c>
      <c r="S7" s="96" t="inlineStr">
        <is>
          <t>HKHKG</t>
        </is>
      </c>
      <c r="T7" s="96" t="inlineStr">
        <is>
          <t>HKG03</t>
        </is>
      </c>
      <c r="U7" s="96" t="inlineStr">
        <is>
          <t>HKHKG</t>
        </is>
      </c>
      <c r="V7" s="161" t="inlineStr">
        <is>
          <t>2026-10-25</t>
        </is>
      </c>
      <c r="W7" s="96" t="inlineStr">
        <is>
          <t>IA</t>
        </is>
      </c>
      <c r="X7" s="97" t="n"/>
      <c r="Y7" s="97" t="n"/>
      <c r="Z7" s="97" t="n"/>
      <c r="AA7" s="96" t="inlineStr">
        <is>
          <t>DOUBLE A (1991) PUBLIC COMPANY LIMITED</t>
        </is>
      </c>
      <c r="AB7" s="96" t="inlineStr">
        <is>
          <t>DOUBLE A (1991) PUBLIC COMPANY LIMITED</t>
        </is>
      </c>
      <c r="AC7" s="163" t="n">
        <v>16819</v>
      </c>
      <c r="AD7" s="163" t="n">
        <v>19019</v>
      </c>
      <c r="AE7" s="96" t="inlineStr">
        <is>
          <t>OK</t>
        </is>
      </c>
      <c r="AF7" s="96" t="inlineStr">
        <is>
          <t>SR</t>
        </is>
      </c>
      <c r="AG7" s="97" t="n"/>
      <c r="AH7" s="96" t="inlineStr">
        <is>
          <t>CHK</t>
        </is>
      </c>
      <c r="AI7" s="97" t="inlineStr">
        <is>
          <t>OK</t>
        </is>
      </c>
      <c r="AJ7" s="97" t="n"/>
      <c r="AK7" s="97" t="n"/>
      <c r="AL7" s="97" t="n"/>
      <c r="AM7" s="96" t="inlineStr">
        <is>
          <t>TBKK19</t>
        </is>
      </c>
      <c r="AN7" s="96" t="inlineStr">
        <is>
          <t>Kanokporn</t>
        </is>
      </c>
      <c r="AO7" s="96" t="inlineStr">
        <is>
          <t>PAPER</t>
        </is>
      </c>
      <c r="AP7" s="96" t="inlineStr">
        <is>
          <t>Normal</t>
        </is>
      </c>
      <c r="AQ7" s="97" t="n"/>
      <c r="AR7" s="97" t="n"/>
      <c r="AS7" s="97" t="n"/>
      <c r="AT7" s="97" t="n"/>
      <c r="AU7" s="97" t="n"/>
      <c r="AV7" s="97" t="n"/>
      <c r="AW7" s="97" t="n">
        <v>0</v>
      </c>
      <c r="AX7" s="96" t="inlineStr">
        <is>
          <t>N</t>
        </is>
      </c>
      <c r="AY7" s="97" t="inlineStr">
        <is>
          <t>OBL</t>
        </is>
      </c>
      <c r="AZ7" s="96" t="inlineStr">
        <is>
          <t>CY-RTN : 09-11/10/2026
REF : PI-HK-TH-DA-26100001
FRT $35, FREE TIME 14/14, DTHC(HKD)2000</t>
        </is>
      </c>
      <c r="BA7" s="97" t="n"/>
      <c r="BB7" s="96" t="inlineStr">
        <is>
          <t>P</t>
        </is>
      </c>
      <c r="BC7" s="161" t="inlineStr">
        <is>
          <t>2026-09-25</t>
        </is>
      </c>
      <c r="BD7" s="161" t="inlineStr">
        <is>
          <t>2026-10-14</t>
        </is>
      </c>
      <c r="BE7" s="96" t="inlineStr">
        <is>
          <t>Y</t>
        </is>
      </c>
      <c r="BF7" s="96" t="inlineStr">
        <is>
          <t>PAPER</t>
        </is>
      </c>
      <c r="BG7" s="96" t="inlineStr">
        <is>
          <t>Line</t>
        </is>
      </c>
      <c r="BH7" s="96" t="inlineStr">
        <is>
          <t>S22</t>
        </is>
      </c>
      <c r="BI7" s="97" t="n"/>
      <c r="BJ7" s="97" t="n"/>
      <c r="BK7" s="96" t="inlineStr">
        <is>
          <t>LCHY5</t>
        </is>
      </c>
      <c r="BL7" s="161" t="inlineStr">
        <is>
          <t>2026-10-09</t>
        </is>
      </c>
      <c r="BM7" s="127" t="n"/>
      <c r="BN7" s="127" t="n">
        <v>1</v>
      </c>
      <c r="BO7" s="127" t="n"/>
      <c r="BP7" s="127" t="n"/>
      <c r="BQ7" s="127" t="n"/>
      <c r="BR7" s="127" t="n"/>
      <c r="BS7" s="127" t="n"/>
      <c r="BT7" s="127" t="n"/>
      <c r="BU7" s="127" t="n"/>
      <c r="BV7" s="127" t="n"/>
      <c r="BW7" s="127" t="n"/>
      <c r="BX7" s="127" t="n"/>
      <c r="BY7" s="96" t="inlineStr">
        <is>
          <t>FULL</t>
        </is>
      </c>
      <c r="BZ7" s="97" t="n"/>
      <c r="CA7" s="96" t="n"/>
      <c r="CB7" s="97" t="n"/>
      <c r="CC7" s="96" t="inlineStr">
        <is>
          <t>LCH04</t>
        </is>
      </c>
      <c r="CD7" s="97" t="n"/>
      <c r="CE7" s="97" t="n"/>
      <c r="CF7" s="96" t="inlineStr">
        <is>
          <t>0 Teu</t>
        </is>
      </c>
      <c r="CG7" s="96" t="inlineStr">
        <is>
          <t>CY/CY</t>
        </is>
      </c>
      <c r="CH7" s="97" t="n"/>
      <c r="CI7" s="96" t="inlineStr">
        <is>
          <t>kan_b@doublea1991.com</t>
        </is>
      </c>
      <c r="CJ7" s="96" t="inlineStr">
        <is>
          <t>DOUBLE A (1991) PUBLIC COMPANY</t>
        </is>
      </c>
      <c r="CK7" s="96" t="inlineStr">
        <is>
          <t>TO ORDER</t>
        </is>
      </c>
      <c r="CL7" s="96" t="inlineStr">
        <is>
          <t>DOUBLE A INTERNATIONAL TRADING</t>
        </is>
      </c>
      <c r="CM7" s="97" t="inlineStr">
        <is>
          <t>CLOSED</t>
        </is>
      </c>
      <c r="CN7" s="96" t="inlineStr">
        <is>
          <t>202610161200</t>
        </is>
      </c>
      <c r="CO7" s="96" t="inlineStr">
        <is>
          <t>202610181700</t>
        </is>
      </c>
      <c r="CP7" s="97" t="n"/>
      <c r="CQ7" s="96" t="inlineStr">
        <is>
          <t>S19-2312005</t>
        </is>
      </c>
      <c r="CR7" s="96" t="inlineStr">
        <is>
          <t>TH0382</t>
        </is>
      </c>
      <c r="CS7" s="96" t="inlineStr">
        <is>
          <t>DOUBLE A (1991) PUBLIC COMPANY LIMITED</t>
        </is>
      </c>
      <c r="CT7" s="96" t="inlineStr">
        <is>
          <t>N</t>
        </is>
      </c>
      <c r="CU7" s="97" t="n"/>
      <c r="CV7" s="97" t="n"/>
      <c r="CW7" s="161" t="inlineStr">
        <is>
          <t>2026-10-15</t>
        </is>
      </c>
      <c r="CX7" s="97" t="n"/>
      <c r="CY7" s="183" t="n"/>
    </row>
    <row r="8" ht="12" customHeight="1">
      <c r="A8" s="116" t="inlineStr">
        <is>
          <t>HASLS22261000018</t>
        </is>
      </c>
      <c r="B8" s="96" t="inlineStr">
        <is>
          <t>20'x1</t>
        </is>
      </c>
      <c r="C8" s="97" t="n">
        <v>1</v>
      </c>
      <c r="D8" s="97" t="n">
        <v>1</v>
      </c>
      <c r="E8" s="97" t="n"/>
      <c r="F8" s="97" t="n">
        <v>0</v>
      </c>
      <c r="G8" s="97" t="n">
        <v>1</v>
      </c>
      <c r="H8" s="97" t="n">
        <v>0</v>
      </c>
      <c r="I8" s="97" t="n">
        <v>0</v>
      </c>
      <c r="J8" s="97" t="n">
        <v>1</v>
      </c>
      <c r="K8" s="96" t="inlineStr">
        <is>
          <t>N</t>
        </is>
      </c>
      <c r="L8" s="96" t="inlineStr">
        <is>
          <t>KTS1</t>
        </is>
      </c>
      <c r="M8" s="96" t="inlineStr">
        <is>
          <t>KJT</t>
        </is>
      </c>
      <c r="N8" s="96" t="inlineStr">
        <is>
          <t>2611N</t>
        </is>
      </c>
      <c r="O8" s="96" t="inlineStr">
        <is>
          <t>THLCH</t>
        </is>
      </c>
      <c r="P8" s="96" t="inlineStr">
        <is>
          <t>LCH04</t>
        </is>
      </c>
      <c r="Q8" s="96" t="inlineStr">
        <is>
          <t>IA</t>
        </is>
      </c>
      <c r="R8" s="161" t="inlineStr">
        <is>
          <t>2026-10-21</t>
        </is>
      </c>
      <c r="S8" s="96" t="inlineStr">
        <is>
          <t>TWKEL</t>
        </is>
      </c>
      <c r="T8" s="96" t="inlineStr">
        <is>
          <t>KEL02</t>
        </is>
      </c>
      <c r="U8" s="96" t="inlineStr">
        <is>
          <t>TWKEL</t>
        </is>
      </c>
      <c r="V8" s="161" t="inlineStr">
        <is>
          <t>2026-10-27</t>
        </is>
      </c>
      <c r="W8" s="96" t="inlineStr">
        <is>
          <t>IA</t>
        </is>
      </c>
      <c r="X8" s="97" t="n"/>
      <c r="Y8" s="97" t="n"/>
      <c r="Z8" s="97" t="n"/>
      <c r="AA8" s="96" t="inlineStr">
        <is>
          <t>TTR FREIGHT AND SERVICE COMPANY LIMITED</t>
        </is>
      </c>
      <c r="AB8" s="96" t="inlineStr">
        <is>
          <t>TONG THAI RUBBER CO., LTD.</t>
        </is>
      </c>
      <c r="AC8" s="163" t="n">
        <v>20000</v>
      </c>
      <c r="AD8" s="163" t="n">
        <v>22200</v>
      </c>
      <c r="AE8" s="96" t="inlineStr">
        <is>
          <t>OK</t>
        </is>
      </c>
      <c r="AF8" s="96" t="n"/>
      <c r="AG8" s="97" t="n"/>
      <c r="AH8" s="96" t="inlineStr">
        <is>
          <t>CHK</t>
        </is>
      </c>
      <c r="AI8" s="97" t="inlineStr">
        <is>
          <t>OK</t>
        </is>
      </c>
      <c r="AJ8" s="97" t="n"/>
      <c r="AK8" s="97" t="n"/>
      <c r="AL8" s="97" t="n"/>
      <c r="AM8" s="96" t="inlineStr">
        <is>
          <t>TBKK97</t>
        </is>
      </c>
      <c r="AN8" s="96" t="inlineStr">
        <is>
          <t>Arunphat W. (Aiw)</t>
        </is>
      </c>
      <c r="AO8" s="96" t="inlineStr">
        <is>
          <t>NATURAL RUBBER RSS3</t>
        </is>
      </c>
      <c r="AP8" s="96" t="inlineStr">
        <is>
          <t>Normal</t>
        </is>
      </c>
      <c r="AQ8" s="97" t="n"/>
      <c r="AR8" s="97" t="n"/>
      <c r="AS8" s="97" t="n"/>
      <c r="AT8" s="97" t="n"/>
      <c r="AU8" s="97" t="n"/>
      <c r="AV8" s="97" t="n"/>
      <c r="AW8" s="97" t="n">
        <v>0</v>
      </c>
      <c r="AX8" s="96" t="inlineStr">
        <is>
          <t>N</t>
        </is>
      </c>
      <c r="AY8" s="97" t="inlineStr">
        <is>
          <t>OBL</t>
        </is>
      </c>
      <c r="AZ8" s="96" t="inlineStr">
        <is>
          <t xml:space="preserve">Pickup : 2026-10-12, Return : 2026-10-14
** PLEASE CHECK OPEN GATE BEFORE RETURN CONTAINER ** </t>
        </is>
      </c>
      <c r="BA8" s="97" t="inlineStr">
        <is>
          <t>SI DD.12/10/26</t>
        </is>
      </c>
      <c r="BB8" s="96" t="inlineStr">
        <is>
          <t>P</t>
        </is>
      </c>
      <c r="BC8" s="161" t="inlineStr">
        <is>
          <t>2026-10-01</t>
        </is>
      </c>
      <c r="BD8" s="161" t="inlineStr">
        <is>
          <t>2026-10-12</t>
        </is>
      </c>
      <c r="BE8" s="96" t="inlineStr">
        <is>
          <t>Y</t>
        </is>
      </c>
      <c r="BF8" s="96" t="inlineStr">
        <is>
          <t>RUBBER</t>
        </is>
      </c>
      <c r="BG8" s="96" t="inlineStr">
        <is>
          <t>Line</t>
        </is>
      </c>
      <c r="BH8" s="96" t="inlineStr">
        <is>
          <t>S22</t>
        </is>
      </c>
      <c r="BI8" s="97" t="n"/>
      <c r="BJ8" s="97" t="n"/>
      <c r="BK8" s="96" t="inlineStr">
        <is>
          <t>LCHY5</t>
        </is>
      </c>
      <c r="BL8" s="161" t="inlineStr">
        <is>
          <t>2026-10-12</t>
        </is>
      </c>
      <c r="BM8" s="127" t="n"/>
      <c r="BN8" s="127" t="n">
        <v>1</v>
      </c>
      <c r="BO8" s="127" t="n"/>
      <c r="BP8" s="127" t="n"/>
      <c r="BQ8" s="127" t="n"/>
      <c r="BR8" s="127" t="n"/>
      <c r="BS8" s="127" t="n"/>
      <c r="BT8" s="127" t="n"/>
      <c r="BU8" s="127" t="n"/>
      <c r="BV8" s="127" t="n"/>
      <c r="BW8" s="127" t="n"/>
      <c r="BX8" s="127" t="n"/>
      <c r="BY8" s="96" t="inlineStr">
        <is>
          <t>FULL</t>
        </is>
      </c>
      <c r="BZ8" s="97" t="n"/>
      <c r="CA8" s="96" t="inlineStr">
        <is>
          <t>Y</t>
        </is>
      </c>
      <c r="CB8" s="97" t="n"/>
      <c r="CC8" s="96" t="inlineStr">
        <is>
          <t>LCH04</t>
        </is>
      </c>
      <c r="CD8" s="97" t="n"/>
      <c r="CE8" s="97" t="n"/>
      <c r="CF8" s="96" t="inlineStr">
        <is>
          <t>0 Teu</t>
        </is>
      </c>
      <c r="CG8" s="96" t="inlineStr">
        <is>
          <t>CY/CY</t>
        </is>
      </c>
      <c r="CH8" s="97" t="n"/>
      <c r="CI8" s="96" t="inlineStr">
        <is>
          <t>ttrfreight@gmail.com</t>
        </is>
      </c>
      <c r="CJ8" s="96" t="inlineStr">
        <is>
          <t>TONG THAI RUBBER CO., LTD.</t>
        </is>
      </c>
      <c r="CK8" s="96" t="inlineStr">
        <is>
          <t>OAK-TREE ENTERPRISE CO.,LTD.</t>
        </is>
      </c>
      <c r="CL8" s="96" t="inlineStr">
        <is>
          <t>OAK-TREE ENTERPRISE CO.,LTD.</t>
        </is>
      </c>
      <c r="CM8" s="97" t="inlineStr">
        <is>
          <t>CLOSED</t>
        </is>
      </c>
      <c r="CN8" s="96" t="inlineStr">
        <is>
          <t>202610161200</t>
        </is>
      </c>
      <c r="CO8" s="96" t="inlineStr">
        <is>
          <t>202610181700</t>
        </is>
      </c>
      <c r="CP8" s="97" t="n"/>
      <c r="CQ8" s="96" t="inlineStr">
        <is>
          <t>S22-2602005</t>
        </is>
      </c>
      <c r="CR8" s="96" t="inlineStr">
        <is>
          <t>THTZ2C</t>
        </is>
      </c>
      <c r="CS8" s="96" t="inlineStr">
        <is>
          <t>TTR FREIGHT AND SERVICE COMPANY LIMITED</t>
        </is>
      </c>
      <c r="CT8" s="96" t="inlineStr">
        <is>
          <t>N</t>
        </is>
      </c>
      <c r="CU8" s="97" t="n"/>
      <c r="CV8" s="97" t="n"/>
      <c r="CW8" s="161" t="inlineStr">
        <is>
          <t>2026-10-17</t>
        </is>
      </c>
      <c r="CX8" s="97" t="inlineStr">
        <is>
          <t>400121</t>
        </is>
      </c>
      <c r="CY8" s="183" t="n"/>
    </row>
    <row r="9" ht="12" customHeight="1">
      <c r="A9" s="116" t="inlineStr">
        <is>
          <t>HASLS22261000286</t>
        </is>
      </c>
      <c r="B9" s="96" t="inlineStr">
        <is>
          <t>20'x1</t>
        </is>
      </c>
      <c r="C9" s="97" t="n">
        <v>1</v>
      </c>
      <c r="D9" s="97" t="n">
        <v>1</v>
      </c>
      <c r="E9" s="97" t="n"/>
      <c r="F9" s="97" t="n">
        <v>0</v>
      </c>
      <c r="G9" s="97" t="n">
        <v>1</v>
      </c>
      <c r="H9" s="97" t="n">
        <v>0</v>
      </c>
      <c r="I9" s="97" t="n">
        <v>0</v>
      </c>
      <c r="J9" s="97" t="n">
        <v>1</v>
      </c>
      <c r="K9" s="96" t="inlineStr">
        <is>
          <t>N</t>
        </is>
      </c>
      <c r="L9" s="96" t="inlineStr">
        <is>
          <t>KTS1</t>
        </is>
      </c>
      <c r="M9" s="96" t="inlineStr">
        <is>
          <t>KJT</t>
        </is>
      </c>
      <c r="N9" s="96" t="inlineStr">
        <is>
          <t>2611N</t>
        </is>
      </c>
      <c r="O9" s="96" t="inlineStr">
        <is>
          <t>THLCH</t>
        </is>
      </c>
      <c r="P9" s="96" t="inlineStr">
        <is>
          <t>LCH04</t>
        </is>
      </c>
      <c r="Q9" s="96" t="inlineStr">
        <is>
          <t>IA</t>
        </is>
      </c>
      <c r="R9" s="161" t="inlineStr">
        <is>
          <t>2026-10-21</t>
        </is>
      </c>
      <c r="S9" s="96" t="inlineStr">
        <is>
          <t>HKHKG</t>
        </is>
      </c>
      <c r="T9" s="96" t="inlineStr">
        <is>
          <t>HKG03</t>
        </is>
      </c>
      <c r="U9" s="96" t="inlineStr">
        <is>
          <t>HKHKG</t>
        </is>
      </c>
      <c r="V9" s="161" t="inlineStr">
        <is>
          <t>2026-10-25</t>
        </is>
      </c>
      <c r="W9" s="96" t="inlineStr">
        <is>
          <t>IA</t>
        </is>
      </c>
      <c r="X9" s="97" t="n"/>
      <c r="Y9" s="97" t="n"/>
      <c r="Z9" s="97" t="n"/>
      <c r="AA9" s="96" t="inlineStr">
        <is>
          <t>DOUBLE A (1991) PUBLIC COMPANY LIMITED</t>
        </is>
      </c>
      <c r="AB9" s="96" t="inlineStr">
        <is>
          <t>DOUBLE A (1991) PUBLIC COMPANY LIMITED</t>
        </is>
      </c>
      <c r="AC9" s="163" t="n">
        <v>16818</v>
      </c>
      <c r="AD9" s="163" t="n">
        <v>19018</v>
      </c>
      <c r="AE9" s="96" t="inlineStr">
        <is>
          <t>OK</t>
        </is>
      </c>
      <c r="AF9" s="96" t="inlineStr">
        <is>
          <t>SR</t>
        </is>
      </c>
      <c r="AG9" s="97" t="n"/>
      <c r="AH9" s="96" t="inlineStr">
        <is>
          <t>CHK</t>
        </is>
      </c>
      <c r="AI9" s="97" t="inlineStr">
        <is>
          <t>OK</t>
        </is>
      </c>
      <c r="AJ9" s="97" t="n"/>
      <c r="AK9" s="97" t="n"/>
      <c r="AL9" s="97" t="n"/>
      <c r="AM9" s="96" t="inlineStr">
        <is>
          <t>TBKK19</t>
        </is>
      </c>
      <c r="AN9" s="96" t="inlineStr">
        <is>
          <t>Kanokporn</t>
        </is>
      </c>
      <c r="AO9" s="96" t="inlineStr">
        <is>
          <t>PAPER</t>
        </is>
      </c>
      <c r="AP9" s="96" t="inlineStr">
        <is>
          <t>Normal</t>
        </is>
      </c>
      <c r="AQ9" s="97" t="n"/>
      <c r="AR9" s="97" t="n"/>
      <c r="AS9" s="97" t="n"/>
      <c r="AT9" s="97" t="n"/>
      <c r="AU9" s="97" t="n"/>
      <c r="AV9" s="97" t="n"/>
      <c r="AW9" s="97" t="n">
        <v>0</v>
      </c>
      <c r="AX9" s="96" t="inlineStr">
        <is>
          <t>N</t>
        </is>
      </c>
      <c r="AY9" s="97" t="inlineStr">
        <is>
          <t>OBL</t>
        </is>
      </c>
      <c r="AZ9" s="96" t="inlineStr">
        <is>
          <t>CY-RTN : 11-13/10/2026
REF : PI-HK-TH-DA-26100013
FRT $35, FREE TIME 14/14, DTHC(HKD)2000</t>
        </is>
      </c>
      <c r="BA9" s="97" t="n"/>
      <c r="BB9" s="96" t="inlineStr">
        <is>
          <t>P</t>
        </is>
      </c>
      <c r="BC9" s="161" t="inlineStr">
        <is>
          <t>2026-10-05</t>
        </is>
      </c>
      <c r="BD9" s="161" t="inlineStr">
        <is>
          <t>2026-10-14</t>
        </is>
      </c>
      <c r="BE9" s="96" t="inlineStr">
        <is>
          <t>Y</t>
        </is>
      </c>
      <c r="BF9" s="96" t="inlineStr">
        <is>
          <t>PAPER</t>
        </is>
      </c>
      <c r="BG9" s="96" t="inlineStr">
        <is>
          <t>Line</t>
        </is>
      </c>
      <c r="BH9" s="96" t="inlineStr">
        <is>
          <t>S22</t>
        </is>
      </c>
      <c r="BI9" s="97" t="n"/>
      <c r="BJ9" s="97" t="n"/>
      <c r="BK9" s="96" t="inlineStr">
        <is>
          <t>LCHY5</t>
        </is>
      </c>
      <c r="BL9" s="161" t="inlineStr">
        <is>
          <t>2026-10-10</t>
        </is>
      </c>
      <c r="BM9" s="127" t="n"/>
      <c r="BN9" s="127" t="n">
        <v>1</v>
      </c>
      <c r="BO9" s="127" t="n"/>
      <c r="BP9" s="127" t="n"/>
      <c r="BQ9" s="127" t="n"/>
      <c r="BR9" s="127" t="n"/>
      <c r="BS9" s="127" t="n"/>
      <c r="BT9" s="127" t="n"/>
      <c r="BU9" s="127" t="n"/>
      <c r="BV9" s="127" t="n"/>
      <c r="BW9" s="127" t="n"/>
      <c r="BX9" s="127" t="n"/>
      <c r="BY9" s="96" t="inlineStr">
        <is>
          <t>FULL</t>
        </is>
      </c>
      <c r="BZ9" s="97" t="n"/>
      <c r="CA9" s="96" t="n"/>
      <c r="CB9" s="97" t="n"/>
      <c r="CC9" s="96" t="inlineStr">
        <is>
          <t>LCH04</t>
        </is>
      </c>
      <c r="CD9" s="97" t="n"/>
      <c r="CE9" s="97" t="n"/>
      <c r="CF9" s="96" t="inlineStr">
        <is>
          <t>0 Teu</t>
        </is>
      </c>
      <c r="CG9" s="96" t="inlineStr">
        <is>
          <t>CY/CY</t>
        </is>
      </c>
      <c r="CH9" s="97" t="n"/>
      <c r="CI9" s="96" t="inlineStr">
        <is>
          <t>kan_b@doublea1991.com</t>
        </is>
      </c>
      <c r="CJ9" s="96" t="inlineStr">
        <is>
          <t>DOUBLE A (1991) PUBLIC COMPANY</t>
        </is>
      </c>
      <c r="CK9" s="96" t="inlineStr">
        <is>
          <t>TO ORDER</t>
        </is>
      </c>
      <c r="CL9" s="96" t="inlineStr">
        <is>
          <t>DOUBLE A INTERNATIONAL TRADING</t>
        </is>
      </c>
      <c r="CM9" s="97" t="inlineStr">
        <is>
          <t>CLOSED</t>
        </is>
      </c>
      <c r="CN9" s="96" t="inlineStr">
        <is>
          <t>202610161200</t>
        </is>
      </c>
      <c r="CO9" s="96" t="inlineStr">
        <is>
          <t>202610181700</t>
        </is>
      </c>
      <c r="CP9" s="97" t="n"/>
      <c r="CQ9" s="96" t="inlineStr">
        <is>
          <t>S19-2312005</t>
        </is>
      </c>
      <c r="CR9" s="96" t="inlineStr">
        <is>
          <t>TH0382</t>
        </is>
      </c>
      <c r="CS9" s="96" t="inlineStr">
        <is>
          <t>DOUBLE A (1991) PUBLIC COMPANY LIMITED</t>
        </is>
      </c>
      <c r="CT9" s="96" t="inlineStr">
        <is>
          <t>N</t>
        </is>
      </c>
      <c r="CU9" s="97" t="n"/>
      <c r="CV9" s="97" t="n"/>
      <c r="CW9" s="161" t="inlineStr">
        <is>
          <t>2026-10-17</t>
        </is>
      </c>
      <c r="CX9" s="97" t="n"/>
      <c r="CY9" s="183" t="n"/>
    </row>
    <row r="10" ht="12" customHeight="1">
      <c r="A10" s="116" t="inlineStr">
        <is>
          <t>HASLS22261000546</t>
        </is>
      </c>
      <c r="B10" s="96" t="inlineStr">
        <is>
          <t>20'x1</t>
        </is>
      </c>
      <c r="C10" s="97" t="n">
        <v>1</v>
      </c>
      <c r="D10" s="97" t="n">
        <v>1</v>
      </c>
      <c r="E10" s="97" t="n"/>
      <c r="F10" s="97" t="n">
        <v>0</v>
      </c>
      <c r="G10" s="97" t="n">
        <v>1</v>
      </c>
      <c r="H10" s="97" t="n">
        <v>0</v>
      </c>
      <c r="I10" s="97" t="n">
        <v>0</v>
      </c>
      <c r="J10" s="97" t="n">
        <v>1</v>
      </c>
      <c r="K10" s="96" t="inlineStr">
        <is>
          <t>N</t>
        </is>
      </c>
      <c r="L10" s="96" t="inlineStr">
        <is>
          <t>KTS1</t>
        </is>
      </c>
      <c r="M10" s="96" t="inlineStr">
        <is>
          <t>KJT</t>
        </is>
      </c>
      <c r="N10" s="96" t="inlineStr">
        <is>
          <t>2611N</t>
        </is>
      </c>
      <c r="O10" s="96" t="inlineStr">
        <is>
          <t>THLCH</t>
        </is>
      </c>
      <c r="P10" s="96" t="inlineStr">
        <is>
          <t>LCH04</t>
        </is>
      </c>
      <c r="Q10" s="96" t="inlineStr">
        <is>
          <t>IA</t>
        </is>
      </c>
      <c r="R10" s="161" t="inlineStr">
        <is>
          <t>2026-10-21</t>
        </is>
      </c>
      <c r="S10" s="96" t="inlineStr">
        <is>
          <t>TWKEL</t>
        </is>
      </c>
      <c r="T10" s="96" t="inlineStr">
        <is>
          <t>KEL02</t>
        </is>
      </c>
      <c r="U10" s="96" t="inlineStr">
        <is>
          <t>TWKEL</t>
        </is>
      </c>
      <c r="V10" s="161" t="inlineStr">
        <is>
          <t>2026-10-27</t>
        </is>
      </c>
      <c r="W10" s="96" t="inlineStr">
        <is>
          <t>IA</t>
        </is>
      </c>
      <c r="X10" s="97" t="n"/>
      <c r="Y10" s="97" t="n"/>
      <c r="Z10" s="97" t="n"/>
      <c r="AA10" s="96" t="inlineStr">
        <is>
          <t>ALUCON PUBLIC COMPANY LIMITED</t>
        </is>
      </c>
      <c r="AB10" s="96" t="inlineStr">
        <is>
          <t>ALUCON PUBLIC COMPANY LIMITED</t>
        </is>
      </c>
      <c r="AC10" s="163" t="n">
        <v>890.4</v>
      </c>
      <c r="AD10" s="163" t="n">
        <v>3090.4</v>
      </c>
      <c r="AE10" s="96" t="inlineStr">
        <is>
          <t>OK</t>
        </is>
      </c>
      <c r="AF10" s="96" t="inlineStr">
        <is>
          <t>SR</t>
        </is>
      </c>
      <c r="AG10" s="97" t="n"/>
      <c r="AH10" s="96" t="inlineStr">
        <is>
          <t>CHK</t>
        </is>
      </c>
      <c r="AI10" s="97" t="inlineStr">
        <is>
          <t>OK</t>
        </is>
      </c>
      <c r="AJ10" s="97" t="n"/>
      <c r="AK10" s="97" t="n"/>
      <c r="AL10" s="97" t="n"/>
      <c r="AM10" s="96" t="inlineStr">
        <is>
          <t>TBKK13</t>
        </is>
      </c>
      <c r="AN10" s="96" t="inlineStr">
        <is>
          <t>Dharaporn</t>
        </is>
      </c>
      <c r="AO10" s="96" t="inlineStr">
        <is>
          <t>ALUMINIUM CANS (EMPTY)</t>
        </is>
      </c>
      <c r="AP10" s="96" t="inlineStr">
        <is>
          <t>Normal</t>
        </is>
      </c>
      <c r="AQ10" s="97" t="n"/>
      <c r="AR10" s="97" t="n"/>
      <c r="AS10" s="97" t="n"/>
      <c r="AT10" s="97" t="n"/>
      <c r="AU10" s="97" t="n"/>
      <c r="AV10" s="97" t="n"/>
      <c r="AW10" s="97" t="n">
        <v>0</v>
      </c>
      <c r="AX10" s="96" t="inlineStr">
        <is>
          <t>N</t>
        </is>
      </c>
      <c r="AY10" s="97" t="inlineStr">
        <is>
          <t>OBL</t>
        </is>
      </c>
      <c r="AZ10" s="96" t="inlineStr">
        <is>
          <t xml:space="preserve">Pickup : 2026-10-14, Return : 2026-10-15 
** PLEASE CHECK OPEN GATE BEFORE RETURN CONTAINER ** </t>
        </is>
      </c>
      <c r="BA10" s="97" t="inlineStr">
        <is>
          <t xml:space="preserve">HS CODE 761290  </t>
        </is>
      </c>
      <c r="BB10" s="96" t="inlineStr">
        <is>
          <t>P</t>
        </is>
      </c>
      <c r="BC10" s="161" t="inlineStr">
        <is>
          <t>2026-10-07</t>
        </is>
      </c>
      <c r="BD10" s="161" t="inlineStr">
        <is>
          <t>2026-10-16</t>
        </is>
      </c>
      <c r="BE10" s="96" t="inlineStr">
        <is>
          <t>Y</t>
        </is>
      </c>
      <c r="BF10" s="96" t="inlineStr">
        <is>
          <t>ALUMINIUM CANS (EMPTY)</t>
        </is>
      </c>
      <c r="BG10" s="96" t="inlineStr">
        <is>
          <t>Line</t>
        </is>
      </c>
      <c r="BH10" s="96" t="inlineStr">
        <is>
          <t>S22</t>
        </is>
      </c>
      <c r="BI10" s="97" t="n"/>
      <c r="BJ10" s="97" t="n"/>
      <c r="BK10" s="96" t="inlineStr">
        <is>
          <t>LCHY5</t>
        </is>
      </c>
      <c r="BL10" s="161" t="inlineStr">
        <is>
          <t>2026-10-14</t>
        </is>
      </c>
      <c r="BM10" s="127" t="n"/>
      <c r="BN10" s="127" t="n">
        <v>1</v>
      </c>
      <c r="BO10" s="127" t="n"/>
      <c r="BP10" s="127" t="n"/>
      <c r="BQ10" s="127" t="n"/>
      <c r="BR10" s="127" t="n"/>
      <c r="BS10" s="127" t="n"/>
      <c r="BT10" s="127" t="n"/>
      <c r="BU10" s="127" t="n"/>
      <c r="BV10" s="127" t="n"/>
      <c r="BW10" s="127" t="n"/>
      <c r="BX10" s="127" t="n"/>
      <c r="BY10" s="96" t="inlineStr">
        <is>
          <t>FULL</t>
        </is>
      </c>
      <c r="BZ10" s="97" t="n"/>
      <c r="CA10" s="96" t="inlineStr">
        <is>
          <t>Y</t>
        </is>
      </c>
      <c r="CB10" s="97" t="n"/>
      <c r="CC10" s="96" t="inlineStr">
        <is>
          <t>LCH04</t>
        </is>
      </c>
      <c r="CD10" s="97" t="n"/>
      <c r="CE10" s="97" t="n"/>
      <c r="CF10" s="96" t="inlineStr">
        <is>
          <t>0 Teu</t>
        </is>
      </c>
      <c r="CG10" s="96" t="inlineStr">
        <is>
          <t>CY/CY</t>
        </is>
      </c>
      <c r="CH10" s="97" t="n"/>
      <c r="CI10" s="96" t="inlineStr">
        <is>
          <t>supannee@alucon.th.com</t>
        </is>
      </c>
      <c r="CJ10" s="96" t="inlineStr">
        <is>
          <t>ALUCON PUBLIC COMPANY LIMITED</t>
        </is>
      </c>
      <c r="CK10" s="96" t="inlineStr">
        <is>
          <t>SHIEUN-TA INDUSTRY CO.,LTD.</t>
        </is>
      </c>
      <c r="CL10" s="96" t="inlineStr">
        <is>
          <t>SHIEUN-TA INDUSTRY CO.,LTD.</t>
        </is>
      </c>
      <c r="CM10" s="97" t="inlineStr">
        <is>
          <t>CLOSED</t>
        </is>
      </c>
      <c r="CN10" s="96" t="inlineStr">
        <is>
          <t>202610161200</t>
        </is>
      </c>
      <c r="CO10" s="96" t="inlineStr">
        <is>
          <t>202610181700</t>
        </is>
      </c>
      <c r="CP10" s="97" t="n"/>
      <c r="CQ10" s="96" t="inlineStr">
        <is>
          <t>S19-2107028</t>
        </is>
      </c>
      <c r="CR10" s="96" t="inlineStr">
        <is>
          <t>BB0595</t>
        </is>
      </c>
      <c r="CS10" s="96" t="inlineStr">
        <is>
          <t>ALUCON PUBLIC COMPANY LIMITED</t>
        </is>
      </c>
      <c r="CT10" s="96" t="inlineStr">
        <is>
          <t>N</t>
        </is>
      </c>
      <c r="CU10" s="97" t="n"/>
      <c r="CV10" s="97" t="n"/>
      <c r="CW10" s="161" t="inlineStr">
        <is>
          <t>2026-10-19</t>
        </is>
      </c>
      <c r="CX10" s="97" t="inlineStr">
        <is>
          <t>761290</t>
        </is>
      </c>
      <c r="CY10" s="183" t="n"/>
    </row>
    <row r="11" ht="12" customHeight="1">
      <c r="A11" s="116" t="inlineStr">
        <is>
          <t>HASLS22260900213</t>
        </is>
      </c>
      <c r="B11" s="96" t="inlineStr">
        <is>
          <t>20'x1</t>
        </is>
      </c>
      <c r="C11" s="97" t="n">
        <v>1</v>
      </c>
      <c r="D11" s="97" t="n">
        <v>1</v>
      </c>
      <c r="E11" s="97" t="n"/>
      <c r="F11" s="97" t="n">
        <v>0</v>
      </c>
      <c r="G11" s="97" t="n">
        <v>1</v>
      </c>
      <c r="H11" s="97" t="n">
        <v>0</v>
      </c>
      <c r="I11" s="97" t="n">
        <v>0</v>
      </c>
      <c r="J11" s="97" t="n">
        <v>1</v>
      </c>
      <c r="K11" s="96" t="inlineStr">
        <is>
          <t>N</t>
        </is>
      </c>
      <c r="L11" s="96" t="inlineStr">
        <is>
          <t>KTS1</t>
        </is>
      </c>
      <c r="M11" s="96" t="inlineStr">
        <is>
          <t>KJT</t>
        </is>
      </c>
      <c r="N11" s="96" t="inlineStr">
        <is>
          <t>2611N</t>
        </is>
      </c>
      <c r="O11" s="96" t="inlineStr">
        <is>
          <t>THLCH</t>
        </is>
      </c>
      <c r="P11" s="96" t="inlineStr">
        <is>
          <t>LCH04</t>
        </is>
      </c>
      <c r="Q11" s="96" t="inlineStr">
        <is>
          <t>IA</t>
        </is>
      </c>
      <c r="R11" s="161" t="inlineStr">
        <is>
          <t>2026-10-21</t>
        </is>
      </c>
      <c r="S11" s="96" t="inlineStr">
        <is>
          <t>TWKEL</t>
        </is>
      </c>
      <c r="T11" s="96" t="inlineStr">
        <is>
          <t>KEL02</t>
        </is>
      </c>
      <c r="U11" s="96" t="inlineStr">
        <is>
          <t>TWKEL</t>
        </is>
      </c>
      <c r="V11" s="161" t="inlineStr">
        <is>
          <t>2026-10-27</t>
        </is>
      </c>
      <c r="W11" s="96" t="inlineStr">
        <is>
          <t>IA</t>
        </is>
      </c>
      <c r="X11" s="97" t="n"/>
      <c r="Y11" s="97" t="n"/>
      <c r="Z11" s="97" t="n"/>
      <c r="AA11" s="96" t="inlineStr">
        <is>
          <t>MOL LOGISTICS (THAILAND) CO., LTD.</t>
        </is>
      </c>
      <c r="AB11" s="96" t="inlineStr">
        <is>
          <t>KURARAY ADVANCED CHEMICALS (THAILAND) CO., LTD.</t>
        </is>
      </c>
      <c r="AC11" s="163" t="n">
        <v>17360</v>
      </c>
      <c r="AD11" s="163" t="n">
        <v>19560</v>
      </c>
      <c r="AE11" s="96" t="inlineStr">
        <is>
          <t>OK</t>
        </is>
      </c>
      <c r="AF11" s="96" t="inlineStr">
        <is>
          <t>SR</t>
        </is>
      </c>
      <c r="AG11" s="97" t="n"/>
      <c r="AH11" s="96" t="inlineStr">
        <is>
          <t>CHK</t>
        </is>
      </c>
      <c r="AI11" s="97" t="inlineStr">
        <is>
          <t>OK</t>
        </is>
      </c>
      <c r="AJ11" s="97" t="n"/>
      <c r="AK11" s="97" t="n"/>
      <c r="AL11" s="97" t="n"/>
      <c r="AM11" s="96" t="inlineStr">
        <is>
          <t>TBKK55</t>
        </is>
      </c>
      <c r="AN11" s="96" t="inlineStr">
        <is>
          <t>Vilaiporn</t>
        </is>
      </c>
      <c r="AO11" s="96" t="inlineStr">
        <is>
          <t>MPD (NON DG)</t>
        </is>
      </c>
      <c r="AP11" s="96" t="inlineStr">
        <is>
          <t>Normal</t>
        </is>
      </c>
      <c r="AQ11" s="97" t="n"/>
      <c r="AR11" s="97" t="n"/>
      <c r="AS11" s="97" t="n"/>
      <c r="AT11" s="97" t="n"/>
      <c r="AU11" s="97" t="n"/>
      <c r="AV11" s="97" t="n"/>
      <c r="AW11" s="97" t="n">
        <v>0</v>
      </c>
      <c r="AX11" s="96" t="inlineStr">
        <is>
          <t>N</t>
        </is>
      </c>
      <c r="AY11" s="97" t="inlineStr">
        <is>
          <t>OBL</t>
        </is>
      </c>
      <c r="AZ11" s="96" t="inlineStr">
        <is>
          <t xml:space="preserve">Pickup : 2026-10-09, Return : 2026-10-09 
 ** PLEASE CHECK OPEN GATE BEFORE RETURN CNTR **
</t>
        </is>
      </c>
      <c r="BA11" s="97" t="inlineStr">
        <is>
          <t>REQ GOOD AND CLEAN CONTAINERCommodity : MPD (3-Methyl-1,5-pentanediol) - NON DGHS Code: 2905.3900-090</t>
        </is>
      </c>
      <c r="BB11" s="96" t="inlineStr">
        <is>
          <t>P</t>
        </is>
      </c>
      <c r="BC11" s="161" t="inlineStr">
        <is>
          <t>2026-09-02</t>
        </is>
      </c>
      <c r="BD11" s="161" t="inlineStr">
        <is>
          <t>2026-10-16</t>
        </is>
      </c>
      <c r="BE11" s="96" t="inlineStr">
        <is>
          <t>Y</t>
        </is>
      </c>
      <c r="BF11" s="96" t="inlineStr">
        <is>
          <t>MPD (NON DG)</t>
        </is>
      </c>
      <c r="BG11" s="96" t="inlineStr">
        <is>
          <t>Line</t>
        </is>
      </c>
      <c r="BH11" s="96" t="inlineStr">
        <is>
          <t>S22</t>
        </is>
      </c>
      <c r="BI11" s="97" t="n"/>
      <c r="BJ11" s="97" t="n"/>
      <c r="BK11" s="96" t="inlineStr">
        <is>
          <t>LCH27</t>
        </is>
      </c>
      <c r="BL11" s="161" t="inlineStr">
        <is>
          <t>2026-10-09</t>
        </is>
      </c>
      <c r="BM11" s="127" t="n"/>
      <c r="BN11" s="127" t="n">
        <v>1</v>
      </c>
      <c r="BO11" s="127" t="n"/>
      <c r="BP11" s="127" t="n"/>
      <c r="BQ11" s="127" t="n"/>
      <c r="BR11" s="127" t="n"/>
      <c r="BS11" s="127" t="n"/>
      <c r="BT11" s="127" t="n"/>
      <c r="BU11" s="127" t="n"/>
      <c r="BV11" s="127" t="n"/>
      <c r="BW11" s="127" t="n"/>
      <c r="BX11" s="127" t="n"/>
      <c r="BY11" s="96" t="inlineStr">
        <is>
          <t>FULL</t>
        </is>
      </c>
      <c r="BZ11" s="97" t="n"/>
      <c r="CA11" s="96" t="inlineStr">
        <is>
          <t>Y</t>
        </is>
      </c>
      <c r="CB11" s="97" t="n"/>
      <c r="CC11" s="96" t="inlineStr">
        <is>
          <t>LCH04</t>
        </is>
      </c>
      <c r="CD11" s="97" t="n"/>
      <c r="CE11" s="97" t="n"/>
      <c r="CF11" s="96" t="inlineStr">
        <is>
          <t>0 Teu</t>
        </is>
      </c>
      <c r="CG11" s="96" t="inlineStr">
        <is>
          <t>CY/CY</t>
        </is>
      </c>
      <c r="CH11" s="97" t="n"/>
      <c r="CI11" s="96" t="inlineStr">
        <is>
          <t>MLGTH_NDN-OPN@molgroup.com</t>
        </is>
      </c>
      <c r="CJ11" s="96" t="inlineStr">
        <is>
          <t>MOL LOGISTICS (THAILAND) CO., LTD.</t>
        </is>
      </c>
      <c r="CK11" s="96" t="inlineStr">
        <is>
          <t>MOL LOGISTICS (TAIWAN) CO.,LTD.</t>
        </is>
      </c>
      <c r="CL11" s="96" t="inlineStr">
        <is>
          <t>MOL LOGISTICS (TAIWAN) CO.,LTD.</t>
        </is>
      </c>
      <c r="CM11" s="97" t="inlineStr">
        <is>
          <t>CLOSED</t>
        </is>
      </c>
      <c r="CN11" s="96" t="inlineStr">
        <is>
          <t>202610161200</t>
        </is>
      </c>
      <c r="CO11" s="96" t="inlineStr">
        <is>
          <t>202610181700</t>
        </is>
      </c>
      <c r="CP11" s="97" t="n"/>
      <c r="CQ11" s="96" t="inlineStr">
        <is>
          <t>S19-1910045</t>
        </is>
      </c>
      <c r="CR11" s="96" t="inlineStr">
        <is>
          <t>THTK0D</t>
        </is>
      </c>
      <c r="CS11" s="96" t="inlineStr">
        <is>
          <t>MOL LOGISTICS (THAILAND) CO., LTD.</t>
        </is>
      </c>
      <c r="CT11" s="96" t="inlineStr">
        <is>
          <t>N</t>
        </is>
      </c>
      <c r="CU11" s="97" t="n"/>
      <c r="CV11" s="97" t="n"/>
      <c r="CW11" s="161" t="inlineStr">
        <is>
          <t>2026-10-13</t>
        </is>
      </c>
      <c r="CX11" s="97" t="inlineStr">
        <is>
          <t>290539</t>
        </is>
      </c>
      <c r="CY11" s="183" t="n"/>
    </row>
    <row r="12" ht="12" customHeight="1">
      <c r="A12" s="116" t="inlineStr">
        <is>
          <t>HASLS22260902576</t>
        </is>
      </c>
      <c r="B12" s="96" t="inlineStr">
        <is>
          <t>20'x2</t>
        </is>
      </c>
      <c r="C12" s="97" t="n">
        <v>2</v>
      </c>
      <c r="D12" s="97" t="n">
        <v>2</v>
      </c>
      <c r="E12" s="97" t="n"/>
      <c r="F12" s="97" t="n">
        <v>0</v>
      </c>
      <c r="G12" s="97" t="n">
        <v>2</v>
      </c>
      <c r="H12" s="97" t="n">
        <v>0</v>
      </c>
      <c r="I12" s="97" t="n">
        <v>0</v>
      </c>
      <c r="J12" s="97" t="n">
        <v>2</v>
      </c>
      <c r="K12" s="96" t="inlineStr">
        <is>
          <t>N</t>
        </is>
      </c>
      <c r="L12" s="96" t="inlineStr">
        <is>
          <t>KTS1</t>
        </is>
      </c>
      <c r="M12" s="96" t="inlineStr">
        <is>
          <t>KJT</t>
        </is>
      </c>
      <c r="N12" s="96" t="inlineStr">
        <is>
          <t>2611N</t>
        </is>
      </c>
      <c r="O12" s="96" t="inlineStr">
        <is>
          <t>THLCH</t>
        </is>
      </c>
      <c r="P12" s="96" t="inlineStr">
        <is>
          <t>LCH04</t>
        </is>
      </c>
      <c r="Q12" s="96" t="inlineStr">
        <is>
          <t>IA</t>
        </is>
      </c>
      <c r="R12" s="161" t="inlineStr">
        <is>
          <t>2026-10-21</t>
        </is>
      </c>
      <c r="S12" s="96" t="inlineStr">
        <is>
          <t>HKHKG</t>
        </is>
      </c>
      <c r="T12" s="96" t="inlineStr">
        <is>
          <t>HKG03</t>
        </is>
      </c>
      <c r="U12" s="96" t="inlineStr">
        <is>
          <t>HKHKG</t>
        </is>
      </c>
      <c r="V12" s="161" t="inlineStr">
        <is>
          <t>2026-10-25</t>
        </is>
      </c>
      <c r="W12" s="96" t="inlineStr">
        <is>
          <t>IA</t>
        </is>
      </c>
      <c r="X12" s="97" t="n"/>
      <c r="Y12" s="97" t="n"/>
      <c r="Z12" s="97" t="n"/>
      <c r="AA12" s="96" t="inlineStr">
        <is>
          <t>DOUBLE A (1991) PUBLIC COMPANY LIMITED</t>
        </is>
      </c>
      <c r="AB12" s="96" t="inlineStr">
        <is>
          <t>DOUBLE A (1991) PUBLIC COMPANY LIMITED</t>
        </is>
      </c>
      <c r="AC12" s="163" t="n">
        <v>33170</v>
      </c>
      <c r="AD12" s="163" t="n">
        <v>37570</v>
      </c>
      <c r="AE12" s="96" t="inlineStr">
        <is>
          <t>OK</t>
        </is>
      </c>
      <c r="AF12" s="96" t="n"/>
      <c r="AG12" s="97" t="n"/>
      <c r="AH12" s="96" t="inlineStr">
        <is>
          <t>CHK</t>
        </is>
      </c>
      <c r="AI12" s="97" t="inlineStr">
        <is>
          <t>OK</t>
        </is>
      </c>
      <c r="AJ12" s="97" t="n"/>
      <c r="AK12" s="97" t="n"/>
      <c r="AL12" s="97" t="n"/>
      <c r="AM12" s="96" t="inlineStr">
        <is>
          <t>TBKK19</t>
        </is>
      </c>
      <c r="AN12" s="96" t="inlineStr">
        <is>
          <t>Kanokporn</t>
        </is>
      </c>
      <c r="AO12" s="96" t="inlineStr">
        <is>
          <t>PAPER</t>
        </is>
      </c>
      <c r="AP12" s="96" t="inlineStr">
        <is>
          <t>Normal</t>
        </is>
      </c>
      <c r="AQ12" s="97" t="n"/>
      <c r="AR12" s="97" t="n"/>
      <c r="AS12" s="97" t="n"/>
      <c r="AT12" s="97" t="n"/>
      <c r="AU12" s="97" t="n"/>
      <c r="AV12" s="97" t="n"/>
      <c r="AW12" s="97" t="n">
        <v>0</v>
      </c>
      <c r="AX12" s="96" t="inlineStr">
        <is>
          <t>N</t>
        </is>
      </c>
      <c r="AY12" s="97" t="inlineStr">
        <is>
          <t>OBL</t>
        </is>
      </c>
      <c r="AZ12" s="96" t="inlineStr">
        <is>
          <t>CY-RTN : 06-08/10/2026
REF : PI-HK-TH-DA-26100012
FRT $35, FREE TIME 14/14, DTHC(HKD)2000</t>
        </is>
      </c>
      <c r="BA12" s="97" t="inlineStr">
        <is>
          <t>ROLL OVER FROM PREVIOUS VSL KMTP  2612N BY ALLOCATION TEAM MS,TARN APPROVED COST IS UNDER HA DD.13/10
FM 1X20'GP</t>
        </is>
      </c>
      <c r="BB12" s="96" t="inlineStr">
        <is>
          <t>P</t>
        </is>
      </c>
      <c r="BC12" s="161" t="inlineStr">
        <is>
          <t>2026-09-28</t>
        </is>
      </c>
      <c r="BD12" s="161" t="inlineStr">
        <is>
          <t>2026-10-15</t>
        </is>
      </c>
      <c r="BE12" s="96" t="inlineStr">
        <is>
          <t>Y</t>
        </is>
      </c>
      <c r="BF12" s="96" t="inlineStr">
        <is>
          <t>PAPER</t>
        </is>
      </c>
      <c r="BG12" s="96" t="inlineStr">
        <is>
          <t>Line</t>
        </is>
      </c>
      <c r="BH12" s="96" t="inlineStr">
        <is>
          <t>S22</t>
        </is>
      </c>
      <c r="BI12" s="97" t="n"/>
      <c r="BJ12" s="97" t="n"/>
      <c r="BK12" s="96" t="inlineStr">
        <is>
          <t>LCHY5</t>
        </is>
      </c>
      <c r="BL12" s="161" t="inlineStr">
        <is>
          <t>2026-10-06</t>
        </is>
      </c>
      <c r="BM12" s="127" t="n"/>
      <c r="BN12" s="127" t="n">
        <v>2</v>
      </c>
      <c r="BO12" s="127" t="n"/>
      <c r="BP12" s="127" t="n"/>
      <c r="BQ12" s="127" t="n"/>
      <c r="BR12" s="127" t="n"/>
      <c r="BS12" s="127" t="n"/>
      <c r="BT12" s="127" t="n"/>
      <c r="BU12" s="127" t="n"/>
      <c r="BV12" s="127" t="n"/>
      <c r="BW12" s="127" t="n"/>
      <c r="BX12" s="127" t="n"/>
      <c r="BY12" s="96" t="inlineStr">
        <is>
          <t>FULL</t>
        </is>
      </c>
      <c r="BZ12" s="97" t="n"/>
      <c r="CA12" s="96" t="n"/>
      <c r="CB12" s="97" t="n"/>
      <c r="CC12" s="96" t="inlineStr">
        <is>
          <t>LCH04</t>
        </is>
      </c>
      <c r="CD12" s="97" t="n"/>
      <c r="CE12" s="97" t="n"/>
      <c r="CF12" s="96" t="inlineStr">
        <is>
          <t>0 Teu</t>
        </is>
      </c>
      <c r="CG12" s="96" t="inlineStr">
        <is>
          <t>CY/CY</t>
        </is>
      </c>
      <c r="CH12" s="97" t="n"/>
      <c r="CI12" s="96" t="inlineStr">
        <is>
          <t>kan_b@doublea1991.com</t>
        </is>
      </c>
      <c r="CJ12" s="96" t="inlineStr">
        <is>
          <t>DOUBLE A (1991) PUBLIC COMPANY</t>
        </is>
      </c>
      <c r="CK12" s="96" t="inlineStr">
        <is>
          <t>TO ORDER</t>
        </is>
      </c>
      <c r="CL12" s="96" t="inlineStr">
        <is>
          <t>DOUBLE A INTERNATIONAL TRADING</t>
        </is>
      </c>
      <c r="CM12" s="97" t="inlineStr">
        <is>
          <t>CLOSED</t>
        </is>
      </c>
      <c r="CN12" s="96" t="inlineStr">
        <is>
          <t>202610161200</t>
        </is>
      </c>
      <c r="CO12" s="96" t="inlineStr">
        <is>
          <t>202610181700</t>
        </is>
      </c>
      <c r="CP12" s="97" t="n"/>
      <c r="CQ12" s="96" t="inlineStr">
        <is>
          <t>S19-2312005</t>
        </is>
      </c>
      <c r="CR12" s="96" t="inlineStr">
        <is>
          <t>TH0382</t>
        </is>
      </c>
      <c r="CS12" s="96" t="inlineStr">
        <is>
          <t>DOUBLE A (1991) PUBLIC COMPANY LIMITED</t>
        </is>
      </c>
      <c r="CT12" s="96" t="inlineStr">
        <is>
          <t>N</t>
        </is>
      </c>
      <c r="CU12" s="97" t="n"/>
      <c r="CV12" s="97" t="n"/>
      <c r="CW12" s="161" t="inlineStr">
        <is>
          <t>2026-10-20</t>
        </is>
      </c>
      <c r="CX12" s="97" t="n"/>
      <c r="CY12" s="183" t="inlineStr">
        <is>
          <t>ROLL OVER FROM PREVIOUS VSL KMTP  2612N BY ALLOCATION TEAM MS,TARN APPROVED COST IS UNDER HA DD.13/10</t>
        </is>
      </c>
    </row>
    <row r="13" ht="12" customHeight="1">
      <c r="A13" s="116" t="inlineStr">
        <is>
          <t>HASLS22260901634</t>
        </is>
      </c>
      <c r="B13" s="96" t="inlineStr">
        <is>
          <t>40Hx1</t>
        </is>
      </c>
      <c r="C13" s="97" t="n">
        <v>1</v>
      </c>
      <c r="D13" s="97" t="n">
        <v>1</v>
      </c>
      <c r="E13" s="97" t="n"/>
      <c r="F13" s="97" t="n">
        <v>0</v>
      </c>
      <c r="G13" s="97" t="n">
        <v>0</v>
      </c>
      <c r="H13" s="97" t="n">
        <v>0</v>
      </c>
      <c r="I13" s="97" t="n">
        <v>1</v>
      </c>
      <c r="J13" s="97" t="n">
        <v>2</v>
      </c>
      <c r="K13" s="96" t="inlineStr">
        <is>
          <t>N</t>
        </is>
      </c>
      <c r="L13" s="96" t="inlineStr">
        <is>
          <t>KTS1</t>
        </is>
      </c>
      <c r="M13" s="96" t="inlineStr">
        <is>
          <t>KJT</t>
        </is>
      </c>
      <c r="N13" s="96" t="inlineStr">
        <is>
          <t>2611N</t>
        </is>
      </c>
      <c r="O13" s="96" t="inlineStr">
        <is>
          <t>THLCH</t>
        </is>
      </c>
      <c r="P13" s="96" t="inlineStr">
        <is>
          <t>LCH04</t>
        </is>
      </c>
      <c r="Q13" s="96" t="inlineStr">
        <is>
          <t>IA</t>
        </is>
      </c>
      <c r="R13" s="161" t="inlineStr">
        <is>
          <t>2026-10-21</t>
        </is>
      </c>
      <c r="S13" s="96" t="inlineStr">
        <is>
          <t>JPHKT</t>
        </is>
      </c>
      <c r="T13" s="96" t="inlineStr">
        <is>
          <t>HKT02</t>
        </is>
      </c>
      <c r="U13" s="96" t="inlineStr">
        <is>
          <t>JPHKT</t>
        </is>
      </c>
      <c r="V13" s="161" t="inlineStr">
        <is>
          <t>2026-11-05</t>
        </is>
      </c>
      <c r="W13" s="96" t="inlineStr">
        <is>
          <t>JP</t>
        </is>
      </c>
      <c r="X13" s="97" t="n"/>
      <c r="Y13" s="97" t="inlineStr">
        <is>
          <t>PUSH4</t>
        </is>
      </c>
      <c r="Z13" s="97" t="inlineStr">
        <is>
          <t>KRPUS</t>
        </is>
      </c>
      <c r="AA13" s="96" t="inlineStr">
        <is>
          <t>LOGIMARK INTERNATIONAL LIMITED</t>
        </is>
      </c>
      <c r="AB13" s="96" t="inlineStr">
        <is>
          <t>TANG SIA PING METAL WORK CO., LTD.</t>
        </is>
      </c>
      <c r="AC13" s="163" t="n">
        <v>8638</v>
      </c>
      <c r="AD13" s="163" t="n">
        <v>12638</v>
      </c>
      <c r="AE13" s="96" t="inlineStr">
        <is>
          <t>OK</t>
        </is>
      </c>
      <c r="AF13" s="96" t="inlineStr">
        <is>
          <t>SR</t>
        </is>
      </c>
      <c r="AG13" s="97" t="n"/>
      <c r="AH13" s="96" t="inlineStr">
        <is>
          <t>CHK</t>
        </is>
      </c>
      <c r="AI13" s="97" t="inlineStr">
        <is>
          <t>OK</t>
        </is>
      </c>
      <c r="AJ13" s="97" t="n"/>
      <c r="AK13" s="97" t="n"/>
      <c r="AL13" s="97" t="n"/>
      <c r="AM13" s="96" t="inlineStr">
        <is>
          <t>TBKK97</t>
        </is>
      </c>
      <c r="AN13" s="96" t="inlineStr">
        <is>
          <t>Arunphat W. (Aiw)</t>
        </is>
      </c>
      <c r="AO13" s="96" t="inlineStr">
        <is>
          <t xml:space="preserve">AGRICULTURAL MACHINERY AND EQUIPMENT </t>
        </is>
      </c>
      <c r="AP13" s="96" t="inlineStr">
        <is>
          <t>T/S</t>
        </is>
      </c>
      <c r="AQ13" s="97" t="n"/>
      <c r="AR13" s="97" t="n"/>
      <c r="AS13" s="97" t="n"/>
      <c r="AT13" s="97" t="n"/>
      <c r="AU13" s="97" t="n"/>
      <c r="AV13" s="97" t="n"/>
      <c r="AW13" s="97" t="n">
        <v>0</v>
      </c>
      <c r="AX13" s="96" t="inlineStr">
        <is>
          <t>N</t>
        </is>
      </c>
      <c r="AY13" s="97" t="inlineStr">
        <is>
          <t>OBL</t>
        </is>
      </c>
      <c r="AZ13" s="96" t="inlineStr">
        <is>
          <t>[FIX]Pickup : 2026-10-15, Return : 2026-10-16 // FM SWAL 2609N BY HAL DD.14/10</t>
        </is>
      </c>
      <c r="BA13" s="97" t="inlineStr">
        <is>
          <t>ROLL OVER FROM PREVIOUS VSL SKOR 2612N BY ALLOCAITON TEAM MS.TARN APPROVED COST IS UNDER HA DD.16/10
FM POD: JPNAH DD.25/09/26
FM SWAL 2609N BY HAL DD.14/10</t>
        </is>
      </c>
      <c r="BB13" s="96" t="inlineStr">
        <is>
          <t>P</t>
        </is>
      </c>
      <c r="BC13" s="161" t="inlineStr">
        <is>
          <t>2026-09-18</t>
        </is>
      </c>
      <c r="BD13" s="161" t="inlineStr">
        <is>
          <t>2026-10-19</t>
        </is>
      </c>
      <c r="BE13" s="96" t="inlineStr">
        <is>
          <t>Y</t>
        </is>
      </c>
      <c r="BF13" s="96" t="inlineStr">
        <is>
          <t xml:space="preserve">AGRICULTURAL MACHINERY AND EQUIPMENT </t>
        </is>
      </c>
      <c r="BG13" s="96" t="inlineStr">
        <is>
          <t>Line</t>
        </is>
      </c>
      <c r="BH13" s="96" t="inlineStr">
        <is>
          <t>S22</t>
        </is>
      </c>
      <c r="BI13" s="97" t="n"/>
      <c r="BJ13" s="97" t="n"/>
      <c r="BK13" s="96" t="inlineStr">
        <is>
          <t>LCHY5</t>
        </is>
      </c>
      <c r="BL13" s="161" t="inlineStr">
        <is>
          <t>2026-10-15</t>
        </is>
      </c>
      <c r="BM13" s="127" t="n"/>
      <c r="BN13" s="127" t="n"/>
      <c r="BO13" s="127" t="n"/>
      <c r="BP13" s="127" t="n">
        <v>1</v>
      </c>
      <c r="BQ13" s="127" t="n"/>
      <c r="BR13" s="127" t="n"/>
      <c r="BS13" s="127" t="n"/>
      <c r="BT13" s="127" t="n"/>
      <c r="BU13" s="127" t="n"/>
      <c r="BV13" s="127" t="n"/>
      <c r="BW13" s="127" t="n"/>
      <c r="BX13" s="127" t="n"/>
      <c r="BY13" s="96" t="inlineStr">
        <is>
          <t>FULL</t>
        </is>
      </c>
      <c r="BZ13" s="97" t="n">
        <v>6</v>
      </c>
      <c r="CA13" s="96" t="inlineStr">
        <is>
          <t>Y</t>
        </is>
      </c>
      <c r="CB13" s="97" t="n"/>
      <c r="CC13" s="96" t="inlineStr">
        <is>
          <t>LCH04</t>
        </is>
      </c>
      <c r="CD13" s="97" t="n"/>
      <c r="CE13" s="97" t="n"/>
      <c r="CF13" s="96" t="inlineStr">
        <is>
          <t>0 Teu</t>
        </is>
      </c>
      <c r="CG13" s="96" t="inlineStr">
        <is>
          <t>CY/CY</t>
        </is>
      </c>
      <c r="CH13" s="97" t="inlineStr">
        <is>
          <t>POL: THLCH [KJT/2611N]; T/S(1st): KRPUS [DJFS/0752S]; POD: JPHKT [/]</t>
        </is>
      </c>
      <c r="CI13" s="96" t="inlineStr">
        <is>
          <t>S.JIRAPARK@BKK.LOGIMARK-GROUP.COM</t>
        </is>
      </c>
      <c r="CJ13" s="96" t="inlineStr">
        <is>
          <t>LOGIMARK INTERNATIONAL LIMITED</t>
        </is>
      </c>
      <c r="CK13" s="96" t="inlineStr">
        <is>
          <t>IS JAPAN CO.,LTD.</t>
        </is>
      </c>
      <c r="CL13" s="96" t="inlineStr">
        <is>
          <t>IS JAPAN CO.,LTD.</t>
        </is>
      </c>
      <c r="CM13" s="97" t="inlineStr">
        <is>
          <t>CLOSED</t>
        </is>
      </c>
      <c r="CN13" s="96" t="inlineStr">
        <is>
          <t>202610161200</t>
        </is>
      </c>
      <c r="CO13" s="96" t="inlineStr">
        <is>
          <t>202610181700</t>
        </is>
      </c>
      <c r="CP13" s="97" t="n"/>
      <c r="CQ13" s="96" t="inlineStr">
        <is>
          <t>S22-2604014</t>
        </is>
      </c>
      <c r="CR13" s="96" t="inlineStr">
        <is>
          <t>THTPUY</t>
        </is>
      </c>
      <c r="CS13" s="96" t="inlineStr">
        <is>
          <t>LOGIMARK INTERNATIONAL LIMITED</t>
        </is>
      </c>
      <c r="CT13" s="96" t="inlineStr">
        <is>
          <t>N</t>
        </is>
      </c>
      <c r="CU13" s="97" t="n"/>
      <c r="CV13" s="97" t="n"/>
      <c r="CW13" s="161" t="inlineStr">
        <is>
          <t>2026-10-21</t>
        </is>
      </c>
      <c r="CX13" s="97" t="inlineStr">
        <is>
          <t>843229</t>
        </is>
      </c>
      <c r="CY13" s="183" t="inlineStr">
        <is>
          <t>ROLL OVER FROM PREVIOUS VSL SKOR 2612N BY ALLOCAITON TEAM MS.TARN APPROVED COST IS UNDER HA DD.16/10</t>
        </is>
      </c>
    </row>
    <row r="14" ht="12" customHeight="1">
      <c r="A14" s="116" t="inlineStr">
        <is>
          <t>HASLS22261000416</t>
        </is>
      </c>
      <c r="B14" s="96" t="inlineStr">
        <is>
          <t>40Hx1</t>
        </is>
      </c>
      <c r="C14" s="97" t="n">
        <v>1</v>
      </c>
      <c r="D14" s="97" t="n">
        <v>1</v>
      </c>
      <c r="E14" s="97" t="n"/>
      <c r="F14" s="97" t="n">
        <v>0</v>
      </c>
      <c r="G14" s="97" t="n">
        <v>0</v>
      </c>
      <c r="H14" s="97" t="n">
        <v>0</v>
      </c>
      <c r="I14" s="97" t="n">
        <v>1</v>
      </c>
      <c r="J14" s="97" t="n">
        <v>2</v>
      </c>
      <c r="K14" s="96" t="inlineStr">
        <is>
          <t>N</t>
        </is>
      </c>
      <c r="L14" s="96" t="inlineStr">
        <is>
          <t>KTS1</t>
        </is>
      </c>
      <c r="M14" s="96" t="inlineStr">
        <is>
          <t>KJT</t>
        </is>
      </c>
      <c r="N14" s="96" t="inlineStr">
        <is>
          <t>2611N</t>
        </is>
      </c>
      <c r="O14" s="96" t="inlineStr">
        <is>
          <t>THLCH</t>
        </is>
      </c>
      <c r="P14" s="96" t="inlineStr">
        <is>
          <t>LCH04</t>
        </is>
      </c>
      <c r="Q14" s="96" t="inlineStr">
        <is>
          <t>IA</t>
        </is>
      </c>
      <c r="R14" s="161" t="inlineStr">
        <is>
          <t>2026-10-21</t>
        </is>
      </c>
      <c r="S14" s="96" t="inlineStr">
        <is>
          <t>HKHKG</t>
        </is>
      </c>
      <c r="T14" s="96" t="inlineStr">
        <is>
          <t>HKG03</t>
        </is>
      </c>
      <c r="U14" s="96" t="inlineStr">
        <is>
          <t>HKHKG</t>
        </is>
      </c>
      <c r="V14" s="161" t="inlineStr">
        <is>
          <t>2026-10-25</t>
        </is>
      </c>
      <c r="W14" s="96" t="inlineStr">
        <is>
          <t>IA</t>
        </is>
      </c>
      <c r="X14" s="97" t="n"/>
      <c r="Y14" s="97" t="n"/>
      <c r="Z14" s="97" t="n"/>
      <c r="AA14" s="96" t="inlineStr">
        <is>
          <t>YUSEN LOGISTICS (THAILAND) CO., LTD.</t>
        </is>
      </c>
      <c r="AB14" s="96" t="inlineStr">
        <is>
          <t>ENT (THAILAND) CO.,LTD.</t>
        </is>
      </c>
      <c r="AC14" s="163" t="n">
        <v>3500</v>
      </c>
      <c r="AD14" s="163" t="n">
        <v>7500</v>
      </c>
      <c r="AE14" s="96" t="inlineStr">
        <is>
          <t>OK</t>
        </is>
      </c>
      <c r="AF14" s="96" t="n"/>
      <c r="AG14" s="97" t="n"/>
      <c r="AH14" s="96" t="inlineStr">
        <is>
          <t>CHK</t>
        </is>
      </c>
      <c r="AI14" s="97" t="inlineStr">
        <is>
          <t>OK</t>
        </is>
      </c>
      <c r="AJ14" s="97" t="n"/>
      <c r="AK14" s="97" t="n"/>
      <c r="AL14" s="97" t="n"/>
      <c r="AM14" s="96" t="inlineStr">
        <is>
          <t>TBKK55</t>
        </is>
      </c>
      <c r="AN14" s="96" t="inlineStr">
        <is>
          <t>Vilaiporn</t>
        </is>
      </c>
      <c r="AO14" s="96" t="inlineStr">
        <is>
          <t>MASTER CARTON, INDIVIDUAL PACAGING CARTON</t>
        </is>
      </c>
      <c r="AP14" s="96" t="inlineStr">
        <is>
          <t>Normal</t>
        </is>
      </c>
      <c r="AQ14" s="97" t="n"/>
      <c r="AR14" s="97" t="n"/>
      <c r="AS14" s="97" t="n"/>
      <c r="AT14" s="97" t="n"/>
      <c r="AU14" s="97" t="n"/>
      <c r="AV14" s="97" t="n"/>
      <c r="AW14" s="97" t="n">
        <v>0</v>
      </c>
      <c r="AX14" s="96" t="inlineStr">
        <is>
          <t>N</t>
        </is>
      </c>
      <c r="AY14" s="97" t="inlineStr">
        <is>
          <t>OBL</t>
        </is>
      </c>
      <c r="AZ14" s="96" t="inlineStr">
        <is>
          <t>Pickup : 2026-10-14, Return : 2026-10-14 (1ST RTN DD: 15/10/26 WO/RENT)</t>
        </is>
      </c>
      <c r="BA14" s="97" t="inlineStr">
        <is>
          <t>10 TONS  / CONT. 
FM 2X40HQ 08/10
FM KMTP 2612N 08/10</t>
        </is>
      </c>
      <c r="BB14" s="96" t="inlineStr">
        <is>
          <t>P</t>
        </is>
      </c>
      <c r="BC14" s="161" t="inlineStr">
        <is>
          <t>2026-10-06</t>
        </is>
      </c>
      <c r="BD14" s="161" t="inlineStr">
        <is>
          <t>2026-10-19</t>
        </is>
      </c>
      <c r="BE14" s="96" t="inlineStr">
        <is>
          <t>Y</t>
        </is>
      </c>
      <c r="BF14" s="96" t="inlineStr">
        <is>
          <t xml:space="preserve">INDIVIDUAL PACAGING CARTON </t>
        </is>
      </c>
      <c r="BG14" s="96" t="inlineStr">
        <is>
          <t>Line</t>
        </is>
      </c>
      <c r="BH14" s="96" t="inlineStr">
        <is>
          <t>S22</t>
        </is>
      </c>
      <c r="BI14" s="97" t="n"/>
      <c r="BJ14" s="97" t="n"/>
      <c r="BK14" s="96" t="inlineStr">
        <is>
          <t>LCHY5</t>
        </is>
      </c>
      <c r="BL14" s="161" t="inlineStr">
        <is>
          <t>2026-10-14</t>
        </is>
      </c>
      <c r="BM14" s="127" t="n"/>
      <c r="BN14" s="127" t="n"/>
      <c r="BO14" s="127" t="n"/>
      <c r="BP14" s="127" t="n">
        <v>1</v>
      </c>
      <c r="BQ14" s="127" t="n"/>
      <c r="BR14" s="127" t="n"/>
      <c r="BS14" s="127" t="n"/>
      <c r="BT14" s="127" t="n"/>
      <c r="BU14" s="127" t="n"/>
      <c r="BV14" s="127" t="n"/>
      <c r="BW14" s="127" t="n"/>
      <c r="BX14" s="127" t="n"/>
      <c r="BY14" s="96" t="inlineStr">
        <is>
          <t>FULL</t>
        </is>
      </c>
      <c r="BZ14" s="97" t="n"/>
      <c r="CA14" s="96" t="inlineStr">
        <is>
          <t>Y</t>
        </is>
      </c>
      <c r="CB14" s="97" t="n"/>
      <c r="CC14" s="96" t="inlineStr">
        <is>
          <t>LCH04</t>
        </is>
      </c>
      <c r="CD14" s="97" t="n"/>
      <c r="CE14" s="97" t="n"/>
      <c r="CF14" s="96" t="inlineStr">
        <is>
          <t>0 Teu</t>
        </is>
      </c>
      <c r="CG14" s="96" t="inlineStr">
        <is>
          <t>CY/CY</t>
        </is>
      </c>
      <c r="CH14" s="97" t="n"/>
      <c r="CI14" s="96" t="inlineStr">
        <is>
          <t>JIRAWAT.H@th.yusen-logistics.com</t>
        </is>
      </c>
      <c r="CJ14" s="96" t="inlineStr">
        <is>
          <t>YUSEN LOGISTICS (THAILAND) CO., LTD</t>
        </is>
      </c>
      <c r="CK14" s="96" t="inlineStr">
        <is>
          <t>YUSEN LOGISTICS (HONG KONG) LTD.</t>
        </is>
      </c>
      <c r="CL14" s="96" t="inlineStr">
        <is>
          <t>YUSEN LOGISTICS (HONG KONG) LTD.</t>
        </is>
      </c>
      <c r="CM14" s="97" t="inlineStr">
        <is>
          <t>CLOSED</t>
        </is>
      </c>
      <c r="CN14" s="96" t="inlineStr">
        <is>
          <t>202610161200</t>
        </is>
      </c>
      <c r="CO14" s="96" t="inlineStr">
        <is>
          <t>202610181700</t>
        </is>
      </c>
      <c r="CP14" s="97" t="n"/>
      <c r="CQ14" s="96" t="inlineStr">
        <is>
          <t>S19-2112038</t>
        </is>
      </c>
      <c r="CR14" s="96" t="inlineStr">
        <is>
          <t>TH03TL</t>
        </is>
      </c>
      <c r="CS14" s="96" t="inlineStr">
        <is>
          <t>YUSEN LOGISTICS (THAILAND) CO., LTD.</t>
        </is>
      </c>
      <c r="CT14" s="96" t="inlineStr">
        <is>
          <t>N</t>
        </is>
      </c>
      <c r="CU14" s="97" t="n"/>
      <c r="CV14" s="97" t="n"/>
      <c r="CW14" s="161" t="inlineStr">
        <is>
          <t>2026-10-19</t>
        </is>
      </c>
      <c r="CX14" s="97" t="n"/>
      <c r="CY14" s="183" t="n"/>
    </row>
    <row r="15" ht="12" customHeight="1">
      <c r="A15" s="116" t="inlineStr">
        <is>
          <t>HASLS22260902515</t>
        </is>
      </c>
      <c r="B15" s="96" t="inlineStr">
        <is>
          <t>40Hx1</t>
        </is>
      </c>
      <c r="C15" s="97" t="n">
        <v>1</v>
      </c>
      <c r="D15" s="97" t="n">
        <v>1</v>
      </c>
      <c r="E15" s="97" t="n"/>
      <c r="F15" s="97" t="n">
        <v>0</v>
      </c>
      <c r="G15" s="97" t="n">
        <v>0</v>
      </c>
      <c r="H15" s="97" t="n">
        <v>0</v>
      </c>
      <c r="I15" s="97" t="n">
        <v>1</v>
      </c>
      <c r="J15" s="97" t="n">
        <v>2</v>
      </c>
      <c r="K15" s="96" t="inlineStr">
        <is>
          <t>N</t>
        </is>
      </c>
      <c r="L15" s="96" t="inlineStr">
        <is>
          <t>KTS1</t>
        </is>
      </c>
      <c r="M15" s="96" t="inlineStr">
        <is>
          <t>KJT</t>
        </is>
      </c>
      <c r="N15" s="96" t="inlineStr">
        <is>
          <t>2611N</t>
        </is>
      </c>
      <c r="O15" s="96" t="inlineStr">
        <is>
          <t>THLCH</t>
        </is>
      </c>
      <c r="P15" s="96" t="inlineStr">
        <is>
          <t>LCH04</t>
        </is>
      </c>
      <c r="Q15" s="96" t="inlineStr">
        <is>
          <t>IA</t>
        </is>
      </c>
      <c r="R15" s="161" t="inlineStr">
        <is>
          <t>2026-10-21</t>
        </is>
      </c>
      <c r="S15" s="96" t="inlineStr">
        <is>
          <t>HKHKG</t>
        </is>
      </c>
      <c r="T15" s="96" t="inlineStr">
        <is>
          <t>HKG03</t>
        </is>
      </c>
      <c r="U15" s="96" t="inlineStr">
        <is>
          <t>HKHKG</t>
        </is>
      </c>
      <c r="V15" s="161" t="inlineStr">
        <is>
          <t>2026-10-25</t>
        </is>
      </c>
      <c r="W15" s="96" t="inlineStr">
        <is>
          <t>IA</t>
        </is>
      </c>
      <c r="X15" s="97" t="n"/>
      <c r="Y15" s="97" t="n"/>
      <c r="Z15" s="97" t="n"/>
      <c r="AA15" s="96" t="inlineStr">
        <is>
          <t>DOLPHIN LOGISTICS (THAILAND) CO., LTD.</t>
        </is>
      </c>
      <c r="AB15" s="96" t="inlineStr">
        <is>
          <t>PRIMAX ELECTRONICS (THAILAND) CO.,LTD.</t>
        </is>
      </c>
      <c r="AC15" s="163" t="n">
        <v>8630.92</v>
      </c>
      <c r="AD15" s="163" t="n">
        <v>12630.92</v>
      </c>
      <c r="AE15" s="96" t="inlineStr">
        <is>
          <t>OK</t>
        </is>
      </c>
      <c r="AF15" s="96" t="inlineStr">
        <is>
          <t>SR</t>
        </is>
      </c>
      <c r="AG15" s="97" t="n"/>
      <c r="AH15" s="96" t="inlineStr">
        <is>
          <t>CHK</t>
        </is>
      </c>
      <c r="AI15" s="97" t="inlineStr">
        <is>
          <t>OK</t>
        </is>
      </c>
      <c r="AJ15" s="97" t="n"/>
      <c r="AK15" s="97" t="n"/>
      <c r="AL15" s="97" t="n"/>
      <c r="AM15" s="96" t="inlineStr">
        <is>
          <t>TH0042</t>
        </is>
      </c>
      <c r="AN15" s="96" t="inlineStr">
        <is>
          <t>Sukunpoj Damrongying</t>
        </is>
      </c>
      <c r="AO15" s="96" t="inlineStr">
        <is>
          <t>GAMING MOUSE</t>
        </is>
      </c>
      <c r="AP15" s="96" t="inlineStr">
        <is>
          <t>Normal</t>
        </is>
      </c>
      <c r="AQ15" s="97" t="n"/>
      <c r="AR15" s="97" t="n"/>
      <c r="AS15" s="97" t="n"/>
      <c r="AT15" s="97" t="n"/>
      <c r="AU15" s="97" t="n"/>
      <c r="AV15" s="97" t="n"/>
      <c r="AW15" s="97" t="n">
        <v>0</v>
      </c>
      <c r="AX15" s="96" t="inlineStr">
        <is>
          <t>N</t>
        </is>
      </c>
      <c r="AY15" s="97" t="inlineStr">
        <is>
          <t>OBL</t>
        </is>
      </c>
      <c r="AZ15" s="96" t="inlineStr">
        <is>
          <t xml:space="preserve">Pickup : 2026-10-16, Return : 2026-10-16 
 ** PLEASE CHECK OPEN GATE BEFORE RETURN CNTR **
</t>
        </is>
      </c>
      <c r="BA15" s="97" t="inlineStr">
        <is>
          <t>FM 2X40HC DD 15/10 
FM CMA 2615N DD 06/10 
FM SWDN 2610N &amp; 1X40HC DD 28/09 
 request good, clean and no leak container</t>
        </is>
      </c>
      <c r="BB15" s="96" t="inlineStr">
        <is>
          <t>P</t>
        </is>
      </c>
      <c r="BC15" s="161" t="inlineStr">
        <is>
          <t>2026-09-28</t>
        </is>
      </c>
      <c r="BD15" s="161" t="inlineStr">
        <is>
          <t>2026-10-19</t>
        </is>
      </c>
      <c r="BE15" s="96" t="inlineStr">
        <is>
          <t>Y</t>
        </is>
      </c>
      <c r="BF15" s="96" t="inlineStr">
        <is>
          <t>GAMING MOUSE</t>
        </is>
      </c>
      <c r="BG15" s="96" t="inlineStr">
        <is>
          <t>Line</t>
        </is>
      </c>
      <c r="BH15" s="96" t="inlineStr">
        <is>
          <t>S22</t>
        </is>
      </c>
      <c r="BI15" s="97" t="n"/>
      <c r="BJ15" s="97" t="n"/>
      <c r="BK15" s="96" t="inlineStr">
        <is>
          <t>LCHY5</t>
        </is>
      </c>
      <c r="BL15" s="161" t="inlineStr">
        <is>
          <t>2026-10-16</t>
        </is>
      </c>
      <c r="BM15" s="127" t="n"/>
      <c r="BN15" s="127" t="n"/>
      <c r="BO15" s="127" t="n"/>
      <c r="BP15" s="127" t="n">
        <v>1</v>
      </c>
      <c r="BQ15" s="127" t="n"/>
      <c r="BR15" s="127" t="n"/>
      <c r="BS15" s="127" t="n"/>
      <c r="BT15" s="127" t="n"/>
      <c r="BU15" s="127" t="n"/>
      <c r="BV15" s="127" t="n"/>
      <c r="BW15" s="127" t="n"/>
      <c r="BX15" s="127" t="n"/>
      <c r="BY15" s="96" t="inlineStr">
        <is>
          <t>FULL</t>
        </is>
      </c>
      <c r="BZ15" s="97" t="n"/>
      <c r="CA15" s="96" t="inlineStr">
        <is>
          <t>Y</t>
        </is>
      </c>
      <c r="CB15" s="97" t="n"/>
      <c r="CC15" s="96" t="inlineStr">
        <is>
          <t>LCH04</t>
        </is>
      </c>
      <c r="CD15" s="97" t="n"/>
      <c r="CE15" s="97" t="n"/>
      <c r="CF15" s="96" t="inlineStr">
        <is>
          <t>0 Teu</t>
        </is>
      </c>
      <c r="CG15" s="96" t="inlineStr">
        <is>
          <t>CY/CY</t>
        </is>
      </c>
      <c r="CH15" s="97" t="n"/>
      <c r="CI15" s="96" t="inlineStr">
        <is>
          <t>dolphin-th-exp@dolphinth.com</t>
        </is>
      </c>
      <c r="CJ15" s="96" t="inlineStr">
        <is>
          <t>DOLPHIN LOGISTICS (THAILAND)</t>
        </is>
      </c>
      <c r="CK15" s="96" t="inlineStr">
        <is>
          <t>SIG FAI TRANSPORTATION COMPANY</t>
        </is>
      </c>
      <c r="CL15" s="96" t="inlineStr">
        <is>
          <t>SIG FAI TRANSPORTATION COMPANY</t>
        </is>
      </c>
      <c r="CM15" s="97" t="inlineStr">
        <is>
          <t>CLOSED</t>
        </is>
      </c>
      <c r="CN15" s="96" t="inlineStr">
        <is>
          <t>202610161200</t>
        </is>
      </c>
      <c r="CO15" s="96" t="inlineStr">
        <is>
          <t>202610181700</t>
        </is>
      </c>
      <c r="CP15" s="97" t="n"/>
      <c r="CQ15" s="96" t="inlineStr">
        <is>
          <t>S22-2308056</t>
        </is>
      </c>
      <c r="CR15" s="96" t="inlineStr">
        <is>
          <t>TH018T</t>
        </is>
      </c>
      <c r="CS15" s="96" t="inlineStr">
        <is>
          <t>DOLPHIN LOGISTICS (THAILAND) CO., LTD.</t>
        </is>
      </c>
      <c r="CT15" s="96" t="inlineStr">
        <is>
          <t>N</t>
        </is>
      </c>
      <c r="CU15" s="97" t="n"/>
      <c r="CV15" s="97" t="n"/>
      <c r="CW15" s="161" t="inlineStr">
        <is>
          <t>2026-10-20</t>
        </is>
      </c>
      <c r="CX15" s="97" t="n"/>
      <c r="CY15" s="183" t="n"/>
    </row>
    <row r="16" ht="12" customHeight="1">
      <c r="A16" s="116" t="inlineStr">
        <is>
          <t>HASLS22261000653</t>
        </is>
      </c>
      <c r="B16" s="96" t="inlineStr">
        <is>
          <t>40Hx1</t>
        </is>
      </c>
      <c r="C16" s="97" t="n">
        <v>1</v>
      </c>
      <c r="D16" s="97" t="n">
        <v>1</v>
      </c>
      <c r="E16" s="97" t="n"/>
      <c r="F16" s="97" t="n">
        <v>0</v>
      </c>
      <c r="G16" s="97" t="n">
        <v>0</v>
      </c>
      <c r="H16" s="97" t="n">
        <v>0</v>
      </c>
      <c r="I16" s="97" t="n">
        <v>1</v>
      </c>
      <c r="J16" s="97" t="n">
        <v>2</v>
      </c>
      <c r="K16" s="96" t="inlineStr">
        <is>
          <t>N</t>
        </is>
      </c>
      <c r="L16" s="96" t="inlineStr">
        <is>
          <t>KTS1</t>
        </is>
      </c>
      <c r="M16" s="96" t="inlineStr">
        <is>
          <t>KJT</t>
        </is>
      </c>
      <c r="N16" s="96" t="inlineStr">
        <is>
          <t>2611N</t>
        </is>
      </c>
      <c r="O16" s="96" t="inlineStr">
        <is>
          <t>THLCH</t>
        </is>
      </c>
      <c r="P16" s="96" t="inlineStr">
        <is>
          <t>LCH04</t>
        </is>
      </c>
      <c r="Q16" s="96" t="inlineStr">
        <is>
          <t>IA</t>
        </is>
      </c>
      <c r="R16" s="161" t="inlineStr">
        <is>
          <t>2026-10-21</t>
        </is>
      </c>
      <c r="S16" s="96" t="inlineStr">
        <is>
          <t>HKHKG</t>
        </is>
      </c>
      <c r="T16" s="96" t="inlineStr">
        <is>
          <t>HKG03</t>
        </is>
      </c>
      <c r="U16" s="96" t="inlineStr">
        <is>
          <t>HKHKG</t>
        </is>
      </c>
      <c r="V16" s="161" t="inlineStr">
        <is>
          <t>2026-10-25</t>
        </is>
      </c>
      <c r="W16" s="96" t="inlineStr">
        <is>
          <t>IA</t>
        </is>
      </c>
      <c r="X16" s="97" t="n"/>
      <c r="Y16" s="97" t="n"/>
      <c r="Z16" s="97" t="n"/>
      <c r="AA16" s="96" t="inlineStr">
        <is>
          <t>DOLPHIN LOGISTICS (THAILAND) CO., LTD.</t>
        </is>
      </c>
      <c r="AB16" s="96" t="inlineStr">
        <is>
          <t>PRIMAX ELECTRONICS (THAILAND) CO.,LTD.</t>
        </is>
      </c>
      <c r="AC16" s="163" t="n">
        <v>5973.79</v>
      </c>
      <c r="AD16" s="163" t="n">
        <v>9973.790000000001</v>
      </c>
      <c r="AE16" s="96" t="inlineStr">
        <is>
          <t>OK</t>
        </is>
      </c>
      <c r="AF16" s="96" t="inlineStr">
        <is>
          <t>SR</t>
        </is>
      </c>
      <c r="AG16" s="97" t="n"/>
      <c r="AH16" s="96" t="inlineStr">
        <is>
          <t>CHK</t>
        </is>
      </c>
      <c r="AI16" s="97" t="inlineStr">
        <is>
          <t>OK</t>
        </is>
      </c>
      <c r="AJ16" s="97" t="n"/>
      <c r="AK16" s="97" t="n"/>
      <c r="AL16" s="97" t="n"/>
      <c r="AM16" s="96" t="inlineStr">
        <is>
          <t>TH0042</t>
        </is>
      </c>
      <c r="AN16" s="96" t="inlineStr">
        <is>
          <t>Sukunpoj Damrongying</t>
        </is>
      </c>
      <c r="AO16" s="96" t="inlineStr">
        <is>
          <t>GAMING MOUSE</t>
        </is>
      </c>
      <c r="AP16" s="96" t="inlineStr">
        <is>
          <t>Normal</t>
        </is>
      </c>
      <c r="AQ16" s="97" t="n"/>
      <c r="AR16" s="97" t="n"/>
      <c r="AS16" s="97" t="n"/>
      <c r="AT16" s="97" t="n"/>
      <c r="AU16" s="97" t="n"/>
      <c r="AV16" s="97" t="n"/>
      <c r="AW16" s="97" t="n">
        <v>0</v>
      </c>
      <c r="AX16" s="96" t="inlineStr">
        <is>
          <t>N</t>
        </is>
      </c>
      <c r="AY16" s="97" t="inlineStr">
        <is>
          <t>OBL</t>
        </is>
      </c>
      <c r="AZ16" s="96" t="inlineStr">
        <is>
          <t xml:space="preserve">Pickup : 2026-10-17, Return : 2026-10-17
** PLEASE CHECK OPEN GATE BEFORE RETURN CNTR **
</t>
        </is>
      </c>
      <c r="BA16" s="97" t="inlineStr">
        <is>
          <t>REQUEST GOOD, CLEAN AND NO LEAK CONTAINER</t>
        </is>
      </c>
      <c r="BB16" s="96" t="inlineStr">
        <is>
          <t>P</t>
        </is>
      </c>
      <c r="BC16" s="161" t="inlineStr">
        <is>
          <t>2026-10-08</t>
        </is>
      </c>
      <c r="BD16" s="161" t="inlineStr">
        <is>
          <t>2026-10-19</t>
        </is>
      </c>
      <c r="BE16" s="96" t="inlineStr">
        <is>
          <t>Y</t>
        </is>
      </c>
      <c r="BF16" s="96" t="inlineStr">
        <is>
          <t>GAMING MOUSE</t>
        </is>
      </c>
      <c r="BG16" s="96" t="inlineStr">
        <is>
          <t>Line</t>
        </is>
      </c>
      <c r="BH16" s="96" t="inlineStr">
        <is>
          <t>S22</t>
        </is>
      </c>
      <c r="BI16" s="97" t="n"/>
      <c r="BJ16" s="97" t="n"/>
      <c r="BK16" s="96" t="inlineStr">
        <is>
          <t>LCHY5</t>
        </is>
      </c>
      <c r="BL16" s="161" t="inlineStr">
        <is>
          <t>2026-10-17</t>
        </is>
      </c>
      <c r="BM16" s="127" t="n"/>
      <c r="BN16" s="127" t="n"/>
      <c r="BO16" s="127" t="n"/>
      <c r="BP16" s="127" t="n">
        <v>1</v>
      </c>
      <c r="BQ16" s="127" t="n"/>
      <c r="BR16" s="127" t="n"/>
      <c r="BS16" s="127" t="n"/>
      <c r="BT16" s="127" t="n"/>
      <c r="BU16" s="127" t="n"/>
      <c r="BV16" s="127" t="n"/>
      <c r="BW16" s="127" t="n"/>
      <c r="BX16" s="127" t="n"/>
      <c r="BY16" s="96" t="inlineStr">
        <is>
          <t>FULL</t>
        </is>
      </c>
      <c r="BZ16" s="97" t="n"/>
      <c r="CA16" s="96" t="inlineStr">
        <is>
          <t>Y</t>
        </is>
      </c>
      <c r="CB16" s="97" t="n"/>
      <c r="CC16" s="96" t="inlineStr">
        <is>
          <t>LCH04</t>
        </is>
      </c>
      <c r="CD16" s="97" t="n"/>
      <c r="CE16" s="97" t="n"/>
      <c r="CF16" s="96" t="inlineStr">
        <is>
          <t>0 Teu</t>
        </is>
      </c>
      <c r="CG16" s="96" t="inlineStr">
        <is>
          <t>CY/CY</t>
        </is>
      </c>
      <c r="CH16" s="97" t="n"/>
      <c r="CI16" s="96" t="inlineStr">
        <is>
          <t>dolphin-th-exp@dolphinth.com</t>
        </is>
      </c>
      <c r="CJ16" s="96" t="inlineStr">
        <is>
          <t>DOLPHIN LOGISTICS (THAILAND)</t>
        </is>
      </c>
      <c r="CK16" s="96" t="inlineStr">
        <is>
          <t>SIG FAI TRANSPORTATION COMPANY</t>
        </is>
      </c>
      <c r="CL16" s="96" t="inlineStr">
        <is>
          <t>SIG FAI TRANSPORTATION COMPANY</t>
        </is>
      </c>
      <c r="CM16" s="97" t="inlineStr">
        <is>
          <t>CLOSED</t>
        </is>
      </c>
      <c r="CN16" s="96" t="inlineStr">
        <is>
          <t>202610161200</t>
        </is>
      </c>
      <c r="CO16" s="96" t="inlineStr">
        <is>
          <t>202610181700</t>
        </is>
      </c>
      <c r="CP16" s="97" t="n"/>
      <c r="CQ16" s="96" t="inlineStr">
        <is>
          <t>S22-2308056</t>
        </is>
      </c>
      <c r="CR16" s="96" t="inlineStr">
        <is>
          <t>TH018T</t>
        </is>
      </c>
      <c r="CS16" s="96" t="inlineStr">
        <is>
          <t>DOLPHIN LOGISTICS (THAILAND) CO., LTD.</t>
        </is>
      </c>
      <c r="CT16" s="96" t="inlineStr">
        <is>
          <t>N</t>
        </is>
      </c>
      <c r="CU16" s="97" t="n"/>
      <c r="CV16" s="97" t="n"/>
      <c r="CW16" s="161" t="inlineStr">
        <is>
          <t>2026-10-19</t>
        </is>
      </c>
      <c r="CX16" s="97" t="n"/>
      <c r="CY16" s="183" t="n"/>
    </row>
    <row r="17" ht="12" customHeight="1">
      <c r="A17" s="116" t="inlineStr">
        <is>
          <t>HASLS22260902689</t>
        </is>
      </c>
      <c r="B17" s="96" t="inlineStr">
        <is>
          <t>40Hx1</t>
        </is>
      </c>
      <c r="C17" s="97" t="n">
        <v>1</v>
      </c>
      <c r="D17" s="97" t="n">
        <v>1</v>
      </c>
      <c r="E17" s="97" t="n"/>
      <c r="F17" s="97" t="n">
        <v>0</v>
      </c>
      <c r="G17" s="97" t="n">
        <v>0</v>
      </c>
      <c r="H17" s="97" t="n">
        <v>0</v>
      </c>
      <c r="I17" s="97" t="n">
        <v>1</v>
      </c>
      <c r="J17" s="97" t="n">
        <v>2</v>
      </c>
      <c r="K17" s="96" t="inlineStr">
        <is>
          <t>N</t>
        </is>
      </c>
      <c r="L17" s="96" t="inlineStr">
        <is>
          <t>KTS1</t>
        </is>
      </c>
      <c r="M17" s="96" t="inlineStr">
        <is>
          <t>KJT</t>
        </is>
      </c>
      <c r="N17" s="96" t="inlineStr">
        <is>
          <t>2611N</t>
        </is>
      </c>
      <c r="O17" s="96" t="inlineStr">
        <is>
          <t>THLCH</t>
        </is>
      </c>
      <c r="P17" s="96" t="inlineStr">
        <is>
          <t>LCH04</t>
        </is>
      </c>
      <c r="Q17" s="96" t="inlineStr">
        <is>
          <t>IA</t>
        </is>
      </c>
      <c r="R17" s="161" t="inlineStr">
        <is>
          <t>2026-10-21</t>
        </is>
      </c>
      <c r="S17" s="96" t="inlineStr">
        <is>
          <t>HKHKG</t>
        </is>
      </c>
      <c r="T17" s="96" t="inlineStr">
        <is>
          <t>HKG03</t>
        </is>
      </c>
      <c r="U17" s="96" t="inlineStr">
        <is>
          <t>HKHKG</t>
        </is>
      </c>
      <c r="V17" s="161" t="inlineStr">
        <is>
          <t>2026-10-25</t>
        </is>
      </c>
      <c r="W17" s="96" t="inlineStr">
        <is>
          <t>IA</t>
        </is>
      </c>
      <c r="X17" s="97" t="n"/>
      <c r="Y17" s="97" t="n"/>
      <c r="Z17" s="97" t="n"/>
      <c r="AA17" s="96" t="inlineStr">
        <is>
          <t>YUSEN LOGISTICS (THAILAND) CO., LTD.</t>
        </is>
      </c>
      <c r="AB17" s="96" t="inlineStr">
        <is>
          <t>ISUZU MOTORS INTERNATIONAL OPERATIONS (THAILAND) COMPANY LIM</t>
        </is>
      </c>
      <c r="AC17" s="163" t="n">
        <v>2304.146</v>
      </c>
      <c r="AD17" s="163" t="n">
        <v>6304.146</v>
      </c>
      <c r="AE17" s="96" t="inlineStr">
        <is>
          <t>OK</t>
        </is>
      </c>
      <c r="AF17" s="96" t="n"/>
      <c r="AG17" s="97" t="n"/>
      <c r="AH17" s="96" t="inlineStr">
        <is>
          <t>CHK</t>
        </is>
      </c>
      <c r="AI17" s="97" t="inlineStr">
        <is>
          <t>OK</t>
        </is>
      </c>
      <c r="AJ17" s="97" t="n"/>
      <c r="AK17" s="97" t="n"/>
      <c r="AL17" s="97" t="n"/>
      <c r="AM17" s="96" t="inlineStr">
        <is>
          <t>TBKK55</t>
        </is>
      </c>
      <c r="AN17" s="96" t="inlineStr">
        <is>
          <t>Vilaiporn</t>
        </is>
      </c>
      <c r="AO17" s="96" t="inlineStr">
        <is>
          <t>SPARE PARTS FOR ISUZU VEHICLES</t>
        </is>
      </c>
      <c r="AP17" s="96" t="inlineStr">
        <is>
          <t>Normal</t>
        </is>
      </c>
      <c r="AQ17" s="97" t="n"/>
      <c r="AR17" s="97" t="n"/>
      <c r="AS17" s="97" t="n"/>
      <c r="AT17" s="97" t="n"/>
      <c r="AU17" s="97" t="n"/>
      <c r="AV17" s="97" t="n"/>
      <c r="AW17" s="97" t="n">
        <v>0</v>
      </c>
      <c r="AX17" s="96" t="inlineStr">
        <is>
          <t>N</t>
        </is>
      </c>
      <c r="AY17" s="97" t="inlineStr">
        <is>
          <t>OBL</t>
        </is>
      </c>
      <c r="AZ17" s="96" t="inlineStr">
        <is>
          <t>Pickup : 2026-10-14, Return : 2026-10-15
** PLEASE CHECK OPEN GATE BEFORE RETURN CONTAINER **</t>
        </is>
      </c>
      <c r="BA17" s="97" t="n"/>
      <c r="BB17" s="96" t="inlineStr">
        <is>
          <t>P</t>
        </is>
      </c>
      <c r="BC17" s="161" t="inlineStr">
        <is>
          <t>2026-09-29</t>
        </is>
      </c>
      <c r="BD17" s="161" t="inlineStr">
        <is>
          <t>2026-10-14</t>
        </is>
      </c>
      <c r="BE17" s="96" t="inlineStr">
        <is>
          <t>Y</t>
        </is>
      </c>
      <c r="BF17" s="96" t="inlineStr">
        <is>
          <t>SPARE PARTS</t>
        </is>
      </c>
      <c r="BG17" s="96" t="inlineStr">
        <is>
          <t>Line</t>
        </is>
      </c>
      <c r="BH17" s="96" t="inlineStr">
        <is>
          <t>S22</t>
        </is>
      </c>
      <c r="BI17" s="97" t="n"/>
      <c r="BJ17" s="97" t="n"/>
      <c r="BK17" s="96" t="inlineStr">
        <is>
          <t>LCHY5</t>
        </is>
      </c>
      <c r="BL17" s="161" t="inlineStr">
        <is>
          <t>2026-10-14</t>
        </is>
      </c>
      <c r="BM17" s="127" t="n"/>
      <c r="BN17" s="127" t="n"/>
      <c r="BO17" s="127" t="n"/>
      <c r="BP17" s="127" t="n">
        <v>1</v>
      </c>
      <c r="BQ17" s="127" t="n"/>
      <c r="BR17" s="127" t="n"/>
      <c r="BS17" s="127" t="n"/>
      <c r="BT17" s="127" t="n"/>
      <c r="BU17" s="127" t="n"/>
      <c r="BV17" s="127" t="n"/>
      <c r="BW17" s="127" t="n"/>
      <c r="BX17" s="127" t="n"/>
      <c r="BY17" s="96" t="inlineStr">
        <is>
          <t>FULL</t>
        </is>
      </c>
      <c r="BZ17" s="97" t="n"/>
      <c r="CA17" s="96" t="inlineStr">
        <is>
          <t>Y</t>
        </is>
      </c>
      <c r="CB17" s="97" t="n"/>
      <c r="CC17" s="96" t="inlineStr">
        <is>
          <t>LCH04</t>
        </is>
      </c>
      <c r="CD17" s="97" t="n"/>
      <c r="CE17" s="97" t="n"/>
      <c r="CF17" s="96" t="inlineStr">
        <is>
          <t>0 Teu</t>
        </is>
      </c>
      <c r="CG17" s="96" t="inlineStr">
        <is>
          <t>CY/CY</t>
        </is>
      </c>
      <c r="CH17" s="97" t="n"/>
      <c r="CI17" s="96" t="inlineStr">
        <is>
          <t>JIRAWAT.H@th.yusen-logistics.com</t>
        </is>
      </c>
      <c r="CJ17" s="96" t="inlineStr">
        <is>
          <t>YUSEN LOGISTICS (THAILAND) CO., LTD</t>
        </is>
      </c>
      <c r="CK17" s="96" t="inlineStr">
        <is>
          <t>YUSEN LOGISTICS (HONG KONG) LTD.</t>
        </is>
      </c>
      <c r="CL17" s="96" t="inlineStr">
        <is>
          <t>YUSEN LOGISTICS (HONG KONG) LTD.</t>
        </is>
      </c>
      <c r="CM17" s="97" t="inlineStr">
        <is>
          <t>CLOSED</t>
        </is>
      </c>
      <c r="CN17" s="96" t="inlineStr">
        <is>
          <t>202610161200</t>
        </is>
      </c>
      <c r="CO17" s="96" t="inlineStr">
        <is>
          <t>202610181700</t>
        </is>
      </c>
      <c r="CP17" s="97" t="n"/>
      <c r="CQ17" s="96" t="inlineStr">
        <is>
          <t>S19-2112038</t>
        </is>
      </c>
      <c r="CR17" s="96" t="inlineStr">
        <is>
          <t>TH03TL</t>
        </is>
      </c>
      <c r="CS17" s="96" t="inlineStr">
        <is>
          <t>YUSEN LOGISTICS (THAILAND) CO., LTD.</t>
        </is>
      </c>
      <c r="CT17" s="96" t="inlineStr">
        <is>
          <t>N</t>
        </is>
      </c>
      <c r="CU17" s="97" t="n"/>
      <c r="CV17" s="97" t="n"/>
      <c r="CW17" s="161" t="inlineStr">
        <is>
          <t>2026-10-17</t>
        </is>
      </c>
      <c r="CX17" s="97" t="n"/>
      <c r="CY17" s="183" t="n"/>
    </row>
    <row r="18" ht="12" customHeight="1">
      <c r="A18" s="116" t="inlineStr">
        <is>
          <t>HASLS22261001195</t>
        </is>
      </c>
      <c r="B18" s="96" t="inlineStr">
        <is>
          <t>40Hx2</t>
        </is>
      </c>
      <c r="C18" s="97" t="n">
        <v>2</v>
      </c>
      <c r="D18" s="97" t="n">
        <v>2</v>
      </c>
      <c r="E18" s="97" t="n"/>
      <c r="F18" s="97" t="n">
        <v>0</v>
      </c>
      <c r="G18" s="97" t="n">
        <v>0</v>
      </c>
      <c r="H18" s="97" t="n">
        <v>0</v>
      </c>
      <c r="I18" s="97" t="n">
        <v>2</v>
      </c>
      <c r="J18" s="97" t="n">
        <v>4</v>
      </c>
      <c r="K18" s="96" t="inlineStr">
        <is>
          <t>N</t>
        </is>
      </c>
      <c r="L18" s="96" t="inlineStr">
        <is>
          <t>KTS1</t>
        </is>
      </c>
      <c r="M18" s="96" t="inlineStr">
        <is>
          <t>KJT</t>
        </is>
      </c>
      <c r="N18" s="96" t="inlineStr">
        <is>
          <t>2611N</t>
        </is>
      </c>
      <c r="O18" s="96" t="inlineStr">
        <is>
          <t>THLCH</t>
        </is>
      </c>
      <c r="P18" s="96" t="inlineStr">
        <is>
          <t>LCH04</t>
        </is>
      </c>
      <c r="Q18" s="96" t="inlineStr">
        <is>
          <t>IA</t>
        </is>
      </c>
      <c r="R18" s="161" t="inlineStr">
        <is>
          <t>2026-10-21</t>
        </is>
      </c>
      <c r="S18" s="96" t="inlineStr">
        <is>
          <t>HKHKG</t>
        </is>
      </c>
      <c r="T18" s="96" t="inlineStr">
        <is>
          <t>HKG03</t>
        </is>
      </c>
      <c r="U18" s="96" t="inlineStr">
        <is>
          <t>HKHKG</t>
        </is>
      </c>
      <c r="V18" s="161" t="inlineStr">
        <is>
          <t>2026-10-25</t>
        </is>
      </c>
      <c r="W18" s="96" t="inlineStr">
        <is>
          <t>IA</t>
        </is>
      </c>
      <c r="X18" s="97" t="n"/>
      <c r="Y18" s="97" t="n"/>
      <c r="Z18" s="97" t="n"/>
      <c r="AA18" s="96" t="inlineStr">
        <is>
          <t>DOLPHIN LOGISTICS (THAILAND) CO., LTD.</t>
        </is>
      </c>
      <c r="AB18" s="96" t="inlineStr">
        <is>
          <t>I ONE TECHNOLOGY (THAILAND) CO.,LTD.</t>
        </is>
      </c>
      <c r="AC18" s="163" t="n">
        <v>12992.3</v>
      </c>
      <c r="AD18" s="163" t="n">
        <v>20992.3</v>
      </c>
      <c r="AE18" s="96" t="inlineStr">
        <is>
          <t>OK</t>
        </is>
      </c>
      <c r="AF18" s="96" t="inlineStr">
        <is>
          <t>SR</t>
        </is>
      </c>
      <c r="AG18" s="97" t="n"/>
      <c r="AH18" s="96" t="inlineStr">
        <is>
          <t>CHK</t>
        </is>
      </c>
      <c r="AI18" s="97" t="inlineStr">
        <is>
          <t>OK</t>
        </is>
      </c>
      <c r="AJ18" s="97" t="n"/>
      <c r="AK18" s="97" t="n"/>
      <c r="AL18" s="97" t="n"/>
      <c r="AM18" s="96" t="inlineStr">
        <is>
          <t>TH0042</t>
        </is>
      </c>
      <c r="AN18" s="96" t="inlineStr">
        <is>
          <t>Sukunpoj Damrongying</t>
        </is>
      </c>
      <c r="AO18" s="96" t="inlineStr">
        <is>
          <t>GAMING KEYBOARD,MOUSE</t>
        </is>
      </c>
      <c r="AP18" s="96" t="inlineStr">
        <is>
          <t>Normal</t>
        </is>
      </c>
      <c r="AQ18" s="97" t="n"/>
      <c r="AR18" s="97" t="n"/>
      <c r="AS18" s="97" t="n"/>
      <c r="AT18" s="97" t="n"/>
      <c r="AU18" s="97" t="n"/>
      <c r="AV18" s="97" t="n"/>
      <c r="AW18" s="97" t="n">
        <v>0</v>
      </c>
      <c r="AX18" s="96" t="inlineStr">
        <is>
          <t>N</t>
        </is>
      </c>
      <c r="AY18" s="97" t="inlineStr">
        <is>
          <t>OBL</t>
        </is>
      </c>
      <c r="AZ18" s="96" t="inlineStr">
        <is>
          <t>Pickup : 2026-10-16, Return : 2026-10-16 
 ** PLEASE CHECK OPEN GATE BEFORE RETURN CNTR **</t>
        </is>
      </c>
      <c r="BA18" s="97" t="inlineStr">
        <is>
          <t>FM SKOR 2612N &amp; 1X40HC DD 15/10 REQUEST GOOD, CLEAN AND NO LEAK CONTAINER</t>
        </is>
      </c>
      <c r="BB18" s="96" t="inlineStr">
        <is>
          <t>P</t>
        </is>
      </c>
      <c r="BC18" s="161" t="inlineStr">
        <is>
          <t>2026-10-15</t>
        </is>
      </c>
      <c r="BD18" s="161" t="inlineStr">
        <is>
          <t>2026-10-19</t>
        </is>
      </c>
      <c r="BE18" s="96" t="inlineStr">
        <is>
          <t>Y</t>
        </is>
      </c>
      <c r="BF18" s="96" t="inlineStr">
        <is>
          <t>GAMING KEYBOARD</t>
        </is>
      </c>
      <c r="BG18" s="96" t="inlineStr">
        <is>
          <t>Line</t>
        </is>
      </c>
      <c r="BH18" s="96" t="inlineStr">
        <is>
          <t>S22</t>
        </is>
      </c>
      <c r="BI18" s="97" t="n"/>
      <c r="BJ18" s="97" t="n"/>
      <c r="BK18" s="96" t="inlineStr">
        <is>
          <t>LCH27</t>
        </is>
      </c>
      <c r="BL18" s="161" t="inlineStr">
        <is>
          <t>2026-10-16</t>
        </is>
      </c>
      <c r="BM18" s="127" t="n"/>
      <c r="BN18" s="127" t="n"/>
      <c r="BO18" s="127" t="n"/>
      <c r="BP18" s="127" t="n">
        <v>2</v>
      </c>
      <c r="BQ18" s="127" t="n"/>
      <c r="BR18" s="127" t="n"/>
      <c r="BS18" s="127" t="n"/>
      <c r="BT18" s="127" t="n"/>
      <c r="BU18" s="127" t="n"/>
      <c r="BV18" s="127" t="n"/>
      <c r="BW18" s="127" t="n"/>
      <c r="BX18" s="127" t="n"/>
      <c r="BY18" s="96" t="inlineStr">
        <is>
          <t>FULL</t>
        </is>
      </c>
      <c r="BZ18" s="97" t="n"/>
      <c r="CA18" s="96" t="inlineStr">
        <is>
          <t>Y</t>
        </is>
      </c>
      <c r="CB18" s="97" t="n"/>
      <c r="CC18" s="96" t="inlineStr">
        <is>
          <t>LCH04</t>
        </is>
      </c>
      <c r="CD18" s="97" t="n"/>
      <c r="CE18" s="97" t="n"/>
      <c r="CF18" s="96" t="inlineStr">
        <is>
          <t>0 Teu</t>
        </is>
      </c>
      <c r="CG18" s="96" t="inlineStr">
        <is>
          <t>CY/CY</t>
        </is>
      </c>
      <c r="CH18" s="97" t="n"/>
      <c r="CI18" s="96" t="inlineStr">
        <is>
          <t>dolphin-th-exp@dolphinth.com</t>
        </is>
      </c>
      <c r="CJ18" s="96" t="inlineStr">
        <is>
          <t>DOLPHIN LOGISTICS (THAILAND)</t>
        </is>
      </c>
      <c r="CK18" s="96" t="inlineStr">
        <is>
          <t>SIG FAI TRANSPORTATION COMPANY</t>
        </is>
      </c>
      <c r="CL18" s="96" t="inlineStr">
        <is>
          <t>SIG FAI TRANSPORTATION COMPANY</t>
        </is>
      </c>
      <c r="CM18" s="97" t="inlineStr">
        <is>
          <t>CLOSED</t>
        </is>
      </c>
      <c r="CN18" s="96" t="inlineStr">
        <is>
          <t>202610161200</t>
        </is>
      </c>
      <c r="CO18" s="96" t="inlineStr">
        <is>
          <t>202610181700</t>
        </is>
      </c>
      <c r="CP18" s="97" t="n"/>
      <c r="CQ18" s="96" t="inlineStr">
        <is>
          <t>S22-2308056</t>
        </is>
      </c>
      <c r="CR18" s="96" t="inlineStr">
        <is>
          <t>TH018T</t>
        </is>
      </c>
      <c r="CS18" s="96" t="inlineStr">
        <is>
          <t>DOLPHIN LOGISTICS (THAILAND) CO., LTD.</t>
        </is>
      </c>
      <c r="CT18" s="96" t="inlineStr">
        <is>
          <t>N</t>
        </is>
      </c>
      <c r="CU18" s="97" t="n"/>
      <c r="CV18" s="97" t="n"/>
      <c r="CW18" s="161" t="inlineStr">
        <is>
          <t>2026-10-20</t>
        </is>
      </c>
      <c r="CX18" s="97" t="n"/>
      <c r="CY18" s="183" t="n"/>
    </row>
    <row r="19" ht="12" customHeight="1">
      <c r="A19" s="168" t="n"/>
      <c r="B19" s="169" t="n"/>
      <c r="C19" s="142" t="n"/>
      <c r="D19" s="142" t="n"/>
      <c r="E19" s="142" t="n"/>
      <c r="F19" s="137" t="n"/>
      <c r="G19" s="137" t="n"/>
      <c r="H19" s="137" t="n"/>
      <c r="I19" s="137" t="n"/>
      <c r="J19" s="137" t="n"/>
      <c r="K19" s="143" t="n"/>
      <c r="L19" s="143" t="n"/>
      <c r="M19" s="143" t="n"/>
      <c r="N19" s="143" t="n"/>
      <c r="O19" s="143" t="n"/>
      <c r="P19" s="143" t="n"/>
      <c r="Q19" s="143" t="n"/>
      <c r="R19" s="143" t="n"/>
      <c r="S19" s="143" t="n"/>
      <c r="T19" s="143" t="n"/>
      <c r="U19" s="143" t="n"/>
      <c r="V19" s="143" t="n"/>
      <c r="W19" s="143" t="n"/>
      <c r="X19" s="143" t="n"/>
      <c r="Y19" s="143" t="n"/>
      <c r="Z19" s="143" t="n"/>
      <c r="AA19" s="143" t="n"/>
      <c r="AB19" s="143" t="n"/>
      <c r="AC19" s="144" t="n"/>
      <c r="AD19" s="144" t="n"/>
      <c r="AE19" s="143" t="n"/>
      <c r="AF19" s="143" t="n"/>
      <c r="AG19" s="143" t="n"/>
      <c r="AH19" s="143" t="n"/>
      <c r="AI19" s="143" t="n"/>
      <c r="AJ19" s="143" t="n"/>
      <c r="AK19" s="143" t="n"/>
      <c r="AL19" s="143" t="n"/>
      <c r="AM19" s="143" t="n"/>
      <c r="AN19" s="143" t="n"/>
      <c r="AO19" s="143" t="n"/>
      <c r="AP19" s="143" t="n"/>
      <c r="AQ19" s="143" t="n"/>
      <c r="AR19" s="143" t="n"/>
      <c r="AS19" s="143" t="n"/>
      <c r="AT19" s="143" t="n"/>
      <c r="AU19" s="143" t="n"/>
      <c r="AV19" s="143" t="n"/>
      <c r="AW19" s="143" t="n"/>
      <c r="AX19" s="143" t="n"/>
      <c r="AY19" s="143" t="n"/>
      <c r="AZ19" s="143" t="n"/>
      <c r="BA19" s="143" t="n"/>
      <c r="BB19" s="143" t="n"/>
      <c r="BC19" s="143" t="n"/>
      <c r="BD19" s="143" t="n"/>
      <c r="BE19" s="143" t="n"/>
      <c r="BF19" s="143" t="n"/>
      <c r="BG19" s="143" t="n"/>
      <c r="BH19" s="143" t="n"/>
      <c r="BI19" s="143" t="n"/>
      <c r="BJ19" s="143" t="n"/>
      <c r="BK19" s="143" t="n"/>
      <c r="BL19" s="143" t="n"/>
      <c r="BM19" s="144" t="n"/>
      <c r="BN19" s="144" t="n"/>
      <c r="BO19" s="144" t="n"/>
      <c r="BP19" s="144" t="n"/>
      <c r="BQ19" s="144" t="n"/>
      <c r="BR19" s="144" t="n"/>
      <c r="BS19" s="144" t="n"/>
      <c r="BT19" s="144" t="n"/>
      <c r="BU19" s="144" t="n"/>
      <c r="BV19" s="144" t="n"/>
      <c r="BW19" s="144" t="n"/>
      <c r="BX19" s="144" t="n"/>
      <c r="BY19" s="145" t="n"/>
      <c r="BZ19" s="145" t="n"/>
      <c r="CA19" s="145" t="n"/>
      <c r="CB19" s="145" t="n"/>
      <c r="CC19" s="145" t="n"/>
      <c r="CD19" s="145" t="n"/>
      <c r="CE19" s="145" t="n"/>
      <c r="CF19" s="145" t="n"/>
      <c r="CG19" s="145" t="n"/>
      <c r="CH19" s="145" t="n"/>
      <c r="CI19" s="145" t="n"/>
      <c r="CJ19" s="145" t="n"/>
      <c r="CK19" s="145" t="n"/>
      <c r="CL19" s="145" t="n"/>
      <c r="CM19" s="145" t="n"/>
      <c r="CN19" s="145" t="n"/>
      <c r="CO19" s="145" t="n"/>
      <c r="CP19" s="145" t="n"/>
      <c r="CQ19" s="145" t="n"/>
      <c r="CR19" s="145" t="n"/>
      <c r="CS19" s="145" t="n"/>
      <c r="CT19" s="145" t="n"/>
      <c r="CU19" s="145" t="n"/>
      <c r="CV19" s="145" t="n"/>
      <c r="CW19" s="145" t="n"/>
      <c r="CX19" s="145" t="n"/>
      <c r="CY19" s="158" t="n"/>
    </row>
    <row r="20" ht="12" customHeight="1">
      <c r="A20" s="170" t="n"/>
      <c r="B20" s="171" t="n"/>
      <c r="C20" s="150" t="n"/>
      <c r="D20" s="150" t="n"/>
      <c r="E20" s="150" t="n"/>
      <c r="F20" s="144" t="n"/>
      <c r="G20" s="144" t="n"/>
      <c r="H20" s="144" t="n"/>
      <c r="I20" s="144" t="n"/>
      <c r="J20" s="144" t="n"/>
      <c r="K20" s="151" t="n"/>
      <c r="L20" s="151" t="n"/>
      <c r="M20" s="151" t="n"/>
      <c r="N20" s="151" t="n"/>
      <c r="O20" s="151" t="n"/>
      <c r="P20" s="151" t="n"/>
      <c r="Q20" s="151" t="n"/>
      <c r="R20" s="151" t="n"/>
      <c r="S20" s="151" t="n"/>
      <c r="T20" s="151" t="n"/>
      <c r="U20" s="151" t="n"/>
      <c r="V20" s="151" t="n"/>
      <c r="W20" s="151" t="n"/>
      <c r="X20" s="151" t="n"/>
      <c r="Y20" s="151" t="n"/>
      <c r="Z20" s="151" t="n"/>
      <c r="AA20" s="151" t="n"/>
      <c r="AB20" s="151" t="n"/>
      <c r="AC20" s="144" t="n"/>
      <c r="AD20" s="144" t="n"/>
      <c r="AE20" s="151" t="n"/>
      <c r="AF20" s="151" t="n"/>
      <c r="AG20" s="151" t="n"/>
      <c r="AH20" s="151" t="n"/>
      <c r="AI20" s="151" t="n"/>
      <c r="AJ20" s="151" t="n"/>
      <c r="AK20" s="151" t="n"/>
      <c r="AL20" s="151" t="n"/>
      <c r="AM20" s="151" t="n"/>
      <c r="AN20" s="151" t="n"/>
      <c r="AO20" s="151" t="n"/>
      <c r="AP20" s="151" t="n"/>
      <c r="AQ20" s="151" t="n"/>
      <c r="AR20" s="151" t="n"/>
      <c r="AS20" s="151" t="n"/>
      <c r="AT20" s="151" t="n"/>
      <c r="AU20" s="151" t="n"/>
      <c r="AV20" s="151" t="n"/>
      <c r="AW20" s="151" t="n"/>
      <c r="AX20" s="151" t="n"/>
      <c r="AY20" s="151" t="n"/>
      <c r="AZ20" s="151" t="n"/>
      <c r="BA20" s="151" t="n"/>
      <c r="BB20" s="151" t="n"/>
      <c r="BC20" s="151" t="n"/>
      <c r="BD20" s="151" t="n"/>
      <c r="BE20" s="151" t="n"/>
      <c r="BF20" s="151" t="n"/>
      <c r="BG20" s="151" t="n"/>
      <c r="BH20" s="151" t="n"/>
      <c r="BI20" s="151" t="n"/>
      <c r="BJ20" s="151" t="n"/>
      <c r="BK20" s="151" t="n"/>
      <c r="BL20" s="151" t="n"/>
      <c r="BM20" s="144" t="n"/>
      <c r="BN20" s="144" t="n"/>
      <c r="BO20" s="144" t="n"/>
      <c r="BP20" s="144" t="n"/>
      <c r="BQ20" s="144" t="n"/>
      <c r="BR20" s="144" t="n"/>
      <c r="BS20" s="144" t="n"/>
      <c r="BT20" s="144" t="n"/>
      <c r="BU20" s="144" t="n"/>
      <c r="BV20" s="144" t="n"/>
      <c r="BW20" s="144" t="n"/>
      <c r="BX20" s="144" t="n"/>
      <c r="BY20" s="152" t="n"/>
      <c r="BZ20" s="152" t="n"/>
      <c r="CA20" s="152" t="n"/>
      <c r="CB20" s="152" t="n"/>
      <c r="CC20" s="152" t="n"/>
      <c r="CD20" s="152" t="n"/>
      <c r="CE20" s="152" t="n"/>
      <c r="CF20" s="152" t="n"/>
      <c r="CG20" s="152" t="n"/>
      <c r="CH20" s="152" t="n"/>
      <c r="CI20" s="152" t="n"/>
      <c r="CJ20" s="152" t="n"/>
      <c r="CK20" s="152" t="n"/>
      <c r="CL20" s="152" t="n"/>
      <c r="CM20" s="152" t="n"/>
      <c r="CN20" s="152" t="n"/>
      <c r="CO20" s="152" t="n"/>
      <c r="CP20" s="152" t="n"/>
      <c r="CQ20" s="152" t="n"/>
      <c r="CR20" s="152" t="n"/>
      <c r="CS20" s="152" t="n"/>
      <c r="CT20" s="152" t="n"/>
      <c r="CU20" s="152" t="n"/>
      <c r="CV20" s="152" t="n"/>
      <c r="CW20" s="152" t="n"/>
      <c r="CX20" s="152" t="n"/>
      <c r="CY20" s="159" t="n"/>
    </row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</sheetData>
  <autoFilter ref="A1:WZE1">
    <sortState ref="A2:WZE5">
      <sortCondition ref="A1"/>
    </sortState>
  </autoFilter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6"/>
  <sheetViews>
    <sheetView tabSelected="0" topLeftCell="A20" workbookViewId="0">
      <selection activeCell="A1" sqref="A1:XFD104857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32.625" customWidth="1" min="7" max="7"/>
    <col width="6.25" customWidth="1" min="8" max="8"/>
    <col width="31.125" customWidth="1" min="9" max="9"/>
    <col width="19.375" customWidth="1" min="10" max="10"/>
    <col width="5.875" customWidth="1" min="11" max="11"/>
    <col width="6.125" customWidth="1" min="12" max="12"/>
    <col width="15.125" customWidth="1" min="13" max="13"/>
    <col width="17.6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32.625" customWidth="1" min="263" max="263"/>
    <col width="6.25" customWidth="1" min="264" max="264"/>
    <col width="31.125" customWidth="1" min="265" max="265"/>
    <col width="19.375" customWidth="1" min="266" max="266"/>
    <col width="5.875" customWidth="1" min="267" max="267"/>
    <col width="6.125" customWidth="1" min="268" max="268"/>
    <col width="15.125" customWidth="1" min="269" max="269"/>
    <col width="17.6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32.625" customWidth="1" min="519" max="519"/>
    <col width="6.25" customWidth="1" min="520" max="520"/>
    <col width="31.125" customWidth="1" min="521" max="521"/>
    <col width="19.375" customWidth="1" min="522" max="522"/>
    <col width="5.875" customWidth="1" min="523" max="523"/>
    <col width="6.125" customWidth="1" min="524" max="524"/>
    <col width="15.125" customWidth="1" min="525" max="525"/>
    <col width="17.6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32.625" customWidth="1" min="775" max="775"/>
    <col width="6.25" customWidth="1" min="776" max="776"/>
    <col width="31.125" customWidth="1" min="777" max="777"/>
    <col width="19.375" customWidth="1" min="778" max="778"/>
    <col width="5.875" customWidth="1" min="779" max="779"/>
    <col width="6.125" customWidth="1" min="780" max="780"/>
    <col width="15.125" customWidth="1" min="781" max="781"/>
    <col width="17.6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32.625" customWidth="1" min="1031" max="1031"/>
    <col width="6.25" customWidth="1" min="1032" max="1032"/>
    <col width="31.125" customWidth="1" min="1033" max="1033"/>
    <col width="19.375" customWidth="1" min="1034" max="1034"/>
    <col width="5.875" customWidth="1" min="1035" max="1035"/>
    <col width="6.125" customWidth="1" min="1036" max="1036"/>
    <col width="15.125" customWidth="1" min="1037" max="1037"/>
    <col width="17.6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32.625" customWidth="1" min="1287" max="1287"/>
    <col width="6.25" customWidth="1" min="1288" max="1288"/>
    <col width="31.125" customWidth="1" min="1289" max="1289"/>
    <col width="19.375" customWidth="1" min="1290" max="1290"/>
    <col width="5.875" customWidth="1" min="1291" max="1291"/>
    <col width="6.125" customWidth="1" min="1292" max="1292"/>
    <col width="15.125" customWidth="1" min="1293" max="1293"/>
    <col width="17.6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32.625" customWidth="1" min="1543" max="1543"/>
    <col width="6.25" customWidth="1" min="1544" max="1544"/>
    <col width="31.125" customWidth="1" min="1545" max="1545"/>
    <col width="19.375" customWidth="1" min="1546" max="1546"/>
    <col width="5.875" customWidth="1" min="1547" max="1547"/>
    <col width="6.125" customWidth="1" min="1548" max="1548"/>
    <col width="15.125" customWidth="1" min="1549" max="1549"/>
    <col width="17.6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32.625" customWidth="1" min="1799" max="1799"/>
    <col width="6.25" customWidth="1" min="1800" max="1800"/>
    <col width="31.125" customWidth="1" min="1801" max="1801"/>
    <col width="19.375" customWidth="1" min="1802" max="1802"/>
    <col width="5.875" customWidth="1" min="1803" max="1803"/>
    <col width="6.125" customWidth="1" min="1804" max="1804"/>
    <col width="15.125" customWidth="1" min="1805" max="1805"/>
    <col width="17.6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32.625" customWidth="1" min="2055" max="2055"/>
    <col width="6.25" customWidth="1" min="2056" max="2056"/>
    <col width="31.125" customWidth="1" min="2057" max="2057"/>
    <col width="19.375" customWidth="1" min="2058" max="2058"/>
    <col width="5.875" customWidth="1" min="2059" max="2059"/>
    <col width="6.125" customWidth="1" min="2060" max="2060"/>
    <col width="15.125" customWidth="1" min="2061" max="2061"/>
    <col width="17.6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32.625" customWidth="1" min="2311" max="2311"/>
    <col width="6.25" customWidth="1" min="2312" max="2312"/>
    <col width="31.125" customWidth="1" min="2313" max="2313"/>
    <col width="19.375" customWidth="1" min="2314" max="2314"/>
    <col width="5.875" customWidth="1" min="2315" max="2315"/>
    <col width="6.125" customWidth="1" min="2316" max="2316"/>
    <col width="15.125" customWidth="1" min="2317" max="2317"/>
    <col width="17.6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32.625" customWidth="1" min="2567" max="2567"/>
    <col width="6.25" customWidth="1" min="2568" max="2568"/>
    <col width="31.125" customWidth="1" min="2569" max="2569"/>
    <col width="19.375" customWidth="1" min="2570" max="2570"/>
    <col width="5.875" customWidth="1" min="2571" max="2571"/>
    <col width="6.125" customWidth="1" min="2572" max="2572"/>
    <col width="15.125" customWidth="1" min="2573" max="2573"/>
    <col width="17.6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32.625" customWidth="1" min="2823" max="2823"/>
    <col width="6.25" customWidth="1" min="2824" max="2824"/>
    <col width="31.125" customWidth="1" min="2825" max="2825"/>
    <col width="19.375" customWidth="1" min="2826" max="2826"/>
    <col width="5.875" customWidth="1" min="2827" max="2827"/>
    <col width="6.125" customWidth="1" min="2828" max="2828"/>
    <col width="15.125" customWidth="1" min="2829" max="2829"/>
    <col width="17.6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32.625" customWidth="1" min="3079" max="3079"/>
    <col width="6.25" customWidth="1" min="3080" max="3080"/>
    <col width="31.125" customWidth="1" min="3081" max="3081"/>
    <col width="19.375" customWidth="1" min="3082" max="3082"/>
    <col width="5.875" customWidth="1" min="3083" max="3083"/>
    <col width="6.125" customWidth="1" min="3084" max="3084"/>
    <col width="15.125" customWidth="1" min="3085" max="3085"/>
    <col width="17.6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32.625" customWidth="1" min="3335" max="3335"/>
    <col width="6.25" customWidth="1" min="3336" max="3336"/>
    <col width="31.125" customWidth="1" min="3337" max="3337"/>
    <col width="19.375" customWidth="1" min="3338" max="3338"/>
    <col width="5.875" customWidth="1" min="3339" max="3339"/>
    <col width="6.125" customWidth="1" min="3340" max="3340"/>
    <col width="15.125" customWidth="1" min="3341" max="3341"/>
    <col width="17.6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32.625" customWidth="1" min="3591" max="3591"/>
    <col width="6.25" customWidth="1" min="3592" max="3592"/>
    <col width="31.125" customWidth="1" min="3593" max="3593"/>
    <col width="19.375" customWidth="1" min="3594" max="3594"/>
    <col width="5.875" customWidth="1" min="3595" max="3595"/>
    <col width="6.125" customWidth="1" min="3596" max="3596"/>
    <col width="15.125" customWidth="1" min="3597" max="3597"/>
    <col width="17.6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32.625" customWidth="1" min="3847" max="3847"/>
    <col width="6.25" customWidth="1" min="3848" max="3848"/>
    <col width="31.125" customWidth="1" min="3849" max="3849"/>
    <col width="19.375" customWidth="1" min="3850" max="3850"/>
    <col width="5.875" customWidth="1" min="3851" max="3851"/>
    <col width="6.125" customWidth="1" min="3852" max="3852"/>
    <col width="15.125" customWidth="1" min="3853" max="3853"/>
    <col width="17.6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32.625" customWidth="1" min="4103" max="4103"/>
    <col width="6.25" customWidth="1" min="4104" max="4104"/>
    <col width="31.125" customWidth="1" min="4105" max="4105"/>
    <col width="19.375" customWidth="1" min="4106" max="4106"/>
    <col width="5.875" customWidth="1" min="4107" max="4107"/>
    <col width="6.125" customWidth="1" min="4108" max="4108"/>
    <col width="15.125" customWidth="1" min="4109" max="4109"/>
    <col width="17.6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32.625" customWidth="1" min="4359" max="4359"/>
    <col width="6.25" customWidth="1" min="4360" max="4360"/>
    <col width="31.125" customWidth="1" min="4361" max="4361"/>
    <col width="19.375" customWidth="1" min="4362" max="4362"/>
    <col width="5.875" customWidth="1" min="4363" max="4363"/>
    <col width="6.125" customWidth="1" min="4364" max="4364"/>
    <col width="15.125" customWidth="1" min="4365" max="4365"/>
    <col width="17.6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32.625" customWidth="1" min="4615" max="4615"/>
    <col width="6.25" customWidth="1" min="4616" max="4616"/>
    <col width="31.125" customWidth="1" min="4617" max="4617"/>
    <col width="19.375" customWidth="1" min="4618" max="4618"/>
    <col width="5.875" customWidth="1" min="4619" max="4619"/>
    <col width="6.125" customWidth="1" min="4620" max="4620"/>
    <col width="15.125" customWidth="1" min="4621" max="4621"/>
    <col width="17.6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32.625" customWidth="1" min="4871" max="4871"/>
    <col width="6.25" customWidth="1" min="4872" max="4872"/>
    <col width="31.125" customWidth="1" min="4873" max="4873"/>
    <col width="19.375" customWidth="1" min="4874" max="4874"/>
    <col width="5.875" customWidth="1" min="4875" max="4875"/>
    <col width="6.125" customWidth="1" min="4876" max="4876"/>
    <col width="15.125" customWidth="1" min="4877" max="4877"/>
    <col width="17.6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32.625" customWidth="1" min="5127" max="5127"/>
    <col width="6.25" customWidth="1" min="5128" max="5128"/>
    <col width="31.125" customWidth="1" min="5129" max="5129"/>
    <col width="19.375" customWidth="1" min="5130" max="5130"/>
    <col width="5.875" customWidth="1" min="5131" max="5131"/>
    <col width="6.125" customWidth="1" min="5132" max="5132"/>
    <col width="15.125" customWidth="1" min="5133" max="5133"/>
    <col width="17.6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32.625" customWidth="1" min="5383" max="5383"/>
    <col width="6.25" customWidth="1" min="5384" max="5384"/>
    <col width="31.125" customWidth="1" min="5385" max="5385"/>
    <col width="19.375" customWidth="1" min="5386" max="5386"/>
    <col width="5.875" customWidth="1" min="5387" max="5387"/>
    <col width="6.125" customWidth="1" min="5388" max="5388"/>
    <col width="15.125" customWidth="1" min="5389" max="5389"/>
    <col width="17.6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32.625" customWidth="1" min="5639" max="5639"/>
    <col width="6.25" customWidth="1" min="5640" max="5640"/>
    <col width="31.125" customWidth="1" min="5641" max="5641"/>
    <col width="19.375" customWidth="1" min="5642" max="5642"/>
    <col width="5.875" customWidth="1" min="5643" max="5643"/>
    <col width="6.125" customWidth="1" min="5644" max="5644"/>
    <col width="15.125" customWidth="1" min="5645" max="5645"/>
    <col width="17.6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32.625" customWidth="1" min="5895" max="5895"/>
    <col width="6.25" customWidth="1" min="5896" max="5896"/>
    <col width="31.125" customWidth="1" min="5897" max="5897"/>
    <col width="19.375" customWidth="1" min="5898" max="5898"/>
    <col width="5.875" customWidth="1" min="5899" max="5899"/>
    <col width="6.125" customWidth="1" min="5900" max="5900"/>
    <col width="15.125" customWidth="1" min="5901" max="5901"/>
    <col width="17.6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32.625" customWidth="1" min="6151" max="6151"/>
    <col width="6.25" customWidth="1" min="6152" max="6152"/>
    <col width="31.125" customWidth="1" min="6153" max="6153"/>
    <col width="19.375" customWidth="1" min="6154" max="6154"/>
    <col width="5.875" customWidth="1" min="6155" max="6155"/>
    <col width="6.125" customWidth="1" min="6156" max="6156"/>
    <col width="15.125" customWidth="1" min="6157" max="6157"/>
    <col width="17.6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32.625" customWidth="1" min="6407" max="6407"/>
    <col width="6.25" customWidth="1" min="6408" max="6408"/>
    <col width="31.125" customWidth="1" min="6409" max="6409"/>
    <col width="19.375" customWidth="1" min="6410" max="6410"/>
    <col width="5.875" customWidth="1" min="6411" max="6411"/>
    <col width="6.125" customWidth="1" min="6412" max="6412"/>
    <col width="15.125" customWidth="1" min="6413" max="6413"/>
    <col width="17.6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32.625" customWidth="1" min="6663" max="6663"/>
    <col width="6.25" customWidth="1" min="6664" max="6664"/>
    <col width="31.125" customWidth="1" min="6665" max="6665"/>
    <col width="19.375" customWidth="1" min="6666" max="6666"/>
    <col width="5.875" customWidth="1" min="6667" max="6667"/>
    <col width="6.125" customWidth="1" min="6668" max="6668"/>
    <col width="15.125" customWidth="1" min="6669" max="6669"/>
    <col width="17.6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32.625" customWidth="1" min="6919" max="6919"/>
    <col width="6.25" customWidth="1" min="6920" max="6920"/>
    <col width="31.125" customWidth="1" min="6921" max="6921"/>
    <col width="19.375" customWidth="1" min="6922" max="6922"/>
    <col width="5.875" customWidth="1" min="6923" max="6923"/>
    <col width="6.125" customWidth="1" min="6924" max="6924"/>
    <col width="15.125" customWidth="1" min="6925" max="6925"/>
    <col width="17.6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32.625" customWidth="1" min="7175" max="7175"/>
    <col width="6.25" customWidth="1" min="7176" max="7176"/>
    <col width="31.125" customWidth="1" min="7177" max="7177"/>
    <col width="19.375" customWidth="1" min="7178" max="7178"/>
    <col width="5.875" customWidth="1" min="7179" max="7179"/>
    <col width="6.125" customWidth="1" min="7180" max="7180"/>
    <col width="15.125" customWidth="1" min="7181" max="7181"/>
    <col width="17.6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32.625" customWidth="1" min="7431" max="7431"/>
    <col width="6.25" customWidth="1" min="7432" max="7432"/>
    <col width="31.125" customWidth="1" min="7433" max="7433"/>
    <col width="19.375" customWidth="1" min="7434" max="7434"/>
    <col width="5.875" customWidth="1" min="7435" max="7435"/>
    <col width="6.125" customWidth="1" min="7436" max="7436"/>
    <col width="15.125" customWidth="1" min="7437" max="7437"/>
    <col width="17.6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32.625" customWidth="1" min="7687" max="7687"/>
    <col width="6.25" customWidth="1" min="7688" max="7688"/>
    <col width="31.125" customWidth="1" min="7689" max="7689"/>
    <col width="19.375" customWidth="1" min="7690" max="7690"/>
    <col width="5.875" customWidth="1" min="7691" max="7691"/>
    <col width="6.125" customWidth="1" min="7692" max="7692"/>
    <col width="15.125" customWidth="1" min="7693" max="7693"/>
    <col width="17.6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32.625" customWidth="1" min="7943" max="7943"/>
    <col width="6.25" customWidth="1" min="7944" max="7944"/>
    <col width="31.125" customWidth="1" min="7945" max="7945"/>
    <col width="19.375" customWidth="1" min="7946" max="7946"/>
    <col width="5.875" customWidth="1" min="7947" max="7947"/>
    <col width="6.125" customWidth="1" min="7948" max="7948"/>
    <col width="15.125" customWidth="1" min="7949" max="7949"/>
    <col width="17.6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32.625" customWidth="1" min="8199" max="8199"/>
    <col width="6.25" customWidth="1" min="8200" max="8200"/>
    <col width="31.125" customWidth="1" min="8201" max="8201"/>
    <col width="19.375" customWidth="1" min="8202" max="8202"/>
    <col width="5.875" customWidth="1" min="8203" max="8203"/>
    <col width="6.125" customWidth="1" min="8204" max="8204"/>
    <col width="15.125" customWidth="1" min="8205" max="8205"/>
    <col width="17.6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32.625" customWidth="1" min="8455" max="8455"/>
    <col width="6.25" customWidth="1" min="8456" max="8456"/>
    <col width="31.125" customWidth="1" min="8457" max="8457"/>
    <col width="19.375" customWidth="1" min="8458" max="8458"/>
    <col width="5.875" customWidth="1" min="8459" max="8459"/>
    <col width="6.125" customWidth="1" min="8460" max="8460"/>
    <col width="15.125" customWidth="1" min="8461" max="8461"/>
    <col width="17.6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32.625" customWidth="1" min="8711" max="8711"/>
    <col width="6.25" customWidth="1" min="8712" max="8712"/>
    <col width="31.125" customWidth="1" min="8713" max="8713"/>
    <col width="19.375" customWidth="1" min="8714" max="8714"/>
    <col width="5.875" customWidth="1" min="8715" max="8715"/>
    <col width="6.125" customWidth="1" min="8716" max="8716"/>
    <col width="15.125" customWidth="1" min="8717" max="8717"/>
    <col width="17.6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32.625" customWidth="1" min="8967" max="8967"/>
    <col width="6.25" customWidth="1" min="8968" max="8968"/>
    <col width="31.125" customWidth="1" min="8969" max="8969"/>
    <col width="19.375" customWidth="1" min="8970" max="8970"/>
    <col width="5.875" customWidth="1" min="8971" max="8971"/>
    <col width="6.125" customWidth="1" min="8972" max="8972"/>
    <col width="15.125" customWidth="1" min="8973" max="8973"/>
    <col width="17.6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32.625" customWidth="1" min="9223" max="9223"/>
    <col width="6.25" customWidth="1" min="9224" max="9224"/>
    <col width="31.125" customWidth="1" min="9225" max="9225"/>
    <col width="19.375" customWidth="1" min="9226" max="9226"/>
    <col width="5.875" customWidth="1" min="9227" max="9227"/>
    <col width="6.125" customWidth="1" min="9228" max="9228"/>
    <col width="15.125" customWidth="1" min="9229" max="9229"/>
    <col width="17.6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32.625" customWidth="1" min="9479" max="9479"/>
    <col width="6.25" customWidth="1" min="9480" max="9480"/>
    <col width="31.125" customWidth="1" min="9481" max="9481"/>
    <col width="19.375" customWidth="1" min="9482" max="9482"/>
    <col width="5.875" customWidth="1" min="9483" max="9483"/>
    <col width="6.125" customWidth="1" min="9484" max="9484"/>
    <col width="15.125" customWidth="1" min="9485" max="9485"/>
    <col width="17.6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32.625" customWidth="1" min="9735" max="9735"/>
    <col width="6.25" customWidth="1" min="9736" max="9736"/>
    <col width="31.125" customWidth="1" min="9737" max="9737"/>
    <col width="19.375" customWidth="1" min="9738" max="9738"/>
    <col width="5.875" customWidth="1" min="9739" max="9739"/>
    <col width="6.125" customWidth="1" min="9740" max="9740"/>
    <col width="15.125" customWidth="1" min="9741" max="9741"/>
    <col width="17.6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32.625" customWidth="1" min="9991" max="9991"/>
    <col width="6.25" customWidth="1" min="9992" max="9992"/>
    <col width="31.125" customWidth="1" min="9993" max="9993"/>
    <col width="19.375" customWidth="1" min="9994" max="9994"/>
    <col width="5.875" customWidth="1" min="9995" max="9995"/>
    <col width="6.125" customWidth="1" min="9996" max="9996"/>
    <col width="15.125" customWidth="1" min="9997" max="9997"/>
    <col width="17.6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32.625" customWidth="1" min="10247" max="10247"/>
    <col width="6.25" customWidth="1" min="10248" max="10248"/>
    <col width="31.125" customWidth="1" min="10249" max="10249"/>
    <col width="19.375" customWidth="1" min="10250" max="10250"/>
    <col width="5.875" customWidth="1" min="10251" max="10251"/>
    <col width="6.125" customWidth="1" min="10252" max="10252"/>
    <col width="15.125" customWidth="1" min="10253" max="10253"/>
    <col width="17.6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32.625" customWidth="1" min="10503" max="10503"/>
    <col width="6.25" customWidth="1" min="10504" max="10504"/>
    <col width="31.125" customWidth="1" min="10505" max="10505"/>
    <col width="19.375" customWidth="1" min="10506" max="10506"/>
    <col width="5.875" customWidth="1" min="10507" max="10507"/>
    <col width="6.125" customWidth="1" min="10508" max="10508"/>
    <col width="15.125" customWidth="1" min="10509" max="10509"/>
    <col width="17.6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32.625" customWidth="1" min="10759" max="10759"/>
    <col width="6.25" customWidth="1" min="10760" max="10760"/>
    <col width="31.125" customWidth="1" min="10761" max="10761"/>
    <col width="19.375" customWidth="1" min="10762" max="10762"/>
    <col width="5.875" customWidth="1" min="10763" max="10763"/>
    <col width="6.125" customWidth="1" min="10764" max="10764"/>
    <col width="15.125" customWidth="1" min="10765" max="10765"/>
    <col width="17.6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32.625" customWidth="1" min="11015" max="11015"/>
    <col width="6.25" customWidth="1" min="11016" max="11016"/>
    <col width="31.125" customWidth="1" min="11017" max="11017"/>
    <col width="19.375" customWidth="1" min="11018" max="11018"/>
    <col width="5.875" customWidth="1" min="11019" max="11019"/>
    <col width="6.125" customWidth="1" min="11020" max="11020"/>
    <col width="15.125" customWidth="1" min="11021" max="11021"/>
    <col width="17.6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32.625" customWidth="1" min="11271" max="11271"/>
    <col width="6.25" customWidth="1" min="11272" max="11272"/>
    <col width="31.125" customWidth="1" min="11273" max="11273"/>
    <col width="19.375" customWidth="1" min="11274" max="11274"/>
    <col width="5.875" customWidth="1" min="11275" max="11275"/>
    <col width="6.125" customWidth="1" min="11276" max="11276"/>
    <col width="15.125" customWidth="1" min="11277" max="11277"/>
    <col width="17.6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32.625" customWidth="1" min="11527" max="11527"/>
    <col width="6.25" customWidth="1" min="11528" max="11528"/>
    <col width="31.125" customWidth="1" min="11529" max="11529"/>
    <col width="19.375" customWidth="1" min="11530" max="11530"/>
    <col width="5.875" customWidth="1" min="11531" max="11531"/>
    <col width="6.125" customWidth="1" min="11532" max="11532"/>
    <col width="15.125" customWidth="1" min="11533" max="11533"/>
    <col width="17.6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32.625" customWidth="1" min="11783" max="11783"/>
    <col width="6.25" customWidth="1" min="11784" max="11784"/>
    <col width="31.125" customWidth="1" min="11785" max="11785"/>
    <col width="19.375" customWidth="1" min="11786" max="11786"/>
    <col width="5.875" customWidth="1" min="11787" max="11787"/>
    <col width="6.125" customWidth="1" min="11788" max="11788"/>
    <col width="15.125" customWidth="1" min="11789" max="11789"/>
    <col width="17.6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32.625" customWidth="1" min="12039" max="12039"/>
    <col width="6.25" customWidth="1" min="12040" max="12040"/>
    <col width="31.125" customWidth="1" min="12041" max="12041"/>
    <col width="19.375" customWidth="1" min="12042" max="12042"/>
    <col width="5.875" customWidth="1" min="12043" max="12043"/>
    <col width="6.125" customWidth="1" min="12044" max="12044"/>
    <col width="15.125" customWidth="1" min="12045" max="12045"/>
    <col width="17.6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32.625" customWidth="1" min="12295" max="12295"/>
    <col width="6.25" customWidth="1" min="12296" max="12296"/>
    <col width="31.125" customWidth="1" min="12297" max="12297"/>
    <col width="19.375" customWidth="1" min="12298" max="12298"/>
    <col width="5.875" customWidth="1" min="12299" max="12299"/>
    <col width="6.125" customWidth="1" min="12300" max="12300"/>
    <col width="15.125" customWidth="1" min="12301" max="12301"/>
    <col width="17.6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32.625" customWidth="1" min="12551" max="12551"/>
    <col width="6.25" customWidth="1" min="12552" max="12552"/>
    <col width="31.125" customWidth="1" min="12553" max="12553"/>
    <col width="19.375" customWidth="1" min="12554" max="12554"/>
    <col width="5.875" customWidth="1" min="12555" max="12555"/>
    <col width="6.125" customWidth="1" min="12556" max="12556"/>
    <col width="15.125" customWidth="1" min="12557" max="12557"/>
    <col width="17.6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32.625" customWidth="1" min="12807" max="12807"/>
    <col width="6.25" customWidth="1" min="12808" max="12808"/>
    <col width="31.125" customWidth="1" min="12809" max="12809"/>
    <col width="19.375" customWidth="1" min="12810" max="12810"/>
    <col width="5.875" customWidth="1" min="12811" max="12811"/>
    <col width="6.125" customWidth="1" min="12812" max="12812"/>
    <col width="15.125" customWidth="1" min="12813" max="12813"/>
    <col width="17.6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32.625" customWidth="1" min="13063" max="13063"/>
    <col width="6.25" customWidth="1" min="13064" max="13064"/>
    <col width="31.125" customWidth="1" min="13065" max="13065"/>
    <col width="19.375" customWidth="1" min="13066" max="13066"/>
    <col width="5.875" customWidth="1" min="13067" max="13067"/>
    <col width="6.125" customWidth="1" min="13068" max="13068"/>
    <col width="15.125" customWidth="1" min="13069" max="13069"/>
    <col width="17.6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32.625" customWidth="1" min="13319" max="13319"/>
    <col width="6.25" customWidth="1" min="13320" max="13320"/>
    <col width="31.125" customWidth="1" min="13321" max="13321"/>
    <col width="19.375" customWidth="1" min="13322" max="13322"/>
    <col width="5.875" customWidth="1" min="13323" max="13323"/>
    <col width="6.125" customWidth="1" min="13324" max="13324"/>
    <col width="15.125" customWidth="1" min="13325" max="13325"/>
    <col width="17.6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32.625" customWidth="1" min="13575" max="13575"/>
    <col width="6.25" customWidth="1" min="13576" max="13576"/>
    <col width="31.125" customWidth="1" min="13577" max="13577"/>
    <col width="19.375" customWidth="1" min="13578" max="13578"/>
    <col width="5.875" customWidth="1" min="13579" max="13579"/>
    <col width="6.125" customWidth="1" min="13580" max="13580"/>
    <col width="15.125" customWidth="1" min="13581" max="13581"/>
    <col width="17.6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32.625" customWidth="1" min="13831" max="13831"/>
    <col width="6.25" customWidth="1" min="13832" max="13832"/>
    <col width="31.125" customWidth="1" min="13833" max="13833"/>
    <col width="19.375" customWidth="1" min="13834" max="13834"/>
    <col width="5.875" customWidth="1" min="13835" max="13835"/>
    <col width="6.125" customWidth="1" min="13836" max="13836"/>
    <col width="15.125" customWidth="1" min="13837" max="13837"/>
    <col width="17.6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32.625" customWidth="1" min="14087" max="14087"/>
    <col width="6.25" customWidth="1" min="14088" max="14088"/>
    <col width="31.125" customWidth="1" min="14089" max="14089"/>
    <col width="19.375" customWidth="1" min="14090" max="14090"/>
    <col width="5.875" customWidth="1" min="14091" max="14091"/>
    <col width="6.125" customWidth="1" min="14092" max="14092"/>
    <col width="15.125" customWidth="1" min="14093" max="14093"/>
    <col width="17.6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32.625" customWidth="1" min="14343" max="14343"/>
    <col width="6.25" customWidth="1" min="14344" max="14344"/>
    <col width="31.125" customWidth="1" min="14345" max="14345"/>
    <col width="19.375" customWidth="1" min="14346" max="14346"/>
    <col width="5.875" customWidth="1" min="14347" max="14347"/>
    <col width="6.125" customWidth="1" min="14348" max="14348"/>
    <col width="15.125" customWidth="1" min="14349" max="14349"/>
    <col width="17.6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32.625" customWidth="1" min="14599" max="14599"/>
    <col width="6.25" customWidth="1" min="14600" max="14600"/>
    <col width="31.125" customWidth="1" min="14601" max="14601"/>
    <col width="19.375" customWidth="1" min="14602" max="14602"/>
    <col width="5.875" customWidth="1" min="14603" max="14603"/>
    <col width="6.125" customWidth="1" min="14604" max="14604"/>
    <col width="15.125" customWidth="1" min="14605" max="14605"/>
    <col width="17.6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32.625" customWidth="1" min="14855" max="14855"/>
    <col width="6.25" customWidth="1" min="14856" max="14856"/>
    <col width="31.125" customWidth="1" min="14857" max="14857"/>
    <col width="19.375" customWidth="1" min="14858" max="14858"/>
    <col width="5.875" customWidth="1" min="14859" max="14859"/>
    <col width="6.125" customWidth="1" min="14860" max="14860"/>
    <col width="15.125" customWidth="1" min="14861" max="14861"/>
    <col width="17.6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32.625" customWidth="1" min="15111" max="15111"/>
    <col width="6.25" customWidth="1" min="15112" max="15112"/>
    <col width="31.125" customWidth="1" min="15113" max="15113"/>
    <col width="19.375" customWidth="1" min="15114" max="15114"/>
    <col width="5.875" customWidth="1" min="15115" max="15115"/>
    <col width="6.125" customWidth="1" min="15116" max="15116"/>
    <col width="15.125" customWidth="1" min="15117" max="15117"/>
    <col width="17.6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32.625" customWidth="1" min="15367" max="15367"/>
    <col width="6.25" customWidth="1" min="15368" max="15368"/>
    <col width="31.125" customWidth="1" min="15369" max="15369"/>
    <col width="19.375" customWidth="1" min="15370" max="15370"/>
    <col width="5.875" customWidth="1" min="15371" max="15371"/>
    <col width="6.125" customWidth="1" min="15372" max="15372"/>
    <col width="15.125" customWidth="1" min="15373" max="15373"/>
    <col width="17.6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32.625" customWidth="1" min="15623" max="15623"/>
    <col width="6.25" customWidth="1" min="15624" max="15624"/>
    <col width="31.125" customWidth="1" min="15625" max="15625"/>
    <col width="19.375" customWidth="1" min="15626" max="15626"/>
    <col width="5.875" customWidth="1" min="15627" max="15627"/>
    <col width="6.125" customWidth="1" min="15628" max="15628"/>
    <col width="15.125" customWidth="1" min="15629" max="15629"/>
    <col width="17.6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32.625" customWidth="1" min="15879" max="15879"/>
    <col width="6.25" customWidth="1" min="15880" max="15880"/>
    <col width="31.125" customWidth="1" min="15881" max="15881"/>
    <col width="19.375" customWidth="1" min="15882" max="15882"/>
    <col width="5.875" customWidth="1" min="15883" max="15883"/>
    <col width="6.125" customWidth="1" min="15884" max="15884"/>
    <col width="15.125" customWidth="1" min="15885" max="15885"/>
    <col width="17.6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32.625" customWidth="1" min="16135" max="16135"/>
    <col width="6.25" customWidth="1" min="16136" max="16136"/>
    <col width="31.125" customWidth="1" min="16137" max="16137"/>
    <col width="19.375" customWidth="1" min="16138" max="16138"/>
    <col width="5.875" customWidth="1" min="16139" max="16139"/>
    <col width="6.125" customWidth="1" min="16140" max="16140"/>
    <col width="15.125" customWidth="1" min="16141" max="16141"/>
    <col width="17.6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2" customHeight="1">
      <c r="A1" s="129" t="inlineStr">
        <is>
          <t>Container No</t>
        </is>
      </c>
      <c r="B1" s="129" t="inlineStr">
        <is>
          <t>Location</t>
        </is>
      </c>
      <c r="C1" s="129" t="inlineStr">
        <is>
          <t>Move</t>
        </is>
      </c>
      <c r="D1" s="129" t="inlineStr">
        <is>
          <t>GateDate</t>
        </is>
      </c>
      <c r="E1" s="129" t="inlineStr">
        <is>
          <t>GateTime</t>
        </is>
      </c>
      <c r="F1" s="129" t="inlineStr">
        <is>
          <t>BL No</t>
        </is>
      </c>
      <c r="G1" s="129" t="inlineStr">
        <is>
          <t>Shipper</t>
        </is>
      </c>
      <c r="H1" s="129" t="inlineStr">
        <is>
          <t>TPSZ</t>
        </is>
      </c>
      <c r="I1" s="129" t="inlineStr">
        <is>
          <t>Remark</t>
        </is>
      </c>
      <c r="J1" s="129" t="inlineStr">
        <is>
          <t>EmpName</t>
        </is>
      </c>
      <c r="K1" s="129" t="inlineStr">
        <is>
          <t>CND</t>
        </is>
      </c>
      <c r="L1" s="129" t="inlineStr">
        <is>
          <t>F/E</t>
        </is>
      </c>
      <c r="M1" s="129" t="inlineStr">
        <is>
          <t>BK No</t>
        </is>
      </c>
      <c r="N1" s="129" t="inlineStr">
        <is>
          <t>BK QTY</t>
        </is>
      </c>
      <c r="O1" s="129" t="inlineStr">
        <is>
          <t>Built Year</t>
        </is>
      </c>
      <c r="P1" s="129" t="inlineStr">
        <is>
          <t>RF Brand</t>
        </is>
      </c>
      <c r="Q1" s="129" t="inlineStr">
        <is>
          <t>RF Model</t>
        </is>
      </c>
      <c r="R1" s="129" t="inlineStr">
        <is>
          <t>Vessel</t>
        </is>
      </c>
      <c r="S1" s="129" t="inlineStr">
        <is>
          <t>Voyage</t>
        </is>
      </c>
      <c r="T1" s="129" t="inlineStr">
        <is>
          <t>LWHARF</t>
        </is>
      </c>
      <c r="U1" s="129" t="inlineStr">
        <is>
          <t>POL</t>
        </is>
      </c>
      <c r="V1" s="129" t="inlineStr">
        <is>
          <t>POL Date</t>
        </is>
      </c>
      <c r="W1" s="129" t="inlineStr">
        <is>
          <t>POD</t>
        </is>
      </c>
      <c r="X1" s="129" t="inlineStr">
        <is>
          <t>POD Date</t>
        </is>
      </c>
      <c r="Y1" s="129" t="inlineStr">
        <is>
          <t>SOC</t>
        </is>
      </c>
      <c r="Z1" s="129" t="inlineStr">
        <is>
          <t>Seal No</t>
        </is>
      </c>
      <c r="AA1" s="129" t="inlineStr">
        <is>
          <t>Truck No</t>
        </is>
      </c>
      <c r="AB1" s="129" t="inlineStr">
        <is>
          <t>Haulier</t>
        </is>
      </c>
      <c r="AC1" s="129" t="inlineStr">
        <is>
          <t>Driver Tel</t>
        </is>
      </c>
      <c r="AD1" s="129" t="inlineStr">
        <is>
          <t>InpDate</t>
        </is>
      </c>
      <c r="AE1" s="129" t="inlineStr">
        <is>
          <t>InpTime</t>
        </is>
      </c>
      <c r="AF1" s="129" t="inlineStr">
        <is>
          <t>EmpNo</t>
        </is>
      </c>
      <c r="AG1" s="129" t="inlineStr">
        <is>
          <t>SendId</t>
        </is>
      </c>
      <c r="AH1" s="129" t="inlineStr">
        <is>
          <t>SendDate</t>
        </is>
      </c>
      <c r="AI1" s="129" t="inlineStr">
        <is>
          <t>Cnee Code</t>
        </is>
      </c>
      <c r="AJ1" s="129" t="inlineStr">
        <is>
          <t>Cnee Name</t>
        </is>
      </c>
      <c r="AK1" s="129" t="inlineStr">
        <is>
          <t>Weight</t>
        </is>
      </c>
    </row>
    <row r="2" ht="12" customHeight="1">
      <c r="A2" s="108" t="inlineStr">
        <is>
          <t>BEAU2422960</t>
        </is>
      </c>
      <c r="B2" s="108" t="inlineStr">
        <is>
          <t>LCH04</t>
        </is>
      </c>
      <c r="C2" s="108" t="inlineStr">
        <is>
          <t>IFV</t>
        </is>
      </c>
      <c r="D2" s="172" t="inlineStr">
        <is>
          <t>2026-10-15</t>
        </is>
      </c>
      <c r="E2" s="173" t="inlineStr">
        <is>
          <t>0839</t>
        </is>
      </c>
      <c r="F2" s="96" t="inlineStr">
        <is>
          <t>HASLS22261000018</t>
        </is>
      </c>
      <c r="G2" s="96" t="inlineStr">
        <is>
          <t>TTR FREIGHT AND SERVICE COMPANY LIMITED</t>
        </is>
      </c>
      <c r="H2" s="111" t="inlineStr">
        <is>
          <t>22GP</t>
        </is>
      </c>
      <c r="I2" s="96" t="inlineStr">
        <is>
          <t>EMAIL</t>
        </is>
      </c>
      <c r="J2" s="96" t="inlineStr">
        <is>
          <t>EDI2</t>
        </is>
      </c>
      <c r="K2" s="96" t="n"/>
      <c r="L2" s="111" t="inlineStr">
        <is>
          <t>Full</t>
        </is>
      </c>
      <c r="M2" s="96" t="inlineStr">
        <is>
          <t>HASLS22261000018</t>
        </is>
      </c>
      <c r="N2" s="96" t="inlineStr">
        <is>
          <t xml:space="preserve">20'x1 </t>
        </is>
      </c>
      <c r="O2" s="111" t="inlineStr">
        <is>
          <t>2015</t>
        </is>
      </c>
      <c r="P2" s="111" t="n"/>
      <c r="Q2" s="111" t="n"/>
      <c r="R2" s="96" t="inlineStr">
        <is>
          <t>KJT</t>
        </is>
      </c>
      <c r="S2" s="96" t="inlineStr">
        <is>
          <t>2611N</t>
        </is>
      </c>
      <c r="T2" s="96" t="inlineStr">
        <is>
          <t>LCH04</t>
        </is>
      </c>
      <c r="U2" s="96" t="inlineStr">
        <is>
          <t>THLCH</t>
        </is>
      </c>
      <c r="V2" s="161" t="inlineStr">
        <is>
          <t>2026-10-21</t>
        </is>
      </c>
      <c r="W2" s="96" t="inlineStr">
        <is>
          <t>TWKEL</t>
        </is>
      </c>
      <c r="X2" s="161" t="inlineStr">
        <is>
          <t>2026-10-27</t>
        </is>
      </c>
      <c r="Y2" s="97" t="n"/>
      <c r="Z2" s="97" t="n"/>
      <c r="AA2" s="97" t="n"/>
      <c r="AB2" s="97" t="n"/>
      <c r="AC2" s="97" t="n"/>
      <c r="AD2" s="161" t="inlineStr">
        <is>
          <t>2026-10-15</t>
        </is>
      </c>
      <c r="AE2" s="174" t="inlineStr">
        <is>
          <t>1200</t>
        </is>
      </c>
      <c r="AF2" s="96" t="inlineStr">
        <is>
          <t>EDI2</t>
        </is>
      </c>
      <c r="AG2" s="97" t="n"/>
      <c r="AH2" s="97" t="n"/>
      <c r="AI2" s="97" t="n"/>
      <c r="AJ2" s="96" t="inlineStr">
        <is>
          <t>OAK-TREE ENTERPRISE CO.,LTD.</t>
        </is>
      </c>
      <c r="AK2" s="130" t="n"/>
    </row>
    <row r="3" ht="12" customHeight="1">
      <c r="A3" s="108" t="inlineStr">
        <is>
          <t>DFSU1697399</t>
        </is>
      </c>
      <c r="B3" s="108" t="inlineStr">
        <is>
          <t>LCH04</t>
        </is>
      </c>
      <c r="C3" s="108" t="inlineStr">
        <is>
          <t>IFV</t>
        </is>
      </c>
      <c r="D3" s="172" t="inlineStr">
        <is>
          <t>2026-10-18</t>
        </is>
      </c>
      <c r="E3" s="173" t="inlineStr">
        <is>
          <t>1244</t>
        </is>
      </c>
      <c r="F3" s="96" t="inlineStr">
        <is>
          <t>HASLS22260902372</t>
        </is>
      </c>
      <c r="G3" s="96" t="inlineStr">
        <is>
          <t>DOUBLE A (1991) PUBLIC COMPANY LIMITED</t>
        </is>
      </c>
      <c r="H3" s="111" t="inlineStr">
        <is>
          <t>22GP</t>
        </is>
      </c>
      <c r="I3" s="96" t="inlineStr">
        <is>
          <t>EMAIL</t>
        </is>
      </c>
      <c r="J3" s="96" t="inlineStr">
        <is>
          <t>EDI2</t>
        </is>
      </c>
      <c r="K3" s="96" t="n"/>
      <c r="L3" s="111" t="inlineStr">
        <is>
          <t>Full</t>
        </is>
      </c>
      <c r="M3" s="96" t="inlineStr">
        <is>
          <t>HASLS22260902372</t>
        </is>
      </c>
      <c r="N3" s="96" t="inlineStr">
        <is>
          <t xml:space="preserve">20'x1 </t>
        </is>
      </c>
      <c r="O3" s="111" t="inlineStr">
        <is>
          <t>2014</t>
        </is>
      </c>
      <c r="P3" s="111" t="n"/>
      <c r="Q3" s="111" t="n"/>
      <c r="R3" s="96" t="inlineStr">
        <is>
          <t>KJT</t>
        </is>
      </c>
      <c r="S3" s="96" t="inlineStr">
        <is>
          <t>2611N</t>
        </is>
      </c>
      <c r="T3" s="96" t="inlineStr">
        <is>
          <t>LCH04</t>
        </is>
      </c>
      <c r="U3" s="96" t="inlineStr">
        <is>
          <t>THLCH</t>
        </is>
      </c>
      <c r="V3" s="161" t="inlineStr">
        <is>
          <t>2026-10-21</t>
        </is>
      </c>
      <c r="W3" s="96" t="inlineStr">
        <is>
          <t>HKHKG</t>
        </is>
      </c>
      <c r="X3" s="161" t="inlineStr">
        <is>
          <t>2026-10-25</t>
        </is>
      </c>
      <c r="Y3" s="97" t="n"/>
      <c r="Z3" s="97" t="n"/>
      <c r="AA3" s="97" t="n"/>
      <c r="AB3" s="97" t="n"/>
      <c r="AC3" s="97" t="n"/>
      <c r="AD3" s="161" t="inlineStr">
        <is>
          <t>2026-10-18</t>
        </is>
      </c>
      <c r="AE3" s="174" t="inlineStr">
        <is>
          <t>1600</t>
        </is>
      </c>
      <c r="AF3" s="96" t="inlineStr">
        <is>
          <t>EDI2</t>
        </is>
      </c>
      <c r="AG3" s="97" t="n"/>
      <c r="AH3" s="97" t="n"/>
      <c r="AI3" s="97" t="n"/>
      <c r="AJ3" s="96" t="inlineStr">
        <is>
          <t>TO ORDER</t>
        </is>
      </c>
      <c r="AK3" s="130" t="n"/>
    </row>
    <row r="4" ht="12" customHeight="1">
      <c r="A4" s="108" t="inlineStr">
        <is>
          <t>HALU5650360</t>
        </is>
      </c>
      <c r="B4" s="108" t="inlineStr">
        <is>
          <t>LCH04</t>
        </is>
      </c>
      <c r="C4" s="108" t="inlineStr">
        <is>
          <t>IFV</t>
        </is>
      </c>
      <c r="D4" s="172" t="inlineStr">
        <is>
          <t>2026-10-16</t>
        </is>
      </c>
      <c r="E4" s="173" t="inlineStr">
        <is>
          <t>0523</t>
        </is>
      </c>
      <c r="F4" s="96" t="inlineStr">
        <is>
          <t>HASLS22260901634</t>
        </is>
      </c>
      <c r="G4" s="96" t="inlineStr">
        <is>
          <t>LOGIMARK INTERNATIONAL LIMITED</t>
        </is>
      </c>
      <c r="H4" s="111" t="inlineStr">
        <is>
          <t>45GP</t>
        </is>
      </c>
      <c r="I4" s="96" t="inlineStr">
        <is>
          <t>EMAIL</t>
        </is>
      </c>
      <c r="J4" s="96" t="inlineStr">
        <is>
          <t>EDI2</t>
        </is>
      </c>
      <c r="K4" s="96" t="n"/>
      <c r="L4" s="111" t="inlineStr">
        <is>
          <t>Full</t>
        </is>
      </c>
      <c r="M4" s="96" t="inlineStr">
        <is>
          <t>HASLS22260901634</t>
        </is>
      </c>
      <c r="N4" s="96" t="inlineStr">
        <is>
          <t xml:space="preserve">40Hx1 </t>
        </is>
      </c>
      <c r="O4" s="111" t="inlineStr">
        <is>
          <t>2018</t>
        </is>
      </c>
      <c r="P4" s="111" t="n"/>
      <c r="Q4" s="111" t="n"/>
      <c r="R4" s="96" t="inlineStr">
        <is>
          <t>SKOR</t>
        </is>
      </c>
      <c r="S4" s="96" t="inlineStr">
        <is>
          <t>2612N</t>
        </is>
      </c>
      <c r="T4" s="96" t="inlineStr">
        <is>
          <t>LCH04</t>
        </is>
      </c>
      <c r="U4" s="96" t="inlineStr">
        <is>
          <t>THLCH</t>
        </is>
      </c>
      <c r="V4" s="161" t="inlineStr">
        <is>
          <t>2026-10-21</t>
        </is>
      </c>
      <c r="W4" s="96" t="inlineStr">
        <is>
          <t>JPHKT</t>
        </is>
      </c>
      <c r="X4" s="161" t="inlineStr">
        <is>
          <t>2026-10-29</t>
        </is>
      </c>
      <c r="Y4" s="97" t="n"/>
      <c r="Z4" s="97" t="n"/>
      <c r="AA4" s="97" t="n"/>
      <c r="AB4" s="97" t="n"/>
      <c r="AC4" s="97" t="n"/>
      <c r="AD4" s="161" t="inlineStr">
        <is>
          <t>2026-10-16</t>
        </is>
      </c>
      <c r="AE4" s="174" t="inlineStr">
        <is>
          <t>0800</t>
        </is>
      </c>
      <c r="AF4" s="96" t="inlineStr">
        <is>
          <t>EDI2</t>
        </is>
      </c>
      <c r="AG4" s="97" t="n"/>
      <c r="AH4" s="97" t="n"/>
      <c r="AI4" s="97" t="n"/>
      <c r="AJ4" s="96" t="inlineStr">
        <is>
          <t>IS JAPAN CO.,LTD.</t>
        </is>
      </c>
      <c r="AK4" s="130" t="n"/>
    </row>
    <row r="5" ht="12" customHeight="1">
      <c r="A5" s="108" t="inlineStr">
        <is>
          <t>HALU5663244</t>
        </is>
      </c>
      <c r="B5" s="108" t="inlineStr">
        <is>
          <t>LCH04</t>
        </is>
      </c>
      <c r="C5" s="108" t="inlineStr">
        <is>
          <t>IFV</t>
        </is>
      </c>
      <c r="D5" s="172" t="inlineStr">
        <is>
          <t>2026-10-17</t>
        </is>
      </c>
      <c r="E5" s="173" t="inlineStr">
        <is>
          <t>0335</t>
        </is>
      </c>
      <c r="F5" s="96" t="inlineStr">
        <is>
          <t>HASLS22260902515</t>
        </is>
      </c>
      <c r="G5" s="96" t="inlineStr">
        <is>
          <t>DOLPHIN LOGISTICS (THAILAND) CO., LTD.</t>
        </is>
      </c>
      <c r="H5" s="111" t="inlineStr">
        <is>
          <t>45GP</t>
        </is>
      </c>
      <c r="I5" s="96" t="inlineStr">
        <is>
          <t>EMAIL</t>
        </is>
      </c>
      <c r="J5" s="96" t="inlineStr">
        <is>
          <t>EDI2</t>
        </is>
      </c>
      <c r="K5" s="96" t="n"/>
      <c r="L5" s="111" t="inlineStr">
        <is>
          <t>Full</t>
        </is>
      </c>
      <c r="M5" s="96" t="inlineStr">
        <is>
          <t>HASLS22260902515</t>
        </is>
      </c>
      <c r="N5" s="96" t="inlineStr">
        <is>
          <t xml:space="preserve">40Hx1 </t>
        </is>
      </c>
      <c r="O5" s="111" t="inlineStr">
        <is>
          <t>2018</t>
        </is>
      </c>
      <c r="P5" s="111" t="n"/>
      <c r="Q5" s="111" t="n"/>
      <c r="R5" s="96" t="inlineStr">
        <is>
          <t>KJT</t>
        </is>
      </c>
      <c r="S5" s="96" t="inlineStr">
        <is>
          <t>2611N</t>
        </is>
      </c>
      <c r="T5" s="96" t="inlineStr">
        <is>
          <t>LCH04</t>
        </is>
      </c>
      <c r="U5" s="96" t="inlineStr">
        <is>
          <t>THLCH</t>
        </is>
      </c>
      <c r="V5" s="161" t="inlineStr">
        <is>
          <t>2026-10-21</t>
        </is>
      </c>
      <c r="W5" s="96" t="inlineStr">
        <is>
          <t>HKHKG</t>
        </is>
      </c>
      <c r="X5" s="161" t="inlineStr">
        <is>
          <t>2026-10-25</t>
        </is>
      </c>
      <c r="Y5" s="97" t="n"/>
      <c r="Z5" s="97" t="n"/>
      <c r="AA5" s="97" t="n"/>
      <c r="AB5" s="97" t="n"/>
      <c r="AC5" s="97" t="n"/>
      <c r="AD5" s="161" t="inlineStr">
        <is>
          <t>2026-10-17</t>
        </is>
      </c>
      <c r="AE5" s="174" t="inlineStr">
        <is>
          <t>0600</t>
        </is>
      </c>
      <c r="AF5" s="96" t="inlineStr">
        <is>
          <t>EDI2</t>
        </is>
      </c>
      <c r="AG5" s="97" t="n"/>
      <c r="AH5" s="97" t="n"/>
      <c r="AI5" s="97" t="n"/>
      <c r="AJ5" s="96" t="inlineStr">
        <is>
          <t>SIG FAI TRANSPORTATION COMPANY</t>
        </is>
      </c>
      <c r="AK5" s="130" t="n"/>
    </row>
    <row r="6" ht="12" customHeight="1">
      <c r="A6" s="108" t="inlineStr">
        <is>
          <t>SKHU6514145</t>
        </is>
      </c>
      <c r="B6" s="108" t="inlineStr">
        <is>
          <t>LCH04</t>
        </is>
      </c>
      <c r="C6" s="108" t="inlineStr">
        <is>
          <t>IFV</t>
        </is>
      </c>
      <c r="D6" s="172" t="inlineStr">
        <is>
          <t>2026-10-16</t>
        </is>
      </c>
      <c r="E6" s="173" t="inlineStr">
        <is>
          <t>2339</t>
        </is>
      </c>
      <c r="F6" s="96" t="inlineStr">
        <is>
          <t>HASLS22261001195</t>
        </is>
      </c>
      <c r="G6" s="96" t="inlineStr">
        <is>
          <t>DOLPHIN LOGISTICS (THAILAND) CO., LTD.</t>
        </is>
      </c>
      <c r="H6" s="111" t="inlineStr">
        <is>
          <t>45GP</t>
        </is>
      </c>
      <c r="I6" s="96" t="inlineStr">
        <is>
          <t>EMAIL</t>
        </is>
      </c>
      <c r="J6" s="96" t="inlineStr">
        <is>
          <t>EDI2</t>
        </is>
      </c>
      <c r="K6" s="96" t="n"/>
      <c r="L6" s="111" t="inlineStr">
        <is>
          <t>Full</t>
        </is>
      </c>
      <c r="M6" s="96" t="inlineStr">
        <is>
          <t>HASLS22261001195</t>
        </is>
      </c>
      <c r="N6" s="96" t="inlineStr">
        <is>
          <t xml:space="preserve">40Hx2 </t>
        </is>
      </c>
      <c r="O6" s="111" t="inlineStr">
        <is>
          <t>2025</t>
        </is>
      </c>
      <c r="P6" s="111" t="n"/>
      <c r="Q6" s="111" t="n"/>
      <c r="R6" s="96" t="inlineStr">
        <is>
          <t>KJT</t>
        </is>
      </c>
      <c r="S6" s="96" t="inlineStr">
        <is>
          <t>2611N</t>
        </is>
      </c>
      <c r="T6" s="96" t="inlineStr">
        <is>
          <t>LCH04</t>
        </is>
      </c>
      <c r="U6" s="96" t="inlineStr">
        <is>
          <t>THLCH</t>
        </is>
      </c>
      <c r="V6" s="161" t="inlineStr">
        <is>
          <t>2026-10-21</t>
        </is>
      </c>
      <c r="W6" s="96" t="inlineStr">
        <is>
          <t>HKHKG</t>
        </is>
      </c>
      <c r="X6" s="161" t="inlineStr">
        <is>
          <t>2026-10-25</t>
        </is>
      </c>
      <c r="Y6" s="97" t="n"/>
      <c r="Z6" s="97" t="n"/>
      <c r="AA6" s="97" t="n"/>
      <c r="AB6" s="97" t="n"/>
      <c r="AC6" s="97" t="n"/>
      <c r="AD6" s="161" t="inlineStr">
        <is>
          <t>2026-10-17</t>
        </is>
      </c>
      <c r="AE6" s="174" t="inlineStr">
        <is>
          <t>0200</t>
        </is>
      </c>
      <c r="AF6" s="96" t="inlineStr">
        <is>
          <t>EDI2</t>
        </is>
      </c>
      <c r="AG6" s="97" t="n"/>
      <c r="AH6" s="97" t="n"/>
      <c r="AI6" s="97" t="n"/>
      <c r="AJ6" s="96" t="inlineStr">
        <is>
          <t>SIG FAI TRANSPORTATION COMPANY</t>
        </is>
      </c>
      <c r="AK6" s="130" t="n"/>
    </row>
    <row r="7" ht="12" customHeight="1">
      <c r="A7" s="108" t="inlineStr">
        <is>
          <t>SKHU6579547</t>
        </is>
      </c>
      <c r="B7" s="108" t="inlineStr">
        <is>
          <t>LCH04</t>
        </is>
      </c>
      <c r="C7" s="108" t="inlineStr">
        <is>
          <t>IFV</t>
        </is>
      </c>
      <c r="D7" s="172" t="inlineStr">
        <is>
          <t>2026-10-18</t>
        </is>
      </c>
      <c r="E7" s="173" t="inlineStr">
        <is>
          <t>0102</t>
        </is>
      </c>
      <c r="F7" s="96" t="inlineStr">
        <is>
          <t>HASLS22261001195</t>
        </is>
      </c>
      <c r="G7" s="96" t="inlineStr">
        <is>
          <t>DOLPHIN LOGISTICS (THAILAND) CO., LTD.</t>
        </is>
      </c>
      <c r="H7" s="111" t="inlineStr">
        <is>
          <t>45GP</t>
        </is>
      </c>
      <c r="I7" s="96" t="inlineStr">
        <is>
          <t>EMAIL</t>
        </is>
      </c>
      <c r="J7" s="96" t="inlineStr">
        <is>
          <t>EDI2</t>
        </is>
      </c>
      <c r="K7" s="96" t="n"/>
      <c r="L7" s="111" t="inlineStr">
        <is>
          <t>Full</t>
        </is>
      </c>
      <c r="M7" s="96" t="inlineStr">
        <is>
          <t>HASLS22261001195</t>
        </is>
      </c>
      <c r="N7" s="96" t="inlineStr">
        <is>
          <t xml:space="preserve">40Hx2 </t>
        </is>
      </c>
      <c r="O7" s="111" t="inlineStr">
        <is>
          <t>2025</t>
        </is>
      </c>
      <c r="P7" s="111" t="n"/>
      <c r="Q7" s="111" t="n"/>
      <c r="R7" s="96" t="inlineStr">
        <is>
          <t>KJT</t>
        </is>
      </c>
      <c r="S7" s="96" t="inlineStr">
        <is>
          <t>2611N</t>
        </is>
      </c>
      <c r="T7" s="96" t="inlineStr">
        <is>
          <t>LCH04</t>
        </is>
      </c>
      <c r="U7" s="96" t="inlineStr">
        <is>
          <t>THLCH</t>
        </is>
      </c>
      <c r="V7" s="161" t="inlineStr">
        <is>
          <t>2026-10-21</t>
        </is>
      </c>
      <c r="W7" s="96" t="inlineStr">
        <is>
          <t>HKHKG</t>
        </is>
      </c>
      <c r="X7" s="161" t="inlineStr">
        <is>
          <t>2026-10-25</t>
        </is>
      </c>
      <c r="Y7" s="97" t="n"/>
      <c r="Z7" s="97" t="n"/>
      <c r="AA7" s="97" t="n"/>
      <c r="AB7" s="97" t="n"/>
      <c r="AC7" s="97" t="n"/>
      <c r="AD7" s="161" t="inlineStr">
        <is>
          <t>2026-10-18</t>
        </is>
      </c>
      <c r="AE7" s="174" t="inlineStr">
        <is>
          <t>0401</t>
        </is>
      </c>
      <c r="AF7" s="96" t="inlineStr">
        <is>
          <t>EDI2</t>
        </is>
      </c>
      <c r="AG7" s="97" t="n"/>
      <c r="AH7" s="97" t="n"/>
      <c r="AI7" s="97" t="n"/>
      <c r="AJ7" s="96" t="inlineStr">
        <is>
          <t>SIG FAI TRANSPORTATION COMPANY</t>
        </is>
      </c>
      <c r="AK7" s="130" t="n"/>
    </row>
    <row r="8" ht="12" customHeight="1">
      <c r="A8" s="108" t="inlineStr">
        <is>
          <t>SKHU8928123</t>
        </is>
      </c>
      <c r="B8" s="108" t="inlineStr">
        <is>
          <t>LCH04</t>
        </is>
      </c>
      <c r="C8" s="108" t="inlineStr">
        <is>
          <t>IFV</t>
        </is>
      </c>
      <c r="D8" s="172" t="inlineStr">
        <is>
          <t>2026-10-15</t>
        </is>
      </c>
      <c r="E8" s="173" t="inlineStr">
        <is>
          <t>0825</t>
        </is>
      </c>
      <c r="F8" s="96" t="inlineStr">
        <is>
          <t>HASLS22260902689</t>
        </is>
      </c>
      <c r="G8" s="96" t="inlineStr">
        <is>
          <t>YUSEN LOGISTICS (THAILAND) CO., LTD.</t>
        </is>
      </c>
      <c r="H8" s="111" t="inlineStr">
        <is>
          <t>45GP</t>
        </is>
      </c>
      <c r="I8" s="96" t="inlineStr">
        <is>
          <t>EMAIL</t>
        </is>
      </c>
      <c r="J8" s="96" t="inlineStr">
        <is>
          <t>EDI2</t>
        </is>
      </c>
      <c r="K8" s="96" t="n"/>
      <c r="L8" s="111" t="inlineStr">
        <is>
          <t>Full</t>
        </is>
      </c>
      <c r="M8" s="96" t="inlineStr">
        <is>
          <t>HASLS22260902689</t>
        </is>
      </c>
      <c r="N8" s="96" t="inlineStr">
        <is>
          <t xml:space="preserve">40Hx1 </t>
        </is>
      </c>
      <c r="O8" s="111" t="inlineStr">
        <is>
          <t>2019</t>
        </is>
      </c>
      <c r="P8" s="111" t="n"/>
      <c r="Q8" s="111" t="n"/>
      <c r="R8" s="96" t="inlineStr">
        <is>
          <t>KJT</t>
        </is>
      </c>
      <c r="S8" s="96" t="inlineStr">
        <is>
          <t>2611N</t>
        </is>
      </c>
      <c r="T8" s="96" t="inlineStr">
        <is>
          <t>LCH04</t>
        </is>
      </c>
      <c r="U8" s="96" t="inlineStr">
        <is>
          <t>THLCH</t>
        </is>
      </c>
      <c r="V8" s="161" t="inlineStr">
        <is>
          <t>2026-10-21</t>
        </is>
      </c>
      <c r="W8" s="96" t="inlineStr">
        <is>
          <t>HKHKG</t>
        </is>
      </c>
      <c r="X8" s="161" t="inlineStr">
        <is>
          <t>2026-10-25</t>
        </is>
      </c>
      <c r="Y8" s="97" t="n"/>
      <c r="Z8" s="97" t="n"/>
      <c r="AA8" s="97" t="n"/>
      <c r="AB8" s="97" t="n"/>
      <c r="AC8" s="97" t="n"/>
      <c r="AD8" s="161" t="inlineStr">
        <is>
          <t>2026-10-15</t>
        </is>
      </c>
      <c r="AE8" s="174" t="inlineStr">
        <is>
          <t>1200</t>
        </is>
      </c>
      <c r="AF8" s="96" t="inlineStr">
        <is>
          <t>EDI2</t>
        </is>
      </c>
      <c r="AG8" s="97" t="n"/>
      <c r="AH8" s="97" t="n"/>
      <c r="AI8" s="97" t="n"/>
      <c r="AJ8" s="96" t="inlineStr">
        <is>
          <t>YUSEN LOGISTICS (HONG KONG) LTD.</t>
        </is>
      </c>
      <c r="AK8" s="130" t="n"/>
    </row>
    <row r="9" ht="12" customHeight="1">
      <c r="A9" s="108" t="inlineStr">
        <is>
          <t>SKHU9802361</t>
        </is>
      </c>
      <c r="B9" s="108" t="inlineStr">
        <is>
          <t>LCH04</t>
        </is>
      </c>
      <c r="C9" s="108" t="inlineStr">
        <is>
          <t>IFV</t>
        </is>
      </c>
      <c r="D9" s="172" t="inlineStr">
        <is>
          <t>2026-10-17</t>
        </is>
      </c>
      <c r="E9" s="173" t="inlineStr">
        <is>
          <t>0231</t>
        </is>
      </c>
      <c r="F9" s="96" t="inlineStr">
        <is>
          <t>HASLS22261000416</t>
        </is>
      </c>
      <c r="G9" s="96" t="inlineStr">
        <is>
          <t>YUSEN LOGISTICS (THAILAND) CO., LTD.</t>
        </is>
      </c>
      <c r="H9" s="111" t="inlineStr">
        <is>
          <t>45GP</t>
        </is>
      </c>
      <c r="I9" s="96" t="inlineStr">
        <is>
          <t>EMAIL</t>
        </is>
      </c>
      <c r="J9" s="96" t="inlineStr">
        <is>
          <t>EDI2</t>
        </is>
      </c>
      <c r="K9" s="96" t="n"/>
      <c r="L9" s="111" t="inlineStr">
        <is>
          <t>Full</t>
        </is>
      </c>
      <c r="M9" s="96" t="inlineStr">
        <is>
          <t>HASLS22261000416</t>
        </is>
      </c>
      <c r="N9" s="96" t="inlineStr">
        <is>
          <t xml:space="preserve">40Hx1 </t>
        </is>
      </c>
      <c r="O9" s="111" t="inlineStr">
        <is>
          <t>2018</t>
        </is>
      </c>
      <c r="P9" s="111" t="n"/>
      <c r="Q9" s="111" t="n"/>
      <c r="R9" s="96" t="inlineStr">
        <is>
          <t>KJT</t>
        </is>
      </c>
      <c r="S9" s="96" t="inlineStr">
        <is>
          <t>2611N</t>
        </is>
      </c>
      <c r="T9" s="96" t="inlineStr">
        <is>
          <t>LCH04</t>
        </is>
      </c>
      <c r="U9" s="96" t="inlineStr">
        <is>
          <t>THLCH</t>
        </is>
      </c>
      <c r="V9" s="161" t="inlineStr">
        <is>
          <t>2026-10-21</t>
        </is>
      </c>
      <c r="W9" s="96" t="inlineStr">
        <is>
          <t>HKHKG</t>
        </is>
      </c>
      <c r="X9" s="161" t="inlineStr">
        <is>
          <t>2026-10-25</t>
        </is>
      </c>
      <c r="Y9" s="97" t="n"/>
      <c r="Z9" s="97" t="n"/>
      <c r="AA9" s="97" t="n"/>
      <c r="AB9" s="97" t="n"/>
      <c r="AC9" s="97" t="n"/>
      <c r="AD9" s="161" t="inlineStr">
        <is>
          <t>2026-10-17</t>
        </is>
      </c>
      <c r="AE9" s="174" t="inlineStr">
        <is>
          <t>0600</t>
        </is>
      </c>
      <c r="AF9" s="96" t="inlineStr">
        <is>
          <t>EDI2</t>
        </is>
      </c>
      <c r="AG9" s="97" t="n"/>
      <c r="AH9" s="97" t="n"/>
      <c r="AI9" s="97" t="n"/>
      <c r="AJ9" s="96" t="inlineStr">
        <is>
          <t>YUSEN LOGISTICS (HONG KONG) LTD.</t>
        </is>
      </c>
      <c r="AK9" s="130" t="n"/>
    </row>
    <row r="10" ht="12" customHeight="1">
      <c r="A10" s="108" t="inlineStr">
        <is>
          <t>SKHU9951004</t>
        </is>
      </c>
      <c r="B10" s="108" t="inlineStr">
        <is>
          <t>LCH04</t>
        </is>
      </c>
      <c r="C10" s="108" t="inlineStr">
        <is>
          <t>IFV</t>
        </is>
      </c>
      <c r="D10" s="172" t="inlineStr">
        <is>
          <t>2026-10-18</t>
        </is>
      </c>
      <c r="E10" s="173" t="inlineStr">
        <is>
          <t>0147</t>
        </is>
      </c>
      <c r="F10" s="96" t="inlineStr">
        <is>
          <t>HASLS22261000653</t>
        </is>
      </c>
      <c r="G10" s="96" t="inlineStr">
        <is>
          <t>DOLPHIN LOGISTICS (THAILAND) CO., LTD.</t>
        </is>
      </c>
      <c r="H10" s="111" t="inlineStr">
        <is>
          <t>45GP</t>
        </is>
      </c>
      <c r="I10" s="96" t="inlineStr">
        <is>
          <t>EMAIL</t>
        </is>
      </c>
      <c r="J10" s="96" t="inlineStr">
        <is>
          <t>EDI2</t>
        </is>
      </c>
      <c r="K10" s="96" t="n"/>
      <c r="L10" s="111" t="inlineStr">
        <is>
          <t>Full</t>
        </is>
      </c>
      <c r="M10" s="96" t="inlineStr">
        <is>
          <t>HASLS22261000653</t>
        </is>
      </c>
      <c r="N10" s="96" t="inlineStr">
        <is>
          <t xml:space="preserve">40Hx1 </t>
        </is>
      </c>
      <c r="O10" s="111" t="inlineStr">
        <is>
          <t>2019</t>
        </is>
      </c>
      <c r="P10" s="111" t="n"/>
      <c r="Q10" s="111" t="n"/>
      <c r="R10" s="96" t="inlineStr">
        <is>
          <t>KJT</t>
        </is>
      </c>
      <c r="S10" s="96" t="inlineStr">
        <is>
          <t>2611N</t>
        </is>
      </c>
      <c r="T10" s="96" t="inlineStr">
        <is>
          <t>LCH04</t>
        </is>
      </c>
      <c r="U10" s="96" t="inlineStr">
        <is>
          <t>THLCH</t>
        </is>
      </c>
      <c r="V10" s="161" t="inlineStr">
        <is>
          <t>2026-10-21</t>
        </is>
      </c>
      <c r="W10" s="96" t="inlineStr">
        <is>
          <t>HKHKG</t>
        </is>
      </c>
      <c r="X10" s="161" t="inlineStr">
        <is>
          <t>2026-10-25</t>
        </is>
      </c>
      <c r="Y10" s="97" t="n"/>
      <c r="Z10" s="97" t="n"/>
      <c r="AA10" s="97" t="n"/>
      <c r="AB10" s="97" t="n"/>
      <c r="AC10" s="97" t="n"/>
      <c r="AD10" s="161" t="inlineStr">
        <is>
          <t>2026-10-18</t>
        </is>
      </c>
      <c r="AE10" s="174" t="inlineStr">
        <is>
          <t>0401</t>
        </is>
      </c>
      <c r="AF10" s="96" t="inlineStr">
        <is>
          <t>EDI2</t>
        </is>
      </c>
      <c r="AG10" s="97" t="n"/>
      <c r="AH10" s="97" t="n"/>
      <c r="AI10" s="97" t="n"/>
      <c r="AJ10" s="96" t="inlineStr">
        <is>
          <t>SIG FAI TRANSPORTATION COMPANY</t>
        </is>
      </c>
      <c r="AK10" s="130" t="n"/>
    </row>
    <row r="11" ht="12" customHeight="1">
      <c r="A11" s="108" t="inlineStr">
        <is>
          <t>SKLU1100177</t>
        </is>
      </c>
      <c r="B11" s="108" t="inlineStr">
        <is>
          <t>LCH04</t>
        </is>
      </c>
      <c r="C11" s="108" t="inlineStr">
        <is>
          <t>IFV</t>
        </is>
      </c>
      <c r="D11" s="172" t="inlineStr">
        <is>
          <t>2026-10-13</t>
        </is>
      </c>
      <c r="E11" s="173" t="inlineStr">
        <is>
          <t>0928</t>
        </is>
      </c>
      <c r="F11" s="96" t="inlineStr">
        <is>
          <t>HASLS22260902576</t>
        </is>
      </c>
      <c r="G11" s="96" t="inlineStr">
        <is>
          <t>DOUBLE A (1991) PUBLIC COMPANY LIMITED</t>
        </is>
      </c>
      <c r="H11" s="111" t="inlineStr">
        <is>
          <t>22GP</t>
        </is>
      </c>
      <c r="I11" s="96" t="inlineStr">
        <is>
          <t>EMAIL</t>
        </is>
      </c>
      <c r="J11" s="96" t="inlineStr">
        <is>
          <t>EDI2</t>
        </is>
      </c>
      <c r="K11" s="96" t="n"/>
      <c r="L11" s="111" t="inlineStr">
        <is>
          <t>Full</t>
        </is>
      </c>
      <c r="M11" s="96" t="inlineStr">
        <is>
          <t>HASLS22260902576</t>
        </is>
      </c>
      <c r="N11" s="96" t="inlineStr">
        <is>
          <t xml:space="preserve">20'x2 </t>
        </is>
      </c>
      <c r="O11" s="111" t="inlineStr">
        <is>
          <t>2011</t>
        </is>
      </c>
      <c r="P11" s="111" t="n"/>
      <c r="Q11" s="111" t="n"/>
      <c r="R11" s="96" t="inlineStr">
        <is>
          <t>KMTP</t>
        </is>
      </c>
      <c r="S11" s="96" t="inlineStr">
        <is>
          <t>2612N</t>
        </is>
      </c>
      <c r="T11" s="96" t="inlineStr">
        <is>
          <t>LCH04</t>
        </is>
      </c>
      <c r="U11" s="96" t="inlineStr">
        <is>
          <t>THLCH</t>
        </is>
      </c>
      <c r="V11" s="161" t="inlineStr">
        <is>
          <t>2026-10-21</t>
        </is>
      </c>
      <c r="W11" s="96" t="inlineStr">
        <is>
          <t>HKHKG</t>
        </is>
      </c>
      <c r="X11" s="161" t="inlineStr">
        <is>
          <t>2026-10-25</t>
        </is>
      </c>
      <c r="Y11" s="97" t="n"/>
      <c r="Z11" s="97" t="n"/>
      <c r="AA11" s="97" t="n"/>
      <c r="AB11" s="97" t="n"/>
      <c r="AC11" s="97" t="n"/>
      <c r="AD11" s="161" t="inlineStr">
        <is>
          <t>2026-10-13</t>
        </is>
      </c>
      <c r="AE11" s="174" t="inlineStr">
        <is>
          <t>1200</t>
        </is>
      </c>
      <c r="AF11" s="96" t="inlineStr">
        <is>
          <t>EDI2</t>
        </is>
      </c>
      <c r="AG11" s="97" t="n"/>
      <c r="AH11" s="97" t="n"/>
      <c r="AI11" s="97" t="n"/>
      <c r="AJ11" s="96" t="inlineStr">
        <is>
          <t>TO ORDER</t>
        </is>
      </c>
      <c r="AK11" s="130" t="n"/>
    </row>
    <row r="12" ht="12" customHeight="1">
      <c r="A12" s="108" t="inlineStr">
        <is>
          <t>SKLU1204269</t>
        </is>
      </c>
      <c r="B12" s="108" t="inlineStr">
        <is>
          <t>LCH04</t>
        </is>
      </c>
      <c r="C12" s="108" t="inlineStr">
        <is>
          <t>IFV</t>
        </is>
      </c>
      <c r="D12" s="172" t="inlineStr">
        <is>
          <t>2026-10-13</t>
        </is>
      </c>
      <c r="E12" s="173" t="inlineStr">
        <is>
          <t>0421</t>
        </is>
      </c>
      <c r="F12" s="96" t="inlineStr">
        <is>
          <t>HASLS22260902576</t>
        </is>
      </c>
      <c r="G12" s="96" t="inlineStr">
        <is>
          <t>DOUBLE A (1991) PUBLIC COMPANY LIMITED</t>
        </is>
      </c>
      <c r="H12" s="111" t="inlineStr">
        <is>
          <t>22GP</t>
        </is>
      </c>
      <c r="I12" s="96" t="inlineStr">
        <is>
          <t>EMAIL</t>
        </is>
      </c>
      <c r="J12" s="96" t="inlineStr">
        <is>
          <t>EDI2</t>
        </is>
      </c>
      <c r="K12" s="96" t="n"/>
      <c r="L12" s="111" t="inlineStr">
        <is>
          <t>Full</t>
        </is>
      </c>
      <c r="M12" s="96" t="inlineStr">
        <is>
          <t>HASLS22260902576</t>
        </is>
      </c>
      <c r="N12" s="96" t="inlineStr">
        <is>
          <t xml:space="preserve">20'x2 </t>
        </is>
      </c>
      <c r="O12" s="111" t="inlineStr">
        <is>
          <t>2012</t>
        </is>
      </c>
      <c r="P12" s="111" t="n"/>
      <c r="Q12" s="111" t="n"/>
      <c r="R12" s="96" t="inlineStr">
        <is>
          <t>KMTP</t>
        </is>
      </c>
      <c r="S12" s="96" t="inlineStr">
        <is>
          <t>2612N</t>
        </is>
      </c>
      <c r="T12" s="96" t="inlineStr">
        <is>
          <t>LCH04</t>
        </is>
      </c>
      <c r="U12" s="96" t="inlineStr">
        <is>
          <t>THLCH</t>
        </is>
      </c>
      <c r="V12" s="161" t="inlineStr">
        <is>
          <t>2026-10-21</t>
        </is>
      </c>
      <c r="W12" s="96" t="inlineStr">
        <is>
          <t>HKHKG</t>
        </is>
      </c>
      <c r="X12" s="161" t="inlineStr">
        <is>
          <t>2026-10-25</t>
        </is>
      </c>
      <c r="Y12" s="97" t="n"/>
      <c r="Z12" s="97" t="n"/>
      <c r="AA12" s="97" t="n"/>
      <c r="AB12" s="97" t="n"/>
      <c r="AC12" s="97" t="n"/>
      <c r="AD12" s="161" t="inlineStr">
        <is>
          <t>2026-10-13</t>
        </is>
      </c>
      <c r="AE12" s="174" t="inlineStr">
        <is>
          <t>0800</t>
        </is>
      </c>
      <c r="AF12" s="96" t="inlineStr">
        <is>
          <t>EDI2</t>
        </is>
      </c>
      <c r="AG12" s="97" t="n"/>
      <c r="AH12" s="97" t="n"/>
      <c r="AI12" s="97" t="n"/>
      <c r="AJ12" s="96" t="inlineStr">
        <is>
          <t>TO ORDER</t>
        </is>
      </c>
      <c r="AK12" s="130" t="n"/>
    </row>
    <row r="13" ht="12" customHeight="1">
      <c r="A13" s="108" t="inlineStr">
        <is>
          <t>SKLU1407353</t>
        </is>
      </c>
      <c r="B13" s="108" t="inlineStr">
        <is>
          <t>LCH04</t>
        </is>
      </c>
      <c r="C13" s="108" t="inlineStr">
        <is>
          <t>IFV</t>
        </is>
      </c>
      <c r="D13" s="172" t="inlineStr">
        <is>
          <t>2026-10-16</t>
        </is>
      </c>
      <c r="E13" s="173" t="inlineStr">
        <is>
          <t>2107</t>
        </is>
      </c>
      <c r="F13" s="96" t="inlineStr">
        <is>
          <t>HASLS22261000649</t>
        </is>
      </c>
      <c r="G13" s="96" t="inlineStr">
        <is>
          <t>UBE CHEMICALS (ASIA) PUBLIC COMPANY LIMITED</t>
        </is>
      </c>
      <c r="H13" s="111" t="inlineStr">
        <is>
          <t>22GP</t>
        </is>
      </c>
      <c r="I13" s="96" t="inlineStr">
        <is>
          <t>EMAIL</t>
        </is>
      </c>
      <c r="J13" s="96" t="inlineStr">
        <is>
          <t>EDI2</t>
        </is>
      </c>
      <c r="K13" s="96" t="n"/>
      <c r="L13" s="111" t="inlineStr">
        <is>
          <t>Full</t>
        </is>
      </c>
      <c r="M13" s="96" t="inlineStr">
        <is>
          <t>HASLS22261000649</t>
        </is>
      </c>
      <c r="N13" s="96" t="inlineStr">
        <is>
          <t xml:space="preserve">20'x1 </t>
        </is>
      </c>
      <c r="O13" s="111" t="inlineStr">
        <is>
          <t>2014</t>
        </is>
      </c>
      <c r="P13" s="111" t="n"/>
      <c r="Q13" s="111" t="n"/>
      <c r="R13" s="96" t="inlineStr">
        <is>
          <t>KJT</t>
        </is>
      </c>
      <c r="S13" s="96" t="inlineStr">
        <is>
          <t>2611N</t>
        </is>
      </c>
      <c r="T13" s="96" t="inlineStr">
        <is>
          <t>LCH04</t>
        </is>
      </c>
      <c r="U13" s="96" t="inlineStr">
        <is>
          <t>THLCH</t>
        </is>
      </c>
      <c r="V13" s="161" t="inlineStr">
        <is>
          <t>2026-10-21</t>
        </is>
      </c>
      <c r="W13" s="96" t="inlineStr">
        <is>
          <t>HKHKG</t>
        </is>
      </c>
      <c r="X13" s="161" t="inlineStr">
        <is>
          <t>2026-10-25</t>
        </is>
      </c>
      <c r="Y13" s="97" t="n"/>
      <c r="Z13" s="97" t="n"/>
      <c r="AA13" s="97" t="n"/>
      <c r="AB13" s="97" t="n"/>
      <c r="AC13" s="97" t="n"/>
      <c r="AD13" s="161" t="inlineStr">
        <is>
          <t>2026-10-17</t>
        </is>
      </c>
      <c r="AE13" s="174" t="inlineStr">
        <is>
          <t>0001</t>
        </is>
      </c>
      <c r="AF13" s="96" t="inlineStr">
        <is>
          <t>EDI2</t>
        </is>
      </c>
      <c r="AG13" s="97" t="n"/>
      <c r="AH13" s="97" t="n"/>
      <c r="AI13" s="97" t="n"/>
      <c r="AJ13" s="96" t="inlineStr">
        <is>
          <t>DONGGUAN LAAYOUNE CHEMICAL</t>
        </is>
      </c>
      <c r="AK13" s="130" t="n"/>
    </row>
    <row r="14" ht="12" customHeight="1">
      <c r="A14" s="108" t="inlineStr">
        <is>
          <t>SKLU1573858</t>
        </is>
      </c>
      <c r="B14" s="108" t="inlineStr">
        <is>
          <t>LCH04</t>
        </is>
      </c>
      <c r="C14" s="108" t="inlineStr">
        <is>
          <t>IFV</t>
        </is>
      </c>
      <c r="D14" s="172" t="inlineStr">
        <is>
          <t>2026-10-15</t>
        </is>
      </c>
      <c r="E14" s="173" t="inlineStr">
        <is>
          <t>2247</t>
        </is>
      </c>
      <c r="F14" s="96" t="inlineStr">
        <is>
          <t>HASLS22261000286</t>
        </is>
      </c>
      <c r="G14" s="96" t="inlineStr">
        <is>
          <t>DOUBLE A (1991) PUBLIC COMPANY LIMITED</t>
        </is>
      </c>
      <c r="H14" s="111" t="inlineStr">
        <is>
          <t>22GP</t>
        </is>
      </c>
      <c r="I14" s="96" t="inlineStr">
        <is>
          <t>EMAIL</t>
        </is>
      </c>
      <c r="J14" s="96" t="inlineStr">
        <is>
          <t>EDI2</t>
        </is>
      </c>
      <c r="K14" s="96" t="n"/>
      <c r="L14" s="111" t="inlineStr">
        <is>
          <t>Full</t>
        </is>
      </c>
      <c r="M14" s="96" t="inlineStr">
        <is>
          <t>HASLS22261000286</t>
        </is>
      </c>
      <c r="N14" s="96" t="inlineStr">
        <is>
          <t xml:space="preserve">20'x1 </t>
        </is>
      </c>
      <c r="O14" s="111" t="inlineStr">
        <is>
          <t>2015</t>
        </is>
      </c>
      <c r="P14" s="111" t="n"/>
      <c r="Q14" s="111" t="n"/>
      <c r="R14" s="96" t="inlineStr">
        <is>
          <t>KJT</t>
        </is>
      </c>
      <c r="S14" s="96" t="inlineStr">
        <is>
          <t>2611N</t>
        </is>
      </c>
      <c r="T14" s="96" t="inlineStr">
        <is>
          <t>LCH04</t>
        </is>
      </c>
      <c r="U14" s="96" t="inlineStr">
        <is>
          <t>THLCH</t>
        </is>
      </c>
      <c r="V14" s="161" t="inlineStr">
        <is>
          <t>2026-10-21</t>
        </is>
      </c>
      <c r="W14" s="96" t="inlineStr">
        <is>
          <t>HKHKG</t>
        </is>
      </c>
      <c r="X14" s="161" t="inlineStr">
        <is>
          <t>2026-10-25</t>
        </is>
      </c>
      <c r="Y14" s="97" t="n"/>
      <c r="Z14" s="97" t="n"/>
      <c r="AA14" s="97" t="n"/>
      <c r="AB14" s="97" t="n"/>
      <c r="AC14" s="97" t="n"/>
      <c r="AD14" s="161" t="inlineStr">
        <is>
          <t>2026-10-16</t>
        </is>
      </c>
      <c r="AE14" s="174" t="inlineStr">
        <is>
          <t>0200</t>
        </is>
      </c>
      <c r="AF14" s="96" t="inlineStr">
        <is>
          <t>EDI2</t>
        </is>
      </c>
      <c r="AG14" s="97" t="n"/>
      <c r="AH14" s="97" t="n"/>
      <c r="AI14" s="97" t="n"/>
      <c r="AJ14" s="96" t="inlineStr">
        <is>
          <t>TO ORDER</t>
        </is>
      </c>
      <c r="AK14" s="130" t="n"/>
    </row>
    <row r="15" ht="12" customHeight="1">
      <c r="A15" s="108" t="inlineStr">
        <is>
          <t>SKLU1592375</t>
        </is>
      </c>
      <c r="B15" s="108" t="inlineStr">
        <is>
          <t>LCH04</t>
        </is>
      </c>
      <c r="C15" s="108" t="inlineStr">
        <is>
          <t>IFV</t>
        </is>
      </c>
      <c r="D15" s="172" t="inlineStr">
        <is>
          <t>2026-10-15</t>
        </is>
      </c>
      <c r="E15" s="173" t="inlineStr">
        <is>
          <t>2153</t>
        </is>
      </c>
      <c r="F15" s="96" t="inlineStr">
        <is>
          <t>HASLS22260902102</t>
        </is>
      </c>
      <c r="G15" s="96" t="inlineStr">
        <is>
          <t>THAI POLYCARBONATE CO., LTD.</t>
        </is>
      </c>
      <c r="H15" s="111" t="inlineStr">
        <is>
          <t>22GP</t>
        </is>
      </c>
      <c r="I15" s="96" t="inlineStr">
        <is>
          <t>EMAIL</t>
        </is>
      </c>
      <c r="J15" s="96" t="inlineStr">
        <is>
          <t>EDI2</t>
        </is>
      </c>
      <c r="K15" s="96" t="n"/>
      <c r="L15" s="111" t="inlineStr">
        <is>
          <t>Full</t>
        </is>
      </c>
      <c r="M15" s="96" t="inlineStr">
        <is>
          <t>HASLS22260902102</t>
        </is>
      </c>
      <c r="N15" s="96" t="inlineStr">
        <is>
          <t xml:space="preserve">20'x1 </t>
        </is>
      </c>
      <c r="O15" s="111" t="inlineStr">
        <is>
          <t>2015</t>
        </is>
      </c>
      <c r="P15" s="111" t="n"/>
      <c r="Q15" s="111" t="n"/>
      <c r="R15" s="96" t="inlineStr">
        <is>
          <t>KJT</t>
        </is>
      </c>
      <c r="S15" s="96" t="inlineStr">
        <is>
          <t>2611N</t>
        </is>
      </c>
      <c r="T15" s="96" t="inlineStr">
        <is>
          <t>LCH04</t>
        </is>
      </c>
      <c r="U15" s="96" t="inlineStr">
        <is>
          <t>THLCH</t>
        </is>
      </c>
      <c r="V15" s="161" t="inlineStr">
        <is>
          <t>2026-10-21</t>
        </is>
      </c>
      <c r="W15" s="96" t="inlineStr">
        <is>
          <t>HKHKG</t>
        </is>
      </c>
      <c r="X15" s="161" t="inlineStr">
        <is>
          <t>2026-10-25</t>
        </is>
      </c>
      <c r="Y15" s="97" t="n"/>
      <c r="Z15" s="97" t="n"/>
      <c r="AA15" s="97" t="n"/>
      <c r="AB15" s="97" t="n"/>
      <c r="AC15" s="97" t="n"/>
      <c r="AD15" s="161" t="inlineStr">
        <is>
          <t>2026-10-16</t>
        </is>
      </c>
      <c r="AE15" s="174" t="inlineStr">
        <is>
          <t>0001</t>
        </is>
      </c>
      <c r="AF15" s="96" t="inlineStr">
        <is>
          <t>EDI2</t>
        </is>
      </c>
      <c r="AG15" s="97" t="n"/>
      <c r="AH15" s="97" t="n"/>
      <c r="AI15" s="97" t="n"/>
      <c r="AJ15" s="96" t="inlineStr">
        <is>
          <t>MITSUI &amp; CO. (HONG KONG) LTD</t>
        </is>
      </c>
      <c r="AK15" s="130" t="n"/>
    </row>
    <row r="16" ht="12" customHeight="1">
      <c r="A16" s="108" t="inlineStr">
        <is>
          <t>SKLU1614221</t>
        </is>
      </c>
      <c r="B16" s="108" t="inlineStr">
        <is>
          <t>LCH04</t>
        </is>
      </c>
      <c r="C16" s="108" t="inlineStr">
        <is>
          <t>IFV</t>
        </is>
      </c>
      <c r="D16" s="172" t="inlineStr">
        <is>
          <t>2026-10-16</t>
        </is>
      </c>
      <c r="E16" s="173" t="inlineStr">
        <is>
          <t>0512</t>
        </is>
      </c>
      <c r="F16" s="96" t="inlineStr">
        <is>
          <t>HASLS22261000689</t>
        </is>
      </c>
      <c r="G16" s="96" t="inlineStr">
        <is>
          <t>RHENUS LOGISTICS CO., LTD.</t>
        </is>
      </c>
      <c r="H16" s="111" t="inlineStr">
        <is>
          <t>22GP</t>
        </is>
      </c>
      <c r="I16" s="96" t="inlineStr">
        <is>
          <t>EMAIL</t>
        </is>
      </c>
      <c r="J16" s="96" t="inlineStr">
        <is>
          <t>EDI2</t>
        </is>
      </c>
      <c r="K16" s="96" t="n"/>
      <c r="L16" s="111" t="inlineStr">
        <is>
          <t>Full</t>
        </is>
      </c>
      <c r="M16" s="96" t="inlineStr">
        <is>
          <t>HASLS22261000689</t>
        </is>
      </c>
      <c r="N16" s="96" t="inlineStr">
        <is>
          <t xml:space="preserve">20'x1 </t>
        </is>
      </c>
      <c r="O16" s="111" t="inlineStr">
        <is>
          <t>2016</t>
        </is>
      </c>
      <c r="P16" s="111" t="n"/>
      <c r="Q16" s="111" t="n"/>
      <c r="R16" s="96" t="inlineStr">
        <is>
          <t>KJT</t>
        </is>
      </c>
      <c r="S16" s="96" t="inlineStr">
        <is>
          <t>2611N</t>
        </is>
      </c>
      <c r="T16" s="96" t="inlineStr">
        <is>
          <t>LCH04</t>
        </is>
      </c>
      <c r="U16" s="96" t="inlineStr">
        <is>
          <t>THLCH</t>
        </is>
      </c>
      <c r="V16" s="161" t="inlineStr">
        <is>
          <t>2026-10-21</t>
        </is>
      </c>
      <c r="W16" s="96" t="inlineStr">
        <is>
          <t>HKHKG</t>
        </is>
      </c>
      <c r="X16" s="161" t="inlineStr">
        <is>
          <t>2026-10-25</t>
        </is>
      </c>
      <c r="Y16" s="97" t="n"/>
      <c r="Z16" s="97" t="n"/>
      <c r="AA16" s="97" t="n"/>
      <c r="AB16" s="97" t="n"/>
      <c r="AC16" s="97" t="n"/>
      <c r="AD16" s="161" t="inlineStr">
        <is>
          <t>2026-10-16</t>
        </is>
      </c>
      <c r="AE16" s="174" t="inlineStr">
        <is>
          <t>0800</t>
        </is>
      </c>
      <c r="AF16" s="96" t="inlineStr">
        <is>
          <t>EDI2</t>
        </is>
      </c>
      <c r="AG16" s="97" t="n"/>
      <c r="AH16" s="97" t="n"/>
      <c r="AI16" s="97" t="n"/>
      <c r="AJ16" s="96" t="inlineStr">
        <is>
          <t>RHENUS LOGISTICS HONG KONG LTD.</t>
        </is>
      </c>
      <c r="AK16" s="130" t="n"/>
    </row>
    <row r="17" ht="12" customHeight="1">
      <c r="A17" s="108" t="inlineStr">
        <is>
          <t>SKLU1649125</t>
        </is>
      </c>
      <c r="B17" s="108" t="inlineStr">
        <is>
          <t>LCH04</t>
        </is>
      </c>
      <c r="C17" s="108" t="inlineStr">
        <is>
          <t>IFV</t>
        </is>
      </c>
      <c r="D17" s="172" t="inlineStr">
        <is>
          <t>2026-10-15</t>
        </is>
      </c>
      <c r="E17" s="173" t="inlineStr">
        <is>
          <t>1402</t>
        </is>
      </c>
      <c r="F17" s="96" t="inlineStr">
        <is>
          <t>HASLS22261000546</t>
        </is>
      </c>
      <c r="G17" s="96" t="inlineStr">
        <is>
          <t>ALUCON PUBLIC COMPANY LIMITED</t>
        </is>
      </c>
      <c r="H17" s="111" t="inlineStr">
        <is>
          <t>22GP</t>
        </is>
      </c>
      <c r="I17" s="96" t="inlineStr">
        <is>
          <t>EMAIL</t>
        </is>
      </c>
      <c r="J17" s="96" t="inlineStr">
        <is>
          <t>EDI2</t>
        </is>
      </c>
      <c r="K17" s="96" t="n"/>
      <c r="L17" s="111" t="inlineStr">
        <is>
          <t>Full</t>
        </is>
      </c>
      <c r="M17" s="96" t="inlineStr">
        <is>
          <t>HASLS22261000546</t>
        </is>
      </c>
      <c r="N17" s="96" t="inlineStr">
        <is>
          <t xml:space="preserve">20'x1 </t>
        </is>
      </c>
      <c r="O17" s="111" t="inlineStr">
        <is>
          <t>2016</t>
        </is>
      </c>
      <c r="P17" s="111" t="n"/>
      <c r="Q17" s="111" t="n"/>
      <c r="R17" s="96" t="inlineStr">
        <is>
          <t>KJT</t>
        </is>
      </c>
      <c r="S17" s="96" t="inlineStr">
        <is>
          <t>2611N</t>
        </is>
      </c>
      <c r="T17" s="96" t="inlineStr">
        <is>
          <t>LCH04</t>
        </is>
      </c>
      <c r="U17" s="96" t="inlineStr">
        <is>
          <t>THLCH</t>
        </is>
      </c>
      <c r="V17" s="161" t="inlineStr">
        <is>
          <t>2026-10-21</t>
        </is>
      </c>
      <c r="W17" s="96" t="inlineStr">
        <is>
          <t>TWKEL</t>
        </is>
      </c>
      <c r="X17" s="161" t="inlineStr">
        <is>
          <t>2026-10-27</t>
        </is>
      </c>
      <c r="Y17" s="97" t="n"/>
      <c r="Z17" s="97" t="n"/>
      <c r="AA17" s="97" t="n"/>
      <c r="AB17" s="97" t="n"/>
      <c r="AC17" s="97" t="n"/>
      <c r="AD17" s="161" t="inlineStr">
        <is>
          <t>2026-10-15</t>
        </is>
      </c>
      <c r="AE17" s="174" t="inlineStr">
        <is>
          <t>1800</t>
        </is>
      </c>
      <c r="AF17" s="96" t="inlineStr">
        <is>
          <t>EDI2</t>
        </is>
      </c>
      <c r="AG17" s="97" t="n"/>
      <c r="AH17" s="97" t="n"/>
      <c r="AI17" s="97" t="n"/>
      <c r="AJ17" s="96" t="inlineStr">
        <is>
          <t>SHIEUN-TA INDUSTRY CO.,LTD.</t>
        </is>
      </c>
      <c r="AK17" s="130" t="n"/>
    </row>
    <row r="18" ht="12" customHeight="1">
      <c r="A18" s="108" t="inlineStr">
        <is>
          <t>SKLU1935068</t>
        </is>
      </c>
      <c r="B18" s="108" t="inlineStr">
        <is>
          <t>LCH04</t>
        </is>
      </c>
      <c r="C18" s="108" t="inlineStr">
        <is>
          <t>IFV</t>
        </is>
      </c>
      <c r="D18" s="172" t="inlineStr">
        <is>
          <t>2026-10-09</t>
        </is>
      </c>
      <c r="E18" s="173" t="inlineStr">
        <is>
          <t>1709</t>
        </is>
      </c>
      <c r="F18" s="96" t="inlineStr">
        <is>
          <t>HASLS22260900213</t>
        </is>
      </c>
      <c r="G18" s="96" t="inlineStr">
        <is>
          <t>MOL LOGISTICS (THAILAND) CO., LTD.</t>
        </is>
      </c>
      <c r="H18" s="111" t="inlineStr">
        <is>
          <t>22GP</t>
        </is>
      </c>
      <c r="I18" s="96" t="inlineStr">
        <is>
          <t>EMAIL</t>
        </is>
      </c>
      <c r="J18" s="96" t="inlineStr">
        <is>
          <t>EDI2</t>
        </is>
      </c>
      <c r="K18" s="96" t="n"/>
      <c r="L18" s="111" t="inlineStr">
        <is>
          <t>Full</t>
        </is>
      </c>
      <c r="M18" s="96" t="inlineStr">
        <is>
          <t>HASLS22260900213</t>
        </is>
      </c>
      <c r="N18" s="96" t="inlineStr">
        <is>
          <t xml:space="preserve">20'x1 </t>
        </is>
      </c>
      <c r="O18" s="111" t="inlineStr">
        <is>
          <t>2019</t>
        </is>
      </c>
      <c r="P18" s="111" t="n"/>
      <c r="Q18" s="111" t="n"/>
      <c r="R18" s="96" t="inlineStr">
        <is>
          <t>KJT</t>
        </is>
      </c>
      <c r="S18" s="96" t="inlineStr">
        <is>
          <t>2611N</t>
        </is>
      </c>
      <c r="T18" s="96" t="inlineStr">
        <is>
          <t>LCH04</t>
        </is>
      </c>
      <c r="U18" s="96" t="inlineStr">
        <is>
          <t>THLCH</t>
        </is>
      </c>
      <c r="V18" s="161" t="inlineStr">
        <is>
          <t>2026-10-21</t>
        </is>
      </c>
      <c r="W18" s="96" t="inlineStr">
        <is>
          <t>TWKEL</t>
        </is>
      </c>
      <c r="X18" s="161" t="inlineStr">
        <is>
          <t>2026-10-27</t>
        </is>
      </c>
      <c r="Y18" s="97" t="n"/>
      <c r="Z18" s="97" t="n"/>
      <c r="AA18" s="97" t="n"/>
      <c r="AB18" s="97" t="n"/>
      <c r="AC18" s="97" t="n"/>
      <c r="AD18" s="161" t="inlineStr">
        <is>
          <t>2026-10-09</t>
        </is>
      </c>
      <c r="AE18" s="174" t="inlineStr">
        <is>
          <t>2001</t>
        </is>
      </c>
      <c r="AF18" s="96" t="inlineStr">
        <is>
          <t>EDI2</t>
        </is>
      </c>
      <c r="AG18" s="97" t="n"/>
      <c r="AH18" s="97" t="n"/>
      <c r="AI18" s="97" t="n"/>
      <c r="AJ18" s="96" t="inlineStr">
        <is>
          <t>MOL LOGISTICS (TAIWAN) CO.,LTD.</t>
        </is>
      </c>
      <c r="AK18" s="130" t="n"/>
    </row>
    <row r="19" ht="12" customHeight="1">
      <c r="A19" s="108" t="inlineStr">
        <is>
          <t>SKLU2339628</t>
        </is>
      </c>
      <c r="B19" s="108" t="inlineStr">
        <is>
          <t>LCH04</t>
        </is>
      </c>
      <c r="C19" s="108" t="inlineStr">
        <is>
          <t>IFV</t>
        </is>
      </c>
      <c r="D19" s="172" t="inlineStr">
        <is>
          <t>2026-10-16</t>
        </is>
      </c>
      <c r="E19" s="173" t="inlineStr">
        <is>
          <t>2301</t>
        </is>
      </c>
      <c r="F19" s="96" t="inlineStr">
        <is>
          <t>HASLS22261000840</t>
        </is>
      </c>
      <c r="G19" s="96" t="inlineStr">
        <is>
          <t>UBE CHEMICALS (ASIA) PUBLIC COMPANY LIMITED</t>
        </is>
      </c>
      <c r="H19" s="111" t="inlineStr">
        <is>
          <t>22GP</t>
        </is>
      </c>
      <c r="I19" s="96" t="inlineStr">
        <is>
          <t>EMAIL</t>
        </is>
      </c>
      <c r="J19" s="96" t="inlineStr">
        <is>
          <t>EDI2</t>
        </is>
      </c>
      <c r="K19" s="96" t="n"/>
      <c r="L19" s="111" t="inlineStr">
        <is>
          <t>Full</t>
        </is>
      </c>
      <c r="M19" s="96" t="inlineStr">
        <is>
          <t>HASLS22261000840</t>
        </is>
      </c>
      <c r="N19" s="96" t="inlineStr">
        <is>
          <t xml:space="preserve">20'x1 </t>
        </is>
      </c>
      <c r="O19" s="111" t="inlineStr">
        <is>
          <t>2023</t>
        </is>
      </c>
      <c r="P19" s="111" t="n"/>
      <c r="Q19" s="111" t="n"/>
      <c r="R19" s="96" t="inlineStr">
        <is>
          <t>KJT</t>
        </is>
      </c>
      <c r="S19" s="96" t="inlineStr">
        <is>
          <t>2611N</t>
        </is>
      </c>
      <c r="T19" s="96" t="inlineStr">
        <is>
          <t>LCH04</t>
        </is>
      </c>
      <c r="U19" s="96" t="inlineStr">
        <is>
          <t>THLCH</t>
        </is>
      </c>
      <c r="V19" s="161" t="inlineStr">
        <is>
          <t>2026-10-21</t>
        </is>
      </c>
      <c r="W19" s="96" t="inlineStr">
        <is>
          <t>TWKEL</t>
        </is>
      </c>
      <c r="X19" s="161" t="inlineStr">
        <is>
          <t>2026-10-27</t>
        </is>
      </c>
      <c r="Y19" s="97" t="n"/>
      <c r="Z19" s="97" t="n"/>
      <c r="AA19" s="97" t="n"/>
      <c r="AB19" s="97" t="n"/>
      <c r="AC19" s="97" t="n"/>
      <c r="AD19" s="161" t="inlineStr">
        <is>
          <t>2026-10-17</t>
        </is>
      </c>
      <c r="AE19" s="174" t="inlineStr">
        <is>
          <t>0200</t>
        </is>
      </c>
      <c r="AF19" s="96" t="inlineStr">
        <is>
          <t>EDI2</t>
        </is>
      </c>
      <c r="AG19" s="97" t="n"/>
      <c r="AH19" s="97" t="n"/>
      <c r="AI19" s="97" t="n"/>
      <c r="AJ19" s="96" t="inlineStr">
        <is>
          <t>FULLESTY CORPORATION</t>
        </is>
      </c>
      <c r="AK19" s="130" t="n"/>
    </row>
    <row r="20" ht="12" customHeight="1">
      <c r="A20" s="108" t="inlineStr">
        <is>
          <t>SKLU2354514</t>
        </is>
      </c>
      <c r="B20" s="108" t="inlineStr">
        <is>
          <t>LCH04</t>
        </is>
      </c>
      <c r="C20" s="108" t="inlineStr">
        <is>
          <t>IFV</t>
        </is>
      </c>
      <c r="D20" s="172" t="inlineStr">
        <is>
          <t>2026-10-14</t>
        </is>
      </c>
      <c r="E20" s="173" t="inlineStr">
        <is>
          <t>1937</t>
        </is>
      </c>
      <c r="F20" s="96" t="inlineStr">
        <is>
          <t>HASLS22260902579</t>
        </is>
      </c>
      <c r="G20" s="96" t="inlineStr">
        <is>
          <t>DOUBLE A (1991) PUBLIC COMPANY LIMITED</t>
        </is>
      </c>
      <c r="H20" s="111" t="inlineStr">
        <is>
          <t>22GP</t>
        </is>
      </c>
      <c r="I20" s="96" t="inlineStr">
        <is>
          <t>EMAIL</t>
        </is>
      </c>
      <c r="J20" s="96" t="inlineStr">
        <is>
          <t>EDI2</t>
        </is>
      </c>
      <c r="K20" s="96" t="n"/>
      <c r="L20" s="111" t="inlineStr">
        <is>
          <t>Full</t>
        </is>
      </c>
      <c r="M20" s="96" t="inlineStr">
        <is>
          <t>HASLS22260902579</t>
        </is>
      </c>
      <c r="N20" s="96" t="inlineStr">
        <is>
          <t xml:space="preserve">20'x1 </t>
        </is>
      </c>
      <c r="O20" s="111" t="inlineStr">
        <is>
          <t>2023</t>
        </is>
      </c>
      <c r="P20" s="111" t="n"/>
      <c r="Q20" s="111" t="n"/>
      <c r="R20" s="96" t="inlineStr">
        <is>
          <t>KJT</t>
        </is>
      </c>
      <c r="S20" s="96" t="inlineStr">
        <is>
          <t>2611N</t>
        </is>
      </c>
      <c r="T20" s="96" t="inlineStr">
        <is>
          <t>LCH04</t>
        </is>
      </c>
      <c r="U20" s="96" t="inlineStr">
        <is>
          <t>THLCH</t>
        </is>
      </c>
      <c r="V20" s="161" t="inlineStr">
        <is>
          <t>2026-10-21</t>
        </is>
      </c>
      <c r="W20" s="96" t="inlineStr">
        <is>
          <t>HKHKG</t>
        </is>
      </c>
      <c r="X20" s="161" t="inlineStr">
        <is>
          <t>2026-10-25</t>
        </is>
      </c>
      <c r="Y20" s="97" t="n"/>
      <c r="Z20" s="97" t="n"/>
      <c r="AA20" s="97" t="n"/>
      <c r="AB20" s="97" t="n"/>
      <c r="AC20" s="97" t="n"/>
      <c r="AD20" s="161" t="inlineStr">
        <is>
          <t>2026-10-14</t>
        </is>
      </c>
      <c r="AE20" s="174" t="inlineStr">
        <is>
          <t>2200</t>
        </is>
      </c>
      <c r="AF20" s="96" t="inlineStr">
        <is>
          <t>EDI2</t>
        </is>
      </c>
      <c r="AG20" s="97" t="n"/>
      <c r="AH20" s="97" t="n"/>
      <c r="AI20" s="97" t="n"/>
      <c r="AJ20" s="96" t="inlineStr">
        <is>
          <t>OH360 CO., LTD.</t>
        </is>
      </c>
      <c r="AK20" s="130" t="n"/>
    </row>
    <row r="21" ht="12" customHeight="1">
      <c r="A21" s="108" t="n"/>
      <c r="B21" s="108" t="n"/>
      <c r="C21" s="108" t="n"/>
      <c r="D21" s="172" t="n"/>
      <c r="E21" s="173" t="n"/>
      <c r="F21" s="96" t="n"/>
      <c r="G21" s="96" t="n"/>
      <c r="H21" s="111" t="n"/>
      <c r="I21" s="96" t="n"/>
      <c r="J21" s="96" t="n"/>
      <c r="K21" s="96" t="n"/>
      <c r="L21" s="111" t="n"/>
      <c r="M21" s="96" t="n"/>
      <c r="N21" s="96" t="n"/>
      <c r="O21" s="111" t="n"/>
      <c r="P21" s="112" t="n"/>
      <c r="Q21" s="112" t="n"/>
      <c r="R21" s="96" t="n"/>
      <c r="S21" s="96" t="n"/>
      <c r="T21" s="96" t="n"/>
      <c r="U21" s="96" t="n"/>
      <c r="V21" s="161" t="n"/>
      <c r="W21" s="96" t="n"/>
      <c r="X21" s="161" t="n"/>
      <c r="Y21" s="97" t="n"/>
      <c r="Z21" s="97" t="n"/>
      <c r="AA21" s="97" t="n"/>
      <c r="AB21" s="97" t="n"/>
      <c r="AC21" s="97" t="n"/>
      <c r="AD21" s="161" t="n"/>
      <c r="AE21" s="174" t="n"/>
      <c r="AF21" s="96" t="n"/>
      <c r="AG21" s="97" t="n"/>
      <c r="AH21" s="97" t="n"/>
      <c r="AI21" s="97" t="n"/>
      <c r="AJ21" s="96" t="n"/>
      <c r="AK21" s="130" t="n"/>
    </row>
    <row r="22" ht="12" customHeight="1">
      <c r="A22" s="108" t="n"/>
      <c r="B22" s="108" t="n"/>
      <c r="C22" s="108" t="n"/>
      <c r="D22" s="172" t="n"/>
      <c r="E22" s="173" t="n"/>
      <c r="F22" s="96" t="n"/>
      <c r="G22" s="96" t="n"/>
      <c r="H22" s="111" t="n"/>
      <c r="I22" s="96" t="n"/>
      <c r="J22" s="96" t="n"/>
      <c r="K22" s="96" t="n"/>
      <c r="L22" s="111" t="n"/>
      <c r="M22" s="96" t="n"/>
      <c r="N22" s="96" t="n"/>
      <c r="O22" s="111" t="n"/>
      <c r="P22" s="112" t="n"/>
      <c r="Q22" s="112" t="n"/>
      <c r="R22" s="96" t="n"/>
      <c r="S22" s="96" t="n"/>
      <c r="T22" s="96" t="n"/>
      <c r="U22" s="96" t="n"/>
      <c r="V22" s="161" t="n"/>
      <c r="W22" s="96" t="n"/>
      <c r="X22" s="161" t="n"/>
      <c r="Y22" s="97" t="n"/>
      <c r="Z22" s="97" t="n"/>
      <c r="AA22" s="97" t="n"/>
      <c r="AB22" s="97" t="n"/>
      <c r="AC22" s="97" t="n"/>
      <c r="AD22" s="161" t="n"/>
      <c r="AE22" s="174" t="n"/>
      <c r="AF22" s="96" t="n"/>
      <c r="AG22" s="97" t="n"/>
      <c r="AH22" s="97" t="n"/>
      <c r="AI22" s="97" t="n"/>
      <c r="AJ22" s="96" t="n"/>
      <c r="AK22" s="130" t="n"/>
    </row>
    <row r="23" ht="12" customHeight="1">
      <c r="A23" s="108" t="n"/>
      <c r="B23" s="108" t="n"/>
      <c r="C23" s="108" t="n"/>
      <c r="D23" s="172" t="n"/>
      <c r="E23" s="173" t="n"/>
      <c r="F23" s="96" t="n"/>
      <c r="G23" s="96" t="n"/>
      <c r="H23" s="111" t="n"/>
      <c r="I23" s="96" t="n"/>
      <c r="J23" s="96" t="n"/>
      <c r="K23" s="96" t="n"/>
      <c r="L23" s="111" t="n"/>
      <c r="M23" s="96" t="n"/>
      <c r="N23" s="96" t="n"/>
      <c r="O23" s="111" t="n"/>
      <c r="P23" s="112" t="n"/>
      <c r="Q23" s="112" t="n"/>
      <c r="R23" s="96" t="n"/>
      <c r="S23" s="96" t="n"/>
      <c r="T23" s="96" t="n"/>
      <c r="U23" s="96" t="n"/>
      <c r="V23" s="161" t="n"/>
      <c r="W23" s="96" t="n"/>
      <c r="X23" s="161" t="n"/>
      <c r="Y23" s="97" t="n"/>
      <c r="Z23" s="97" t="n"/>
      <c r="AA23" s="97" t="n"/>
      <c r="AB23" s="97" t="n"/>
      <c r="AC23" s="97" t="n"/>
      <c r="AD23" s="161" t="n"/>
      <c r="AE23" s="174" t="n"/>
      <c r="AF23" s="96" t="n"/>
      <c r="AG23" s="97" t="n"/>
      <c r="AH23" s="97" t="n"/>
      <c r="AI23" s="97" t="n"/>
      <c r="AJ23" s="96" t="n"/>
      <c r="AK23" s="130" t="n"/>
    </row>
    <row r="24" ht="12" customHeight="1">
      <c r="A24" s="108" t="n"/>
      <c r="B24" s="108" t="n"/>
      <c r="C24" s="108" t="n"/>
      <c r="D24" s="172" t="n"/>
      <c r="E24" s="173" t="n"/>
      <c r="F24" s="96" t="n"/>
      <c r="G24" s="96" t="n"/>
      <c r="H24" s="111" t="n"/>
      <c r="I24" s="96" t="n"/>
      <c r="J24" s="96" t="n"/>
      <c r="K24" s="96" t="n"/>
      <c r="L24" s="111" t="n"/>
      <c r="M24" s="96" t="n"/>
      <c r="N24" s="96" t="n"/>
      <c r="O24" s="111" t="n"/>
      <c r="P24" s="112" t="n"/>
      <c r="Q24" s="112" t="n"/>
      <c r="R24" s="96" t="n"/>
      <c r="S24" s="96" t="n"/>
      <c r="T24" s="96" t="n"/>
      <c r="U24" s="96" t="n"/>
      <c r="V24" s="161" t="n"/>
      <c r="W24" s="96" t="n"/>
      <c r="X24" s="161" t="n"/>
      <c r="Y24" s="97" t="n"/>
      <c r="Z24" s="97" t="n"/>
      <c r="AA24" s="97" t="n"/>
      <c r="AB24" s="97" t="n"/>
      <c r="AC24" s="97" t="n"/>
      <c r="AD24" s="161" t="n"/>
      <c r="AE24" s="174" t="n"/>
      <c r="AF24" s="96" t="n"/>
      <c r="AG24" s="97" t="n"/>
      <c r="AH24" s="97" t="n"/>
      <c r="AI24" s="97" t="n"/>
      <c r="AJ24" s="96" t="n"/>
      <c r="AK24" s="130" t="n"/>
    </row>
    <row r="25" ht="12" customHeight="1">
      <c r="A25" s="108" t="n"/>
      <c r="B25" s="108" t="n"/>
      <c r="C25" s="108" t="n"/>
      <c r="D25" s="172" t="n"/>
      <c r="E25" s="173" t="n"/>
      <c r="F25" s="96" t="n"/>
      <c r="G25" s="96" t="n"/>
      <c r="H25" s="111" t="n"/>
      <c r="I25" s="96" t="n"/>
      <c r="J25" s="96" t="n"/>
      <c r="K25" s="96" t="n"/>
      <c r="L25" s="111" t="n"/>
      <c r="M25" s="96" t="n"/>
      <c r="N25" s="96" t="n"/>
      <c r="O25" s="111" t="n"/>
      <c r="P25" s="112" t="n"/>
      <c r="Q25" s="112" t="n"/>
      <c r="R25" s="96" t="n"/>
      <c r="S25" s="96" t="n"/>
      <c r="T25" s="96" t="n"/>
      <c r="U25" s="96" t="n"/>
      <c r="V25" s="161" t="n"/>
      <c r="W25" s="96" t="n"/>
      <c r="X25" s="161" t="n"/>
      <c r="Y25" s="97" t="n"/>
      <c r="Z25" s="97" t="n"/>
      <c r="AA25" s="97" t="n"/>
      <c r="AB25" s="97" t="n"/>
      <c r="AC25" s="97" t="n"/>
      <c r="AD25" s="161" t="n"/>
      <c r="AE25" s="174" t="n"/>
      <c r="AF25" s="96" t="n"/>
      <c r="AG25" s="97" t="n"/>
      <c r="AH25" s="97" t="n"/>
      <c r="AI25" s="97" t="n"/>
      <c r="AJ25" s="96" t="n"/>
      <c r="AK25" s="130" t="n"/>
    </row>
    <row r="26" ht="12" customHeight="1">
      <c r="A26" s="108" t="n"/>
      <c r="B26" s="108" t="n"/>
      <c r="C26" s="108" t="n"/>
      <c r="D26" s="172" t="n"/>
      <c r="E26" s="173" t="n"/>
      <c r="F26" s="96" t="n"/>
      <c r="G26" s="96" t="n"/>
      <c r="H26" s="111" t="n"/>
      <c r="I26" s="96" t="n"/>
      <c r="J26" s="96" t="n"/>
      <c r="K26" s="96" t="n"/>
      <c r="L26" s="111" t="n"/>
      <c r="M26" s="96" t="n"/>
      <c r="N26" s="96" t="n"/>
      <c r="O26" s="111" t="n"/>
      <c r="P26" s="112" t="n"/>
      <c r="Q26" s="112" t="n"/>
      <c r="R26" s="96" t="n"/>
      <c r="S26" s="96" t="n"/>
      <c r="T26" s="96" t="n"/>
      <c r="U26" s="96" t="n"/>
      <c r="V26" s="161" t="n"/>
      <c r="W26" s="96" t="n"/>
      <c r="X26" s="161" t="n"/>
      <c r="Y26" s="97" t="n"/>
      <c r="Z26" s="97" t="n"/>
      <c r="AA26" s="97" t="n"/>
      <c r="AB26" s="97" t="n"/>
      <c r="AC26" s="97" t="n"/>
      <c r="AD26" s="161" t="n"/>
      <c r="AE26" s="174" t="n"/>
      <c r="AF26" s="96" t="n"/>
      <c r="AG26" s="97" t="n"/>
      <c r="AH26" s="97" t="n"/>
      <c r="AI26" s="97" t="n"/>
      <c r="AJ26" s="96" t="n"/>
      <c r="AK26" s="130" t="n"/>
    </row>
    <row r="27" ht="12" customHeight="1">
      <c r="A27" s="108" t="n"/>
      <c r="B27" s="108" t="n"/>
      <c r="C27" s="108" t="n"/>
      <c r="D27" s="172" t="n"/>
      <c r="E27" s="173" t="n"/>
      <c r="F27" s="96" t="n"/>
      <c r="G27" s="96" t="n"/>
      <c r="H27" s="111" t="n"/>
      <c r="I27" s="96" t="n"/>
      <c r="J27" s="96" t="n"/>
      <c r="K27" s="96" t="n"/>
      <c r="L27" s="111" t="n"/>
      <c r="M27" s="96" t="n"/>
      <c r="N27" s="96" t="n"/>
      <c r="O27" s="111" t="n"/>
      <c r="P27" s="112" t="n"/>
      <c r="Q27" s="112" t="n"/>
      <c r="R27" s="96" t="n"/>
      <c r="S27" s="96" t="n"/>
      <c r="T27" s="96" t="n"/>
      <c r="U27" s="96" t="n"/>
      <c r="V27" s="161" t="n"/>
      <c r="W27" s="96" t="n"/>
      <c r="X27" s="161" t="n"/>
      <c r="Y27" s="97" t="n"/>
      <c r="Z27" s="97" t="n"/>
      <c r="AA27" s="97" t="n"/>
      <c r="AB27" s="97" t="n"/>
      <c r="AC27" s="97" t="n"/>
      <c r="AD27" s="161" t="n"/>
      <c r="AE27" s="174" t="n"/>
      <c r="AF27" s="96" t="n"/>
      <c r="AG27" s="97" t="n"/>
      <c r="AH27" s="97" t="n"/>
      <c r="AI27" s="97" t="n"/>
      <c r="AJ27" s="96" t="n"/>
      <c r="AK27" s="130" t="n"/>
    </row>
    <row r="28" ht="12" customHeight="1">
      <c r="A28" s="108" t="n"/>
      <c r="B28" s="108" t="n"/>
      <c r="C28" s="108" t="n"/>
      <c r="D28" s="172" t="n"/>
      <c r="E28" s="173" t="n"/>
      <c r="F28" s="96" t="n"/>
      <c r="G28" s="96" t="n"/>
      <c r="H28" s="111" t="n"/>
      <c r="I28" s="96" t="n"/>
      <c r="J28" s="96" t="n"/>
      <c r="K28" s="96" t="n"/>
      <c r="L28" s="111" t="n"/>
      <c r="M28" s="96" t="n"/>
      <c r="N28" s="96" t="n"/>
      <c r="O28" s="111" t="n"/>
      <c r="P28" s="112" t="n"/>
      <c r="Q28" s="112" t="n"/>
      <c r="R28" s="96" t="n"/>
      <c r="S28" s="96" t="n"/>
      <c r="T28" s="96" t="n"/>
      <c r="U28" s="96" t="n"/>
      <c r="V28" s="161" t="n"/>
      <c r="W28" s="96" t="n"/>
      <c r="X28" s="161" t="n"/>
      <c r="Y28" s="97" t="n"/>
      <c r="Z28" s="97" t="n"/>
      <c r="AA28" s="97" t="n"/>
      <c r="AB28" s="97" t="n"/>
      <c r="AC28" s="97" t="n"/>
      <c r="AD28" s="161" t="n"/>
      <c r="AE28" s="174" t="n"/>
      <c r="AF28" s="96" t="n"/>
      <c r="AG28" s="97" t="n"/>
      <c r="AH28" s="97" t="n"/>
      <c r="AI28" s="97" t="n"/>
      <c r="AJ28" s="96" t="n"/>
      <c r="AK28" s="130" t="n"/>
    </row>
    <row r="29" ht="12" customHeight="1">
      <c r="A29" s="108" t="n"/>
      <c r="B29" s="108" t="n"/>
      <c r="C29" s="108" t="n"/>
      <c r="D29" s="172" t="n"/>
      <c r="E29" s="173" t="n"/>
      <c r="F29" s="96" t="n"/>
      <c r="G29" s="96" t="n"/>
      <c r="H29" s="111" t="n"/>
      <c r="I29" s="96" t="n"/>
      <c r="J29" s="96" t="n"/>
      <c r="K29" s="96" t="n"/>
      <c r="L29" s="111" t="n"/>
      <c r="M29" s="96" t="n"/>
      <c r="N29" s="96" t="n"/>
      <c r="O29" s="111" t="n"/>
      <c r="P29" s="112" t="n"/>
      <c r="Q29" s="112" t="n"/>
      <c r="R29" s="96" t="n"/>
      <c r="S29" s="96" t="n"/>
      <c r="T29" s="96" t="n"/>
      <c r="U29" s="96" t="n"/>
      <c r="V29" s="161" t="n"/>
      <c r="W29" s="96" t="n"/>
      <c r="X29" s="161" t="n"/>
      <c r="Y29" s="97" t="n"/>
      <c r="Z29" s="97" t="n"/>
      <c r="AA29" s="97" t="n"/>
      <c r="AB29" s="97" t="n"/>
      <c r="AC29" s="97" t="n"/>
      <c r="AD29" s="161" t="n"/>
      <c r="AE29" s="174" t="n"/>
      <c r="AF29" s="96" t="n"/>
      <c r="AG29" s="97" t="n"/>
      <c r="AH29" s="97" t="n"/>
      <c r="AI29" s="97" t="n"/>
      <c r="AJ29" s="96" t="n"/>
      <c r="AK29" s="130" t="n"/>
    </row>
    <row r="30" ht="12" customHeight="1">
      <c r="A30" s="108" t="n"/>
      <c r="B30" s="108" t="n"/>
      <c r="C30" s="108" t="n"/>
      <c r="D30" s="172" t="n"/>
      <c r="E30" s="173" t="n"/>
      <c r="F30" s="96" t="n"/>
      <c r="G30" s="96" t="n"/>
      <c r="H30" s="111" t="n"/>
      <c r="I30" s="96" t="n"/>
      <c r="J30" s="96" t="n"/>
      <c r="K30" s="96" t="n"/>
      <c r="L30" s="111" t="n"/>
      <c r="M30" s="96" t="n"/>
      <c r="N30" s="96" t="n"/>
      <c r="O30" s="111" t="n"/>
      <c r="P30" s="112" t="n"/>
      <c r="Q30" s="112" t="n"/>
      <c r="R30" s="96" t="n"/>
      <c r="S30" s="96" t="n"/>
      <c r="T30" s="96" t="n"/>
      <c r="U30" s="96" t="n"/>
      <c r="V30" s="161" t="n"/>
      <c r="W30" s="96" t="n"/>
      <c r="X30" s="161" t="n"/>
      <c r="Y30" s="97" t="n"/>
      <c r="Z30" s="97" t="n"/>
      <c r="AA30" s="97" t="n"/>
      <c r="AB30" s="97" t="n"/>
      <c r="AC30" s="97" t="n"/>
      <c r="AD30" s="161" t="n"/>
      <c r="AE30" s="174" t="n"/>
      <c r="AF30" s="96" t="n"/>
      <c r="AG30" s="97" t="n"/>
      <c r="AH30" s="97" t="n"/>
      <c r="AI30" s="97" t="n"/>
      <c r="AJ30" s="96" t="n"/>
      <c r="AK30" s="130" t="n"/>
    </row>
    <row r="31" ht="12" customHeight="1">
      <c r="A31" s="108" t="n"/>
      <c r="B31" s="108" t="n"/>
      <c r="C31" s="108" t="n"/>
      <c r="D31" s="172" t="n"/>
      <c r="E31" s="173" t="n"/>
      <c r="F31" s="96" t="n"/>
      <c r="G31" s="96" t="n"/>
      <c r="H31" s="111" t="n"/>
      <c r="I31" s="96" t="n"/>
      <c r="J31" s="96" t="n"/>
      <c r="K31" s="96" t="n"/>
      <c r="L31" s="111" t="n"/>
      <c r="M31" s="96" t="n"/>
      <c r="N31" s="96" t="n"/>
      <c r="O31" s="111" t="n"/>
      <c r="P31" s="112" t="n"/>
      <c r="Q31" s="112" t="n"/>
      <c r="R31" s="96" t="n"/>
      <c r="S31" s="96" t="n"/>
      <c r="T31" s="96" t="n"/>
      <c r="U31" s="96" t="n"/>
      <c r="V31" s="161" t="n"/>
      <c r="W31" s="96" t="n"/>
      <c r="X31" s="161" t="n"/>
      <c r="Y31" s="97" t="n"/>
      <c r="Z31" s="97" t="n"/>
      <c r="AA31" s="97" t="n"/>
      <c r="AB31" s="97" t="n"/>
      <c r="AC31" s="97" t="n"/>
      <c r="AD31" s="161" t="n"/>
      <c r="AE31" s="174" t="n"/>
      <c r="AF31" s="96" t="n"/>
      <c r="AG31" s="97" t="n"/>
      <c r="AH31" s="97" t="n"/>
      <c r="AI31" s="97" t="n"/>
      <c r="AJ31" s="96" t="n"/>
      <c r="AK31" s="130" t="n"/>
    </row>
    <row r="32" ht="12" customHeight="1">
      <c r="A32" s="108" t="n"/>
      <c r="B32" s="108" t="n"/>
      <c r="C32" s="108" t="n"/>
      <c r="D32" s="172" t="n"/>
      <c r="E32" s="173" t="n"/>
      <c r="F32" s="96" t="n"/>
      <c r="G32" s="96" t="n"/>
      <c r="H32" s="111" t="n"/>
      <c r="I32" s="96" t="n"/>
      <c r="J32" s="96" t="n"/>
      <c r="K32" s="96" t="n"/>
      <c r="L32" s="111" t="n"/>
      <c r="M32" s="96" t="n"/>
      <c r="N32" s="96" t="n"/>
      <c r="O32" s="111" t="n"/>
      <c r="P32" s="112" t="n"/>
      <c r="Q32" s="112" t="n"/>
      <c r="R32" s="96" t="n"/>
      <c r="S32" s="96" t="n"/>
      <c r="T32" s="96" t="n"/>
      <c r="U32" s="96" t="n"/>
      <c r="V32" s="161" t="n"/>
      <c r="W32" s="96" t="n"/>
      <c r="X32" s="161" t="n"/>
      <c r="Y32" s="97" t="n"/>
      <c r="Z32" s="97" t="n"/>
      <c r="AA32" s="97" t="n"/>
      <c r="AB32" s="97" t="n"/>
      <c r="AC32" s="97" t="n"/>
      <c r="AD32" s="161" t="n"/>
      <c r="AE32" s="174" t="n"/>
      <c r="AF32" s="96" t="n"/>
      <c r="AG32" s="97" t="n"/>
      <c r="AH32" s="97" t="n"/>
      <c r="AI32" s="97" t="n"/>
      <c r="AJ32" s="96" t="n"/>
      <c r="AK32" s="130" t="n"/>
    </row>
    <row r="33" ht="12" customHeight="1">
      <c r="A33" s="108" t="n"/>
      <c r="B33" s="108" t="n"/>
      <c r="C33" s="108" t="n"/>
      <c r="D33" s="172" t="n"/>
      <c r="E33" s="173" t="n"/>
      <c r="F33" s="96" t="n"/>
      <c r="G33" s="96" t="n"/>
      <c r="H33" s="111" t="n"/>
      <c r="I33" s="96" t="n"/>
      <c r="J33" s="96" t="n"/>
      <c r="K33" s="96" t="n"/>
      <c r="L33" s="111" t="n"/>
      <c r="M33" s="96" t="n"/>
      <c r="N33" s="96" t="n"/>
      <c r="O33" s="111" t="n"/>
      <c r="P33" s="112" t="n"/>
      <c r="Q33" s="112" t="n"/>
      <c r="R33" s="96" t="n"/>
      <c r="S33" s="96" t="n"/>
      <c r="T33" s="96" t="n"/>
      <c r="U33" s="96" t="n"/>
      <c r="V33" s="161" t="n"/>
      <c r="W33" s="96" t="n"/>
      <c r="X33" s="161" t="n"/>
      <c r="Y33" s="97" t="n"/>
      <c r="Z33" s="97" t="n"/>
      <c r="AA33" s="97" t="n"/>
      <c r="AB33" s="97" t="n"/>
      <c r="AC33" s="97" t="n"/>
      <c r="AD33" s="161" t="n"/>
      <c r="AE33" s="174" t="n"/>
      <c r="AF33" s="96" t="n"/>
      <c r="AG33" s="97" t="n"/>
      <c r="AH33" s="97" t="n"/>
      <c r="AI33" s="97" t="n"/>
      <c r="AJ33" s="96" t="n"/>
      <c r="AK33" s="130" t="n"/>
    </row>
    <row r="34" ht="12" customHeight="1">
      <c r="A34" s="108" t="n"/>
      <c r="B34" s="108" t="n"/>
      <c r="C34" s="108" t="n"/>
      <c r="D34" s="172" t="n"/>
      <c r="E34" s="173" t="n"/>
      <c r="F34" s="96" t="n"/>
      <c r="G34" s="96" t="n"/>
      <c r="H34" s="111" t="n"/>
      <c r="I34" s="96" t="n"/>
      <c r="J34" s="96" t="n"/>
      <c r="K34" s="96" t="n"/>
      <c r="L34" s="111" t="n"/>
      <c r="M34" s="96" t="n"/>
      <c r="N34" s="96" t="n"/>
      <c r="O34" s="111" t="n"/>
      <c r="P34" s="112" t="n"/>
      <c r="Q34" s="112" t="n"/>
      <c r="R34" s="96" t="n"/>
      <c r="S34" s="96" t="n"/>
      <c r="T34" s="96" t="n"/>
      <c r="U34" s="96" t="n"/>
      <c r="V34" s="161" t="n"/>
      <c r="W34" s="96" t="n"/>
      <c r="X34" s="161" t="n"/>
      <c r="Y34" s="97" t="n"/>
      <c r="Z34" s="97" t="n"/>
      <c r="AA34" s="97" t="n"/>
      <c r="AB34" s="97" t="n"/>
      <c r="AC34" s="97" t="n"/>
      <c r="AD34" s="161" t="n"/>
      <c r="AE34" s="174" t="n"/>
      <c r="AF34" s="96" t="n"/>
      <c r="AG34" s="97" t="n"/>
      <c r="AH34" s="97" t="n"/>
      <c r="AI34" s="97" t="n"/>
      <c r="AJ34" s="96" t="n"/>
      <c r="AK34" s="130" t="n"/>
    </row>
    <row r="35" ht="12" customHeight="1">
      <c r="A35" s="108" t="n"/>
      <c r="B35" s="108" t="n"/>
      <c r="C35" s="108" t="n"/>
      <c r="D35" s="172" t="n"/>
      <c r="E35" s="173" t="n"/>
      <c r="F35" s="96" t="n"/>
      <c r="G35" s="96" t="n"/>
      <c r="H35" s="111" t="n"/>
      <c r="I35" s="96" t="n"/>
      <c r="J35" s="96" t="n"/>
      <c r="K35" s="96" t="n"/>
      <c r="L35" s="111" t="n"/>
      <c r="M35" s="96" t="n"/>
      <c r="N35" s="96" t="n"/>
      <c r="O35" s="111" t="n"/>
      <c r="P35" s="112" t="n"/>
      <c r="Q35" s="112" t="n"/>
      <c r="R35" s="96" t="n"/>
      <c r="S35" s="96" t="n"/>
      <c r="T35" s="96" t="n"/>
      <c r="U35" s="96" t="n"/>
      <c r="V35" s="161" t="n"/>
      <c r="W35" s="96" t="n"/>
      <c r="X35" s="161" t="n"/>
      <c r="Y35" s="97" t="n"/>
      <c r="Z35" s="97" t="n"/>
      <c r="AA35" s="97" t="n"/>
      <c r="AB35" s="97" t="n"/>
      <c r="AC35" s="97" t="n"/>
      <c r="AD35" s="161" t="n"/>
      <c r="AE35" s="174" t="n"/>
      <c r="AF35" s="96" t="n"/>
      <c r="AG35" s="97" t="n"/>
      <c r="AH35" s="97" t="n"/>
      <c r="AI35" s="97" t="n"/>
      <c r="AJ35" s="96" t="n"/>
      <c r="AK35" s="130" t="n"/>
    </row>
    <row r="36" ht="12" customHeight="1">
      <c r="A36" s="108" t="n"/>
      <c r="B36" s="108" t="n"/>
      <c r="C36" s="108" t="n"/>
      <c r="D36" s="172" t="n"/>
      <c r="E36" s="173" t="n"/>
      <c r="F36" s="96" t="n"/>
      <c r="G36" s="96" t="n"/>
      <c r="H36" s="111" t="n"/>
      <c r="I36" s="96" t="n"/>
      <c r="J36" s="96" t="n"/>
      <c r="K36" s="96" t="n"/>
      <c r="L36" s="111" t="n"/>
      <c r="M36" s="96" t="n"/>
      <c r="N36" s="96" t="n"/>
      <c r="O36" s="111" t="n"/>
      <c r="P36" s="112" t="n"/>
      <c r="Q36" s="112" t="n"/>
      <c r="R36" s="96" t="n"/>
      <c r="S36" s="96" t="n"/>
      <c r="T36" s="96" t="n"/>
      <c r="U36" s="96" t="n"/>
      <c r="V36" s="161" t="n"/>
      <c r="W36" s="96" t="n"/>
      <c r="X36" s="161" t="n"/>
      <c r="Y36" s="97" t="n"/>
      <c r="Z36" s="97" t="n"/>
      <c r="AA36" s="97" t="n"/>
      <c r="AB36" s="97" t="n"/>
      <c r="AC36" s="97" t="n"/>
      <c r="AD36" s="161" t="n"/>
      <c r="AE36" s="174" t="n"/>
      <c r="AF36" s="96" t="n"/>
      <c r="AG36" s="97" t="n"/>
      <c r="AH36" s="97" t="n"/>
      <c r="AI36" s="97" t="n"/>
      <c r="AJ36" s="96" t="n"/>
      <c r="AK36" s="130" t="n"/>
    </row>
    <row r="37" ht="12" customHeight="1">
      <c r="A37" s="108" t="n"/>
      <c r="B37" s="108" t="n"/>
      <c r="C37" s="108" t="n"/>
      <c r="D37" s="172" t="n"/>
      <c r="E37" s="173" t="n"/>
      <c r="F37" s="96" t="n"/>
      <c r="G37" s="96" t="n"/>
      <c r="H37" s="111" t="n"/>
      <c r="I37" s="96" t="n"/>
      <c r="J37" s="96" t="n"/>
      <c r="K37" s="96" t="n"/>
      <c r="L37" s="111" t="n"/>
      <c r="M37" s="96" t="n"/>
      <c r="N37" s="96" t="n"/>
      <c r="O37" s="111" t="n"/>
      <c r="P37" s="112" t="n"/>
      <c r="Q37" s="112" t="n"/>
      <c r="R37" s="96" t="n"/>
      <c r="S37" s="96" t="n"/>
      <c r="T37" s="96" t="n"/>
      <c r="U37" s="96" t="n"/>
      <c r="V37" s="161" t="n"/>
      <c r="W37" s="96" t="n"/>
      <c r="X37" s="161" t="n"/>
      <c r="Y37" s="97" t="n"/>
      <c r="Z37" s="97" t="n"/>
      <c r="AA37" s="97" t="n"/>
      <c r="AB37" s="97" t="n"/>
      <c r="AC37" s="97" t="n"/>
      <c r="AD37" s="161" t="n"/>
      <c r="AE37" s="174" t="n"/>
      <c r="AF37" s="96" t="n"/>
      <c r="AG37" s="97" t="n"/>
      <c r="AH37" s="97" t="n"/>
      <c r="AI37" s="97" t="n"/>
      <c r="AJ37" s="96" t="n"/>
      <c r="AK37" s="130" t="n"/>
    </row>
    <row r="38" ht="12" customHeight="1">
      <c r="A38" s="108" t="n"/>
      <c r="B38" s="108" t="n"/>
      <c r="C38" s="108" t="n"/>
      <c r="D38" s="172" t="n"/>
      <c r="E38" s="173" t="n"/>
      <c r="F38" s="96" t="n"/>
      <c r="G38" s="96" t="n"/>
      <c r="H38" s="111" t="n"/>
      <c r="I38" s="96" t="n"/>
      <c r="J38" s="96" t="n"/>
      <c r="K38" s="96" t="n"/>
      <c r="L38" s="111" t="n"/>
      <c r="M38" s="96" t="n"/>
      <c r="N38" s="96" t="n"/>
      <c r="O38" s="111" t="n"/>
      <c r="P38" s="112" t="n"/>
      <c r="Q38" s="112" t="n"/>
      <c r="R38" s="96" t="n"/>
      <c r="S38" s="96" t="n"/>
      <c r="T38" s="96" t="n"/>
      <c r="U38" s="96" t="n"/>
      <c r="V38" s="161" t="n"/>
      <c r="W38" s="96" t="n"/>
      <c r="X38" s="161" t="n"/>
      <c r="Y38" s="97" t="n"/>
      <c r="Z38" s="97" t="n"/>
      <c r="AA38" s="97" t="n"/>
      <c r="AB38" s="97" t="n"/>
      <c r="AC38" s="97" t="n"/>
      <c r="AD38" s="161" t="n"/>
      <c r="AE38" s="174" t="n"/>
      <c r="AF38" s="96" t="n"/>
      <c r="AG38" s="97" t="n"/>
      <c r="AH38" s="97" t="n"/>
      <c r="AI38" s="97" t="n"/>
      <c r="AJ38" s="96" t="n"/>
      <c r="AK38" s="130" t="n"/>
    </row>
    <row r="39" ht="12" customHeight="1">
      <c r="A39" s="108" t="n"/>
      <c r="B39" s="108" t="n"/>
      <c r="C39" s="108" t="n"/>
      <c r="D39" s="172" t="n"/>
      <c r="E39" s="173" t="n"/>
      <c r="F39" s="96" t="n"/>
      <c r="G39" s="96" t="n"/>
      <c r="H39" s="111" t="n"/>
      <c r="I39" s="96" t="n"/>
      <c r="J39" s="96" t="n"/>
      <c r="K39" s="96" t="n"/>
      <c r="L39" s="111" t="n"/>
      <c r="M39" s="96" t="n"/>
      <c r="N39" s="96" t="n"/>
      <c r="O39" s="111" t="n"/>
      <c r="P39" s="112" t="n"/>
      <c r="Q39" s="112" t="n"/>
      <c r="R39" s="96" t="n"/>
      <c r="S39" s="96" t="n"/>
      <c r="T39" s="96" t="n"/>
      <c r="U39" s="96" t="n"/>
      <c r="V39" s="161" t="n"/>
      <c r="W39" s="96" t="n"/>
      <c r="X39" s="161" t="n"/>
      <c r="Y39" s="97" t="n"/>
      <c r="Z39" s="97" t="n"/>
      <c r="AA39" s="97" t="n"/>
      <c r="AB39" s="97" t="n"/>
      <c r="AC39" s="97" t="n"/>
      <c r="AD39" s="161" t="n"/>
      <c r="AE39" s="174" t="n"/>
      <c r="AF39" s="96" t="n"/>
      <c r="AG39" s="97" t="n"/>
      <c r="AH39" s="97" t="n"/>
      <c r="AI39" s="97" t="n"/>
      <c r="AJ39" s="96" t="n"/>
      <c r="AK39" s="130" t="n"/>
    </row>
    <row r="40" ht="12" customHeight="1">
      <c r="A40" s="108" t="n"/>
      <c r="B40" s="108" t="n"/>
      <c r="C40" s="108" t="n"/>
      <c r="D40" s="172" t="n"/>
      <c r="E40" s="173" t="n"/>
      <c r="F40" s="96" t="n"/>
      <c r="G40" s="96" t="n"/>
      <c r="H40" s="111" t="n"/>
      <c r="I40" s="96" t="n"/>
      <c r="J40" s="96" t="n"/>
      <c r="K40" s="96" t="n"/>
      <c r="L40" s="111" t="n"/>
      <c r="M40" s="96" t="n"/>
      <c r="N40" s="96" t="n"/>
      <c r="O40" s="111" t="n"/>
      <c r="P40" s="112" t="n"/>
      <c r="Q40" s="112" t="n"/>
      <c r="R40" s="96" t="n"/>
      <c r="S40" s="96" t="n"/>
      <c r="T40" s="96" t="n"/>
      <c r="U40" s="96" t="n"/>
      <c r="V40" s="161" t="n"/>
      <c r="W40" s="96" t="n"/>
      <c r="X40" s="161" t="n"/>
      <c r="Y40" s="97" t="n"/>
      <c r="Z40" s="97" t="n"/>
      <c r="AA40" s="97" t="n"/>
      <c r="AB40" s="97" t="n"/>
      <c r="AC40" s="97" t="n"/>
      <c r="AD40" s="161" t="n"/>
      <c r="AE40" s="174" t="n"/>
      <c r="AF40" s="96" t="n"/>
      <c r="AG40" s="97" t="n"/>
      <c r="AH40" s="97" t="n"/>
      <c r="AI40" s="97" t="n"/>
      <c r="AJ40" s="96" t="n"/>
      <c r="AK40" s="130" t="n"/>
    </row>
    <row r="41" ht="12" customHeight="1">
      <c r="A41" s="108" t="n"/>
      <c r="B41" s="108" t="n"/>
      <c r="C41" s="108" t="n"/>
      <c r="D41" s="172" t="n"/>
      <c r="E41" s="173" t="n"/>
      <c r="F41" s="96" t="n"/>
      <c r="G41" s="96" t="n"/>
      <c r="H41" s="111" t="n"/>
      <c r="I41" s="96" t="n"/>
      <c r="J41" s="96" t="n"/>
      <c r="K41" s="96" t="n"/>
      <c r="L41" s="111" t="n"/>
      <c r="M41" s="96" t="n"/>
      <c r="N41" s="96" t="n"/>
      <c r="O41" s="111" t="n"/>
      <c r="P41" s="112" t="n"/>
      <c r="Q41" s="112" t="n"/>
      <c r="R41" s="96" t="n"/>
      <c r="S41" s="96" t="n"/>
      <c r="T41" s="96" t="n"/>
      <c r="U41" s="96" t="n"/>
      <c r="V41" s="161" t="n"/>
      <c r="W41" s="96" t="n"/>
      <c r="X41" s="161" t="n"/>
      <c r="Y41" s="97" t="n"/>
      <c r="Z41" s="97" t="n"/>
      <c r="AA41" s="97" t="n"/>
      <c r="AB41" s="97" t="n"/>
      <c r="AC41" s="97" t="n"/>
      <c r="AD41" s="161" t="n"/>
      <c r="AE41" s="174" t="n"/>
      <c r="AF41" s="96" t="n"/>
      <c r="AG41" s="97" t="n"/>
      <c r="AH41" s="97" t="n"/>
      <c r="AI41" s="97" t="n"/>
      <c r="AJ41" s="96" t="n"/>
      <c r="AK41" s="130" t="n"/>
    </row>
    <row r="42" ht="12" customHeight="1">
      <c r="A42" s="108" t="n"/>
      <c r="B42" s="108" t="n"/>
      <c r="C42" s="108" t="n"/>
      <c r="D42" s="172" t="n"/>
      <c r="E42" s="173" t="n"/>
      <c r="F42" s="96" t="n"/>
      <c r="G42" s="96" t="n"/>
      <c r="H42" s="111" t="n"/>
      <c r="I42" s="96" t="n"/>
      <c r="J42" s="96" t="n"/>
      <c r="K42" s="96" t="n"/>
      <c r="L42" s="111" t="n"/>
      <c r="M42" s="96" t="n"/>
      <c r="N42" s="96" t="n"/>
      <c r="O42" s="111" t="n"/>
      <c r="P42" s="112" t="n"/>
      <c r="Q42" s="112" t="n"/>
      <c r="R42" s="96" t="n"/>
      <c r="S42" s="96" t="n"/>
      <c r="T42" s="96" t="n"/>
      <c r="U42" s="96" t="n"/>
      <c r="V42" s="161" t="n"/>
      <c r="W42" s="96" t="n"/>
      <c r="X42" s="161" t="n"/>
      <c r="Y42" s="97" t="n"/>
      <c r="Z42" s="97" t="n"/>
      <c r="AA42" s="97" t="n"/>
      <c r="AB42" s="97" t="n"/>
      <c r="AC42" s="97" t="n"/>
      <c r="AD42" s="161" t="n"/>
      <c r="AE42" s="174" t="n"/>
      <c r="AF42" s="96" t="n"/>
      <c r="AG42" s="97" t="n"/>
      <c r="AH42" s="97" t="n"/>
      <c r="AI42" s="97" t="n"/>
      <c r="AJ42" s="96" t="n"/>
      <c r="AK42" s="130" t="n"/>
    </row>
    <row r="43" ht="12" customHeight="1">
      <c r="A43" s="108" t="n"/>
      <c r="B43" s="108" t="n"/>
      <c r="C43" s="108" t="n"/>
      <c r="D43" s="172" t="n"/>
      <c r="E43" s="173" t="n"/>
      <c r="F43" s="96" t="n"/>
      <c r="G43" s="96" t="n"/>
      <c r="H43" s="111" t="n"/>
      <c r="I43" s="96" t="n"/>
      <c r="J43" s="96" t="n"/>
      <c r="K43" s="96" t="n"/>
      <c r="L43" s="111" t="n"/>
      <c r="M43" s="96" t="n"/>
      <c r="N43" s="96" t="n"/>
      <c r="O43" s="111" t="n"/>
      <c r="P43" s="112" t="n"/>
      <c r="Q43" s="112" t="n"/>
      <c r="R43" s="96" t="n"/>
      <c r="S43" s="96" t="n"/>
      <c r="T43" s="96" t="n"/>
      <c r="U43" s="96" t="n"/>
      <c r="V43" s="161" t="n"/>
      <c r="W43" s="96" t="n"/>
      <c r="X43" s="161" t="n"/>
      <c r="Y43" s="97" t="n"/>
      <c r="Z43" s="97" t="n"/>
      <c r="AA43" s="97" t="n"/>
      <c r="AB43" s="97" t="n"/>
      <c r="AC43" s="97" t="n"/>
      <c r="AD43" s="161" t="n"/>
      <c r="AE43" s="174" t="n"/>
      <c r="AF43" s="96" t="n"/>
      <c r="AG43" s="97" t="n"/>
      <c r="AH43" s="97" t="n"/>
      <c r="AI43" s="97" t="n"/>
      <c r="AJ43" s="96" t="n"/>
      <c r="AK43" s="130" t="n"/>
    </row>
    <row r="44" ht="12" customHeight="1">
      <c r="A44" s="108" t="n"/>
      <c r="B44" s="108" t="n"/>
      <c r="C44" s="108" t="n"/>
      <c r="D44" s="172" t="n"/>
      <c r="E44" s="173" t="n"/>
      <c r="F44" s="96" t="n"/>
      <c r="G44" s="96" t="n"/>
      <c r="H44" s="111" t="n"/>
      <c r="I44" s="96" t="n"/>
      <c r="J44" s="96" t="n"/>
      <c r="K44" s="96" t="n"/>
      <c r="L44" s="111" t="n"/>
      <c r="M44" s="96" t="n"/>
      <c r="N44" s="96" t="n"/>
      <c r="O44" s="111" t="n"/>
      <c r="P44" s="112" t="n"/>
      <c r="Q44" s="112" t="n"/>
      <c r="R44" s="96" t="n"/>
      <c r="S44" s="96" t="n"/>
      <c r="T44" s="96" t="n"/>
      <c r="U44" s="96" t="n"/>
      <c r="V44" s="161" t="n"/>
      <c r="W44" s="96" t="n"/>
      <c r="X44" s="161" t="n"/>
      <c r="Y44" s="97" t="n"/>
      <c r="Z44" s="97" t="n"/>
      <c r="AA44" s="97" t="n"/>
      <c r="AB44" s="97" t="n"/>
      <c r="AC44" s="97" t="n"/>
      <c r="AD44" s="161" t="n"/>
      <c r="AE44" s="174" t="n"/>
      <c r="AF44" s="96" t="n"/>
      <c r="AG44" s="97" t="n"/>
      <c r="AH44" s="97" t="n"/>
      <c r="AI44" s="97" t="n"/>
      <c r="AJ44" s="96" t="n"/>
      <c r="AK44" s="130" t="n"/>
    </row>
    <row r="45" ht="12" customHeight="1">
      <c r="A45" s="108" t="n"/>
      <c r="B45" s="108" t="n"/>
      <c r="C45" s="108" t="n"/>
      <c r="D45" s="172" t="n"/>
      <c r="E45" s="173" t="n"/>
      <c r="F45" s="96" t="n"/>
      <c r="G45" s="96" t="n"/>
      <c r="H45" s="111" t="n"/>
      <c r="I45" s="96" t="n"/>
      <c r="J45" s="96" t="n"/>
      <c r="K45" s="96" t="n"/>
      <c r="L45" s="111" t="n"/>
      <c r="M45" s="96" t="n"/>
      <c r="N45" s="96" t="n"/>
      <c r="O45" s="111" t="n"/>
      <c r="P45" s="112" t="n"/>
      <c r="Q45" s="112" t="n"/>
      <c r="R45" s="96" t="n"/>
      <c r="S45" s="96" t="n"/>
      <c r="T45" s="96" t="n"/>
      <c r="U45" s="96" t="n"/>
      <c r="V45" s="161" t="n"/>
      <c r="W45" s="96" t="n"/>
      <c r="X45" s="161" t="n"/>
      <c r="Y45" s="97" t="n"/>
      <c r="Z45" s="97" t="n"/>
      <c r="AA45" s="97" t="n"/>
      <c r="AB45" s="97" t="n"/>
      <c r="AC45" s="97" t="n"/>
      <c r="AD45" s="161" t="n"/>
      <c r="AE45" s="174" t="n"/>
      <c r="AF45" s="96" t="n"/>
      <c r="AG45" s="97" t="n"/>
      <c r="AH45" s="97" t="n"/>
      <c r="AI45" s="97" t="n"/>
      <c r="AJ45" s="96" t="n"/>
      <c r="AK45" s="130" t="n"/>
    </row>
    <row r="46" ht="12" customHeight="1">
      <c r="A46" s="108" t="n"/>
      <c r="B46" s="108" t="n"/>
      <c r="C46" s="108" t="n"/>
      <c r="D46" s="172" t="n"/>
      <c r="E46" s="173" t="n"/>
      <c r="F46" s="96" t="n"/>
      <c r="G46" s="96" t="n"/>
      <c r="H46" s="111" t="n"/>
      <c r="I46" s="96" t="n"/>
      <c r="J46" s="96" t="n"/>
      <c r="K46" s="96" t="n"/>
      <c r="L46" s="111" t="n"/>
      <c r="M46" s="96" t="n"/>
      <c r="N46" s="96" t="n"/>
      <c r="O46" s="111" t="n"/>
      <c r="P46" s="112" t="n"/>
      <c r="Q46" s="112" t="n"/>
      <c r="R46" s="96" t="n"/>
      <c r="S46" s="96" t="n"/>
      <c r="T46" s="96" t="n"/>
      <c r="U46" s="96" t="n"/>
      <c r="V46" s="161" t="n"/>
      <c r="W46" s="96" t="n"/>
      <c r="X46" s="161" t="n"/>
      <c r="Y46" s="97" t="n"/>
      <c r="Z46" s="97" t="n"/>
      <c r="AA46" s="97" t="n"/>
      <c r="AB46" s="97" t="n"/>
      <c r="AC46" s="97" t="n"/>
      <c r="AD46" s="161" t="n"/>
      <c r="AE46" s="174" t="n"/>
      <c r="AF46" s="96" t="n"/>
      <c r="AG46" s="97" t="n"/>
      <c r="AH46" s="97" t="n"/>
      <c r="AI46" s="97" t="n"/>
      <c r="AJ46" s="96" t="n"/>
      <c r="AK46" s="130" t="n"/>
    </row>
    <row r="47" ht="12" customHeight="1">
      <c r="A47" s="108" t="n"/>
      <c r="B47" s="108" t="n"/>
      <c r="C47" s="108" t="n"/>
      <c r="D47" s="172" t="n"/>
      <c r="E47" s="173" t="n"/>
      <c r="F47" s="96" t="n"/>
      <c r="G47" s="96" t="n"/>
      <c r="H47" s="111" t="n"/>
      <c r="I47" s="96" t="n"/>
      <c r="J47" s="96" t="n"/>
      <c r="K47" s="96" t="n"/>
      <c r="L47" s="111" t="n"/>
      <c r="M47" s="96" t="n"/>
      <c r="N47" s="96" t="n"/>
      <c r="O47" s="111" t="n"/>
      <c r="P47" s="112" t="n"/>
      <c r="Q47" s="112" t="n"/>
      <c r="R47" s="96" t="n"/>
      <c r="S47" s="96" t="n"/>
      <c r="T47" s="96" t="n"/>
      <c r="U47" s="96" t="n"/>
      <c r="V47" s="161" t="n"/>
      <c r="W47" s="96" t="n"/>
      <c r="X47" s="161" t="n"/>
      <c r="Y47" s="97" t="n"/>
      <c r="Z47" s="97" t="n"/>
      <c r="AA47" s="97" t="n"/>
      <c r="AB47" s="97" t="n"/>
      <c r="AC47" s="97" t="n"/>
      <c r="AD47" s="161" t="n"/>
      <c r="AE47" s="174" t="n"/>
      <c r="AF47" s="96" t="n"/>
      <c r="AG47" s="97" t="n"/>
      <c r="AH47" s="97" t="n"/>
      <c r="AI47" s="97" t="n"/>
      <c r="AJ47" s="96" t="n"/>
      <c r="AK47" s="130" t="n"/>
    </row>
    <row r="48" ht="12" customHeight="1">
      <c r="A48" s="108" t="n"/>
      <c r="B48" s="108" t="n"/>
      <c r="C48" s="108" t="n"/>
      <c r="D48" s="172" t="n"/>
      <c r="E48" s="173" t="n"/>
      <c r="F48" s="96" t="n"/>
      <c r="G48" s="96" t="n"/>
      <c r="H48" s="111" t="n"/>
      <c r="I48" s="96" t="n"/>
      <c r="J48" s="96" t="n"/>
      <c r="K48" s="96" t="n"/>
      <c r="L48" s="111" t="n"/>
      <c r="M48" s="96" t="n"/>
      <c r="N48" s="96" t="n"/>
      <c r="O48" s="111" t="n"/>
      <c r="P48" s="112" t="n"/>
      <c r="Q48" s="112" t="n"/>
      <c r="R48" s="96" t="n"/>
      <c r="S48" s="96" t="n"/>
      <c r="T48" s="96" t="n"/>
      <c r="U48" s="96" t="n"/>
      <c r="V48" s="161" t="n"/>
      <c r="W48" s="96" t="n"/>
      <c r="X48" s="161" t="n"/>
      <c r="Y48" s="97" t="n"/>
      <c r="Z48" s="97" t="n"/>
      <c r="AA48" s="97" t="n"/>
      <c r="AB48" s="97" t="n"/>
      <c r="AC48" s="97" t="n"/>
      <c r="AD48" s="161" t="n"/>
      <c r="AE48" s="174" t="n"/>
      <c r="AF48" s="96" t="n"/>
      <c r="AG48" s="97" t="n"/>
      <c r="AH48" s="97" t="n"/>
      <c r="AI48" s="97" t="n"/>
      <c r="AJ48" s="96" t="n"/>
      <c r="AK48" s="130" t="n"/>
    </row>
    <row r="49" ht="12" customHeight="1">
      <c r="A49" s="108" t="n"/>
      <c r="B49" s="108" t="n"/>
      <c r="C49" s="108" t="n"/>
      <c r="D49" s="172" t="n"/>
      <c r="E49" s="173" t="n"/>
      <c r="F49" s="96" t="n"/>
      <c r="G49" s="96" t="n"/>
      <c r="H49" s="111" t="n"/>
      <c r="I49" s="96" t="n"/>
      <c r="J49" s="96" t="n"/>
      <c r="K49" s="96" t="n"/>
      <c r="L49" s="111" t="n"/>
      <c r="M49" s="96" t="n"/>
      <c r="N49" s="96" t="n"/>
      <c r="O49" s="111" t="n"/>
      <c r="P49" s="112" t="n"/>
      <c r="Q49" s="112" t="n"/>
      <c r="R49" s="96" t="n"/>
      <c r="S49" s="96" t="n"/>
      <c r="T49" s="96" t="n"/>
      <c r="U49" s="96" t="n"/>
      <c r="V49" s="161" t="n"/>
      <c r="W49" s="96" t="n"/>
      <c r="X49" s="161" t="n"/>
      <c r="Y49" s="97" t="n"/>
      <c r="Z49" s="97" t="n"/>
      <c r="AA49" s="97" t="n"/>
      <c r="AB49" s="97" t="n"/>
      <c r="AC49" s="97" t="n"/>
      <c r="AD49" s="161" t="n"/>
      <c r="AE49" s="174" t="n"/>
      <c r="AF49" s="96" t="n"/>
      <c r="AG49" s="97" t="n"/>
      <c r="AH49" s="97" t="n"/>
      <c r="AI49" s="97" t="n"/>
      <c r="AJ49" s="96" t="n"/>
      <c r="AK49" s="130" t="n"/>
    </row>
    <row r="50" ht="12" customHeight="1">
      <c r="A50" s="108" t="n"/>
      <c r="B50" s="108" t="n"/>
      <c r="C50" s="108" t="n"/>
      <c r="D50" s="172" t="n"/>
      <c r="E50" s="173" t="n"/>
      <c r="F50" s="96" t="n"/>
      <c r="G50" s="96" t="n"/>
      <c r="H50" s="111" t="n"/>
      <c r="I50" s="96" t="n"/>
      <c r="J50" s="96" t="n"/>
      <c r="K50" s="96" t="n"/>
      <c r="L50" s="111" t="n"/>
      <c r="M50" s="96" t="n"/>
      <c r="N50" s="96" t="n"/>
      <c r="O50" s="111" t="n"/>
      <c r="P50" s="112" t="n"/>
      <c r="Q50" s="112" t="n"/>
      <c r="R50" s="96" t="n"/>
      <c r="S50" s="96" t="n"/>
      <c r="T50" s="96" t="n"/>
      <c r="U50" s="96" t="n"/>
      <c r="V50" s="161" t="n"/>
      <c r="W50" s="96" t="n"/>
      <c r="X50" s="161" t="n"/>
      <c r="Y50" s="97" t="n"/>
      <c r="Z50" s="97" t="n"/>
      <c r="AA50" s="97" t="n"/>
      <c r="AB50" s="97" t="n"/>
      <c r="AC50" s="97" t="n"/>
      <c r="AD50" s="161" t="n"/>
      <c r="AE50" s="174" t="n"/>
      <c r="AF50" s="96" t="n"/>
      <c r="AG50" s="97" t="n"/>
      <c r="AH50" s="97" t="n"/>
      <c r="AI50" s="97" t="n"/>
      <c r="AJ50" s="96" t="n"/>
      <c r="AK50" s="130" t="n"/>
    </row>
    <row r="51" ht="12" customHeight="1">
      <c r="A51" s="108" t="n"/>
      <c r="B51" s="108" t="n"/>
      <c r="C51" s="108" t="n"/>
      <c r="D51" s="172" t="n"/>
      <c r="E51" s="173" t="n"/>
      <c r="F51" s="96" t="n"/>
      <c r="G51" s="96" t="n"/>
      <c r="H51" s="111" t="n"/>
      <c r="I51" s="96" t="n"/>
      <c r="J51" s="96" t="n"/>
      <c r="K51" s="96" t="n"/>
      <c r="L51" s="111" t="n"/>
      <c r="M51" s="96" t="n"/>
      <c r="N51" s="96" t="n"/>
      <c r="O51" s="111" t="n"/>
      <c r="P51" s="112" t="n"/>
      <c r="Q51" s="112" t="n"/>
      <c r="R51" s="96" t="n"/>
      <c r="S51" s="96" t="n"/>
      <c r="T51" s="96" t="n"/>
      <c r="U51" s="96" t="n"/>
      <c r="V51" s="161" t="n"/>
      <c r="W51" s="96" t="n"/>
      <c r="X51" s="161" t="n"/>
      <c r="Y51" s="97" t="n"/>
      <c r="Z51" s="97" t="n"/>
      <c r="AA51" s="97" t="n"/>
      <c r="AB51" s="97" t="n"/>
      <c r="AC51" s="97" t="n"/>
      <c r="AD51" s="161" t="n"/>
      <c r="AE51" s="174" t="n"/>
      <c r="AF51" s="96" t="n"/>
      <c r="AG51" s="97" t="n"/>
      <c r="AH51" s="97" t="n"/>
      <c r="AI51" s="97" t="n"/>
      <c r="AJ51" s="96" t="n"/>
      <c r="AK51" s="130" t="n"/>
    </row>
    <row r="52" ht="12" customHeight="1"/>
    <row r="53" ht="12" customHeight="1"/>
    <row r="54" ht="12" customHeight="1"/>
    <row r="55" ht="12" customHeight="1"/>
    <row r="56" ht="12" customHeight="1"/>
    <row r="57" ht="12" customHeight="1">
      <c r="A57" s="96" t="n"/>
    </row>
    <row r="58" ht="12" customHeight="1">
      <c r="A58" s="96" t="n"/>
    </row>
    <row r="59" ht="12" customHeight="1">
      <c r="A59" s="96" t="n"/>
    </row>
    <row r="60" ht="12" customHeight="1">
      <c r="A60" s="96" t="n"/>
    </row>
    <row r="61" ht="12" customHeight="1">
      <c r="A61" s="96" t="n"/>
    </row>
    <row r="62" ht="12" customHeight="1">
      <c r="A62" s="96" t="n"/>
    </row>
    <row r="63" ht="12" customHeight="1">
      <c r="A63" s="96" t="n"/>
    </row>
    <row r="64" ht="12" customHeight="1">
      <c r="A64" s="96" t="n"/>
    </row>
    <row r="65" ht="12" customHeight="1">
      <c r="A65" s="96" t="n"/>
    </row>
    <row r="66" ht="12" customHeight="1">
      <c r="A66" s="96" t="n"/>
    </row>
    <row r="67" ht="12" customHeight="1">
      <c r="A67" s="96" t="n"/>
    </row>
    <row r="68" ht="12" customHeight="1">
      <c r="A68" s="96" t="n"/>
    </row>
    <row r="69" ht="12" customHeight="1">
      <c r="A69" s="96" t="n"/>
    </row>
    <row r="70" ht="12" customHeight="1">
      <c r="A70" s="96" t="n"/>
    </row>
    <row r="71" ht="12" customHeight="1">
      <c r="A71" s="96" t="n"/>
    </row>
    <row r="72" ht="12" customHeight="1">
      <c r="A72" s="96" t="n"/>
    </row>
    <row r="73" ht="12" customHeight="1">
      <c r="A73" s="96" t="n"/>
    </row>
    <row r="74" ht="12" customHeight="1">
      <c r="A74" s="96" t="n"/>
    </row>
    <row r="75" ht="12" customHeight="1">
      <c r="A75" s="96" t="n"/>
    </row>
    <row r="76" ht="12" customHeight="1">
      <c r="A76" s="96" t="n"/>
    </row>
    <row r="77" ht="12" customHeight="1">
      <c r="A77" s="96" t="n"/>
    </row>
    <row r="78" ht="12" customHeight="1">
      <c r="A78" s="96" t="n"/>
    </row>
    <row r="79" ht="12" customHeight="1">
      <c r="A79" s="96" t="n"/>
    </row>
    <row r="80" ht="12" customHeight="1">
      <c r="A80" s="96" t="n"/>
    </row>
    <row r="81" ht="12" customHeight="1">
      <c r="A81" s="96" t="n"/>
    </row>
    <row r="82" ht="12" customHeight="1">
      <c r="A82" s="96" t="n"/>
    </row>
    <row r="83" ht="12" customHeight="1">
      <c r="A83" s="96" t="n"/>
    </row>
    <row r="84" ht="12" customHeight="1">
      <c r="A84" s="96" t="n"/>
    </row>
    <row r="85" ht="12" customHeight="1">
      <c r="A85" s="96" t="n"/>
    </row>
    <row r="86" ht="12" customHeight="1">
      <c r="A86" s="96" t="n"/>
    </row>
    <row r="87" ht="12" customHeight="1">
      <c r="A87" s="96" t="n"/>
    </row>
    <row r="88" ht="12" customHeight="1">
      <c r="A88" s="96" t="n"/>
    </row>
    <row r="89" ht="12" customHeight="1">
      <c r="A89" s="96" t="n"/>
    </row>
    <row r="90" ht="12" customHeight="1">
      <c r="A90" s="96" t="n"/>
    </row>
    <row r="91" ht="12" customHeight="1">
      <c r="A91" s="96" t="n"/>
    </row>
    <row r="92" ht="12" customHeight="1">
      <c r="A92" s="96" t="n"/>
    </row>
    <row r="93" ht="12" customHeight="1">
      <c r="A93" s="96" t="n"/>
    </row>
    <row r="94" ht="12" customHeight="1">
      <c r="A94" s="96" t="n"/>
    </row>
    <row r="95" ht="12" customHeight="1">
      <c r="A95" s="96" t="n"/>
    </row>
    <row r="96" ht="12" customHeight="1">
      <c r="A96" s="96" t="n"/>
    </row>
    <row r="97" ht="12" customHeight="1">
      <c r="A97" s="96" t="n"/>
    </row>
    <row r="98" ht="12" customHeight="1">
      <c r="A98" s="96" t="n"/>
    </row>
    <row r="99" ht="12" customHeight="1">
      <c r="A99" s="96" t="n"/>
    </row>
    <row r="100" ht="12" customHeight="1">
      <c r="A100" s="96" t="n"/>
    </row>
    <row r="101" ht="12" customHeight="1">
      <c r="A101" s="96" t="n"/>
    </row>
    <row r="102" ht="12" customHeight="1">
      <c r="A102" s="96" t="n"/>
    </row>
    <row r="103" ht="12" customHeight="1">
      <c r="A103" s="96" t="n"/>
    </row>
    <row r="104" ht="12" customHeight="1">
      <c r="A104" s="96" t="n"/>
    </row>
    <row r="105" ht="12" customHeight="1">
      <c r="A105" s="96" t="n"/>
    </row>
    <row r="106" ht="12" customHeight="1">
      <c r="A106" s="96" t="n"/>
    </row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</sheetData>
  <autoFilter ref="A1:WWS1">
    <sortState ref="A2:AK48">
      <sortCondition ref="F1"/>
    </sortState>
  </autoFilter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52"/>
  <sheetViews>
    <sheetView tabSelected="1" zoomScaleNormal="100" workbookViewId="0">
      <selection activeCell="F4" sqref="F4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9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15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42" t="inlineStr">
        <is>
          <t>copyเบอร์ตู้มาวาง</t>
        </is>
      </c>
      <c r="B1" s="43" t="n"/>
      <c r="C1" s="44" t="n"/>
      <c r="G1" s="44" t="n"/>
      <c r="R1" s="153" t="inlineStr">
        <is>
          <t>เปลี่ยนวันที่ตามปฎิทิน</t>
        </is>
      </c>
      <c r="S1" s="175" t="n"/>
      <c r="U1" s="46" t="n"/>
      <c r="V1" s="102" t="n"/>
      <c r="W1" s="42" t="inlineStr">
        <is>
          <t>เช็ควันคืนตู้</t>
        </is>
      </c>
      <c r="X1" s="42" t="n"/>
      <c r="Y1" s="46" t="n"/>
      <c r="Z1" s="176" t="n"/>
      <c r="AA1" s="177">
        <f>SUM(AA3:AA1353)</f>
        <v>1750</v>
      </c>
      <c r="AB1" s="48" t="n"/>
      <c r="AC1" s="48" t="n"/>
      <c r="AF1" s="176" t="n"/>
      <c r="AG1" s="177">
        <f>SUM(AG3:AG1353)</f>
        <v>0</v>
      </c>
      <c r="AH1" s="177">
        <f>SUM(AH3:AH1353)</f>
        <v>0</v>
      </c>
      <c r="AI1" s="177">
        <f>SUM(AI3:AI1353)</f>
        <v>1750</v>
      </c>
      <c r="AK1" s="114" t="n"/>
      <c r="AL1" s="44" t="n"/>
    </row>
    <row r="2" ht="39.95" customFormat="1" customHeight="1" s="59">
      <c r="A2" s="50" t="inlineStr">
        <is>
          <t>Container No.</t>
        </is>
      </c>
      <c r="B2" s="101" t="inlineStr">
        <is>
          <t>Group</t>
        </is>
      </c>
      <c r="C2" s="51" t="inlineStr">
        <is>
          <t>Location</t>
        </is>
      </c>
      <c r="D2" s="52" t="inlineStr">
        <is>
          <t>Booking No.</t>
        </is>
      </c>
      <c r="E2" s="52" t="inlineStr">
        <is>
          <t>Shipper</t>
        </is>
      </c>
      <c r="F2" s="52" t="inlineStr">
        <is>
          <t>Org Shipper</t>
        </is>
      </c>
      <c r="G2" s="105" t="inlineStr">
        <is>
          <t>RCVCD</t>
        </is>
      </c>
      <c r="H2" s="52" t="inlineStr">
        <is>
          <t>POL</t>
        </is>
      </c>
      <c r="I2" s="52" t="inlineStr">
        <is>
          <t>POD</t>
        </is>
      </c>
      <c r="J2" s="53" t="inlineStr">
        <is>
          <t>TS PORT</t>
        </is>
      </c>
      <c r="K2" s="54" t="inlineStr">
        <is>
          <t>Type Size</t>
        </is>
      </c>
      <c r="L2" s="54" t="inlineStr">
        <is>
          <t>CGO TERM</t>
        </is>
      </c>
      <c r="M2" s="52" t="inlineStr">
        <is>
          <t>DG</t>
        </is>
      </c>
      <c r="N2" s="52" t="inlineStr">
        <is>
          <t>RF</t>
        </is>
      </c>
      <c r="O2" s="52" t="inlineStr">
        <is>
          <t>Vessel</t>
        </is>
      </c>
      <c r="P2" s="52" t="inlineStr">
        <is>
          <t>Voyage</t>
        </is>
      </c>
      <c r="Q2" s="52" t="inlineStr">
        <is>
          <t>SVC</t>
        </is>
      </c>
      <c r="R2" s="55" t="inlineStr">
        <is>
          <t>Size</t>
        </is>
      </c>
      <c r="S2" s="100" t="inlineStr">
        <is>
          <t>Original Schedule</t>
        </is>
      </c>
      <c r="T2" s="52" t="inlineStr">
        <is>
          <t>ETD</t>
        </is>
      </c>
      <c r="U2" s="56" t="inlineStr">
        <is>
          <t>Vssl Delay</t>
        </is>
      </c>
      <c r="V2" s="103" t="inlineStr">
        <is>
          <t>1st Date allow to return</t>
        </is>
      </c>
      <c r="W2" s="51" t="inlineStr">
        <is>
          <t>Date In</t>
        </is>
      </c>
      <c r="X2" s="56" t="inlineStr">
        <is>
          <t>Total Stay</t>
        </is>
      </c>
      <c r="Y2" s="56" t="inlineStr">
        <is>
          <t>Normal F/T Terminal</t>
        </is>
      </c>
      <c r="Z2" s="56" t="inlineStr">
        <is>
          <t>Total Storage Days</t>
        </is>
      </c>
      <c r="AA2" s="120" t="inlineStr">
        <is>
          <t>Total Storage Charge</t>
        </is>
      </c>
      <c r="AB2" s="57" t="inlineStr">
        <is>
          <t xml:space="preserve">Special F/T </t>
        </is>
      </c>
      <c r="AC2" s="57" t="inlineStr">
        <is>
          <t>HQ Ref No. / TML / APP BY</t>
        </is>
      </c>
      <c r="AD2" s="55" t="inlineStr">
        <is>
          <t>Free Time Customer</t>
        </is>
      </c>
      <c r="AE2" s="55" t="inlineStr">
        <is>
          <t>คืนก่อนเรือออก</t>
        </is>
      </c>
      <c r="AF2" s="56" t="inlineStr">
        <is>
          <t>Over F/T Customer</t>
        </is>
      </c>
      <c r="AG2" s="120" t="inlineStr">
        <is>
          <t>Amount due to Customer</t>
        </is>
      </c>
      <c r="AH2" s="57" t="inlineStr">
        <is>
          <t>Collection</t>
        </is>
      </c>
      <c r="AI2" s="120" t="inlineStr">
        <is>
          <t>Amount due to HAL</t>
        </is>
      </c>
      <c r="AJ2" s="58" t="inlineStr">
        <is>
          <t>Remark</t>
        </is>
      </c>
      <c r="AK2" s="52" t="inlineStr">
        <is>
          <t>SALESNM</t>
        </is>
      </c>
      <c r="AL2" s="105" t="inlineStr">
        <is>
          <t>CUST ETD</t>
        </is>
      </c>
      <c r="AM2" s="117" t="inlineStr">
        <is>
          <t>PICK UP</t>
        </is>
      </c>
      <c r="AN2" s="118" t="inlineStr">
        <is>
          <t>COMMOM
REMAKRS</t>
        </is>
      </c>
      <c r="AO2" s="118" t="inlineStr">
        <is>
          <t>ROLL</t>
        </is>
      </c>
    </row>
    <row r="3" ht="12.95" customHeight="1">
      <c r="A3" s="96" t="inlineStr">
        <is>
          <t>BEAU2422960</t>
        </is>
      </c>
      <c r="B3" s="4" t="str">
        <f>IF(C3=Charge!$M$1,Charge!$J$1,IF(C3=Charge!$M$23,Charge!$J$23,IF(C3=Charge!$M$17,Charge!$J$17,IF(C3=Charge!$N$17,Charge!$J$17,Charge!$J$7))))</f>
        <v>G1</v>
      </c>
      <c r="C3" s="61" t="str">
        <f>VLOOKUP(A3,'1.Loading'!A:R,14,FALSE)</f>
        <v>LCH04</v>
      </c>
      <c r="D3" s="61" t="str">
        <f>VLOOKUP(A3,'1.Loading'!A:R,17,FALSE)</f>
        <v>HASLS22261000018</v>
      </c>
      <c r="E3" s="62" t="str">
        <f>VLOOKUP(D3,'2.Bookinglist'!A:CT,27,FALSE)</f>
        <v>TTR FREIGHT AND SERVICE COMPANY LIMITED</v>
      </c>
      <c r="F3" s="62" t="str">
        <f>VLOOKUP(D3,'2.Bookinglist'!A:CT,28,FALSE)</f>
        <v>TONG THAI RUBBER CO., LTD.</v>
      </c>
      <c r="G3" s="60">
        <f>VLOOKUP(D3,'2.Bookinglist'!A:E,5,FALSE)</f>
        <v>0</v>
      </c>
      <c r="H3" s="61" t="str">
        <f>VLOOKUP(D3,'2.Bookinglist'!A:CT,15,FALSE)</f>
        <v>THLCH</v>
      </c>
      <c r="I3" s="61" t="str">
        <f>VLOOKUP(D3,'2.Bookinglist'!A:CT,19,FALSE)</f>
        <v>TWKEL</v>
      </c>
      <c r="J3" s="61">
        <f>VLOOKUP(D3,'2.Bookinglist'!A:CT,26,FALSE)</f>
        <v>0</v>
      </c>
      <c r="K3" s="61" t="str">
        <f>VLOOKUP(A3,'1.Loading'!A:R,5,FALSE)</f>
        <v>22GP</v>
      </c>
      <c r="L3" s="60" t="str">
        <f>VLOOKUP(D3,'2.Bookinglist'!A:CT,85,FALSE)</f>
        <v>CY/CY</v>
      </c>
      <c r="M3" s="60" t="str">
        <f>IF(VLOOKUP(D3,'2.Bookinglist'!A:CT,43,FALSE)=0,"","DG")</f>
        <v/>
      </c>
      <c r="N3" s="60" t="str">
        <f>IF(RIGHT(K3,2)="RE","RF","")</f>
        <v/>
      </c>
      <c r="O3" s="61" t="str">
        <f>VLOOKUP(A3,'1.Loading'!A:R,3,FALSE)</f>
        <v>KJT</v>
      </c>
      <c r="P3" s="61" t="str">
        <f>VLOOKUP(A3,'1.Loading'!A:R,4,FALSE)</f>
        <v>2611N</v>
      </c>
      <c r="Q3" s="61" t="str">
        <f>VLOOKUP(D3,'2.Bookinglist'!A:CT,12,FALSE)</f>
        <v>KTS1</v>
      </c>
      <c r="R3" s="60" t="str">
        <f>IF(LEFT(K3,2)="22","20'","40'")</f>
        <v>20'</v>
      </c>
      <c r="S3" s="101" t="n"/>
      <c r="T3" s="61" t="str">
        <f>VLOOKUP(A3,'1.Loading'!A:R,2,FALSE)</f>
        <v>2026-10-21</v>
      </c>
      <c r="U3" s="63">
        <f>T3-S3</f>
        <v>46316</v>
      </c>
      <c r="V3" s="178" t="n"/>
      <c r="W3" s="61" t="str">
        <f>VLOOKUP(A3,'3.GateMove'!A:D,4,FALSE)</f>
        <v>2026-10-15</v>
      </c>
      <c r="X3" s="63">
        <f>((T3-W3)+1)</f>
        <v>7</v>
      </c>
      <c r="Y3" s="64">
        <f>IF(AND(OR(C3="BKK01",C3="BKK04"),L3="CFS/CY"),0,IF(M3="DG",1,IF(LEFT(C3,3)="LCH",7,IF(C3="BKK02",5,3))))</f>
        <v>7</v>
      </c>
      <c r="Z3" s="63">
        <f>IF(IF(AND(AC3="TML",AB3&gt;0),((T3-W3)+1)-AB3,((T3-W3)+1)-Y3)&gt;0,IF(AND(AC3="TML",AB3&gt;0),((T3-W3)+1)-AB3,((T3-W3)+1)-Y3),0)</f>
        <v>0</v>
      </c>
      <c r="AA3" s="120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0</v>
      </c>
      <c r="AB3" s="4" t="n"/>
      <c r="AC3" s="4" t="n"/>
      <c r="AD3" s="60">
        <f>IF(M3="DG",3,IF(N3="RF",3,5))+IF(AND(LEFT(C3,3)="BKK",N3="RF",Q3="KTS"),1,0)+IF(Q3="KHS",1,0)</f>
        <v>5</v>
      </c>
      <c r="AE3" s="63">
        <f>(T3-V3)+1</f>
        <v>46317</v>
      </c>
      <c r="AF3" s="63">
        <f>IF(AB3&gt;IF((V3-W3)&gt;0,V3-W3,0),0,IF(AB3&lt;IF((V3-W3)&gt;0,V3-W3,0),IF((V3-W3)&gt;0,V3-W3,0)-AB3,IF((V3-W3)&gt;0,V3-W3,0)))</f>
        <v>0</v>
      </c>
      <c r="AG3" s="120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5" t="n"/>
      <c r="AI3" s="93">
        <f>AA3-AH3</f>
        <v>0</v>
      </c>
      <c r="AJ3" s="70" t="n"/>
      <c r="AK3" s="62" t="str">
        <f>VLOOKUP(D3,'2.Bookinglist'!A:CT,40,FALSE)</f>
        <v>Arunphat W. (Aiw)</v>
      </c>
      <c r="AL3" s="60" t="str">
        <f>VLOOKUP(D3,'2.Bookinglist'!A:CW,101,FALSE)</f>
        <v>2026-10-17</v>
      </c>
      <c r="AM3" s="60" t="str">
        <f>VLOOKUP(D3,'2.Bookinglist'!A:BK,63,FALSE)</f>
        <v>LCHY5</v>
      </c>
      <c r="AN3" s="62" t="str">
        <f>VLOOKUP(D3,'2.Bookinglist'!A:AZ,52,FALSE)</f>
        <v>Pickup : 2026-10-12, Return : 2026-10-14
** PLEASE CHECK OPEN GATE BEFORE RETURN CONTAINER ** </v>
      </c>
      <c r="AO3" s="62">
        <f>VLOOKUP(D3,'2.Bookinglist'!A:CY,103,FALSE)</f>
        <v>0</v>
      </c>
    </row>
    <row r="4" ht="12.95" customHeight="1">
      <c r="A4" s="96" t="inlineStr">
        <is>
          <t>DFSU1697399</t>
        </is>
      </c>
      <c r="B4" s="184" t="str">
        <f>IF(C4=Charge!$M$1,Charge!$J$1,IF(C4=Charge!$M$23,Charge!$J$23,IF(C4=Charge!$M$17,Charge!$J$17,IF(C4=Charge!$N$17,Charge!$J$17,Charge!$J$7))))</f>
        <v>G1</v>
      </c>
      <c r="C4" s="61" t="str">
        <f>VLOOKUP(A4,'1.Loading'!A:R,14,FALSE)</f>
        <v>LCH04</v>
      </c>
      <c r="D4" s="61" t="str">
        <f>VLOOKUP(A4,'1.Loading'!A:R,17,FALSE)</f>
        <v>HASLS22260902372</v>
      </c>
      <c r="E4" s="62" t="str">
        <f>VLOOKUP(D4,'2.Bookinglist'!A:CT,27,FALSE)</f>
        <v>DOUBLE A (1991) PUBLIC COMPANY LIMITED</v>
      </c>
      <c r="F4" s="62" t="str">
        <f>VLOOKUP(D4,'2.Bookinglist'!A:CT,28,FALSE)</f>
        <v>DOUBLE A (1991) PUBLIC COMPANY LIMITED</v>
      </c>
      <c r="G4" s="60">
        <f>VLOOKUP(D4,'2.Bookinglist'!A:E,5,FALSE)</f>
        <v>0</v>
      </c>
      <c r="H4" s="61" t="str">
        <f>VLOOKUP(D4,'2.Bookinglist'!A:CT,15,FALSE)</f>
        <v>THLCH</v>
      </c>
      <c r="I4" s="61" t="str">
        <f>VLOOKUP(D4,'2.Bookinglist'!A:CT,19,FALSE)</f>
        <v>HKHKG</v>
      </c>
      <c r="J4" s="61">
        <f>VLOOKUP(D4,'2.Bookinglist'!A:CT,26,FALSE)</f>
        <v>0</v>
      </c>
      <c r="K4" s="61" t="str">
        <f>VLOOKUP(A4,'1.Loading'!A:R,5,FALSE)</f>
        <v>22GP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>IF(RIGHT(K4,2)="RE","RF","")</f>
        <v/>
      </c>
      <c r="O4" s="61" t="str">
        <f>VLOOKUP(A4,'1.Loading'!A:R,3,FALSE)</f>
        <v>KJT</v>
      </c>
      <c r="P4" s="61" t="str">
        <f>VLOOKUP(A4,'1.Loading'!A:R,4,FALSE)</f>
        <v>2611N</v>
      </c>
      <c r="Q4" s="61" t="str">
        <f>VLOOKUP(D4,'2.Bookinglist'!A:CT,12,FALSE)</f>
        <v>KTS1</v>
      </c>
      <c r="R4" s="60" t="str">
        <f>IF(LEFT(K4,2)="22","20'","40'")</f>
        <v>20'</v>
      </c>
      <c r="S4" s="185" t="n"/>
      <c r="T4" s="61" t="str">
        <f>VLOOKUP(A4,'1.Loading'!A:R,2,FALSE)</f>
        <v>2026-10-21</v>
      </c>
      <c r="U4" s="63">
        <f>T4-S4</f>
        <v>46316</v>
      </c>
      <c r="V4" s="186" t="n"/>
      <c r="W4" s="61" t="str">
        <f>VLOOKUP(A4,'3.GateMove'!A:D,4,FALSE)</f>
        <v>2026-10-18</v>
      </c>
      <c r="X4" s="63">
        <f>((T4-W4)+1)</f>
        <v>4</v>
      </c>
      <c r="Y4" s="64">
        <f>IF(AND(OR(C4="BKK01",C4="BKK04"),L4="CFS/CY"),0,IF(M4="DG",1,IF(LEFT(C4,3)="LCH",7,IF(C4="BKK02",5,3))))</f>
        <v>7</v>
      </c>
      <c r="Z4" s="63">
        <f>IF(IF(AND(AC4="TML",AB4&gt;0),((T4-W4)+1)-AB4,((T4-W4)+1)-Y4)&gt;0,IF(AND(AC4="TML",AB4&gt;0),((T4-W4)+1)-AB4,((T4-W4)+1)-Y4),0)</f>
        <v>0</v>
      </c>
      <c r="AA4" s="187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0</v>
      </c>
      <c r="AB4" s="184" t="n"/>
      <c r="AC4" s="184" t="n"/>
      <c r="AD4" s="60">
        <f>IF(M4="DG",3,IF(N4="RF",3,5))+IF(AND(LEFT(C4,3)="BKK",N4="RF",Q4="KTS"),1,0)+IF(Q4="KHS",1,0)</f>
        <v>5</v>
      </c>
      <c r="AE4" s="63">
        <f>(T4-V4)+1</f>
        <v>46317</v>
      </c>
      <c r="AF4" s="63">
        <f>IF(AB4&gt;IF((V4-W4)&gt;0,V4-W4,0),0,IF(AB4&lt;IF((V4-W4)&gt;0,V4-W4,0),IF((V4-W4)&gt;0,V4-W4,0)-AB4,IF((V4-W4)&gt;0,V4-W4,0)))</f>
        <v>0</v>
      </c>
      <c r="AG4" s="187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5" t="n"/>
      <c r="AI4" s="65">
        <f>AA4-AH4</f>
        <v>0</v>
      </c>
      <c r="AJ4" s="188" t="n"/>
      <c r="AK4" s="62" t="str">
        <f>VLOOKUP(D4,'2.Bookinglist'!A:CT,40,FALSE)</f>
        <v>Kanokporn</v>
      </c>
      <c r="AL4" s="60" t="str">
        <f>VLOOKUP(D4,'2.Bookinglist'!A:CW,101,FALSE)</f>
        <v>2026-10-15</v>
      </c>
      <c r="AM4" s="60" t="str">
        <f>VLOOKUP(D4,'2.Bookinglist'!A:BK,63,FALSE)</f>
        <v>LCHY5</v>
      </c>
      <c r="AN4" s="62" t="str">
        <f>VLOOKUP(D4,'2.Bookinglist'!A:AZ,52,FALSE)</f>
        <v>CY-RTN : 09-11/10/2026
REF : PI-HK-TH-DA-26100001
FRT $35, FREE TIME 14/14, DTHC(HKD)2000</v>
      </c>
      <c r="AO4" s="62">
        <f>VLOOKUP(D4,'2.Bookinglist'!A:CY,103,FALSE)</f>
        <v>0</v>
      </c>
    </row>
    <row r="5" ht="12.95" customHeight="1">
      <c r="A5" s="96" t="inlineStr">
        <is>
          <t>HALU5650360</t>
        </is>
      </c>
      <c r="B5" s="184" t="str">
        <f>IF(C5=Charge!$M$1,Charge!$J$1,IF(C5=Charge!$M$23,Charge!$J$23,IF(C5=Charge!$M$17,Charge!$J$17,IF(C5=Charge!$N$17,Charge!$J$17,Charge!$J$7))))</f>
        <v>G1</v>
      </c>
      <c r="C5" s="61" t="str">
        <f>VLOOKUP(A5,'1.Loading'!A:R,14,FALSE)</f>
        <v>LCH04</v>
      </c>
      <c r="D5" s="61" t="str">
        <f>VLOOKUP(A5,'1.Loading'!A:R,17,FALSE)</f>
        <v>HASLS22260901634</v>
      </c>
      <c r="E5" s="62" t="str">
        <f>VLOOKUP(D5,'2.Bookinglist'!A:CT,27,FALSE)</f>
        <v>LOGIMARK INTERNATIONAL LIMITED</v>
      </c>
      <c r="F5" s="62" t="str">
        <f>VLOOKUP(D5,'2.Bookinglist'!A:CT,28,FALSE)</f>
        <v>TANG SIA PING METAL WORK CO., LTD.</v>
      </c>
      <c r="G5" s="60">
        <f>VLOOKUP(D5,'2.Bookinglist'!A:E,5,FALSE)</f>
        <v>0</v>
      </c>
      <c r="H5" s="61" t="str">
        <f>VLOOKUP(D5,'2.Bookinglist'!A:CT,15,FALSE)</f>
        <v>THLCH</v>
      </c>
      <c r="I5" s="61" t="str">
        <f>VLOOKUP(D5,'2.Bookinglist'!A:CT,19,FALSE)</f>
        <v>JPHKT</v>
      </c>
      <c r="J5" s="61" t="str">
        <f>VLOOKUP(D5,'2.Bookinglist'!A:CT,26,FALSE)</f>
        <v>KRPUS</v>
      </c>
      <c r="K5" s="61" t="str">
        <f>VLOOKUP(A5,'1.Loading'!A:R,5,FALSE)</f>
        <v>45GP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>IF(RIGHT(K5,2)="RE","RF","")</f>
        <v/>
      </c>
      <c r="O5" s="61" t="str">
        <f>VLOOKUP(A5,'1.Loading'!A:R,3,FALSE)</f>
        <v>KJT</v>
      </c>
      <c r="P5" s="61" t="str">
        <f>VLOOKUP(A5,'1.Loading'!A:R,4,FALSE)</f>
        <v>2611N</v>
      </c>
      <c r="Q5" s="61" t="str">
        <f>VLOOKUP(D5,'2.Bookinglist'!A:CT,12,FALSE)</f>
        <v>KTS1</v>
      </c>
      <c r="R5" s="60" t="str">
        <f>IF(LEFT(K5,2)="22","20'","40'")</f>
        <v>40'</v>
      </c>
      <c r="S5" s="185" t="n"/>
      <c r="T5" s="61" t="str">
        <f>VLOOKUP(A5,'1.Loading'!A:R,2,FALSE)</f>
        <v>2026-10-21</v>
      </c>
      <c r="U5" s="63">
        <f>T5-S5</f>
        <v>46316</v>
      </c>
      <c r="V5" s="186" t="n"/>
      <c r="W5" s="61" t="str">
        <f>VLOOKUP(A5,'3.GateMove'!A:D,4,FALSE)</f>
        <v>2026-10-16</v>
      </c>
      <c r="X5" s="63">
        <f>((T5-W5)+1)</f>
        <v>6</v>
      </c>
      <c r="Y5" s="64">
        <f>IF(AND(OR(C5="BKK01",C5="BKK04"),L5="CFS/CY"),0,IF(M5="DG",1,IF(LEFT(C5,3)="LCH",7,IF(C5="BKK02",5,3))))</f>
        <v>7</v>
      </c>
      <c r="Z5" s="63">
        <f>IF(IF(AND(AC5="TML",AB5&gt;0),((T5-W5)+1)-AB5,((T5-W5)+1)-Y5)&gt;0,IF(AND(AC5="TML",AB5&gt;0),((T5-W5)+1)-AB5,((T5-W5)+1)-Y5),0)</f>
        <v>0</v>
      </c>
      <c r="AA5" s="187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0</v>
      </c>
      <c r="AB5" s="184" t="n"/>
      <c r="AC5" s="184" t="n"/>
      <c r="AD5" s="60">
        <f>IF(M5="DG",3,IF(N5="RF",3,5))+IF(AND(LEFT(C5,3)="BKK",N5="RF",Q5="KTS"),1,0)+IF(Q5="KHS",1,0)</f>
        <v>5</v>
      </c>
      <c r="AE5" s="63">
        <f>(T5-V5)+1</f>
        <v>46317</v>
      </c>
      <c r="AF5" s="63">
        <f>IF(AB5&gt;IF((V5-W5)&gt;0,V5-W5,0),0,IF(AB5&lt;IF((V5-W5)&gt;0,V5-W5,0),IF((V5-W5)&gt;0,V5-W5,0)-AB5,IF((V5-W5)&gt;0,V5-W5,0)))</f>
        <v>0</v>
      </c>
      <c r="AG5" s="187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5" t="n"/>
      <c r="AI5" s="65">
        <f>AA5-AH5</f>
        <v>0</v>
      </c>
      <c r="AJ5" s="188" t="n"/>
      <c r="AK5" s="62" t="str">
        <f>VLOOKUP(D5,'2.Bookinglist'!A:CT,40,FALSE)</f>
        <v>Arunphat W. (Aiw)</v>
      </c>
      <c r="AL5" s="60" t="str">
        <f>VLOOKUP(D5,'2.Bookinglist'!A:CW,101,FALSE)</f>
        <v>2026-10-21</v>
      </c>
      <c r="AM5" s="60" t="str">
        <f>VLOOKUP(D5,'2.Bookinglist'!A:BK,63,FALSE)</f>
        <v>LCHY5</v>
      </c>
      <c r="AN5" s="62" t="str">
        <f>VLOOKUP(D5,'2.Bookinglist'!A:AZ,52,FALSE)</f>
        <v>[FIX]Pickup : 2026-10-15, Return : 2026-10-16 // FM SWAL 2609N BY HAL DD.14/10</v>
      </c>
      <c r="AO5" s="62" t="str">
        <f>VLOOKUP(D5,'2.Bookinglist'!A:CY,103,FALSE)</f>
        <v>ROLL OVER FROM PREVIOUS VSL SKOR 2612N BY ALLOCAITON TEAM MS.TARN APPROVED COST IS UNDER HA DD.16/10</v>
      </c>
    </row>
    <row r="6" ht="12.95" customHeight="1">
      <c r="A6" s="96" t="inlineStr">
        <is>
          <t>HALU5663244</t>
        </is>
      </c>
      <c r="B6" s="184" t="str">
        <f>IF(C6=Charge!$M$1,Charge!$J$1,IF(C6=Charge!$M$23,Charge!$J$23,IF(C6=Charge!$M$17,Charge!$J$17,IF(C6=Charge!$N$17,Charge!$J$17,Charge!$J$7))))</f>
        <v>G1</v>
      </c>
      <c r="C6" s="61" t="str">
        <f>VLOOKUP(A6,'1.Loading'!A:R,14,FALSE)</f>
        <v>LCH04</v>
      </c>
      <c r="D6" s="61" t="str">
        <f>VLOOKUP(A6,'1.Loading'!A:R,17,FALSE)</f>
        <v>HASLS22260902515</v>
      </c>
      <c r="E6" s="62" t="str">
        <f>VLOOKUP(D6,'2.Bookinglist'!A:CT,27,FALSE)</f>
        <v>DOLPHIN LOGISTICS (THAILAND) CO., LTD.</v>
      </c>
      <c r="F6" s="62" t="str">
        <f>VLOOKUP(D6,'2.Bookinglist'!A:CT,28,FALSE)</f>
        <v>PRIMAX ELECTRONICS (THAILAND) CO.,LTD.</v>
      </c>
      <c r="G6" s="60">
        <f>VLOOKUP(D6,'2.Bookinglist'!A:E,5,FALSE)</f>
        <v>0</v>
      </c>
      <c r="H6" s="61" t="str">
        <f>VLOOKUP(D6,'2.Bookinglist'!A:CT,15,FALSE)</f>
        <v>THLCH</v>
      </c>
      <c r="I6" s="61" t="str">
        <f>VLOOKUP(D6,'2.Bookinglist'!A:CT,19,FALSE)</f>
        <v>HKHKG</v>
      </c>
      <c r="J6" s="61">
        <f>VLOOKUP(D6,'2.Bookinglist'!A:CT,26,FALSE)</f>
        <v>0</v>
      </c>
      <c r="K6" s="61" t="str">
        <f>VLOOKUP(A6,'1.Loading'!A:R,5,FALSE)</f>
        <v>45GP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>IF(RIGHT(K6,2)="RE","RF","")</f>
        <v/>
      </c>
      <c r="O6" s="61" t="str">
        <f>VLOOKUP(A6,'1.Loading'!A:R,3,FALSE)</f>
        <v>KJT</v>
      </c>
      <c r="P6" s="61" t="str">
        <f>VLOOKUP(A6,'1.Loading'!A:R,4,FALSE)</f>
        <v>2611N</v>
      </c>
      <c r="Q6" s="61" t="str">
        <f>VLOOKUP(D6,'2.Bookinglist'!A:CT,12,FALSE)</f>
        <v>KTS1</v>
      </c>
      <c r="R6" s="60" t="str">
        <f>IF(LEFT(K6,2)="22","20'","40'")</f>
        <v>40'</v>
      </c>
      <c r="S6" s="185" t="n"/>
      <c r="T6" s="61" t="str">
        <f>VLOOKUP(A6,'1.Loading'!A:R,2,FALSE)</f>
        <v>2026-10-21</v>
      </c>
      <c r="U6" s="63">
        <f>T6-S6</f>
        <v>46316</v>
      </c>
      <c r="V6" s="186" t="n"/>
      <c r="W6" s="61" t="str">
        <f>VLOOKUP(A6,'3.GateMove'!A:D,4,FALSE)</f>
        <v>2026-10-17</v>
      </c>
      <c r="X6" s="63">
        <f>((T6-W6)+1)</f>
        <v>5</v>
      </c>
      <c r="Y6" s="64">
        <f>IF(AND(OR(C6="BKK01",C6="BKK04"),L6="CFS/CY"),0,IF(M6="DG",1,IF(LEFT(C6,3)="LCH",7,IF(C6="BKK02",5,3))))</f>
        <v>7</v>
      </c>
      <c r="Z6" s="63">
        <f>IF(IF(AND(AC6="TML",AB6&gt;0),((T6-W6)+1)-AB6,((T6-W6)+1)-Y6)&gt;0,IF(AND(AC6="TML",AB6&gt;0),((T6-W6)+1)-AB6,((T6-W6)+1)-Y6),0)</f>
        <v>0</v>
      </c>
      <c r="AA6" s="187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0</v>
      </c>
      <c r="AB6" s="184" t="n"/>
      <c r="AC6" s="184" t="n"/>
      <c r="AD6" s="60">
        <f>IF(M6="DG",3,IF(N6="RF",3,5))+IF(AND(LEFT(C6,3)="BKK",N6="RF",Q6="KTS"),1,0)+IF(Q6="KHS",1,0)</f>
        <v>5</v>
      </c>
      <c r="AE6" s="63">
        <f>(T6-V6)+1</f>
        <v>46317</v>
      </c>
      <c r="AF6" s="63">
        <f>IF(AB6&gt;IF((V6-W6)&gt;0,V6-W6,0),0,IF(AB6&lt;IF((V6-W6)&gt;0,V6-W6,0),IF((V6-W6)&gt;0,V6-W6,0)-AB6,IF((V6-W6)&gt;0,V6-W6,0)))</f>
        <v>0</v>
      </c>
      <c r="AG6" s="187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5" t="n"/>
      <c r="AI6" s="65">
        <f>AA6-AH6</f>
        <v>0</v>
      </c>
      <c r="AJ6" s="188" t="n"/>
      <c r="AK6" s="62" t="str">
        <f>VLOOKUP(D6,'2.Bookinglist'!A:CT,40,FALSE)</f>
        <v>Sukunpoj Damrongying</v>
      </c>
      <c r="AL6" s="60" t="str">
        <f>VLOOKUP(D6,'2.Bookinglist'!A:CW,101,FALSE)</f>
        <v>2026-10-20</v>
      </c>
      <c r="AM6" s="60" t="str">
        <f>VLOOKUP(D6,'2.Bookinglist'!A:BK,63,FALSE)</f>
        <v>LCHY5</v>
      </c>
      <c r="AN6" s="62" t="str">
        <f>VLOOKUP(D6,'2.Bookinglist'!A:AZ,52,FALSE)</f>
        <v>Pickup : 2026-10-16, Return : 2026-10-16 
 ** PLEASE CHECK OPEN GATE BEFORE RETURN CNTR **
</v>
      </c>
      <c r="AO6" s="62">
        <f>VLOOKUP(D6,'2.Bookinglist'!A:CY,103,FALSE)</f>
        <v>0</v>
      </c>
    </row>
    <row r="7" ht="12.95" customHeight="1">
      <c r="A7" s="96" t="inlineStr">
        <is>
          <t>SKHU6514145</t>
        </is>
      </c>
      <c r="B7" s="184" t="str">
        <f>IF(C7=Charge!$M$1,Charge!$J$1,IF(C7=Charge!$M$23,Charge!$J$23,IF(C7=Charge!$M$17,Charge!$J$17,IF(C7=Charge!$N$17,Charge!$J$17,Charge!$J$7))))</f>
        <v>G1</v>
      </c>
      <c r="C7" s="61" t="str">
        <f>VLOOKUP(A7,'1.Loading'!A:R,14,FALSE)</f>
        <v>LCH04</v>
      </c>
      <c r="D7" s="61" t="str">
        <f>VLOOKUP(A7,'1.Loading'!A:R,17,FALSE)</f>
        <v>HASLS22261001195</v>
      </c>
      <c r="E7" s="62" t="str">
        <f>VLOOKUP(D7,'2.Bookinglist'!A:CT,27,FALSE)</f>
        <v>DOLPHIN LOGISTICS (THAILAND) CO., LTD.</v>
      </c>
      <c r="F7" s="62" t="str">
        <f>VLOOKUP(D7,'2.Bookinglist'!A:CT,28,FALSE)</f>
        <v>I ONE TECHNOLOGY (THAILAND) CO.,LTD.</v>
      </c>
      <c r="G7" s="60">
        <f>VLOOKUP(D7,'2.Bookinglist'!A:E,5,FALSE)</f>
        <v>0</v>
      </c>
      <c r="H7" s="61" t="str">
        <f>VLOOKUP(D7,'2.Bookinglist'!A:CT,15,FALSE)</f>
        <v>THLCH</v>
      </c>
      <c r="I7" s="61" t="str">
        <f>VLOOKUP(D7,'2.Bookinglist'!A:CT,19,FALSE)</f>
        <v>HKHKG</v>
      </c>
      <c r="J7" s="61">
        <f>VLOOKUP(D7,'2.Bookinglist'!A:CT,26,FALSE)</f>
        <v>0</v>
      </c>
      <c r="K7" s="61" t="str">
        <f>VLOOKUP(A7,'1.Loading'!A:R,5,FALSE)</f>
        <v>45GP</v>
      </c>
      <c r="L7" s="60" t="str">
        <f>VLOOKUP(D7,'2.Bookinglist'!A:CT,85,FALSE)</f>
        <v>CY/CY</v>
      </c>
      <c r="M7" s="60" t="str">
        <f>IF(VLOOKUP(D7,'2.Bookinglist'!A:CT,43,FALSE)=0,"","DG")</f>
        <v/>
      </c>
      <c r="N7" s="60" t="str">
        <f>IF(RIGHT(K7,2)="RE","RF","")</f>
        <v/>
      </c>
      <c r="O7" s="61" t="str">
        <f>VLOOKUP(A7,'1.Loading'!A:R,3,FALSE)</f>
        <v>KJT</v>
      </c>
      <c r="P7" s="61" t="str">
        <f>VLOOKUP(A7,'1.Loading'!A:R,4,FALSE)</f>
        <v>2611N</v>
      </c>
      <c r="Q7" s="61" t="str">
        <f>VLOOKUP(D7,'2.Bookinglist'!A:CT,12,FALSE)</f>
        <v>KTS1</v>
      </c>
      <c r="R7" s="60" t="str">
        <f>IF(LEFT(K7,2)="22","20'","40'")</f>
        <v>40'</v>
      </c>
      <c r="S7" s="185" t="n"/>
      <c r="T7" s="61" t="str">
        <f>VLOOKUP(A7,'1.Loading'!A:R,2,FALSE)</f>
        <v>2026-10-21</v>
      </c>
      <c r="U7" s="63">
        <f>T7-S7</f>
        <v>46316</v>
      </c>
      <c r="V7" s="186" t="n"/>
      <c r="W7" s="61" t="str">
        <f>VLOOKUP(A7,'3.GateMove'!A:D,4,FALSE)</f>
        <v>2026-10-16</v>
      </c>
      <c r="X7" s="63">
        <f>((T7-W7)+1)</f>
        <v>6</v>
      </c>
      <c r="Y7" s="64">
        <f>IF(AND(OR(C7="BKK01",C7="BKK04"),L7="CFS/CY"),0,IF(M7="DG",1,IF(LEFT(C7,3)="LCH",7,IF(C7="BKK02",5,3))))</f>
        <v>7</v>
      </c>
      <c r="Z7" s="63">
        <f>IF(IF(AND(AC7="TML",AB7&gt;0),((T7-W7)+1)-AB7,((T7-W7)+1)-Y7)&gt;0,IF(AND(AC7="TML",AB7&gt;0),((T7-W7)+1)-AB7,((T7-W7)+1)-Y7),0)</f>
        <v>0</v>
      </c>
      <c r="AA7" s="187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0</v>
      </c>
      <c r="AB7" s="184" t="n"/>
      <c r="AC7" s="184" t="n"/>
      <c r="AD7" s="60">
        <f>IF(M7="DG",3,IF(N7="RF",3,5))+IF(AND(LEFT(C7,3)="BKK",N7="RF",Q7="KTS"),1,0)+IF(Q7="KHS",1,0)</f>
        <v>5</v>
      </c>
      <c r="AE7" s="63">
        <f>(T7-V7)+1</f>
        <v>46317</v>
      </c>
      <c r="AF7" s="63">
        <f>IF(AB7&gt;IF((V7-W7)&gt;0,V7-W7,0),0,IF(AB7&lt;IF((V7-W7)&gt;0,V7-W7,0),IF((V7-W7)&gt;0,V7-W7,0)-AB7,IF((V7-W7)&gt;0,V7-W7,0)))</f>
        <v>0</v>
      </c>
      <c r="AG7" s="187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5" t="n"/>
      <c r="AI7" s="65">
        <f>AA7-AH7</f>
        <v>0</v>
      </c>
      <c r="AJ7" s="188" t="n"/>
      <c r="AK7" s="62" t="str">
        <f>VLOOKUP(D7,'2.Bookinglist'!A:CT,40,FALSE)</f>
        <v>Sukunpoj Damrongying</v>
      </c>
      <c r="AL7" s="60" t="str">
        <f>VLOOKUP(D7,'2.Bookinglist'!A:CW,101,FALSE)</f>
        <v>2026-10-20</v>
      </c>
      <c r="AM7" s="60" t="str">
        <f>VLOOKUP(D7,'2.Bookinglist'!A:BK,63,FALSE)</f>
        <v>LCH27</v>
      </c>
      <c r="AN7" s="62" t="str">
        <f>VLOOKUP(D7,'2.Bookinglist'!A:AZ,52,FALSE)</f>
        <v>Pickup : 2026-10-16, Return : 2026-10-16 
 ** PLEASE CHECK OPEN GATE BEFORE RETURN CNTR **</v>
      </c>
      <c r="AO7" s="62">
        <f>VLOOKUP(D7,'2.Bookinglist'!A:CY,103,FALSE)</f>
        <v>0</v>
      </c>
    </row>
    <row r="8" ht="12.95" customHeight="1">
      <c r="A8" s="96" t="inlineStr">
        <is>
          <t>SKHU6579547</t>
        </is>
      </c>
      <c r="B8" s="184" t="str">
        <f>IF(C8=Charge!$M$1,Charge!$J$1,IF(C8=Charge!$M$23,Charge!$J$23,IF(C8=Charge!$M$17,Charge!$J$17,IF(C8=Charge!$N$17,Charge!$J$17,Charge!$J$7))))</f>
        <v>G1</v>
      </c>
      <c r="C8" s="61" t="str">
        <f>VLOOKUP(A8,'1.Loading'!A:R,14,FALSE)</f>
        <v>LCH04</v>
      </c>
      <c r="D8" s="61" t="str">
        <f>VLOOKUP(A8,'1.Loading'!A:R,17,FALSE)</f>
        <v>HASLS22261001195</v>
      </c>
      <c r="E8" s="62" t="str">
        <f>VLOOKUP(D8,'2.Bookinglist'!A:CT,27,FALSE)</f>
        <v>DOLPHIN LOGISTICS (THAILAND) CO., LTD.</v>
      </c>
      <c r="F8" s="62" t="str">
        <f>VLOOKUP(D8,'2.Bookinglist'!A:CT,28,FALSE)</f>
        <v>I ONE TECHNOLOGY (THAILAND) CO.,LTD.</v>
      </c>
      <c r="G8" s="60">
        <f>VLOOKUP(D8,'2.Bookinglist'!A:E,5,FALSE)</f>
        <v>0</v>
      </c>
      <c r="H8" s="61" t="str">
        <f>VLOOKUP(D8,'2.Bookinglist'!A:CT,15,FALSE)</f>
        <v>THLCH</v>
      </c>
      <c r="I8" s="61" t="str">
        <f>VLOOKUP(D8,'2.Bookinglist'!A:CT,19,FALSE)</f>
        <v>HKHKG</v>
      </c>
      <c r="J8" s="61">
        <f>VLOOKUP(D8,'2.Bookinglist'!A:CT,26,FALSE)</f>
        <v>0</v>
      </c>
      <c r="K8" s="61" t="str">
        <f>VLOOKUP(A8,'1.Loading'!A:R,5,FALSE)</f>
        <v>45GP</v>
      </c>
      <c r="L8" s="60" t="str">
        <f>VLOOKUP(D8,'2.Bookinglist'!A:CT,85,FALSE)</f>
        <v>CY/CY</v>
      </c>
      <c r="M8" s="60" t="str">
        <f>IF(VLOOKUP(D8,'2.Bookinglist'!A:CT,43,FALSE)=0,"","DG")</f>
        <v/>
      </c>
      <c r="N8" s="60" t="str">
        <f>IF(RIGHT(K8,2)="RE","RF","")</f>
        <v/>
      </c>
      <c r="O8" s="61" t="str">
        <f>VLOOKUP(A8,'1.Loading'!A:R,3,FALSE)</f>
        <v>KJT</v>
      </c>
      <c r="P8" s="61" t="str">
        <f>VLOOKUP(A8,'1.Loading'!A:R,4,FALSE)</f>
        <v>2611N</v>
      </c>
      <c r="Q8" s="61" t="str">
        <f>VLOOKUP(D8,'2.Bookinglist'!A:CT,12,FALSE)</f>
        <v>KTS1</v>
      </c>
      <c r="R8" s="60" t="str">
        <f>IF(LEFT(K8,2)="22","20'","40'")</f>
        <v>40'</v>
      </c>
      <c r="S8" s="185" t="n"/>
      <c r="T8" s="61" t="str">
        <f>VLOOKUP(A8,'1.Loading'!A:R,2,FALSE)</f>
        <v>2026-10-21</v>
      </c>
      <c r="U8" s="63">
        <f>T8-S8</f>
        <v>46316</v>
      </c>
      <c r="V8" s="186" t="n"/>
      <c r="W8" s="61" t="str">
        <f>VLOOKUP(A8,'3.GateMove'!A:D,4,FALSE)</f>
        <v>2026-10-18</v>
      </c>
      <c r="X8" s="63">
        <f>((T8-W8)+1)</f>
        <v>4</v>
      </c>
      <c r="Y8" s="64">
        <f>IF(AND(OR(C8="BKK01",C8="BKK04"),L8="CFS/CY"),0,IF(M8="DG",1,IF(LEFT(C8,3)="LCH",7,IF(C8="BKK02",5,3))))</f>
        <v>7</v>
      </c>
      <c r="Z8" s="63">
        <f>IF(IF(AND(AC8="TML",AB8&gt;0),((T8-W8)+1)-AB8,((T8-W8)+1)-Y8)&gt;0,IF(AND(AC8="TML",AB8&gt;0),((T8-W8)+1)-AB8,((T8-W8)+1)-Y8),0)</f>
        <v>0</v>
      </c>
      <c r="AA8" s="187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0</v>
      </c>
      <c r="AB8" s="184" t="n"/>
      <c r="AC8" s="184" t="n"/>
      <c r="AD8" s="60">
        <f>IF(M8="DG",3,IF(N8="RF",3,5))+IF(AND(LEFT(C8,3)="BKK",N8="RF",Q8="KTS"),1,0)+IF(Q8="KHS",1,0)</f>
        <v>5</v>
      </c>
      <c r="AE8" s="63">
        <f>(T8-V8)+1</f>
        <v>46317</v>
      </c>
      <c r="AF8" s="63">
        <f>IF(AB8&gt;IF((V8-W8)&gt;0,V8-W8,0),0,IF(AB8&lt;IF((V8-W8)&gt;0,V8-W8,0),IF((V8-W8)&gt;0,V8-W8,0)-AB8,IF((V8-W8)&gt;0,V8-W8,0)))</f>
        <v>0</v>
      </c>
      <c r="AG8" s="187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5" t="n"/>
      <c r="AI8" s="65">
        <f>AA8-AH8</f>
        <v>0</v>
      </c>
      <c r="AJ8" s="188" t="n"/>
      <c r="AK8" s="62" t="str">
        <f>VLOOKUP(D8,'2.Bookinglist'!A:CT,40,FALSE)</f>
        <v>Sukunpoj Damrongying</v>
      </c>
      <c r="AL8" s="60" t="str">
        <f>VLOOKUP(D8,'2.Bookinglist'!A:CW,101,FALSE)</f>
        <v>2026-10-20</v>
      </c>
      <c r="AM8" s="60" t="str">
        <f>VLOOKUP(D8,'2.Bookinglist'!A:BK,63,FALSE)</f>
        <v>LCH27</v>
      </c>
      <c r="AN8" s="62" t="str">
        <f>VLOOKUP(D8,'2.Bookinglist'!A:AZ,52,FALSE)</f>
        <v>Pickup : 2026-10-16, Return : 2026-10-16 
 ** PLEASE CHECK OPEN GATE BEFORE RETURN CNTR **</v>
      </c>
      <c r="AO8" s="62">
        <f>VLOOKUP(D8,'2.Bookinglist'!A:CY,103,FALSE)</f>
        <v>0</v>
      </c>
    </row>
    <row r="9" ht="12.95" customHeight="1">
      <c r="A9" s="96" t="inlineStr">
        <is>
          <t>SKHU8928123</t>
        </is>
      </c>
      <c r="B9" s="184" t="str">
        <f>IF(C9=Charge!$M$1,Charge!$J$1,IF(C9=Charge!$M$23,Charge!$J$23,IF(C9=Charge!$M$17,Charge!$J$17,IF(C9=Charge!$N$17,Charge!$J$17,Charge!$J$7))))</f>
        <v>G1</v>
      </c>
      <c r="C9" s="61" t="str">
        <f>VLOOKUP(A9,'1.Loading'!A:R,14,FALSE)</f>
        <v>LCH04</v>
      </c>
      <c r="D9" s="61" t="str">
        <f>VLOOKUP(A9,'1.Loading'!A:R,17,FALSE)</f>
        <v>HASLS22260902689</v>
      </c>
      <c r="E9" s="62" t="str">
        <f>VLOOKUP(D9,'2.Bookinglist'!A:CT,27,FALSE)</f>
        <v>YUSEN LOGISTICS (THAILAND) CO., LTD.</v>
      </c>
      <c r="F9" s="62" t="str">
        <f>VLOOKUP(D9,'2.Bookinglist'!A:CT,28,FALSE)</f>
        <v>ISUZU MOTORS INTERNATIONAL OPERATIONS (THAILAND) COMPANY LIM</v>
      </c>
      <c r="G9" s="60">
        <f>VLOOKUP(D9,'2.Bookinglist'!A:E,5,FALSE)</f>
        <v>0</v>
      </c>
      <c r="H9" s="61" t="str">
        <f>VLOOKUP(D9,'2.Bookinglist'!A:CT,15,FALSE)</f>
        <v>THLCH</v>
      </c>
      <c r="I9" s="61" t="str">
        <f>VLOOKUP(D9,'2.Bookinglist'!A:CT,19,FALSE)</f>
        <v>HKHKG</v>
      </c>
      <c r="J9" s="61">
        <f>VLOOKUP(D9,'2.Bookinglist'!A:CT,26,FALSE)</f>
        <v>0</v>
      </c>
      <c r="K9" s="61" t="str">
        <f>VLOOKUP(A9,'1.Loading'!A:R,5,FALSE)</f>
        <v>45GP</v>
      </c>
      <c r="L9" s="60" t="str">
        <f>VLOOKUP(D9,'2.Bookinglist'!A:CT,85,FALSE)</f>
        <v>CY/CY</v>
      </c>
      <c r="M9" s="60" t="str">
        <f>IF(VLOOKUP(D9,'2.Bookinglist'!A:CT,43,FALSE)=0,"","DG")</f>
        <v/>
      </c>
      <c r="N9" s="60" t="str">
        <f>IF(RIGHT(K9,2)="RE","RF","")</f>
        <v/>
      </c>
      <c r="O9" s="61" t="str">
        <f>VLOOKUP(A9,'1.Loading'!A:R,3,FALSE)</f>
        <v>KJT</v>
      </c>
      <c r="P9" s="61" t="str">
        <f>VLOOKUP(A9,'1.Loading'!A:R,4,FALSE)</f>
        <v>2611N</v>
      </c>
      <c r="Q9" s="61" t="str">
        <f>VLOOKUP(D9,'2.Bookinglist'!A:CT,12,FALSE)</f>
        <v>KTS1</v>
      </c>
      <c r="R9" s="60" t="str">
        <f>IF(LEFT(K9,2)="22","20'","40'")</f>
        <v>40'</v>
      </c>
      <c r="S9" s="185" t="n"/>
      <c r="T9" s="61" t="str">
        <f>VLOOKUP(A9,'1.Loading'!A:R,2,FALSE)</f>
        <v>2026-10-21</v>
      </c>
      <c r="U9" s="63">
        <f>T9-S9</f>
        <v>46316</v>
      </c>
      <c r="V9" s="186" t="n"/>
      <c r="W9" s="61" t="str">
        <f>VLOOKUP(A9,'3.GateMove'!A:D,4,FALSE)</f>
        <v>2026-10-15</v>
      </c>
      <c r="X9" s="63">
        <f>((T9-W9)+1)</f>
        <v>7</v>
      </c>
      <c r="Y9" s="64">
        <f>IF(AND(OR(C9="BKK01",C9="BKK04"),L9="CFS/CY"),0,IF(M9="DG",1,IF(LEFT(C9,3)="LCH",7,IF(C9="BKK02",5,3))))</f>
        <v>7</v>
      </c>
      <c r="Z9" s="63">
        <f>IF(IF(AND(AC9="TML",AB9&gt;0),((T9-W9)+1)-AB9,((T9-W9)+1)-Y9)&gt;0,IF(AND(AC9="TML",AB9&gt;0),((T9-W9)+1)-AB9,((T9-W9)+1)-Y9),0)</f>
        <v>0</v>
      </c>
      <c r="AA9" s="187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0</v>
      </c>
      <c r="AB9" s="184" t="n"/>
      <c r="AC9" s="184" t="n"/>
      <c r="AD9" s="60">
        <f>IF(M9="DG",3,IF(N9="RF",3,5))+IF(AND(LEFT(C9,3)="BKK",N9="RF",Q9="KTS"),1,0)+IF(Q9="KHS",1,0)</f>
        <v>5</v>
      </c>
      <c r="AE9" s="63">
        <f>(T9-V9)+1</f>
        <v>46317</v>
      </c>
      <c r="AF9" s="63">
        <f>IF(AB9&gt;IF((V9-W9)&gt;0,V9-W9,0),0,IF(AB9&lt;IF((V9-W9)&gt;0,V9-W9,0),IF((V9-W9)&gt;0,V9-W9,0)-AB9,IF((V9-W9)&gt;0,V9-W9,0)))</f>
        <v>0</v>
      </c>
      <c r="AG9" s="187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5" t="n"/>
      <c r="AI9" s="65">
        <f>AA9-AH9</f>
        <v>0</v>
      </c>
      <c r="AJ9" s="188" t="n"/>
      <c r="AK9" s="62" t="str">
        <f>VLOOKUP(D9,'2.Bookinglist'!A:CT,40,FALSE)</f>
        <v>Vilaiporn</v>
      </c>
      <c r="AL9" s="60" t="str">
        <f>VLOOKUP(D9,'2.Bookinglist'!A:CW,101,FALSE)</f>
        <v>2026-10-17</v>
      </c>
      <c r="AM9" s="60" t="str">
        <f>VLOOKUP(D9,'2.Bookinglist'!A:BK,63,FALSE)</f>
        <v>LCHY5</v>
      </c>
      <c r="AN9" s="62" t="str">
        <f>VLOOKUP(D9,'2.Bookinglist'!A:AZ,52,FALSE)</f>
        <v>Pickup : 2026-10-14, Return : 2026-10-15
** PLEASE CHECK OPEN GATE BEFORE RETURN CONTAINER **</v>
      </c>
      <c r="AO9" s="62">
        <f>VLOOKUP(D9,'2.Bookinglist'!A:CY,103,FALSE)</f>
        <v>0</v>
      </c>
    </row>
    <row r="10" ht="12.95" customHeight="1">
      <c r="A10" s="96" t="inlineStr">
        <is>
          <t>SKHU9802361</t>
        </is>
      </c>
      <c r="B10" s="184" t="str">
        <f>IF(C10=Charge!$M$1,Charge!$J$1,IF(C10=Charge!$M$23,Charge!$J$23,IF(C10=Charge!$M$17,Charge!$J$17,IF(C10=Charge!$N$17,Charge!$J$17,Charge!$J$7))))</f>
        <v>G1</v>
      </c>
      <c r="C10" s="61" t="str">
        <f>VLOOKUP(A10,'1.Loading'!A:R,14,FALSE)</f>
        <v>LCH04</v>
      </c>
      <c r="D10" s="61" t="str">
        <f>VLOOKUP(A10,'1.Loading'!A:R,17,FALSE)</f>
        <v>HASLS22261000416</v>
      </c>
      <c r="E10" s="62" t="str">
        <f>VLOOKUP(D10,'2.Bookinglist'!A:CT,27,FALSE)</f>
        <v>YUSEN LOGISTICS (THAILAND) CO., LTD.</v>
      </c>
      <c r="F10" s="62" t="str">
        <f>VLOOKUP(D10,'2.Bookinglist'!A:CT,28,FALSE)</f>
        <v>ENT (THAILAND) CO.,LTD.</v>
      </c>
      <c r="G10" s="60">
        <f>VLOOKUP(D10,'2.Bookinglist'!A:E,5,FALSE)</f>
        <v>0</v>
      </c>
      <c r="H10" s="61" t="str">
        <f>VLOOKUP(D10,'2.Bookinglist'!A:CT,15,FALSE)</f>
        <v>THLCH</v>
      </c>
      <c r="I10" s="61" t="str">
        <f>VLOOKUP(D10,'2.Bookinglist'!A:CT,19,FALSE)</f>
        <v>HKHKG</v>
      </c>
      <c r="J10" s="61">
        <f>VLOOKUP(D10,'2.Bookinglist'!A:CT,26,FALSE)</f>
        <v>0</v>
      </c>
      <c r="K10" s="61" t="str">
        <f>VLOOKUP(A10,'1.Loading'!A:R,5,FALSE)</f>
        <v>45GP</v>
      </c>
      <c r="L10" s="60" t="str">
        <f>VLOOKUP(D10,'2.Bookinglist'!A:CT,85,FALSE)</f>
        <v>CY/CY</v>
      </c>
      <c r="M10" s="60" t="str">
        <f>IF(VLOOKUP(D10,'2.Bookinglist'!A:CT,43,FALSE)=0,"","DG")</f>
        <v/>
      </c>
      <c r="N10" s="60" t="str">
        <f>IF(RIGHT(K10,2)="RE","RF","")</f>
        <v/>
      </c>
      <c r="O10" s="61" t="str">
        <f>VLOOKUP(A10,'1.Loading'!A:R,3,FALSE)</f>
        <v>KJT</v>
      </c>
      <c r="P10" s="61" t="str">
        <f>VLOOKUP(A10,'1.Loading'!A:R,4,FALSE)</f>
        <v>2611N</v>
      </c>
      <c r="Q10" s="61" t="str">
        <f>VLOOKUP(D10,'2.Bookinglist'!A:CT,12,FALSE)</f>
        <v>KTS1</v>
      </c>
      <c r="R10" s="60" t="str">
        <f>IF(LEFT(K10,2)="22","20'","40'")</f>
        <v>40'</v>
      </c>
      <c r="S10" s="185" t="n"/>
      <c r="T10" s="61" t="str">
        <f>VLOOKUP(A10,'1.Loading'!A:R,2,FALSE)</f>
        <v>2026-10-21</v>
      </c>
      <c r="U10" s="63">
        <f>T10-S10</f>
        <v>46316</v>
      </c>
      <c r="V10" s="186" t="n"/>
      <c r="W10" s="61" t="str">
        <f>VLOOKUP(A10,'3.GateMove'!A:D,4,FALSE)</f>
        <v>2026-10-17</v>
      </c>
      <c r="X10" s="63">
        <f>((T10-W10)+1)</f>
        <v>5</v>
      </c>
      <c r="Y10" s="64">
        <f>IF(AND(OR(C10="BKK01",C10="BKK04"),L10="CFS/CY"),0,IF(M10="DG",1,IF(LEFT(C10,3)="LCH",7,IF(C10="BKK02",5,3))))</f>
        <v>7</v>
      </c>
      <c r="Z10" s="63">
        <f>IF(IF(AND(AC10="TML",AB10&gt;0),((T10-W10)+1)-AB10,((T10-W10)+1)-Y10)&gt;0,IF(AND(AC10="TML",AB10&gt;0),((T10-W10)+1)-AB10,((T10-W10)+1)-Y10),0)</f>
        <v>0</v>
      </c>
      <c r="AA10" s="187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0</v>
      </c>
      <c r="AB10" s="184" t="n"/>
      <c r="AC10" s="184" t="n"/>
      <c r="AD10" s="60">
        <f>IF(M10="DG",3,IF(N10="RF",3,5))+IF(AND(LEFT(C10,3)="BKK",N10="RF",Q10="KTS"),1,0)+IF(Q10="KHS",1,0)</f>
        <v>5</v>
      </c>
      <c r="AE10" s="63">
        <f>(T10-V10)+1</f>
        <v>46317</v>
      </c>
      <c r="AF10" s="63">
        <f>IF(AB10&gt;IF((V10-W10)&gt;0,V10-W10,0),0,IF(AB10&lt;IF((V10-W10)&gt;0,V10-W10,0),IF((V10-W10)&gt;0,V10-W10,0)-AB10,IF((V10-W10)&gt;0,V10-W10,0)))</f>
        <v>0</v>
      </c>
      <c r="AG10" s="187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5" t="n"/>
      <c r="AI10" s="65">
        <f>AA10-AH10</f>
        <v>0</v>
      </c>
      <c r="AJ10" s="188" t="n"/>
      <c r="AK10" s="62" t="str">
        <f>VLOOKUP(D10,'2.Bookinglist'!A:CT,40,FALSE)</f>
        <v>Vilaiporn</v>
      </c>
      <c r="AL10" s="60" t="str">
        <f>VLOOKUP(D10,'2.Bookinglist'!A:CW,101,FALSE)</f>
        <v>2026-10-19</v>
      </c>
      <c r="AM10" s="60" t="str">
        <f>VLOOKUP(D10,'2.Bookinglist'!A:BK,63,FALSE)</f>
        <v>LCHY5</v>
      </c>
      <c r="AN10" s="62" t="str">
        <f>VLOOKUP(D10,'2.Bookinglist'!A:AZ,52,FALSE)</f>
        <v>Pickup : 2026-10-14, Return : 2026-10-14 (1ST RTN DD: 15/10/26 WO/RENT)</v>
      </c>
      <c r="AO10" s="62">
        <f>VLOOKUP(D10,'2.Bookinglist'!A:CY,103,FALSE)</f>
        <v>0</v>
      </c>
    </row>
    <row r="11" ht="12.95" customHeight="1">
      <c r="A11" s="96" t="inlineStr">
        <is>
          <t>SKHU9951004</t>
        </is>
      </c>
      <c r="B11" s="184" t="str">
        <f>IF(C11=Charge!$M$1,Charge!$J$1,IF(C11=Charge!$M$23,Charge!$J$23,IF(C11=Charge!$M$17,Charge!$J$17,IF(C11=Charge!$N$17,Charge!$J$17,Charge!$J$7))))</f>
        <v>G1</v>
      </c>
      <c r="C11" s="61" t="str">
        <f>VLOOKUP(A11,'1.Loading'!A:R,14,FALSE)</f>
        <v>LCH04</v>
      </c>
      <c r="D11" s="61" t="str">
        <f>VLOOKUP(A11,'1.Loading'!A:R,17,FALSE)</f>
        <v>HASLS22261000653</v>
      </c>
      <c r="E11" s="62" t="str">
        <f>VLOOKUP(D11,'2.Bookinglist'!A:CT,27,FALSE)</f>
        <v>DOLPHIN LOGISTICS (THAILAND) CO., LTD.</v>
      </c>
      <c r="F11" s="62" t="str">
        <f>VLOOKUP(D11,'2.Bookinglist'!A:CT,28,FALSE)</f>
        <v>PRIMAX ELECTRONICS (THAILAND) CO.,LTD.</v>
      </c>
      <c r="G11" s="60">
        <f>VLOOKUP(D11,'2.Bookinglist'!A:E,5,FALSE)</f>
        <v>0</v>
      </c>
      <c r="H11" s="61" t="str">
        <f>VLOOKUP(D11,'2.Bookinglist'!A:CT,15,FALSE)</f>
        <v>THLCH</v>
      </c>
      <c r="I11" s="61" t="str">
        <f>VLOOKUP(D11,'2.Bookinglist'!A:CT,19,FALSE)</f>
        <v>HKHKG</v>
      </c>
      <c r="J11" s="61">
        <f>VLOOKUP(D11,'2.Bookinglist'!A:CT,26,FALSE)</f>
        <v>0</v>
      </c>
      <c r="K11" s="61" t="str">
        <f>VLOOKUP(A11,'1.Loading'!A:R,5,FALSE)</f>
        <v>45GP</v>
      </c>
      <c r="L11" s="60" t="str">
        <f>VLOOKUP(D11,'2.Bookinglist'!A:CT,85,FALSE)</f>
        <v>CY/CY</v>
      </c>
      <c r="M11" s="60" t="str">
        <f>IF(VLOOKUP(D11,'2.Bookinglist'!A:CT,43,FALSE)=0,"","DG")</f>
        <v/>
      </c>
      <c r="N11" s="60" t="str">
        <f>IF(RIGHT(K11,2)="RE","RF","")</f>
        <v/>
      </c>
      <c r="O11" s="61" t="str">
        <f>VLOOKUP(A11,'1.Loading'!A:R,3,FALSE)</f>
        <v>KJT</v>
      </c>
      <c r="P11" s="61" t="str">
        <f>VLOOKUP(A11,'1.Loading'!A:R,4,FALSE)</f>
        <v>2611N</v>
      </c>
      <c r="Q11" s="61" t="str">
        <f>VLOOKUP(D11,'2.Bookinglist'!A:CT,12,FALSE)</f>
        <v>KTS1</v>
      </c>
      <c r="R11" s="60" t="str">
        <f>IF(LEFT(K11,2)="22","20'","40'")</f>
        <v>40'</v>
      </c>
      <c r="S11" s="185" t="n"/>
      <c r="T11" s="61" t="str">
        <f>VLOOKUP(A11,'1.Loading'!A:R,2,FALSE)</f>
        <v>2026-10-21</v>
      </c>
      <c r="U11" s="63">
        <f>T11-S11</f>
        <v>46316</v>
      </c>
      <c r="V11" s="186" t="n"/>
      <c r="W11" s="61" t="str">
        <f>VLOOKUP(A11,'3.GateMove'!A:D,4,FALSE)</f>
        <v>2026-10-18</v>
      </c>
      <c r="X11" s="63">
        <f>((T11-W11)+1)</f>
        <v>4</v>
      </c>
      <c r="Y11" s="64">
        <f>IF(AND(OR(C11="BKK01",C11="BKK04"),L11="CFS/CY"),0,IF(M11="DG",1,IF(LEFT(C11,3)="LCH",7,IF(C11="BKK02",5,3))))</f>
        <v>7</v>
      </c>
      <c r="Z11" s="63">
        <f>IF(IF(AND(AC11="TML",AB11&gt;0),((T11-W11)+1)-AB11,((T11-W11)+1)-Y11)&gt;0,IF(AND(AC11="TML",AB11&gt;0),((T11-W11)+1)-AB11,((T11-W11)+1)-Y11),0)</f>
        <v>0</v>
      </c>
      <c r="AA11" s="187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0</v>
      </c>
      <c r="AB11" s="184" t="n"/>
      <c r="AC11" s="184" t="n"/>
      <c r="AD11" s="60">
        <f>IF(M11="DG",3,IF(N11="RF",3,5))+IF(AND(LEFT(C11,3)="BKK",N11="RF",Q11="KTS"),1,0)+IF(Q11="KHS",1,0)</f>
        <v>5</v>
      </c>
      <c r="AE11" s="63">
        <f>(T11-V11)+1</f>
        <v>46317</v>
      </c>
      <c r="AF11" s="63">
        <f>IF(AB11&gt;IF((V11-W11)&gt;0,V11-W11,0),0,IF(AB11&lt;IF((V11-W11)&gt;0,V11-W11,0),IF((V11-W11)&gt;0,V11-W11,0)-AB11,IF((V11-W11)&gt;0,V11-W11,0)))</f>
        <v>0</v>
      </c>
      <c r="AG11" s="187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5" t="n"/>
      <c r="AI11" s="65">
        <f>AA11-AH11</f>
        <v>0</v>
      </c>
      <c r="AJ11" s="188" t="n"/>
      <c r="AK11" s="62" t="str">
        <f>VLOOKUP(D11,'2.Bookinglist'!A:CT,40,FALSE)</f>
        <v>Sukunpoj Damrongying</v>
      </c>
      <c r="AL11" s="60" t="str">
        <f>VLOOKUP(D11,'2.Bookinglist'!A:CW,101,FALSE)</f>
        <v>2026-10-19</v>
      </c>
      <c r="AM11" s="60" t="str">
        <f>VLOOKUP(D11,'2.Bookinglist'!A:BK,63,FALSE)</f>
        <v>LCHY5</v>
      </c>
      <c r="AN11" s="62" t="str">
        <f>VLOOKUP(D11,'2.Bookinglist'!A:AZ,52,FALSE)</f>
        <v>Pickup : 2026-10-17, Return : 2026-10-17
** PLEASE CHECK OPEN GATE BEFORE RETURN CNTR **
</v>
      </c>
      <c r="AO11" s="62">
        <f>VLOOKUP(D11,'2.Bookinglist'!A:CY,103,FALSE)</f>
        <v>0</v>
      </c>
    </row>
    <row r="12" ht="12.95" customHeight="1">
      <c r="A12" s="96" t="inlineStr">
        <is>
          <t>SKLU1100177</t>
        </is>
      </c>
      <c r="B12" s="184" t="str">
        <f>IF(C12=Charge!$M$1,Charge!$J$1,IF(C12=Charge!$M$23,Charge!$J$23,IF(C12=Charge!$M$17,Charge!$J$17,IF(C12=Charge!$N$17,Charge!$J$17,Charge!$J$7))))</f>
        <v>G1</v>
      </c>
      <c r="C12" s="61" t="str">
        <f>VLOOKUP(A12,'1.Loading'!A:R,14,FALSE)</f>
        <v>LCH04</v>
      </c>
      <c r="D12" s="61" t="str">
        <f>VLOOKUP(A12,'1.Loading'!A:R,17,FALSE)</f>
        <v>HASLS22260902576</v>
      </c>
      <c r="E12" s="62" t="str">
        <f>VLOOKUP(D12,'2.Bookinglist'!A:CT,27,FALSE)</f>
        <v>DOUBLE A (1991) PUBLIC COMPANY LIMITED</v>
      </c>
      <c r="F12" s="62" t="str">
        <f>VLOOKUP(D12,'2.Bookinglist'!A:CT,28,FALSE)</f>
        <v>DOUBLE A (1991) PUBLIC COMPANY LIMITED</v>
      </c>
      <c r="G12" s="60">
        <f>VLOOKUP(D12,'2.Bookinglist'!A:E,5,FALSE)</f>
        <v>0</v>
      </c>
      <c r="H12" s="61" t="str">
        <f>VLOOKUP(D12,'2.Bookinglist'!A:CT,15,FALSE)</f>
        <v>THLCH</v>
      </c>
      <c r="I12" s="61" t="str">
        <f>VLOOKUP(D12,'2.Bookinglist'!A:CT,19,FALSE)</f>
        <v>HKHKG</v>
      </c>
      <c r="J12" s="61">
        <f>VLOOKUP(D12,'2.Bookinglist'!A:CT,26,FALSE)</f>
        <v>0</v>
      </c>
      <c r="K12" s="61" t="str">
        <f>VLOOKUP(A12,'1.Loading'!A:R,5,FALSE)</f>
        <v>22GP</v>
      </c>
      <c r="L12" s="60" t="str">
        <f>VLOOKUP(D12,'2.Bookinglist'!A:CT,85,FALSE)</f>
        <v>CY/CY</v>
      </c>
      <c r="M12" s="60" t="str">
        <f>IF(VLOOKUP(D12,'2.Bookinglist'!A:CT,43,FALSE)=0,"","DG")</f>
        <v/>
      </c>
      <c r="N12" s="60" t="str">
        <f>IF(RIGHT(K12,2)="RE","RF","")</f>
        <v/>
      </c>
      <c r="O12" s="61" t="str">
        <f>VLOOKUP(A12,'1.Loading'!A:R,3,FALSE)</f>
        <v>KJT</v>
      </c>
      <c r="P12" s="61" t="str">
        <f>VLOOKUP(A12,'1.Loading'!A:R,4,FALSE)</f>
        <v>2611N</v>
      </c>
      <c r="Q12" s="61" t="str">
        <f>VLOOKUP(D12,'2.Bookinglist'!A:CT,12,FALSE)</f>
        <v>KTS1</v>
      </c>
      <c r="R12" s="60" t="str">
        <f>IF(LEFT(K12,2)="22","20'","40'")</f>
        <v>20'</v>
      </c>
      <c r="S12" s="185" t="n"/>
      <c r="T12" s="61" t="str">
        <f>VLOOKUP(A12,'1.Loading'!A:R,2,FALSE)</f>
        <v>2026-10-21</v>
      </c>
      <c r="U12" s="63">
        <f>T12-S12</f>
        <v>46316</v>
      </c>
      <c r="V12" s="186" t="n"/>
      <c r="W12" s="61" t="str">
        <f>VLOOKUP(A12,'3.GateMove'!A:D,4,FALSE)</f>
        <v>2026-10-13</v>
      </c>
      <c r="X12" s="63">
        <f>((T12-W12)+1)</f>
        <v>9</v>
      </c>
      <c r="Y12" s="64">
        <f>IF(AND(OR(C12="BKK01",C12="BKK04"),L12="CFS/CY"),0,IF(M12="DG",1,IF(LEFT(C12,3)="LCH",7,IF(C12="BKK02",5,3))))</f>
        <v>7</v>
      </c>
      <c r="Z12" s="63">
        <f>IF(IF(AND(AC12="TML",AB12&gt;0),((T12-W12)+1)-AB12,((T12-W12)+1)-Y12)&gt;0,IF(AND(AC12="TML",AB12&gt;0),((T12-W12)+1)-AB12,((T12-W12)+1)-Y12),0)</f>
        <v>2</v>
      </c>
      <c r="AA12" s="187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250</v>
      </c>
      <c r="AB12" s="184" t="n"/>
      <c r="AC12" s="184" t="n"/>
      <c r="AD12" s="60">
        <f>IF(M12="DG",3,IF(N12="RF",3,5))+IF(AND(LEFT(C12,3)="BKK",N12="RF",Q12="KTS"),1,0)+IF(Q12="KHS",1,0)</f>
        <v>5</v>
      </c>
      <c r="AE12" s="63">
        <f>(T12-V12)+1</f>
        <v>46317</v>
      </c>
      <c r="AF12" s="63">
        <f>IF(AB12&gt;IF((V12-W12)&gt;0,V12-W12,0),0,IF(AB12&lt;IF((V12-W12)&gt;0,V12-W12,0),IF((V12-W12)&gt;0,V12-W12,0)-AB12,IF((V12-W12)&gt;0,V12-W12,0)))</f>
        <v>0</v>
      </c>
      <c r="AG12" s="187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5" t="n"/>
      <c r="AI12" s="65">
        <f>AA12-AH12</f>
        <v>250</v>
      </c>
      <c r="AJ12" s="188" t="n"/>
      <c r="AK12" s="62" t="str">
        <f>VLOOKUP(D12,'2.Bookinglist'!A:CT,40,FALSE)</f>
        <v>Kanokporn</v>
      </c>
      <c r="AL12" s="60" t="str">
        <f>VLOOKUP(D12,'2.Bookinglist'!A:CW,101,FALSE)</f>
        <v>2026-10-20</v>
      </c>
      <c r="AM12" s="60" t="str">
        <f>VLOOKUP(D12,'2.Bookinglist'!A:BK,63,FALSE)</f>
        <v>LCHY5</v>
      </c>
      <c r="AN12" s="62" t="str">
        <f>VLOOKUP(D12,'2.Bookinglist'!A:AZ,52,FALSE)</f>
        <v>CY-RTN : 06-08/10/2026
REF : PI-HK-TH-DA-26100012
FRT $35, FREE TIME 14/14, DTHC(HKD)2000</v>
      </c>
      <c r="AO12" s="62" t="str">
        <f>VLOOKUP(D12,'2.Bookinglist'!A:CY,103,FALSE)</f>
        <v>ROLL OVER FROM PREVIOUS VSL KMTP  2612N BY ALLOCATION TEAM MS,TARN APPROVED COST IS UNDER HA DD.13/10</v>
      </c>
    </row>
    <row r="13" ht="12.95" customHeight="1">
      <c r="A13" s="96" t="inlineStr">
        <is>
          <t>SKLU1204269</t>
        </is>
      </c>
      <c r="B13" s="184" t="str">
        <f>IF(C13=Charge!$M$1,Charge!$J$1,IF(C13=Charge!$M$23,Charge!$J$23,IF(C13=Charge!$M$17,Charge!$J$17,IF(C13=Charge!$N$17,Charge!$J$17,Charge!$J$7))))</f>
        <v>G1</v>
      </c>
      <c r="C13" s="61" t="str">
        <f>VLOOKUP(A13,'1.Loading'!A:R,14,FALSE)</f>
        <v>LCH04</v>
      </c>
      <c r="D13" s="61" t="str">
        <f>VLOOKUP(A13,'1.Loading'!A:R,17,FALSE)</f>
        <v>HASLS22260902576</v>
      </c>
      <c r="E13" s="62" t="str">
        <f>VLOOKUP(D13,'2.Bookinglist'!A:CT,27,FALSE)</f>
        <v>DOUBLE A (1991) PUBLIC COMPANY LIMITED</v>
      </c>
      <c r="F13" s="62" t="str">
        <f>VLOOKUP(D13,'2.Bookinglist'!A:CT,28,FALSE)</f>
        <v>DOUBLE A (1991) PUBLIC COMPANY LIMITED</v>
      </c>
      <c r="G13" s="60">
        <f>VLOOKUP(D13,'2.Bookinglist'!A:E,5,FALSE)</f>
        <v>0</v>
      </c>
      <c r="H13" s="61" t="str">
        <f>VLOOKUP(D13,'2.Bookinglist'!A:CT,15,FALSE)</f>
        <v>THLCH</v>
      </c>
      <c r="I13" s="61" t="str">
        <f>VLOOKUP(D13,'2.Bookinglist'!A:CT,19,FALSE)</f>
        <v>HKHKG</v>
      </c>
      <c r="J13" s="61">
        <f>VLOOKUP(D13,'2.Bookinglist'!A:CT,26,FALSE)</f>
        <v>0</v>
      </c>
      <c r="K13" s="61" t="str">
        <f>VLOOKUP(A13,'1.Loading'!A:R,5,FALSE)</f>
        <v>22GP</v>
      </c>
      <c r="L13" s="60" t="str">
        <f>VLOOKUP(D13,'2.Bookinglist'!A:CT,85,FALSE)</f>
        <v>CY/CY</v>
      </c>
      <c r="M13" s="60" t="str">
        <f>IF(VLOOKUP(D13,'2.Bookinglist'!A:CT,43,FALSE)=0,"","DG")</f>
        <v/>
      </c>
      <c r="N13" s="60" t="str">
        <f>IF(RIGHT(K13,2)="RE","RF","")</f>
        <v/>
      </c>
      <c r="O13" s="61" t="str">
        <f>VLOOKUP(A13,'1.Loading'!A:R,3,FALSE)</f>
        <v>KJT</v>
      </c>
      <c r="P13" s="61" t="str">
        <f>VLOOKUP(A13,'1.Loading'!A:R,4,FALSE)</f>
        <v>2611N</v>
      </c>
      <c r="Q13" s="61" t="str">
        <f>VLOOKUP(D13,'2.Bookinglist'!A:CT,12,FALSE)</f>
        <v>KTS1</v>
      </c>
      <c r="R13" s="60" t="str">
        <f>IF(LEFT(K13,2)="22","20'","40'")</f>
        <v>20'</v>
      </c>
      <c r="S13" s="185" t="n"/>
      <c r="T13" s="61" t="str">
        <f>VLOOKUP(A13,'1.Loading'!A:R,2,FALSE)</f>
        <v>2026-10-21</v>
      </c>
      <c r="U13" s="63">
        <f>T13-S13</f>
        <v>46316</v>
      </c>
      <c r="V13" s="186" t="n"/>
      <c r="W13" s="61" t="str">
        <f>VLOOKUP(A13,'3.GateMove'!A:D,4,FALSE)</f>
        <v>2026-10-13</v>
      </c>
      <c r="X13" s="63">
        <f>((T13-W13)+1)</f>
        <v>9</v>
      </c>
      <c r="Y13" s="64">
        <f>IF(AND(OR(C13="BKK01",C13="BKK04"),L13="CFS/CY"),0,IF(M13="DG",1,IF(LEFT(C13,3)="LCH",7,IF(C13="BKK02",5,3))))</f>
        <v>7</v>
      </c>
      <c r="Z13" s="63">
        <f>IF(IF(AND(AC13="TML",AB13&gt;0),((T13-W13)+1)-AB13,((T13-W13)+1)-Y13)&gt;0,IF(AND(AC13="TML",AB13&gt;0),((T13-W13)+1)-AB13,((T13-W13)+1)-Y13),0)</f>
        <v>2</v>
      </c>
      <c r="AA13" s="187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250</v>
      </c>
      <c r="AB13" s="184" t="n"/>
      <c r="AC13" s="184" t="n"/>
      <c r="AD13" s="60">
        <f>IF(M13="DG",3,IF(N13="RF",3,5))+IF(AND(LEFT(C13,3)="BKK",N13="RF",Q13="KTS"),1,0)+IF(Q13="KHS",1,0)</f>
        <v>5</v>
      </c>
      <c r="AE13" s="63">
        <f>(T13-V13)+1</f>
        <v>46317</v>
      </c>
      <c r="AF13" s="63">
        <f>IF(AB13&gt;IF((V13-W13)&gt;0,V13-W13,0),0,IF(AB13&lt;IF((V13-W13)&gt;0,V13-W13,0),IF((V13-W13)&gt;0,V13-W13,0)-AB13,IF((V13-W13)&gt;0,V13-W13,0)))</f>
        <v>0</v>
      </c>
      <c r="AG13" s="187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5" t="n"/>
      <c r="AI13" s="65">
        <f>AA13-AH13</f>
        <v>250</v>
      </c>
      <c r="AJ13" s="188" t="n"/>
      <c r="AK13" s="62" t="str">
        <f>VLOOKUP(D13,'2.Bookinglist'!A:CT,40,FALSE)</f>
        <v>Kanokporn</v>
      </c>
      <c r="AL13" s="60" t="str">
        <f>VLOOKUP(D13,'2.Bookinglist'!A:CW,101,FALSE)</f>
        <v>2026-10-20</v>
      </c>
      <c r="AM13" s="60" t="str">
        <f>VLOOKUP(D13,'2.Bookinglist'!A:BK,63,FALSE)</f>
        <v>LCHY5</v>
      </c>
      <c r="AN13" s="62" t="str">
        <f>VLOOKUP(D13,'2.Bookinglist'!A:AZ,52,FALSE)</f>
        <v>CY-RTN : 06-08/10/2026
REF : PI-HK-TH-DA-26100012
FRT $35, FREE TIME 14/14, DTHC(HKD)2000</v>
      </c>
      <c r="AO13" s="62" t="str">
        <f>VLOOKUP(D13,'2.Bookinglist'!A:CY,103,FALSE)</f>
        <v>ROLL OVER FROM PREVIOUS VSL KMTP  2612N BY ALLOCATION TEAM MS,TARN APPROVED COST IS UNDER HA DD.13/10</v>
      </c>
    </row>
    <row r="14" ht="12.95" customHeight="1">
      <c r="A14" s="96" t="inlineStr">
        <is>
          <t>SKLU1407353</t>
        </is>
      </c>
      <c r="B14" s="184" t="str">
        <f>IF(C14=Charge!$M$1,Charge!$J$1,IF(C14=Charge!$M$23,Charge!$J$23,IF(C14=Charge!$M$17,Charge!$J$17,IF(C14=Charge!$N$17,Charge!$J$17,Charge!$J$7))))</f>
        <v>G1</v>
      </c>
      <c r="C14" s="61" t="str">
        <f>VLOOKUP(A14,'1.Loading'!A:R,14,FALSE)</f>
        <v>LCH04</v>
      </c>
      <c r="D14" s="61" t="str">
        <f>VLOOKUP(A14,'1.Loading'!A:R,17,FALSE)</f>
        <v>HASLS22261000649</v>
      </c>
      <c r="E14" s="62" t="str">
        <f>VLOOKUP(D14,'2.Bookinglist'!A:CT,27,FALSE)</f>
        <v>UBE CHEMICALS (ASIA) PUBLIC COMPANY LIMITED</v>
      </c>
      <c r="F14" s="62" t="str">
        <f>VLOOKUP(D14,'2.Bookinglist'!A:CT,28,FALSE)</f>
        <v>INDO-THAI SYNTHETICS CO., LTD.</v>
      </c>
      <c r="G14" s="60">
        <f>VLOOKUP(D14,'2.Bookinglist'!A:E,5,FALSE)</f>
        <v>0</v>
      </c>
      <c r="H14" s="61" t="str">
        <f>VLOOKUP(D14,'2.Bookinglist'!A:CT,15,FALSE)</f>
        <v>THLCH</v>
      </c>
      <c r="I14" s="61" t="str">
        <f>VLOOKUP(D14,'2.Bookinglist'!A:CT,19,FALSE)</f>
        <v>HKHKG</v>
      </c>
      <c r="J14" s="61">
        <f>VLOOKUP(D14,'2.Bookinglist'!A:CT,26,FALSE)</f>
        <v>0</v>
      </c>
      <c r="K14" s="61" t="str">
        <f>VLOOKUP(A14,'1.Loading'!A:R,5,FALSE)</f>
        <v>22GP</v>
      </c>
      <c r="L14" s="60" t="str">
        <f>VLOOKUP(D14,'2.Bookinglist'!A:CT,85,FALSE)</f>
        <v>CY/CY</v>
      </c>
      <c r="M14" s="60" t="str">
        <f>IF(VLOOKUP(D14,'2.Bookinglist'!A:CT,43,FALSE)=0,"","DG")</f>
        <v/>
      </c>
      <c r="N14" s="60" t="str">
        <f>IF(RIGHT(K14,2)="RE","RF","")</f>
        <v/>
      </c>
      <c r="O14" s="61" t="str">
        <f>VLOOKUP(A14,'1.Loading'!A:R,3,FALSE)</f>
        <v>KJT</v>
      </c>
      <c r="P14" s="61" t="str">
        <f>VLOOKUP(A14,'1.Loading'!A:R,4,FALSE)</f>
        <v>2611N</v>
      </c>
      <c r="Q14" s="61" t="str">
        <f>VLOOKUP(D14,'2.Bookinglist'!A:CT,12,FALSE)</f>
        <v>KTS1</v>
      </c>
      <c r="R14" s="60" t="str">
        <f>IF(LEFT(K14,2)="22","20'","40'")</f>
        <v>20'</v>
      </c>
      <c r="S14" s="185" t="n"/>
      <c r="T14" s="61" t="str">
        <f>VLOOKUP(A14,'1.Loading'!A:R,2,FALSE)</f>
        <v>2026-10-21</v>
      </c>
      <c r="U14" s="63">
        <f>T14-S14</f>
        <v>46316</v>
      </c>
      <c r="V14" s="186" t="n"/>
      <c r="W14" s="61" t="str">
        <f>VLOOKUP(A14,'3.GateMove'!A:D,4,FALSE)</f>
        <v>2026-10-16</v>
      </c>
      <c r="X14" s="63">
        <f>((T14-W14)+1)</f>
        <v>6</v>
      </c>
      <c r="Y14" s="64">
        <f>IF(AND(OR(C14="BKK01",C14="BKK04"),L14="CFS/CY"),0,IF(M14="DG",1,IF(LEFT(C14,3)="LCH",7,IF(C14="BKK02",5,3))))</f>
        <v>7</v>
      </c>
      <c r="Z14" s="63">
        <f>IF(IF(AND(AC14="TML",AB14&gt;0),((T14-W14)+1)-AB14,((T14-W14)+1)-Y14)&gt;0,IF(AND(AC14="TML",AB14&gt;0),((T14-W14)+1)-AB14,((T14-W14)+1)-Y14),0)</f>
        <v>0</v>
      </c>
      <c r="AA14" s="187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0</v>
      </c>
      <c r="AB14" s="184" t="n"/>
      <c r="AC14" s="184" t="n"/>
      <c r="AD14" s="60">
        <f>IF(M14="DG",3,IF(N14="RF",3,5))+IF(AND(LEFT(C14,3)="BKK",N14="RF",Q14="KTS"),1,0)+IF(Q14="KHS",1,0)</f>
        <v>5</v>
      </c>
      <c r="AE14" s="63">
        <f>(T14-V14)+1</f>
        <v>46317</v>
      </c>
      <c r="AF14" s="63">
        <f>IF(AB14&gt;IF((V14-W14)&gt;0,V14-W14,0),0,IF(AB14&lt;IF((V14-W14)&gt;0,V14-W14,0),IF((V14-W14)&gt;0,V14-W14,0)-AB14,IF((V14-W14)&gt;0,V14-W14,0)))</f>
        <v>0</v>
      </c>
      <c r="AG14" s="187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5" t="n"/>
      <c r="AI14" s="65">
        <f>AA14-AH14</f>
        <v>0</v>
      </c>
      <c r="AJ14" s="188" t="n"/>
      <c r="AK14" s="62" t="str">
        <f>VLOOKUP(D14,'2.Bookinglist'!A:CT,40,FALSE)</f>
        <v>Tarn(Supaporn)</v>
      </c>
      <c r="AL14" s="60" t="str">
        <f>VLOOKUP(D14,'2.Bookinglist'!A:CW,101,FALSE)</f>
        <v>2026-10-19</v>
      </c>
      <c r="AM14" s="60" t="str">
        <f>VLOOKUP(D14,'2.Bookinglist'!A:BK,63,FALSE)</f>
        <v>LCHY5</v>
      </c>
      <c r="AN14" s="62" t="str">
        <f>VLOOKUP(D14,'2.Bookinglist'!A:AZ,52,FALSE)</f>
        <v>CY-RTN : 15-16/10/2026 
REF : ID-N016754
RQST Good condition; Grade B+ 
</v>
      </c>
      <c r="AO14" s="62">
        <f>VLOOKUP(D14,'2.Bookinglist'!A:CY,103,FALSE)</f>
        <v>0</v>
      </c>
    </row>
    <row r="15" ht="12.95" customHeight="1">
      <c r="A15" s="96" t="inlineStr">
        <is>
          <t>SKLU1573858</t>
        </is>
      </c>
      <c r="B15" s="184" t="str">
        <f>IF(C15=Charge!$M$1,Charge!$J$1,IF(C15=Charge!$M$23,Charge!$J$23,IF(C15=Charge!$M$17,Charge!$J$17,IF(C15=Charge!$N$17,Charge!$J$17,Charge!$J$7))))</f>
        <v>G1</v>
      </c>
      <c r="C15" s="61" t="str">
        <f>VLOOKUP(A15,'1.Loading'!A:R,14,FALSE)</f>
        <v>LCH04</v>
      </c>
      <c r="D15" s="61" t="str">
        <f>VLOOKUP(A15,'1.Loading'!A:R,17,FALSE)</f>
        <v>HASLS22261000286</v>
      </c>
      <c r="E15" s="62" t="str">
        <f>VLOOKUP(D15,'2.Bookinglist'!A:CT,27,FALSE)</f>
        <v>DOUBLE A (1991) PUBLIC COMPANY LIMITED</v>
      </c>
      <c r="F15" s="62" t="str">
        <f>VLOOKUP(D15,'2.Bookinglist'!A:CT,28,FALSE)</f>
        <v>DOUBLE A (1991) PUBLIC COMPANY LIMITED</v>
      </c>
      <c r="G15" s="60">
        <f>VLOOKUP(D15,'2.Bookinglist'!A:E,5,FALSE)</f>
        <v>0</v>
      </c>
      <c r="H15" s="61" t="str">
        <f>VLOOKUP(D15,'2.Bookinglist'!A:CT,15,FALSE)</f>
        <v>THLCH</v>
      </c>
      <c r="I15" s="61" t="str">
        <f>VLOOKUP(D15,'2.Bookinglist'!A:CT,19,FALSE)</f>
        <v>HKHKG</v>
      </c>
      <c r="J15" s="61">
        <f>VLOOKUP(D15,'2.Bookinglist'!A:CT,26,FALSE)</f>
        <v>0</v>
      </c>
      <c r="K15" s="61" t="str">
        <f>VLOOKUP(A15,'1.Loading'!A:R,5,FALSE)</f>
        <v>22GP</v>
      </c>
      <c r="L15" s="60" t="str">
        <f>VLOOKUP(D15,'2.Bookinglist'!A:CT,85,FALSE)</f>
        <v>CY/CY</v>
      </c>
      <c r="M15" s="60" t="str">
        <f>IF(VLOOKUP(D15,'2.Bookinglist'!A:CT,43,FALSE)=0,"","DG")</f>
        <v/>
      </c>
      <c r="N15" s="60" t="str">
        <f>IF(RIGHT(K15,2)="RE","RF","")</f>
        <v/>
      </c>
      <c r="O15" s="61" t="str">
        <f>VLOOKUP(A15,'1.Loading'!A:R,3,FALSE)</f>
        <v>KJT</v>
      </c>
      <c r="P15" s="61" t="str">
        <f>VLOOKUP(A15,'1.Loading'!A:R,4,FALSE)</f>
        <v>2611N</v>
      </c>
      <c r="Q15" s="61" t="str">
        <f>VLOOKUP(D15,'2.Bookinglist'!A:CT,12,FALSE)</f>
        <v>KTS1</v>
      </c>
      <c r="R15" s="60" t="str">
        <f>IF(LEFT(K15,2)="22","20'","40'")</f>
        <v>20'</v>
      </c>
      <c r="S15" s="185" t="n"/>
      <c r="T15" s="61" t="str">
        <f>VLOOKUP(A15,'1.Loading'!A:R,2,FALSE)</f>
        <v>2026-10-21</v>
      </c>
      <c r="U15" s="63">
        <f>T15-S15</f>
        <v>46316</v>
      </c>
      <c r="V15" s="186" t="n"/>
      <c r="W15" s="61" t="str">
        <f>VLOOKUP(A15,'3.GateMove'!A:D,4,FALSE)</f>
        <v>2026-10-15</v>
      </c>
      <c r="X15" s="63">
        <f>((T15-W15)+1)</f>
        <v>7</v>
      </c>
      <c r="Y15" s="64">
        <f>IF(AND(OR(C15="BKK01",C15="BKK04"),L15="CFS/CY"),0,IF(M15="DG",1,IF(LEFT(C15,3)="LCH",7,IF(C15="BKK02",5,3))))</f>
        <v>7</v>
      </c>
      <c r="Z15" s="63">
        <f>IF(IF(AND(AC15="TML",AB15&gt;0),((T15-W15)+1)-AB15,((T15-W15)+1)-Y15)&gt;0,IF(AND(AC15="TML",AB15&gt;0),((T15-W15)+1)-AB15,((T15-W15)+1)-Y15),0)</f>
        <v>0</v>
      </c>
      <c r="AA15" s="187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0</v>
      </c>
      <c r="AB15" s="184" t="n"/>
      <c r="AC15" s="184" t="n"/>
      <c r="AD15" s="60">
        <f>IF(M15="DG",3,IF(N15="RF",3,5))+IF(AND(LEFT(C15,3)="BKK",N15="RF",Q15="KTS"),1,0)+IF(Q15="KHS",1,0)</f>
        <v>5</v>
      </c>
      <c r="AE15" s="63">
        <f>(T15-V15)+1</f>
        <v>46317</v>
      </c>
      <c r="AF15" s="63">
        <f>IF(AB15&gt;IF((V15-W15)&gt;0,V15-W15,0),0,IF(AB15&lt;IF((V15-W15)&gt;0,V15-W15,0),IF((V15-W15)&gt;0,V15-W15,0)-AB15,IF((V15-W15)&gt;0,V15-W15,0)))</f>
        <v>0</v>
      </c>
      <c r="AG15" s="187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5" t="n"/>
      <c r="AI15" s="65">
        <f>AA15-AH15</f>
        <v>0</v>
      </c>
      <c r="AJ15" s="188" t="n"/>
      <c r="AK15" s="62" t="str">
        <f>VLOOKUP(D15,'2.Bookinglist'!A:CT,40,FALSE)</f>
        <v>Kanokporn</v>
      </c>
      <c r="AL15" s="60" t="str">
        <f>VLOOKUP(D15,'2.Bookinglist'!A:CW,101,FALSE)</f>
        <v>2026-10-17</v>
      </c>
      <c r="AM15" s="60" t="str">
        <f>VLOOKUP(D15,'2.Bookinglist'!A:BK,63,FALSE)</f>
        <v>LCHY5</v>
      </c>
      <c r="AN15" s="62" t="str">
        <f>VLOOKUP(D15,'2.Bookinglist'!A:AZ,52,FALSE)</f>
        <v>CY-RTN : 11-13/10/2026
REF : PI-HK-TH-DA-26100013
FRT $35, FREE TIME 14/14, DTHC(HKD)2000</v>
      </c>
      <c r="AO15" s="62">
        <f>VLOOKUP(D15,'2.Bookinglist'!A:CY,103,FALSE)</f>
        <v>0</v>
      </c>
    </row>
    <row r="16" ht="12.95" customHeight="1">
      <c r="A16" s="96" t="inlineStr">
        <is>
          <t>SKLU1592375</t>
        </is>
      </c>
      <c r="B16" s="184" t="str">
        <f>IF(C16=Charge!$M$1,Charge!$J$1,IF(C16=Charge!$M$23,Charge!$J$23,IF(C16=Charge!$M$17,Charge!$J$17,IF(C16=Charge!$N$17,Charge!$J$17,Charge!$J$7))))</f>
        <v>G1</v>
      </c>
      <c r="C16" s="61" t="str">
        <f>VLOOKUP(A16,'1.Loading'!A:R,14,FALSE)</f>
        <v>LCH04</v>
      </c>
      <c r="D16" s="61" t="str">
        <f>VLOOKUP(A16,'1.Loading'!A:R,17,FALSE)</f>
        <v>HASLS22260902102</v>
      </c>
      <c r="E16" s="62" t="str">
        <f>VLOOKUP(D16,'2.Bookinglist'!A:CT,27,FALSE)</f>
        <v>THAI POLYCARBONATE CO., LTD.</v>
      </c>
      <c r="F16" s="62" t="str">
        <f>VLOOKUP(D16,'2.Bookinglist'!A:CT,28,FALSE)</f>
        <v>THAI POLYACETAL CO., LTD.</v>
      </c>
      <c r="G16" s="60">
        <f>VLOOKUP(D16,'2.Bookinglist'!A:E,5,FALSE)</f>
        <v>0</v>
      </c>
      <c r="H16" s="61" t="str">
        <f>VLOOKUP(D16,'2.Bookinglist'!A:CT,15,FALSE)</f>
        <v>THLCH</v>
      </c>
      <c r="I16" s="61" t="str">
        <f>VLOOKUP(D16,'2.Bookinglist'!A:CT,19,FALSE)</f>
        <v>HKHKG</v>
      </c>
      <c r="J16" s="61">
        <f>VLOOKUP(D16,'2.Bookinglist'!A:CT,26,FALSE)</f>
        <v>0</v>
      </c>
      <c r="K16" s="61" t="str">
        <f>VLOOKUP(A16,'1.Loading'!A:R,5,FALSE)</f>
        <v>22GP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>IF(RIGHT(K16,2)="RE","RF","")</f>
        <v/>
      </c>
      <c r="O16" s="61" t="str">
        <f>VLOOKUP(A16,'1.Loading'!A:R,3,FALSE)</f>
        <v>KJT</v>
      </c>
      <c r="P16" s="61" t="str">
        <f>VLOOKUP(A16,'1.Loading'!A:R,4,FALSE)</f>
        <v>2611N</v>
      </c>
      <c r="Q16" s="61" t="str">
        <f>VLOOKUP(D16,'2.Bookinglist'!A:CT,12,FALSE)</f>
        <v>KTS1</v>
      </c>
      <c r="R16" s="60" t="str">
        <f>IF(LEFT(K16,2)="22","20'","40'")</f>
        <v>20'</v>
      </c>
      <c r="S16" s="185" t="n"/>
      <c r="T16" s="61" t="str">
        <f>VLOOKUP(A16,'1.Loading'!A:R,2,FALSE)</f>
        <v>2026-10-21</v>
      </c>
      <c r="U16" s="63">
        <f>T16-S16</f>
        <v>46316</v>
      </c>
      <c r="V16" s="186" t="n"/>
      <c r="W16" s="61" t="str">
        <f>VLOOKUP(A16,'3.GateMove'!A:D,4,FALSE)</f>
        <v>2026-10-15</v>
      </c>
      <c r="X16" s="63">
        <f>((T16-W16)+1)</f>
        <v>7</v>
      </c>
      <c r="Y16" s="64">
        <f>IF(AND(OR(C16="BKK01",C16="BKK04"),L16="CFS/CY"),0,IF(M16="DG",1,IF(LEFT(C16,3)="LCH",7,IF(C16="BKK02",5,3))))</f>
        <v>7</v>
      </c>
      <c r="Z16" s="63">
        <f>IF(IF(AND(AC16="TML",AB16&gt;0),((T16-W16)+1)-AB16,((T16-W16)+1)-Y16)&gt;0,IF(AND(AC16="TML",AB16&gt;0),((T16-W16)+1)-AB16,((T16-W16)+1)-Y16),0)</f>
        <v>0</v>
      </c>
      <c r="AA16" s="187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0</v>
      </c>
      <c r="AB16" s="184" t="n"/>
      <c r="AC16" s="184" t="n"/>
      <c r="AD16" s="60">
        <f>IF(M16="DG",3,IF(N16="RF",3,5))+IF(AND(LEFT(C16,3)="BKK",N16="RF",Q16="KTS"),1,0)+IF(Q16="KHS",1,0)</f>
        <v>5</v>
      </c>
      <c r="AE16" s="63">
        <f>(T16-V16)+1</f>
        <v>46317</v>
      </c>
      <c r="AF16" s="63">
        <f>IF(AB16&gt;IF((V16-W16)&gt;0,V16-W16,0),0,IF(AB16&lt;IF((V16-W16)&gt;0,V16-W16,0),IF((V16-W16)&gt;0,V16-W16,0)-AB16,IF((V16-W16)&gt;0,V16-W16,0)))</f>
        <v>0</v>
      </c>
      <c r="AG16" s="187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5" t="n"/>
      <c r="AI16" s="65">
        <f>AA16-AH16</f>
        <v>0</v>
      </c>
      <c r="AJ16" s="188" t="n"/>
      <c r="AK16" s="62" t="str">
        <f>VLOOKUP(D16,'2.Bookinglist'!A:CT,40,FALSE)</f>
        <v>Vilaiporn</v>
      </c>
      <c r="AL16" s="60" t="str">
        <f>VLOOKUP(D16,'2.Bookinglist'!A:CW,101,FALSE)</f>
        <v>2026-10-17</v>
      </c>
      <c r="AM16" s="60" t="str">
        <f>VLOOKUP(D16,'2.Bookinglist'!A:BK,63,FALSE)</f>
        <v>LCHY5</v>
      </c>
      <c r="AN16" s="62" t="str">
        <f>VLOOKUP(D16,'2.Bookinglist'!A:AZ,52,FALSE)</f>
        <v>Pickup : 2026-10-09, Return : 2026-10-12 [1ST RTN 13/10/2026 W/O RENT]
** PLEASE CHECK OPEN GATE BEFORE RETURN CONTAINER **</v>
      </c>
      <c r="AO16" s="62">
        <f>VLOOKUP(D16,'2.Bookinglist'!A:CY,103,FALSE)</f>
        <v>0</v>
      </c>
    </row>
    <row r="17" ht="12.95" customHeight="1">
      <c r="A17" s="96" t="inlineStr">
        <is>
          <t>SKLU1614221</t>
        </is>
      </c>
      <c r="B17" s="184" t="str">
        <f>IF(C17=Charge!$M$1,Charge!$J$1,IF(C17=Charge!$M$23,Charge!$J$23,IF(C17=Charge!$M$17,Charge!$J$17,IF(C17=Charge!$N$17,Charge!$J$17,Charge!$J$7))))</f>
        <v>G1</v>
      </c>
      <c r="C17" s="61" t="str">
        <f>VLOOKUP(A17,'1.Loading'!A:R,14,FALSE)</f>
        <v>LCH04</v>
      </c>
      <c r="D17" s="61" t="str">
        <f>VLOOKUP(A17,'1.Loading'!A:R,17,FALSE)</f>
        <v>HASLS22261000689</v>
      </c>
      <c r="E17" s="62" t="str">
        <f>VLOOKUP(D17,'2.Bookinglist'!A:CT,27,FALSE)</f>
        <v>RHENUS LOGISTICS CO., LTD.</v>
      </c>
      <c r="F17" s="62" t="str">
        <f>VLOOKUP(D17,'2.Bookinglist'!A:CT,28,FALSE)</f>
        <v>UMC ELECTRONICS (THAILAND) LTD.</v>
      </c>
      <c r="G17" s="60">
        <f>VLOOKUP(D17,'2.Bookinglist'!A:E,5,FALSE)</f>
        <v>0</v>
      </c>
      <c r="H17" s="61" t="str">
        <f>VLOOKUP(D17,'2.Bookinglist'!A:CT,15,FALSE)</f>
        <v>THLCH</v>
      </c>
      <c r="I17" s="61" t="str">
        <f>VLOOKUP(D17,'2.Bookinglist'!A:CT,19,FALSE)</f>
        <v>HKHKG</v>
      </c>
      <c r="J17" s="61">
        <f>VLOOKUP(D17,'2.Bookinglist'!A:CT,26,FALSE)</f>
        <v>0</v>
      </c>
      <c r="K17" s="61" t="str">
        <f>VLOOKUP(A17,'1.Loading'!A:R,5,FALSE)</f>
        <v>22GP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>IF(RIGHT(K17,2)="RE","RF","")</f>
        <v/>
      </c>
      <c r="O17" s="61" t="str">
        <f>VLOOKUP(A17,'1.Loading'!A:R,3,FALSE)</f>
        <v>KJT</v>
      </c>
      <c r="P17" s="61" t="str">
        <f>VLOOKUP(A17,'1.Loading'!A:R,4,FALSE)</f>
        <v>2611N</v>
      </c>
      <c r="Q17" s="61" t="str">
        <f>VLOOKUP(D17,'2.Bookinglist'!A:CT,12,FALSE)</f>
        <v>KTS1</v>
      </c>
      <c r="R17" s="60" t="str">
        <f>IF(LEFT(K17,2)="22","20'","40'")</f>
        <v>20'</v>
      </c>
      <c r="S17" s="185" t="n"/>
      <c r="T17" s="61" t="str">
        <f>VLOOKUP(A17,'1.Loading'!A:R,2,FALSE)</f>
        <v>2026-10-21</v>
      </c>
      <c r="U17" s="63">
        <f>T17-S17</f>
        <v>46316</v>
      </c>
      <c r="V17" s="186" t="n"/>
      <c r="W17" s="61" t="str">
        <f>VLOOKUP(A17,'3.GateMove'!A:D,4,FALSE)</f>
        <v>2026-10-16</v>
      </c>
      <c r="X17" s="63">
        <f>((T17-W17)+1)</f>
        <v>6</v>
      </c>
      <c r="Y17" s="64">
        <f>IF(AND(OR(C17="BKK01",C17="BKK04"),L17="CFS/CY"),0,IF(M17="DG",1,IF(LEFT(C17,3)="LCH",7,IF(C17="BKK02",5,3))))</f>
        <v>7</v>
      </c>
      <c r="Z17" s="63">
        <f>IF(IF(AND(AC17="TML",AB17&gt;0),((T17-W17)+1)-AB17,((T17-W17)+1)-Y17)&gt;0,IF(AND(AC17="TML",AB17&gt;0),((T17-W17)+1)-AB17,((T17-W17)+1)-Y17),0)</f>
        <v>0</v>
      </c>
      <c r="AA17" s="187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0</v>
      </c>
      <c r="AB17" s="184" t="n"/>
      <c r="AC17" s="184" t="n"/>
      <c r="AD17" s="60">
        <f>IF(M17="DG",3,IF(N17="RF",3,5))+IF(AND(LEFT(C17,3)="BKK",N17="RF",Q17="KTS"),1,0)+IF(Q17="KHS",1,0)</f>
        <v>5</v>
      </c>
      <c r="AE17" s="63">
        <f>(T17-V17)+1</f>
        <v>46317</v>
      </c>
      <c r="AF17" s="63">
        <f>IF(AB17&gt;IF((V17-W17)&gt;0,V17-W17,0),0,IF(AB17&lt;IF((V17-W17)&gt;0,V17-W17,0),IF((V17-W17)&gt;0,V17-W17,0)-AB17,IF((V17-W17)&gt;0,V17-W17,0)))</f>
        <v>0</v>
      </c>
      <c r="AG17" s="187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5" t="n"/>
      <c r="AI17" s="65">
        <f>AA17-AH17</f>
        <v>0</v>
      </c>
      <c r="AJ17" s="188" t="n"/>
      <c r="AK17" s="62" t="str">
        <f>VLOOKUP(D17,'2.Bookinglist'!A:CT,40,FALSE)</f>
        <v>Nannaapust Sukporntaweewat</v>
      </c>
      <c r="AL17" s="60" t="str">
        <f>VLOOKUP(D17,'2.Bookinglist'!A:CW,101,FALSE)</f>
        <v>2026-10-19</v>
      </c>
      <c r="AM17" s="60" t="str">
        <f>VLOOKUP(D17,'2.Bookinglist'!A:BK,63,FALSE)</f>
        <v>LCHY5</v>
      </c>
      <c r="AN17" s="62" t="str">
        <f>VLOOKUP(D17,'2.Bookinglist'!A:AZ,52,FALSE)</f>
        <v>Pickup : 2026-10-15, Return : 2026-10-15
 ** PLEASE CHECK OPEN GATE BEFORE RETURN CNTR **
</v>
      </c>
      <c r="AO17" s="62">
        <f>VLOOKUP(D17,'2.Bookinglist'!A:CY,103,FALSE)</f>
        <v>0</v>
      </c>
    </row>
    <row r="18" ht="12.95" customHeight="1">
      <c r="A18" s="96" t="inlineStr">
        <is>
          <t>SKLU1649125</t>
        </is>
      </c>
      <c r="B18" s="184" t="str">
        <f>IF(C18=Charge!$M$1,Charge!$J$1,IF(C18=Charge!$M$23,Charge!$J$23,IF(C18=Charge!$M$17,Charge!$J$17,IF(C18=Charge!$N$17,Charge!$J$17,Charge!$J$7))))</f>
        <v>G1</v>
      </c>
      <c r="C18" s="61" t="str">
        <f>VLOOKUP(A18,'1.Loading'!A:R,14,FALSE)</f>
        <v>LCH04</v>
      </c>
      <c r="D18" s="61" t="str">
        <f>VLOOKUP(A18,'1.Loading'!A:R,17,FALSE)</f>
        <v>HASLS22261000546</v>
      </c>
      <c r="E18" s="62" t="str">
        <f>VLOOKUP(D18,'2.Bookinglist'!A:CT,27,FALSE)</f>
        <v>ALUCON PUBLIC COMPANY LIMITED</v>
      </c>
      <c r="F18" s="62" t="str">
        <f>VLOOKUP(D18,'2.Bookinglist'!A:CT,28,FALSE)</f>
        <v>ALUCON PUBLIC COMPANY LIMITED</v>
      </c>
      <c r="G18" s="60">
        <f>VLOOKUP(D18,'2.Bookinglist'!A:E,5,FALSE)</f>
        <v>0</v>
      </c>
      <c r="H18" s="61" t="str">
        <f>VLOOKUP(D18,'2.Bookinglist'!A:CT,15,FALSE)</f>
        <v>THLCH</v>
      </c>
      <c r="I18" s="61" t="str">
        <f>VLOOKUP(D18,'2.Bookinglist'!A:CT,19,FALSE)</f>
        <v>TWKEL</v>
      </c>
      <c r="J18" s="61">
        <f>VLOOKUP(D18,'2.Bookinglist'!A:CT,26,FALSE)</f>
        <v>0</v>
      </c>
      <c r="K18" s="61" t="str">
        <f>VLOOKUP(A18,'1.Loading'!A:R,5,FALSE)</f>
        <v>22GP</v>
      </c>
      <c r="L18" s="60" t="str">
        <f>VLOOKUP(D18,'2.Bookinglist'!A:CT,85,FALSE)</f>
        <v>CY/CY</v>
      </c>
      <c r="M18" s="60" t="str">
        <f>IF(VLOOKUP(D18,'2.Bookinglist'!A:CT,43,FALSE)=0,"","DG")</f>
        <v/>
      </c>
      <c r="N18" s="60" t="str">
        <f>IF(RIGHT(K18,2)="RE","RF","")</f>
        <v/>
      </c>
      <c r="O18" s="61" t="str">
        <f>VLOOKUP(A18,'1.Loading'!A:R,3,FALSE)</f>
        <v>KJT</v>
      </c>
      <c r="P18" s="61" t="str">
        <f>VLOOKUP(A18,'1.Loading'!A:R,4,FALSE)</f>
        <v>2611N</v>
      </c>
      <c r="Q18" s="61" t="str">
        <f>VLOOKUP(D18,'2.Bookinglist'!A:CT,12,FALSE)</f>
        <v>KTS1</v>
      </c>
      <c r="R18" s="60" t="str">
        <f>IF(LEFT(K18,2)="22","20'","40'")</f>
        <v>20'</v>
      </c>
      <c r="S18" s="185" t="n"/>
      <c r="T18" s="61" t="str">
        <f>VLOOKUP(A18,'1.Loading'!A:R,2,FALSE)</f>
        <v>2026-10-21</v>
      </c>
      <c r="U18" s="63">
        <f>T18-S18</f>
        <v>46316</v>
      </c>
      <c r="V18" s="186" t="n"/>
      <c r="W18" s="61" t="str">
        <f>VLOOKUP(A18,'3.GateMove'!A:D,4,FALSE)</f>
        <v>2026-10-15</v>
      </c>
      <c r="X18" s="63">
        <f>((T18-W18)+1)</f>
        <v>7</v>
      </c>
      <c r="Y18" s="64">
        <f>IF(AND(OR(C18="BKK01",C18="BKK04"),L18="CFS/CY"),0,IF(M18="DG",1,IF(LEFT(C18,3)="LCH",7,IF(C18="BKK02",5,3))))</f>
        <v>7</v>
      </c>
      <c r="Z18" s="63">
        <f>IF(IF(AND(AC18="TML",AB18&gt;0),((T18-W18)+1)-AB18,((T18-W18)+1)-Y18)&gt;0,IF(AND(AC18="TML",AB18&gt;0),((T18-W18)+1)-AB18,((T18-W18)+1)-Y18),0)</f>
        <v>0</v>
      </c>
      <c r="AA18" s="187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0</v>
      </c>
      <c r="AB18" s="184" t="n"/>
      <c r="AC18" s="184" t="n"/>
      <c r="AD18" s="60">
        <f>IF(M18="DG",3,IF(N18="RF",3,5))+IF(AND(LEFT(C18,3)="BKK",N18="RF",Q18="KTS"),1,0)+IF(Q18="KHS",1,0)</f>
        <v>5</v>
      </c>
      <c r="AE18" s="63">
        <f>(T18-V18)+1</f>
        <v>46317</v>
      </c>
      <c r="AF18" s="63">
        <f>IF(AB18&gt;IF((V18-W18)&gt;0,V18-W18,0),0,IF(AB18&lt;IF((V18-W18)&gt;0,V18-W18,0),IF((V18-W18)&gt;0,V18-W18,0)-AB18,IF((V18-W18)&gt;0,V18-W18,0)))</f>
        <v>0</v>
      </c>
      <c r="AG18" s="187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5" t="n"/>
      <c r="AI18" s="65">
        <f>AA18-AH18</f>
        <v>0</v>
      </c>
      <c r="AJ18" s="188" t="n"/>
      <c r="AK18" s="62" t="str">
        <f>VLOOKUP(D18,'2.Bookinglist'!A:CT,40,FALSE)</f>
        <v>Dharaporn</v>
      </c>
      <c r="AL18" s="60" t="str">
        <f>VLOOKUP(D18,'2.Bookinglist'!A:CW,101,FALSE)</f>
        <v>2026-10-19</v>
      </c>
      <c r="AM18" s="60" t="str">
        <f>VLOOKUP(D18,'2.Bookinglist'!A:BK,63,FALSE)</f>
        <v>LCHY5</v>
      </c>
      <c r="AN18" s="62" t="str">
        <f>VLOOKUP(D18,'2.Bookinglist'!A:AZ,52,FALSE)</f>
        <v>Pickup : 2026-10-14, Return : 2026-10-15 
** PLEASE CHECK OPEN GATE BEFORE RETURN CONTAINER ** </v>
      </c>
      <c r="AO18" s="62">
        <f>VLOOKUP(D18,'2.Bookinglist'!A:CY,103,FALSE)</f>
        <v>0</v>
      </c>
    </row>
    <row r="19" ht="12.95" customHeight="1">
      <c r="A19" s="96" t="inlineStr">
        <is>
          <t>SKLU1935068</t>
        </is>
      </c>
      <c r="B19" s="184" t="str">
        <f>IF(C19=Charge!$M$1,Charge!$J$1,IF(C19=Charge!$M$23,Charge!$J$23,IF(C19=Charge!$M$17,Charge!$J$17,IF(C19=Charge!$N$17,Charge!$J$17,Charge!$J$7))))</f>
        <v>G1</v>
      </c>
      <c r="C19" s="61" t="str">
        <f>VLOOKUP(A19,'1.Loading'!A:R,14,FALSE)</f>
        <v>LCH04</v>
      </c>
      <c r="D19" s="61" t="str">
        <f>VLOOKUP(A19,'1.Loading'!A:R,17,FALSE)</f>
        <v>HASLS22260900213</v>
      </c>
      <c r="E19" s="62" t="str">
        <f>VLOOKUP(D19,'2.Bookinglist'!A:CT,27,FALSE)</f>
        <v>MOL LOGISTICS (THAILAND) CO., LTD.</v>
      </c>
      <c r="F19" s="62" t="str">
        <f>VLOOKUP(D19,'2.Bookinglist'!A:CT,28,FALSE)</f>
        <v>KURARAY ADVANCED CHEMICALS (THAILAND) CO., LTD.</v>
      </c>
      <c r="G19" s="60">
        <f>VLOOKUP(D19,'2.Bookinglist'!A:E,5,FALSE)</f>
        <v>0</v>
      </c>
      <c r="H19" s="61" t="str">
        <f>VLOOKUP(D19,'2.Bookinglist'!A:CT,15,FALSE)</f>
        <v>THLCH</v>
      </c>
      <c r="I19" s="61" t="str">
        <f>VLOOKUP(D19,'2.Bookinglist'!A:CT,19,FALSE)</f>
        <v>TWKEL</v>
      </c>
      <c r="J19" s="61">
        <f>VLOOKUP(D19,'2.Bookinglist'!A:CT,26,FALSE)</f>
        <v>0</v>
      </c>
      <c r="K19" s="61" t="str">
        <f>VLOOKUP(A19,'1.Loading'!A:R,5,FALSE)</f>
        <v>22GP</v>
      </c>
      <c r="L19" s="60" t="str">
        <f>VLOOKUP(D19,'2.Bookinglist'!A:CT,85,FALSE)</f>
        <v>CY/CY</v>
      </c>
      <c r="M19" s="60" t="str">
        <f>IF(VLOOKUP(D19,'2.Bookinglist'!A:CT,43,FALSE)=0,"","DG")</f>
        <v/>
      </c>
      <c r="N19" s="60" t="str">
        <f>IF(RIGHT(K19,2)="RE","RF","")</f>
        <v/>
      </c>
      <c r="O19" s="61" t="str">
        <f>VLOOKUP(A19,'1.Loading'!A:R,3,FALSE)</f>
        <v>KJT</v>
      </c>
      <c r="P19" s="61" t="str">
        <f>VLOOKUP(A19,'1.Loading'!A:R,4,FALSE)</f>
        <v>2611N</v>
      </c>
      <c r="Q19" s="61" t="str">
        <f>VLOOKUP(D19,'2.Bookinglist'!A:CT,12,FALSE)</f>
        <v>KTS1</v>
      </c>
      <c r="R19" s="60" t="str">
        <f>IF(LEFT(K19,2)="22","20'","40'")</f>
        <v>20'</v>
      </c>
      <c r="S19" s="185" t="n"/>
      <c r="T19" s="61" t="str">
        <f>VLOOKUP(A19,'1.Loading'!A:R,2,FALSE)</f>
        <v>2026-10-21</v>
      </c>
      <c r="U19" s="63">
        <f>T19-S19</f>
        <v>46316</v>
      </c>
      <c r="V19" s="186" t="n"/>
      <c r="W19" s="61" t="str">
        <f>VLOOKUP(A19,'3.GateMove'!A:D,4,FALSE)</f>
        <v>2026-10-09</v>
      </c>
      <c r="X19" s="63">
        <f>((T19-W19)+1)</f>
        <v>13</v>
      </c>
      <c r="Y19" s="64">
        <f>IF(AND(OR(C19="BKK01",C19="BKK04"),L19="CFS/CY"),0,IF(M19="DG",1,IF(LEFT(C19,3)="LCH",7,IF(C19="BKK02",5,3))))</f>
        <v>7</v>
      </c>
      <c r="Z19" s="63">
        <f>IF(IF(AND(AC19="TML",AB19&gt;0),((T19-W19)+1)-AB19,((T19-W19)+1)-Y19)&gt;0,IF(AND(AC19="TML",AB19&gt;0),((T19-W19)+1)-AB19,((T19-W19)+1)-Y19),0)</f>
        <v>6</v>
      </c>
      <c r="AA19" s="187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1125</v>
      </c>
      <c r="AB19" s="184" t="n"/>
      <c r="AC19" s="184" t="n"/>
      <c r="AD19" s="60">
        <f>IF(M19="DG",3,IF(N19="RF",3,5))+IF(AND(LEFT(C19,3)="BKK",N19="RF",Q19="KTS"),1,0)+IF(Q19="KHS",1,0)</f>
        <v>5</v>
      </c>
      <c r="AE19" s="63">
        <f>(T19-V19)+1</f>
        <v>46317</v>
      </c>
      <c r="AF19" s="63">
        <f>IF(AB19&gt;IF((V19-W19)&gt;0,V19-W19,0),0,IF(AB19&lt;IF((V19-W19)&gt;0,V19-W19,0),IF((V19-W19)&gt;0,V19-W19,0)-AB19,IF((V19-W19)&gt;0,V19-W19,0)))</f>
        <v>0</v>
      </c>
      <c r="AG19" s="187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5" t="n"/>
      <c r="AI19" s="65">
        <f>AA19-AH19</f>
        <v>1125</v>
      </c>
      <c r="AJ19" s="188" t="n"/>
      <c r="AK19" s="62" t="str">
        <f>VLOOKUP(D19,'2.Bookinglist'!A:CT,40,FALSE)</f>
        <v>Vilaiporn</v>
      </c>
      <c r="AL19" s="60" t="str">
        <f>VLOOKUP(D19,'2.Bookinglist'!A:CW,101,FALSE)</f>
        <v>2026-10-13</v>
      </c>
      <c r="AM19" s="60" t="str">
        <f>VLOOKUP(D19,'2.Bookinglist'!A:BK,63,FALSE)</f>
        <v>LCH27</v>
      </c>
      <c r="AN19" s="62" t="str">
        <f>VLOOKUP(D19,'2.Bookinglist'!A:AZ,52,FALSE)</f>
        <v>Pickup : 2026-10-09, Return : 2026-10-09 
 ** PLEASE CHECK OPEN GATE BEFORE RETURN CNTR **
</v>
      </c>
      <c r="AO19" s="62">
        <f>VLOOKUP(D19,'2.Bookinglist'!A:CY,103,FALSE)</f>
        <v>0</v>
      </c>
    </row>
    <row r="20" ht="12.95" customHeight="1">
      <c r="A20" s="96" t="inlineStr">
        <is>
          <t>SKLU2339628</t>
        </is>
      </c>
      <c r="B20" s="184" t="str">
        <f>IF(C20=Charge!$M$1,Charge!$J$1,IF(C20=Charge!$M$23,Charge!$J$23,IF(C20=Charge!$M$17,Charge!$J$17,IF(C20=Charge!$N$17,Charge!$J$17,Charge!$J$7))))</f>
        <v>G1</v>
      </c>
      <c r="C20" s="61" t="str">
        <f>VLOOKUP(A20,'1.Loading'!A:R,14,FALSE)</f>
        <v>LCH04</v>
      </c>
      <c r="D20" s="61" t="str">
        <f>VLOOKUP(A20,'1.Loading'!A:R,17,FALSE)</f>
        <v>HASLS22261000840</v>
      </c>
      <c r="E20" s="62" t="str">
        <f>VLOOKUP(D20,'2.Bookinglist'!A:CT,27,FALSE)</f>
        <v>UBE CHEMICALS (ASIA) PUBLIC COMPANY LIMITED</v>
      </c>
      <c r="F20" s="62" t="str">
        <f>VLOOKUP(D20,'2.Bookinglist'!A:CT,28,FALSE)</f>
        <v>UBE CHEMICALS (ASIA) PUBLIC COMPANY LIMITED</v>
      </c>
      <c r="G20" s="60">
        <f>VLOOKUP(D20,'2.Bookinglist'!A:E,5,FALSE)</f>
        <v>0</v>
      </c>
      <c r="H20" s="61" t="str">
        <f>VLOOKUP(D20,'2.Bookinglist'!A:CT,15,FALSE)</f>
        <v>THLCH</v>
      </c>
      <c r="I20" s="61" t="str">
        <f>VLOOKUP(D20,'2.Bookinglist'!A:CT,19,FALSE)</f>
        <v>TWKEL</v>
      </c>
      <c r="J20" s="61">
        <f>VLOOKUP(D20,'2.Bookinglist'!A:CT,26,FALSE)</f>
        <v>0</v>
      </c>
      <c r="K20" s="61" t="str">
        <f>VLOOKUP(A20,'1.Loading'!A:R,5,FALSE)</f>
        <v>22GP</v>
      </c>
      <c r="L20" s="60" t="str">
        <f>VLOOKUP(D20,'2.Bookinglist'!A:CT,85,FALSE)</f>
        <v>CY/CY</v>
      </c>
      <c r="M20" s="60" t="str">
        <f>IF(VLOOKUP(D20,'2.Bookinglist'!A:CT,43,FALSE)=0,"","DG")</f>
        <v/>
      </c>
      <c r="N20" s="60" t="str">
        <f>IF(RIGHT(K20,2)="RE","RF","")</f>
        <v/>
      </c>
      <c r="O20" s="61" t="str">
        <f>VLOOKUP(A20,'1.Loading'!A:R,3,FALSE)</f>
        <v>KJT</v>
      </c>
      <c r="P20" s="61" t="str">
        <f>VLOOKUP(A20,'1.Loading'!A:R,4,FALSE)</f>
        <v>2611N</v>
      </c>
      <c r="Q20" s="61" t="str">
        <f>VLOOKUP(D20,'2.Bookinglist'!A:CT,12,FALSE)</f>
        <v>KTS1</v>
      </c>
      <c r="R20" s="60" t="str">
        <f>IF(LEFT(K20,2)="22","20'","40'")</f>
        <v>20'</v>
      </c>
      <c r="S20" s="185" t="n"/>
      <c r="T20" s="61" t="str">
        <f>VLOOKUP(A20,'1.Loading'!A:R,2,FALSE)</f>
        <v>2026-10-21</v>
      </c>
      <c r="U20" s="63">
        <f>T20-S20</f>
        <v>46316</v>
      </c>
      <c r="V20" s="186" t="n"/>
      <c r="W20" s="61" t="str">
        <f>VLOOKUP(A20,'3.GateMove'!A:D,4,FALSE)</f>
        <v>2026-10-16</v>
      </c>
      <c r="X20" s="63">
        <f>((T20-W20)+1)</f>
        <v>6</v>
      </c>
      <c r="Y20" s="64">
        <f>IF(AND(OR(C20="BKK01",C20="BKK04"),L20="CFS/CY"),0,IF(M20="DG",1,IF(LEFT(C20,3)="LCH",7,IF(C20="BKK02",5,3))))</f>
        <v>7</v>
      </c>
      <c r="Z20" s="63">
        <f>IF(IF(AND(AC20="TML",AB20&gt;0),((T20-W20)+1)-AB20,((T20-W20)+1)-Y20)&gt;0,IF(AND(AC20="TML",AB20&gt;0),((T20-W20)+1)-AB20,((T20-W20)+1)-Y20),0)</f>
        <v>0</v>
      </c>
      <c r="AA20" s="187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0</v>
      </c>
      <c r="AB20" s="184" t="n"/>
      <c r="AC20" s="184" t="n"/>
      <c r="AD20" s="60">
        <f>IF(M20="DG",3,IF(N20="RF",3,5))+IF(AND(LEFT(C20,3)="BKK",N20="RF",Q20="KTS"),1,0)+IF(Q20="KHS",1,0)</f>
        <v>5</v>
      </c>
      <c r="AE20" s="63">
        <f>(T20-V20)+1</f>
        <v>46317</v>
      </c>
      <c r="AF20" s="63">
        <f>IF(AB20&gt;IF((V20-W20)&gt;0,V20-W20,0),0,IF(AB20&lt;IF((V20-W20)&gt;0,V20-W20,0),IF((V20-W20)&gt;0,V20-W20,0)-AB20,IF((V20-W20)&gt;0,V20-W20,0)))</f>
        <v>0</v>
      </c>
      <c r="AG20" s="187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5" t="n"/>
      <c r="AI20" s="65">
        <f>AA20-AH20</f>
        <v>0</v>
      </c>
      <c r="AJ20" s="188" t="n"/>
      <c r="AK20" s="62" t="str">
        <f>VLOOKUP(D20,'2.Bookinglist'!A:CT,40,FALSE)</f>
        <v>Tarn(Supaporn)</v>
      </c>
      <c r="AL20" s="60" t="str">
        <f>VLOOKUP(D20,'2.Bookinglist'!A:CW,101,FALSE)</f>
        <v>2026-10-20</v>
      </c>
      <c r="AM20" s="60" t="str">
        <f>VLOOKUP(D20,'2.Bookinglist'!A:BK,63,FALSE)</f>
        <v>LCHY5</v>
      </c>
      <c r="AN20" s="62" t="str">
        <f>VLOOKUP(D20,'2.Bookinglist'!A:AZ,52,FALSE)</f>
        <v>CY-RTN 14-16/10/26 (2002054735)</v>
      </c>
      <c r="AO20" s="62">
        <f>VLOOKUP(D20,'2.Bookinglist'!A:CY,103,FALSE)</f>
        <v>0</v>
      </c>
    </row>
    <row r="21" ht="12.95" customHeight="1">
      <c r="A21" s="96" t="inlineStr">
        <is>
          <t>SKLU2354514</t>
        </is>
      </c>
      <c r="B21" s="184" t="str">
        <f>IF(C21=Charge!$M$1,Charge!$J$1,IF(C21=Charge!$M$23,Charge!$J$23,IF(C21=Charge!$M$17,Charge!$J$17,IF(C21=Charge!$N$17,Charge!$J$17,Charge!$J$7))))</f>
        <v>G1</v>
      </c>
      <c r="C21" s="61" t="str">
        <f>VLOOKUP(A21,'1.Loading'!A:R,14,FALSE)</f>
        <v>LCH04</v>
      </c>
      <c r="D21" s="61" t="str">
        <f>VLOOKUP(A21,'1.Loading'!A:R,17,FALSE)</f>
        <v>HASLS22260902579</v>
      </c>
      <c r="E21" s="62" t="str">
        <f>VLOOKUP(D21,'2.Bookinglist'!A:CT,27,FALSE)</f>
        <v>DOUBLE A (1991) PUBLIC COMPANY LIMITED</v>
      </c>
      <c r="F21" s="62" t="str">
        <f>VLOOKUP(D21,'2.Bookinglist'!A:CT,28,FALSE)</f>
        <v>DOUBLE A (1991) PUBLIC COMPANY LIMITED</v>
      </c>
      <c r="G21" s="60">
        <f>VLOOKUP(D21,'2.Bookinglist'!A:E,5,FALSE)</f>
        <v>0</v>
      </c>
      <c r="H21" s="61" t="str">
        <f>VLOOKUP(D21,'2.Bookinglist'!A:CT,15,FALSE)</f>
        <v>THLCH</v>
      </c>
      <c r="I21" s="61" t="str">
        <f>VLOOKUP(D21,'2.Bookinglist'!A:CT,19,FALSE)</f>
        <v>HKHKG</v>
      </c>
      <c r="J21" s="61">
        <f>VLOOKUP(D21,'2.Bookinglist'!A:CT,26,FALSE)</f>
        <v>0</v>
      </c>
      <c r="K21" s="61" t="str">
        <f>VLOOKUP(A21,'1.Loading'!A:R,5,FALSE)</f>
        <v>22GP</v>
      </c>
      <c r="L21" s="60" t="str">
        <f>VLOOKUP(D21,'2.Bookinglist'!A:CT,85,FALSE)</f>
        <v>CY/CY</v>
      </c>
      <c r="M21" s="60" t="str">
        <f>IF(VLOOKUP(D21,'2.Bookinglist'!A:CT,43,FALSE)=0,"","DG")</f>
        <v/>
      </c>
      <c r="N21" s="60" t="str">
        <f>IF(RIGHT(K21,2)="RE","RF","")</f>
        <v/>
      </c>
      <c r="O21" s="61" t="str">
        <f>VLOOKUP(A21,'1.Loading'!A:R,3,FALSE)</f>
        <v>KJT</v>
      </c>
      <c r="P21" s="61" t="str">
        <f>VLOOKUP(A21,'1.Loading'!A:R,4,FALSE)</f>
        <v>2611N</v>
      </c>
      <c r="Q21" s="61" t="str">
        <f>VLOOKUP(D21,'2.Bookinglist'!A:CT,12,FALSE)</f>
        <v>KTS1</v>
      </c>
      <c r="R21" s="60" t="str">
        <f>IF(LEFT(K21,2)="22","20'","40'")</f>
        <v>20'</v>
      </c>
      <c r="S21" s="185" t="n"/>
      <c r="T21" s="61" t="str">
        <f>VLOOKUP(A21,'1.Loading'!A:R,2,FALSE)</f>
        <v>2026-10-21</v>
      </c>
      <c r="U21" s="63">
        <f>T21-S21</f>
        <v>46316</v>
      </c>
      <c r="V21" s="186" t="n"/>
      <c r="W21" s="61" t="str">
        <f>VLOOKUP(A21,'3.GateMove'!A:D,4,FALSE)</f>
        <v>2026-10-14</v>
      </c>
      <c r="X21" s="63">
        <f>((T21-W21)+1)</f>
        <v>8</v>
      </c>
      <c r="Y21" s="64">
        <f>IF(AND(OR(C21="BKK01",C21="BKK04"),L21="CFS/CY"),0,IF(M21="DG",1,IF(LEFT(C21,3)="LCH",7,IF(C21="BKK02",5,3))))</f>
        <v>7</v>
      </c>
      <c r="Z21" s="63">
        <f>IF(IF(AND(AC21="TML",AB21&gt;0),((T21-W21)+1)-AB21,((T21-W21)+1)-Y21)&gt;0,IF(AND(AC21="TML",AB21&gt;0),((T21-W21)+1)-AB21,((T21-W21)+1)-Y21),0)</f>
        <v>1</v>
      </c>
      <c r="AA21" s="187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125</v>
      </c>
      <c r="AB21" s="184" t="n"/>
      <c r="AC21" s="184" t="n"/>
      <c r="AD21" s="60">
        <f>IF(M21="DG",3,IF(N21="RF",3,5))+IF(AND(LEFT(C21,3)="BKK",N21="RF",Q21="KTS"),1,0)+IF(Q21="KHS",1,0)</f>
        <v>5</v>
      </c>
      <c r="AE21" s="63">
        <f>(T21-V21)+1</f>
        <v>46317</v>
      </c>
      <c r="AF21" s="63">
        <f>IF(AB21&gt;IF((V21-W21)&gt;0,V21-W21,0),0,IF(AB21&lt;IF((V21-W21)&gt;0,V21-W21,0),IF((V21-W21)&gt;0,V21-W21,0)-AB21,IF((V21-W21)&gt;0,V21-W21,0)))</f>
        <v>0</v>
      </c>
      <c r="AG21" s="187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5" t="n"/>
      <c r="AI21" s="65">
        <f>AA21-AH21</f>
        <v>125</v>
      </c>
      <c r="AJ21" s="188" t="n"/>
      <c r="AK21" s="62" t="str">
        <f>VLOOKUP(D21,'2.Bookinglist'!A:CT,40,FALSE)</f>
        <v>Kanokporn</v>
      </c>
      <c r="AL21" s="60" t="str">
        <f>VLOOKUP(D21,'2.Bookinglist'!A:CW,101,FALSE)</f>
        <v>2026-10-15</v>
      </c>
      <c r="AM21" s="60" t="str">
        <f>VLOOKUP(D21,'2.Bookinglist'!A:BK,63,FALSE)</f>
        <v>LCHY5</v>
      </c>
      <c r="AN21" s="62" t="str">
        <f>VLOOKUP(D21,'2.Bookinglist'!A:AZ,52,FALSE)</f>
        <v>CY-RTN : 09-11/10/2026
REF : PI-HK-TH-DA-26100004
FRT $35, FREE TIME 14/14, DTHC(HKD)2000</v>
      </c>
      <c r="AO21" s="62">
        <f>VLOOKUP(D21,'2.Bookinglist'!A:CY,103,FALSE)</f>
        <v>0</v>
      </c>
    </row>
    <row r="22" ht="12.95" customHeight="1">
      <c r="A22" s="96" t="n"/>
      <c r="B22" s="4" t="n"/>
      <c r="C22" s="61" t="n"/>
      <c r="D22" s="61" t="n"/>
      <c r="E22" s="62" t="n"/>
      <c r="F22" s="62" t="n"/>
      <c r="G22" s="60" t="n"/>
      <c r="H22" s="61" t="n"/>
      <c r="I22" s="61" t="n"/>
      <c r="J22" s="61" t="n"/>
      <c r="K22" s="61" t="n"/>
      <c r="L22" s="60" t="n"/>
      <c r="M22" s="60" t="n"/>
      <c r="N22" s="60" t="n"/>
      <c r="O22" s="61" t="n"/>
      <c r="P22" s="61" t="n"/>
      <c r="Q22" s="61" t="n"/>
      <c r="R22" s="60" t="n"/>
      <c r="S22" s="101" t="n"/>
      <c r="T22" s="61" t="n"/>
      <c r="U22" s="63" t="n"/>
      <c r="V22" s="178" t="n"/>
      <c r="W22" s="61" t="n"/>
      <c r="X22" s="63" t="n"/>
      <c r="Y22" s="64" t="n"/>
      <c r="Z22" s="63" t="n"/>
      <c r="AA22" s="120" t="n"/>
      <c r="AB22" s="4" t="n"/>
      <c r="AC22" s="4" t="n"/>
      <c r="AD22" s="60" t="n"/>
      <c r="AE22" s="63" t="n"/>
      <c r="AF22" s="63" t="n"/>
      <c r="AG22" s="120" t="n"/>
      <c r="AH22" s="65" t="n"/>
      <c r="AI22" s="93" t="n"/>
      <c r="AJ22" s="70" t="n"/>
      <c r="AK22" s="62" t="n"/>
      <c r="AL22" s="60" t="n"/>
      <c r="AM22" s="60" t="n"/>
      <c r="AN22" s="62" t="n"/>
      <c r="AO22" s="62" t="n"/>
    </row>
    <row r="23" ht="12.95" customHeight="1">
      <c r="A23" s="96" t="n"/>
      <c r="B23" s="4" t="n"/>
      <c r="C23" s="61" t="n"/>
      <c r="D23" s="61" t="n"/>
      <c r="E23" s="62" t="n"/>
      <c r="F23" s="62" t="n"/>
      <c r="G23" s="60" t="n"/>
      <c r="H23" s="61" t="n"/>
      <c r="I23" s="61" t="n"/>
      <c r="J23" s="61" t="n"/>
      <c r="K23" s="61" t="n"/>
      <c r="L23" s="60" t="n"/>
      <c r="M23" s="60" t="n"/>
      <c r="N23" s="60" t="n"/>
      <c r="O23" s="61" t="n"/>
      <c r="P23" s="61" t="n"/>
      <c r="Q23" s="61" t="n"/>
      <c r="R23" s="60" t="n"/>
      <c r="S23" s="101" t="n"/>
      <c r="T23" s="61" t="n"/>
      <c r="U23" s="63" t="n"/>
      <c r="V23" s="178" t="n"/>
      <c r="W23" s="61" t="n"/>
      <c r="X23" s="63" t="n"/>
      <c r="Y23" s="64" t="n"/>
      <c r="Z23" s="63" t="n"/>
      <c r="AA23" s="120" t="n"/>
      <c r="AB23" s="4" t="n"/>
      <c r="AC23" s="4" t="n"/>
      <c r="AD23" s="60" t="n"/>
      <c r="AE23" s="63" t="n"/>
      <c r="AF23" s="63" t="n"/>
      <c r="AG23" s="120" t="n"/>
      <c r="AH23" s="65" t="n"/>
      <c r="AI23" s="93" t="n"/>
      <c r="AJ23" s="70" t="n"/>
      <c r="AK23" s="62" t="n"/>
      <c r="AL23" s="60" t="n"/>
      <c r="AM23" s="60" t="n"/>
      <c r="AN23" s="62" t="n"/>
      <c r="AO23" s="62" t="n"/>
    </row>
    <row r="24" ht="12.95" customHeight="1">
      <c r="A24" s="96" t="n"/>
      <c r="B24" s="4" t="n"/>
      <c r="C24" s="61" t="n"/>
      <c r="D24" s="61" t="n"/>
      <c r="E24" s="62" t="n"/>
      <c r="F24" s="62" t="n"/>
      <c r="G24" s="60" t="n"/>
      <c r="H24" s="61" t="n"/>
      <c r="I24" s="61" t="n"/>
      <c r="J24" s="61" t="n"/>
      <c r="K24" s="61" t="n"/>
      <c r="L24" s="60" t="n"/>
      <c r="M24" s="60" t="n"/>
      <c r="N24" s="60" t="n"/>
      <c r="O24" s="61" t="n"/>
      <c r="P24" s="61" t="n"/>
      <c r="Q24" s="61" t="n"/>
      <c r="R24" s="60" t="n"/>
      <c r="S24" s="101" t="n"/>
      <c r="T24" s="61" t="n"/>
      <c r="U24" s="63" t="n"/>
      <c r="V24" s="178" t="n"/>
      <c r="W24" s="61" t="n"/>
      <c r="X24" s="63" t="n"/>
      <c r="Y24" s="64" t="n"/>
      <c r="Z24" s="63" t="n"/>
      <c r="AA24" s="120" t="n"/>
      <c r="AB24" s="4" t="n"/>
      <c r="AC24" s="4" t="n"/>
      <c r="AD24" s="60" t="n"/>
      <c r="AE24" s="63" t="n"/>
      <c r="AF24" s="63" t="n"/>
      <c r="AG24" s="120" t="n"/>
      <c r="AH24" s="65" t="n"/>
      <c r="AI24" s="93" t="n"/>
      <c r="AJ24" s="70" t="n"/>
      <c r="AK24" s="62" t="n"/>
      <c r="AL24" s="60" t="n"/>
      <c r="AM24" s="60" t="n"/>
      <c r="AN24" s="62" t="n"/>
      <c r="AO24" s="62" t="n"/>
    </row>
    <row r="25" ht="12.95" customHeight="1">
      <c r="A25" s="96" t="n"/>
      <c r="B25" s="4" t="n"/>
      <c r="C25" s="61" t="n"/>
      <c r="D25" s="61" t="n"/>
      <c r="E25" s="62" t="n"/>
      <c r="F25" s="62" t="n"/>
      <c r="G25" s="60" t="n"/>
      <c r="H25" s="61" t="n"/>
      <c r="I25" s="61" t="n"/>
      <c r="J25" s="61" t="n"/>
      <c r="K25" s="61" t="n"/>
      <c r="L25" s="60" t="n"/>
      <c r="M25" s="60" t="n"/>
      <c r="N25" s="60" t="n"/>
      <c r="O25" s="61" t="n"/>
      <c r="P25" s="61" t="n"/>
      <c r="Q25" s="61" t="n"/>
      <c r="R25" s="60" t="n"/>
      <c r="S25" s="101" t="n"/>
      <c r="T25" s="61" t="n"/>
      <c r="U25" s="63" t="n"/>
      <c r="V25" s="178" t="n"/>
      <c r="W25" s="61" t="n"/>
      <c r="X25" s="63" t="n"/>
      <c r="Y25" s="64" t="n"/>
      <c r="Z25" s="63" t="n"/>
      <c r="AA25" s="120" t="n"/>
      <c r="AB25" s="4" t="n"/>
      <c r="AC25" s="4" t="n"/>
      <c r="AD25" s="60" t="n"/>
      <c r="AE25" s="63" t="n"/>
      <c r="AF25" s="63" t="n"/>
      <c r="AG25" s="120" t="n"/>
      <c r="AH25" s="65" t="n"/>
      <c r="AI25" s="93" t="n"/>
      <c r="AJ25" s="70" t="n"/>
      <c r="AK25" s="62" t="n"/>
      <c r="AL25" s="60" t="n"/>
      <c r="AM25" s="60" t="n"/>
      <c r="AN25" s="62" t="n"/>
      <c r="AO25" s="62" t="n"/>
    </row>
    <row r="26" ht="12.95" customHeight="1">
      <c r="A26" s="96" t="n"/>
      <c r="B26" s="4" t="n"/>
      <c r="C26" s="61" t="n"/>
      <c r="D26" s="61" t="n"/>
      <c r="E26" s="62" t="n"/>
      <c r="F26" s="62" t="n"/>
      <c r="G26" s="60" t="n"/>
      <c r="H26" s="61" t="n"/>
      <c r="I26" s="61" t="n"/>
      <c r="J26" s="61" t="n"/>
      <c r="K26" s="61" t="n"/>
      <c r="L26" s="60" t="n"/>
      <c r="M26" s="60" t="n"/>
      <c r="N26" s="60" t="n"/>
      <c r="O26" s="61" t="n"/>
      <c r="P26" s="61" t="n"/>
      <c r="Q26" s="61" t="n"/>
      <c r="R26" s="60" t="n"/>
      <c r="S26" s="101" t="n"/>
      <c r="T26" s="61" t="n"/>
      <c r="U26" s="63" t="n"/>
      <c r="V26" s="178" t="n"/>
      <c r="W26" s="61" t="n"/>
      <c r="X26" s="63" t="n"/>
      <c r="Y26" s="64" t="n"/>
      <c r="Z26" s="63" t="n"/>
      <c r="AA26" s="120" t="n"/>
      <c r="AB26" s="4" t="n"/>
      <c r="AC26" s="4" t="n"/>
      <c r="AD26" s="60" t="n"/>
      <c r="AE26" s="63" t="n"/>
      <c r="AF26" s="63" t="n"/>
      <c r="AG26" s="120" t="n"/>
      <c r="AH26" s="65" t="n"/>
      <c r="AI26" s="93" t="n"/>
      <c r="AJ26" s="70" t="n"/>
      <c r="AK26" s="62" t="n"/>
      <c r="AL26" s="60" t="n"/>
      <c r="AM26" s="60" t="n"/>
      <c r="AN26" s="62" t="n"/>
      <c r="AO26" s="62" t="n"/>
    </row>
    <row r="27" ht="12.95" customHeight="1">
      <c r="A27" s="96" t="n"/>
      <c r="B27" s="4" t="n"/>
      <c r="C27" s="61" t="n"/>
      <c r="D27" s="61" t="n"/>
      <c r="E27" s="62" t="n"/>
      <c r="F27" s="62" t="n"/>
      <c r="G27" s="60" t="n"/>
      <c r="H27" s="61" t="n"/>
      <c r="I27" s="61" t="n"/>
      <c r="J27" s="61" t="n"/>
      <c r="K27" s="61" t="n"/>
      <c r="L27" s="60" t="n"/>
      <c r="M27" s="60" t="n"/>
      <c r="N27" s="60" t="n"/>
      <c r="O27" s="61" t="n"/>
      <c r="P27" s="61" t="n"/>
      <c r="Q27" s="61" t="n"/>
      <c r="R27" s="60" t="n"/>
      <c r="S27" s="101" t="n"/>
      <c r="T27" s="61" t="n"/>
      <c r="U27" s="63" t="n"/>
      <c r="V27" s="178" t="n"/>
      <c r="W27" s="61" t="n"/>
      <c r="X27" s="63" t="n"/>
      <c r="Y27" s="64" t="n"/>
      <c r="Z27" s="63" t="n"/>
      <c r="AA27" s="120" t="n"/>
      <c r="AB27" s="4" t="n"/>
      <c r="AC27" s="4" t="n"/>
      <c r="AD27" s="60" t="n"/>
      <c r="AE27" s="63" t="n"/>
      <c r="AF27" s="63" t="n"/>
      <c r="AG27" s="120" t="n"/>
      <c r="AH27" s="65" t="n"/>
      <c r="AI27" s="93" t="n"/>
      <c r="AJ27" s="70" t="n"/>
      <c r="AK27" s="62" t="n"/>
      <c r="AL27" s="60" t="n"/>
      <c r="AM27" s="60" t="n"/>
      <c r="AN27" s="62" t="n"/>
      <c r="AO27" s="62" t="n"/>
    </row>
    <row r="28" ht="12.95" customHeight="1">
      <c r="A28" s="96" t="n"/>
      <c r="B28" s="4" t="n"/>
      <c r="C28" s="61" t="n"/>
      <c r="D28" s="61" t="n"/>
      <c r="E28" s="62" t="n"/>
      <c r="F28" s="62" t="n"/>
      <c r="G28" s="60" t="n"/>
      <c r="H28" s="61" t="n"/>
      <c r="I28" s="61" t="n"/>
      <c r="J28" s="61" t="n"/>
      <c r="K28" s="61" t="n"/>
      <c r="L28" s="60" t="n"/>
      <c r="M28" s="60" t="n"/>
      <c r="N28" s="60" t="n"/>
      <c r="O28" s="61" t="n"/>
      <c r="P28" s="61" t="n"/>
      <c r="Q28" s="61" t="n"/>
      <c r="R28" s="60" t="n"/>
      <c r="S28" s="101" t="n"/>
      <c r="T28" s="61" t="n"/>
      <c r="U28" s="63" t="n"/>
      <c r="V28" s="178" t="n"/>
      <c r="W28" s="61" t="n"/>
      <c r="X28" s="63" t="n"/>
      <c r="Y28" s="64" t="n"/>
      <c r="Z28" s="63" t="n"/>
      <c r="AA28" s="120" t="n"/>
      <c r="AB28" s="4" t="n"/>
      <c r="AC28" s="4" t="n"/>
      <c r="AD28" s="60" t="n"/>
      <c r="AE28" s="63" t="n"/>
      <c r="AF28" s="63" t="n"/>
      <c r="AG28" s="120" t="n"/>
      <c r="AH28" s="65" t="n"/>
      <c r="AI28" s="93" t="n"/>
      <c r="AJ28" s="70" t="n"/>
      <c r="AK28" s="62" t="n"/>
      <c r="AL28" s="60" t="n"/>
      <c r="AM28" s="60" t="n"/>
      <c r="AN28" s="62" t="n"/>
      <c r="AO28" s="62" t="n"/>
    </row>
    <row r="29" ht="12.95" customHeight="1">
      <c r="A29" s="96" t="n"/>
      <c r="B29" s="4" t="n"/>
      <c r="C29" s="61" t="n"/>
      <c r="D29" s="61" t="n"/>
      <c r="E29" s="62" t="n"/>
      <c r="F29" s="62" t="n"/>
      <c r="G29" s="60" t="n"/>
      <c r="H29" s="61" t="n"/>
      <c r="I29" s="61" t="n"/>
      <c r="J29" s="61" t="n"/>
      <c r="K29" s="61" t="n"/>
      <c r="L29" s="60" t="n"/>
      <c r="M29" s="60" t="n"/>
      <c r="N29" s="60" t="n"/>
      <c r="O29" s="61" t="n"/>
      <c r="P29" s="61" t="n"/>
      <c r="Q29" s="61" t="n"/>
      <c r="R29" s="60" t="n"/>
      <c r="S29" s="101" t="n"/>
      <c r="T29" s="61" t="n"/>
      <c r="U29" s="63" t="n"/>
      <c r="V29" s="178" t="n"/>
      <c r="W29" s="61" t="n"/>
      <c r="X29" s="63" t="n"/>
      <c r="Y29" s="64" t="n"/>
      <c r="Z29" s="63" t="n"/>
      <c r="AA29" s="120" t="n"/>
      <c r="AB29" s="4" t="n"/>
      <c r="AC29" s="4" t="n"/>
      <c r="AD29" s="60" t="n"/>
      <c r="AE29" s="63" t="n"/>
      <c r="AF29" s="63" t="n"/>
      <c r="AG29" s="120" t="n"/>
      <c r="AH29" s="65" t="n"/>
      <c r="AI29" s="93" t="n"/>
      <c r="AJ29" s="70" t="n"/>
      <c r="AK29" s="62" t="n"/>
      <c r="AL29" s="60" t="n"/>
      <c r="AM29" s="60" t="n"/>
      <c r="AN29" s="62" t="n"/>
      <c r="AO29" s="62" t="n"/>
    </row>
    <row r="30" ht="12.95" customHeight="1">
      <c r="A30" s="96" t="n"/>
      <c r="B30" s="4" t="n"/>
      <c r="C30" s="61" t="n"/>
      <c r="D30" s="61" t="n"/>
      <c r="E30" s="62" t="n"/>
      <c r="F30" s="62" t="n"/>
      <c r="G30" s="60" t="n"/>
      <c r="H30" s="61" t="n"/>
      <c r="I30" s="61" t="n"/>
      <c r="J30" s="61" t="n"/>
      <c r="K30" s="61" t="n"/>
      <c r="L30" s="60" t="n"/>
      <c r="M30" s="60" t="n"/>
      <c r="N30" s="60" t="n"/>
      <c r="O30" s="61" t="n"/>
      <c r="P30" s="61" t="n"/>
      <c r="Q30" s="61" t="n"/>
      <c r="R30" s="60" t="n"/>
      <c r="S30" s="101" t="n"/>
      <c r="T30" s="61" t="n"/>
      <c r="U30" s="63" t="n"/>
      <c r="V30" s="178" t="n"/>
      <c r="W30" s="61" t="n"/>
      <c r="X30" s="63" t="n"/>
      <c r="Y30" s="64" t="n"/>
      <c r="Z30" s="63" t="n"/>
      <c r="AA30" s="120" t="n"/>
      <c r="AB30" s="4" t="n"/>
      <c r="AC30" s="4" t="n"/>
      <c r="AD30" s="60" t="n"/>
      <c r="AE30" s="63" t="n"/>
      <c r="AF30" s="63" t="n"/>
      <c r="AG30" s="120" t="n"/>
      <c r="AH30" s="65" t="n"/>
      <c r="AI30" s="93" t="n"/>
      <c r="AJ30" s="70" t="n"/>
      <c r="AK30" s="62" t="n"/>
      <c r="AL30" s="60" t="n"/>
      <c r="AM30" s="60" t="n"/>
      <c r="AN30" s="62" t="n"/>
      <c r="AO30" s="62" t="n"/>
    </row>
    <row r="31" ht="12.95" customHeight="1">
      <c r="A31" s="96" t="n"/>
      <c r="B31" s="4" t="n"/>
      <c r="C31" s="61" t="n"/>
      <c r="D31" s="61" t="n"/>
      <c r="E31" s="62" t="n"/>
      <c r="F31" s="62" t="n"/>
      <c r="G31" s="60" t="n"/>
      <c r="H31" s="61" t="n"/>
      <c r="I31" s="61" t="n"/>
      <c r="J31" s="61" t="n"/>
      <c r="K31" s="61" t="n"/>
      <c r="L31" s="60" t="n"/>
      <c r="M31" s="60" t="n"/>
      <c r="N31" s="60" t="n"/>
      <c r="O31" s="61" t="n"/>
      <c r="P31" s="61" t="n"/>
      <c r="Q31" s="61" t="n"/>
      <c r="R31" s="60" t="n"/>
      <c r="S31" s="101" t="n"/>
      <c r="T31" s="61" t="n"/>
      <c r="U31" s="63" t="n"/>
      <c r="V31" s="178" t="n"/>
      <c r="W31" s="61" t="n"/>
      <c r="X31" s="63" t="n"/>
      <c r="Y31" s="64" t="n"/>
      <c r="Z31" s="63" t="n"/>
      <c r="AA31" s="120" t="n"/>
      <c r="AB31" s="4" t="n"/>
      <c r="AC31" s="4" t="n"/>
      <c r="AD31" s="60" t="n"/>
      <c r="AE31" s="63" t="n"/>
      <c r="AF31" s="63" t="n"/>
      <c r="AG31" s="120" t="n"/>
      <c r="AH31" s="65" t="n"/>
      <c r="AI31" s="93" t="n"/>
      <c r="AJ31" s="70" t="n"/>
      <c r="AK31" s="62" t="n"/>
      <c r="AL31" s="60" t="n"/>
      <c r="AM31" s="60" t="n"/>
      <c r="AN31" s="62" t="n"/>
      <c r="AO31" s="62" t="n"/>
    </row>
    <row r="32" ht="12.95" customHeight="1">
      <c r="A32" s="96" t="n"/>
      <c r="B32" s="4" t="n"/>
      <c r="C32" s="61" t="n"/>
      <c r="D32" s="61" t="n"/>
      <c r="E32" s="62" t="n"/>
      <c r="F32" s="62" t="n"/>
      <c r="G32" s="60" t="n"/>
      <c r="H32" s="61" t="n"/>
      <c r="I32" s="61" t="n"/>
      <c r="J32" s="61" t="n"/>
      <c r="K32" s="61" t="n"/>
      <c r="L32" s="60" t="n"/>
      <c r="M32" s="60" t="n"/>
      <c r="N32" s="60" t="n"/>
      <c r="O32" s="61" t="n"/>
      <c r="P32" s="61" t="n"/>
      <c r="Q32" s="61" t="n"/>
      <c r="R32" s="60" t="n"/>
      <c r="S32" s="101" t="n"/>
      <c r="T32" s="61" t="n"/>
      <c r="U32" s="63" t="n"/>
      <c r="V32" s="178" t="n"/>
      <c r="W32" s="61" t="n"/>
      <c r="X32" s="63" t="n"/>
      <c r="Y32" s="64" t="n"/>
      <c r="Z32" s="63" t="n"/>
      <c r="AA32" s="120" t="n"/>
      <c r="AB32" s="4" t="n"/>
      <c r="AC32" s="4" t="n"/>
      <c r="AD32" s="60" t="n"/>
      <c r="AE32" s="63" t="n"/>
      <c r="AF32" s="63" t="n"/>
      <c r="AG32" s="120" t="n"/>
      <c r="AH32" s="65" t="n"/>
      <c r="AI32" s="93" t="n"/>
      <c r="AJ32" s="70" t="n"/>
      <c r="AK32" s="62" t="n"/>
      <c r="AL32" s="60" t="n"/>
      <c r="AM32" s="60" t="n"/>
      <c r="AN32" s="62" t="n"/>
      <c r="AO32" s="62" t="n"/>
    </row>
    <row r="33" ht="12.95" customHeight="1">
      <c r="A33" s="96" t="n"/>
      <c r="B33" s="4" t="n"/>
      <c r="C33" s="61" t="n"/>
      <c r="D33" s="61" t="n"/>
      <c r="E33" s="62" t="n"/>
      <c r="F33" s="62" t="n"/>
      <c r="G33" s="60" t="n"/>
      <c r="H33" s="61" t="n"/>
      <c r="I33" s="61" t="n"/>
      <c r="J33" s="61" t="n"/>
      <c r="K33" s="61" t="n"/>
      <c r="L33" s="60" t="n"/>
      <c r="M33" s="60" t="n"/>
      <c r="N33" s="60" t="n"/>
      <c r="O33" s="61" t="n"/>
      <c r="P33" s="61" t="n"/>
      <c r="Q33" s="61" t="n"/>
      <c r="R33" s="60" t="n"/>
      <c r="S33" s="101" t="n"/>
      <c r="T33" s="61" t="n"/>
      <c r="U33" s="63" t="n"/>
      <c r="V33" s="178" t="n"/>
      <c r="W33" s="61" t="n"/>
      <c r="X33" s="63" t="n"/>
      <c r="Y33" s="64" t="n"/>
      <c r="Z33" s="63" t="n"/>
      <c r="AA33" s="120" t="n"/>
      <c r="AB33" s="4" t="n"/>
      <c r="AC33" s="4" t="n"/>
      <c r="AD33" s="60" t="n"/>
      <c r="AE33" s="63" t="n"/>
      <c r="AF33" s="63" t="n"/>
      <c r="AG33" s="120" t="n"/>
      <c r="AH33" s="65" t="n"/>
      <c r="AI33" s="93" t="n"/>
      <c r="AJ33" s="70" t="n"/>
      <c r="AK33" s="62" t="n"/>
      <c r="AL33" s="60" t="n"/>
      <c r="AM33" s="60" t="n"/>
      <c r="AN33" s="62" t="n"/>
      <c r="AO33" s="62" t="n"/>
    </row>
    <row r="34" ht="12.95" customHeight="1">
      <c r="A34" s="96" t="n"/>
      <c r="B34" s="4" t="n"/>
      <c r="C34" s="61" t="n"/>
      <c r="D34" s="61" t="n"/>
      <c r="E34" s="62" t="n"/>
      <c r="F34" s="62" t="n"/>
      <c r="G34" s="60" t="n"/>
      <c r="H34" s="61" t="n"/>
      <c r="I34" s="61" t="n"/>
      <c r="J34" s="61" t="n"/>
      <c r="K34" s="61" t="n"/>
      <c r="L34" s="60" t="n"/>
      <c r="M34" s="60" t="n"/>
      <c r="N34" s="60" t="n"/>
      <c r="O34" s="61" t="n"/>
      <c r="P34" s="61" t="n"/>
      <c r="Q34" s="61" t="n"/>
      <c r="R34" s="60" t="n"/>
      <c r="S34" s="101" t="n"/>
      <c r="T34" s="61" t="n"/>
      <c r="U34" s="63" t="n"/>
      <c r="V34" s="178" t="n"/>
      <c r="W34" s="61" t="n"/>
      <c r="X34" s="63" t="n"/>
      <c r="Y34" s="64" t="n"/>
      <c r="Z34" s="63" t="n"/>
      <c r="AA34" s="120" t="n"/>
      <c r="AB34" s="4" t="n"/>
      <c r="AC34" s="4" t="n"/>
      <c r="AD34" s="60" t="n"/>
      <c r="AE34" s="63" t="n"/>
      <c r="AF34" s="63" t="n"/>
      <c r="AG34" s="120" t="n"/>
      <c r="AH34" s="65" t="n"/>
      <c r="AI34" s="93" t="n"/>
      <c r="AJ34" s="70" t="n"/>
      <c r="AK34" s="62" t="n"/>
      <c r="AL34" s="60" t="n"/>
      <c r="AM34" s="60" t="n"/>
      <c r="AN34" s="62" t="n"/>
      <c r="AO34" s="62" t="n"/>
    </row>
    <row r="35" ht="12.95" customHeight="1">
      <c r="A35" s="96" t="n"/>
      <c r="B35" s="4" t="n"/>
      <c r="C35" s="61" t="n"/>
      <c r="D35" s="61" t="n"/>
      <c r="E35" s="62" t="n"/>
      <c r="F35" s="62" t="n"/>
      <c r="G35" s="60" t="n"/>
      <c r="H35" s="61" t="n"/>
      <c r="I35" s="61" t="n"/>
      <c r="J35" s="61" t="n"/>
      <c r="K35" s="61" t="n"/>
      <c r="L35" s="60" t="n"/>
      <c r="M35" s="60" t="n"/>
      <c r="N35" s="60" t="n"/>
      <c r="O35" s="61" t="n"/>
      <c r="P35" s="61" t="n"/>
      <c r="Q35" s="61" t="n"/>
      <c r="R35" s="60" t="n"/>
      <c r="S35" s="101" t="n"/>
      <c r="T35" s="61" t="n"/>
      <c r="U35" s="63" t="n"/>
      <c r="V35" s="178" t="n"/>
      <c r="W35" s="61" t="n"/>
      <c r="X35" s="63" t="n"/>
      <c r="Y35" s="64" t="n"/>
      <c r="Z35" s="63" t="n"/>
      <c r="AA35" s="120" t="n"/>
      <c r="AB35" s="4" t="n"/>
      <c r="AC35" s="4" t="n"/>
      <c r="AD35" s="60" t="n"/>
      <c r="AE35" s="63" t="n"/>
      <c r="AF35" s="63" t="n"/>
      <c r="AG35" s="120" t="n"/>
      <c r="AH35" s="65" t="n"/>
      <c r="AI35" s="93" t="n"/>
      <c r="AJ35" s="70" t="n"/>
      <c r="AK35" s="62" t="n"/>
      <c r="AL35" s="60" t="n"/>
      <c r="AM35" s="60" t="n"/>
      <c r="AN35" s="62" t="n"/>
      <c r="AO35" s="62" t="n"/>
    </row>
    <row r="36" ht="12.95" customHeight="1">
      <c r="A36" s="96" t="n"/>
      <c r="B36" s="4" t="n"/>
      <c r="C36" s="61" t="n"/>
      <c r="D36" s="61" t="n"/>
      <c r="E36" s="62" t="n"/>
      <c r="F36" s="62" t="n"/>
      <c r="G36" s="60" t="n"/>
      <c r="H36" s="61" t="n"/>
      <c r="I36" s="61" t="n"/>
      <c r="J36" s="61" t="n"/>
      <c r="K36" s="61" t="n"/>
      <c r="L36" s="60" t="n"/>
      <c r="M36" s="60" t="n"/>
      <c r="N36" s="60" t="n"/>
      <c r="O36" s="61" t="n"/>
      <c r="P36" s="61" t="n"/>
      <c r="Q36" s="61" t="n"/>
      <c r="R36" s="60" t="n"/>
      <c r="S36" s="101" t="n"/>
      <c r="T36" s="61" t="n"/>
      <c r="U36" s="63" t="n"/>
      <c r="V36" s="178" t="n"/>
      <c r="W36" s="61" t="n"/>
      <c r="X36" s="63" t="n"/>
      <c r="Y36" s="64" t="n"/>
      <c r="Z36" s="63" t="n"/>
      <c r="AA36" s="120" t="n"/>
      <c r="AB36" s="4" t="n"/>
      <c r="AC36" s="4" t="n"/>
      <c r="AD36" s="60" t="n"/>
      <c r="AE36" s="63" t="n"/>
      <c r="AF36" s="63" t="n"/>
      <c r="AG36" s="120" t="n"/>
      <c r="AH36" s="65" t="n"/>
      <c r="AI36" s="93" t="n"/>
      <c r="AJ36" s="70" t="n"/>
      <c r="AK36" s="62" t="n"/>
      <c r="AL36" s="60" t="n"/>
      <c r="AM36" s="60" t="n"/>
      <c r="AN36" s="62" t="n"/>
      <c r="AO36" s="62" t="n"/>
    </row>
    <row r="37" ht="12.95" customHeight="1">
      <c r="A37" s="96" t="n"/>
      <c r="B37" s="4" t="n"/>
      <c r="C37" s="61" t="n"/>
      <c r="D37" s="61" t="n"/>
      <c r="E37" s="62" t="n"/>
      <c r="F37" s="62" t="n"/>
      <c r="G37" s="60" t="n"/>
      <c r="H37" s="61" t="n"/>
      <c r="I37" s="61" t="n"/>
      <c r="J37" s="61" t="n"/>
      <c r="K37" s="61" t="n"/>
      <c r="L37" s="60" t="n"/>
      <c r="M37" s="60" t="n"/>
      <c r="N37" s="60" t="n"/>
      <c r="O37" s="61" t="n"/>
      <c r="P37" s="61" t="n"/>
      <c r="Q37" s="61" t="n"/>
      <c r="R37" s="60" t="n"/>
      <c r="S37" s="101" t="n"/>
      <c r="T37" s="61" t="n"/>
      <c r="U37" s="63" t="n"/>
      <c r="V37" s="178" t="n"/>
      <c r="W37" s="61" t="n"/>
      <c r="X37" s="63" t="n"/>
      <c r="Y37" s="64" t="n"/>
      <c r="Z37" s="63" t="n"/>
      <c r="AA37" s="120" t="n"/>
      <c r="AB37" s="4" t="n"/>
      <c r="AC37" s="4" t="n"/>
      <c r="AD37" s="60" t="n"/>
      <c r="AE37" s="63" t="n"/>
      <c r="AF37" s="63" t="n"/>
      <c r="AG37" s="120" t="n"/>
      <c r="AH37" s="65" t="n"/>
      <c r="AI37" s="93" t="n"/>
      <c r="AJ37" s="70" t="n"/>
      <c r="AK37" s="62" t="n"/>
      <c r="AL37" s="60" t="n"/>
      <c r="AM37" s="60" t="n"/>
      <c r="AN37" s="62" t="n"/>
      <c r="AO37" s="62" t="n"/>
    </row>
    <row r="38" ht="12.95" customHeight="1">
      <c r="A38" s="96" t="n"/>
      <c r="B38" s="4" t="n"/>
      <c r="C38" s="61" t="n"/>
      <c r="D38" s="61" t="n"/>
      <c r="E38" s="62" t="n"/>
      <c r="F38" s="62" t="n"/>
      <c r="G38" s="60" t="n"/>
      <c r="H38" s="61" t="n"/>
      <c r="I38" s="61" t="n"/>
      <c r="J38" s="61" t="n"/>
      <c r="K38" s="61" t="n"/>
      <c r="L38" s="60" t="n"/>
      <c r="M38" s="60" t="n"/>
      <c r="N38" s="60" t="n"/>
      <c r="O38" s="61" t="n"/>
      <c r="P38" s="61" t="n"/>
      <c r="Q38" s="61" t="n"/>
      <c r="R38" s="60" t="n"/>
      <c r="S38" s="101" t="n"/>
      <c r="T38" s="61" t="n"/>
      <c r="U38" s="63" t="n"/>
      <c r="V38" s="178" t="n"/>
      <c r="W38" s="61" t="n"/>
      <c r="X38" s="63" t="n"/>
      <c r="Y38" s="64" t="n"/>
      <c r="Z38" s="63" t="n"/>
      <c r="AA38" s="120" t="n"/>
      <c r="AB38" s="4" t="n"/>
      <c r="AC38" s="4" t="n"/>
      <c r="AD38" s="60" t="n"/>
      <c r="AE38" s="63" t="n"/>
      <c r="AF38" s="63" t="n"/>
      <c r="AG38" s="120" t="n"/>
      <c r="AH38" s="65" t="n"/>
      <c r="AI38" s="93" t="n"/>
      <c r="AJ38" s="70" t="n"/>
      <c r="AK38" s="62" t="n"/>
      <c r="AL38" s="60" t="n"/>
      <c r="AM38" s="60" t="n"/>
      <c r="AN38" s="62" t="n"/>
      <c r="AO38" s="62" t="n"/>
    </row>
    <row r="39" ht="12.95" customHeight="1">
      <c r="A39" s="96" t="n"/>
      <c r="B39" s="4" t="n"/>
      <c r="C39" s="61" t="n"/>
      <c r="D39" s="61" t="n"/>
      <c r="E39" s="62" t="n"/>
      <c r="F39" s="62" t="n"/>
      <c r="G39" s="60" t="n"/>
      <c r="H39" s="61" t="n"/>
      <c r="I39" s="61" t="n"/>
      <c r="J39" s="61" t="n"/>
      <c r="K39" s="61" t="n"/>
      <c r="L39" s="60" t="n"/>
      <c r="M39" s="60" t="n"/>
      <c r="N39" s="60" t="n"/>
      <c r="O39" s="61" t="n"/>
      <c r="P39" s="61" t="n"/>
      <c r="Q39" s="61" t="n"/>
      <c r="R39" s="60" t="n"/>
      <c r="S39" s="101" t="n"/>
      <c r="T39" s="61" t="n"/>
      <c r="U39" s="63" t="n"/>
      <c r="V39" s="178" t="n"/>
      <c r="W39" s="61" t="n"/>
      <c r="X39" s="63" t="n"/>
      <c r="Y39" s="64" t="n"/>
      <c r="Z39" s="63" t="n"/>
      <c r="AA39" s="120" t="n"/>
      <c r="AB39" s="4" t="n"/>
      <c r="AC39" s="4" t="n"/>
      <c r="AD39" s="60" t="n"/>
      <c r="AE39" s="63" t="n"/>
      <c r="AF39" s="63" t="n"/>
      <c r="AG39" s="120" t="n"/>
      <c r="AH39" s="65" t="n"/>
      <c r="AI39" s="93" t="n"/>
      <c r="AJ39" s="70" t="n"/>
      <c r="AK39" s="62" t="n"/>
      <c r="AL39" s="60" t="n"/>
      <c r="AM39" s="60" t="n"/>
      <c r="AN39" s="62" t="n"/>
      <c r="AO39" s="62" t="n"/>
    </row>
    <row r="40" ht="12.95" customHeight="1">
      <c r="A40" s="96" t="n"/>
      <c r="B40" s="4" t="n"/>
      <c r="C40" s="61" t="n"/>
      <c r="D40" s="61" t="n"/>
      <c r="E40" s="62" t="n"/>
      <c r="F40" s="62" t="n"/>
      <c r="G40" s="60" t="n"/>
      <c r="H40" s="61" t="n"/>
      <c r="I40" s="61" t="n"/>
      <c r="J40" s="61" t="n"/>
      <c r="K40" s="61" t="n"/>
      <c r="L40" s="60" t="n"/>
      <c r="M40" s="60" t="n"/>
      <c r="N40" s="60" t="n"/>
      <c r="O40" s="61" t="n"/>
      <c r="P40" s="61" t="n"/>
      <c r="Q40" s="61" t="n"/>
      <c r="R40" s="60" t="n"/>
      <c r="S40" s="101" t="n"/>
      <c r="T40" s="61" t="n"/>
      <c r="U40" s="63" t="n"/>
      <c r="V40" s="178" t="n"/>
      <c r="W40" s="61" t="n"/>
      <c r="X40" s="63" t="n"/>
      <c r="Y40" s="64" t="n"/>
      <c r="Z40" s="63" t="n"/>
      <c r="AA40" s="120" t="n"/>
      <c r="AB40" s="4" t="n"/>
      <c r="AC40" s="4" t="n"/>
      <c r="AD40" s="60" t="n"/>
      <c r="AE40" s="63" t="n"/>
      <c r="AF40" s="63" t="n"/>
      <c r="AG40" s="120" t="n"/>
      <c r="AH40" s="65" t="n"/>
      <c r="AI40" s="93" t="n"/>
      <c r="AJ40" s="70" t="n"/>
      <c r="AK40" s="62" t="n"/>
      <c r="AL40" s="60" t="n"/>
      <c r="AM40" s="60" t="n"/>
      <c r="AN40" s="62" t="n"/>
      <c r="AO40" s="62" t="n"/>
    </row>
    <row r="41" ht="12.95" customHeight="1">
      <c r="A41" s="96" t="n"/>
      <c r="B41" s="4" t="n"/>
      <c r="C41" s="61" t="n"/>
      <c r="D41" s="61" t="n"/>
      <c r="E41" s="62" t="n"/>
      <c r="F41" s="62" t="n"/>
      <c r="G41" s="60" t="n"/>
      <c r="H41" s="61" t="n"/>
      <c r="I41" s="61" t="n"/>
      <c r="J41" s="61" t="n"/>
      <c r="K41" s="61" t="n"/>
      <c r="L41" s="60" t="n"/>
      <c r="M41" s="60" t="n"/>
      <c r="N41" s="60" t="n"/>
      <c r="O41" s="61" t="n"/>
      <c r="P41" s="61" t="n"/>
      <c r="Q41" s="61" t="n"/>
      <c r="R41" s="60" t="n"/>
      <c r="S41" s="101" t="n"/>
      <c r="T41" s="61" t="n"/>
      <c r="U41" s="63" t="n"/>
      <c r="V41" s="178" t="n"/>
      <c r="W41" s="61" t="n"/>
      <c r="X41" s="63" t="n"/>
      <c r="Y41" s="64" t="n"/>
      <c r="Z41" s="63" t="n"/>
      <c r="AA41" s="120" t="n"/>
      <c r="AB41" s="4" t="n"/>
      <c r="AC41" s="4" t="n"/>
      <c r="AD41" s="60" t="n"/>
      <c r="AE41" s="63" t="n"/>
      <c r="AF41" s="63" t="n"/>
      <c r="AG41" s="120" t="n"/>
      <c r="AH41" s="65" t="n"/>
      <c r="AI41" s="93" t="n"/>
      <c r="AJ41" s="70" t="n"/>
      <c r="AK41" s="62" t="n"/>
      <c r="AL41" s="60" t="n"/>
      <c r="AM41" s="60" t="n"/>
      <c r="AN41" s="62" t="n"/>
      <c r="AO41" s="62" t="n"/>
    </row>
    <row r="42" ht="12.95" customHeight="1">
      <c r="A42" s="96" t="n"/>
      <c r="B42" s="4" t="n"/>
      <c r="C42" s="61" t="n"/>
      <c r="D42" s="61" t="n"/>
      <c r="E42" s="62" t="n"/>
      <c r="F42" s="62" t="n"/>
      <c r="G42" s="60" t="n"/>
      <c r="H42" s="61" t="n"/>
      <c r="I42" s="61" t="n"/>
      <c r="J42" s="61" t="n"/>
      <c r="K42" s="61" t="n"/>
      <c r="L42" s="60" t="n"/>
      <c r="M42" s="60" t="n"/>
      <c r="N42" s="60" t="n"/>
      <c r="O42" s="61" t="n"/>
      <c r="P42" s="61" t="n"/>
      <c r="Q42" s="61" t="n"/>
      <c r="R42" s="60" t="n"/>
      <c r="S42" s="101" t="n"/>
      <c r="T42" s="61" t="n"/>
      <c r="U42" s="63" t="n"/>
      <c r="V42" s="178" t="n"/>
      <c r="W42" s="61" t="n"/>
      <c r="X42" s="63" t="n"/>
      <c r="Y42" s="64" t="n"/>
      <c r="Z42" s="63" t="n"/>
      <c r="AA42" s="120" t="n"/>
      <c r="AB42" s="4" t="n"/>
      <c r="AC42" s="4" t="n"/>
      <c r="AD42" s="60" t="n"/>
      <c r="AE42" s="63" t="n"/>
      <c r="AF42" s="63" t="n"/>
      <c r="AG42" s="120" t="n"/>
      <c r="AH42" s="65" t="n"/>
      <c r="AI42" s="93" t="n"/>
      <c r="AJ42" s="70" t="n"/>
      <c r="AK42" s="62" t="n"/>
      <c r="AL42" s="60" t="n"/>
      <c r="AM42" s="60" t="n"/>
      <c r="AN42" s="62" t="n"/>
      <c r="AO42" s="62" t="n"/>
    </row>
    <row r="43" ht="12.95" customHeight="1">
      <c r="A43" s="96" t="n"/>
      <c r="B43" s="4" t="n"/>
      <c r="C43" s="61" t="n"/>
      <c r="D43" s="61" t="n"/>
      <c r="E43" s="62" t="n"/>
      <c r="F43" s="62" t="n"/>
      <c r="G43" s="60" t="n"/>
      <c r="H43" s="61" t="n"/>
      <c r="I43" s="61" t="n"/>
      <c r="J43" s="61" t="n"/>
      <c r="K43" s="61" t="n"/>
      <c r="L43" s="60" t="n"/>
      <c r="M43" s="60" t="n"/>
      <c r="N43" s="60" t="n"/>
      <c r="O43" s="61" t="n"/>
      <c r="P43" s="61" t="n"/>
      <c r="Q43" s="61" t="n"/>
      <c r="R43" s="60" t="n"/>
      <c r="S43" s="101" t="n"/>
      <c r="T43" s="61" t="n"/>
      <c r="U43" s="63" t="n"/>
      <c r="V43" s="178" t="n"/>
      <c r="W43" s="61" t="n"/>
      <c r="X43" s="63" t="n"/>
      <c r="Y43" s="64" t="n"/>
      <c r="Z43" s="63" t="n"/>
      <c r="AA43" s="120" t="n"/>
      <c r="AB43" s="4" t="n"/>
      <c r="AC43" s="4" t="n"/>
      <c r="AD43" s="60" t="n"/>
      <c r="AE43" s="63" t="n"/>
      <c r="AF43" s="63" t="n"/>
      <c r="AG43" s="120" t="n"/>
      <c r="AH43" s="65" t="n"/>
      <c r="AI43" s="93" t="n"/>
      <c r="AJ43" s="70" t="n"/>
      <c r="AK43" s="62" t="n"/>
      <c r="AL43" s="60" t="n"/>
      <c r="AM43" s="60" t="n"/>
      <c r="AN43" s="62" t="n"/>
      <c r="AO43" s="62" t="n"/>
    </row>
    <row r="44" ht="12.95" customHeight="1">
      <c r="A44" s="96" t="n"/>
      <c r="B44" s="4" t="n"/>
      <c r="C44" s="61" t="n"/>
      <c r="D44" s="61" t="n"/>
      <c r="E44" s="62" t="n"/>
      <c r="F44" s="62" t="n"/>
      <c r="G44" s="60" t="n"/>
      <c r="H44" s="61" t="n"/>
      <c r="I44" s="61" t="n"/>
      <c r="J44" s="61" t="n"/>
      <c r="K44" s="61" t="n"/>
      <c r="L44" s="60" t="n"/>
      <c r="M44" s="60" t="n"/>
      <c r="N44" s="60" t="n"/>
      <c r="O44" s="61" t="n"/>
      <c r="P44" s="61" t="n"/>
      <c r="Q44" s="61" t="n"/>
      <c r="R44" s="60" t="n"/>
      <c r="S44" s="101" t="n"/>
      <c r="T44" s="61" t="n"/>
      <c r="U44" s="63" t="n"/>
      <c r="V44" s="178" t="n"/>
      <c r="W44" s="61" t="n"/>
      <c r="X44" s="63" t="n"/>
      <c r="Y44" s="64" t="n"/>
      <c r="Z44" s="63" t="n"/>
      <c r="AA44" s="120" t="n"/>
      <c r="AB44" s="4" t="n"/>
      <c r="AC44" s="4" t="n"/>
      <c r="AD44" s="60" t="n"/>
      <c r="AE44" s="63" t="n"/>
      <c r="AF44" s="63" t="n"/>
      <c r="AG44" s="120" t="n"/>
      <c r="AH44" s="65" t="n"/>
      <c r="AI44" s="93" t="n"/>
      <c r="AJ44" s="70" t="n"/>
      <c r="AK44" s="62" t="n"/>
      <c r="AL44" s="60" t="n"/>
      <c r="AM44" s="60" t="n"/>
      <c r="AN44" s="62" t="n"/>
      <c r="AO44" s="62" t="n"/>
    </row>
    <row r="45" ht="12.95" customHeight="1">
      <c r="A45" s="96" t="n"/>
      <c r="B45" s="4" t="n"/>
      <c r="C45" s="61" t="n"/>
      <c r="D45" s="61" t="n"/>
      <c r="E45" s="62" t="n"/>
      <c r="F45" s="62" t="n"/>
      <c r="G45" s="60" t="n"/>
      <c r="H45" s="61" t="n"/>
      <c r="I45" s="61" t="n"/>
      <c r="J45" s="61" t="n"/>
      <c r="K45" s="61" t="n"/>
      <c r="L45" s="60" t="n"/>
      <c r="M45" s="60" t="n"/>
      <c r="N45" s="60" t="n"/>
      <c r="O45" s="61" t="n"/>
      <c r="P45" s="61" t="n"/>
      <c r="Q45" s="61" t="n"/>
      <c r="R45" s="60" t="n"/>
      <c r="S45" s="101" t="n"/>
      <c r="T45" s="61" t="n"/>
      <c r="U45" s="63" t="n"/>
      <c r="V45" s="178" t="n"/>
      <c r="W45" s="61" t="n"/>
      <c r="X45" s="63" t="n"/>
      <c r="Y45" s="64" t="n"/>
      <c r="Z45" s="63" t="n"/>
      <c r="AA45" s="120" t="n"/>
      <c r="AB45" s="4" t="n"/>
      <c r="AC45" s="4" t="n"/>
      <c r="AD45" s="60" t="n"/>
      <c r="AE45" s="63" t="n"/>
      <c r="AF45" s="63" t="n"/>
      <c r="AG45" s="120" t="n"/>
      <c r="AH45" s="65" t="n"/>
      <c r="AI45" s="93" t="n"/>
      <c r="AJ45" s="70" t="n"/>
      <c r="AK45" s="62" t="n"/>
      <c r="AL45" s="60" t="n"/>
      <c r="AM45" s="60" t="n"/>
      <c r="AN45" s="62" t="n"/>
      <c r="AO45" s="62" t="n"/>
    </row>
    <row r="46" ht="12.95" customHeight="1">
      <c r="A46" s="96" t="n"/>
      <c r="B46" s="4" t="n"/>
      <c r="C46" s="61" t="n"/>
      <c r="D46" s="61" t="n"/>
      <c r="E46" s="62" t="n"/>
      <c r="F46" s="62" t="n"/>
      <c r="G46" s="60" t="n"/>
      <c r="H46" s="61" t="n"/>
      <c r="I46" s="61" t="n"/>
      <c r="J46" s="61" t="n"/>
      <c r="K46" s="61" t="n"/>
      <c r="L46" s="60" t="n"/>
      <c r="M46" s="60" t="n"/>
      <c r="N46" s="60" t="n"/>
      <c r="O46" s="61" t="n"/>
      <c r="P46" s="61" t="n"/>
      <c r="Q46" s="61" t="n"/>
      <c r="R46" s="60" t="n"/>
      <c r="S46" s="101" t="n"/>
      <c r="T46" s="61" t="n"/>
      <c r="U46" s="63" t="n"/>
      <c r="V46" s="178" t="n"/>
      <c r="W46" s="61" t="n"/>
      <c r="X46" s="63" t="n"/>
      <c r="Y46" s="64" t="n"/>
      <c r="Z46" s="63" t="n"/>
      <c r="AA46" s="120" t="n"/>
      <c r="AB46" s="4" t="n"/>
      <c r="AC46" s="4" t="n"/>
      <c r="AD46" s="60" t="n"/>
      <c r="AE46" s="63" t="n"/>
      <c r="AF46" s="63" t="n"/>
      <c r="AG46" s="120" t="n"/>
      <c r="AH46" s="65" t="n"/>
      <c r="AI46" s="93" t="n"/>
      <c r="AJ46" s="70" t="n"/>
      <c r="AK46" s="62" t="n"/>
      <c r="AL46" s="60" t="n"/>
      <c r="AM46" s="60" t="n"/>
      <c r="AN46" s="62" t="n"/>
      <c r="AO46" s="62" t="n"/>
    </row>
    <row r="47" ht="12.95" customHeight="1">
      <c r="A47" s="96" t="n"/>
      <c r="B47" s="4" t="n"/>
      <c r="C47" s="61" t="n"/>
      <c r="D47" s="61" t="n"/>
      <c r="E47" s="62" t="n"/>
      <c r="F47" s="62" t="n"/>
      <c r="G47" s="60" t="n"/>
      <c r="H47" s="61" t="n"/>
      <c r="I47" s="61" t="n"/>
      <c r="J47" s="61" t="n"/>
      <c r="K47" s="61" t="n"/>
      <c r="L47" s="60" t="n"/>
      <c r="M47" s="60" t="n"/>
      <c r="N47" s="60" t="n"/>
      <c r="O47" s="61" t="n"/>
      <c r="P47" s="61" t="n"/>
      <c r="Q47" s="61" t="n"/>
      <c r="R47" s="60" t="n"/>
      <c r="S47" s="101" t="n"/>
      <c r="T47" s="61" t="n"/>
      <c r="U47" s="63" t="n"/>
      <c r="V47" s="178" t="n"/>
      <c r="W47" s="61" t="n"/>
      <c r="X47" s="63" t="n"/>
      <c r="Y47" s="64" t="n"/>
      <c r="Z47" s="63" t="n"/>
      <c r="AA47" s="120" t="n"/>
      <c r="AB47" s="4" t="n"/>
      <c r="AC47" s="4" t="n"/>
      <c r="AD47" s="60" t="n"/>
      <c r="AE47" s="63" t="n"/>
      <c r="AF47" s="63" t="n"/>
      <c r="AG47" s="120" t="n"/>
      <c r="AH47" s="65" t="n"/>
      <c r="AI47" s="93" t="n"/>
      <c r="AJ47" s="70" t="n"/>
      <c r="AK47" s="62" t="n"/>
      <c r="AL47" s="60" t="n"/>
      <c r="AM47" s="60" t="n"/>
      <c r="AN47" s="62" t="n"/>
      <c r="AO47" s="62" t="n"/>
    </row>
    <row r="48" ht="12.95" customHeight="1">
      <c r="A48" s="96" t="n"/>
      <c r="B48" s="4" t="n"/>
      <c r="C48" s="61" t="n"/>
      <c r="D48" s="61" t="n"/>
      <c r="E48" s="62" t="n"/>
      <c r="F48" s="62" t="n"/>
      <c r="G48" s="60" t="n"/>
      <c r="H48" s="61" t="n"/>
      <c r="I48" s="61" t="n"/>
      <c r="J48" s="61" t="n"/>
      <c r="K48" s="61" t="n"/>
      <c r="L48" s="60" t="n"/>
      <c r="M48" s="60" t="n"/>
      <c r="N48" s="60" t="n"/>
      <c r="O48" s="61" t="n"/>
      <c r="P48" s="61" t="n"/>
      <c r="Q48" s="61" t="n"/>
      <c r="R48" s="60" t="n"/>
      <c r="S48" s="101" t="n"/>
      <c r="T48" s="61" t="n"/>
      <c r="U48" s="63" t="n"/>
      <c r="V48" s="178" t="n"/>
      <c r="W48" s="61" t="n"/>
      <c r="X48" s="63" t="n"/>
      <c r="Y48" s="64" t="n"/>
      <c r="Z48" s="63" t="n"/>
      <c r="AA48" s="120" t="n"/>
      <c r="AB48" s="4" t="n"/>
      <c r="AC48" s="4" t="n"/>
      <c r="AD48" s="60" t="n"/>
      <c r="AE48" s="63" t="n"/>
      <c r="AF48" s="63" t="n"/>
      <c r="AG48" s="120" t="n"/>
      <c r="AH48" s="65" t="n"/>
      <c r="AI48" s="93" t="n"/>
      <c r="AJ48" s="70" t="n"/>
      <c r="AK48" s="62" t="n"/>
      <c r="AL48" s="60" t="n"/>
      <c r="AM48" s="60" t="n"/>
      <c r="AN48" s="62" t="n"/>
      <c r="AO48" s="62" t="n"/>
    </row>
    <row r="49" ht="12.95" customHeight="1">
      <c r="A49" s="96" t="n"/>
      <c r="B49" s="4" t="n"/>
      <c r="C49" s="61" t="n"/>
      <c r="D49" s="61" t="n"/>
      <c r="E49" s="62" t="n"/>
      <c r="F49" s="62" t="n"/>
      <c r="G49" s="60" t="n"/>
      <c r="H49" s="61" t="n"/>
      <c r="I49" s="61" t="n"/>
      <c r="J49" s="61" t="n"/>
      <c r="K49" s="61" t="n"/>
      <c r="L49" s="60" t="n"/>
      <c r="M49" s="60" t="n"/>
      <c r="N49" s="60" t="n"/>
      <c r="O49" s="61" t="n"/>
      <c r="P49" s="61" t="n"/>
      <c r="Q49" s="61" t="n"/>
      <c r="R49" s="60" t="n"/>
      <c r="S49" s="101" t="n"/>
      <c r="T49" s="61" t="n"/>
      <c r="U49" s="63" t="n"/>
      <c r="V49" s="178" t="n"/>
      <c r="W49" s="61" t="n"/>
      <c r="X49" s="63" t="n"/>
      <c r="Y49" s="64" t="n"/>
      <c r="Z49" s="63" t="n"/>
      <c r="AA49" s="120" t="n"/>
      <c r="AB49" s="4" t="n"/>
      <c r="AC49" s="4" t="n"/>
      <c r="AD49" s="60" t="n"/>
      <c r="AE49" s="63" t="n"/>
      <c r="AF49" s="63" t="n"/>
      <c r="AG49" s="120" t="n"/>
      <c r="AH49" s="65" t="n"/>
      <c r="AI49" s="93" t="n"/>
      <c r="AJ49" s="70" t="n"/>
      <c r="AK49" s="62" t="n"/>
      <c r="AL49" s="60" t="n"/>
      <c r="AM49" s="60" t="n"/>
      <c r="AN49" s="62" t="n"/>
      <c r="AO49" s="62" t="n"/>
    </row>
    <row r="50" ht="12.95" customHeight="1">
      <c r="A50" s="96" t="n"/>
      <c r="B50" s="4" t="n"/>
      <c r="C50" s="61" t="n"/>
      <c r="D50" s="61" t="n"/>
      <c r="E50" s="62" t="n"/>
      <c r="F50" s="62" t="n"/>
      <c r="G50" s="60" t="n"/>
      <c r="H50" s="61" t="n"/>
      <c r="I50" s="61" t="n"/>
      <c r="J50" s="61" t="n"/>
      <c r="K50" s="61" t="n"/>
      <c r="L50" s="60" t="n"/>
      <c r="M50" s="60" t="n"/>
      <c r="N50" s="60" t="n"/>
      <c r="O50" s="61" t="n"/>
      <c r="P50" s="61" t="n"/>
      <c r="Q50" s="61" t="n"/>
      <c r="R50" s="60" t="n"/>
      <c r="S50" s="101" t="n"/>
      <c r="T50" s="61" t="n"/>
      <c r="U50" s="63" t="n"/>
      <c r="V50" s="178" t="n"/>
      <c r="W50" s="61" t="n"/>
      <c r="X50" s="63" t="n"/>
      <c r="Y50" s="64" t="n"/>
      <c r="Z50" s="63" t="n"/>
      <c r="AA50" s="120" t="n"/>
      <c r="AB50" s="4" t="n"/>
      <c r="AC50" s="4" t="n"/>
      <c r="AD50" s="60" t="n"/>
      <c r="AE50" s="63" t="n"/>
      <c r="AF50" s="63" t="n"/>
      <c r="AG50" s="120" t="n"/>
      <c r="AH50" s="65" t="n"/>
      <c r="AI50" s="93" t="n"/>
      <c r="AJ50" s="70" t="n"/>
      <c r="AK50" s="62" t="n"/>
      <c r="AL50" s="60" t="n"/>
      <c r="AM50" s="60" t="n"/>
      <c r="AN50" s="62" t="n"/>
      <c r="AO50" s="62" t="n"/>
    </row>
    <row r="51" ht="12.95" customHeight="1">
      <c r="A51" s="96" t="n"/>
      <c r="B51" s="4" t="n"/>
      <c r="C51" s="61" t="n"/>
      <c r="D51" s="61" t="n"/>
      <c r="E51" s="62" t="n"/>
      <c r="F51" s="62" t="n"/>
      <c r="G51" s="60" t="n"/>
      <c r="H51" s="61" t="n"/>
      <c r="I51" s="61" t="n"/>
      <c r="J51" s="61" t="n"/>
      <c r="K51" s="61" t="n"/>
      <c r="L51" s="60" t="n"/>
      <c r="M51" s="60" t="n"/>
      <c r="N51" s="60" t="n"/>
      <c r="O51" s="61" t="n"/>
      <c r="P51" s="61" t="n"/>
      <c r="Q51" s="61" t="n"/>
      <c r="R51" s="60" t="n"/>
      <c r="S51" s="101" t="n"/>
      <c r="T51" s="61" t="n"/>
      <c r="U51" s="63" t="n"/>
      <c r="V51" s="178" t="n"/>
      <c r="W51" s="61" t="n"/>
      <c r="X51" s="63" t="n"/>
      <c r="Y51" s="64" t="n"/>
      <c r="Z51" s="63" t="n"/>
      <c r="AA51" s="120" t="n"/>
      <c r="AB51" s="4" t="n"/>
      <c r="AC51" s="4" t="n"/>
      <c r="AD51" s="60" t="n"/>
      <c r="AE51" s="63" t="n"/>
      <c r="AF51" s="63" t="n"/>
      <c r="AG51" s="120" t="n"/>
      <c r="AH51" s="65" t="n"/>
      <c r="AI51" s="93" t="n"/>
      <c r="AJ51" s="70" t="n"/>
      <c r="AK51" s="62" t="n"/>
      <c r="AL51" s="60" t="n"/>
      <c r="AM51" s="60" t="n"/>
      <c r="AN51" s="62" t="n"/>
      <c r="AO51" s="62" t="n"/>
    </row>
    <row r="52" ht="12.95" customHeight="1">
      <c r="A52" s="96" t="n"/>
      <c r="B52" s="4" t="n"/>
      <c r="C52" s="61" t="n"/>
      <c r="D52" s="61" t="n"/>
      <c r="E52" s="62" t="n"/>
      <c r="F52" s="62" t="n"/>
      <c r="G52" s="60" t="n"/>
      <c r="H52" s="61" t="n"/>
      <c r="I52" s="61" t="n"/>
      <c r="J52" s="61" t="n"/>
      <c r="K52" s="61" t="n"/>
      <c r="L52" s="60" t="n"/>
      <c r="M52" s="60" t="n"/>
      <c r="N52" s="60" t="n"/>
      <c r="O52" s="61" t="n"/>
      <c r="P52" s="61" t="n"/>
      <c r="Q52" s="61" t="n"/>
      <c r="R52" s="60" t="n"/>
      <c r="S52" s="101" t="n"/>
      <c r="T52" s="61" t="n"/>
      <c r="U52" s="63" t="n"/>
      <c r="V52" s="178" t="n"/>
      <c r="W52" s="61" t="n"/>
      <c r="X52" s="63" t="n"/>
      <c r="Y52" s="64" t="n"/>
      <c r="Z52" s="63" t="n"/>
      <c r="AA52" s="120" t="n"/>
      <c r="AB52" s="4" t="n"/>
      <c r="AC52" s="4" t="n"/>
      <c r="AD52" s="60" t="n"/>
      <c r="AE52" s="63" t="n"/>
      <c r="AF52" s="63" t="n"/>
      <c r="AG52" s="120" t="n"/>
      <c r="AH52" s="65" t="n"/>
      <c r="AI52" s="93" t="n"/>
      <c r="AJ52" s="70" t="n"/>
      <c r="AK52" s="62" t="n"/>
      <c r="AL52" s="60" t="n"/>
      <c r="AM52" s="60" t="n"/>
      <c r="AN52" s="62" t="n"/>
      <c r="AO52" s="62" t="n"/>
    </row>
    <row r="53" ht="12.95" customHeight="1"/>
    <row r="54" ht="12.95" customHeight="1"/>
    <row r="55" ht="12.95" customHeight="1"/>
    <row r="56" ht="12.95" customHeight="1"/>
    <row r="57" ht="12.95" customHeight="1"/>
    <row r="58" ht="12.95" customHeight="1"/>
    <row r="59" ht="12.95" customHeight="1"/>
    <row r="60" ht="12.95" customHeight="1"/>
    <row r="61" ht="12.95" customHeight="1"/>
    <row r="62" ht="12.95" customHeight="1"/>
    <row r="63" ht="12.95" customHeight="1"/>
    <row r="64" ht="12.95" customHeight="1"/>
    <row r="65" ht="12.95" customHeight="1"/>
    <row r="66" ht="12.95" customHeight="1"/>
    <row r="67" ht="12.95" customHeight="1"/>
    <row r="68" ht="12.95" customHeight="1"/>
    <row r="69" ht="12.95" customHeight="1"/>
    <row r="70" ht="12.95" customHeight="1"/>
    <row r="71" ht="12.95" customHeight="1"/>
    <row r="72" ht="12.95" customHeight="1"/>
    <row r="73" ht="12.95" customHeight="1"/>
    <row r="74" ht="12.95" customHeight="1"/>
    <row r="75" ht="12.95" customHeight="1"/>
    <row r="76" ht="12.95" customHeight="1"/>
    <row r="77" ht="12.95" customHeight="1"/>
    <row r="78" ht="12.95" customHeight="1"/>
    <row r="79" ht="12.95" customHeight="1"/>
    <row r="80" ht="12.95" customHeight="1"/>
    <row r="81" ht="12.95" customHeight="1"/>
    <row r="82" ht="12.95" customHeight="1"/>
    <row r="83" ht="12.95" customHeight="1"/>
    <row r="84" ht="12.95" customHeight="1"/>
    <row r="85" ht="12.95" customHeight="1"/>
    <row r="86" ht="12.95" customHeight="1"/>
    <row r="87" ht="12.95" customHeight="1"/>
    <row r="88" ht="12.95" customHeight="1"/>
    <row r="89" ht="12.95" customHeight="1"/>
    <row r="90" ht="12.95" customHeight="1"/>
    <row r="91" ht="12.95" customHeight="1"/>
    <row r="92" ht="12.95" customHeight="1"/>
    <row r="93" ht="12.95" customHeight="1"/>
    <row r="94" ht="12.95" customHeight="1"/>
    <row r="95" ht="12.95" customHeight="1"/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52">
      <sortCondition ref="E2"/>
    </sortState>
  </autoFilter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SUM(R4:R661)</f>
        <v/>
      </c>
      <c r="S2" s="76" t="inlineStr">
        <is>
          <t>=</t>
        </is>
      </c>
      <c r="T2" s="176">
        <f>SUM(T4:T661)</f>
        <v/>
      </c>
      <c r="U2" s="176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9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79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79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79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79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79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79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79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79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79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79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79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9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9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9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9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9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9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9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9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9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9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9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9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9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9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9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9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9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9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9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9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9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9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9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9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9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9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9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9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9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9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9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9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9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9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9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9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9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9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9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9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9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9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9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9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9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9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9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9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9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9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9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9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9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9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9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9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9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9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9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9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9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9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9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9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9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9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9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9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9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9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9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9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9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9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9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9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9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9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9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9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9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9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9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9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9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9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9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81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81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81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81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81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81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81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81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81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81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81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81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81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81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81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81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81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81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81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81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81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81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81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81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81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81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81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81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81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81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81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81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81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81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81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81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81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81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81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81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81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81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81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81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81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81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81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81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81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81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81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81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81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81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81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81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81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81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81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81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81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81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81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81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81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81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81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81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81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81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81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81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81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81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81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81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81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81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81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81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81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81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81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81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81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81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81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SUM(R4:R574)</f>
        <v/>
      </c>
      <c r="S2" s="76" t="inlineStr">
        <is>
          <t>=</t>
        </is>
      </c>
      <c r="T2" s="176">
        <f>SUM(T4:T574)</f>
        <v/>
      </c>
      <c r="U2" s="176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9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80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81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81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81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81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81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81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81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81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81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81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81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81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81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81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81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81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81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81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81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81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81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81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81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81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81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81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81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81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81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81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81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81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81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81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81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81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81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81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81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81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81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81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81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81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81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81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81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81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81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81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81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81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81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81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81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81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81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81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81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81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81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81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81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81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81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81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81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81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81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81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81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81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81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81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81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81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81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81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81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81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81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81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81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81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81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81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1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54" t="inlineStr">
        <is>
          <t>HAL / Terminal</t>
        </is>
      </c>
      <c r="B1" s="182" t="n"/>
      <c r="C1" s="182" t="n"/>
      <c r="D1" s="182" t="n"/>
      <c r="E1" s="182" t="n"/>
      <c r="F1" s="154" t="inlineStr">
        <is>
          <t>GP/RF</t>
        </is>
      </c>
      <c r="G1" s="182" t="n"/>
      <c r="H1" s="154" t="inlineStr">
        <is>
          <t>DG</t>
        </is>
      </c>
      <c r="I1" s="182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21" t="n">
        <v>400</v>
      </c>
      <c r="G5" s="121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54" t="inlineStr">
        <is>
          <t>HAL / Terminal</t>
        </is>
      </c>
      <c r="B7" s="182" t="n"/>
      <c r="C7" s="182" t="n"/>
      <c r="D7" s="182" t="n"/>
      <c r="E7" s="182" t="n"/>
      <c r="F7" s="154" t="inlineStr">
        <is>
          <t>GP/RF</t>
        </is>
      </c>
      <c r="G7" s="182" t="n"/>
      <c r="H7" s="154" t="inlineStr">
        <is>
          <t>DG</t>
        </is>
      </c>
      <c r="I7" s="182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28" t="inlineStr">
        <is>
          <t>LCH06</t>
        </is>
      </c>
      <c r="D15" s="121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54" t="inlineStr">
        <is>
          <t>HAL / Terminal</t>
        </is>
      </c>
      <c r="B17" s="182" t="n"/>
      <c r="C17" s="182" t="n"/>
      <c r="D17" s="182" t="n"/>
      <c r="E17" s="182" t="n"/>
      <c r="F17" s="154" t="inlineStr">
        <is>
          <t>GP/RF</t>
        </is>
      </c>
      <c r="G17" s="182" t="n"/>
      <c r="H17" s="154" t="inlineStr">
        <is>
          <t>DG</t>
        </is>
      </c>
      <c r="I17" s="182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54" t="inlineStr">
        <is>
          <t>HAL / Terminal</t>
        </is>
      </c>
      <c r="B23" s="182" t="n"/>
      <c r="C23" s="182" t="n"/>
      <c r="D23" s="182" t="n"/>
      <c r="E23" s="182" t="n"/>
      <c r="F23" s="154" t="inlineStr">
        <is>
          <t>GP/RF</t>
        </is>
      </c>
      <c r="G23" s="182" t="n"/>
      <c r="H23" s="154" t="inlineStr">
        <is>
          <t>DG</t>
        </is>
      </c>
      <c r="I23" s="182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28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22" t="n">
        <v>375</v>
      </c>
      <c r="N32" s="6" t="n">
        <v>0</v>
      </c>
      <c r="O32" s="6" t="n">
        <v>0</v>
      </c>
      <c r="P32" s="124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22" t="n">
        <v>750</v>
      </c>
      <c r="N33" s="6" t="n">
        <v>7</v>
      </c>
      <c r="O33" s="29" t="n">
        <v>2400</v>
      </c>
      <c r="P33" s="124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23" t="n">
        <v>1500</v>
      </c>
      <c r="N34" s="10" t="n">
        <v>14</v>
      </c>
      <c r="O34" s="30" t="n">
        <v>9600</v>
      </c>
      <c r="P34" s="125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7:E7"/>
    <mergeCell ref="H7:I7"/>
    <mergeCell ref="F23:G23"/>
    <mergeCell ref="H1:I1"/>
    <mergeCell ref="A1:E1"/>
    <mergeCell ref="A23:E23"/>
    <mergeCell ref="H23:I23"/>
    <mergeCell ref="F1:G1"/>
    <mergeCell ref="A17:E17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2026-10-20T11:13:08Z</dcterms:modified>
  <cp:lastModifiedBy>office4</cp:lastModifiedBy>
  <cp:lastPrinted>2019-11-19T03:03:39Z</cp:lastPrinted>
</cp:coreProperties>
</file>